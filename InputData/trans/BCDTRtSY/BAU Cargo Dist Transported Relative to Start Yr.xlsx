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externalLinks/externalLink1.xml" ContentType="application/vnd.openxmlformats-officedocument.spreadsheetml.externalLink+xml"/>
  <Override PartName="/xl/externalLinks/externalLink2.xml" ContentType="application/vnd.openxmlformats-officedocument.spreadsheetml.externalLink+xml"/>
  <Override PartName="/xl/externalLinks/externalLink3.xml" ContentType="application/vnd.openxmlformats-officedocument.spreadsheetml.externalLink+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6" rupBuild="29426"/>
  <workbookPr defaultThemeVersion="124226"/>
  <mc:AlternateContent xmlns:mc="http://schemas.openxmlformats.org/markup-compatibility/2006">
    <mc:Choice Requires="x15">
      <x15ac:absPath xmlns:x15ac="http://schemas.microsoft.com/office/spreadsheetml/2010/11/ac" url="C:\Users\Olivia Ashmoore\Documents\EPS_Models by Region\United States\us-eps\InputData\trans\BCDTRtSY\"/>
    </mc:Choice>
  </mc:AlternateContent>
  <xr:revisionPtr revIDLastSave="0" documentId="13_ncr:1_{96543CC9-90CA-4FAC-A07F-3B6CB4010260}" xr6:coauthVersionLast="47" xr6:coauthVersionMax="47" xr10:uidLastSave="{00000000-0000-0000-0000-000000000000}"/>
  <bookViews>
    <workbookView xWindow="12945" yWindow="0" windowWidth="15735" windowHeight="17385" firstSheet="19" activeTab="21" xr2:uid="{09CD4F42-9754-4725-8CF6-49C65C64E6C5}"/>
  </bookViews>
  <sheets>
    <sheet name="About" sheetId="1" r:id="rId1"/>
    <sheet name="source data&gt;" sheetId="66" r:id="rId2"/>
    <sheet name="EPA_Table 3-13" sheetId="57" r:id="rId3"/>
    <sheet name="AEO 2023 Table 7" sheetId="37" r:id="rId4"/>
    <sheet name="AEO 2023 Table 35 Raw" sheetId="42" r:id="rId5"/>
    <sheet name="AEO 2023 Table 35" sheetId="38" r:id="rId6"/>
    <sheet name="AEO 2023 Table 46 Raw" sheetId="43" r:id="rId7"/>
    <sheet name="AEO 2023 Table 46" sheetId="39" r:id="rId8"/>
    <sheet name="AEO 2023 Table 47 Raw" sheetId="44" r:id="rId9"/>
    <sheet name="AEO 2023 Table 47" sheetId="40" r:id="rId10"/>
    <sheet name="AEO 2023 Table 49 Raw" sheetId="45" r:id="rId11"/>
    <sheet name="AEO 2023 Table 49" sheetId="41" r:id="rId12"/>
    <sheet name="AEO 2025 Table 7" sheetId="64" r:id="rId13"/>
    <sheet name="AEO 2025 Table 35" sheetId="63" r:id="rId14"/>
    <sheet name="AEO 2025 Table 46" sheetId="60" r:id="rId15"/>
    <sheet name="AEO 2025 Table 47" sheetId="61" r:id="rId16"/>
    <sheet name="AEO 2025 Table 49" sheetId="62" r:id="rId17"/>
    <sheet name="calcs&gt;" sheetId="65" r:id="rId18"/>
    <sheet name="calibration multiplier" sheetId="56" r:id="rId19"/>
    <sheet name="GHG Inventory" sheetId="58" r:id="rId20"/>
    <sheet name="AEO 2022 Table 36" sheetId="59" r:id="rId21"/>
    <sheet name="calcs" sheetId="67" r:id="rId22"/>
    <sheet name="BCDTRtSY-psgr" sheetId="23" r:id="rId23"/>
    <sheet name="BCDTRtSY-frgt" sheetId="24" r:id="rId24"/>
  </sheets>
  <externalReferences>
    <externalReference r:id="rId25"/>
    <externalReference r:id="rId26"/>
    <externalReference r:id="rId27"/>
  </externalReferences>
  <definedNames>
    <definedName name="Eno_TM" localSheetId="23">'[1]1997  Table 1a Modified'!#REF!</definedName>
    <definedName name="Eno_TM" localSheetId="2">'[2]1997  Table 1a Modified'!#REF!</definedName>
    <definedName name="Eno_TM">'[1]1997  Table 1a Modified'!#REF!</definedName>
    <definedName name="Eno_Tons" localSheetId="23">'[1]1997  Table 1a Modified'!#REF!</definedName>
    <definedName name="Eno_Tons" localSheetId="2">'[2]1997  Table 1a Modified'!#REF!</definedName>
    <definedName name="Eno_Tons">'[1]1997  Table 1a Modified'!#REF!</definedName>
    <definedName name="NTS_YR">[3]About!$B$136</definedName>
    <definedName name="Sum_T2" localSheetId="23">'[1]1997  Table 1a Modified'!#REF!</definedName>
    <definedName name="Sum_T2" localSheetId="2">'[2]1997  Table 1a Modified'!#REF!</definedName>
    <definedName name="Sum_T2">'[1]1997  Table 1a Modified'!#REF!</definedName>
    <definedName name="Sum_TTM" localSheetId="23">'[1]1997  Table 1a Modified'!#REF!</definedName>
    <definedName name="Sum_TTM" localSheetId="2">'[2]1997  Table 1a Modified'!#REF!</definedName>
    <definedName name="Sum_TTM">'[1]1997  Table 1a Modified'!#REF!</definedName>
    <definedName name="ti_tbl_50" localSheetId="23">#REF!</definedName>
    <definedName name="ti_tbl_50" localSheetId="2">#REF!</definedName>
    <definedName name="ti_tbl_50">#REF!</definedName>
    <definedName name="ti_tbl_69" localSheetId="23">#REF!</definedName>
    <definedName name="ti_tbl_69" localSheetId="2">#REF!</definedName>
    <definedName name="ti_tbl_69">#REF!</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calcFeatures>
    </ext>
  </extLst>
</workbook>
</file>

<file path=xl/calcChain.xml><?xml version="1.0" encoding="utf-8"?>
<calcChain xmlns="http://schemas.openxmlformats.org/spreadsheetml/2006/main">
  <c r="F6" i="67" l="1"/>
  <c r="G6" i="67"/>
  <c r="H6" i="67"/>
  <c r="I6" i="67"/>
  <c r="J6" i="67"/>
  <c r="K6" i="67"/>
  <c r="L6" i="67"/>
  <c r="M6" i="67"/>
  <c r="N6" i="67"/>
  <c r="O6" i="67"/>
  <c r="P6" i="67"/>
  <c r="Q6" i="67"/>
  <c r="R6" i="67"/>
  <c r="S6" i="67"/>
  <c r="T6" i="67"/>
  <c r="U6" i="67"/>
  <c r="V6" i="67"/>
  <c r="W6" i="67"/>
  <c r="X6" i="67"/>
  <c r="Y6" i="67"/>
  <c r="Z6" i="67"/>
  <c r="AA6" i="67"/>
  <c r="AB6" i="67"/>
  <c r="AC6" i="67"/>
  <c r="AD6" i="67"/>
  <c r="E6" i="67"/>
  <c r="E5" i="67"/>
  <c r="E14" i="67" s="1"/>
  <c r="F5" i="67"/>
  <c r="F14" i="67" s="1"/>
  <c r="G5" i="67"/>
  <c r="G14" i="67" s="1"/>
  <c r="H5" i="67"/>
  <c r="I5" i="67"/>
  <c r="J5" i="67"/>
  <c r="K5" i="67"/>
  <c r="L5" i="67"/>
  <c r="M5" i="67"/>
  <c r="M14" i="67" s="1"/>
  <c r="N5" i="67"/>
  <c r="N14" i="67" s="1"/>
  <c r="O5" i="67"/>
  <c r="O14" i="67" s="1"/>
  <c r="P5" i="67"/>
  <c r="P14" i="67" s="1"/>
  <c r="Q5" i="67"/>
  <c r="R5" i="67"/>
  <c r="S5" i="67"/>
  <c r="T5" i="67"/>
  <c r="U5" i="67"/>
  <c r="U14" i="67" s="1"/>
  <c r="V5" i="67"/>
  <c r="V14" i="67" s="1"/>
  <c r="W5" i="67"/>
  <c r="W14" i="67" s="1"/>
  <c r="X5" i="67"/>
  <c r="X14" i="67" s="1"/>
  <c r="Y5" i="67"/>
  <c r="Z5" i="67"/>
  <c r="AA5" i="67"/>
  <c r="AB5" i="67"/>
  <c r="AC5" i="67"/>
  <c r="AC14" i="67" s="1"/>
  <c r="AD5" i="67"/>
  <c r="AD14" i="67" s="1"/>
  <c r="D5" i="67"/>
  <c r="D14" i="67" s="1"/>
  <c r="H14" i="67"/>
  <c r="I14" i="67"/>
  <c r="J14" i="67"/>
  <c r="K14" i="67"/>
  <c r="L14" i="67"/>
  <c r="Q14" i="67"/>
  <c r="R14" i="67"/>
  <c r="S14" i="67"/>
  <c r="T14" i="67"/>
  <c r="Y14" i="67"/>
  <c r="Z14" i="67"/>
  <c r="AA14" i="67"/>
  <c r="AB14" i="67"/>
  <c r="C14" i="67"/>
  <c r="E16" i="67"/>
  <c r="F16" i="67"/>
  <c r="G16" i="67"/>
  <c r="H16" i="67"/>
  <c r="I16" i="67"/>
  <c r="J16" i="67"/>
  <c r="K16" i="67"/>
  <c r="L16" i="67"/>
  <c r="M16" i="67"/>
  <c r="N16" i="67"/>
  <c r="O16" i="67"/>
  <c r="P16" i="67"/>
  <c r="Q16" i="67"/>
  <c r="R16" i="67"/>
  <c r="S16" i="67"/>
  <c r="T16" i="67"/>
  <c r="U16" i="67"/>
  <c r="V16" i="67"/>
  <c r="W16" i="67"/>
  <c r="X16" i="67"/>
  <c r="Y16" i="67"/>
  <c r="Z16" i="67"/>
  <c r="AA16" i="67"/>
  <c r="AB16" i="67"/>
  <c r="AC16" i="67"/>
  <c r="AD16" i="67"/>
  <c r="D16" i="67"/>
  <c r="E3" i="67"/>
  <c r="F3" i="67"/>
  <c r="G3" i="67"/>
  <c r="H3" i="67"/>
  <c r="I3" i="67"/>
  <c r="J3" i="67"/>
  <c r="K3" i="67"/>
  <c r="L3" i="67"/>
  <c r="M3" i="67"/>
  <c r="N3" i="67"/>
  <c r="O3" i="67"/>
  <c r="P3" i="67"/>
  <c r="Q3" i="67"/>
  <c r="R3" i="67"/>
  <c r="S3" i="67"/>
  <c r="T3" i="67"/>
  <c r="U3" i="67"/>
  <c r="V3" i="67"/>
  <c r="W3" i="67"/>
  <c r="X3" i="67"/>
  <c r="Y3" i="67"/>
  <c r="Z3" i="67"/>
  <c r="AA3" i="67"/>
  <c r="AB3" i="67"/>
  <c r="AC3" i="67"/>
  <c r="AD3" i="67"/>
  <c r="E4" i="67"/>
  <c r="F4" i="67"/>
  <c r="G4" i="67"/>
  <c r="H4" i="67"/>
  <c r="I4" i="67"/>
  <c r="J4" i="67"/>
  <c r="K4" i="67"/>
  <c r="L4" i="67"/>
  <c r="M4" i="67"/>
  <c r="N4" i="67"/>
  <c r="O4" i="67"/>
  <c r="P4" i="67"/>
  <c r="Q4" i="67"/>
  <c r="R4" i="67"/>
  <c r="S4" i="67"/>
  <c r="T4" i="67"/>
  <c r="U4" i="67"/>
  <c r="V4" i="67"/>
  <c r="W4" i="67"/>
  <c r="X4" i="67"/>
  <c r="Y4" i="67"/>
  <c r="Z4" i="67"/>
  <c r="AA4" i="67"/>
  <c r="AB4" i="67"/>
  <c r="AC4" i="67"/>
  <c r="AD4" i="67"/>
  <c r="E7" i="67"/>
  <c r="F7" i="67"/>
  <c r="G7" i="67"/>
  <c r="H7" i="67"/>
  <c r="I7" i="67"/>
  <c r="J7" i="67"/>
  <c r="K7" i="67"/>
  <c r="L7" i="67"/>
  <c r="M7" i="67"/>
  <c r="N7" i="67"/>
  <c r="O7" i="67"/>
  <c r="P7" i="67"/>
  <c r="Q7" i="67"/>
  <c r="R7" i="67"/>
  <c r="S7" i="67"/>
  <c r="T7" i="67"/>
  <c r="U7" i="67"/>
  <c r="V7" i="67"/>
  <c r="W7" i="67"/>
  <c r="X7" i="67"/>
  <c r="Y7" i="67"/>
  <c r="Z7" i="67"/>
  <c r="AA7" i="67"/>
  <c r="AB7" i="67"/>
  <c r="AC7" i="67"/>
  <c r="AD7" i="67"/>
  <c r="E8" i="67"/>
  <c r="F8" i="67"/>
  <c r="G8" i="67"/>
  <c r="H8" i="67"/>
  <c r="I8" i="67"/>
  <c r="J8" i="67"/>
  <c r="K8" i="67"/>
  <c r="L8" i="67"/>
  <c r="M8" i="67"/>
  <c r="N8" i="67"/>
  <c r="O8" i="67"/>
  <c r="P8" i="67"/>
  <c r="Q8" i="67"/>
  <c r="R8" i="67"/>
  <c r="S8" i="67"/>
  <c r="T8" i="67"/>
  <c r="U8" i="67"/>
  <c r="V8" i="67"/>
  <c r="W8" i="67"/>
  <c r="X8" i="67"/>
  <c r="Y8" i="67"/>
  <c r="Z8" i="67"/>
  <c r="AA8" i="67"/>
  <c r="AB8" i="67"/>
  <c r="AC8" i="67"/>
  <c r="AD8" i="67"/>
  <c r="D4" i="67"/>
  <c r="D3" i="67"/>
  <c r="C2" i="24" l="1"/>
  <c r="D2" i="24"/>
  <c r="E2" i="24"/>
  <c r="F2" i="24"/>
  <c r="G2" i="24"/>
  <c r="H2" i="24"/>
  <c r="I2" i="24"/>
  <c r="J2" i="24"/>
  <c r="K2" i="24"/>
  <c r="L2" i="24"/>
  <c r="M2" i="24"/>
  <c r="N2" i="24"/>
  <c r="O2" i="24"/>
  <c r="P2" i="24"/>
  <c r="Q2" i="24"/>
  <c r="R2" i="24"/>
  <c r="S2" i="24"/>
  <c r="T2" i="24"/>
  <c r="U2" i="24"/>
  <c r="V2" i="24"/>
  <c r="W2" i="24"/>
  <c r="X2" i="24"/>
  <c r="Y2" i="24"/>
  <c r="Z2" i="24"/>
  <c r="AA2" i="24"/>
  <c r="AB2" i="24"/>
  <c r="AC2" i="24"/>
  <c r="C3" i="24"/>
  <c r="D3" i="24"/>
  <c r="E3" i="24"/>
  <c r="F3" i="24"/>
  <c r="G3" i="24"/>
  <c r="H3" i="24"/>
  <c r="I3" i="24"/>
  <c r="J3" i="24"/>
  <c r="K3" i="24"/>
  <c r="L3" i="24"/>
  <c r="M3" i="24"/>
  <c r="N3" i="24"/>
  <c r="O3" i="24"/>
  <c r="P3" i="24"/>
  <c r="Q3" i="24"/>
  <c r="R3" i="24"/>
  <c r="S3" i="24"/>
  <c r="T3" i="24"/>
  <c r="U3" i="24"/>
  <c r="V3" i="24"/>
  <c r="W3" i="24"/>
  <c r="X3" i="24"/>
  <c r="Y3" i="24"/>
  <c r="Z3" i="24"/>
  <c r="AA3" i="24"/>
  <c r="AB3" i="24"/>
  <c r="AC3" i="24"/>
  <c r="C4" i="24"/>
  <c r="D4" i="24"/>
  <c r="E4" i="24"/>
  <c r="F4" i="24"/>
  <c r="G4" i="24"/>
  <c r="H4" i="24"/>
  <c r="I4" i="24"/>
  <c r="J4" i="24"/>
  <c r="K4" i="24"/>
  <c r="L4" i="24"/>
  <c r="M4" i="24"/>
  <c r="N4" i="24"/>
  <c r="O4" i="24"/>
  <c r="P4" i="24"/>
  <c r="Q4" i="24"/>
  <c r="R4" i="24"/>
  <c r="S4" i="24"/>
  <c r="T4" i="24"/>
  <c r="U4" i="24"/>
  <c r="V4" i="24"/>
  <c r="W4" i="24"/>
  <c r="X4" i="24"/>
  <c r="Y4" i="24"/>
  <c r="Z4" i="24"/>
  <c r="AA4" i="24"/>
  <c r="AB4" i="24"/>
  <c r="AC4" i="24"/>
  <c r="C5" i="24"/>
  <c r="D5" i="24"/>
  <c r="E5" i="24"/>
  <c r="F5" i="24"/>
  <c r="G5" i="24"/>
  <c r="H5" i="24"/>
  <c r="I5" i="24"/>
  <c r="J5" i="24"/>
  <c r="K5" i="24"/>
  <c r="L5" i="24"/>
  <c r="M5" i="24"/>
  <c r="N5" i="24"/>
  <c r="O5" i="24"/>
  <c r="P5" i="24"/>
  <c r="Q5" i="24"/>
  <c r="R5" i="24"/>
  <c r="S5" i="24"/>
  <c r="T5" i="24"/>
  <c r="U5" i="24"/>
  <c r="V5" i="24"/>
  <c r="W5" i="24"/>
  <c r="X5" i="24"/>
  <c r="Y5" i="24"/>
  <c r="Z5" i="24"/>
  <c r="AA5" i="24"/>
  <c r="AB5" i="24"/>
  <c r="AC5" i="24"/>
  <c r="C6" i="24"/>
  <c r="D6" i="24"/>
  <c r="E6" i="24"/>
  <c r="F6" i="24"/>
  <c r="G6" i="24"/>
  <c r="H6" i="24"/>
  <c r="I6" i="24"/>
  <c r="J6" i="24"/>
  <c r="K6" i="24"/>
  <c r="L6" i="24"/>
  <c r="M6" i="24"/>
  <c r="N6" i="24"/>
  <c r="O6" i="24"/>
  <c r="P6" i="24"/>
  <c r="Q6" i="24"/>
  <c r="R6" i="24"/>
  <c r="S6" i="24"/>
  <c r="T6" i="24"/>
  <c r="U6" i="24"/>
  <c r="V6" i="24"/>
  <c r="W6" i="24"/>
  <c r="X6" i="24"/>
  <c r="Y6" i="24"/>
  <c r="Z6" i="24"/>
  <c r="AA6" i="24"/>
  <c r="AB6" i="24"/>
  <c r="AC6" i="24"/>
  <c r="C7" i="24"/>
  <c r="D7" i="24"/>
  <c r="E7" i="24"/>
  <c r="F7" i="24"/>
  <c r="G7" i="24"/>
  <c r="H7" i="24"/>
  <c r="I7" i="24"/>
  <c r="J7" i="24"/>
  <c r="K7" i="24"/>
  <c r="L7" i="24"/>
  <c r="M7" i="24"/>
  <c r="N7" i="24"/>
  <c r="O7" i="24"/>
  <c r="P7" i="24"/>
  <c r="Q7" i="24"/>
  <c r="R7" i="24"/>
  <c r="S7" i="24"/>
  <c r="T7" i="24"/>
  <c r="U7" i="24"/>
  <c r="V7" i="24"/>
  <c r="W7" i="24"/>
  <c r="X7" i="24"/>
  <c r="Y7" i="24"/>
  <c r="Z7" i="24"/>
  <c r="AA7" i="24"/>
  <c r="AB7" i="24"/>
  <c r="AC7" i="24"/>
  <c r="B3" i="24"/>
  <c r="B4" i="24"/>
  <c r="B5" i="24"/>
  <c r="B6" i="24"/>
  <c r="B2" i="24"/>
  <c r="C2" i="23"/>
  <c r="D2" i="23"/>
  <c r="E2" i="23"/>
  <c r="F2" i="23"/>
  <c r="G2" i="23"/>
  <c r="H2" i="23"/>
  <c r="I2" i="23"/>
  <c r="J2" i="23"/>
  <c r="K2" i="23"/>
  <c r="L2" i="23"/>
  <c r="M2" i="23"/>
  <c r="N2" i="23"/>
  <c r="O2" i="23"/>
  <c r="P2" i="23"/>
  <c r="Q2" i="23"/>
  <c r="R2" i="23"/>
  <c r="S2" i="23"/>
  <c r="T2" i="23"/>
  <c r="U2" i="23"/>
  <c r="V2" i="23"/>
  <c r="W2" i="23"/>
  <c r="X2" i="23"/>
  <c r="Y2" i="23"/>
  <c r="Z2" i="23"/>
  <c r="AA2" i="23"/>
  <c r="AB2" i="23"/>
  <c r="AC2" i="23"/>
  <c r="C3" i="23"/>
  <c r="D3" i="23"/>
  <c r="G3" i="23"/>
  <c r="H3" i="23"/>
  <c r="I3" i="23"/>
  <c r="J3" i="23"/>
  <c r="R3" i="23"/>
  <c r="T3" i="23"/>
  <c r="U3" i="23"/>
  <c r="V3" i="23"/>
  <c r="X3" i="23"/>
  <c r="AB3" i="23"/>
  <c r="AC3" i="23"/>
  <c r="C4" i="23"/>
  <c r="D4" i="23"/>
  <c r="E4" i="23"/>
  <c r="F4" i="23"/>
  <c r="G4" i="23"/>
  <c r="H4" i="23"/>
  <c r="I4" i="23"/>
  <c r="J4" i="23"/>
  <c r="K4" i="23"/>
  <c r="L4" i="23"/>
  <c r="M4" i="23"/>
  <c r="N4" i="23"/>
  <c r="O4" i="23"/>
  <c r="P4" i="23"/>
  <c r="Q4" i="23"/>
  <c r="R4" i="23"/>
  <c r="S4" i="23"/>
  <c r="T4" i="23"/>
  <c r="U4" i="23"/>
  <c r="V4" i="23"/>
  <c r="W4" i="23"/>
  <c r="X4" i="23"/>
  <c r="Y4" i="23"/>
  <c r="Z4" i="23"/>
  <c r="AA4" i="23"/>
  <c r="AB4" i="23"/>
  <c r="AC4" i="23"/>
  <c r="C5" i="23"/>
  <c r="D5" i="23"/>
  <c r="E5" i="23"/>
  <c r="F5" i="23"/>
  <c r="G5" i="23"/>
  <c r="H5" i="23"/>
  <c r="I5" i="23"/>
  <c r="J5" i="23"/>
  <c r="K5" i="23"/>
  <c r="L5" i="23"/>
  <c r="M5" i="23"/>
  <c r="N5" i="23"/>
  <c r="O5" i="23"/>
  <c r="P5" i="23"/>
  <c r="Q5" i="23"/>
  <c r="R5" i="23"/>
  <c r="S5" i="23"/>
  <c r="T5" i="23"/>
  <c r="U5" i="23"/>
  <c r="V5" i="23"/>
  <c r="W5" i="23"/>
  <c r="X5" i="23"/>
  <c r="Y5" i="23"/>
  <c r="Z5" i="23"/>
  <c r="AA5" i="23"/>
  <c r="AB5" i="23"/>
  <c r="AC5" i="23"/>
  <c r="C6" i="23"/>
  <c r="D6" i="23"/>
  <c r="E6" i="23"/>
  <c r="F6" i="23"/>
  <c r="G6" i="23"/>
  <c r="H6" i="23"/>
  <c r="I6" i="23"/>
  <c r="J6" i="23"/>
  <c r="K6" i="23"/>
  <c r="L6" i="23"/>
  <c r="M6" i="23"/>
  <c r="N6" i="23"/>
  <c r="O6" i="23"/>
  <c r="P6" i="23"/>
  <c r="Q6" i="23"/>
  <c r="R6" i="23"/>
  <c r="S6" i="23"/>
  <c r="T6" i="23"/>
  <c r="U6" i="23"/>
  <c r="V6" i="23"/>
  <c r="W6" i="23"/>
  <c r="X6" i="23"/>
  <c r="Y6" i="23"/>
  <c r="Z6" i="23"/>
  <c r="AA6" i="23"/>
  <c r="AB6" i="23"/>
  <c r="AC6" i="23"/>
  <c r="C7" i="23"/>
  <c r="D7" i="23"/>
  <c r="E7" i="23"/>
  <c r="F7" i="23"/>
  <c r="G7" i="23"/>
  <c r="H7" i="23"/>
  <c r="I7" i="23"/>
  <c r="J7" i="23"/>
  <c r="K7" i="23"/>
  <c r="L7" i="23"/>
  <c r="M7" i="23"/>
  <c r="N7" i="23"/>
  <c r="O7" i="23"/>
  <c r="P7" i="23"/>
  <c r="Q7" i="23"/>
  <c r="R7" i="23"/>
  <c r="S7" i="23"/>
  <c r="T7" i="23"/>
  <c r="U7" i="23"/>
  <c r="V7" i="23"/>
  <c r="W7" i="23"/>
  <c r="X7" i="23"/>
  <c r="Y7" i="23"/>
  <c r="Z7" i="23"/>
  <c r="AA7" i="23"/>
  <c r="AB7" i="23"/>
  <c r="AC7" i="23"/>
  <c r="B3" i="23"/>
  <c r="B4" i="23"/>
  <c r="B5" i="23"/>
  <c r="B6" i="23"/>
  <c r="B7" i="23"/>
  <c r="B2" i="23"/>
  <c r="D12" i="67"/>
  <c r="E12" i="67"/>
  <c r="F12" i="67"/>
  <c r="G12" i="67"/>
  <c r="H12" i="67"/>
  <c r="I12" i="67"/>
  <c r="J12" i="67"/>
  <c r="K12" i="67"/>
  <c r="L12" i="67"/>
  <c r="M12" i="67"/>
  <c r="N12" i="67"/>
  <c r="O12" i="67"/>
  <c r="P12" i="67"/>
  <c r="Q12" i="67"/>
  <c r="R12" i="67"/>
  <c r="S12" i="67"/>
  <c r="T12" i="67"/>
  <c r="U12" i="67"/>
  <c r="V12" i="67"/>
  <c r="W12" i="67"/>
  <c r="X12" i="67"/>
  <c r="Y12" i="67"/>
  <c r="Z12" i="67"/>
  <c r="AA12" i="67"/>
  <c r="AB12" i="67"/>
  <c r="AC12" i="67"/>
  <c r="AD12" i="67"/>
  <c r="D13" i="67"/>
  <c r="E13" i="67"/>
  <c r="F13" i="67"/>
  <c r="G13" i="67"/>
  <c r="H13" i="67"/>
  <c r="I13" i="67"/>
  <c r="J13" i="67"/>
  <c r="K13" i="67"/>
  <c r="L13" i="67"/>
  <c r="M13" i="67"/>
  <c r="N13" i="67"/>
  <c r="O13" i="67"/>
  <c r="P13" i="67"/>
  <c r="Q13" i="67"/>
  <c r="R13" i="67"/>
  <c r="S13" i="67"/>
  <c r="T13" i="67"/>
  <c r="U13" i="67"/>
  <c r="V13" i="67"/>
  <c r="W13" i="67"/>
  <c r="X13" i="67"/>
  <c r="Y13" i="67"/>
  <c r="Z13" i="67"/>
  <c r="AA13" i="67"/>
  <c r="AB13" i="67"/>
  <c r="AC13" i="67"/>
  <c r="AD13" i="67"/>
  <c r="D15" i="67"/>
  <c r="E15" i="67"/>
  <c r="F15" i="67"/>
  <c r="G15" i="67"/>
  <c r="H15" i="67"/>
  <c r="I15" i="67"/>
  <c r="J15" i="67"/>
  <c r="K15" i="67"/>
  <c r="L15" i="67"/>
  <c r="M15" i="67"/>
  <c r="N15" i="67"/>
  <c r="O15" i="67"/>
  <c r="P15" i="67"/>
  <c r="Q15" i="67"/>
  <c r="R15" i="67"/>
  <c r="S15" i="67"/>
  <c r="T15" i="67"/>
  <c r="U15" i="67"/>
  <c r="V15" i="67"/>
  <c r="W15" i="67"/>
  <c r="X15" i="67"/>
  <c r="Y15" i="67"/>
  <c r="Z15" i="67"/>
  <c r="AA15" i="67"/>
  <c r="AB15" i="67"/>
  <c r="AC15" i="67"/>
  <c r="AD15" i="67"/>
  <c r="E3" i="23"/>
  <c r="F3" i="23"/>
  <c r="K3" i="23"/>
  <c r="L3" i="23"/>
  <c r="M3" i="23"/>
  <c r="N3" i="23"/>
  <c r="O3" i="23"/>
  <c r="P3" i="23"/>
  <c r="Q3" i="23"/>
  <c r="S3" i="23"/>
  <c r="W3" i="23"/>
  <c r="Y3" i="23"/>
  <c r="Z3" i="23"/>
  <c r="AA3" i="23"/>
  <c r="D7" i="67"/>
  <c r="D8" i="67"/>
  <c r="B11" i="56"/>
  <c r="B10" i="56"/>
  <c r="AL3" i="58"/>
  <c r="AK3" i="58"/>
  <c r="AL2" i="58"/>
  <c r="AK2" i="58"/>
  <c r="E54" i="37" l="1"/>
  <c r="F54" i="37"/>
  <c r="G54" i="37"/>
  <c r="H54" i="37"/>
  <c r="I54" i="37"/>
  <c r="J54" i="37"/>
  <c r="K54" i="37"/>
  <c r="L54" i="37"/>
  <c r="M54" i="37"/>
  <c r="N54" i="37"/>
  <c r="O54" i="37"/>
  <c r="P54" i="37"/>
  <c r="Q54" i="37"/>
  <c r="R54" i="37"/>
  <c r="S54" i="37"/>
  <c r="T54" i="37"/>
  <c r="U54" i="37"/>
  <c r="V54" i="37"/>
  <c r="W54" i="37"/>
  <c r="X54" i="37"/>
  <c r="Y54" i="37"/>
  <c r="Z54" i="37"/>
  <c r="AA54" i="37"/>
  <c r="AB54" i="37"/>
  <c r="AC54" i="37"/>
  <c r="AD54" i="37"/>
  <c r="AE54" i="37"/>
  <c r="D54" i="37"/>
  <c r="G4" i="57" l="1"/>
  <c r="D19" i="41" l="1"/>
  <c r="E19" i="41"/>
  <c r="F19" i="41"/>
  <c r="G19" i="41"/>
  <c r="H19" i="41"/>
  <c r="I19" i="41"/>
  <c r="J19" i="41"/>
  <c r="K19" i="41"/>
  <c r="L19" i="41"/>
  <c r="M19" i="41"/>
  <c r="N19" i="41"/>
  <c r="O19" i="41"/>
  <c r="P19" i="41"/>
  <c r="Q19" i="41"/>
  <c r="R19" i="41"/>
  <c r="S19" i="41"/>
  <c r="T19" i="41"/>
  <c r="U19" i="41"/>
  <c r="V19" i="41"/>
  <c r="W19" i="41"/>
  <c r="X19" i="41"/>
  <c r="Y19" i="41"/>
  <c r="Z19" i="41"/>
  <c r="AA19" i="41"/>
  <c r="AB19" i="41"/>
  <c r="AC19" i="41"/>
  <c r="AD19" i="41"/>
  <c r="AE19" i="41"/>
  <c r="AF19" i="41"/>
  <c r="D20" i="41"/>
  <c r="E20" i="41"/>
  <c r="F20" i="41"/>
  <c r="G20" i="41"/>
  <c r="H20" i="41"/>
  <c r="I20" i="41"/>
  <c r="J20" i="41"/>
  <c r="K20" i="41"/>
  <c r="L20" i="41"/>
  <c r="M20" i="41"/>
  <c r="N20" i="41"/>
  <c r="O20" i="41"/>
  <c r="P20" i="41"/>
  <c r="Q20" i="41"/>
  <c r="R20" i="41"/>
  <c r="S20" i="41"/>
  <c r="T20" i="41"/>
  <c r="U20" i="41"/>
  <c r="V20" i="41"/>
  <c r="W20" i="41"/>
  <c r="X20" i="41"/>
  <c r="Y20" i="41"/>
  <c r="Z20" i="41"/>
  <c r="AA20" i="41"/>
  <c r="AB20" i="41"/>
  <c r="AC20" i="41"/>
  <c r="AD20" i="41"/>
  <c r="AE20" i="41"/>
  <c r="AF20" i="41"/>
  <c r="D21" i="41"/>
  <c r="E21" i="41"/>
  <c r="F21" i="41"/>
  <c r="G21" i="41"/>
  <c r="H21" i="41"/>
  <c r="I21" i="41"/>
  <c r="J21" i="41"/>
  <c r="K21" i="41"/>
  <c r="L21" i="41"/>
  <c r="M21" i="41"/>
  <c r="N21" i="41"/>
  <c r="O21" i="41"/>
  <c r="P21" i="41"/>
  <c r="Q21" i="41"/>
  <c r="R21" i="41"/>
  <c r="S21" i="41"/>
  <c r="T21" i="41"/>
  <c r="U21" i="41"/>
  <c r="V21" i="41"/>
  <c r="W21" i="41"/>
  <c r="X21" i="41"/>
  <c r="Y21" i="41"/>
  <c r="Z21" i="41"/>
  <c r="AA21" i="41"/>
  <c r="AB21" i="41"/>
  <c r="AC21" i="41"/>
  <c r="AD21" i="41"/>
  <c r="AE21" i="41"/>
  <c r="AF21" i="41"/>
  <c r="D22" i="41"/>
  <c r="E22" i="41"/>
  <c r="F22" i="41"/>
  <c r="G22" i="41"/>
  <c r="H22" i="41"/>
  <c r="I22" i="41"/>
  <c r="J22" i="41"/>
  <c r="K22" i="41"/>
  <c r="L22" i="41"/>
  <c r="M22" i="41"/>
  <c r="N22" i="41"/>
  <c r="O22" i="41"/>
  <c r="P22" i="41"/>
  <c r="Q22" i="41"/>
  <c r="R22" i="41"/>
  <c r="S22" i="41"/>
  <c r="T22" i="41"/>
  <c r="U22" i="41"/>
  <c r="V22" i="41"/>
  <c r="W22" i="41"/>
  <c r="X22" i="41"/>
  <c r="Y22" i="41"/>
  <c r="Z22" i="41"/>
  <c r="AA22" i="41"/>
  <c r="AB22" i="41"/>
  <c r="AC22" i="41"/>
  <c r="AD22" i="41"/>
  <c r="AE22" i="41"/>
  <c r="AF22" i="41"/>
  <c r="D23" i="41"/>
  <c r="E23" i="41"/>
  <c r="F23" i="41"/>
  <c r="G23" i="41"/>
  <c r="H23" i="41"/>
  <c r="I23" i="41"/>
  <c r="J23" i="41"/>
  <c r="K23" i="41"/>
  <c r="L23" i="41"/>
  <c r="M23" i="41"/>
  <c r="N23" i="41"/>
  <c r="O23" i="41"/>
  <c r="P23" i="41"/>
  <c r="Q23" i="41"/>
  <c r="R23" i="41"/>
  <c r="S23" i="41"/>
  <c r="T23" i="41"/>
  <c r="U23" i="41"/>
  <c r="V23" i="41"/>
  <c r="W23" i="41"/>
  <c r="X23" i="41"/>
  <c r="Y23" i="41"/>
  <c r="Z23" i="41"/>
  <c r="AA23" i="41"/>
  <c r="AB23" i="41"/>
  <c r="AC23" i="41"/>
  <c r="AD23" i="41"/>
  <c r="AE23" i="41"/>
  <c r="AF23" i="41"/>
  <c r="D24" i="41"/>
  <c r="E24" i="41"/>
  <c r="F24" i="41"/>
  <c r="G24" i="41"/>
  <c r="H24" i="41"/>
  <c r="I24" i="41"/>
  <c r="J24" i="41"/>
  <c r="K24" i="41"/>
  <c r="L24" i="41"/>
  <c r="M24" i="41"/>
  <c r="N24" i="41"/>
  <c r="O24" i="41"/>
  <c r="P24" i="41"/>
  <c r="Q24" i="41"/>
  <c r="R24" i="41"/>
  <c r="S24" i="41"/>
  <c r="T24" i="41"/>
  <c r="U24" i="41"/>
  <c r="V24" i="41"/>
  <c r="W24" i="41"/>
  <c r="X24" i="41"/>
  <c r="Y24" i="41"/>
  <c r="Z24" i="41"/>
  <c r="AA24" i="41"/>
  <c r="AB24" i="41"/>
  <c r="AC24" i="41"/>
  <c r="AD24" i="41"/>
  <c r="AE24" i="41"/>
  <c r="AF24" i="41"/>
  <c r="D25" i="41"/>
  <c r="E25" i="41"/>
  <c r="F25" i="41"/>
  <c r="G25" i="41"/>
  <c r="H25" i="41"/>
  <c r="I25" i="41"/>
  <c r="J25" i="41"/>
  <c r="K25" i="41"/>
  <c r="L25" i="41"/>
  <c r="M25" i="41"/>
  <c r="N25" i="41"/>
  <c r="O25" i="41"/>
  <c r="P25" i="41"/>
  <c r="Q25" i="41"/>
  <c r="R25" i="41"/>
  <c r="S25" i="41"/>
  <c r="T25" i="41"/>
  <c r="U25" i="41"/>
  <c r="V25" i="41"/>
  <c r="W25" i="41"/>
  <c r="X25" i="41"/>
  <c r="Y25" i="41"/>
  <c r="Z25" i="41"/>
  <c r="AA25" i="41"/>
  <c r="AB25" i="41"/>
  <c r="AC25" i="41"/>
  <c r="AD25" i="41"/>
  <c r="AE25" i="41"/>
  <c r="AF25" i="41"/>
  <c r="D26" i="41"/>
  <c r="E26" i="41"/>
  <c r="F26" i="41"/>
  <c r="G26" i="41"/>
  <c r="H26" i="41"/>
  <c r="I26" i="41"/>
  <c r="J26" i="41"/>
  <c r="K26" i="41"/>
  <c r="L26" i="41"/>
  <c r="M26" i="41"/>
  <c r="N26" i="41"/>
  <c r="O26" i="41"/>
  <c r="P26" i="41"/>
  <c r="Q26" i="41"/>
  <c r="R26" i="41"/>
  <c r="S26" i="41"/>
  <c r="T26" i="41"/>
  <c r="U26" i="41"/>
  <c r="V26" i="41"/>
  <c r="W26" i="41"/>
  <c r="X26" i="41"/>
  <c r="Y26" i="41"/>
  <c r="Z26" i="41"/>
  <c r="AA26" i="41"/>
  <c r="AB26" i="41"/>
  <c r="AC26" i="41"/>
  <c r="AD26" i="41"/>
  <c r="AE26" i="41"/>
  <c r="AF26" i="41"/>
  <c r="D27" i="41"/>
  <c r="E27" i="41"/>
  <c r="F27" i="41"/>
  <c r="G27" i="41"/>
  <c r="H27" i="41"/>
  <c r="I27" i="41"/>
  <c r="J27" i="41"/>
  <c r="K27" i="41"/>
  <c r="L27" i="41"/>
  <c r="M27" i="41"/>
  <c r="N27" i="41"/>
  <c r="O27" i="41"/>
  <c r="P27" i="41"/>
  <c r="Q27" i="41"/>
  <c r="R27" i="41"/>
  <c r="S27" i="41"/>
  <c r="T27" i="41"/>
  <c r="U27" i="41"/>
  <c r="V27" i="41"/>
  <c r="W27" i="41"/>
  <c r="X27" i="41"/>
  <c r="Y27" i="41"/>
  <c r="Z27" i="41"/>
  <c r="AA27" i="41"/>
  <c r="AB27" i="41"/>
  <c r="AC27" i="41"/>
  <c r="AD27" i="41"/>
  <c r="AE27" i="41"/>
  <c r="AF27" i="41"/>
  <c r="D28" i="41"/>
  <c r="E28" i="41"/>
  <c r="F28" i="41"/>
  <c r="G28" i="41"/>
  <c r="H28" i="41"/>
  <c r="I28" i="41"/>
  <c r="J28" i="41"/>
  <c r="K28" i="41"/>
  <c r="L28" i="41"/>
  <c r="M28" i="41"/>
  <c r="N28" i="41"/>
  <c r="O28" i="41"/>
  <c r="P28" i="41"/>
  <c r="Q28" i="41"/>
  <c r="R28" i="41"/>
  <c r="S28" i="41"/>
  <c r="T28" i="41"/>
  <c r="U28" i="41"/>
  <c r="V28" i="41"/>
  <c r="W28" i="41"/>
  <c r="X28" i="41"/>
  <c r="Y28" i="41"/>
  <c r="Z28" i="41"/>
  <c r="AA28" i="41"/>
  <c r="AB28" i="41"/>
  <c r="AC28" i="41"/>
  <c r="AD28" i="41"/>
  <c r="AE28" i="41"/>
  <c r="AF28" i="41"/>
  <c r="D30" i="41"/>
  <c r="E30" i="41"/>
  <c r="F30" i="41"/>
  <c r="G30" i="41"/>
  <c r="H30" i="41"/>
  <c r="I30" i="41"/>
  <c r="J30" i="41"/>
  <c r="K30" i="41"/>
  <c r="L30" i="41"/>
  <c r="M30" i="41"/>
  <c r="N30" i="41"/>
  <c r="O30" i="41"/>
  <c r="P30" i="41"/>
  <c r="Q30" i="41"/>
  <c r="R30" i="41"/>
  <c r="S30" i="41"/>
  <c r="T30" i="41"/>
  <c r="U30" i="41"/>
  <c r="V30" i="41"/>
  <c r="W30" i="41"/>
  <c r="X30" i="41"/>
  <c r="Y30" i="41"/>
  <c r="Z30" i="41"/>
  <c r="AA30" i="41"/>
  <c r="AB30" i="41"/>
  <c r="AC30" i="41"/>
  <c r="AD30" i="41"/>
  <c r="AE30" i="41"/>
  <c r="AF30" i="41"/>
  <c r="D31" i="41"/>
  <c r="E31" i="41"/>
  <c r="F31" i="41"/>
  <c r="G31" i="41"/>
  <c r="H31" i="41"/>
  <c r="I31" i="41"/>
  <c r="J31" i="41"/>
  <c r="K31" i="41"/>
  <c r="L31" i="41"/>
  <c r="M31" i="41"/>
  <c r="N31" i="41"/>
  <c r="O31" i="41"/>
  <c r="P31" i="41"/>
  <c r="Q31" i="41"/>
  <c r="R31" i="41"/>
  <c r="S31" i="41"/>
  <c r="T31" i="41"/>
  <c r="U31" i="41"/>
  <c r="V31" i="41"/>
  <c r="W31" i="41"/>
  <c r="X31" i="41"/>
  <c r="Y31" i="41"/>
  <c r="Z31" i="41"/>
  <c r="AA31" i="41"/>
  <c r="AB31" i="41"/>
  <c r="AC31" i="41"/>
  <c r="AD31" i="41"/>
  <c r="AE31" i="41"/>
  <c r="AF31" i="41"/>
  <c r="D32" i="41"/>
  <c r="E32" i="41"/>
  <c r="F32" i="41"/>
  <c r="G32" i="41"/>
  <c r="H32" i="41"/>
  <c r="I32" i="41"/>
  <c r="J32" i="41"/>
  <c r="K32" i="41"/>
  <c r="L32" i="41"/>
  <c r="M32" i="41"/>
  <c r="N32" i="41"/>
  <c r="O32" i="41"/>
  <c r="P32" i="41"/>
  <c r="Q32" i="41"/>
  <c r="R32" i="41"/>
  <c r="S32" i="41"/>
  <c r="T32" i="41"/>
  <c r="U32" i="41"/>
  <c r="V32" i="41"/>
  <c r="W32" i="41"/>
  <c r="X32" i="41"/>
  <c r="Y32" i="41"/>
  <c r="Z32" i="41"/>
  <c r="AA32" i="41"/>
  <c r="AB32" i="41"/>
  <c r="AC32" i="41"/>
  <c r="AD32" i="41"/>
  <c r="AE32" i="41"/>
  <c r="AF32" i="41"/>
  <c r="D33" i="41"/>
  <c r="E33" i="41"/>
  <c r="F33" i="41"/>
  <c r="G33" i="41"/>
  <c r="H33" i="41"/>
  <c r="I33" i="41"/>
  <c r="J33" i="41"/>
  <c r="K33" i="41"/>
  <c r="L33" i="41"/>
  <c r="M33" i="41"/>
  <c r="N33" i="41"/>
  <c r="O33" i="41"/>
  <c r="P33" i="41"/>
  <c r="Q33" i="41"/>
  <c r="R33" i="41"/>
  <c r="S33" i="41"/>
  <c r="T33" i="41"/>
  <c r="U33" i="41"/>
  <c r="V33" i="41"/>
  <c r="W33" i="41"/>
  <c r="X33" i="41"/>
  <c r="Y33" i="41"/>
  <c r="Z33" i="41"/>
  <c r="AA33" i="41"/>
  <c r="AB33" i="41"/>
  <c r="AC33" i="41"/>
  <c r="AD33" i="41"/>
  <c r="AE33" i="41"/>
  <c r="AF33" i="41"/>
  <c r="D34" i="41"/>
  <c r="E34" i="41"/>
  <c r="F34" i="41"/>
  <c r="G34" i="41"/>
  <c r="H34" i="41"/>
  <c r="I34" i="41"/>
  <c r="J34" i="41"/>
  <c r="K34" i="41"/>
  <c r="L34" i="41"/>
  <c r="M34" i="41"/>
  <c r="N34" i="41"/>
  <c r="O34" i="41"/>
  <c r="P34" i="41"/>
  <c r="Q34" i="41"/>
  <c r="R34" i="41"/>
  <c r="S34" i="41"/>
  <c r="T34" i="41"/>
  <c r="U34" i="41"/>
  <c r="V34" i="41"/>
  <c r="W34" i="41"/>
  <c r="X34" i="41"/>
  <c r="Y34" i="41"/>
  <c r="Z34" i="41"/>
  <c r="AA34" i="41"/>
  <c r="AB34" i="41"/>
  <c r="AC34" i="41"/>
  <c r="AD34" i="41"/>
  <c r="AE34" i="41"/>
  <c r="AF34" i="41"/>
  <c r="D35" i="41"/>
  <c r="E35" i="41"/>
  <c r="F35" i="41"/>
  <c r="G35" i="41"/>
  <c r="H35" i="41"/>
  <c r="I35" i="41"/>
  <c r="J35" i="41"/>
  <c r="K35" i="41"/>
  <c r="L35" i="41"/>
  <c r="M35" i="41"/>
  <c r="N35" i="41"/>
  <c r="O35" i="41"/>
  <c r="P35" i="41"/>
  <c r="Q35" i="41"/>
  <c r="R35" i="41"/>
  <c r="S35" i="41"/>
  <c r="T35" i="41"/>
  <c r="U35" i="41"/>
  <c r="V35" i="41"/>
  <c r="W35" i="41"/>
  <c r="X35" i="41"/>
  <c r="Y35" i="41"/>
  <c r="Z35" i="41"/>
  <c r="AA35" i="41"/>
  <c r="AB35" i="41"/>
  <c r="AC35" i="41"/>
  <c r="AD35" i="41"/>
  <c r="AE35" i="41"/>
  <c r="AF35" i="41"/>
  <c r="D36" i="41"/>
  <c r="E36" i="41"/>
  <c r="F36" i="41"/>
  <c r="G36" i="41"/>
  <c r="H36" i="41"/>
  <c r="I36" i="41"/>
  <c r="J36" i="41"/>
  <c r="K36" i="41"/>
  <c r="L36" i="41"/>
  <c r="M36" i="41"/>
  <c r="N36" i="41"/>
  <c r="O36" i="41"/>
  <c r="P36" i="41"/>
  <c r="Q36" i="41"/>
  <c r="R36" i="41"/>
  <c r="S36" i="41"/>
  <c r="T36" i="41"/>
  <c r="U36" i="41"/>
  <c r="V36" i="41"/>
  <c r="W36" i="41"/>
  <c r="X36" i="41"/>
  <c r="Y36" i="41"/>
  <c r="Z36" i="41"/>
  <c r="AA36" i="41"/>
  <c r="AB36" i="41"/>
  <c r="AC36" i="41"/>
  <c r="AD36" i="41"/>
  <c r="AE36" i="41"/>
  <c r="AF36" i="41"/>
  <c r="D37" i="41"/>
  <c r="E37" i="41"/>
  <c r="F37" i="41"/>
  <c r="G37" i="41"/>
  <c r="H37" i="41"/>
  <c r="I37" i="41"/>
  <c r="J37" i="41"/>
  <c r="K37" i="41"/>
  <c r="L37" i="41"/>
  <c r="M37" i="41"/>
  <c r="N37" i="41"/>
  <c r="O37" i="41"/>
  <c r="P37" i="41"/>
  <c r="Q37" i="41"/>
  <c r="R37" i="41"/>
  <c r="S37" i="41"/>
  <c r="T37" i="41"/>
  <c r="U37" i="41"/>
  <c r="V37" i="41"/>
  <c r="W37" i="41"/>
  <c r="X37" i="41"/>
  <c r="Y37" i="41"/>
  <c r="Z37" i="41"/>
  <c r="AA37" i="41"/>
  <c r="AB37" i="41"/>
  <c r="AC37" i="41"/>
  <c r="AD37" i="41"/>
  <c r="AE37" i="41"/>
  <c r="AF37" i="41"/>
  <c r="D38" i="41"/>
  <c r="E38" i="41"/>
  <c r="F38" i="41"/>
  <c r="G38" i="41"/>
  <c r="H38" i="41"/>
  <c r="I38" i="41"/>
  <c r="J38" i="41"/>
  <c r="K38" i="41"/>
  <c r="L38" i="41"/>
  <c r="M38" i="41"/>
  <c r="N38" i="41"/>
  <c r="O38" i="41"/>
  <c r="P38" i="41"/>
  <c r="Q38" i="41"/>
  <c r="R38" i="41"/>
  <c r="S38" i="41"/>
  <c r="T38" i="41"/>
  <c r="U38" i="41"/>
  <c r="V38" i="41"/>
  <c r="W38" i="41"/>
  <c r="X38" i="41"/>
  <c r="Y38" i="41"/>
  <c r="Z38" i="41"/>
  <c r="AA38" i="41"/>
  <c r="AB38" i="41"/>
  <c r="AC38" i="41"/>
  <c r="AD38" i="41"/>
  <c r="AE38" i="41"/>
  <c r="AF38" i="41"/>
  <c r="D39" i="41"/>
  <c r="E39" i="41"/>
  <c r="F39" i="41"/>
  <c r="G39" i="41"/>
  <c r="H39" i="41"/>
  <c r="I39" i="41"/>
  <c r="J39" i="41"/>
  <c r="K39" i="41"/>
  <c r="L39" i="41"/>
  <c r="M39" i="41"/>
  <c r="N39" i="41"/>
  <c r="O39" i="41"/>
  <c r="P39" i="41"/>
  <c r="Q39" i="41"/>
  <c r="R39" i="41"/>
  <c r="S39" i="41"/>
  <c r="T39" i="41"/>
  <c r="U39" i="41"/>
  <c r="V39" i="41"/>
  <c r="W39" i="41"/>
  <c r="X39" i="41"/>
  <c r="Y39" i="41"/>
  <c r="Z39" i="41"/>
  <c r="AA39" i="41"/>
  <c r="AB39" i="41"/>
  <c r="AC39" i="41"/>
  <c r="AD39" i="41"/>
  <c r="AE39" i="41"/>
  <c r="AF39" i="41"/>
  <c r="D41" i="41"/>
  <c r="E41" i="41"/>
  <c r="F41" i="41"/>
  <c r="G41" i="41"/>
  <c r="H41" i="41"/>
  <c r="I41" i="41"/>
  <c r="J41" i="41"/>
  <c r="K41" i="41"/>
  <c r="L41" i="41"/>
  <c r="M41" i="41"/>
  <c r="N41" i="41"/>
  <c r="O41" i="41"/>
  <c r="P41" i="41"/>
  <c r="Q41" i="41"/>
  <c r="R41" i="41"/>
  <c r="S41" i="41"/>
  <c r="T41" i="41"/>
  <c r="U41" i="41"/>
  <c r="V41" i="41"/>
  <c r="W41" i="41"/>
  <c r="X41" i="41"/>
  <c r="Y41" i="41"/>
  <c r="Z41" i="41"/>
  <c r="AA41" i="41"/>
  <c r="AB41" i="41"/>
  <c r="AC41" i="41"/>
  <c r="AD41" i="41"/>
  <c r="AE41" i="41"/>
  <c r="AF41" i="41"/>
  <c r="D42" i="41"/>
  <c r="E42" i="41"/>
  <c r="F42" i="41"/>
  <c r="G42" i="41"/>
  <c r="H42" i="41"/>
  <c r="I42" i="41"/>
  <c r="J42" i="41"/>
  <c r="K42" i="41"/>
  <c r="L42" i="41"/>
  <c r="M42" i="41"/>
  <c r="N42" i="41"/>
  <c r="O42" i="41"/>
  <c r="P42" i="41"/>
  <c r="Q42" i="41"/>
  <c r="R42" i="41"/>
  <c r="S42" i="41"/>
  <c r="T42" i="41"/>
  <c r="U42" i="41"/>
  <c r="V42" i="41"/>
  <c r="W42" i="41"/>
  <c r="X42" i="41"/>
  <c r="Y42" i="41"/>
  <c r="Z42" i="41"/>
  <c r="AA42" i="41"/>
  <c r="AB42" i="41"/>
  <c r="AC42" i="41"/>
  <c r="AD42" i="41"/>
  <c r="AE42" i="41"/>
  <c r="AF42" i="41"/>
  <c r="D43" i="41"/>
  <c r="E43" i="41"/>
  <c r="F43" i="41"/>
  <c r="G43" i="41"/>
  <c r="H43" i="41"/>
  <c r="I43" i="41"/>
  <c r="J43" i="41"/>
  <c r="K43" i="41"/>
  <c r="L43" i="41"/>
  <c r="M43" i="41"/>
  <c r="N43" i="41"/>
  <c r="O43" i="41"/>
  <c r="P43" i="41"/>
  <c r="Q43" i="41"/>
  <c r="R43" i="41"/>
  <c r="S43" i="41"/>
  <c r="T43" i="41"/>
  <c r="U43" i="41"/>
  <c r="V43" i="41"/>
  <c r="W43" i="41"/>
  <c r="X43" i="41"/>
  <c r="Y43" i="41"/>
  <c r="Z43" i="41"/>
  <c r="AA43" i="41"/>
  <c r="AB43" i="41"/>
  <c r="AC43" i="41"/>
  <c r="AD43" i="41"/>
  <c r="AE43" i="41"/>
  <c r="AF43" i="41"/>
  <c r="D44" i="41"/>
  <c r="E44" i="41"/>
  <c r="F44" i="41"/>
  <c r="G44" i="41"/>
  <c r="H44" i="41"/>
  <c r="I44" i="41"/>
  <c r="J44" i="41"/>
  <c r="K44" i="41"/>
  <c r="L44" i="41"/>
  <c r="M44" i="41"/>
  <c r="N44" i="41"/>
  <c r="O44" i="41"/>
  <c r="P44" i="41"/>
  <c r="Q44" i="41"/>
  <c r="R44" i="41"/>
  <c r="S44" i="41"/>
  <c r="T44" i="41"/>
  <c r="U44" i="41"/>
  <c r="V44" i="41"/>
  <c r="W44" i="41"/>
  <c r="X44" i="41"/>
  <c r="Y44" i="41"/>
  <c r="Z44" i="41"/>
  <c r="AA44" i="41"/>
  <c r="AB44" i="41"/>
  <c r="AC44" i="41"/>
  <c r="AD44" i="41"/>
  <c r="AE44" i="41"/>
  <c r="AF44" i="41"/>
  <c r="D45" i="41"/>
  <c r="E45" i="41"/>
  <c r="F45" i="41"/>
  <c r="G45" i="41"/>
  <c r="H45" i="41"/>
  <c r="I45" i="41"/>
  <c r="J45" i="41"/>
  <c r="K45" i="41"/>
  <c r="L45" i="41"/>
  <c r="M45" i="41"/>
  <c r="N45" i="41"/>
  <c r="O45" i="41"/>
  <c r="P45" i="41"/>
  <c r="Q45" i="41"/>
  <c r="R45" i="41"/>
  <c r="S45" i="41"/>
  <c r="T45" i="41"/>
  <c r="U45" i="41"/>
  <c r="V45" i="41"/>
  <c r="W45" i="41"/>
  <c r="X45" i="41"/>
  <c r="Y45" i="41"/>
  <c r="Z45" i="41"/>
  <c r="AA45" i="41"/>
  <c r="AB45" i="41"/>
  <c r="AC45" i="41"/>
  <c r="AD45" i="41"/>
  <c r="AE45" i="41"/>
  <c r="AF45" i="41"/>
  <c r="D46" i="41"/>
  <c r="E46" i="41"/>
  <c r="F46" i="41"/>
  <c r="G46" i="41"/>
  <c r="H46" i="41"/>
  <c r="I46" i="41"/>
  <c r="J46" i="41"/>
  <c r="K46" i="41"/>
  <c r="L46" i="41"/>
  <c r="M46" i="41"/>
  <c r="N46" i="41"/>
  <c r="O46" i="41"/>
  <c r="P46" i="41"/>
  <c r="Q46" i="41"/>
  <c r="R46" i="41"/>
  <c r="S46" i="41"/>
  <c r="T46" i="41"/>
  <c r="U46" i="41"/>
  <c r="V46" i="41"/>
  <c r="W46" i="41"/>
  <c r="X46" i="41"/>
  <c r="Y46" i="41"/>
  <c r="Z46" i="41"/>
  <c r="AA46" i="41"/>
  <c r="AB46" i="41"/>
  <c r="AC46" i="41"/>
  <c r="AD46" i="41"/>
  <c r="AE46" i="41"/>
  <c r="AF46" i="41"/>
  <c r="D47" i="41"/>
  <c r="E47" i="41"/>
  <c r="F47" i="41"/>
  <c r="G47" i="41"/>
  <c r="H47" i="41"/>
  <c r="I47" i="41"/>
  <c r="J47" i="41"/>
  <c r="K47" i="41"/>
  <c r="L47" i="41"/>
  <c r="M47" i="41"/>
  <c r="N47" i="41"/>
  <c r="O47" i="41"/>
  <c r="P47" i="41"/>
  <c r="Q47" i="41"/>
  <c r="R47" i="41"/>
  <c r="S47" i="41"/>
  <c r="T47" i="41"/>
  <c r="U47" i="41"/>
  <c r="V47" i="41"/>
  <c r="W47" i="41"/>
  <c r="X47" i="41"/>
  <c r="Y47" i="41"/>
  <c r="Z47" i="41"/>
  <c r="AA47" i="41"/>
  <c r="AB47" i="41"/>
  <c r="AC47" i="41"/>
  <c r="AD47" i="41"/>
  <c r="AE47" i="41"/>
  <c r="AF47" i="41"/>
  <c r="D48" i="41"/>
  <c r="E48" i="41"/>
  <c r="F48" i="41"/>
  <c r="G48" i="41"/>
  <c r="H48" i="41"/>
  <c r="I48" i="41"/>
  <c r="J48" i="41"/>
  <c r="K48" i="41"/>
  <c r="L48" i="41"/>
  <c r="M48" i="41"/>
  <c r="N48" i="41"/>
  <c r="O48" i="41"/>
  <c r="P48" i="41"/>
  <c r="Q48" i="41"/>
  <c r="R48" i="41"/>
  <c r="S48" i="41"/>
  <c r="T48" i="41"/>
  <c r="U48" i="41"/>
  <c r="V48" i="41"/>
  <c r="W48" i="41"/>
  <c r="X48" i="41"/>
  <c r="Y48" i="41"/>
  <c r="Z48" i="41"/>
  <c r="AA48" i="41"/>
  <c r="AB48" i="41"/>
  <c r="AC48" i="41"/>
  <c r="AD48" i="41"/>
  <c r="AE48" i="41"/>
  <c r="AF48" i="41"/>
  <c r="D49" i="41"/>
  <c r="E49" i="41"/>
  <c r="F49" i="41"/>
  <c r="G49" i="41"/>
  <c r="H49" i="41"/>
  <c r="I49" i="41"/>
  <c r="J49" i="41"/>
  <c r="K49" i="41"/>
  <c r="L49" i="41"/>
  <c r="M49" i="41"/>
  <c r="N49" i="41"/>
  <c r="O49" i="41"/>
  <c r="P49" i="41"/>
  <c r="Q49" i="41"/>
  <c r="R49" i="41"/>
  <c r="S49" i="41"/>
  <c r="T49" i="41"/>
  <c r="U49" i="41"/>
  <c r="V49" i="41"/>
  <c r="W49" i="41"/>
  <c r="X49" i="41"/>
  <c r="Y49" i="41"/>
  <c r="Z49" i="41"/>
  <c r="AA49" i="41"/>
  <c r="AB49" i="41"/>
  <c r="AC49" i="41"/>
  <c r="AD49" i="41"/>
  <c r="AE49" i="41"/>
  <c r="AF49" i="41"/>
  <c r="D50" i="41"/>
  <c r="E50" i="41"/>
  <c r="F50" i="41"/>
  <c r="G50" i="41"/>
  <c r="H50" i="41"/>
  <c r="I50" i="41"/>
  <c r="J50" i="41"/>
  <c r="K50" i="41"/>
  <c r="L50" i="41"/>
  <c r="M50" i="41"/>
  <c r="N50" i="41"/>
  <c r="O50" i="41"/>
  <c r="P50" i="41"/>
  <c r="Q50" i="41"/>
  <c r="R50" i="41"/>
  <c r="S50" i="41"/>
  <c r="T50" i="41"/>
  <c r="U50" i="41"/>
  <c r="V50" i="41"/>
  <c r="W50" i="41"/>
  <c r="X50" i="41"/>
  <c r="Y50" i="41"/>
  <c r="Z50" i="41"/>
  <c r="AA50" i="41"/>
  <c r="AB50" i="41"/>
  <c r="AC50" i="41"/>
  <c r="AD50" i="41"/>
  <c r="AE50" i="41"/>
  <c r="AF50" i="41"/>
  <c r="D51" i="41"/>
  <c r="E51" i="41"/>
  <c r="F51" i="41"/>
  <c r="G51" i="41"/>
  <c r="H51" i="41"/>
  <c r="I51" i="41"/>
  <c r="J51" i="41"/>
  <c r="K51" i="41"/>
  <c r="L51" i="41"/>
  <c r="M51" i="41"/>
  <c r="N51" i="41"/>
  <c r="O51" i="41"/>
  <c r="P51" i="41"/>
  <c r="Q51" i="41"/>
  <c r="R51" i="41"/>
  <c r="S51" i="41"/>
  <c r="T51" i="41"/>
  <c r="U51" i="41"/>
  <c r="V51" i="41"/>
  <c r="W51" i="41"/>
  <c r="X51" i="41"/>
  <c r="Y51" i="41"/>
  <c r="Z51" i="41"/>
  <c r="AA51" i="41"/>
  <c r="AB51" i="41"/>
  <c r="AC51" i="41"/>
  <c r="AD51" i="41"/>
  <c r="AE51" i="41"/>
  <c r="AF51" i="41"/>
  <c r="D55" i="41"/>
  <c r="E55" i="41"/>
  <c r="F55" i="41"/>
  <c r="G55" i="41"/>
  <c r="H55" i="41"/>
  <c r="I55" i="41"/>
  <c r="J55" i="41"/>
  <c r="K55" i="41"/>
  <c r="L55" i="41"/>
  <c r="M55" i="41"/>
  <c r="N55" i="41"/>
  <c r="O55" i="41"/>
  <c r="P55" i="41"/>
  <c r="Q55" i="41"/>
  <c r="R55" i="41"/>
  <c r="S55" i="41"/>
  <c r="T55" i="41"/>
  <c r="U55" i="41"/>
  <c r="V55" i="41"/>
  <c r="W55" i="41"/>
  <c r="X55" i="41"/>
  <c r="Y55" i="41"/>
  <c r="Z55" i="41"/>
  <c r="AA55" i="41"/>
  <c r="AB55" i="41"/>
  <c r="AC55" i="41"/>
  <c r="AD55" i="41"/>
  <c r="AE55" i="41"/>
  <c r="AF55" i="41"/>
  <c r="D56" i="41"/>
  <c r="E56" i="41"/>
  <c r="F56" i="41"/>
  <c r="G56" i="41"/>
  <c r="H56" i="41"/>
  <c r="I56" i="41"/>
  <c r="J56" i="41"/>
  <c r="K56" i="41"/>
  <c r="L56" i="41"/>
  <c r="M56" i="41"/>
  <c r="N56" i="41"/>
  <c r="O56" i="41"/>
  <c r="P56" i="41"/>
  <c r="Q56" i="41"/>
  <c r="R56" i="41"/>
  <c r="S56" i="41"/>
  <c r="T56" i="41"/>
  <c r="U56" i="41"/>
  <c r="V56" i="41"/>
  <c r="W56" i="41"/>
  <c r="X56" i="41"/>
  <c r="Y56" i="41"/>
  <c r="Z56" i="41"/>
  <c r="AA56" i="41"/>
  <c r="AB56" i="41"/>
  <c r="AC56" i="41"/>
  <c r="AD56" i="41"/>
  <c r="AE56" i="41"/>
  <c r="AF56" i="41"/>
  <c r="D57" i="41"/>
  <c r="E57" i="41"/>
  <c r="F57" i="41"/>
  <c r="G57" i="41"/>
  <c r="H57" i="41"/>
  <c r="I57" i="41"/>
  <c r="J57" i="41"/>
  <c r="K57" i="41"/>
  <c r="L57" i="41"/>
  <c r="M57" i="41"/>
  <c r="N57" i="41"/>
  <c r="O57" i="41"/>
  <c r="P57" i="41"/>
  <c r="Q57" i="41"/>
  <c r="R57" i="41"/>
  <c r="S57" i="41"/>
  <c r="T57" i="41"/>
  <c r="U57" i="41"/>
  <c r="V57" i="41"/>
  <c r="W57" i="41"/>
  <c r="X57" i="41"/>
  <c r="Y57" i="41"/>
  <c r="Z57" i="41"/>
  <c r="AA57" i="41"/>
  <c r="AB57" i="41"/>
  <c r="AC57" i="41"/>
  <c r="AD57" i="41"/>
  <c r="AE57" i="41"/>
  <c r="AF57" i="41"/>
  <c r="D58" i="41"/>
  <c r="E58" i="41"/>
  <c r="F58" i="41"/>
  <c r="G58" i="41"/>
  <c r="H58" i="41"/>
  <c r="I58" i="41"/>
  <c r="J58" i="41"/>
  <c r="K58" i="41"/>
  <c r="L58" i="41"/>
  <c r="M58" i="41"/>
  <c r="N58" i="41"/>
  <c r="O58" i="41"/>
  <c r="P58" i="41"/>
  <c r="Q58" i="41"/>
  <c r="R58" i="41"/>
  <c r="S58" i="41"/>
  <c r="T58" i="41"/>
  <c r="U58" i="41"/>
  <c r="V58" i="41"/>
  <c r="W58" i="41"/>
  <c r="X58" i="41"/>
  <c r="Y58" i="41"/>
  <c r="Z58" i="41"/>
  <c r="AA58" i="41"/>
  <c r="AB58" i="41"/>
  <c r="AC58" i="41"/>
  <c r="AD58" i="41"/>
  <c r="AE58" i="41"/>
  <c r="AF58" i="41"/>
  <c r="D59" i="41"/>
  <c r="E59" i="41"/>
  <c r="F59" i="41"/>
  <c r="G59" i="41"/>
  <c r="H59" i="41"/>
  <c r="I59" i="41"/>
  <c r="J59" i="41"/>
  <c r="K59" i="41"/>
  <c r="L59" i="41"/>
  <c r="M59" i="41"/>
  <c r="N59" i="41"/>
  <c r="O59" i="41"/>
  <c r="P59" i="41"/>
  <c r="Q59" i="41"/>
  <c r="R59" i="41"/>
  <c r="S59" i="41"/>
  <c r="T59" i="41"/>
  <c r="U59" i="41"/>
  <c r="V59" i="41"/>
  <c r="W59" i="41"/>
  <c r="X59" i="41"/>
  <c r="Y59" i="41"/>
  <c r="Z59" i="41"/>
  <c r="AA59" i="41"/>
  <c r="AB59" i="41"/>
  <c r="AC59" i="41"/>
  <c r="AD59" i="41"/>
  <c r="AE59" i="41"/>
  <c r="AF59" i="41"/>
  <c r="D60" i="41"/>
  <c r="E60" i="41"/>
  <c r="F60" i="41"/>
  <c r="G60" i="41"/>
  <c r="H60" i="41"/>
  <c r="I60" i="41"/>
  <c r="J60" i="41"/>
  <c r="K60" i="41"/>
  <c r="L60" i="41"/>
  <c r="M60" i="41"/>
  <c r="N60" i="41"/>
  <c r="O60" i="41"/>
  <c r="P60" i="41"/>
  <c r="Q60" i="41"/>
  <c r="R60" i="41"/>
  <c r="S60" i="41"/>
  <c r="T60" i="41"/>
  <c r="U60" i="41"/>
  <c r="V60" i="41"/>
  <c r="W60" i="41"/>
  <c r="X60" i="41"/>
  <c r="Y60" i="41"/>
  <c r="Z60" i="41"/>
  <c r="AA60" i="41"/>
  <c r="AB60" i="41"/>
  <c r="AC60" i="41"/>
  <c r="AD60" i="41"/>
  <c r="AE60" i="41"/>
  <c r="AF60" i="41"/>
  <c r="D61" i="41"/>
  <c r="E61" i="41"/>
  <c r="F61" i="41"/>
  <c r="G61" i="41"/>
  <c r="H61" i="41"/>
  <c r="I61" i="41"/>
  <c r="J61" i="41"/>
  <c r="K61" i="41"/>
  <c r="L61" i="41"/>
  <c r="M61" i="41"/>
  <c r="N61" i="41"/>
  <c r="O61" i="41"/>
  <c r="P61" i="41"/>
  <c r="Q61" i="41"/>
  <c r="R61" i="41"/>
  <c r="S61" i="41"/>
  <c r="T61" i="41"/>
  <c r="U61" i="41"/>
  <c r="V61" i="41"/>
  <c r="W61" i="41"/>
  <c r="X61" i="41"/>
  <c r="Y61" i="41"/>
  <c r="Z61" i="41"/>
  <c r="AA61" i="41"/>
  <c r="AB61" i="41"/>
  <c r="AC61" i="41"/>
  <c r="AD61" i="41"/>
  <c r="AE61" i="41"/>
  <c r="AF61" i="41"/>
  <c r="D62" i="41"/>
  <c r="E62" i="41"/>
  <c r="F62" i="41"/>
  <c r="G62" i="41"/>
  <c r="H62" i="41"/>
  <c r="I62" i="41"/>
  <c r="J62" i="41"/>
  <c r="K62" i="41"/>
  <c r="L62" i="41"/>
  <c r="M62" i="41"/>
  <c r="N62" i="41"/>
  <c r="O62" i="41"/>
  <c r="P62" i="41"/>
  <c r="Q62" i="41"/>
  <c r="R62" i="41"/>
  <c r="S62" i="41"/>
  <c r="T62" i="41"/>
  <c r="U62" i="41"/>
  <c r="V62" i="41"/>
  <c r="W62" i="41"/>
  <c r="X62" i="41"/>
  <c r="Y62" i="41"/>
  <c r="Z62" i="41"/>
  <c r="AA62" i="41"/>
  <c r="AB62" i="41"/>
  <c r="AC62" i="41"/>
  <c r="AD62" i="41"/>
  <c r="AE62" i="41"/>
  <c r="AF62" i="41"/>
  <c r="D63" i="41"/>
  <c r="E63" i="41"/>
  <c r="F63" i="41"/>
  <c r="G63" i="41"/>
  <c r="H63" i="41"/>
  <c r="I63" i="41"/>
  <c r="J63" i="41"/>
  <c r="K63" i="41"/>
  <c r="L63" i="41"/>
  <c r="M63" i="41"/>
  <c r="N63" i="41"/>
  <c r="O63" i="41"/>
  <c r="P63" i="41"/>
  <c r="Q63" i="41"/>
  <c r="R63" i="41"/>
  <c r="S63" i="41"/>
  <c r="T63" i="41"/>
  <c r="U63" i="41"/>
  <c r="V63" i="41"/>
  <c r="W63" i="41"/>
  <c r="X63" i="41"/>
  <c r="Y63" i="41"/>
  <c r="Z63" i="41"/>
  <c r="AA63" i="41"/>
  <c r="AB63" i="41"/>
  <c r="AC63" i="41"/>
  <c r="AD63" i="41"/>
  <c r="AE63" i="41"/>
  <c r="AF63" i="41"/>
  <c r="D64" i="41"/>
  <c r="E64" i="41"/>
  <c r="F64" i="41"/>
  <c r="G64" i="41"/>
  <c r="H64" i="41"/>
  <c r="I64" i="41"/>
  <c r="J64" i="41"/>
  <c r="K64" i="41"/>
  <c r="L64" i="41"/>
  <c r="M64" i="41"/>
  <c r="N64" i="41"/>
  <c r="O64" i="41"/>
  <c r="P64" i="41"/>
  <c r="Q64" i="41"/>
  <c r="R64" i="41"/>
  <c r="S64" i="41"/>
  <c r="T64" i="41"/>
  <c r="U64" i="41"/>
  <c r="V64" i="41"/>
  <c r="W64" i="41"/>
  <c r="X64" i="41"/>
  <c r="Y64" i="41"/>
  <c r="Z64" i="41"/>
  <c r="AA64" i="41"/>
  <c r="AB64" i="41"/>
  <c r="AC64" i="41"/>
  <c r="AD64" i="41"/>
  <c r="AE64" i="41"/>
  <c r="AF64" i="41"/>
  <c r="D66" i="41"/>
  <c r="E66" i="41"/>
  <c r="F66" i="41"/>
  <c r="G66" i="41"/>
  <c r="H66" i="41"/>
  <c r="I66" i="41"/>
  <c r="J66" i="41"/>
  <c r="K66" i="41"/>
  <c r="L66" i="41"/>
  <c r="M66" i="41"/>
  <c r="N66" i="41"/>
  <c r="O66" i="41"/>
  <c r="P66" i="41"/>
  <c r="Q66" i="41"/>
  <c r="R66" i="41"/>
  <c r="S66" i="41"/>
  <c r="T66" i="41"/>
  <c r="U66" i="41"/>
  <c r="V66" i="41"/>
  <c r="W66" i="41"/>
  <c r="X66" i="41"/>
  <c r="Y66" i="41"/>
  <c r="Z66" i="41"/>
  <c r="AA66" i="41"/>
  <c r="AB66" i="41"/>
  <c r="AC66" i="41"/>
  <c r="AD66" i="41"/>
  <c r="AE66" i="41"/>
  <c r="AF66" i="41"/>
  <c r="D67" i="41"/>
  <c r="E67" i="41"/>
  <c r="F67" i="41"/>
  <c r="G67" i="41"/>
  <c r="H67" i="41"/>
  <c r="I67" i="41"/>
  <c r="J67" i="41"/>
  <c r="K67" i="41"/>
  <c r="L67" i="41"/>
  <c r="M67" i="41"/>
  <c r="N67" i="41"/>
  <c r="O67" i="41"/>
  <c r="P67" i="41"/>
  <c r="Q67" i="41"/>
  <c r="R67" i="41"/>
  <c r="S67" i="41"/>
  <c r="T67" i="41"/>
  <c r="U67" i="41"/>
  <c r="V67" i="41"/>
  <c r="W67" i="41"/>
  <c r="X67" i="41"/>
  <c r="Y67" i="41"/>
  <c r="Z67" i="41"/>
  <c r="AA67" i="41"/>
  <c r="AB67" i="41"/>
  <c r="AC67" i="41"/>
  <c r="AD67" i="41"/>
  <c r="AE67" i="41"/>
  <c r="AF67" i="41"/>
  <c r="D68" i="41"/>
  <c r="E68" i="41"/>
  <c r="F68" i="41"/>
  <c r="G68" i="41"/>
  <c r="H68" i="41"/>
  <c r="I68" i="41"/>
  <c r="J68" i="41"/>
  <c r="K68" i="41"/>
  <c r="L68" i="41"/>
  <c r="M68" i="41"/>
  <c r="N68" i="41"/>
  <c r="O68" i="41"/>
  <c r="P68" i="41"/>
  <c r="Q68" i="41"/>
  <c r="R68" i="41"/>
  <c r="S68" i="41"/>
  <c r="T68" i="41"/>
  <c r="U68" i="41"/>
  <c r="V68" i="41"/>
  <c r="W68" i="41"/>
  <c r="X68" i="41"/>
  <c r="Y68" i="41"/>
  <c r="Z68" i="41"/>
  <c r="AA68" i="41"/>
  <c r="AB68" i="41"/>
  <c r="AC68" i="41"/>
  <c r="AD68" i="41"/>
  <c r="AE68" i="41"/>
  <c r="AF68" i="41"/>
  <c r="D69" i="41"/>
  <c r="E69" i="41"/>
  <c r="F69" i="41"/>
  <c r="G69" i="41"/>
  <c r="H69" i="41"/>
  <c r="I69" i="41"/>
  <c r="J69" i="41"/>
  <c r="K69" i="41"/>
  <c r="L69" i="41"/>
  <c r="M69" i="41"/>
  <c r="N69" i="41"/>
  <c r="O69" i="41"/>
  <c r="P69" i="41"/>
  <c r="Q69" i="41"/>
  <c r="R69" i="41"/>
  <c r="S69" i="41"/>
  <c r="T69" i="41"/>
  <c r="U69" i="41"/>
  <c r="V69" i="41"/>
  <c r="W69" i="41"/>
  <c r="X69" i="41"/>
  <c r="Y69" i="41"/>
  <c r="Z69" i="41"/>
  <c r="AA69" i="41"/>
  <c r="AB69" i="41"/>
  <c r="AC69" i="41"/>
  <c r="AD69" i="41"/>
  <c r="AE69" i="41"/>
  <c r="AF69" i="41"/>
  <c r="D70" i="41"/>
  <c r="E70" i="41"/>
  <c r="F70" i="41"/>
  <c r="G70" i="41"/>
  <c r="H70" i="41"/>
  <c r="I70" i="41"/>
  <c r="J70" i="41"/>
  <c r="K70" i="41"/>
  <c r="L70" i="41"/>
  <c r="M70" i="41"/>
  <c r="N70" i="41"/>
  <c r="O70" i="41"/>
  <c r="P70" i="41"/>
  <c r="Q70" i="41"/>
  <c r="R70" i="41"/>
  <c r="S70" i="41"/>
  <c r="T70" i="41"/>
  <c r="U70" i="41"/>
  <c r="V70" i="41"/>
  <c r="W70" i="41"/>
  <c r="X70" i="41"/>
  <c r="Y70" i="41"/>
  <c r="Z70" i="41"/>
  <c r="AA70" i="41"/>
  <c r="AB70" i="41"/>
  <c r="AC70" i="41"/>
  <c r="AD70" i="41"/>
  <c r="AE70" i="41"/>
  <c r="AF70" i="41"/>
  <c r="D71" i="41"/>
  <c r="E71" i="41"/>
  <c r="F71" i="41"/>
  <c r="G71" i="41"/>
  <c r="H71" i="41"/>
  <c r="I71" i="41"/>
  <c r="J71" i="41"/>
  <c r="K71" i="41"/>
  <c r="L71" i="41"/>
  <c r="M71" i="41"/>
  <c r="N71" i="41"/>
  <c r="O71" i="41"/>
  <c r="P71" i="41"/>
  <c r="Q71" i="41"/>
  <c r="R71" i="41"/>
  <c r="S71" i="41"/>
  <c r="T71" i="41"/>
  <c r="U71" i="41"/>
  <c r="V71" i="41"/>
  <c r="W71" i="41"/>
  <c r="X71" i="41"/>
  <c r="Y71" i="41"/>
  <c r="Z71" i="41"/>
  <c r="AA71" i="41"/>
  <c r="AB71" i="41"/>
  <c r="AC71" i="41"/>
  <c r="AD71" i="41"/>
  <c r="AE71" i="41"/>
  <c r="AF71" i="41"/>
  <c r="D72" i="41"/>
  <c r="E72" i="41"/>
  <c r="F72" i="41"/>
  <c r="G72" i="41"/>
  <c r="H72" i="41"/>
  <c r="I72" i="41"/>
  <c r="J72" i="41"/>
  <c r="K72" i="41"/>
  <c r="L72" i="41"/>
  <c r="M72" i="41"/>
  <c r="N72" i="41"/>
  <c r="O72" i="41"/>
  <c r="P72" i="41"/>
  <c r="Q72" i="41"/>
  <c r="R72" i="41"/>
  <c r="S72" i="41"/>
  <c r="T72" i="41"/>
  <c r="U72" i="41"/>
  <c r="V72" i="41"/>
  <c r="W72" i="41"/>
  <c r="X72" i="41"/>
  <c r="Y72" i="41"/>
  <c r="Z72" i="41"/>
  <c r="AA72" i="41"/>
  <c r="AB72" i="41"/>
  <c r="AC72" i="41"/>
  <c r="AD72" i="41"/>
  <c r="AE72" i="41"/>
  <c r="AF72" i="41"/>
  <c r="D73" i="41"/>
  <c r="E73" i="41"/>
  <c r="F73" i="41"/>
  <c r="G73" i="41"/>
  <c r="H73" i="41"/>
  <c r="I73" i="41"/>
  <c r="J73" i="41"/>
  <c r="K73" i="41"/>
  <c r="L73" i="41"/>
  <c r="M73" i="41"/>
  <c r="N73" i="41"/>
  <c r="O73" i="41"/>
  <c r="P73" i="41"/>
  <c r="Q73" i="41"/>
  <c r="R73" i="41"/>
  <c r="S73" i="41"/>
  <c r="T73" i="41"/>
  <c r="U73" i="41"/>
  <c r="V73" i="41"/>
  <c r="W73" i="41"/>
  <c r="X73" i="41"/>
  <c r="Y73" i="41"/>
  <c r="Z73" i="41"/>
  <c r="AA73" i="41"/>
  <c r="AB73" i="41"/>
  <c r="AC73" i="41"/>
  <c r="AD73" i="41"/>
  <c r="AE73" i="41"/>
  <c r="AF73" i="41"/>
  <c r="D74" i="41"/>
  <c r="E74" i="41"/>
  <c r="F74" i="41"/>
  <c r="G74" i="41"/>
  <c r="H74" i="41"/>
  <c r="I74" i="41"/>
  <c r="J74" i="41"/>
  <c r="K74" i="41"/>
  <c r="L74" i="41"/>
  <c r="M74" i="41"/>
  <c r="N74" i="41"/>
  <c r="O74" i="41"/>
  <c r="P74" i="41"/>
  <c r="Q74" i="41"/>
  <c r="R74" i="41"/>
  <c r="S74" i="41"/>
  <c r="T74" i="41"/>
  <c r="U74" i="41"/>
  <c r="V74" i="41"/>
  <c r="W74" i="41"/>
  <c r="X74" i="41"/>
  <c r="Y74" i="41"/>
  <c r="Z74" i="41"/>
  <c r="AA74" i="41"/>
  <c r="AB74" i="41"/>
  <c r="AC74" i="41"/>
  <c r="AD74" i="41"/>
  <c r="AE74" i="41"/>
  <c r="AF74" i="41"/>
  <c r="D75" i="41"/>
  <c r="E75" i="41"/>
  <c r="F75" i="41"/>
  <c r="G75" i="41"/>
  <c r="H75" i="41"/>
  <c r="I75" i="41"/>
  <c r="J75" i="41"/>
  <c r="K75" i="41"/>
  <c r="L75" i="41"/>
  <c r="M75" i="41"/>
  <c r="N75" i="41"/>
  <c r="O75" i="41"/>
  <c r="P75" i="41"/>
  <c r="Q75" i="41"/>
  <c r="R75" i="41"/>
  <c r="S75" i="41"/>
  <c r="T75" i="41"/>
  <c r="U75" i="41"/>
  <c r="V75" i="41"/>
  <c r="W75" i="41"/>
  <c r="X75" i="41"/>
  <c r="Y75" i="41"/>
  <c r="Z75" i="41"/>
  <c r="AA75" i="41"/>
  <c r="AB75" i="41"/>
  <c r="AC75" i="41"/>
  <c r="AD75" i="41"/>
  <c r="AE75" i="41"/>
  <c r="AF75" i="41"/>
  <c r="D77" i="41"/>
  <c r="E77" i="41"/>
  <c r="F77" i="41"/>
  <c r="G77" i="41"/>
  <c r="H77" i="41"/>
  <c r="I77" i="41"/>
  <c r="J77" i="41"/>
  <c r="K77" i="41"/>
  <c r="L77" i="41"/>
  <c r="M77" i="41"/>
  <c r="N77" i="41"/>
  <c r="O77" i="41"/>
  <c r="P77" i="41"/>
  <c r="Q77" i="41"/>
  <c r="R77" i="41"/>
  <c r="S77" i="41"/>
  <c r="T77" i="41"/>
  <c r="U77" i="41"/>
  <c r="V77" i="41"/>
  <c r="W77" i="41"/>
  <c r="X77" i="41"/>
  <c r="Y77" i="41"/>
  <c r="Z77" i="41"/>
  <c r="AA77" i="41"/>
  <c r="AB77" i="41"/>
  <c r="AC77" i="41"/>
  <c r="AD77" i="41"/>
  <c r="AE77" i="41"/>
  <c r="AF77" i="41"/>
  <c r="D78" i="41"/>
  <c r="E78" i="41"/>
  <c r="F78" i="41"/>
  <c r="G78" i="41"/>
  <c r="H78" i="41"/>
  <c r="I78" i="41"/>
  <c r="J78" i="41"/>
  <c r="K78" i="41"/>
  <c r="L78" i="41"/>
  <c r="M78" i="41"/>
  <c r="N78" i="41"/>
  <c r="O78" i="41"/>
  <c r="P78" i="41"/>
  <c r="Q78" i="41"/>
  <c r="R78" i="41"/>
  <c r="S78" i="41"/>
  <c r="T78" i="41"/>
  <c r="U78" i="41"/>
  <c r="V78" i="41"/>
  <c r="W78" i="41"/>
  <c r="X78" i="41"/>
  <c r="Y78" i="41"/>
  <c r="Z78" i="41"/>
  <c r="AA78" i="41"/>
  <c r="AB78" i="41"/>
  <c r="AC78" i="41"/>
  <c r="AD78" i="41"/>
  <c r="AE78" i="41"/>
  <c r="AF78" i="41"/>
  <c r="D79" i="41"/>
  <c r="E79" i="41"/>
  <c r="F79" i="41"/>
  <c r="G79" i="41"/>
  <c r="H79" i="41"/>
  <c r="I79" i="41"/>
  <c r="J79" i="41"/>
  <c r="K79" i="41"/>
  <c r="L79" i="41"/>
  <c r="M79" i="41"/>
  <c r="N79" i="41"/>
  <c r="O79" i="41"/>
  <c r="P79" i="41"/>
  <c r="Q79" i="41"/>
  <c r="R79" i="41"/>
  <c r="S79" i="41"/>
  <c r="T79" i="41"/>
  <c r="U79" i="41"/>
  <c r="V79" i="41"/>
  <c r="W79" i="41"/>
  <c r="X79" i="41"/>
  <c r="Y79" i="41"/>
  <c r="Z79" i="41"/>
  <c r="AA79" i="41"/>
  <c r="AB79" i="41"/>
  <c r="AC79" i="41"/>
  <c r="AD79" i="41"/>
  <c r="AE79" i="41"/>
  <c r="AF79" i="41"/>
  <c r="D80" i="41"/>
  <c r="E80" i="41"/>
  <c r="F80" i="41"/>
  <c r="G80" i="41"/>
  <c r="H80" i="41"/>
  <c r="I80" i="41"/>
  <c r="J80" i="41"/>
  <c r="K80" i="41"/>
  <c r="L80" i="41"/>
  <c r="M80" i="41"/>
  <c r="N80" i="41"/>
  <c r="O80" i="41"/>
  <c r="P80" i="41"/>
  <c r="Q80" i="41"/>
  <c r="R80" i="41"/>
  <c r="S80" i="41"/>
  <c r="T80" i="41"/>
  <c r="U80" i="41"/>
  <c r="V80" i="41"/>
  <c r="W80" i="41"/>
  <c r="X80" i="41"/>
  <c r="Y80" i="41"/>
  <c r="Z80" i="41"/>
  <c r="AA80" i="41"/>
  <c r="AB80" i="41"/>
  <c r="AC80" i="41"/>
  <c r="AD80" i="41"/>
  <c r="AE80" i="41"/>
  <c r="AF80" i="41"/>
  <c r="D81" i="41"/>
  <c r="E81" i="41"/>
  <c r="F81" i="41"/>
  <c r="G81" i="41"/>
  <c r="H81" i="41"/>
  <c r="I81" i="41"/>
  <c r="J81" i="41"/>
  <c r="K81" i="41"/>
  <c r="L81" i="41"/>
  <c r="M81" i="41"/>
  <c r="N81" i="41"/>
  <c r="O81" i="41"/>
  <c r="P81" i="41"/>
  <c r="Q81" i="41"/>
  <c r="R81" i="41"/>
  <c r="S81" i="41"/>
  <c r="T81" i="41"/>
  <c r="U81" i="41"/>
  <c r="V81" i="41"/>
  <c r="W81" i="41"/>
  <c r="X81" i="41"/>
  <c r="Y81" i="41"/>
  <c r="Z81" i="41"/>
  <c r="AA81" i="41"/>
  <c r="AB81" i="41"/>
  <c r="AC81" i="41"/>
  <c r="AD81" i="41"/>
  <c r="AE81" i="41"/>
  <c r="AF81" i="41"/>
  <c r="D82" i="41"/>
  <c r="E82" i="41"/>
  <c r="F82" i="41"/>
  <c r="G82" i="41"/>
  <c r="H82" i="41"/>
  <c r="I82" i="41"/>
  <c r="J82" i="41"/>
  <c r="K82" i="41"/>
  <c r="L82" i="41"/>
  <c r="M82" i="41"/>
  <c r="N82" i="41"/>
  <c r="O82" i="41"/>
  <c r="P82" i="41"/>
  <c r="Q82" i="41"/>
  <c r="R82" i="41"/>
  <c r="S82" i="41"/>
  <c r="T82" i="41"/>
  <c r="U82" i="41"/>
  <c r="V82" i="41"/>
  <c r="W82" i="41"/>
  <c r="X82" i="41"/>
  <c r="Y82" i="41"/>
  <c r="Z82" i="41"/>
  <c r="AA82" i="41"/>
  <c r="AB82" i="41"/>
  <c r="AC82" i="41"/>
  <c r="AD82" i="41"/>
  <c r="AE82" i="41"/>
  <c r="AF82" i="41"/>
  <c r="D83" i="41"/>
  <c r="E83" i="41"/>
  <c r="F83" i="41"/>
  <c r="G83" i="41"/>
  <c r="H83" i="41"/>
  <c r="I83" i="41"/>
  <c r="J83" i="41"/>
  <c r="K83" i="41"/>
  <c r="L83" i="41"/>
  <c r="M83" i="41"/>
  <c r="N83" i="41"/>
  <c r="O83" i="41"/>
  <c r="P83" i="41"/>
  <c r="Q83" i="41"/>
  <c r="R83" i="41"/>
  <c r="S83" i="41"/>
  <c r="T83" i="41"/>
  <c r="U83" i="41"/>
  <c r="V83" i="41"/>
  <c r="W83" i="41"/>
  <c r="X83" i="41"/>
  <c r="Y83" i="41"/>
  <c r="Z83" i="41"/>
  <c r="AA83" i="41"/>
  <c r="AB83" i="41"/>
  <c r="AC83" i="41"/>
  <c r="AD83" i="41"/>
  <c r="AE83" i="41"/>
  <c r="AF83" i="41"/>
  <c r="D84" i="41"/>
  <c r="E84" i="41"/>
  <c r="F84" i="41"/>
  <c r="G84" i="41"/>
  <c r="H84" i="41"/>
  <c r="I84" i="41"/>
  <c r="J84" i="41"/>
  <c r="K84" i="41"/>
  <c r="L84" i="41"/>
  <c r="M84" i="41"/>
  <c r="N84" i="41"/>
  <c r="O84" i="41"/>
  <c r="P84" i="41"/>
  <c r="Q84" i="41"/>
  <c r="R84" i="41"/>
  <c r="S84" i="41"/>
  <c r="T84" i="41"/>
  <c r="U84" i="41"/>
  <c r="V84" i="41"/>
  <c r="W84" i="41"/>
  <c r="X84" i="41"/>
  <c r="Y84" i="41"/>
  <c r="Z84" i="41"/>
  <c r="AA84" i="41"/>
  <c r="AB84" i="41"/>
  <c r="AC84" i="41"/>
  <c r="AD84" i="41"/>
  <c r="AE84" i="41"/>
  <c r="AF84" i="41"/>
  <c r="D85" i="41"/>
  <c r="E85" i="41"/>
  <c r="F85" i="41"/>
  <c r="G85" i="41"/>
  <c r="H85" i="41"/>
  <c r="I85" i="41"/>
  <c r="J85" i="41"/>
  <c r="K85" i="41"/>
  <c r="L85" i="41"/>
  <c r="M85" i="41"/>
  <c r="N85" i="41"/>
  <c r="O85" i="41"/>
  <c r="P85" i="41"/>
  <c r="Q85" i="41"/>
  <c r="R85" i="41"/>
  <c r="S85" i="41"/>
  <c r="T85" i="41"/>
  <c r="U85" i="41"/>
  <c r="V85" i="41"/>
  <c r="W85" i="41"/>
  <c r="X85" i="41"/>
  <c r="Y85" i="41"/>
  <c r="Z85" i="41"/>
  <c r="AA85" i="41"/>
  <c r="AB85" i="41"/>
  <c r="AC85" i="41"/>
  <c r="AD85" i="41"/>
  <c r="AE85" i="41"/>
  <c r="AF85" i="41"/>
  <c r="D86" i="41"/>
  <c r="E86" i="41"/>
  <c r="F86" i="41"/>
  <c r="G86" i="41"/>
  <c r="H86" i="41"/>
  <c r="I86" i="41"/>
  <c r="J86" i="41"/>
  <c r="K86" i="41"/>
  <c r="L86" i="41"/>
  <c r="M86" i="41"/>
  <c r="N86" i="41"/>
  <c r="O86" i="41"/>
  <c r="P86" i="41"/>
  <c r="Q86" i="41"/>
  <c r="R86" i="41"/>
  <c r="S86" i="41"/>
  <c r="T86" i="41"/>
  <c r="U86" i="41"/>
  <c r="V86" i="41"/>
  <c r="W86" i="41"/>
  <c r="X86" i="41"/>
  <c r="Y86" i="41"/>
  <c r="Z86" i="41"/>
  <c r="AA86" i="41"/>
  <c r="AB86" i="41"/>
  <c r="AC86" i="41"/>
  <c r="AD86" i="41"/>
  <c r="AE86" i="41"/>
  <c r="AF86" i="41"/>
  <c r="D88" i="41"/>
  <c r="E88" i="41"/>
  <c r="F88" i="41"/>
  <c r="G88" i="41"/>
  <c r="H88" i="41"/>
  <c r="I88" i="41"/>
  <c r="J88" i="41"/>
  <c r="K88" i="41"/>
  <c r="L88" i="41"/>
  <c r="M88" i="41"/>
  <c r="N88" i="41"/>
  <c r="O88" i="41"/>
  <c r="P88" i="41"/>
  <c r="Q88" i="41"/>
  <c r="R88" i="41"/>
  <c r="S88" i="41"/>
  <c r="T88" i="41"/>
  <c r="U88" i="41"/>
  <c r="V88" i="41"/>
  <c r="W88" i="41"/>
  <c r="X88" i="41"/>
  <c r="Y88" i="41"/>
  <c r="Z88" i="41"/>
  <c r="AA88" i="41"/>
  <c r="AB88" i="41"/>
  <c r="AC88" i="41"/>
  <c r="AD88" i="41"/>
  <c r="AE88" i="41"/>
  <c r="AF88" i="41"/>
  <c r="D89" i="41"/>
  <c r="E89" i="41"/>
  <c r="F89" i="41"/>
  <c r="G89" i="41"/>
  <c r="H89" i="41"/>
  <c r="I89" i="41"/>
  <c r="J89" i="41"/>
  <c r="K89" i="41"/>
  <c r="L89" i="41"/>
  <c r="M89" i="41"/>
  <c r="N89" i="41"/>
  <c r="O89" i="41"/>
  <c r="P89" i="41"/>
  <c r="Q89" i="41"/>
  <c r="R89" i="41"/>
  <c r="S89" i="41"/>
  <c r="T89" i="41"/>
  <c r="U89" i="41"/>
  <c r="V89" i="41"/>
  <c r="W89" i="41"/>
  <c r="X89" i="41"/>
  <c r="Y89" i="41"/>
  <c r="Z89" i="41"/>
  <c r="AA89" i="41"/>
  <c r="AB89" i="41"/>
  <c r="AC89" i="41"/>
  <c r="AD89" i="41"/>
  <c r="AE89" i="41"/>
  <c r="AF89" i="41"/>
  <c r="D90" i="41"/>
  <c r="E90" i="41"/>
  <c r="F90" i="41"/>
  <c r="G90" i="41"/>
  <c r="H90" i="41"/>
  <c r="I90" i="41"/>
  <c r="J90" i="41"/>
  <c r="K90" i="41"/>
  <c r="L90" i="41"/>
  <c r="M90" i="41"/>
  <c r="N90" i="41"/>
  <c r="O90" i="41"/>
  <c r="P90" i="41"/>
  <c r="Q90" i="41"/>
  <c r="R90" i="41"/>
  <c r="S90" i="41"/>
  <c r="T90" i="41"/>
  <c r="U90" i="41"/>
  <c r="V90" i="41"/>
  <c r="W90" i="41"/>
  <c r="X90" i="41"/>
  <c r="Y90" i="41"/>
  <c r="Z90" i="41"/>
  <c r="AA90" i="41"/>
  <c r="AB90" i="41"/>
  <c r="AC90" i="41"/>
  <c r="AD90" i="41"/>
  <c r="AE90" i="41"/>
  <c r="AF90" i="41"/>
  <c r="D91" i="41"/>
  <c r="E91" i="41"/>
  <c r="F91" i="41"/>
  <c r="G91" i="41"/>
  <c r="H91" i="41"/>
  <c r="I91" i="41"/>
  <c r="J91" i="41"/>
  <c r="K91" i="41"/>
  <c r="L91" i="41"/>
  <c r="M91" i="41"/>
  <c r="N91" i="41"/>
  <c r="O91" i="41"/>
  <c r="P91" i="41"/>
  <c r="Q91" i="41"/>
  <c r="R91" i="41"/>
  <c r="S91" i="41"/>
  <c r="T91" i="41"/>
  <c r="U91" i="41"/>
  <c r="V91" i="41"/>
  <c r="W91" i="41"/>
  <c r="X91" i="41"/>
  <c r="Y91" i="41"/>
  <c r="Z91" i="41"/>
  <c r="AA91" i="41"/>
  <c r="AB91" i="41"/>
  <c r="AC91" i="41"/>
  <c r="AD91" i="41"/>
  <c r="AE91" i="41"/>
  <c r="AF91" i="41"/>
  <c r="D92" i="41"/>
  <c r="E92" i="41"/>
  <c r="F92" i="41"/>
  <c r="G92" i="41"/>
  <c r="H92" i="41"/>
  <c r="I92" i="41"/>
  <c r="J92" i="41"/>
  <c r="K92" i="41"/>
  <c r="L92" i="41"/>
  <c r="M92" i="41"/>
  <c r="N92" i="41"/>
  <c r="O92" i="41"/>
  <c r="P92" i="41"/>
  <c r="Q92" i="41"/>
  <c r="R92" i="41"/>
  <c r="S92" i="41"/>
  <c r="T92" i="41"/>
  <c r="U92" i="41"/>
  <c r="V92" i="41"/>
  <c r="W92" i="41"/>
  <c r="X92" i="41"/>
  <c r="Y92" i="41"/>
  <c r="Z92" i="41"/>
  <c r="AA92" i="41"/>
  <c r="AB92" i="41"/>
  <c r="AC92" i="41"/>
  <c r="AD92" i="41"/>
  <c r="AE92" i="41"/>
  <c r="AF92" i="41"/>
  <c r="D93" i="41"/>
  <c r="E93" i="41"/>
  <c r="F93" i="41"/>
  <c r="G93" i="41"/>
  <c r="H93" i="41"/>
  <c r="I93" i="41"/>
  <c r="J93" i="41"/>
  <c r="K93" i="41"/>
  <c r="L93" i="41"/>
  <c r="M93" i="41"/>
  <c r="N93" i="41"/>
  <c r="O93" i="41"/>
  <c r="P93" i="41"/>
  <c r="Q93" i="41"/>
  <c r="R93" i="41"/>
  <c r="S93" i="41"/>
  <c r="T93" i="41"/>
  <c r="U93" i="41"/>
  <c r="V93" i="41"/>
  <c r="W93" i="41"/>
  <c r="X93" i="41"/>
  <c r="Y93" i="41"/>
  <c r="Z93" i="41"/>
  <c r="AA93" i="41"/>
  <c r="AB93" i="41"/>
  <c r="AC93" i="41"/>
  <c r="AD93" i="41"/>
  <c r="AE93" i="41"/>
  <c r="AF93" i="41"/>
  <c r="D94" i="41"/>
  <c r="E94" i="41"/>
  <c r="F94" i="41"/>
  <c r="G94" i="41"/>
  <c r="H94" i="41"/>
  <c r="I94" i="41"/>
  <c r="J94" i="41"/>
  <c r="K94" i="41"/>
  <c r="L94" i="41"/>
  <c r="M94" i="41"/>
  <c r="N94" i="41"/>
  <c r="O94" i="41"/>
  <c r="P94" i="41"/>
  <c r="Q94" i="41"/>
  <c r="R94" i="41"/>
  <c r="S94" i="41"/>
  <c r="T94" i="41"/>
  <c r="U94" i="41"/>
  <c r="V94" i="41"/>
  <c r="W94" i="41"/>
  <c r="X94" i="41"/>
  <c r="Y94" i="41"/>
  <c r="Z94" i="41"/>
  <c r="AA94" i="41"/>
  <c r="AB94" i="41"/>
  <c r="AC94" i="41"/>
  <c r="AD94" i="41"/>
  <c r="AE94" i="41"/>
  <c r="AF94" i="41"/>
  <c r="D95" i="41"/>
  <c r="E95" i="41"/>
  <c r="F95" i="41"/>
  <c r="G95" i="41"/>
  <c r="H95" i="41"/>
  <c r="I95" i="41"/>
  <c r="J95" i="41"/>
  <c r="K95" i="41"/>
  <c r="L95" i="41"/>
  <c r="M95" i="41"/>
  <c r="N95" i="41"/>
  <c r="O95" i="41"/>
  <c r="P95" i="41"/>
  <c r="Q95" i="41"/>
  <c r="R95" i="41"/>
  <c r="S95" i="41"/>
  <c r="T95" i="41"/>
  <c r="U95" i="41"/>
  <c r="V95" i="41"/>
  <c r="W95" i="41"/>
  <c r="X95" i="41"/>
  <c r="Y95" i="41"/>
  <c r="Z95" i="41"/>
  <c r="AA95" i="41"/>
  <c r="AB95" i="41"/>
  <c r="AC95" i="41"/>
  <c r="AD95" i="41"/>
  <c r="AE95" i="41"/>
  <c r="AF95" i="41"/>
  <c r="D96" i="41"/>
  <c r="E96" i="41"/>
  <c r="F96" i="41"/>
  <c r="G96" i="41"/>
  <c r="H96" i="41"/>
  <c r="I96" i="41"/>
  <c r="J96" i="41"/>
  <c r="K96" i="41"/>
  <c r="L96" i="41"/>
  <c r="M96" i="41"/>
  <c r="N96" i="41"/>
  <c r="O96" i="41"/>
  <c r="P96" i="41"/>
  <c r="Q96" i="41"/>
  <c r="R96" i="41"/>
  <c r="S96" i="41"/>
  <c r="T96" i="41"/>
  <c r="U96" i="41"/>
  <c r="V96" i="41"/>
  <c r="W96" i="41"/>
  <c r="X96" i="41"/>
  <c r="Y96" i="41"/>
  <c r="Z96" i="41"/>
  <c r="AA96" i="41"/>
  <c r="AB96" i="41"/>
  <c r="AC96" i="41"/>
  <c r="AD96" i="41"/>
  <c r="AE96" i="41"/>
  <c r="AF96" i="41"/>
  <c r="D97" i="41"/>
  <c r="E97" i="41"/>
  <c r="F97" i="41"/>
  <c r="G97" i="41"/>
  <c r="H97" i="41"/>
  <c r="I97" i="41"/>
  <c r="J97" i="41"/>
  <c r="K97" i="41"/>
  <c r="L97" i="41"/>
  <c r="M97" i="41"/>
  <c r="N97" i="41"/>
  <c r="O97" i="41"/>
  <c r="P97" i="41"/>
  <c r="Q97" i="41"/>
  <c r="R97" i="41"/>
  <c r="S97" i="41"/>
  <c r="T97" i="41"/>
  <c r="U97" i="41"/>
  <c r="V97" i="41"/>
  <c r="W97" i="41"/>
  <c r="X97" i="41"/>
  <c r="Y97" i="41"/>
  <c r="Z97" i="41"/>
  <c r="AA97" i="41"/>
  <c r="AB97" i="41"/>
  <c r="AC97" i="41"/>
  <c r="AD97" i="41"/>
  <c r="AE97" i="41"/>
  <c r="AF97" i="41"/>
  <c r="D101" i="41"/>
  <c r="E101" i="41"/>
  <c r="F101" i="41"/>
  <c r="G101" i="41"/>
  <c r="H101" i="41"/>
  <c r="I101" i="41"/>
  <c r="J101" i="41"/>
  <c r="K101" i="41"/>
  <c r="L101" i="41"/>
  <c r="M101" i="41"/>
  <c r="N101" i="41"/>
  <c r="O101" i="41"/>
  <c r="P101" i="41"/>
  <c r="Q101" i="41"/>
  <c r="R101" i="41"/>
  <c r="S101" i="41"/>
  <c r="T101" i="41"/>
  <c r="U101" i="41"/>
  <c r="V101" i="41"/>
  <c r="W101" i="41"/>
  <c r="X101" i="41"/>
  <c r="Y101" i="41"/>
  <c r="Z101" i="41"/>
  <c r="AA101" i="41"/>
  <c r="AB101" i="41"/>
  <c r="AC101" i="41"/>
  <c r="AD101" i="41"/>
  <c r="AE101" i="41"/>
  <c r="AF101" i="41"/>
  <c r="D102" i="41"/>
  <c r="E102" i="41"/>
  <c r="F102" i="41"/>
  <c r="G102" i="41"/>
  <c r="H102" i="41"/>
  <c r="I102" i="41"/>
  <c r="J102" i="41"/>
  <c r="K102" i="41"/>
  <c r="L102" i="41"/>
  <c r="M102" i="41"/>
  <c r="N102" i="41"/>
  <c r="O102" i="41"/>
  <c r="P102" i="41"/>
  <c r="Q102" i="41"/>
  <c r="R102" i="41"/>
  <c r="S102" i="41"/>
  <c r="T102" i="41"/>
  <c r="U102" i="41"/>
  <c r="V102" i="41"/>
  <c r="W102" i="41"/>
  <c r="X102" i="41"/>
  <c r="Y102" i="41"/>
  <c r="Z102" i="41"/>
  <c r="AA102" i="41"/>
  <c r="AB102" i="41"/>
  <c r="AC102" i="41"/>
  <c r="AD102" i="41"/>
  <c r="AE102" i="41"/>
  <c r="AF102" i="41"/>
  <c r="D103" i="41"/>
  <c r="E103" i="41"/>
  <c r="F103" i="41"/>
  <c r="G103" i="41"/>
  <c r="H103" i="41"/>
  <c r="I103" i="41"/>
  <c r="J103" i="41"/>
  <c r="K103" i="41"/>
  <c r="L103" i="41"/>
  <c r="M103" i="41"/>
  <c r="N103" i="41"/>
  <c r="O103" i="41"/>
  <c r="P103" i="41"/>
  <c r="Q103" i="41"/>
  <c r="R103" i="41"/>
  <c r="S103" i="41"/>
  <c r="T103" i="41"/>
  <c r="U103" i="41"/>
  <c r="V103" i="41"/>
  <c r="W103" i="41"/>
  <c r="X103" i="41"/>
  <c r="Y103" i="41"/>
  <c r="Z103" i="41"/>
  <c r="AA103" i="41"/>
  <c r="AB103" i="41"/>
  <c r="AC103" i="41"/>
  <c r="AD103" i="41"/>
  <c r="AE103" i="41"/>
  <c r="AF103" i="41"/>
  <c r="D104" i="41"/>
  <c r="E104" i="41"/>
  <c r="F104" i="41"/>
  <c r="G104" i="41"/>
  <c r="H104" i="41"/>
  <c r="I104" i="41"/>
  <c r="J104" i="41"/>
  <c r="K104" i="41"/>
  <c r="L104" i="41"/>
  <c r="M104" i="41"/>
  <c r="N104" i="41"/>
  <c r="O104" i="41"/>
  <c r="P104" i="41"/>
  <c r="Q104" i="41"/>
  <c r="R104" i="41"/>
  <c r="S104" i="41"/>
  <c r="T104" i="41"/>
  <c r="U104" i="41"/>
  <c r="V104" i="41"/>
  <c r="W104" i="41"/>
  <c r="X104" i="41"/>
  <c r="Y104" i="41"/>
  <c r="Z104" i="41"/>
  <c r="AA104" i="41"/>
  <c r="AB104" i="41"/>
  <c r="AC104" i="41"/>
  <c r="AD104" i="41"/>
  <c r="AE104" i="41"/>
  <c r="AF104" i="41"/>
  <c r="D105" i="41"/>
  <c r="E105" i="41"/>
  <c r="F105" i="41"/>
  <c r="G105" i="41"/>
  <c r="H105" i="41"/>
  <c r="I105" i="41"/>
  <c r="J105" i="41"/>
  <c r="K105" i="41"/>
  <c r="L105" i="41"/>
  <c r="M105" i="41"/>
  <c r="N105" i="41"/>
  <c r="O105" i="41"/>
  <c r="P105" i="41"/>
  <c r="Q105" i="41"/>
  <c r="R105" i="41"/>
  <c r="S105" i="41"/>
  <c r="T105" i="41"/>
  <c r="U105" i="41"/>
  <c r="V105" i="41"/>
  <c r="W105" i="41"/>
  <c r="X105" i="41"/>
  <c r="Y105" i="41"/>
  <c r="Z105" i="41"/>
  <c r="AA105" i="41"/>
  <c r="AB105" i="41"/>
  <c r="AC105" i="41"/>
  <c r="AD105" i="41"/>
  <c r="AE105" i="41"/>
  <c r="AF105" i="41"/>
  <c r="D106" i="41"/>
  <c r="E106" i="41"/>
  <c r="F106" i="41"/>
  <c r="G106" i="41"/>
  <c r="H106" i="41"/>
  <c r="I106" i="41"/>
  <c r="J106" i="41"/>
  <c r="K106" i="41"/>
  <c r="L106" i="41"/>
  <c r="M106" i="41"/>
  <c r="N106" i="41"/>
  <c r="O106" i="41"/>
  <c r="P106" i="41"/>
  <c r="Q106" i="41"/>
  <c r="R106" i="41"/>
  <c r="S106" i="41"/>
  <c r="T106" i="41"/>
  <c r="U106" i="41"/>
  <c r="V106" i="41"/>
  <c r="W106" i="41"/>
  <c r="X106" i="41"/>
  <c r="Y106" i="41"/>
  <c r="Z106" i="41"/>
  <c r="AA106" i="41"/>
  <c r="AB106" i="41"/>
  <c r="AC106" i="41"/>
  <c r="AD106" i="41"/>
  <c r="AE106" i="41"/>
  <c r="AF106" i="41"/>
  <c r="D107" i="41"/>
  <c r="E107" i="41"/>
  <c r="F107" i="41"/>
  <c r="G107" i="41"/>
  <c r="H107" i="41"/>
  <c r="I107" i="41"/>
  <c r="J107" i="41"/>
  <c r="K107" i="41"/>
  <c r="L107" i="41"/>
  <c r="M107" i="41"/>
  <c r="N107" i="41"/>
  <c r="O107" i="41"/>
  <c r="P107" i="41"/>
  <c r="Q107" i="41"/>
  <c r="R107" i="41"/>
  <c r="S107" i="41"/>
  <c r="T107" i="41"/>
  <c r="U107" i="41"/>
  <c r="V107" i="41"/>
  <c r="W107" i="41"/>
  <c r="X107" i="41"/>
  <c r="Y107" i="41"/>
  <c r="Z107" i="41"/>
  <c r="AA107" i="41"/>
  <c r="AB107" i="41"/>
  <c r="AC107" i="41"/>
  <c r="AD107" i="41"/>
  <c r="AE107" i="41"/>
  <c r="AF107" i="41"/>
  <c r="D108" i="41"/>
  <c r="E108" i="41"/>
  <c r="F108" i="41"/>
  <c r="G108" i="41"/>
  <c r="H108" i="41"/>
  <c r="I108" i="41"/>
  <c r="J108" i="41"/>
  <c r="K108" i="41"/>
  <c r="L108" i="41"/>
  <c r="M108" i="41"/>
  <c r="N108" i="41"/>
  <c r="O108" i="41"/>
  <c r="P108" i="41"/>
  <c r="Q108" i="41"/>
  <c r="R108" i="41"/>
  <c r="S108" i="41"/>
  <c r="T108" i="41"/>
  <c r="U108" i="41"/>
  <c r="V108" i="41"/>
  <c r="W108" i="41"/>
  <c r="X108" i="41"/>
  <c r="Y108" i="41"/>
  <c r="Z108" i="41"/>
  <c r="AA108" i="41"/>
  <c r="AB108" i="41"/>
  <c r="AC108" i="41"/>
  <c r="AD108" i="41"/>
  <c r="AE108" i="41"/>
  <c r="AF108" i="41"/>
  <c r="D109" i="41"/>
  <c r="E109" i="41"/>
  <c r="F109" i="41"/>
  <c r="G109" i="41"/>
  <c r="H109" i="41"/>
  <c r="I109" i="41"/>
  <c r="J109" i="41"/>
  <c r="K109" i="41"/>
  <c r="L109" i="41"/>
  <c r="M109" i="41"/>
  <c r="N109" i="41"/>
  <c r="O109" i="41"/>
  <c r="P109" i="41"/>
  <c r="Q109" i="41"/>
  <c r="R109" i="41"/>
  <c r="S109" i="41"/>
  <c r="T109" i="41"/>
  <c r="U109" i="41"/>
  <c r="V109" i="41"/>
  <c r="W109" i="41"/>
  <c r="X109" i="41"/>
  <c r="Y109" i="41"/>
  <c r="Z109" i="41"/>
  <c r="AA109" i="41"/>
  <c r="AB109" i="41"/>
  <c r="AC109" i="41"/>
  <c r="AD109" i="41"/>
  <c r="AE109" i="41"/>
  <c r="AF109" i="41"/>
  <c r="D110" i="41"/>
  <c r="E110" i="41"/>
  <c r="F110" i="41"/>
  <c r="G110" i="41"/>
  <c r="H110" i="41"/>
  <c r="I110" i="41"/>
  <c r="J110" i="41"/>
  <c r="K110" i="41"/>
  <c r="L110" i="41"/>
  <c r="M110" i="41"/>
  <c r="N110" i="41"/>
  <c r="O110" i="41"/>
  <c r="P110" i="41"/>
  <c r="Q110" i="41"/>
  <c r="R110" i="41"/>
  <c r="S110" i="41"/>
  <c r="T110" i="41"/>
  <c r="U110" i="41"/>
  <c r="V110" i="41"/>
  <c r="W110" i="41"/>
  <c r="X110" i="41"/>
  <c r="Y110" i="41"/>
  <c r="Z110" i="41"/>
  <c r="AA110" i="41"/>
  <c r="AB110" i="41"/>
  <c r="AC110" i="41"/>
  <c r="AD110" i="41"/>
  <c r="AE110" i="41"/>
  <c r="AF110" i="41"/>
  <c r="D112" i="41"/>
  <c r="E112" i="41"/>
  <c r="F112" i="41"/>
  <c r="G112" i="41"/>
  <c r="H112" i="41"/>
  <c r="I112" i="41"/>
  <c r="J112" i="41"/>
  <c r="K112" i="41"/>
  <c r="L112" i="41"/>
  <c r="M112" i="41"/>
  <c r="N112" i="41"/>
  <c r="O112" i="41"/>
  <c r="P112" i="41"/>
  <c r="Q112" i="41"/>
  <c r="R112" i="41"/>
  <c r="S112" i="41"/>
  <c r="T112" i="41"/>
  <c r="U112" i="41"/>
  <c r="V112" i="41"/>
  <c r="W112" i="41"/>
  <c r="X112" i="41"/>
  <c r="Y112" i="41"/>
  <c r="Z112" i="41"/>
  <c r="AA112" i="41"/>
  <c r="AB112" i="41"/>
  <c r="AC112" i="41"/>
  <c r="AD112" i="41"/>
  <c r="AE112" i="41"/>
  <c r="AF112" i="41"/>
  <c r="D113" i="41"/>
  <c r="E113" i="41"/>
  <c r="F113" i="41"/>
  <c r="G113" i="41"/>
  <c r="H113" i="41"/>
  <c r="I113" i="41"/>
  <c r="J113" i="41"/>
  <c r="K113" i="41"/>
  <c r="L113" i="41"/>
  <c r="M113" i="41"/>
  <c r="N113" i="41"/>
  <c r="O113" i="41"/>
  <c r="P113" i="41"/>
  <c r="Q113" i="41"/>
  <c r="R113" i="41"/>
  <c r="S113" i="41"/>
  <c r="T113" i="41"/>
  <c r="U113" i="41"/>
  <c r="V113" i="41"/>
  <c r="W113" i="41"/>
  <c r="X113" i="41"/>
  <c r="Y113" i="41"/>
  <c r="Z113" i="41"/>
  <c r="AA113" i="41"/>
  <c r="AB113" i="41"/>
  <c r="AC113" i="41"/>
  <c r="AD113" i="41"/>
  <c r="AE113" i="41"/>
  <c r="AF113" i="41"/>
  <c r="D114" i="41"/>
  <c r="E114" i="41"/>
  <c r="F114" i="41"/>
  <c r="G114" i="41"/>
  <c r="H114" i="41"/>
  <c r="I114" i="41"/>
  <c r="J114" i="41"/>
  <c r="K114" i="41"/>
  <c r="L114" i="41"/>
  <c r="M114" i="41"/>
  <c r="N114" i="41"/>
  <c r="O114" i="41"/>
  <c r="P114" i="41"/>
  <c r="Q114" i="41"/>
  <c r="R114" i="41"/>
  <c r="S114" i="41"/>
  <c r="T114" i="41"/>
  <c r="U114" i="41"/>
  <c r="V114" i="41"/>
  <c r="W114" i="41"/>
  <c r="X114" i="41"/>
  <c r="Y114" i="41"/>
  <c r="Z114" i="41"/>
  <c r="AA114" i="41"/>
  <c r="AB114" i="41"/>
  <c r="AC114" i="41"/>
  <c r="AD114" i="41"/>
  <c r="AE114" i="41"/>
  <c r="AF114" i="41"/>
  <c r="D115" i="41"/>
  <c r="E115" i="41"/>
  <c r="F115" i="41"/>
  <c r="G115" i="41"/>
  <c r="H115" i="41"/>
  <c r="I115" i="41"/>
  <c r="J115" i="41"/>
  <c r="K115" i="41"/>
  <c r="L115" i="41"/>
  <c r="M115" i="41"/>
  <c r="N115" i="41"/>
  <c r="O115" i="41"/>
  <c r="P115" i="41"/>
  <c r="Q115" i="41"/>
  <c r="R115" i="41"/>
  <c r="S115" i="41"/>
  <c r="T115" i="41"/>
  <c r="U115" i="41"/>
  <c r="V115" i="41"/>
  <c r="W115" i="41"/>
  <c r="X115" i="41"/>
  <c r="Y115" i="41"/>
  <c r="Z115" i="41"/>
  <c r="AA115" i="41"/>
  <c r="AB115" i="41"/>
  <c r="AC115" i="41"/>
  <c r="AD115" i="41"/>
  <c r="AE115" i="41"/>
  <c r="AF115" i="41"/>
  <c r="D116" i="41"/>
  <c r="E116" i="41"/>
  <c r="F116" i="41"/>
  <c r="G116" i="41"/>
  <c r="H116" i="41"/>
  <c r="I116" i="41"/>
  <c r="J116" i="41"/>
  <c r="K116" i="41"/>
  <c r="L116" i="41"/>
  <c r="M116" i="41"/>
  <c r="N116" i="41"/>
  <c r="O116" i="41"/>
  <c r="P116" i="41"/>
  <c r="Q116" i="41"/>
  <c r="R116" i="41"/>
  <c r="S116" i="41"/>
  <c r="T116" i="41"/>
  <c r="U116" i="41"/>
  <c r="V116" i="41"/>
  <c r="W116" i="41"/>
  <c r="X116" i="41"/>
  <c r="Y116" i="41"/>
  <c r="Z116" i="41"/>
  <c r="AA116" i="41"/>
  <c r="AB116" i="41"/>
  <c r="AC116" i="41"/>
  <c r="AD116" i="41"/>
  <c r="AE116" i="41"/>
  <c r="AF116" i="41"/>
  <c r="D117" i="41"/>
  <c r="E117" i="41"/>
  <c r="F117" i="41"/>
  <c r="G117" i="41"/>
  <c r="H117" i="41"/>
  <c r="I117" i="41"/>
  <c r="J117" i="41"/>
  <c r="K117" i="41"/>
  <c r="L117" i="41"/>
  <c r="M117" i="41"/>
  <c r="N117" i="41"/>
  <c r="O117" i="41"/>
  <c r="P117" i="41"/>
  <c r="Q117" i="41"/>
  <c r="R117" i="41"/>
  <c r="S117" i="41"/>
  <c r="T117" i="41"/>
  <c r="U117" i="41"/>
  <c r="V117" i="41"/>
  <c r="W117" i="41"/>
  <c r="X117" i="41"/>
  <c r="Y117" i="41"/>
  <c r="Z117" i="41"/>
  <c r="AA117" i="41"/>
  <c r="AB117" i="41"/>
  <c r="AC117" i="41"/>
  <c r="AD117" i="41"/>
  <c r="AE117" i="41"/>
  <c r="AF117" i="41"/>
  <c r="D118" i="41"/>
  <c r="E118" i="41"/>
  <c r="F118" i="41"/>
  <c r="G118" i="41"/>
  <c r="H118" i="41"/>
  <c r="I118" i="41"/>
  <c r="J118" i="41"/>
  <c r="K118" i="41"/>
  <c r="L118" i="41"/>
  <c r="M118" i="41"/>
  <c r="N118" i="41"/>
  <c r="O118" i="41"/>
  <c r="P118" i="41"/>
  <c r="Q118" i="41"/>
  <c r="R118" i="41"/>
  <c r="S118" i="41"/>
  <c r="T118" i="41"/>
  <c r="U118" i="41"/>
  <c r="V118" i="41"/>
  <c r="W118" i="41"/>
  <c r="X118" i="41"/>
  <c r="Y118" i="41"/>
  <c r="Z118" i="41"/>
  <c r="AA118" i="41"/>
  <c r="AB118" i="41"/>
  <c r="AC118" i="41"/>
  <c r="AD118" i="41"/>
  <c r="AE118" i="41"/>
  <c r="AF118" i="41"/>
  <c r="D119" i="41"/>
  <c r="E119" i="41"/>
  <c r="F119" i="41"/>
  <c r="G119" i="41"/>
  <c r="H119" i="41"/>
  <c r="I119" i="41"/>
  <c r="J119" i="41"/>
  <c r="K119" i="41"/>
  <c r="L119" i="41"/>
  <c r="M119" i="41"/>
  <c r="N119" i="41"/>
  <c r="O119" i="41"/>
  <c r="P119" i="41"/>
  <c r="Q119" i="41"/>
  <c r="R119" i="41"/>
  <c r="S119" i="41"/>
  <c r="T119" i="41"/>
  <c r="U119" i="41"/>
  <c r="V119" i="41"/>
  <c r="W119" i="41"/>
  <c r="X119" i="41"/>
  <c r="Y119" i="41"/>
  <c r="Z119" i="41"/>
  <c r="AA119" i="41"/>
  <c r="AB119" i="41"/>
  <c r="AC119" i="41"/>
  <c r="AD119" i="41"/>
  <c r="AE119" i="41"/>
  <c r="AF119" i="41"/>
  <c r="D120" i="41"/>
  <c r="E120" i="41"/>
  <c r="F120" i="41"/>
  <c r="G120" i="41"/>
  <c r="H120" i="41"/>
  <c r="I120" i="41"/>
  <c r="J120" i="41"/>
  <c r="K120" i="41"/>
  <c r="L120" i="41"/>
  <c r="M120" i="41"/>
  <c r="N120" i="41"/>
  <c r="O120" i="41"/>
  <c r="P120" i="41"/>
  <c r="Q120" i="41"/>
  <c r="R120" i="41"/>
  <c r="S120" i="41"/>
  <c r="T120" i="41"/>
  <c r="U120" i="41"/>
  <c r="V120" i="41"/>
  <c r="W120" i="41"/>
  <c r="X120" i="41"/>
  <c r="Y120" i="41"/>
  <c r="Z120" i="41"/>
  <c r="AA120" i="41"/>
  <c r="AB120" i="41"/>
  <c r="AC120" i="41"/>
  <c r="AD120" i="41"/>
  <c r="AE120" i="41"/>
  <c r="AF120" i="41"/>
  <c r="D121" i="41"/>
  <c r="E121" i="41"/>
  <c r="F121" i="41"/>
  <c r="G121" i="41"/>
  <c r="H121" i="41"/>
  <c r="I121" i="41"/>
  <c r="J121" i="41"/>
  <c r="K121" i="41"/>
  <c r="L121" i="41"/>
  <c r="M121" i="41"/>
  <c r="N121" i="41"/>
  <c r="O121" i="41"/>
  <c r="P121" i="41"/>
  <c r="Q121" i="41"/>
  <c r="R121" i="41"/>
  <c r="S121" i="41"/>
  <c r="T121" i="41"/>
  <c r="U121" i="41"/>
  <c r="V121" i="41"/>
  <c r="W121" i="41"/>
  <c r="X121" i="41"/>
  <c r="Y121" i="41"/>
  <c r="Z121" i="41"/>
  <c r="AA121" i="41"/>
  <c r="AB121" i="41"/>
  <c r="AC121" i="41"/>
  <c r="AD121" i="41"/>
  <c r="AE121" i="41"/>
  <c r="AF121" i="41"/>
  <c r="D123" i="41"/>
  <c r="E123" i="41"/>
  <c r="F123" i="41"/>
  <c r="G123" i="41"/>
  <c r="H123" i="41"/>
  <c r="I123" i="41"/>
  <c r="J123" i="41"/>
  <c r="K123" i="41"/>
  <c r="L123" i="41"/>
  <c r="M123" i="41"/>
  <c r="N123" i="41"/>
  <c r="O123" i="41"/>
  <c r="P123" i="41"/>
  <c r="Q123" i="41"/>
  <c r="R123" i="41"/>
  <c r="S123" i="41"/>
  <c r="T123" i="41"/>
  <c r="U123" i="41"/>
  <c r="V123" i="41"/>
  <c r="W123" i="41"/>
  <c r="X123" i="41"/>
  <c r="Y123" i="41"/>
  <c r="Z123" i="41"/>
  <c r="AA123" i="41"/>
  <c r="AB123" i="41"/>
  <c r="AC123" i="41"/>
  <c r="AD123" i="41"/>
  <c r="AE123" i="41"/>
  <c r="AF123" i="41"/>
  <c r="D124" i="41"/>
  <c r="E124" i="41"/>
  <c r="F124" i="41"/>
  <c r="G124" i="41"/>
  <c r="H124" i="41"/>
  <c r="I124" i="41"/>
  <c r="J124" i="41"/>
  <c r="K124" i="41"/>
  <c r="L124" i="41"/>
  <c r="M124" i="41"/>
  <c r="N124" i="41"/>
  <c r="O124" i="41"/>
  <c r="P124" i="41"/>
  <c r="Q124" i="41"/>
  <c r="R124" i="41"/>
  <c r="S124" i="41"/>
  <c r="T124" i="41"/>
  <c r="U124" i="41"/>
  <c r="V124" i="41"/>
  <c r="W124" i="41"/>
  <c r="X124" i="41"/>
  <c r="Y124" i="41"/>
  <c r="Z124" i="41"/>
  <c r="AA124" i="41"/>
  <c r="AB124" i="41"/>
  <c r="AC124" i="41"/>
  <c r="AD124" i="41"/>
  <c r="AE124" i="41"/>
  <c r="AF124" i="41"/>
  <c r="D125" i="41"/>
  <c r="E125" i="41"/>
  <c r="F125" i="41"/>
  <c r="G125" i="41"/>
  <c r="H125" i="41"/>
  <c r="I125" i="41"/>
  <c r="J125" i="41"/>
  <c r="K125" i="41"/>
  <c r="L125" i="41"/>
  <c r="M125" i="41"/>
  <c r="N125" i="41"/>
  <c r="O125" i="41"/>
  <c r="P125" i="41"/>
  <c r="Q125" i="41"/>
  <c r="R125" i="41"/>
  <c r="S125" i="41"/>
  <c r="T125" i="41"/>
  <c r="U125" i="41"/>
  <c r="V125" i="41"/>
  <c r="W125" i="41"/>
  <c r="X125" i="41"/>
  <c r="Y125" i="41"/>
  <c r="Z125" i="41"/>
  <c r="AA125" i="41"/>
  <c r="AB125" i="41"/>
  <c r="AC125" i="41"/>
  <c r="AD125" i="41"/>
  <c r="AE125" i="41"/>
  <c r="AF125" i="41"/>
  <c r="D126" i="41"/>
  <c r="E126" i="41"/>
  <c r="F126" i="41"/>
  <c r="G126" i="41"/>
  <c r="H126" i="41"/>
  <c r="I126" i="41"/>
  <c r="J126" i="41"/>
  <c r="K126" i="41"/>
  <c r="L126" i="41"/>
  <c r="M126" i="41"/>
  <c r="N126" i="41"/>
  <c r="O126" i="41"/>
  <c r="P126" i="41"/>
  <c r="Q126" i="41"/>
  <c r="R126" i="41"/>
  <c r="S126" i="41"/>
  <c r="T126" i="41"/>
  <c r="U126" i="41"/>
  <c r="V126" i="41"/>
  <c r="W126" i="41"/>
  <c r="X126" i="41"/>
  <c r="Y126" i="41"/>
  <c r="Z126" i="41"/>
  <c r="AA126" i="41"/>
  <c r="AB126" i="41"/>
  <c r="AC126" i="41"/>
  <c r="AD126" i="41"/>
  <c r="AE126" i="41"/>
  <c r="AF126" i="41"/>
  <c r="D127" i="41"/>
  <c r="E127" i="41"/>
  <c r="F127" i="41"/>
  <c r="G127" i="41"/>
  <c r="H127" i="41"/>
  <c r="I127" i="41"/>
  <c r="J127" i="41"/>
  <c r="K127" i="41"/>
  <c r="L127" i="41"/>
  <c r="M127" i="41"/>
  <c r="N127" i="41"/>
  <c r="O127" i="41"/>
  <c r="P127" i="41"/>
  <c r="Q127" i="41"/>
  <c r="R127" i="41"/>
  <c r="S127" i="41"/>
  <c r="T127" i="41"/>
  <c r="U127" i="41"/>
  <c r="V127" i="41"/>
  <c r="W127" i="41"/>
  <c r="X127" i="41"/>
  <c r="Y127" i="41"/>
  <c r="Z127" i="41"/>
  <c r="AA127" i="41"/>
  <c r="AB127" i="41"/>
  <c r="AC127" i="41"/>
  <c r="AD127" i="41"/>
  <c r="AE127" i="41"/>
  <c r="AF127" i="41"/>
  <c r="D128" i="41"/>
  <c r="E128" i="41"/>
  <c r="F128" i="41"/>
  <c r="G128" i="41"/>
  <c r="H128" i="41"/>
  <c r="I128" i="41"/>
  <c r="J128" i="41"/>
  <c r="K128" i="41"/>
  <c r="L128" i="41"/>
  <c r="M128" i="41"/>
  <c r="N128" i="41"/>
  <c r="O128" i="41"/>
  <c r="P128" i="41"/>
  <c r="Q128" i="41"/>
  <c r="R128" i="41"/>
  <c r="S128" i="41"/>
  <c r="T128" i="41"/>
  <c r="U128" i="41"/>
  <c r="V128" i="41"/>
  <c r="W128" i="41"/>
  <c r="X128" i="41"/>
  <c r="Y128" i="41"/>
  <c r="Z128" i="41"/>
  <c r="AA128" i="41"/>
  <c r="AB128" i="41"/>
  <c r="AC128" i="41"/>
  <c r="AD128" i="41"/>
  <c r="AE128" i="41"/>
  <c r="AF128" i="41"/>
  <c r="D129" i="41"/>
  <c r="E129" i="41"/>
  <c r="F129" i="41"/>
  <c r="G129" i="41"/>
  <c r="H129" i="41"/>
  <c r="I129" i="41"/>
  <c r="J129" i="41"/>
  <c r="K129" i="41"/>
  <c r="L129" i="41"/>
  <c r="M129" i="41"/>
  <c r="N129" i="41"/>
  <c r="O129" i="41"/>
  <c r="P129" i="41"/>
  <c r="Q129" i="41"/>
  <c r="R129" i="41"/>
  <c r="S129" i="41"/>
  <c r="T129" i="41"/>
  <c r="U129" i="41"/>
  <c r="V129" i="41"/>
  <c r="W129" i="41"/>
  <c r="X129" i="41"/>
  <c r="Y129" i="41"/>
  <c r="Z129" i="41"/>
  <c r="AA129" i="41"/>
  <c r="AB129" i="41"/>
  <c r="AC129" i="41"/>
  <c r="AD129" i="41"/>
  <c r="AE129" i="41"/>
  <c r="AF129" i="41"/>
  <c r="D130" i="41"/>
  <c r="E130" i="41"/>
  <c r="F130" i="41"/>
  <c r="G130" i="41"/>
  <c r="H130" i="41"/>
  <c r="I130" i="41"/>
  <c r="J130" i="41"/>
  <c r="K130" i="41"/>
  <c r="L130" i="41"/>
  <c r="M130" i="41"/>
  <c r="N130" i="41"/>
  <c r="O130" i="41"/>
  <c r="P130" i="41"/>
  <c r="Q130" i="41"/>
  <c r="R130" i="41"/>
  <c r="S130" i="41"/>
  <c r="T130" i="41"/>
  <c r="U130" i="41"/>
  <c r="V130" i="41"/>
  <c r="W130" i="41"/>
  <c r="X130" i="41"/>
  <c r="Y130" i="41"/>
  <c r="Z130" i="41"/>
  <c r="AA130" i="41"/>
  <c r="AB130" i="41"/>
  <c r="AC130" i="41"/>
  <c r="AD130" i="41"/>
  <c r="AE130" i="41"/>
  <c r="AF130" i="41"/>
  <c r="D131" i="41"/>
  <c r="E131" i="41"/>
  <c r="F131" i="41"/>
  <c r="G131" i="41"/>
  <c r="H131" i="41"/>
  <c r="I131" i="41"/>
  <c r="J131" i="41"/>
  <c r="K131" i="41"/>
  <c r="L131" i="41"/>
  <c r="M131" i="41"/>
  <c r="N131" i="41"/>
  <c r="O131" i="41"/>
  <c r="P131" i="41"/>
  <c r="Q131" i="41"/>
  <c r="R131" i="41"/>
  <c r="S131" i="41"/>
  <c r="T131" i="41"/>
  <c r="U131" i="41"/>
  <c r="V131" i="41"/>
  <c r="W131" i="41"/>
  <c r="X131" i="41"/>
  <c r="Y131" i="41"/>
  <c r="Z131" i="41"/>
  <c r="AA131" i="41"/>
  <c r="AB131" i="41"/>
  <c r="AC131" i="41"/>
  <c r="AD131" i="41"/>
  <c r="AE131" i="41"/>
  <c r="AF131" i="41"/>
  <c r="D132" i="41"/>
  <c r="E132" i="41"/>
  <c r="F132" i="41"/>
  <c r="G132" i="41"/>
  <c r="H132" i="41"/>
  <c r="I132" i="41"/>
  <c r="J132" i="41"/>
  <c r="K132" i="41"/>
  <c r="L132" i="41"/>
  <c r="M132" i="41"/>
  <c r="N132" i="41"/>
  <c r="O132" i="41"/>
  <c r="P132" i="41"/>
  <c r="Q132" i="41"/>
  <c r="R132" i="41"/>
  <c r="S132" i="41"/>
  <c r="T132" i="41"/>
  <c r="U132" i="41"/>
  <c r="V132" i="41"/>
  <c r="W132" i="41"/>
  <c r="X132" i="41"/>
  <c r="Y132" i="41"/>
  <c r="Z132" i="41"/>
  <c r="AA132" i="41"/>
  <c r="AB132" i="41"/>
  <c r="AC132" i="41"/>
  <c r="AD132" i="41"/>
  <c r="AE132" i="41"/>
  <c r="AF132" i="41"/>
  <c r="D133" i="41"/>
  <c r="E133" i="41"/>
  <c r="F133" i="41"/>
  <c r="G133" i="41"/>
  <c r="H133" i="41"/>
  <c r="I133" i="41"/>
  <c r="J133" i="41"/>
  <c r="K133" i="41"/>
  <c r="L133" i="41"/>
  <c r="M133" i="41"/>
  <c r="N133" i="41"/>
  <c r="O133" i="41"/>
  <c r="P133" i="41"/>
  <c r="Q133" i="41"/>
  <c r="R133" i="41"/>
  <c r="S133" i="41"/>
  <c r="T133" i="41"/>
  <c r="U133" i="41"/>
  <c r="V133" i="41"/>
  <c r="W133" i="41"/>
  <c r="X133" i="41"/>
  <c r="Y133" i="41"/>
  <c r="Z133" i="41"/>
  <c r="AA133" i="41"/>
  <c r="AB133" i="41"/>
  <c r="AC133" i="41"/>
  <c r="AD133" i="41"/>
  <c r="AE133" i="41"/>
  <c r="AF133" i="41"/>
  <c r="D137" i="41"/>
  <c r="E137" i="41"/>
  <c r="F137" i="41"/>
  <c r="G137" i="41"/>
  <c r="H137" i="41"/>
  <c r="I137" i="41"/>
  <c r="J137" i="41"/>
  <c r="K137" i="41"/>
  <c r="L137" i="41"/>
  <c r="M137" i="41"/>
  <c r="N137" i="41"/>
  <c r="O137" i="41"/>
  <c r="P137" i="41"/>
  <c r="Q137" i="41"/>
  <c r="R137" i="41"/>
  <c r="S137" i="41"/>
  <c r="T137" i="41"/>
  <c r="U137" i="41"/>
  <c r="V137" i="41"/>
  <c r="W137" i="41"/>
  <c r="X137" i="41"/>
  <c r="Y137" i="41"/>
  <c r="Z137" i="41"/>
  <c r="AA137" i="41"/>
  <c r="AB137" i="41"/>
  <c r="AC137" i="41"/>
  <c r="AD137" i="41"/>
  <c r="AE137" i="41"/>
  <c r="AF137" i="41"/>
  <c r="D138" i="41"/>
  <c r="E138" i="41"/>
  <c r="F138" i="41"/>
  <c r="G138" i="41"/>
  <c r="H138" i="41"/>
  <c r="I138" i="41"/>
  <c r="J138" i="41"/>
  <c r="K138" i="41"/>
  <c r="L138" i="41"/>
  <c r="M138" i="41"/>
  <c r="N138" i="41"/>
  <c r="O138" i="41"/>
  <c r="P138" i="41"/>
  <c r="Q138" i="41"/>
  <c r="R138" i="41"/>
  <c r="S138" i="41"/>
  <c r="T138" i="41"/>
  <c r="U138" i="41"/>
  <c r="V138" i="41"/>
  <c r="W138" i="41"/>
  <c r="X138" i="41"/>
  <c r="Y138" i="41"/>
  <c r="Z138" i="41"/>
  <c r="AA138" i="41"/>
  <c r="AB138" i="41"/>
  <c r="AC138" i="41"/>
  <c r="AD138" i="41"/>
  <c r="AE138" i="41"/>
  <c r="AF138" i="41"/>
  <c r="D139" i="41"/>
  <c r="E139" i="41"/>
  <c r="F139" i="41"/>
  <c r="G139" i="41"/>
  <c r="H139" i="41"/>
  <c r="I139" i="41"/>
  <c r="J139" i="41"/>
  <c r="K139" i="41"/>
  <c r="L139" i="41"/>
  <c r="M139" i="41"/>
  <c r="N139" i="41"/>
  <c r="O139" i="41"/>
  <c r="P139" i="41"/>
  <c r="Q139" i="41"/>
  <c r="R139" i="41"/>
  <c r="S139" i="41"/>
  <c r="T139" i="41"/>
  <c r="U139" i="41"/>
  <c r="V139" i="41"/>
  <c r="W139" i="41"/>
  <c r="X139" i="41"/>
  <c r="Y139" i="41"/>
  <c r="Z139" i="41"/>
  <c r="AA139" i="41"/>
  <c r="AB139" i="41"/>
  <c r="AC139" i="41"/>
  <c r="AD139" i="41"/>
  <c r="AE139" i="41"/>
  <c r="AF139" i="41"/>
  <c r="D140" i="41"/>
  <c r="E140" i="41"/>
  <c r="F140" i="41"/>
  <c r="G140" i="41"/>
  <c r="H140" i="41"/>
  <c r="I140" i="41"/>
  <c r="J140" i="41"/>
  <c r="K140" i="41"/>
  <c r="L140" i="41"/>
  <c r="M140" i="41"/>
  <c r="N140" i="41"/>
  <c r="O140" i="41"/>
  <c r="P140" i="41"/>
  <c r="Q140" i="41"/>
  <c r="R140" i="41"/>
  <c r="S140" i="41"/>
  <c r="T140" i="41"/>
  <c r="U140" i="41"/>
  <c r="V140" i="41"/>
  <c r="W140" i="41"/>
  <c r="X140" i="41"/>
  <c r="Y140" i="41"/>
  <c r="Z140" i="41"/>
  <c r="AA140" i="41"/>
  <c r="AB140" i="41"/>
  <c r="AC140" i="41"/>
  <c r="AD140" i="41"/>
  <c r="AE140" i="41"/>
  <c r="AF140" i="41"/>
  <c r="D141" i="41"/>
  <c r="E141" i="41"/>
  <c r="F141" i="41"/>
  <c r="G141" i="41"/>
  <c r="H141" i="41"/>
  <c r="I141" i="41"/>
  <c r="J141" i="41"/>
  <c r="K141" i="41"/>
  <c r="L141" i="41"/>
  <c r="M141" i="41"/>
  <c r="N141" i="41"/>
  <c r="O141" i="41"/>
  <c r="P141" i="41"/>
  <c r="Q141" i="41"/>
  <c r="R141" i="41"/>
  <c r="S141" i="41"/>
  <c r="T141" i="41"/>
  <c r="U141" i="41"/>
  <c r="V141" i="41"/>
  <c r="W141" i="41"/>
  <c r="X141" i="41"/>
  <c r="Y141" i="41"/>
  <c r="Z141" i="41"/>
  <c r="AA141" i="41"/>
  <c r="AB141" i="41"/>
  <c r="AC141" i="41"/>
  <c r="AD141" i="41"/>
  <c r="AE141" i="41"/>
  <c r="AF141" i="41"/>
  <c r="D142" i="41"/>
  <c r="E142" i="41"/>
  <c r="F142" i="41"/>
  <c r="G142" i="41"/>
  <c r="H142" i="41"/>
  <c r="I142" i="41"/>
  <c r="J142" i="41"/>
  <c r="K142" i="41"/>
  <c r="L142" i="41"/>
  <c r="M142" i="41"/>
  <c r="N142" i="41"/>
  <c r="O142" i="41"/>
  <c r="P142" i="41"/>
  <c r="Q142" i="41"/>
  <c r="R142" i="41"/>
  <c r="S142" i="41"/>
  <c r="T142" i="41"/>
  <c r="U142" i="41"/>
  <c r="V142" i="41"/>
  <c r="W142" i="41"/>
  <c r="X142" i="41"/>
  <c r="Y142" i="41"/>
  <c r="Z142" i="41"/>
  <c r="AA142" i="41"/>
  <c r="AB142" i="41"/>
  <c r="AC142" i="41"/>
  <c r="AD142" i="41"/>
  <c r="AE142" i="41"/>
  <c r="AF142" i="41"/>
  <c r="D143" i="41"/>
  <c r="E143" i="41"/>
  <c r="F143" i="41"/>
  <c r="G143" i="41"/>
  <c r="H143" i="41"/>
  <c r="I143" i="41"/>
  <c r="J143" i="41"/>
  <c r="K143" i="41"/>
  <c r="L143" i="41"/>
  <c r="M143" i="41"/>
  <c r="N143" i="41"/>
  <c r="O143" i="41"/>
  <c r="P143" i="41"/>
  <c r="Q143" i="41"/>
  <c r="R143" i="41"/>
  <c r="S143" i="41"/>
  <c r="T143" i="41"/>
  <c r="U143" i="41"/>
  <c r="V143" i="41"/>
  <c r="W143" i="41"/>
  <c r="X143" i="41"/>
  <c r="Y143" i="41"/>
  <c r="Z143" i="41"/>
  <c r="AA143" i="41"/>
  <c r="AB143" i="41"/>
  <c r="AC143" i="41"/>
  <c r="AD143" i="41"/>
  <c r="AE143" i="41"/>
  <c r="AF143" i="41"/>
  <c r="D144" i="41"/>
  <c r="E144" i="41"/>
  <c r="F144" i="41"/>
  <c r="G144" i="41"/>
  <c r="H144" i="41"/>
  <c r="I144" i="41"/>
  <c r="J144" i="41"/>
  <c r="K144" i="41"/>
  <c r="L144" i="41"/>
  <c r="M144" i="41"/>
  <c r="N144" i="41"/>
  <c r="O144" i="41"/>
  <c r="P144" i="41"/>
  <c r="Q144" i="41"/>
  <c r="R144" i="41"/>
  <c r="S144" i="41"/>
  <c r="T144" i="41"/>
  <c r="U144" i="41"/>
  <c r="V144" i="41"/>
  <c r="W144" i="41"/>
  <c r="X144" i="41"/>
  <c r="Y144" i="41"/>
  <c r="Z144" i="41"/>
  <c r="AA144" i="41"/>
  <c r="AB144" i="41"/>
  <c r="AC144" i="41"/>
  <c r="AD144" i="41"/>
  <c r="AE144" i="41"/>
  <c r="AF144" i="41"/>
  <c r="D145" i="41"/>
  <c r="E145" i="41"/>
  <c r="F145" i="41"/>
  <c r="G145" i="41"/>
  <c r="H145" i="41"/>
  <c r="I145" i="41"/>
  <c r="J145" i="41"/>
  <c r="K145" i="41"/>
  <c r="L145" i="41"/>
  <c r="M145" i="41"/>
  <c r="N145" i="41"/>
  <c r="O145" i="41"/>
  <c r="P145" i="41"/>
  <c r="Q145" i="41"/>
  <c r="R145" i="41"/>
  <c r="S145" i="41"/>
  <c r="T145" i="41"/>
  <c r="U145" i="41"/>
  <c r="V145" i="41"/>
  <c r="W145" i="41"/>
  <c r="X145" i="41"/>
  <c r="Y145" i="41"/>
  <c r="Z145" i="41"/>
  <c r="AA145" i="41"/>
  <c r="AB145" i="41"/>
  <c r="AC145" i="41"/>
  <c r="AD145" i="41"/>
  <c r="AE145" i="41"/>
  <c r="AF145" i="41"/>
  <c r="D146" i="41"/>
  <c r="E146" i="41"/>
  <c r="F146" i="41"/>
  <c r="G146" i="41"/>
  <c r="H146" i="41"/>
  <c r="I146" i="41"/>
  <c r="J146" i="41"/>
  <c r="K146" i="41"/>
  <c r="L146" i="41"/>
  <c r="M146" i="41"/>
  <c r="N146" i="41"/>
  <c r="O146" i="41"/>
  <c r="P146" i="41"/>
  <c r="Q146" i="41"/>
  <c r="R146" i="41"/>
  <c r="S146" i="41"/>
  <c r="T146" i="41"/>
  <c r="U146" i="41"/>
  <c r="V146" i="41"/>
  <c r="W146" i="41"/>
  <c r="X146" i="41"/>
  <c r="Y146" i="41"/>
  <c r="Z146" i="41"/>
  <c r="AA146" i="41"/>
  <c r="AB146" i="41"/>
  <c r="AC146" i="41"/>
  <c r="AD146" i="41"/>
  <c r="AE146" i="41"/>
  <c r="AF146" i="41"/>
  <c r="D148" i="41"/>
  <c r="E148" i="41"/>
  <c r="F148" i="41"/>
  <c r="G148" i="41"/>
  <c r="H148" i="41"/>
  <c r="I148" i="41"/>
  <c r="J148" i="41"/>
  <c r="K148" i="41"/>
  <c r="L148" i="41"/>
  <c r="M148" i="41"/>
  <c r="N148" i="41"/>
  <c r="O148" i="41"/>
  <c r="P148" i="41"/>
  <c r="Q148" i="41"/>
  <c r="R148" i="41"/>
  <c r="S148" i="41"/>
  <c r="T148" i="41"/>
  <c r="U148" i="41"/>
  <c r="V148" i="41"/>
  <c r="W148" i="41"/>
  <c r="X148" i="41"/>
  <c r="Y148" i="41"/>
  <c r="Z148" i="41"/>
  <c r="AA148" i="41"/>
  <c r="AB148" i="41"/>
  <c r="AC148" i="41"/>
  <c r="AD148" i="41"/>
  <c r="AE148" i="41"/>
  <c r="AF148" i="41"/>
  <c r="D149" i="41"/>
  <c r="E149" i="41"/>
  <c r="F149" i="41"/>
  <c r="G149" i="41"/>
  <c r="H149" i="41"/>
  <c r="I149" i="41"/>
  <c r="J149" i="41"/>
  <c r="K149" i="41"/>
  <c r="L149" i="41"/>
  <c r="M149" i="41"/>
  <c r="N149" i="41"/>
  <c r="O149" i="41"/>
  <c r="P149" i="41"/>
  <c r="Q149" i="41"/>
  <c r="R149" i="41"/>
  <c r="S149" i="41"/>
  <c r="T149" i="41"/>
  <c r="U149" i="41"/>
  <c r="V149" i="41"/>
  <c r="W149" i="41"/>
  <c r="X149" i="41"/>
  <c r="Y149" i="41"/>
  <c r="Z149" i="41"/>
  <c r="AA149" i="41"/>
  <c r="AB149" i="41"/>
  <c r="AC149" i="41"/>
  <c r="AD149" i="41"/>
  <c r="AE149" i="41"/>
  <c r="AF149" i="41"/>
  <c r="D150" i="41"/>
  <c r="E150" i="41"/>
  <c r="F150" i="41"/>
  <c r="G150" i="41"/>
  <c r="H150" i="41"/>
  <c r="I150" i="41"/>
  <c r="J150" i="41"/>
  <c r="K150" i="41"/>
  <c r="L150" i="41"/>
  <c r="M150" i="41"/>
  <c r="N150" i="41"/>
  <c r="O150" i="41"/>
  <c r="P150" i="41"/>
  <c r="Q150" i="41"/>
  <c r="R150" i="41"/>
  <c r="S150" i="41"/>
  <c r="T150" i="41"/>
  <c r="U150" i="41"/>
  <c r="V150" i="41"/>
  <c r="W150" i="41"/>
  <c r="X150" i="41"/>
  <c r="Y150" i="41"/>
  <c r="Z150" i="41"/>
  <c r="AA150" i="41"/>
  <c r="AB150" i="41"/>
  <c r="AC150" i="41"/>
  <c r="AD150" i="41"/>
  <c r="AE150" i="41"/>
  <c r="AF150" i="41"/>
  <c r="D151" i="41"/>
  <c r="E151" i="41"/>
  <c r="F151" i="41"/>
  <c r="G151" i="41"/>
  <c r="H151" i="41"/>
  <c r="I151" i="41"/>
  <c r="J151" i="41"/>
  <c r="K151" i="41"/>
  <c r="L151" i="41"/>
  <c r="M151" i="41"/>
  <c r="N151" i="41"/>
  <c r="O151" i="41"/>
  <c r="P151" i="41"/>
  <c r="Q151" i="41"/>
  <c r="R151" i="41"/>
  <c r="S151" i="41"/>
  <c r="T151" i="41"/>
  <c r="U151" i="41"/>
  <c r="V151" i="41"/>
  <c r="W151" i="41"/>
  <c r="X151" i="41"/>
  <c r="Y151" i="41"/>
  <c r="Z151" i="41"/>
  <c r="AA151" i="41"/>
  <c r="AB151" i="41"/>
  <c r="AC151" i="41"/>
  <c r="AD151" i="41"/>
  <c r="AE151" i="41"/>
  <c r="AF151" i="41"/>
  <c r="D152" i="41"/>
  <c r="E152" i="41"/>
  <c r="F152" i="41"/>
  <c r="G152" i="41"/>
  <c r="H152" i="41"/>
  <c r="I152" i="41"/>
  <c r="J152" i="41"/>
  <c r="K152" i="41"/>
  <c r="L152" i="41"/>
  <c r="M152" i="41"/>
  <c r="N152" i="41"/>
  <c r="O152" i="41"/>
  <c r="P152" i="41"/>
  <c r="Q152" i="41"/>
  <c r="R152" i="41"/>
  <c r="S152" i="41"/>
  <c r="T152" i="41"/>
  <c r="U152" i="41"/>
  <c r="V152" i="41"/>
  <c r="W152" i="41"/>
  <c r="X152" i="41"/>
  <c r="Y152" i="41"/>
  <c r="Z152" i="41"/>
  <c r="AA152" i="41"/>
  <c r="AB152" i="41"/>
  <c r="AC152" i="41"/>
  <c r="AD152" i="41"/>
  <c r="AE152" i="41"/>
  <c r="AF152" i="41"/>
  <c r="D153" i="41"/>
  <c r="E153" i="41"/>
  <c r="F153" i="41"/>
  <c r="G153" i="41"/>
  <c r="H153" i="41"/>
  <c r="I153" i="41"/>
  <c r="J153" i="41"/>
  <c r="K153" i="41"/>
  <c r="L153" i="41"/>
  <c r="M153" i="41"/>
  <c r="N153" i="41"/>
  <c r="O153" i="41"/>
  <c r="P153" i="41"/>
  <c r="Q153" i="41"/>
  <c r="R153" i="41"/>
  <c r="S153" i="41"/>
  <c r="T153" i="41"/>
  <c r="U153" i="41"/>
  <c r="V153" i="41"/>
  <c r="W153" i="41"/>
  <c r="X153" i="41"/>
  <c r="Y153" i="41"/>
  <c r="Z153" i="41"/>
  <c r="AA153" i="41"/>
  <c r="AB153" i="41"/>
  <c r="AC153" i="41"/>
  <c r="AD153" i="41"/>
  <c r="AE153" i="41"/>
  <c r="AF153" i="41"/>
  <c r="D154" i="41"/>
  <c r="E154" i="41"/>
  <c r="F154" i="41"/>
  <c r="G154" i="41"/>
  <c r="H154" i="41"/>
  <c r="I154" i="41"/>
  <c r="J154" i="41"/>
  <c r="K154" i="41"/>
  <c r="L154" i="41"/>
  <c r="M154" i="41"/>
  <c r="N154" i="41"/>
  <c r="O154" i="41"/>
  <c r="P154" i="41"/>
  <c r="Q154" i="41"/>
  <c r="R154" i="41"/>
  <c r="S154" i="41"/>
  <c r="T154" i="41"/>
  <c r="U154" i="41"/>
  <c r="V154" i="41"/>
  <c r="W154" i="41"/>
  <c r="X154" i="41"/>
  <c r="Y154" i="41"/>
  <c r="Z154" i="41"/>
  <c r="AA154" i="41"/>
  <c r="AB154" i="41"/>
  <c r="AC154" i="41"/>
  <c r="AD154" i="41"/>
  <c r="AE154" i="41"/>
  <c r="AF154" i="41"/>
  <c r="D155" i="41"/>
  <c r="E155" i="41"/>
  <c r="F155" i="41"/>
  <c r="G155" i="41"/>
  <c r="H155" i="41"/>
  <c r="I155" i="41"/>
  <c r="J155" i="41"/>
  <c r="K155" i="41"/>
  <c r="L155" i="41"/>
  <c r="M155" i="41"/>
  <c r="N155" i="41"/>
  <c r="O155" i="41"/>
  <c r="P155" i="41"/>
  <c r="Q155" i="41"/>
  <c r="R155" i="41"/>
  <c r="S155" i="41"/>
  <c r="T155" i="41"/>
  <c r="U155" i="41"/>
  <c r="V155" i="41"/>
  <c r="W155" i="41"/>
  <c r="X155" i="41"/>
  <c r="Y155" i="41"/>
  <c r="Z155" i="41"/>
  <c r="AA155" i="41"/>
  <c r="AB155" i="41"/>
  <c r="AC155" i="41"/>
  <c r="AD155" i="41"/>
  <c r="AE155" i="41"/>
  <c r="AF155" i="41"/>
  <c r="D156" i="41"/>
  <c r="E156" i="41"/>
  <c r="F156" i="41"/>
  <c r="G156" i="41"/>
  <c r="H156" i="41"/>
  <c r="I156" i="41"/>
  <c r="J156" i="41"/>
  <c r="K156" i="41"/>
  <c r="L156" i="41"/>
  <c r="M156" i="41"/>
  <c r="N156" i="41"/>
  <c r="O156" i="41"/>
  <c r="P156" i="41"/>
  <c r="Q156" i="41"/>
  <c r="R156" i="41"/>
  <c r="S156" i="41"/>
  <c r="T156" i="41"/>
  <c r="U156" i="41"/>
  <c r="V156" i="41"/>
  <c r="W156" i="41"/>
  <c r="X156" i="41"/>
  <c r="Y156" i="41"/>
  <c r="Z156" i="41"/>
  <c r="AA156" i="41"/>
  <c r="AB156" i="41"/>
  <c r="AC156" i="41"/>
  <c r="AD156" i="41"/>
  <c r="AE156" i="41"/>
  <c r="AF156" i="41"/>
  <c r="D157" i="41"/>
  <c r="E157" i="41"/>
  <c r="F157" i="41"/>
  <c r="G157" i="41"/>
  <c r="H157" i="41"/>
  <c r="I157" i="41"/>
  <c r="J157" i="41"/>
  <c r="K157" i="41"/>
  <c r="L157" i="41"/>
  <c r="M157" i="41"/>
  <c r="N157" i="41"/>
  <c r="O157" i="41"/>
  <c r="P157" i="41"/>
  <c r="Q157" i="41"/>
  <c r="R157" i="41"/>
  <c r="S157" i="41"/>
  <c r="T157" i="41"/>
  <c r="U157" i="41"/>
  <c r="V157" i="41"/>
  <c r="W157" i="41"/>
  <c r="X157" i="41"/>
  <c r="Y157" i="41"/>
  <c r="Z157" i="41"/>
  <c r="AA157" i="41"/>
  <c r="AB157" i="41"/>
  <c r="AC157" i="41"/>
  <c r="AD157" i="41"/>
  <c r="AE157" i="41"/>
  <c r="AF157" i="41"/>
  <c r="D159" i="41"/>
  <c r="E159" i="41"/>
  <c r="F159" i="41"/>
  <c r="G159" i="41"/>
  <c r="H159" i="41"/>
  <c r="I159" i="41"/>
  <c r="J159" i="41"/>
  <c r="K159" i="41"/>
  <c r="L159" i="41"/>
  <c r="M159" i="41"/>
  <c r="N159" i="41"/>
  <c r="O159" i="41"/>
  <c r="P159" i="41"/>
  <c r="Q159" i="41"/>
  <c r="R159" i="41"/>
  <c r="S159" i="41"/>
  <c r="T159" i="41"/>
  <c r="U159" i="41"/>
  <c r="V159" i="41"/>
  <c r="W159" i="41"/>
  <c r="X159" i="41"/>
  <c r="Y159" i="41"/>
  <c r="Z159" i="41"/>
  <c r="AA159" i="41"/>
  <c r="AB159" i="41"/>
  <c r="AC159" i="41"/>
  <c r="AD159" i="41"/>
  <c r="AE159" i="41"/>
  <c r="AF159" i="41"/>
  <c r="D160" i="41"/>
  <c r="E160" i="41"/>
  <c r="F160" i="41"/>
  <c r="G160" i="41"/>
  <c r="H160" i="41"/>
  <c r="I160" i="41"/>
  <c r="J160" i="41"/>
  <c r="K160" i="41"/>
  <c r="L160" i="41"/>
  <c r="M160" i="41"/>
  <c r="N160" i="41"/>
  <c r="O160" i="41"/>
  <c r="P160" i="41"/>
  <c r="Q160" i="41"/>
  <c r="R160" i="41"/>
  <c r="S160" i="41"/>
  <c r="T160" i="41"/>
  <c r="U160" i="41"/>
  <c r="V160" i="41"/>
  <c r="W160" i="41"/>
  <c r="X160" i="41"/>
  <c r="Y160" i="41"/>
  <c r="Z160" i="41"/>
  <c r="AA160" i="41"/>
  <c r="AB160" i="41"/>
  <c r="AC160" i="41"/>
  <c r="AD160" i="41"/>
  <c r="AE160" i="41"/>
  <c r="AF160" i="41"/>
  <c r="D161" i="41"/>
  <c r="E161" i="41"/>
  <c r="F161" i="41"/>
  <c r="G161" i="41"/>
  <c r="H161" i="41"/>
  <c r="I161" i="41"/>
  <c r="J161" i="41"/>
  <c r="K161" i="41"/>
  <c r="L161" i="41"/>
  <c r="M161" i="41"/>
  <c r="N161" i="41"/>
  <c r="O161" i="41"/>
  <c r="P161" i="41"/>
  <c r="Q161" i="41"/>
  <c r="R161" i="41"/>
  <c r="S161" i="41"/>
  <c r="T161" i="41"/>
  <c r="U161" i="41"/>
  <c r="V161" i="41"/>
  <c r="W161" i="41"/>
  <c r="X161" i="41"/>
  <c r="Y161" i="41"/>
  <c r="Z161" i="41"/>
  <c r="AA161" i="41"/>
  <c r="AB161" i="41"/>
  <c r="AC161" i="41"/>
  <c r="AD161" i="41"/>
  <c r="AE161" i="41"/>
  <c r="AF161" i="41"/>
  <c r="D162" i="41"/>
  <c r="E162" i="41"/>
  <c r="F162" i="41"/>
  <c r="G162" i="41"/>
  <c r="H162" i="41"/>
  <c r="I162" i="41"/>
  <c r="J162" i="41"/>
  <c r="K162" i="41"/>
  <c r="L162" i="41"/>
  <c r="M162" i="41"/>
  <c r="N162" i="41"/>
  <c r="O162" i="41"/>
  <c r="P162" i="41"/>
  <c r="Q162" i="41"/>
  <c r="R162" i="41"/>
  <c r="S162" i="41"/>
  <c r="T162" i="41"/>
  <c r="U162" i="41"/>
  <c r="V162" i="41"/>
  <c r="W162" i="41"/>
  <c r="X162" i="41"/>
  <c r="Y162" i="41"/>
  <c r="Z162" i="41"/>
  <c r="AA162" i="41"/>
  <c r="AB162" i="41"/>
  <c r="AC162" i="41"/>
  <c r="AD162" i="41"/>
  <c r="AE162" i="41"/>
  <c r="AF162" i="41"/>
  <c r="D163" i="41"/>
  <c r="E163" i="41"/>
  <c r="F163" i="41"/>
  <c r="G163" i="41"/>
  <c r="H163" i="41"/>
  <c r="I163" i="41"/>
  <c r="J163" i="41"/>
  <c r="K163" i="41"/>
  <c r="L163" i="41"/>
  <c r="M163" i="41"/>
  <c r="N163" i="41"/>
  <c r="O163" i="41"/>
  <c r="P163" i="41"/>
  <c r="Q163" i="41"/>
  <c r="R163" i="41"/>
  <c r="S163" i="41"/>
  <c r="T163" i="41"/>
  <c r="U163" i="41"/>
  <c r="V163" i="41"/>
  <c r="W163" i="41"/>
  <c r="X163" i="41"/>
  <c r="Y163" i="41"/>
  <c r="Z163" i="41"/>
  <c r="AA163" i="41"/>
  <c r="AB163" i="41"/>
  <c r="AC163" i="41"/>
  <c r="AD163" i="41"/>
  <c r="AE163" i="41"/>
  <c r="AF163" i="41"/>
  <c r="D164" i="41"/>
  <c r="E164" i="41"/>
  <c r="F164" i="41"/>
  <c r="G164" i="41"/>
  <c r="H164" i="41"/>
  <c r="I164" i="41"/>
  <c r="J164" i="41"/>
  <c r="K164" i="41"/>
  <c r="L164" i="41"/>
  <c r="M164" i="41"/>
  <c r="N164" i="41"/>
  <c r="O164" i="41"/>
  <c r="P164" i="41"/>
  <c r="Q164" i="41"/>
  <c r="R164" i="41"/>
  <c r="S164" i="41"/>
  <c r="T164" i="41"/>
  <c r="U164" i="41"/>
  <c r="V164" i="41"/>
  <c r="W164" i="41"/>
  <c r="X164" i="41"/>
  <c r="Y164" i="41"/>
  <c r="Z164" i="41"/>
  <c r="AA164" i="41"/>
  <c r="AB164" i="41"/>
  <c r="AC164" i="41"/>
  <c r="AD164" i="41"/>
  <c r="AE164" i="41"/>
  <c r="AF164" i="41"/>
  <c r="D165" i="41"/>
  <c r="E165" i="41"/>
  <c r="F165" i="41"/>
  <c r="G165" i="41"/>
  <c r="H165" i="41"/>
  <c r="I165" i="41"/>
  <c r="J165" i="41"/>
  <c r="K165" i="41"/>
  <c r="L165" i="41"/>
  <c r="M165" i="41"/>
  <c r="N165" i="41"/>
  <c r="O165" i="41"/>
  <c r="P165" i="41"/>
  <c r="Q165" i="41"/>
  <c r="R165" i="41"/>
  <c r="S165" i="41"/>
  <c r="T165" i="41"/>
  <c r="U165" i="41"/>
  <c r="V165" i="41"/>
  <c r="W165" i="41"/>
  <c r="X165" i="41"/>
  <c r="Y165" i="41"/>
  <c r="Z165" i="41"/>
  <c r="AA165" i="41"/>
  <c r="AB165" i="41"/>
  <c r="AC165" i="41"/>
  <c r="AD165" i="41"/>
  <c r="AE165" i="41"/>
  <c r="AF165" i="41"/>
  <c r="D166" i="41"/>
  <c r="E166" i="41"/>
  <c r="F166" i="41"/>
  <c r="G166" i="41"/>
  <c r="H166" i="41"/>
  <c r="I166" i="41"/>
  <c r="J166" i="41"/>
  <c r="K166" i="41"/>
  <c r="L166" i="41"/>
  <c r="M166" i="41"/>
  <c r="N166" i="41"/>
  <c r="O166" i="41"/>
  <c r="P166" i="41"/>
  <c r="Q166" i="41"/>
  <c r="R166" i="41"/>
  <c r="S166" i="41"/>
  <c r="T166" i="41"/>
  <c r="U166" i="41"/>
  <c r="V166" i="41"/>
  <c r="W166" i="41"/>
  <c r="X166" i="41"/>
  <c r="Y166" i="41"/>
  <c r="Z166" i="41"/>
  <c r="AA166" i="41"/>
  <c r="AB166" i="41"/>
  <c r="AC166" i="41"/>
  <c r="AD166" i="41"/>
  <c r="AE166" i="41"/>
  <c r="AF166" i="41"/>
  <c r="D167" i="41"/>
  <c r="E167" i="41"/>
  <c r="F167" i="41"/>
  <c r="G167" i="41"/>
  <c r="H167" i="41"/>
  <c r="I167" i="41"/>
  <c r="J167" i="41"/>
  <c r="K167" i="41"/>
  <c r="L167" i="41"/>
  <c r="M167" i="41"/>
  <c r="N167" i="41"/>
  <c r="O167" i="41"/>
  <c r="P167" i="41"/>
  <c r="Q167" i="41"/>
  <c r="R167" i="41"/>
  <c r="S167" i="41"/>
  <c r="T167" i="41"/>
  <c r="U167" i="41"/>
  <c r="V167" i="41"/>
  <c r="W167" i="41"/>
  <c r="X167" i="41"/>
  <c r="Y167" i="41"/>
  <c r="Z167" i="41"/>
  <c r="AA167" i="41"/>
  <c r="AB167" i="41"/>
  <c r="AC167" i="41"/>
  <c r="AD167" i="41"/>
  <c r="AE167" i="41"/>
  <c r="AF167" i="41"/>
  <c r="D168" i="41"/>
  <c r="E168" i="41"/>
  <c r="F168" i="41"/>
  <c r="G168" i="41"/>
  <c r="H168" i="41"/>
  <c r="I168" i="41"/>
  <c r="J168" i="41"/>
  <c r="K168" i="41"/>
  <c r="L168" i="41"/>
  <c r="M168" i="41"/>
  <c r="N168" i="41"/>
  <c r="O168" i="41"/>
  <c r="P168" i="41"/>
  <c r="Q168" i="41"/>
  <c r="R168" i="41"/>
  <c r="S168" i="41"/>
  <c r="T168" i="41"/>
  <c r="U168" i="41"/>
  <c r="V168" i="41"/>
  <c r="W168" i="41"/>
  <c r="X168" i="41"/>
  <c r="Y168" i="41"/>
  <c r="Z168" i="41"/>
  <c r="AA168" i="41"/>
  <c r="AB168" i="41"/>
  <c r="AC168" i="41"/>
  <c r="AD168" i="41"/>
  <c r="AE168" i="41"/>
  <c r="AF168" i="41"/>
  <c r="D169" i="41"/>
  <c r="E169" i="41"/>
  <c r="F169" i="41"/>
  <c r="G169" i="41"/>
  <c r="H169" i="41"/>
  <c r="I169" i="41"/>
  <c r="J169" i="41"/>
  <c r="K169" i="41"/>
  <c r="L169" i="41"/>
  <c r="M169" i="41"/>
  <c r="N169" i="41"/>
  <c r="O169" i="41"/>
  <c r="P169" i="41"/>
  <c r="Q169" i="41"/>
  <c r="R169" i="41"/>
  <c r="S169" i="41"/>
  <c r="T169" i="41"/>
  <c r="U169" i="41"/>
  <c r="V169" i="41"/>
  <c r="W169" i="41"/>
  <c r="X169" i="41"/>
  <c r="Y169" i="41"/>
  <c r="Z169" i="41"/>
  <c r="AA169" i="41"/>
  <c r="AB169" i="41"/>
  <c r="AC169" i="41"/>
  <c r="AD169" i="41"/>
  <c r="AE169" i="41"/>
  <c r="AF169" i="41"/>
  <c r="D175" i="41"/>
  <c r="E175" i="41"/>
  <c r="F175" i="41"/>
  <c r="G175" i="41"/>
  <c r="H175" i="41"/>
  <c r="I175" i="41"/>
  <c r="J175" i="41"/>
  <c r="K175" i="41"/>
  <c r="L175" i="41"/>
  <c r="M175" i="41"/>
  <c r="N175" i="41"/>
  <c r="O175" i="41"/>
  <c r="P175" i="41"/>
  <c r="Q175" i="41"/>
  <c r="R175" i="41"/>
  <c r="S175" i="41"/>
  <c r="T175" i="41"/>
  <c r="U175" i="41"/>
  <c r="V175" i="41"/>
  <c r="W175" i="41"/>
  <c r="X175" i="41"/>
  <c r="Y175" i="41"/>
  <c r="Z175" i="41"/>
  <c r="AA175" i="41"/>
  <c r="AB175" i="41"/>
  <c r="AC175" i="41"/>
  <c r="AD175" i="41"/>
  <c r="AE175" i="41"/>
  <c r="AF175" i="41"/>
  <c r="D176" i="41"/>
  <c r="E176" i="41"/>
  <c r="F176" i="41"/>
  <c r="G176" i="41"/>
  <c r="H176" i="41"/>
  <c r="I176" i="41"/>
  <c r="J176" i="41"/>
  <c r="K176" i="41"/>
  <c r="L176" i="41"/>
  <c r="M176" i="41"/>
  <c r="N176" i="41"/>
  <c r="O176" i="41"/>
  <c r="P176" i="41"/>
  <c r="Q176" i="41"/>
  <c r="R176" i="41"/>
  <c r="S176" i="41"/>
  <c r="T176" i="41"/>
  <c r="U176" i="41"/>
  <c r="V176" i="41"/>
  <c r="W176" i="41"/>
  <c r="X176" i="41"/>
  <c r="Y176" i="41"/>
  <c r="Z176" i="41"/>
  <c r="AA176" i="41"/>
  <c r="AB176" i="41"/>
  <c r="AC176" i="41"/>
  <c r="AD176" i="41"/>
  <c r="AE176" i="41"/>
  <c r="AF176" i="41"/>
  <c r="D177" i="41"/>
  <c r="E177" i="41"/>
  <c r="F177" i="41"/>
  <c r="G177" i="41"/>
  <c r="H177" i="41"/>
  <c r="I177" i="41"/>
  <c r="J177" i="41"/>
  <c r="K177" i="41"/>
  <c r="L177" i="41"/>
  <c r="M177" i="41"/>
  <c r="N177" i="41"/>
  <c r="O177" i="41"/>
  <c r="P177" i="41"/>
  <c r="Q177" i="41"/>
  <c r="R177" i="41"/>
  <c r="S177" i="41"/>
  <c r="T177" i="41"/>
  <c r="U177" i="41"/>
  <c r="V177" i="41"/>
  <c r="W177" i="41"/>
  <c r="X177" i="41"/>
  <c r="Y177" i="41"/>
  <c r="Z177" i="41"/>
  <c r="AA177" i="41"/>
  <c r="AB177" i="41"/>
  <c r="AC177" i="41"/>
  <c r="AD177" i="41"/>
  <c r="AE177" i="41"/>
  <c r="AF177" i="41"/>
  <c r="D178" i="41"/>
  <c r="E178" i="41"/>
  <c r="F178" i="41"/>
  <c r="G178" i="41"/>
  <c r="H178" i="41"/>
  <c r="I178" i="41"/>
  <c r="J178" i="41"/>
  <c r="K178" i="41"/>
  <c r="L178" i="41"/>
  <c r="M178" i="41"/>
  <c r="N178" i="41"/>
  <c r="O178" i="41"/>
  <c r="P178" i="41"/>
  <c r="Q178" i="41"/>
  <c r="R178" i="41"/>
  <c r="S178" i="41"/>
  <c r="T178" i="41"/>
  <c r="U178" i="41"/>
  <c r="V178" i="41"/>
  <c r="W178" i="41"/>
  <c r="X178" i="41"/>
  <c r="Y178" i="41"/>
  <c r="Z178" i="41"/>
  <c r="AA178" i="41"/>
  <c r="AB178" i="41"/>
  <c r="AC178" i="41"/>
  <c r="AD178" i="41"/>
  <c r="AE178" i="41"/>
  <c r="AF178" i="41"/>
  <c r="D179" i="41"/>
  <c r="E179" i="41"/>
  <c r="F179" i="41"/>
  <c r="G179" i="41"/>
  <c r="H179" i="41"/>
  <c r="I179" i="41"/>
  <c r="J179" i="41"/>
  <c r="K179" i="41"/>
  <c r="L179" i="41"/>
  <c r="M179" i="41"/>
  <c r="N179" i="41"/>
  <c r="O179" i="41"/>
  <c r="P179" i="41"/>
  <c r="Q179" i="41"/>
  <c r="R179" i="41"/>
  <c r="S179" i="41"/>
  <c r="T179" i="41"/>
  <c r="U179" i="41"/>
  <c r="V179" i="41"/>
  <c r="W179" i="41"/>
  <c r="X179" i="41"/>
  <c r="Y179" i="41"/>
  <c r="Z179" i="41"/>
  <c r="AA179" i="41"/>
  <c r="AB179" i="41"/>
  <c r="AC179" i="41"/>
  <c r="AD179" i="41"/>
  <c r="AE179" i="41"/>
  <c r="AF179" i="41"/>
  <c r="D180" i="41"/>
  <c r="E180" i="41"/>
  <c r="F180" i="41"/>
  <c r="G180" i="41"/>
  <c r="H180" i="41"/>
  <c r="I180" i="41"/>
  <c r="J180" i="41"/>
  <c r="K180" i="41"/>
  <c r="L180" i="41"/>
  <c r="M180" i="41"/>
  <c r="N180" i="41"/>
  <c r="O180" i="41"/>
  <c r="P180" i="41"/>
  <c r="Q180" i="41"/>
  <c r="R180" i="41"/>
  <c r="S180" i="41"/>
  <c r="T180" i="41"/>
  <c r="U180" i="41"/>
  <c r="V180" i="41"/>
  <c r="W180" i="41"/>
  <c r="X180" i="41"/>
  <c r="Y180" i="41"/>
  <c r="Z180" i="41"/>
  <c r="AA180" i="41"/>
  <c r="AB180" i="41"/>
  <c r="AC180" i="41"/>
  <c r="AD180" i="41"/>
  <c r="AE180" i="41"/>
  <c r="AF180" i="41"/>
  <c r="D181" i="41"/>
  <c r="E181" i="41"/>
  <c r="F181" i="41"/>
  <c r="G181" i="41"/>
  <c r="H181" i="41"/>
  <c r="I181" i="41"/>
  <c r="J181" i="41"/>
  <c r="K181" i="41"/>
  <c r="L181" i="41"/>
  <c r="M181" i="41"/>
  <c r="N181" i="41"/>
  <c r="O181" i="41"/>
  <c r="P181" i="41"/>
  <c r="Q181" i="41"/>
  <c r="R181" i="41"/>
  <c r="S181" i="41"/>
  <c r="T181" i="41"/>
  <c r="U181" i="41"/>
  <c r="V181" i="41"/>
  <c r="W181" i="41"/>
  <c r="X181" i="41"/>
  <c r="Y181" i="41"/>
  <c r="Z181" i="41"/>
  <c r="AA181" i="41"/>
  <c r="AB181" i="41"/>
  <c r="AC181" i="41"/>
  <c r="AD181" i="41"/>
  <c r="AE181" i="41"/>
  <c r="AF181" i="41"/>
  <c r="D182" i="41"/>
  <c r="E182" i="41"/>
  <c r="F182" i="41"/>
  <c r="G182" i="41"/>
  <c r="H182" i="41"/>
  <c r="I182" i="41"/>
  <c r="J182" i="41"/>
  <c r="K182" i="41"/>
  <c r="L182" i="41"/>
  <c r="M182" i="41"/>
  <c r="N182" i="41"/>
  <c r="O182" i="41"/>
  <c r="P182" i="41"/>
  <c r="Q182" i="41"/>
  <c r="R182" i="41"/>
  <c r="S182" i="41"/>
  <c r="T182" i="41"/>
  <c r="U182" i="41"/>
  <c r="V182" i="41"/>
  <c r="W182" i="41"/>
  <c r="X182" i="41"/>
  <c r="Y182" i="41"/>
  <c r="Z182" i="41"/>
  <c r="AA182" i="41"/>
  <c r="AB182" i="41"/>
  <c r="AC182" i="41"/>
  <c r="AD182" i="41"/>
  <c r="AE182" i="41"/>
  <c r="AF182" i="41"/>
  <c r="D183" i="41"/>
  <c r="E183" i="41"/>
  <c r="F183" i="41"/>
  <c r="G183" i="41"/>
  <c r="H183" i="41"/>
  <c r="I183" i="41"/>
  <c r="J183" i="41"/>
  <c r="K183" i="41"/>
  <c r="L183" i="41"/>
  <c r="M183" i="41"/>
  <c r="N183" i="41"/>
  <c r="O183" i="41"/>
  <c r="P183" i="41"/>
  <c r="Q183" i="41"/>
  <c r="R183" i="41"/>
  <c r="S183" i="41"/>
  <c r="T183" i="41"/>
  <c r="U183" i="41"/>
  <c r="V183" i="41"/>
  <c r="W183" i="41"/>
  <c r="X183" i="41"/>
  <c r="Y183" i="41"/>
  <c r="Z183" i="41"/>
  <c r="AA183" i="41"/>
  <c r="AB183" i="41"/>
  <c r="AC183" i="41"/>
  <c r="AD183" i="41"/>
  <c r="AE183" i="41"/>
  <c r="AF183" i="41"/>
  <c r="D184" i="41"/>
  <c r="E184" i="41"/>
  <c r="F184" i="41"/>
  <c r="G184" i="41"/>
  <c r="H184" i="41"/>
  <c r="I184" i="41"/>
  <c r="J184" i="41"/>
  <c r="K184" i="41"/>
  <c r="L184" i="41"/>
  <c r="M184" i="41"/>
  <c r="N184" i="41"/>
  <c r="O184" i="41"/>
  <c r="P184" i="41"/>
  <c r="Q184" i="41"/>
  <c r="R184" i="41"/>
  <c r="S184" i="41"/>
  <c r="T184" i="41"/>
  <c r="U184" i="41"/>
  <c r="V184" i="41"/>
  <c r="W184" i="41"/>
  <c r="X184" i="41"/>
  <c r="Y184" i="41"/>
  <c r="Z184" i="41"/>
  <c r="AA184" i="41"/>
  <c r="AB184" i="41"/>
  <c r="AC184" i="41"/>
  <c r="AD184" i="41"/>
  <c r="AE184" i="41"/>
  <c r="AF184" i="41"/>
  <c r="D186" i="41"/>
  <c r="E186" i="41"/>
  <c r="F186" i="41"/>
  <c r="G186" i="41"/>
  <c r="H186" i="41"/>
  <c r="I186" i="41"/>
  <c r="J186" i="41"/>
  <c r="K186" i="41"/>
  <c r="L186" i="41"/>
  <c r="M186" i="41"/>
  <c r="N186" i="41"/>
  <c r="O186" i="41"/>
  <c r="P186" i="41"/>
  <c r="Q186" i="41"/>
  <c r="R186" i="41"/>
  <c r="S186" i="41"/>
  <c r="T186" i="41"/>
  <c r="U186" i="41"/>
  <c r="V186" i="41"/>
  <c r="W186" i="41"/>
  <c r="X186" i="41"/>
  <c r="Y186" i="41"/>
  <c r="Z186" i="41"/>
  <c r="AA186" i="41"/>
  <c r="AB186" i="41"/>
  <c r="AC186" i="41"/>
  <c r="AD186" i="41"/>
  <c r="AE186" i="41"/>
  <c r="AF186" i="41"/>
  <c r="D187" i="41"/>
  <c r="E187" i="41"/>
  <c r="F187" i="41"/>
  <c r="G187" i="41"/>
  <c r="H187" i="41"/>
  <c r="I187" i="41"/>
  <c r="J187" i="41"/>
  <c r="K187" i="41"/>
  <c r="L187" i="41"/>
  <c r="M187" i="41"/>
  <c r="N187" i="41"/>
  <c r="O187" i="41"/>
  <c r="P187" i="41"/>
  <c r="Q187" i="41"/>
  <c r="R187" i="41"/>
  <c r="S187" i="41"/>
  <c r="T187" i="41"/>
  <c r="U187" i="41"/>
  <c r="V187" i="41"/>
  <c r="W187" i="41"/>
  <c r="X187" i="41"/>
  <c r="Y187" i="41"/>
  <c r="Z187" i="41"/>
  <c r="AA187" i="41"/>
  <c r="AB187" i="41"/>
  <c r="AC187" i="41"/>
  <c r="AD187" i="41"/>
  <c r="AE187" i="41"/>
  <c r="AF187" i="41"/>
  <c r="D188" i="41"/>
  <c r="E188" i="41"/>
  <c r="F188" i="41"/>
  <c r="G188" i="41"/>
  <c r="H188" i="41"/>
  <c r="I188" i="41"/>
  <c r="J188" i="41"/>
  <c r="K188" i="41"/>
  <c r="L188" i="41"/>
  <c r="M188" i="41"/>
  <c r="N188" i="41"/>
  <c r="O188" i="41"/>
  <c r="P188" i="41"/>
  <c r="Q188" i="41"/>
  <c r="R188" i="41"/>
  <c r="S188" i="41"/>
  <c r="T188" i="41"/>
  <c r="U188" i="41"/>
  <c r="V188" i="41"/>
  <c r="W188" i="41"/>
  <c r="X188" i="41"/>
  <c r="Y188" i="41"/>
  <c r="Z188" i="41"/>
  <c r="AA188" i="41"/>
  <c r="AB188" i="41"/>
  <c r="AC188" i="41"/>
  <c r="AD188" i="41"/>
  <c r="AE188" i="41"/>
  <c r="AF188" i="41"/>
  <c r="D189" i="41"/>
  <c r="E189" i="41"/>
  <c r="F189" i="41"/>
  <c r="G189" i="41"/>
  <c r="H189" i="41"/>
  <c r="I189" i="41"/>
  <c r="J189" i="41"/>
  <c r="K189" i="41"/>
  <c r="L189" i="41"/>
  <c r="M189" i="41"/>
  <c r="N189" i="41"/>
  <c r="O189" i="41"/>
  <c r="P189" i="41"/>
  <c r="Q189" i="41"/>
  <c r="R189" i="41"/>
  <c r="S189" i="41"/>
  <c r="T189" i="41"/>
  <c r="U189" i="41"/>
  <c r="V189" i="41"/>
  <c r="W189" i="41"/>
  <c r="X189" i="41"/>
  <c r="Y189" i="41"/>
  <c r="Z189" i="41"/>
  <c r="AA189" i="41"/>
  <c r="AB189" i="41"/>
  <c r="AC189" i="41"/>
  <c r="AD189" i="41"/>
  <c r="AE189" i="41"/>
  <c r="AF189" i="41"/>
  <c r="D190" i="41"/>
  <c r="E190" i="41"/>
  <c r="F190" i="41"/>
  <c r="G190" i="41"/>
  <c r="H190" i="41"/>
  <c r="I190" i="41"/>
  <c r="J190" i="41"/>
  <c r="K190" i="41"/>
  <c r="L190" i="41"/>
  <c r="M190" i="41"/>
  <c r="N190" i="41"/>
  <c r="O190" i="41"/>
  <c r="P190" i="41"/>
  <c r="Q190" i="41"/>
  <c r="R190" i="41"/>
  <c r="S190" i="41"/>
  <c r="T190" i="41"/>
  <c r="U190" i="41"/>
  <c r="V190" i="41"/>
  <c r="W190" i="41"/>
  <c r="X190" i="41"/>
  <c r="Y190" i="41"/>
  <c r="Z190" i="41"/>
  <c r="AA190" i="41"/>
  <c r="AB190" i="41"/>
  <c r="AC190" i="41"/>
  <c r="AD190" i="41"/>
  <c r="AE190" i="41"/>
  <c r="AF190" i="41"/>
  <c r="D191" i="41"/>
  <c r="E191" i="41"/>
  <c r="F191" i="41"/>
  <c r="G191" i="41"/>
  <c r="H191" i="41"/>
  <c r="I191" i="41"/>
  <c r="J191" i="41"/>
  <c r="K191" i="41"/>
  <c r="L191" i="41"/>
  <c r="M191" i="41"/>
  <c r="N191" i="41"/>
  <c r="O191" i="41"/>
  <c r="P191" i="41"/>
  <c r="Q191" i="41"/>
  <c r="R191" i="41"/>
  <c r="S191" i="41"/>
  <c r="T191" i="41"/>
  <c r="U191" i="41"/>
  <c r="V191" i="41"/>
  <c r="W191" i="41"/>
  <c r="X191" i="41"/>
  <c r="Y191" i="41"/>
  <c r="Z191" i="41"/>
  <c r="AA191" i="41"/>
  <c r="AB191" i="41"/>
  <c r="AC191" i="41"/>
  <c r="AD191" i="41"/>
  <c r="AE191" i="41"/>
  <c r="AF191" i="41"/>
  <c r="D192" i="41"/>
  <c r="E192" i="41"/>
  <c r="F192" i="41"/>
  <c r="G192" i="41"/>
  <c r="H192" i="41"/>
  <c r="I192" i="41"/>
  <c r="J192" i="41"/>
  <c r="K192" i="41"/>
  <c r="L192" i="41"/>
  <c r="M192" i="41"/>
  <c r="N192" i="41"/>
  <c r="O192" i="41"/>
  <c r="P192" i="41"/>
  <c r="Q192" i="41"/>
  <c r="R192" i="41"/>
  <c r="S192" i="41"/>
  <c r="T192" i="41"/>
  <c r="U192" i="41"/>
  <c r="V192" i="41"/>
  <c r="W192" i="41"/>
  <c r="X192" i="41"/>
  <c r="Y192" i="41"/>
  <c r="Z192" i="41"/>
  <c r="AA192" i="41"/>
  <c r="AB192" i="41"/>
  <c r="AC192" i="41"/>
  <c r="AD192" i="41"/>
  <c r="AE192" i="41"/>
  <c r="AF192" i="41"/>
  <c r="D193" i="41"/>
  <c r="E193" i="41"/>
  <c r="F193" i="41"/>
  <c r="G193" i="41"/>
  <c r="H193" i="41"/>
  <c r="I193" i="41"/>
  <c r="J193" i="41"/>
  <c r="K193" i="41"/>
  <c r="L193" i="41"/>
  <c r="M193" i="41"/>
  <c r="N193" i="41"/>
  <c r="O193" i="41"/>
  <c r="P193" i="41"/>
  <c r="Q193" i="41"/>
  <c r="R193" i="41"/>
  <c r="S193" i="41"/>
  <c r="T193" i="41"/>
  <c r="U193" i="41"/>
  <c r="V193" i="41"/>
  <c r="W193" i="41"/>
  <c r="X193" i="41"/>
  <c r="Y193" i="41"/>
  <c r="Z193" i="41"/>
  <c r="AA193" i="41"/>
  <c r="AB193" i="41"/>
  <c r="AC193" i="41"/>
  <c r="AD193" i="41"/>
  <c r="AE193" i="41"/>
  <c r="AF193" i="41"/>
  <c r="D194" i="41"/>
  <c r="E194" i="41"/>
  <c r="F194" i="41"/>
  <c r="G194" i="41"/>
  <c r="H194" i="41"/>
  <c r="I194" i="41"/>
  <c r="J194" i="41"/>
  <c r="K194" i="41"/>
  <c r="L194" i="41"/>
  <c r="M194" i="41"/>
  <c r="N194" i="41"/>
  <c r="O194" i="41"/>
  <c r="P194" i="41"/>
  <c r="Q194" i="41"/>
  <c r="R194" i="41"/>
  <c r="S194" i="41"/>
  <c r="T194" i="41"/>
  <c r="U194" i="41"/>
  <c r="V194" i="41"/>
  <c r="W194" i="41"/>
  <c r="X194" i="41"/>
  <c r="Y194" i="41"/>
  <c r="Z194" i="41"/>
  <c r="AA194" i="41"/>
  <c r="AB194" i="41"/>
  <c r="AC194" i="41"/>
  <c r="AD194" i="41"/>
  <c r="AE194" i="41"/>
  <c r="AF194" i="41"/>
  <c r="D195" i="41"/>
  <c r="E195" i="41"/>
  <c r="F195" i="41"/>
  <c r="G195" i="41"/>
  <c r="H195" i="41"/>
  <c r="I195" i="41"/>
  <c r="J195" i="41"/>
  <c r="K195" i="41"/>
  <c r="L195" i="41"/>
  <c r="M195" i="41"/>
  <c r="N195" i="41"/>
  <c r="O195" i="41"/>
  <c r="P195" i="41"/>
  <c r="Q195" i="41"/>
  <c r="R195" i="41"/>
  <c r="S195" i="41"/>
  <c r="T195" i="41"/>
  <c r="U195" i="41"/>
  <c r="V195" i="41"/>
  <c r="W195" i="41"/>
  <c r="X195" i="41"/>
  <c r="Y195" i="41"/>
  <c r="Z195" i="41"/>
  <c r="AA195" i="41"/>
  <c r="AB195" i="41"/>
  <c r="AC195" i="41"/>
  <c r="AD195" i="41"/>
  <c r="AE195" i="41"/>
  <c r="AF195" i="41"/>
  <c r="D197" i="41"/>
  <c r="E197" i="41"/>
  <c r="F197" i="41"/>
  <c r="G197" i="41"/>
  <c r="H197" i="41"/>
  <c r="I197" i="41"/>
  <c r="J197" i="41"/>
  <c r="K197" i="41"/>
  <c r="L197" i="41"/>
  <c r="M197" i="41"/>
  <c r="N197" i="41"/>
  <c r="O197" i="41"/>
  <c r="P197" i="41"/>
  <c r="Q197" i="41"/>
  <c r="R197" i="41"/>
  <c r="S197" i="41"/>
  <c r="T197" i="41"/>
  <c r="U197" i="41"/>
  <c r="V197" i="41"/>
  <c r="W197" i="41"/>
  <c r="X197" i="41"/>
  <c r="Y197" i="41"/>
  <c r="Z197" i="41"/>
  <c r="AA197" i="41"/>
  <c r="AB197" i="41"/>
  <c r="AC197" i="41"/>
  <c r="AD197" i="41"/>
  <c r="AE197" i="41"/>
  <c r="AF197" i="41"/>
  <c r="D198" i="41"/>
  <c r="E198" i="41"/>
  <c r="F198" i="41"/>
  <c r="G198" i="41"/>
  <c r="H198" i="41"/>
  <c r="I198" i="41"/>
  <c r="J198" i="41"/>
  <c r="K198" i="41"/>
  <c r="L198" i="41"/>
  <c r="M198" i="41"/>
  <c r="N198" i="41"/>
  <c r="O198" i="41"/>
  <c r="P198" i="41"/>
  <c r="Q198" i="41"/>
  <c r="R198" i="41"/>
  <c r="S198" i="41"/>
  <c r="T198" i="41"/>
  <c r="U198" i="41"/>
  <c r="V198" i="41"/>
  <c r="W198" i="41"/>
  <c r="X198" i="41"/>
  <c r="Y198" i="41"/>
  <c r="Z198" i="41"/>
  <c r="AA198" i="41"/>
  <c r="AB198" i="41"/>
  <c r="AC198" i="41"/>
  <c r="AD198" i="41"/>
  <c r="AE198" i="41"/>
  <c r="AF198" i="41"/>
  <c r="D199" i="41"/>
  <c r="E199" i="41"/>
  <c r="F199" i="41"/>
  <c r="G199" i="41"/>
  <c r="H199" i="41"/>
  <c r="I199" i="41"/>
  <c r="J199" i="41"/>
  <c r="K199" i="41"/>
  <c r="L199" i="41"/>
  <c r="M199" i="41"/>
  <c r="N199" i="41"/>
  <c r="O199" i="41"/>
  <c r="P199" i="41"/>
  <c r="Q199" i="41"/>
  <c r="R199" i="41"/>
  <c r="S199" i="41"/>
  <c r="T199" i="41"/>
  <c r="U199" i="41"/>
  <c r="V199" i="41"/>
  <c r="W199" i="41"/>
  <c r="X199" i="41"/>
  <c r="Y199" i="41"/>
  <c r="Z199" i="41"/>
  <c r="AA199" i="41"/>
  <c r="AB199" i="41"/>
  <c r="AC199" i="41"/>
  <c r="AD199" i="41"/>
  <c r="AE199" i="41"/>
  <c r="AF199" i="41"/>
  <c r="D200" i="41"/>
  <c r="E200" i="41"/>
  <c r="F200" i="41"/>
  <c r="G200" i="41"/>
  <c r="H200" i="41"/>
  <c r="I200" i="41"/>
  <c r="J200" i="41"/>
  <c r="K200" i="41"/>
  <c r="L200" i="41"/>
  <c r="M200" i="41"/>
  <c r="N200" i="41"/>
  <c r="O200" i="41"/>
  <c r="P200" i="41"/>
  <c r="Q200" i="41"/>
  <c r="R200" i="41"/>
  <c r="S200" i="41"/>
  <c r="T200" i="41"/>
  <c r="U200" i="41"/>
  <c r="V200" i="41"/>
  <c r="W200" i="41"/>
  <c r="X200" i="41"/>
  <c r="Y200" i="41"/>
  <c r="Z200" i="41"/>
  <c r="AA200" i="41"/>
  <c r="AB200" i="41"/>
  <c r="AC200" i="41"/>
  <c r="AD200" i="41"/>
  <c r="AE200" i="41"/>
  <c r="AF200" i="41"/>
  <c r="D201" i="41"/>
  <c r="E201" i="41"/>
  <c r="F201" i="41"/>
  <c r="G201" i="41"/>
  <c r="H201" i="41"/>
  <c r="I201" i="41"/>
  <c r="J201" i="41"/>
  <c r="K201" i="41"/>
  <c r="L201" i="41"/>
  <c r="M201" i="41"/>
  <c r="N201" i="41"/>
  <c r="O201" i="41"/>
  <c r="P201" i="41"/>
  <c r="Q201" i="41"/>
  <c r="R201" i="41"/>
  <c r="S201" i="41"/>
  <c r="T201" i="41"/>
  <c r="U201" i="41"/>
  <c r="V201" i="41"/>
  <c r="W201" i="41"/>
  <c r="X201" i="41"/>
  <c r="Y201" i="41"/>
  <c r="Z201" i="41"/>
  <c r="AA201" i="41"/>
  <c r="AB201" i="41"/>
  <c r="AC201" i="41"/>
  <c r="AD201" i="41"/>
  <c r="AE201" i="41"/>
  <c r="AF201" i="41"/>
  <c r="D202" i="41"/>
  <c r="E202" i="41"/>
  <c r="F202" i="41"/>
  <c r="G202" i="41"/>
  <c r="H202" i="41"/>
  <c r="I202" i="41"/>
  <c r="J202" i="41"/>
  <c r="K202" i="41"/>
  <c r="L202" i="41"/>
  <c r="M202" i="41"/>
  <c r="N202" i="41"/>
  <c r="O202" i="41"/>
  <c r="P202" i="41"/>
  <c r="Q202" i="41"/>
  <c r="R202" i="41"/>
  <c r="S202" i="41"/>
  <c r="T202" i="41"/>
  <c r="U202" i="41"/>
  <c r="V202" i="41"/>
  <c r="W202" i="41"/>
  <c r="X202" i="41"/>
  <c r="Y202" i="41"/>
  <c r="Z202" i="41"/>
  <c r="AA202" i="41"/>
  <c r="AB202" i="41"/>
  <c r="AC202" i="41"/>
  <c r="AD202" i="41"/>
  <c r="AE202" i="41"/>
  <c r="AF202" i="41"/>
  <c r="D203" i="41"/>
  <c r="E203" i="41"/>
  <c r="F203" i="41"/>
  <c r="G203" i="41"/>
  <c r="H203" i="41"/>
  <c r="I203" i="41"/>
  <c r="J203" i="41"/>
  <c r="K203" i="41"/>
  <c r="L203" i="41"/>
  <c r="M203" i="41"/>
  <c r="N203" i="41"/>
  <c r="O203" i="41"/>
  <c r="P203" i="41"/>
  <c r="Q203" i="41"/>
  <c r="R203" i="41"/>
  <c r="S203" i="41"/>
  <c r="T203" i="41"/>
  <c r="U203" i="41"/>
  <c r="V203" i="41"/>
  <c r="W203" i="41"/>
  <c r="X203" i="41"/>
  <c r="Y203" i="41"/>
  <c r="Z203" i="41"/>
  <c r="AA203" i="41"/>
  <c r="AB203" i="41"/>
  <c r="AC203" i="41"/>
  <c r="AD203" i="41"/>
  <c r="AE203" i="41"/>
  <c r="AF203" i="41"/>
  <c r="D204" i="41"/>
  <c r="E204" i="41"/>
  <c r="F204" i="41"/>
  <c r="G204" i="41"/>
  <c r="H204" i="41"/>
  <c r="I204" i="41"/>
  <c r="J204" i="41"/>
  <c r="K204" i="41"/>
  <c r="L204" i="41"/>
  <c r="M204" i="41"/>
  <c r="N204" i="41"/>
  <c r="O204" i="41"/>
  <c r="P204" i="41"/>
  <c r="Q204" i="41"/>
  <c r="R204" i="41"/>
  <c r="S204" i="41"/>
  <c r="T204" i="41"/>
  <c r="U204" i="41"/>
  <c r="V204" i="41"/>
  <c r="W204" i="41"/>
  <c r="X204" i="41"/>
  <c r="Y204" i="41"/>
  <c r="Z204" i="41"/>
  <c r="AA204" i="41"/>
  <c r="AB204" i="41"/>
  <c r="AC204" i="41"/>
  <c r="AD204" i="41"/>
  <c r="AE204" i="41"/>
  <c r="AF204" i="41"/>
  <c r="D205" i="41"/>
  <c r="E205" i="41"/>
  <c r="F205" i="41"/>
  <c r="G205" i="41"/>
  <c r="H205" i="41"/>
  <c r="I205" i="41"/>
  <c r="J205" i="41"/>
  <c r="K205" i="41"/>
  <c r="L205" i="41"/>
  <c r="M205" i="41"/>
  <c r="N205" i="41"/>
  <c r="O205" i="41"/>
  <c r="P205" i="41"/>
  <c r="Q205" i="41"/>
  <c r="R205" i="41"/>
  <c r="S205" i="41"/>
  <c r="T205" i="41"/>
  <c r="U205" i="41"/>
  <c r="V205" i="41"/>
  <c r="W205" i="41"/>
  <c r="X205" i="41"/>
  <c r="Y205" i="41"/>
  <c r="Z205" i="41"/>
  <c r="AA205" i="41"/>
  <c r="AB205" i="41"/>
  <c r="AC205" i="41"/>
  <c r="AD205" i="41"/>
  <c r="AE205" i="41"/>
  <c r="AF205" i="41"/>
  <c r="D206" i="41"/>
  <c r="E206" i="41"/>
  <c r="F206" i="41"/>
  <c r="G206" i="41"/>
  <c r="H206" i="41"/>
  <c r="I206" i="41"/>
  <c r="J206" i="41"/>
  <c r="K206" i="41"/>
  <c r="L206" i="41"/>
  <c r="M206" i="41"/>
  <c r="N206" i="41"/>
  <c r="O206" i="41"/>
  <c r="P206" i="41"/>
  <c r="Q206" i="41"/>
  <c r="R206" i="41"/>
  <c r="S206" i="41"/>
  <c r="T206" i="41"/>
  <c r="U206" i="41"/>
  <c r="V206" i="41"/>
  <c r="W206" i="41"/>
  <c r="X206" i="41"/>
  <c r="Y206" i="41"/>
  <c r="Z206" i="41"/>
  <c r="AA206" i="41"/>
  <c r="AB206" i="41"/>
  <c r="AC206" i="41"/>
  <c r="AD206" i="41"/>
  <c r="AE206" i="41"/>
  <c r="AF206" i="41"/>
  <c r="D207" i="41"/>
  <c r="E207" i="41"/>
  <c r="F207" i="41"/>
  <c r="G207" i="41"/>
  <c r="H207" i="41"/>
  <c r="I207" i="41"/>
  <c r="J207" i="41"/>
  <c r="K207" i="41"/>
  <c r="L207" i="41"/>
  <c r="M207" i="41"/>
  <c r="N207" i="41"/>
  <c r="O207" i="41"/>
  <c r="P207" i="41"/>
  <c r="Q207" i="41"/>
  <c r="R207" i="41"/>
  <c r="S207" i="41"/>
  <c r="T207" i="41"/>
  <c r="U207" i="41"/>
  <c r="V207" i="41"/>
  <c r="W207" i="41"/>
  <c r="X207" i="41"/>
  <c r="Y207" i="41"/>
  <c r="Z207" i="41"/>
  <c r="AA207" i="41"/>
  <c r="AB207" i="41"/>
  <c r="AC207" i="41"/>
  <c r="AD207" i="41"/>
  <c r="AE207" i="41"/>
  <c r="AF207" i="41"/>
  <c r="D211" i="41"/>
  <c r="E211" i="41"/>
  <c r="F211" i="41"/>
  <c r="G211" i="41"/>
  <c r="H211" i="41"/>
  <c r="I211" i="41"/>
  <c r="J211" i="41"/>
  <c r="K211" i="41"/>
  <c r="L211" i="41"/>
  <c r="M211" i="41"/>
  <c r="N211" i="41"/>
  <c r="O211" i="41"/>
  <c r="P211" i="41"/>
  <c r="Q211" i="41"/>
  <c r="R211" i="41"/>
  <c r="S211" i="41"/>
  <c r="T211" i="41"/>
  <c r="U211" i="41"/>
  <c r="V211" i="41"/>
  <c r="W211" i="41"/>
  <c r="X211" i="41"/>
  <c r="Y211" i="41"/>
  <c r="Z211" i="41"/>
  <c r="AA211" i="41"/>
  <c r="AB211" i="41"/>
  <c r="AC211" i="41"/>
  <c r="AD211" i="41"/>
  <c r="AE211" i="41"/>
  <c r="AF211" i="41"/>
  <c r="D212" i="41"/>
  <c r="E212" i="41"/>
  <c r="F212" i="41"/>
  <c r="G212" i="41"/>
  <c r="H212" i="41"/>
  <c r="I212" i="41"/>
  <c r="J212" i="41"/>
  <c r="K212" i="41"/>
  <c r="L212" i="41"/>
  <c r="M212" i="41"/>
  <c r="N212" i="41"/>
  <c r="O212" i="41"/>
  <c r="P212" i="41"/>
  <c r="Q212" i="41"/>
  <c r="R212" i="41"/>
  <c r="S212" i="41"/>
  <c r="T212" i="41"/>
  <c r="U212" i="41"/>
  <c r="V212" i="41"/>
  <c r="W212" i="41"/>
  <c r="X212" i="41"/>
  <c r="Y212" i="41"/>
  <c r="Z212" i="41"/>
  <c r="AA212" i="41"/>
  <c r="AB212" i="41"/>
  <c r="AC212" i="41"/>
  <c r="AD212" i="41"/>
  <c r="AE212" i="41"/>
  <c r="AF212" i="41"/>
  <c r="D213" i="41"/>
  <c r="E213" i="41"/>
  <c r="F213" i="41"/>
  <c r="G213" i="41"/>
  <c r="H213" i="41"/>
  <c r="I213" i="41"/>
  <c r="J213" i="41"/>
  <c r="K213" i="41"/>
  <c r="L213" i="41"/>
  <c r="M213" i="41"/>
  <c r="N213" i="41"/>
  <c r="O213" i="41"/>
  <c r="P213" i="41"/>
  <c r="Q213" i="41"/>
  <c r="R213" i="41"/>
  <c r="S213" i="41"/>
  <c r="T213" i="41"/>
  <c r="U213" i="41"/>
  <c r="V213" i="41"/>
  <c r="W213" i="41"/>
  <c r="X213" i="41"/>
  <c r="Y213" i="41"/>
  <c r="Z213" i="41"/>
  <c r="AA213" i="41"/>
  <c r="AB213" i="41"/>
  <c r="AC213" i="41"/>
  <c r="AD213" i="41"/>
  <c r="AE213" i="41"/>
  <c r="AF213" i="41"/>
  <c r="D214" i="41"/>
  <c r="E214" i="41"/>
  <c r="F214" i="41"/>
  <c r="G214" i="41"/>
  <c r="H214" i="41"/>
  <c r="I214" i="41"/>
  <c r="J214" i="41"/>
  <c r="K214" i="41"/>
  <c r="L214" i="41"/>
  <c r="M214" i="41"/>
  <c r="N214" i="41"/>
  <c r="O214" i="41"/>
  <c r="P214" i="41"/>
  <c r="Q214" i="41"/>
  <c r="R214" i="41"/>
  <c r="S214" i="41"/>
  <c r="T214" i="41"/>
  <c r="U214" i="41"/>
  <c r="V214" i="41"/>
  <c r="W214" i="41"/>
  <c r="X214" i="41"/>
  <c r="Y214" i="41"/>
  <c r="Z214" i="41"/>
  <c r="AA214" i="41"/>
  <c r="AB214" i="41"/>
  <c r="AC214" i="41"/>
  <c r="AD214" i="41"/>
  <c r="AE214" i="41"/>
  <c r="AF214" i="41"/>
  <c r="D215" i="41"/>
  <c r="E215" i="41"/>
  <c r="F215" i="41"/>
  <c r="G215" i="41"/>
  <c r="H215" i="41"/>
  <c r="I215" i="41"/>
  <c r="J215" i="41"/>
  <c r="K215" i="41"/>
  <c r="L215" i="41"/>
  <c r="M215" i="41"/>
  <c r="N215" i="41"/>
  <c r="O215" i="41"/>
  <c r="P215" i="41"/>
  <c r="Q215" i="41"/>
  <c r="R215" i="41"/>
  <c r="S215" i="41"/>
  <c r="T215" i="41"/>
  <c r="U215" i="41"/>
  <c r="V215" i="41"/>
  <c r="W215" i="41"/>
  <c r="X215" i="41"/>
  <c r="Y215" i="41"/>
  <c r="Z215" i="41"/>
  <c r="AA215" i="41"/>
  <c r="AB215" i="41"/>
  <c r="AC215" i="41"/>
  <c r="AD215" i="41"/>
  <c r="AE215" i="41"/>
  <c r="AF215" i="41"/>
  <c r="D216" i="41"/>
  <c r="E216" i="41"/>
  <c r="F216" i="41"/>
  <c r="G216" i="41"/>
  <c r="H216" i="41"/>
  <c r="I216" i="41"/>
  <c r="J216" i="41"/>
  <c r="K216" i="41"/>
  <c r="L216" i="41"/>
  <c r="M216" i="41"/>
  <c r="N216" i="41"/>
  <c r="O216" i="41"/>
  <c r="P216" i="41"/>
  <c r="Q216" i="41"/>
  <c r="R216" i="41"/>
  <c r="S216" i="41"/>
  <c r="T216" i="41"/>
  <c r="U216" i="41"/>
  <c r="V216" i="41"/>
  <c r="W216" i="41"/>
  <c r="X216" i="41"/>
  <c r="Y216" i="41"/>
  <c r="Z216" i="41"/>
  <c r="AA216" i="41"/>
  <c r="AB216" i="41"/>
  <c r="AC216" i="41"/>
  <c r="AD216" i="41"/>
  <c r="AE216" i="41"/>
  <c r="AF216" i="41"/>
  <c r="D217" i="41"/>
  <c r="E217" i="41"/>
  <c r="F217" i="41"/>
  <c r="G217" i="41"/>
  <c r="H217" i="41"/>
  <c r="I217" i="41"/>
  <c r="J217" i="41"/>
  <c r="K217" i="41"/>
  <c r="L217" i="41"/>
  <c r="M217" i="41"/>
  <c r="N217" i="41"/>
  <c r="O217" i="41"/>
  <c r="P217" i="41"/>
  <c r="Q217" i="41"/>
  <c r="R217" i="41"/>
  <c r="S217" i="41"/>
  <c r="T217" i="41"/>
  <c r="U217" i="41"/>
  <c r="V217" i="41"/>
  <c r="W217" i="41"/>
  <c r="X217" i="41"/>
  <c r="Y217" i="41"/>
  <c r="Z217" i="41"/>
  <c r="AA217" i="41"/>
  <c r="AB217" i="41"/>
  <c r="AC217" i="41"/>
  <c r="AD217" i="41"/>
  <c r="AE217" i="41"/>
  <c r="AF217" i="41"/>
  <c r="D218" i="41"/>
  <c r="E218" i="41"/>
  <c r="F218" i="41"/>
  <c r="G218" i="41"/>
  <c r="H218" i="41"/>
  <c r="I218" i="41"/>
  <c r="J218" i="41"/>
  <c r="K218" i="41"/>
  <c r="L218" i="41"/>
  <c r="M218" i="41"/>
  <c r="N218" i="41"/>
  <c r="O218" i="41"/>
  <c r="P218" i="41"/>
  <c r="Q218" i="41"/>
  <c r="R218" i="41"/>
  <c r="S218" i="41"/>
  <c r="T218" i="41"/>
  <c r="U218" i="41"/>
  <c r="V218" i="41"/>
  <c r="W218" i="41"/>
  <c r="X218" i="41"/>
  <c r="Y218" i="41"/>
  <c r="Z218" i="41"/>
  <c r="AA218" i="41"/>
  <c r="AB218" i="41"/>
  <c r="AC218" i="41"/>
  <c r="AD218" i="41"/>
  <c r="AE218" i="41"/>
  <c r="AF218" i="41"/>
  <c r="D219" i="41"/>
  <c r="E219" i="41"/>
  <c r="F219" i="41"/>
  <c r="G219" i="41"/>
  <c r="H219" i="41"/>
  <c r="I219" i="41"/>
  <c r="J219" i="41"/>
  <c r="K219" i="41"/>
  <c r="L219" i="41"/>
  <c r="M219" i="41"/>
  <c r="N219" i="41"/>
  <c r="O219" i="41"/>
  <c r="P219" i="41"/>
  <c r="Q219" i="41"/>
  <c r="R219" i="41"/>
  <c r="S219" i="41"/>
  <c r="T219" i="41"/>
  <c r="U219" i="41"/>
  <c r="V219" i="41"/>
  <c r="W219" i="41"/>
  <c r="X219" i="41"/>
  <c r="Y219" i="41"/>
  <c r="Z219" i="41"/>
  <c r="AA219" i="41"/>
  <c r="AB219" i="41"/>
  <c r="AC219" i="41"/>
  <c r="AD219" i="41"/>
  <c r="AE219" i="41"/>
  <c r="AF219" i="41"/>
  <c r="D220" i="41"/>
  <c r="E220" i="41"/>
  <c r="F220" i="41"/>
  <c r="G220" i="41"/>
  <c r="H220" i="41"/>
  <c r="I220" i="41"/>
  <c r="J220" i="41"/>
  <c r="K220" i="41"/>
  <c r="L220" i="41"/>
  <c r="M220" i="41"/>
  <c r="N220" i="41"/>
  <c r="O220" i="41"/>
  <c r="P220" i="41"/>
  <c r="Q220" i="41"/>
  <c r="R220" i="41"/>
  <c r="S220" i="41"/>
  <c r="T220" i="41"/>
  <c r="U220" i="41"/>
  <c r="V220" i="41"/>
  <c r="W220" i="41"/>
  <c r="X220" i="41"/>
  <c r="Y220" i="41"/>
  <c r="Z220" i="41"/>
  <c r="AA220" i="41"/>
  <c r="AB220" i="41"/>
  <c r="AC220" i="41"/>
  <c r="AD220" i="41"/>
  <c r="AE220" i="41"/>
  <c r="AF220" i="41"/>
  <c r="D221" i="41"/>
  <c r="E221" i="41"/>
  <c r="F221" i="41"/>
  <c r="G221" i="41"/>
  <c r="H221" i="41"/>
  <c r="I221" i="41"/>
  <c r="J221" i="41"/>
  <c r="K221" i="41"/>
  <c r="L221" i="41"/>
  <c r="M221" i="41"/>
  <c r="N221" i="41"/>
  <c r="O221" i="41"/>
  <c r="P221" i="41"/>
  <c r="Q221" i="41"/>
  <c r="R221" i="41"/>
  <c r="S221" i="41"/>
  <c r="T221" i="41"/>
  <c r="U221" i="41"/>
  <c r="V221" i="41"/>
  <c r="W221" i="41"/>
  <c r="X221" i="41"/>
  <c r="Y221" i="41"/>
  <c r="Z221" i="41"/>
  <c r="AA221" i="41"/>
  <c r="AB221" i="41"/>
  <c r="AC221" i="41"/>
  <c r="AD221" i="41"/>
  <c r="AE221" i="41"/>
  <c r="AF221" i="41"/>
  <c r="D222" i="41"/>
  <c r="E222" i="41"/>
  <c r="F222" i="41"/>
  <c r="G222" i="41"/>
  <c r="H222" i="41"/>
  <c r="I222" i="41"/>
  <c r="J222" i="41"/>
  <c r="K222" i="41"/>
  <c r="L222" i="41"/>
  <c r="M222" i="41"/>
  <c r="N222" i="41"/>
  <c r="O222" i="41"/>
  <c r="P222" i="41"/>
  <c r="Q222" i="41"/>
  <c r="R222" i="41"/>
  <c r="S222" i="41"/>
  <c r="T222" i="41"/>
  <c r="U222" i="41"/>
  <c r="V222" i="41"/>
  <c r="W222" i="41"/>
  <c r="X222" i="41"/>
  <c r="Y222" i="41"/>
  <c r="Z222" i="41"/>
  <c r="AA222" i="41"/>
  <c r="AB222" i="41"/>
  <c r="AC222" i="41"/>
  <c r="AD222" i="41"/>
  <c r="AE222" i="41"/>
  <c r="AF222" i="41"/>
  <c r="D223" i="41"/>
  <c r="E223" i="41"/>
  <c r="F223" i="41"/>
  <c r="G223" i="41"/>
  <c r="H223" i="41"/>
  <c r="I223" i="41"/>
  <c r="J223" i="41"/>
  <c r="K223" i="41"/>
  <c r="L223" i="41"/>
  <c r="M223" i="41"/>
  <c r="N223" i="41"/>
  <c r="O223" i="41"/>
  <c r="P223" i="41"/>
  <c r="Q223" i="41"/>
  <c r="R223" i="41"/>
  <c r="S223" i="41"/>
  <c r="T223" i="41"/>
  <c r="U223" i="41"/>
  <c r="V223" i="41"/>
  <c r="W223" i="41"/>
  <c r="X223" i="41"/>
  <c r="Y223" i="41"/>
  <c r="Z223" i="41"/>
  <c r="AA223" i="41"/>
  <c r="AB223" i="41"/>
  <c r="AC223" i="41"/>
  <c r="AD223" i="41"/>
  <c r="AE223" i="41"/>
  <c r="AF223" i="41"/>
  <c r="D224" i="41"/>
  <c r="E224" i="41"/>
  <c r="F224" i="41"/>
  <c r="G224" i="41"/>
  <c r="H224" i="41"/>
  <c r="I224" i="41"/>
  <c r="J224" i="41"/>
  <c r="K224" i="41"/>
  <c r="L224" i="41"/>
  <c r="M224" i="41"/>
  <c r="N224" i="41"/>
  <c r="O224" i="41"/>
  <c r="P224" i="41"/>
  <c r="Q224" i="41"/>
  <c r="R224" i="41"/>
  <c r="S224" i="41"/>
  <c r="T224" i="41"/>
  <c r="U224" i="41"/>
  <c r="V224" i="41"/>
  <c r="W224" i="41"/>
  <c r="X224" i="41"/>
  <c r="Y224" i="41"/>
  <c r="Z224" i="41"/>
  <c r="AA224" i="41"/>
  <c r="AB224" i="41"/>
  <c r="AC224" i="41"/>
  <c r="AD224" i="41"/>
  <c r="AE224" i="41"/>
  <c r="AF224" i="41"/>
  <c r="D225" i="41"/>
  <c r="E225" i="41"/>
  <c r="F225" i="41"/>
  <c r="G225" i="41"/>
  <c r="H225" i="41"/>
  <c r="I225" i="41"/>
  <c r="J225" i="41"/>
  <c r="K225" i="41"/>
  <c r="L225" i="41"/>
  <c r="M225" i="41"/>
  <c r="N225" i="41"/>
  <c r="O225" i="41"/>
  <c r="P225" i="41"/>
  <c r="Q225" i="41"/>
  <c r="R225" i="41"/>
  <c r="S225" i="41"/>
  <c r="T225" i="41"/>
  <c r="U225" i="41"/>
  <c r="V225" i="41"/>
  <c r="W225" i="41"/>
  <c r="X225" i="41"/>
  <c r="Y225" i="41"/>
  <c r="Z225" i="41"/>
  <c r="AA225" i="41"/>
  <c r="AB225" i="41"/>
  <c r="AC225" i="41"/>
  <c r="AD225" i="41"/>
  <c r="AE225" i="41"/>
  <c r="AF225" i="41"/>
  <c r="D226" i="41"/>
  <c r="E226" i="41"/>
  <c r="F226" i="41"/>
  <c r="G226" i="41"/>
  <c r="H226" i="41"/>
  <c r="I226" i="41"/>
  <c r="J226" i="41"/>
  <c r="K226" i="41"/>
  <c r="L226" i="41"/>
  <c r="M226" i="41"/>
  <c r="N226" i="41"/>
  <c r="O226" i="41"/>
  <c r="P226" i="41"/>
  <c r="Q226" i="41"/>
  <c r="R226" i="41"/>
  <c r="S226" i="41"/>
  <c r="T226" i="41"/>
  <c r="U226" i="41"/>
  <c r="V226" i="41"/>
  <c r="W226" i="41"/>
  <c r="X226" i="41"/>
  <c r="Y226" i="41"/>
  <c r="Z226" i="41"/>
  <c r="AA226" i="41"/>
  <c r="AB226" i="41"/>
  <c r="AC226" i="41"/>
  <c r="AD226" i="41"/>
  <c r="AE226" i="41"/>
  <c r="AF226" i="41"/>
  <c r="D227" i="41"/>
  <c r="E227" i="41"/>
  <c r="F227" i="41"/>
  <c r="G227" i="41"/>
  <c r="H227" i="41"/>
  <c r="I227" i="41"/>
  <c r="J227" i="41"/>
  <c r="K227" i="41"/>
  <c r="L227" i="41"/>
  <c r="M227" i="41"/>
  <c r="N227" i="41"/>
  <c r="O227" i="41"/>
  <c r="P227" i="41"/>
  <c r="Q227" i="41"/>
  <c r="R227" i="41"/>
  <c r="S227" i="41"/>
  <c r="T227" i="41"/>
  <c r="U227" i="41"/>
  <c r="V227" i="41"/>
  <c r="W227" i="41"/>
  <c r="X227" i="41"/>
  <c r="Y227" i="41"/>
  <c r="Z227" i="41"/>
  <c r="AA227" i="41"/>
  <c r="AB227" i="41"/>
  <c r="AC227" i="41"/>
  <c r="AD227" i="41"/>
  <c r="AE227" i="41"/>
  <c r="AF227" i="41"/>
  <c r="D228" i="41"/>
  <c r="E228" i="41"/>
  <c r="F228" i="41"/>
  <c r="G228" i="41"/>
  <c r="H228" i="41"/>
  <c r="I228" i="41"/>
  <c r="J228" i="41"/>
  <c r="K228" i="41"/>
  <c r="L228" i="41"/>
  <c r="M228" i="41"/>
  <c r="N228" i="41"/>
  <c r="O228" i="41"/>
  <c r="P228" i="41"/>
  <c r="Q228" i="41"/>
  <c r="R228" i="41"/>
  <c r="S228" i="41"/>
  <c r="T228" i="41"/>
  <c r="U228" i="41"/>
  <c r="V228" i="41"/>
  <c r="W228" i="41"/>
  <c r="X228" i="41"/>
  <c r="Y228" i="41"/>
  <c r="Z228" i="41"/>
  <c r="AA228" i="41"/>
  <c r="AB228" i="41"/>
  <c r="AC228" i="41"/>
  <c r="AD228" i="41"/>
  <c r="AE228" i="41"/>
  <c r="AF228" i="41"/>
  <c r="D229" i="41"/>
  <c r="E229" i="41"/>
  <c r="F229" i="41"/>
  <c r="G229" i="41"/>
  <c r="H229" i="41"/>
  <c r="I229" i="41"/>
  <c r="J229" i="41"/>
  <c r="K229" i="41"/>
  <c r="L229" i="41"/>
  <c r="M229" i="41"/>
  <c r="N229" i="41"/>
  <c r="O229" i="41"/>
  <c r="P229" i="41"/>
  <c r="Q229" i="41"/>
  <c r="R229" i="41"/>
  <c r="S229" i="41"/>
  <c r="T229" i="41"/>
  <c r="U229" i="41"/>
  <c r="V229" i="41"/>
  <c r="W229" i="41"/>
  <c r="X229" i="41"/>
  <c r="Y229" i="41"/>
  <c r="Z229" i="41"/>
  <c r="AA229" i="41"/>
  <c r="AB229" i="41"/>
  <c r="AC229" i="41"/>
  <c r="AD229" i="41"/>
  <c r="AE229" i="41"/>
  <c r="AF229" i="41"/>
  <c r="D230" i="41"/>
  <c r="E230" i="41"/>
  <c r="F230" i="41"/>
  <c r="G230" i="41"/>
  <c r="H230" i="41"/>
  <c r="I230" i="41"/>
  <c r="J230" i="41"/>
  <c r="K230" i="41"/>
  <c r="L230" i="41"/>
  <c r="M230" i="41"/>
  <c r="N230" i="41"/>
  <c r="O230" i="41"/>
  <c r="P230" i="41"/>
  <c r="Q230" i="41"/>
  <c r="R230" i="41"/>
  <c r="S230" i="41"/>
  <c r="T230" i="41"/>
  <c r="U230" i="41"/>
  <c r="V230" i="41"/>
  <c r="W230" i="41"/>
  <c r="X230" i="41"/>
  <c r="Y230" i="41"/>
  <c r="Z230" i="41"/>
  <c r="AA230" i="41"/>
  <c r="AB230" i="41"/>
  <c r="AC230" i="41"/>
  <c r="AD230" i="41"/>
  <c r="AE230" i="41"/>
  <c r="AF230" i="41"/>
  <c r="D231" i="41"/>
  <c r="E231" i="41"/>
  <c r="F231" i="41"/>
  <c r="G231" i="41"/>
  <c r="H231" i="41"/>
  <c r="I231" i="41"/>
  <c r="J231" i="41"/>
  <c r="K231" i="41"/>
  <c r="L231" i="41"/>
  <c r="M231" i="41"/>
  <c r="N231" i="41"/>
  <c r="O231" i="41"/>
  <c r="P231" i="41"/>
  <c r="Q231" i="41"/>
  <c r="R231" i="41"/>
  <c r="S231" i="41"/>
  <c r="T231" i="41"/>
  <c r="U231" i="41"/>
  <c r="V231" i="41"/>
  <c r="W231" i="41"/>
  <c r="X231" i="41"/>
  <c r="Y231" i="41"/>
  <c r="Z231" i="41"/>
  <c r="AA231" i="41"/>
  <c r="AB231" i="41"/>
  <c r="AC231" i="41"/>
  <c r="AD231" i="41"/>
  <c r="AE231" i="41"/>
  <c r="AF231" i="41"/>
  <c r="D232" i="41"/>
  <c r="E232" i="41"/>
  <c r="F232" i="41"/>
  <c r="G232" i="41"/>
  <c r="H232" i="41"/>
  <c r="I232" i="41"/>
  <c r="J232" i="41"/>
  <c r="K232" i="41"/>
  <c r="L232" i="41"/>
  <c r="M232" i="41"/>
  <c r="N232" i="41"/>
  <c r="O232" i="41"/>
  <c r="P232" i="41"/>
  <c r="Q232" i="41"/>
  <c r="R232" i="41"/>
  <c r="S232" i="41"/>
  <c r="T232" i="41"/>
  <c r="U232" i="41"/>
  <c r="V232" i="41"/>
  <c r="W232" i="41"/>
  <c r="X232" i="41"/>
  <c r="Y232" i="41"/>
  <c r="Z232" i="41"/>
  <c r="AA232" i="41"/>
  <c r="AB232" i="41"/>
  <c r="AC232" i="41"/>
  <c r="AD232" i="41"/>
  <c r="AE232" i="41"/>
  <c r="AF232" i="41"/>
  <c r="D233" i="41"/>
  <c r="E233" i="41"/>
  <c r="F233" i="41"/>
  <c r="G233" i="41"/>
  <c r="H233" i="41"/>
  <c r="I233" i="41"/>
  <c r="J233" i="41"/>
  <c r="K233" i="41"/>
  <c r="L233" i="41"/>
  <c r="M233" i="41"/>
  <c r="N233" i="41"/>
  <c r="O233" i="41"/>
  <c r="P233" i="41"/>
  <c r="Q233" i="41"/>
  <c r="R233" i="41"/>
  <c r="S233" i="41"/>
  <c r="T233" i="41"/>
  <c r="U233" i="41"/>
  <c r="V233" i="41"/>
  <c r="W233" i="41"/>
  <c r="X233" i="41"/>
  <c r="Y233" i="41"/>
  <c r="Z233" i="41"/>
  <c r="AA233" i="41"/>
  <c r="AB233" i="41"/>
  <c r="AC233" i="41"/>
  <c r="AD233" i="41"/>
  <c r="AE233" i="41"/>
  <c r="AF233" i="41"/>
  <c r="D234" i="41"/>
  <c r="E234" i="41"/>
  <c r="F234" i="41"/>
  <c r="G234" i="41"/>
  <c r="H234" i="41"/>
  <c r="I234" i="41"/>
  <c r="J234" i="41"/>
  <c r="K234" i="41"/>
  <c r="L234" i="41"/>
  <c r="M234" i="41"/>
  <c r="N234" i="41"/>
  <c r="O234" i="41"/>
  <c r="P234" i="41"/>
  <c r="Q234" i="41"/>
  <c r="R234" i="41"/>
  <c r="S234" i="41"/>
  <c r="T234" i="41"/>
  <c r="U234" i="41"/>
  <c r="V234" i="41"/>
  <c r="W234" i="41"/>
  <c r="X234" i="41"/>
  <c r="Y234" i="41"/>
  <c r="Z234" i="41"/>
  <c r="AA234" i="41"/>
  <c r="AB234" i="41"/>
  <c r="AC234" i="41"/>
  <c r="AD234" i="41"/>
  <c r="AE234" i="41"/>
  <c r="AF234" i="41"/>
  <c r="D235" i="41"/>
  <c r="E235" i="41"/>
  <c r="F235" i="41"/>
  <c r="G235" i="41"/>
  <c r="H235" i="41"/>
  <c r="I235" i="41"/>
  <c r="J235" i="41"/>
  <c r="K235" i="41"/>
  <c r="L235" i="41"/>
  <c r="M235" i="41"/>
  <c r="N235" i="41"/>
  <c r="O235" i="41"/>
  <c r="P235" i="41"/>
  <c r="Q235" i="41"/>
  <c r="R235" i="41"/>
  <c r="S235" i="41"/>
  <c r="T235" i="41"/>
  <c r="U235" i="41"/>
  <c r="V235" i="41"/>
  <c r="W235" i="41"/>
  <c r="X235" i="41"/>
  <c r="Y235" i="41"/>
  <c r="Z235" i="41"/>
  <c r="AA235" i="41"/>
  <c r="AB235" i="41"/>
  <c r="AC235" i="41"/>
  <c r="AD235" i="41"/>
  <c r="AE235" i="41"/>
  <c r="AF235" i="41"/>
  <c r="D236" i="41"/>
  <c r="E236" i="41"/>
  <c r="F236" i="41"/>
  <c r="G236" i="41"/>
  <c r="H236" i="41"/>
  <c r="I236" i="41"/>
  <c r="J236" i="41"/>
  <c r="K236" i="41"/>
  <c r="L236" i="41"/>
  <c r="M236" i="41"/>
  <c r="N236" i="41"/>
  <c r="O236" i="41"/>
  <c r="P236" i="41"/>
  <c r="Q236" i="41"/>
  <c r="R236" i="41"/>
  <c r="S236" i="41"/>
  <c r="T236" i="41"/>
  <c r="U236" i="41"/>
  <c r="V236" i="41"/>
  <c r="W236" i="41"/>
  <c r="X236" i="41"/>
  <c r="Y236" i="41"/>
  <c r="Z236" i="41"/>
  <c r="AA236" i="41"/>
  <c r="AB236" i="41"/>
  <c r="AC236" i="41"/>
  <c r="AD236" i="41"/>
  <c r="AE236" i="41"/>
  <c r="AF236" i="41"/>
  <c r="D237" i="41"/>
  <c r="E237" i="41"/>
  <c r="F237" i="41"/>
  <c r="G237" i="41"/>
  <c r="H237" i="41"/>
  <c r="I237" i="41"/>
  <c r="J237" i="41"/>
  <c r="K237" i="41"/>
  <c r="L237" i="41"/>
  <c r="M237" i="41"/>
  <c r="N237" i="41"/>
  <c r="O237" i="41"/>
  <c r="P237" i="41"/>
  <c r="Q237" i="41"/>
  <c r="R237" i="41"/>
  <c r="S237" i="41"/>
  <c r="T237" i="41"/>
  <c r="U237" i="41"/>
  <c r="V237" i="41"/>
  <c r="W237" i="41"/>
  <c r="X237" i="41"/>
  <c r="Y237" i="41"/>
  <c r="Z237" i="41"/>
  <c r="AA237" i="41"/>
  <c r="AB237" i="41"/>
  <c r="AC237" i="41"/>
  <c r="AD237" i="41"/>
  <c r="AE237" i="41"/>
  <c r="AF237" i="41"/>
  <c r="D238" i="41"/>
  <c r="E238" i="41"/>
  <c r="F238" i="41"/>
  <c r="G238" i="41"/>
  <c r="H238" i="41"/>
  <c r="I238" i="41"/>
  <c r="J238" i="41"/>
  <c r="K238" i="41"/>
  <c r="L238" i="41"/>
  <c r="M238" i="41"/>
  <c r="N238" i="41"/>
  <c r="O238" i="41"/>
  <c r="P238" i="41"/>
  <c r="Q238" i="41"/>
  <c r="R238" i="41"/>
  <c r="S238" i="41"/>
  <c r="T238" i="41"/>
  <c r="U238" i="41"/>
  <c r="V238" i="41"/>
  <c r="W238" i="41"/>
  <c r="X238" i="41"/>
  <c r="Y238" i="41"/>
  <c r="Z238" i="41"/>
  <c r="AA238" i="41"/>
  <c r="AB238" i="41"/>
  <c r="AC238" i="41"/>
  <c r="AD238" i="41"/>
  <c r="AE238" i="41"/>
  <c r="AF238" i="41"/>
  <c r="D239" i="41"/>
  <c r="E239" i="41"/>
  <c r="F239" i="41"/>
  <c r="G239" i="41"/>
  <c r="H239" i="41"/>
  <c r="I239" i="41"/>
  <c r="J239" i="41"/>
  <c r="K239" i="41"/>
  <c r="L239" i="41"/>
  <c r="M239" i="41"/>
  <c r="N239" i="41"/>
  <c r="O239" i="41"/>
  <c r="P239" i="41"/>
  <c r="Q239" i="41"/>
  <c r="R239" i="41"/>
  <c r="S239" i="41"/>
  <c r="T239" i="41"/>
  <c r="U239" i="41"/>
  <c r="V239" i="41"/>
  <c r="W239" i="41"/>
  <c r="X239" i="41"/>
  <c r="Y239" i="41"/>
  <c r="Z239" i="41"/>
  <c r="AA239" i="41"/>
  <c r="AB239" i="41"/>
  <c r="AC239" i="41"/>
  <c r="AD239" i="41"/>
  <c r="AE239" i="41"/>
  <c r="AF239" i="41"/>
  <c r="D240" i="41"/>
  <c r="E240" i="41"/>
  <c r="F240" i="41"/>
  <c r="G240" i="41"/>
  <c r="H240" i="41"/>
  <c r="I240" i="41"/>
  <c r="J240" i="41"/>
  <c r="K240" i="41"/>
  <c r="L240" i="41"/>
  <c r="M240" i="41"/>
  <c r="N240" i="41"/>
  <c r="O240" i="41"/>
  <c r="P240" i="41"/>
  <c r="Q240" i="41"/>
  <c r="R240" i="41"/>
  <c r="S240" i="41"/>
  <c r="T240" i="41"/>
  <c r="U240" i="41"/>
  <c r="V240" i="41"/>
  <c r="W240" i="41"/>
  <c r="X240" i="41"/>
  <c r="Y240" i="41"/>
  <c r="Z240" i="41"/>
  <c r="AA240" i="41"/>
  <c r="AB240" i="41"/>
  <c r="AC240" i="41"/>
  <c r="AD240" i="41"/>
  <c r="AE240" i="41"/>
  <c r="AF240" i="41"/>
  <c r="D241" i="41"/>
  <c r="E241" i="41"/>
  <c r="F241" i="41"/>
  <c r="G241" i="41"/>
  <c r="H241" i="41"/>
  <c r="I241" i="41"/>
  <c r="J241" i="41"/>
  <c r="K241" i="41"/>
  <c r="L241" i="41"/>
  <c r="M241" i="41"/>
  <c r="N241" i="41"/>
  <c r="O241" i="41"/>
  <c r="P241" i="41"/>
  <c r="Q241" i="41"/>
  <c r="R241" i="41"/>
  <c r="S241" i="41"/>
  <c r="T241" i="41"/>
  <c r="U241" i="41"/>
  <c r="V241" i="41"/>
  <c r="W241" i="41"/>
  <c r="X241" i="41"/>
  <c r="Y241" i="41"/>
  <c r="Z241" i="41"/>
  <c r="AA241" i="41"/>
  <c r="AB241" i="41"/>
  <c r="AC241" i="41"/>
  <c r="AD241" i="41"/>
  <c r="AE241" i="41"/>
  <c r="AF241" i="41"/>
  <c r="D242" i="41"/>
  <c r="E242" i="41"/>
  <c r="F242" i="41"/>
  <c r="G242" i="41"/>
  <c r="H242" i="41"/>
  <c r="I242" i="41"/>
  <c r="J242" i="41"/>
  <c r="K242" i="41"/>
  <c r="L242" i="41"/>
  <c r="M242" i="41"/>
  <c r="N242" i="41"/>
  <c r="O242" i="41"/>
  <c r="P242" i="41"/>
  <c r="Q242" i="41"/>
  <c r="R242" i="41"/>
  <c r="S242" i="41"/>
  <c r="T242" i="41"/>
  <c r="U242" i="41"/>
  <c r="V242" i="41"/>
  <c r="W242" i="41"/>
  <c r="X242" i="41"/>
  <c r="Y242" i="41"/>
  <c r="Z242" i="41"/>
  <c r="AA242" i="41"/>
  <c r="AB242" i="41"/>
  <c r="AC242" i="41"/>
  <c r="AD242" i="41"/>
  <c r="AE242" i="41"/>
  <c r="AF242" i="41"/>
  <c r="D243" i="41"/>
  <c r="E243" i="41"/>
  <c r="F243" i="41"/>
  <c r="G243" i="41"/>
  <c r="H243" i="41"/>
  <c r="I243" i="41"/>
  <c r="J243" i="41"/>
  <c r="K243" i="41"/>
  <c r="L243" i="41"/>
  <c r="M243" i="41"/>
  <c r="N243" i="41"/>
  <c r="O243" i="41"/>
  <c r="P243" i="41"/>
  <c r="Q243" i="41"/>
  <c r="R243" i="41"/>
  <c r="S243" i="41"/>
  <c r="T243" i="41"/>
  <c r="U243" i="41"/>
  <c r="V243" i="41"/>
  <c r="W243" i="41"/>
  <c r="X243" i="41"/>
  <c r="Y243" i="41"/>
  <c r="Z243" i="41"/>
  <c r="AA243" i="41"/>
  <c r="AB243" i="41"/>
  <c r="AC243" i="41"/>
  <c r="AD243" i="41"/>
  <c r="AE243" i="41"/>
  <c r="AF243" i="41"/>
  <c r="D248" i="41"/>
  <c r="E248" i="41"/>
  <c r="F248" i="41"/>
  <c r="G248" i="41"/>
  <c r="H248" i="41"/>
  <c r="I248" i="41"/>
  <c r="J248" i="41"/>
  <c r="K248" i="41"/>
  <c r="L248" i="41"/>
  <c r="M248" i="41"/>
  <c r="N248" i="41"/>
  <c r="O248" i="41"/>
  <c r="P248" i="41"/>
  <c r="Q248" i="41"/>
  <c r="R248" i="41"/>
  <c r="S248" i="41"/>
  <c r="T248" i="41"/>
  <c r="U248" i="41"/>
  <c r="V248" i="41"/>
  <c r="W248" i="41"/>
  <c r="X248" i="41"/>
  <c r="Y248" i="41"/>
  <c r="Z248" i="41"/>
  <c r="AA248" i="41"/>
  <c r="AB248" i="41"/>
  <c r="AC248" i="41"/>
  <c r="AD248" i="41"/>
  <c r="AE248" i="41"/>
  <c r="AF248" i="41"/>
  <c r="D249" i="41"/>
  <c r="E249" i="41"/>
  <c r="F249" i="41"/>
  <c r="G249" i="41"/>
  <c r="H249" i="41"/>
  <c r="I249" i="41"/>
  <c r="J249" i="41"/>
  <c r="K249" i="41"/>
  <c r="L249" i="41"/>
  <c r="M249" i="41"/>
  <c r="N249" i="41"/>
  <c r="O249" i="41"/>
  <c r="P249" i="41"/>
  <c r="Q249" i="41"/>
  <c r="R249" i="41"/>
  <c r="S249" i="41"/>
  <c r="T249" i="41"/>
  <c r="U249" i="41"/>
  <c r="V249" i="41"/>
  <c r="W249" i="41"/>
  <c r="X249" i="41"/>
  <c r="Y249" i="41"/>
  <c r="Z249" i="41"/>
  <c r="AA249" i="41"/>
  <c r="AB249" i="41"/>
  <c r="AC249" i="41"/>
  <c r="AD249" i="41"/>
  <c r="AE249" i="41"/>
  <c r="AF249" i="41"/>
  <c r="D250" i="41"/>
  <c r="E250" i="41"/>
  <c r="F250" i="41"/>
  <c r="G250" i="41"/>
  <c r="H250" i="41"/>
  <c r="I250" i="41"/>
  <c r="J250" i="41"/>
  <c r="K250" i="41"/>
  <c r="L250" i="41"/>
  <c r="M250" i="41"/>
  <c r="N250" i="41"/>
  <c r="O250" i="41"/>
  <c r="P250" i="41"/>
  <c r="Q250" i="41"/>
  <c r="R250" i="41"/>
  <c r="S250" i="41"/>
  <c r="T250" i="41"/>
  <c r="U250" i="41"/>
  <c r="V250" i="41"/>
  <c r="W250" i="41"/>
  <c r="X250" i="41"/>
  <c r="Y250" i="41"/>
  <c r="Z250" i="41"/>
  <c r="AA250" i="41"/>
  <c r="AB250" i="41"/>
  <c r="AC250" i="41"/>
  <c r="AD250" i="41"/>
  <c r="AE250" i="41"/>
  <c r="AF250" i="41"/>
  <c r="D251" i="41"/>
  <c r="E251" i="41"/>
  <c r="F251" i="41"/>
  <c r="G251" i="41"/>
  <c r="H251" i="41"/>
  <c r="I251" i="41"/>
  <c r="J251" i="41"/>
  <c r="K251" i="41"/>
  <c r="L251" i="41"/>
  <c r="M251" i="41"/>
  <c r="N251" i="41"/>
  <c r="O251" i="41"/>
  <c r="P251" i="41"/>
  <c r="Q251" i="41"/>
  <c r="R251" i="41"/>
  <c r="S251" i="41"/>
  <c r="T251" i="41"/>
  <c r="U251" i="41"/>
  <c r="V251" i="41"/>
  <c r="W251" i="41"/>
  <c r="X251" i="41"/>
  <c r="Y251" i="41"/>
  <c r="Z251" i="41"/>
  <c r="AA251" i="41"/>
  <c r="AB251" i="41"/>
  <c r="AC251" i="41"/>
  <c r="AD251" i="41"/>
  <c r="AE251" i="41"/>
  <c r="AF251" i="41"/>
  <c r="D252" i="41"/>
  <c r="E252" i="41"/>
  <c r="F252" i="41"/>
  <c r="G252" i="41"/>
  <c r="H252" i="41"/>
  <c r="I252" i="41"/>
  <c r="J252" i="41"/>
  <c r="K252" i="41"/>
  <c r="L252" i="41"/>
  <c r="M252" i="41"/>
  <c r="N252" i="41"/>
  <c r="O252" i="41"/>
  <c r="P252" i="41"/>
  <c r="Q252" i="41"/>
  <c r="R252" i="41"/>
  <c r="S252" i="41"/>
  <c r="T252" i="41"/>
  <c r="U252" i="41"/>
  <c r="V252" i="41"/>
  <c r="W252" i="41"/>
  <c r="X252" i="41"/>
  <c r="Y252" i="41"/>
  <c r="Z252" i="41"/>
  <c r="AA252" i="41"/>
  <c r="AB252" i="41"/>
  <c r="AC252" i="41"/>
  <c r="AD252" i="41"/>
  <c r="AE252" i="41"/>
  <c r="AF252" i="41"/>
  <c r="D253" i="41"/>
  <c r="E253" i="41"/>
  <c r="F253" i="41"/>
  <c r="G253" i="41"/>
  <c r="H253" i="41"/>
  <c r="I253" i="41"/>
  <c r="J253" i="41"/>
  <c r="K253" i="41"/>
  <c r="L253" i="41"/>
  <c r="M253" i="41"/>
  <c r="N253" i="41"/>
  <c r="O253" i="41"/>
  <c r="P253" i="41"/>
  <c r="Q253" i="41"/>
  <c r="R253" i="41"/>
  <c r="S253" i="41"/>
  <c r="T253" i="41"/>
  <c r="U253" i="41"/>
  <c r="V253" i="41"/>
  <c r="W253" i="41"/>
  <c r="X253" i="41"/>
  <c r="Y253" i="41"/>
  <c r="Z253" i="41"/>
  <c r="AA253" i="41"/>
  <c r="AB253" i="41"/>
  <c r="AC253" i="41"/>
  <c r="AD253" i="41"/>
  <c r="AE253" i="41"/>
  <c r="AF253" i="41"/>
  <c r="D254" i="41"/>
  <c r="E254" i="41"/>
  <c r="F254" i="41"/>
  <c r="G254" i="41"/>
  <c r="H254" i="41"/>
  <c r="I254" i="41"/>
  <c r="J254" i="41"/>
  <c r="K254" i="41"/>
  <c r="L254" i="41"/>
  <c r="M254" i="41"/>
  <c r="N254" i="41"/>
  <c r="O254" i="41"/>
  <c r="P254" i="41"/>
  <c r="Q254" i="41"/>
  <c r="R254" i="41"/>
  <c r="S254" i="41"/>
  <c r="T254" i="41"/>
  <c r="U254" i="41"/>
  <c r="V254" i="41"/>
  <c r="W254" i="41"/>
  <c r="X254" i="41"/>
  <c r="Y254" i="41"/>
  <c r="Z254" i="41"/>
  <c r="AA254" i="41"/>
  <c r="AB254" i="41"/>
  <c r="AC254" i="41"/>
  <c r="AD254" i="41"/>
  <c r="AE254" i="41"/>
  <c r="AF254" i="41"/>
  <c r="D256" i="41"/>
  <c r="E256" i="41"/>
  <c r="F256" i="41"/>
  <c r="G256" i="41"/>
  <c r="H256" i="41"/>
  <c r="I256" i="41"/>
  <c r="J256" i="41"/>
  <c r="K256" i="41"/>
  <c r="L256" i="41"/>
  <c r="M256" i="41"/>
  <c r="N256" i="41"/>
  <c r="O256" i="41"/>
  <c r="P256" i="41"/>
  <c r="Q256" i="41"/>
  <c r="R256" i="41"/>
  <c r="S256" i="41"/>
  <c r="T256" i="41"/>
  <c r="U256" i="41"/>
  <c r="V256" i="41"/>
  <c r="W256" i="41"/>
  <c r="X256" i="41"/>
  <c r="Y256" i="41"/>
  <c r="Z256" i="41"/>
  <c r="AA256" i="41"/>
  <c r="AB256" i="41"/>
  <c r="AC256" i="41"/>
  <c r="AD256" i="41"/>
  <c r="AE256" i="41"/>
  <c r="AF256" i="41"/>
  <c r="D257" i="41"/>
  <c r="E257" i="41"/>
  <c r="F257" i="41"/>
  <c r="G257" i="41"/>
  <c r="H257" i="41"/>
  <c r="I257" i="41"/>
  <c r="J257" i="41"/>
  <c r="K257" i="41"/>
  <c r="L257" i="41"/>
  <c r="M257" i="41"/>
  <c r="N257" i="41"/>
  <c r="O257" i="41"/>
  <c r="P257" i="41"/>
  <c r="Q257" i="41"/>
  <c r="R257" i="41"/>
  <c r="S257" i="41"/>
  <c r="T257" i="41"/>
  <c r="U257" i="41"/>
  <c r="V257" i="41"/>
  <c r="W257" i="41"/>
  <c r="X257" i="41"/>
  <c r="Y257" i="41"/>
  <c r="Z257" i="41"/>
  <c r="AA257" i="41"/>
  <c r="AB257" i="41"/>
  <c r="AC257" i="41"/>
  <c r="AD257" i="41"/>
  <c r="AE257" i="41"/>
  <c r="AF257" i="41"/>
  <c r="D258" i="41"/>
  <c r="E258" i="41"/>
  <c r="F258" i="41"/>
  <c r="G258" i="41"/>
  <c r="H258" i="41"/>
  <c r="I258" i="41"/>
  <c r="J258" i="41"/>
  <c r="K258" i="41"/>
  <c r="L258" i="41"/>
  <c r="M258" i="41"/>
  <c r="N258" i="41"/>
  <c r="O258" i="41"/>
  <c r="P258" i="41"/>
  <c r="Q258" i="41"/>
  <c r="R258" i="41"/>
  <c r="S258" i="41"/>
  <c r="T258" i="41"/>
  <c r="U258" i="41"/>
  <c r="V258" i="41"/>
  <c r="W258" i="41"/>
  <c r="X258" i="41"/>
  <c r="Y258" i="41"/>
  <c r="Z258" i="41"/>
  <c r="AA258" i="41"/>
  <c r="AB258" i="41"/>
  <c r="AC258" i="41"/>
  <c r="AD258" i="41"/>
  <c r="AE258" i="41"/>
  <c r="AF258" i="41"/>
  <c r="D259" i="41"/>
  <c r="E259" i="41"/>
  <c r="F259" i="41"/>
  <c r="G259" i="41"/>
  <c r="H259" i="41"/>
  <c r="I259" i="41"/>
  <c r="J259" i="41"/>
  <c r="K259" i="41"/>
  <c r="L259" i="41"/>
  <c r="M259" i="41"/>
  <c r="N259" i="41"/>
  <c r="O259" i="41"/>
  <c r="P259" i="41"/>
  <c r="Q259" i="41"/>
  <c r="R259" i="41"/>
  <c r="S259" i="41"/>
  <c r="T259" i="41"/>
  <c r="U259" i="41"/>
  <c r="V259" i="41"/>
  <c r="W259" i="41"/>
  <c r="X259" i="41"/>
  <c r="Y259" i="41"/>
  <c r="Z259" i="41"/>
  <c r="AA259" i="41"/>
  <c r="AB259" i="41"/>
  <c r="AC259" i="41"/>
  <c r="AD259" i="41"/>
  <c r="AE259" i="41"/>
  <c r="AF259" i="41"/>
  <c r="D260" i="41"/>
  <c r="E260" i="41"/>
  <c r="F260" i="41"/>
  <c r="G260" i="41"/>
  <c r="H260" i="41"/>
  <c r="I260" i="41"/>
  <c r="J260" i="41"/>
  <c r="K260" i="41"/>
  <c r="L260" i="41"/>
  <c r="M260" i="41"/>
  <c r="N260" i="41"/>
  <c r="O260" i="41"/>
  <c r="P260" i="41"/>
  <c r="Q260" i="41"/>
  <c r="R260" i="41"/>
  <c r="S260" i="41"/>
  <c r="T260" i="41"/>
  <c r="U260" i="41"/>
  <c r="V260" i="41"/>
  <c r="W260" i="41"/>
  <c r="X260" i="41"/>
  <c r="Y260" i="41"/>
  <c r="Z260" i="41"/>
  <c r="AA260" i="41"/>
  <c r="AB260" i="41"/>
  <c r="AC260" i="41"/>
  <c r="AD260" i="41"/>
  <c r="AE260" i="41"/>
  <c r="AF260" i="41"/>
  <c r="D261" i="41"/>
  <c r="E261" i="41"/>
  <c r="F261" i="41"/>
  <c r="G261" i="41"/>
  <c r="H261" i="41"/>
  <c r="I261" i="41"/>
  <c r="J261" i="41"/>
  <c r="K261" i="41"/>
  <c r="L261" i="41"/>
  <c r="M261" i="41"/>
  <c r="N261" i="41"/>
  <c r="O261" i="41"/>
  <c r="P261" i="41"/>
  <c r="Q261" i="41"/>
  <c r="R261" i="41"/>
  <c r="S261" i="41"/>
  <c r="T261" i="41"/>
  <c r="U261" i="41"/>
  <c r="V261" i="41"/>
  <c r="W261" i="41"/>
  <c r="X261" i="41"/>
  <c r="Y261" i="41"/>
  <c r="Z261" i="41"/>
  <c r="AA261" i="41"/>
  <c r="AB261" i="41"/>
  <c r="AC261" i="41"/>
  <c r="AD261" i="41"/>
  <c r="AE261" i="41"/>
  <c r="AF261" i="41"/>
  <c r="D262" i="41"/>
  <c r="E262" i="41"/>
  <c r="F262" i="41"/>
  <c r="G262" i="41"/>
  <c r="H262" i="41"/>
  <c r="I262" i="41"/>
  <c r="J262" i="41"/>
  <c r="K262" i="41"/>
  <c r="L262" i="41"/>
  <c r="M262" i="41"/>
  <c r="N262" i="41"/>
  <c r="O262" i="41"/>
  <c r="P262" i="41"/>
  <c r="Q262" i="41"/>
  <c r="R262" i="41"/>
  <c r="S262" i="41"/>
  <c r="T262" i="41"/>
  <c r="U262" i="41"/>
  <c r="V262" i="41"/>
  <c r="W262" i="41"/>
  <c r="X262" i="41"/>
  <c r="Y262" i="41"/>
  <c r="Z262" i="41"/>
  <c r="AA262" i="41"/>
  <c r="AB262" i="41"/>
  <c r="AC262" i="41"/>
  <c r="AD262" i="41"/>
  <c r="AE262" i="41"/>
  <c r="AF262" i="41"/>
  <c r="D263" i="41"/>
  <c r="E263" i="41"/>
  <c r="F263" i="41"/>
  <c r="G263" i="41"/>
  <c r="H263" i="41"/>
  <c r="I263" i="41"/>
  <c r="J263" i="41"/>
  <c r="K263" i="41"/>
  <c r="L263" i="41"/>
  <c r="M263" i="41"/>
  <c r="N263" i="41"/>
  <c r="O263" i="41"/>
  <c r="P263" i="41"/>
  <c r="Q263" i="41"/>
  <c r="R263" i="41"/>
  <c r="S263" i="41"/>
  <c r="T263" i="41"/>
  <c r="U263" i="41"/>
  <c r="V263" i="41"/>
  <c r="W263" i="41"/>
  <c r="X263" i="41"/>
  <c r="Y263" i="41"/>
  <c r="Z263" i="41"/>
  <c r="AA263" i="41"/>
  <c r="AB263" i="41"/>
  <c r="AC263" i="41"/>
  <c r="AD263" i="41"/>
  <c r="AE263" i="41"/>
  <c r="AF263" i="41"/>
  <c r="D266" i="41"/>
  <c r="E266" i="41"/>
  <c r="F266" i="41"/>
  <c r="G266" i="41"/>
  <c r="H266" i="41"/>
  <c r="I266" i="41"/>
  <c r="J266" i="41"/>
  <c r="K266" i="41"/>
  <c r="L266" i="41"/>
  <c r="M266" i="41"/>
  <c r="N266" i="41"/>
  <c r="O266" i="41"/>
  <c r="P266" i="41"/>
  <c r="Q266" i="41"/>
  <c r="R266" i="41"/>
  <c r="S266" i="41"/>
  <c r="T266" i="41"/>
  <c r="U266" i="41"/>
  <c r="V266" i="41"/>
  <c r="W266" i="41"/>
  <c r="X266" i="41"/>
  <c r="Y266" i="41"/>
  <c r="Z266" i="41"/>
  <c r="AA266" i="41"/>
  <c r="AB266" i="41"/>
  <c r="AC266" i="41"/>
  <c r="AD266" i="41"/>
  <c r="AE266" i="41"/>
  <c r="AF266" i="41"/>
  <c r="D267" i="41"/>
  <c r="E267" i="41"/>
  <c r="F267" i="41"/>
  <c r="G267" i="41"/>
  <c r="H267" i="41"/>
  <c r="I267" i="41"/>
  <c r="J267" i="41"/>
  <c r="K267" i="41"/>
  <c r="L267" i="41"/>
  <c r="M267" i="41"/>
  <c r="N267" i="41"/>
  <c r="O267" i="41"/>
  <c r="P267" i="41"/>
  <c r="Q267" i="41"/>
  <c r="R267" i="41"/>
  <c r="S267" i="41"/>
  <c r="T267" i="41"/>
  <c r="U267" i="41"/>
  <c r="V267" i="41"/>
  <c r="W267" i="41"/>
  <c r="X267" i="41"/>
  <c r="Y267" i="41"/>
  <c r="Z267" i="41"/>
  <c r="AA267" i="41"/>
  <c r="AB267" i="41"/>
  <c r="AC267" i="41"/>
  <c r="AD267" i="41"/>
  <c r="AE267" i="41"/>
  <c r="AF267" i="41"/>
  <c r="D268" i="41"/>
  <c r="E268" i="41"/>
  <c r="F268" i="41"/>
  <c r="G268" i="41"/>
  <c r="H268" i="41"/>
  <c r="I268" i="41"/>
  <c r="J268" i="41"/>
  <c r="K268" i="41"/>
  <c r="L268" i="41"/>
  <c r="M268" i="41"/>
  <c r="N268" i="41"/>
  <c r="O268" i="41"/>
  <c r="P268" i="41"/>
  <c r="Q268" i="41"/>
  <c r="R268" i="41"/>
  <c r="S268" i="41"/>
  <c r="T268" i="41"/>
  <c r="U268" i="41"/>
  <c r="V268" i="41"/>
  <c r="W268" i="41"/>
  <c r="X268" i="41"/>
  <c r="Y268" i="41"/>
  <c r="Z268" i="41"/>
  <c r="AA268" i="41"/>
  <c r="AB268" i="41"/>
  <c r="AC268" i="41"/>
  <c r="AD268" i="41"/>
  <c r="AE268" i="41"/>
  <c r="AF268" i="41"/>
  <c r="D269" i="41"/>
  <c r="E269" i="41"/>
  <c r="F269" i="41"/>
  <c r="G269" i="41"/>
  <c r="H269" i="41"/>
  <c r="I269" i="41"/>
  <c r="J269" i="41"/>
  <c r="K269" i="41"/>
  <c r="L269" i="41"/>
  <c r="M269" i="41"/>
  <c r="N269" i="41"/>
  <c r="O269" i="41"/>
  <c r="P269" i="41"/>
  <c r="Q269" i="41"/>
  <c r="R269" i="41"/>
  <c r="S269" i="41"/>
  <c r="T269" i="41"/>
  <c r="U269" i="41"/>
  <c r="V269" i="41"/>
  <c r="W269" i="41"/>
  <c r="X269" i="41"/>
  <c r="Y269" i="41"/>
  <c r="Z269" i="41"/>
  <c r="AA269" i="41"/>
  <c r="AB269" i="41"/>
  <c r="AC269" i="41"/>
  <c r="AD269" i="41"/>
  <c r="AE269" i="41"/>
  <c r="AF269" i="41"/>
  <c r="D270" i="41"/>
  <c r="E270" i="41"/>
  <c r="F270" i="41"/>
  <c r="G270" i="41"/>
  <c r="H270" i="41"/>
  <c r="I270" i="41"/>
  <c r="J270" i="41"/>
  <c r="K270" i="41"/>
  <c r="L270" i="41"/>
  <c r="M270" i="41"/>
  <c r="N270" i="41"/>
  <c r="O270" i="41"/>
  <c r="P270" i="41"/>
  <c r="Q270" i="41"/>
  <c r="R270" i="41"/>
  <c r="S270" i="41"/>
  <c r="T270" i="41"/>
  <c r="U270" i="41"/>
  <c r="V270" i="41"/>
  <c r="W270" i="41"/>
  <c r="X270" i="41"/>
  <c r="Y270" i="41"/>
  <c r="Z270" i="41"/>
  <c r="AA270" i="41"/>
  <c r="AB270" i="41"/>
  <c r="AC270" i="41"/>
  <c r="AD270" i="41"/>
  <c r="AE270" i="41"/>
  <c r="AF270" i="41"/>
  <c r="D271" i="41"/>
  <c r="E271" i="41"/>
  <c r="F271" i="41"/>
  <c r="G271" i="41"/>
  <c r="H271" i="41"/>
  <c r="I271" i="41"/>
  <c r="J271" i="41"/>
  <c r="K271" i="41"/>
  <c r="L271" i="41"/>
  <c r="M271" i="41"/>
  <c r="N271" i="41"/>
  <c r="O271" i="41"/>
  <c r="P271" i="41"/>
  <c r="Q271" i="41"/>
  <c r="R271" i="41"/>
  <c r="S271" i="41"/>
  <c r="T271" i="41"/>
  <c r="U271" i="41"/>
  <c r="V271" i="41"/>
  <c r="W271" i="41"/>
  <c r="X271" i="41"/>
  <c r="Y271" i="41"/>
  <c r="Z271" i="41"/>
  <c r="AA271" i="41"/>
  <c r="AB271" i="41"/>
  <c r="AC271" i="41"/>
  <c r="AD271" i="41"/>
  <c r="AE271" i="41"/>
  <c r="AF271" i="41"/>
  <c r="D272" i="41"/>
  <c r="E272" i="41"/>
  <c r="F272" i="41"/>
  <c r="G272" i="41"/>
  <c r="H272" i="41"/>
  <c r="I272" i="41"/>
  <c r="J272" i="41"/>
  <c r="K272" i="41"/>
  <c r="L272" i="41"/>
  <c r="M272" i="41"/>
  <c r="N272" i="41"/>
  <c r="O272" i="41"/>
  <c r="P272" i="41"/>
  <c r="Q272" i="41"/>
  <c r="R272" i="41"/>
  <c r="S272" i="41"/>
  <c r="T272" i="41"/>
  <c r="U272" i="41"/>
  <c r="V272" i="41"/>
  <c r="W272" i="41"/>
  <c r="X272" i="41"/>
  <c r="Y272" i="41"/>
  <c r="Z272" i="41"/>
  <c r="AA272" i="41"/>
  <c r="AB272" i="41"/>
  <c r="AC272" i="41"/>
  <c r="AD272" i="41"/>
  <c r="AE272" i="41"/>
  <c r="AF272" i="41"/>
  <c r="D273" i="41"/>
  <c r="E273" i="41"/>
  <c r="F273" i="41"/>
  <c r="G273" i="41"/>
  <c r="H273" i="41"/>
  <c r="I273" i="41"/>
  <c r="J273" i="41"/>
  <c r="K273" i="41"/>
  <c r="L273" i="41"/>
  <c r="M273" i="41"/>
  <c r="N273" i="41"/>
  <c r="O273" i="41"/>
  <c r="P273" i="41"/>
  <c r="Q273" i="41"/>
  <c r="R273" i="41"/>
  <c r="S273" i="41"/>
  <c r="T273" i="41"/>
  <c r="U273" i="41"/>
  <c r="V273" i="41"/>
  <c r="W273" i="41"/>
  <c r="X273" i="41"/>
  <c r="Y273" i="41"/>
  <c r="Z273" i="41"/>
  <c r="AA273" i="41"/>
  <c r="AB273" i="41"/>
  <c r="AC273" i="41"/>
  <c r="AD273" i="41"/>
  <c r="AE273" i="41"/>
  <c r="AF273" i="41"/>
  <c r="C273" i="41"/>
  <c r="C272" i="41"/>
  <c r="C271" i="41"/>
  <c r="C270" i="41"/>
  <c r="C269" i="41"/>
  <c r="C268" i="41"/>
  <c r="C267" i="41"/>
  <c r="C266" i="41"/>
  <c r="C263" i="41"/>
  <c r="C262" i="41"/>
  <c r="C261" i="41"/>
  <c r="C260" i="41"/>
  <c r="C259" i="41"/>
  <c r="C258" i="41"/>
  <c r="C257" i="41"/>
  <c r="C256" i="41"/>
  <c r="C254" i="41"/>
  <c r="C253" i="41"/>
  <c r="C252" i="41"/>
  <c r="C251" i="41"/>
  <c r="C250" i="41"/>
  <c r="C249" i="41"/>
  <c r="C248" i="41"/>
  <c r="C243" i="41"/>
  <c r="C242" i="41"/>
  <c r="C241" i="41"/>
  <c r="C240" i="41"/>
  <c r="C239" i="41"/>
  <c r="C238" i="41"/>
  <c r="C237" i="41"/>
  <c r="C236" i="41"/>
  <c r="C235" i="41"/>
  <c r="C234" i="41"/>
  <c r="C233" i="41"/>
  <c r="C232" i="41"/>
  <c r="C231" i="41"/>
  <c r="C230" i="41"/>
  <c r="C229" i="41"/>
  <c r="C228" i="41"/>
  <c r="C227" i="41"/>
  <c r="C226" i="41"/>
  <c r="C225" i="41"/>
  <c r="C224" i="41"/>
  <c r="C223" i="41"/>
  <c r="C222" i="41"/>
  <c r="C221" i="41"/>
  <c r="C220" i="41"/>
  <c r="C219" i="41"/>
  <c r="C218" i="41"/>
  <c r="C217" i="41"/>
  <c r="C216" i="41"/>
  <c r="C215" i="41"/>
  <c r="C214" i="41"/>
  <c r="C213" i="41"/>
  <c r="C212" i="41"/>
  <c r="C211" i="41"/>
  <c r="C207" i="41"/>
  <c r="C206" i="41"/>
  <c r="C205" i="41"/>
  <c r="C204" i="41"/>
  <c r="C203" i="41"/>
  <c r="C202" i="41"/>
  <c r="C201" i="41"/>
  <c r="C200" i="41"/>
  <c r="C199" i="41"/>
  <c r="C198" i="41"/>
  <c r="C197" i="41"/>
  <c r="C195" i="41"/>
  <c r="C194" i="41"/>
  <c r="C193" i="41"/>
  <c r="C192" i="41"/>
  <c r="C191" i="41"/>
  <c r="C190" i="41"/>
  <c r="C189" i="41"/>
  <c r="C188" i="41"/>
  <c r="C187" i="41"/>
  <c r="C186" i="41"/>
  <c r="C184" i="41"/>
  <c r="C183" i="41"/>
  <c r="C182" i="41"/>
  <c r="C181" i="41"/>
  <c r="C180" i="41"/>
  <c r="C179" i="41"/>
  <c r="C178" i="41"/>
  <c r="C177" i="41"/>
  <c r="C176" i="41"/>
  <c r="C175" i="41"/>
  <c r="C169" i="41"/>
  <c r="C168" i="41"/>
  <c r="C167" i="41"/>
  <c r="C166" i="41"/>
  <c r="C165" i="41"/>
  <c r="C164" i="41"/>
  <c r="C163" i="41"/>
  <c r="C162" i="41"/>
  <c r="C161" i="41"/>
  <c r="C160" i="41"/>
  <c r="C159" i="41"/>
  <c r="C157" i="41"/>
  <c r="C156" i="41"/>
  <c r="C155" i="41"/>
  <c r="C154" i="41"/>
  <c r="C153" i="41"/>
  <c r="C152" i="41"/>
  <c r="C151" i="41"/>
  <c r="C150" i="41"/>
  <c r="C149" i="41"/>
  <c r="C148" i="41"/>
  <c r="C146" i="41"/>
  <c r="C145" i="41"/>
  <c r="C144" i="41"/>
  <c r="C143" i="41"/>
  <c r="C142" i="41"/>
  <c r="C141" i="41"/>
  <c r="C140" i="41"/>
  <c r="C139" i="41"/>
  <c r="C138" i="41"/>
  <c r="C137" i="41"/>
  <c r="C133" i="41"/>
  <c r="C132" i="41"/>
  <c r="C131" i="41"/>
  <c r="C130" i="41"/>
  <c r="C129" i="41"/>
  <c r="C128" i="41"/>
  <c r="C127" i="41"/>
  <c r="C126" i="41"/>
  <c r="C125" i="41"/>
  <c r="C124" i="41"/>
  <c r="C123" i="41"/>
  <c r="C121" i="41"/>
  <c r="C120" i="41"/>
  <c r="C119" i="41"/>
  <c r="C118" i="41"/>
  <c r="C117" i="41"/>
  <c r="C116" i="41"/>
  <c r="C115" i="41"/>
  <c r="C114" i="41"/>
  <c r="C113" i="41"/>
  <c r="C112" i="41"/>
  <c r="C110" i="41"/>
  <c r="C109" i="41"/>
  <c r="C108" i="41"/>
  <c r="C107" i="41"/>
  <c r="C106" i="41"/>
  <c r="C105" i="41"/>
  <c r="C104" i="41"/>
  <c r="C103" i="41"/>
  <c r="C102" i="41"/>
  <c r="C101" i="41"/>
  <c r="C97" i="41"/>
  <c r="C96" i="41"/>
  <c r="C95" i="41"/>
  <c r="C94" i="41"/>
  <c r="C93" i="41"/>
  <c r="C92" i="41"/>
  <c r="C91" i="41"/>
  <c r="C90" i="41"/>
  <c r="C89" i="41"/>
  <c r="C88" i="41"/>
  <c r="C86" i="41"/>
  <c r="C85" i="41"/>
  <c r="C84" i="41"/>
  <c r="C83" i="41"/>
  <c r="C82" i="41"/>
  <c r="C81" i="41"/>
  <c r="C80" i="41"/>
  <c r="C79" i="41"/>
  <c r="C78" i="41"/>
  <c r="C77" i="41"/>
  <c r="C75" i="41"/>
  <c r="C74" i="41"/>
  <c r="C73" i="41"/>
  <c r="C72" i="41"/>
  <c r="C71" i="41"/>
  <c r="C70" i="41"/>
  <c r="C69" i="41"/>
  <c r="C68" i="41"/>
  <c r="C67" i="41"/>
  <c r="C66" i="41"/>
  <c r="C64" i="41"/>
  <c r="C63" i="41"/>
  <c r="C62" i="41"/>
  <c r="C61" i="41"/>
  <c r="C60" i="41"/>
  <c r="C59" i="41"/>
  <c r="C58" i="41"/>
  <c r="C57" i="41"/>
  <c r="C56" i="41"/>
  <c r="C55" i="41"/>
  <c r="C51" i="41"/>
  <c r="C50" i="41"/>
  <c r="C49" i="41"/>
  <c r="C48" i="41"/>
  <c r="C47" i="41"/>
  <c r="C46" i="41"/>
  <c r="C45" i="41"/>
  <c r="C44" i="41"/>
  <c r="C43" i="41"/>
  <c r="C42" i="41"/>
  <c r="C41" i="41"/>
  <c r="C39" i="41"/>
  <c r="C38" i="41"/>
  <c r="C37" i="41"/>
  <c r="C36" i="41"/>
  <c r="C35" i="41"/>
  <c r="C34" i="41"/>
  <c r="C33" i="41"/>
  <c r="C32" i="41"/>
  <c r="C31" i="41"/>
  <c r="C30" i="41"/>
  <c r="C28" i="41"/>
  <c r="C27" i="41"/>
  <c r="C26" i="41"/>
  <c r="C25" i="41"/>
  <c r="C24" i="41"/>
  <c r="C23" i="41"/>
  <c r="C22" i="41"/>
  <c r="C21" i="41"/>
  <c r="C20" i="41"/>
  <c r="C19" i="41"/>
  <c r="D15" i="40"/>
  <c r="E15" i="40"/>
  <c r="F15" i="40"/>
  <c r="G15" i="40"/>
  <c r="H15" i="40"/>
  <c r="I15" i="40"/>
  <c r="J15" i="40"/>
  <c r="K15" i="40"/>
  <c r="L15" i="40"/>
  <c r="M15" i="40"/>
  <c r="N15" i="40"/>
  <c r="O15" i="40"/>
  <c r="P15" i="40"/>
  <c r="Q15" i="40"/>
  <c r="R15" i="40"/>
  <c r="S15" i="40"/>
  <c r="T15" i="40"/>
  <c r="U15" i="40"/>
  <c r="V15" i="40"/>
  <c r="W15" i="40"/>
  <c r="X15" i="40"/>
  <c r="Y15" i="40"/>
  <c r="Z15" i="40"/>
  <c r="AA15" i="40"/>
  <c r="AB15" i="40"/>
  <c r="AC15" i="40"/>
  <c r="AD15" i="40"/>
  <c r="AE15" i="40"/>
  <c r="AF15" i="40"/>
  <c r="D17" i="40"/>
  <c r="E17" i="40"/>
  <c r="F17" i="40"/>
  <c r="G17" i="40"/>
  <c r="H17" i="40"/>
  <c r="I17" i="40"/>
  <c r="J17" i="40"/>
  <c r="K17" i="40"/>
  <c r="L17" i="40"/>
  <c r="M17" i="40"/>
  <c r="N17" i="40"/>
  <c r="O17" i="40"/>
  <c r="P17" i="40"/>
  <c r="Q17" i="40"/>
  <c r="R17" i="40"/>
  <c r="S17" i="40"/>
  <c r="T17" i="40"/>
  <c r="U17" i="40"/>
  <c r="V17" i="40"/>
  <c r="W17" i="40"/>
  <c r="X17" i="40"/>
  <c r="Y17" i="40"/>
  <c r="Z17" i="40"/>
  <c r="AA17" i="40"/>
  <c r="AB17" i="40"/>
  <c r="AC17" i="40"/>
  <c r="AD17" i="40"/>
  <c r="AE17" i="40"/>
  <c r="AF17" i="40"/>
  <c r="D18" i="40"/>
  <c r="E18" i="40"/>
  <c r="F18" i="40"/>
  <c r="G18" i="40"/>
  <c r="H18" i="40"/>
  <c r="I18" i="40"/>
  <c r="J18" i="40"/>
  <c r="K18" i="40"/>
  <c r="L18" i="40"/>
  <c r="M18" i="40"/>
  <c r="N18" i="40"/>
  <c r="O18" i="40"/>
  <c r="P18" i="40"/>
  <c r="Q18" i="40"/>
  <c r="R18" i="40"/>
  <c r="S18" i="40"/>
  <c r="T18" i="40"/>
  <c r="U18" i="40"/>
  <c r="V18" i="40"/>
  <c r="W18" i="40"/>
  <c r="X18" i="40"/>
  <c r="Y18" i="40"/>
  <c r="Z18" i="40"/>
  <c r="AA18" i="40"/>
  <c r="AB18" i="40"/>
  <c r="AC18" i="40"/>
  <c r="AD18" i="40"/>
  <c r="AE18" i="40"/>
  <c r="AF18" i="40"/>
  <c r="D19" i="40"/>
  <c r="E19" i="40"/>
  <c r="F19" i="40"/>
  <c r="G19" i="40"/>
  <c r="H19" i="40"/>
  <c r="I19" i="40"/>
  <c r="J19" i="40"/>
  <c r="K19" i="40"/>
  <c r="L19" i="40"/>
  <c r="M19" i="40"/>
  <c r="N19" i="40"/>
  <c r="O19" i="40"/>
  <c r="P19" i="40"/>
  <c r="Q19" i="40"/>
  <c r="R19" i="40"/>
  <c r="S19" i="40"/>
  <c r="T19" i="40"/>
  <c r="U19" i="40"/>
  <c r="V19" i="40"/>
  <c r="W19" i="40"/>
  <c r="X19" i="40"/>
  <c r="Y19" i="40"/>
  <c r="Z19" i="40"/>
  <c r="AA19" i="40"/>
  <c r="AB19" i="40"/>
  <c r="AC19" i="40"/>
  <c r="AD19" i="40"/>
  <c r="AE19" i="40"/>
  <c r="AF19" i="40"/>
  <c r="D20" i="40"/>
  <c r="E20" i="40"/>
  <c r="F20" i="40"/>
  <c r="G20" i="40"/>
  <c r="H20" i="40"/>
  <c r="I20" i="40"/>
  <c r="J20" i="40"/>
  <c r="K20" i="40"/>
  <c r="L20" i="40"/>
  <c r="M20" i="40"/>
  <c r="N20" i="40"/>
  <c r="O20" i="40"/>
  <c r="P20" i="40"/>
  <c r="Q20" i="40"/>
  <c r="R20" i="40"/>
  <c r="S20" i="40"/>
  <c r="T20" i="40"/>
  <c r="U20" i="40"/>
  <c r="V20" i="40"/>
  <c r="W20" i="40"/>
  <c r="X20" i="40"/>
  <c r="Y20" i="40"/>
  <c r="Z20" i="40"/>
  <c r="AA20" i="40"/>
  <c r="AB20" i="40"/>
  <c r="AC20" i="40"/>
  <c r="AD20" i="40"/>
  <c r="AE20" i="40"/>
  <c r="AF20" i="40"/>
  <c r="D23" i="40"/>
  <c r="E23" i="40"/>
  <c r="F23" i="40"/>
  <c r="G23" i="40"/>
  <c r="H23" i="40"/>
  <c r="I23" i="40"/>
  <c r="J23" i="40"/>
  <c r="K23" i="40"/>
  <c r="L23" i="40"/>
  <c r="M23" i="40"/>
  <c r="N23" i="40"/>
  <c r="O23" i="40"/>
  <c r="P23" i="40"/>
  <c r="Q23" i="40"/>
  <c r="R23" i="40"/>
  <c r="S23" i="40"/>
  <c r="T23" i="40"/>
  <c r="U23" i="40"/>
  <c r="V23" i="40"/>
  <c r="W23" i="40"/>
  <c r="X23" i="40"/>
  <c r="Y23" i="40"/>
  <c r="Z23" i="40"/>
  <c r="AA23" i="40"/>
  <c r="AB23" i="40"/>
  <c r="AC23" i="40"/>
  <c r="AD23" i="40"/>
  <c r="AE23" i="40"/>
  <c r="AF23" i="40"/>
  <c r="D24" i="40"/>
  <c r="E24" i="40"/>
  <c r="F24" i="40"/>
  <c r="G24" i="40"/>
  <c r="H24" i="40"/>
  <c r="I24" i="40"/>
  <c r="J24" i="40"/>
  <c r="K24" i="40"/>
  <c r="L24" i="40"/>
  <c r="M24" i="40"/>
  <c r="N24" i="40"/>
  <c r="O24" i="40"/>
  <c r="P24" i="40"/>
  <c r="Q24" i="40"/>
  <c r="R24" i="40"/>
  <c r="S24" i="40"/>
  <c r="T24" i="40"/>
  <c r="U24" i="40"/>
  <c r="V24" i="40"/>
  <c r="W24" i="40"/>
  <c r="X24" i="40"/>
  <c r="Y24" i="40"/>
  <c r="Z24" i="40"/>
  <c r="AA24" i="40"/>
  <c r="AB24" i="40"/>
  <c r="AC24" i="40"/>
  <c r="AD24" i="40"/>
  <c r="AE24" i="40"/>
  <c r="AF24" i="40"/>
  <c r="D28" i="40"/>
  <c r="E28" i="40"/>
  <c r="F28" i="40"/>
  <c r="G28" i="40"/>
  <c r="H28" i="40"/>
  <c r="I28" i="40"/>
  <c r="J28" i="40"/>
  <c r="K28" i="40"/>
  <c r="L28" i="40"/>
  <c r="M28" i="40"/>
  <c r="N28" i="40"/>
  <c r="O28" i="40"/>
  <c r="P28" i="40"/>
  <c r="Q28" i="40"/>
  <c r="R28" i="40"/>
  <c r="S28" i="40"/>
  <c r="T28" i="40"/>
  <c r="U28" i="40"/>
  <c r="V28" i="40"/>
  <c r="W28" i="40"/>
  <c r="X28" i="40"/>
  <c r="Y28" i="40"/>
  <c r="Z28" i="40"/>
  <c r="AA28" i="40"/>
  <c r="AB28" i="40"/>
  <c r="AC28" i="40"/>
  <c r="AD28" i="40"/>
  <c r="AE28" i="40"/>
  <c r="AF28" i="40"/>
  <c r="D29" i="40"/>
  <c r="E29" i="40"/>
  <c r="F29" i="40"/>
  <c r="G29" i="40"/>
  <c r="H29" i="40"/>
  <c r="I29" i="40"/>
  <c r="J29" i="40"/>
  <c r="K29" i="40"/>
  <c r="L29" i="40"/>
  <c r="M29" i="40"/>
  <c r="N29" i="40"/>
  <c r="O29" i="40"/>
  <c r="P29" i="40"/>
  <c r="Q29" i="40"/>
  <c r="R29" i="40"/>
  <c r="S29" i="40"/>
  <c r="T29" i="40"/>
  <c r="U29" i="40"/>
  <c r="V29" i="40"/>
  <c r="W29" i="40"/>
  <c r="X29" i="40"/>
  <c r="Y29" i="40"/>
  <c r="Z29" i="40"/>
  <c r="AA29" i="40"/>
  <c r="AB29" i="40"/>
  <c r="AC29" i="40"/>
  <c r="AD29" i="40"/>
  <c r="AE29" i="40"/>
  <c r="AF29" i="40"/>
  <c r="D30" i="40"/>
  <c r="E30" i="40"/>
  <c r="F30" i="40"/>
  <c r="G30" i="40"/>
  <c r="H30" i="40"/>
  <c r="I30" i="40"/>
  <c r="J30" i="40"/>
  <c r="K30" i="40"/>
  <c r="L30" i="40"/>
  <c r="M30" i="40"/>
  <c r="N30" i="40"/>
  <c r="O30" i="40"/>
  <c r="P30" i="40"/>
  <c r="Q30" i="40"/>
  <c r="R30" i="40"/>
  <c r="S30" i="40"/>
  <c r="T30" i="40"/>
  <c r="U30" i="40"/>
  <c r="V30" i="40"/>
  <c r="W30" i="40"/>
  <c r="X30" i="40"/>
  <c r="Y30" i="40"/>
  <c r="Z30" i="40"/>
  <c r="AA30" i="40"/>
  <c r="AB30" i="40"/>
  <c r="AC30" i="40"/>
  <c r="AD30" i="40"/>
  <c r="AE30" i="40"/>
  <c r="AF30" i="40"/>
  <c r="D31" i="40"/>
  <c r="E31" i="40"/>
  <c r="F31" i="40"/>
  <c r="G31" i="40"/>
  <c r="H31" i="40"/>
  <c r="I31" i="40"/>
  <c r="J31" i="40"/>
  <c r="K31" i="40"/>
  <c r="L31" i="40"/>
  <c r="M31" i="40"/>
  <c r="N31" i="40"/>
  <c r="O31" i="40"/>
  <c r="P31" i="40"/>
  <c r="Q31" i="40"/>
  <c r="R31" i="40"/>
  <c r="S31" i="40"/>
  <c r="T31" i="40"/>
  <c r="U31" i="40"/>
  <c r="V31" i="40"/>
  <c r="W31" i="40"/>
  <c r="X31" i="40"/>
  <c r="Y31" i="40"/>
  <c r="Z31" i="40"/>
  <c r="AA31" i="40"/>
  <c r="AB31" i="40"/>
  <c r="AC31" i="40"/>
  <c r="AD31" i="40"/>
  <c r="AE31" i="40"/>
  <c r="AF31" i="40"/>
  <c r="D32" i="40"/>
  <c r="E32" i="40"/>
  <c r="F32" i="40"/>
  <c r="G32" i="40"/>
  <c r="H32" i="40"/>
  <c r="I32" i="40"/>
  <c r="J32" i="40"/>
  <c r="K32" i="40"/>
  <c r="L32" i="40"/>
  <c r="M32" i="40"/>
  <c r="N32" i="40"/>
  <c r="O32" i="40"/>
  <c r="P32" i="40"/>
  <c r="Q32" i="40"/>
  <c r="R32" i="40"/>
  <c r="S32" i="40"/>
  <c r="T32" i="40"/>
  <c r="U32" i="40"/>
  <c r="V32" i="40"/>
  <c r="W32" i="40"/>
  <c r="X32" i="40"/>
  <c r="Y32" i="40"/>
  <c r="Z32" i="40"/>
  <c r="AA32" i="40"/>
  <c r="AB32" i="40"/>
  <c r="AC32" i="40"/>
  <c r="AD32" i="40"/>
  <c r="AE32" i="40"/>
  <c r="AF32" i="40"/>
  <c r="D33" i="40"/>
  <c r="E33" i="40"/>
  <c r="F33" i="40"/>
  <c r="G33" i="40"/>
  <c r="H33" i="40"/>
  <c r="I33" i="40"/>
  <c r="J33" i="40"/>
  <c r="K33" i="40"/>
  <c r="L33" i="40"/>
  <c r="M33" i="40"/>
  <c r="N33" i="40"/>
  <c r="O33" i="40"/>
  <c r="P33" i="40"/>
  <c r="Q33" i="40"/>
  <c r="R33" i="40"/>
  <c r="S33" i="40"/>
  <c r="T33" i="40"/>
  <c r="U33" i="40"/>
  <c r="V33" i="40"/>
  <c r="W33" i="40"/>
  <c r="X33" i="40"/>
  <c r="Y33" i="40"/>
  <c r="Z33" i="40"/>
  <c r="AA33" i="40"/>
  <c r="AB33" i="40"/>
  <c r="AC33" i="40"/>
  <c r="AD33" i="40"/>
  <c r="AE33" i="40"/>
  <c r="AF33" i="40"/>
  <c r="D34" i="40"/>
  <c r="E34" i="40"/>
  <c r="F34" i="40"/>
  <c r="G34" i="40"/>
  <c r="H34" i="40"/>
  <c r="I34" i="40"/>
  <c r="J34" i="40"/>
  <c r="K34" i="40"/>
  <c r="L34" i="40"/>
  <c r="M34" i="40"/>
  <c r="N34" i="40"/>
  <c r="O34" i="40"/>
  <c r="P34" i="40"/>
  <c r="Q34" i="40"/>
  <c r="R34" i="40"/>
  <c r="S34" i="40"/>
  <c r="T34" i="40"/>
  <c r="U34" i="40"/>
  <c r="V34" i="40"/>
  <c r="W34" i="40"/>
  <c r="X34" i="40"/>
  <c r="Y34" i="40"/>
  <c r="Z34" i="40"/>
  <c r="AA34" i="40"/>
  <c r="AB34" i="40"/>
  <c r="AC34" i="40"/>
  <c r="AD34" i="40"/>
  <c r="AE34" i="40"/>
  <c r="AF34" i="40"/>
  <c r="D35" i="40"/>
  <c r="E35" i="40"/>
  <c r="F35" i="40"/>
  <c r="G35" i="40"/>
  <c r="H35" i="40"/>
  <c r="I35" i="40"/>
  <c r="J35" i="40"/>
  <c r="K35" i="40"/>
  <c r="L35" i="40"/>
  <c r="M35" i="40"/>
  <c r="N35" i="40"/>
  <c r="O35" i="40"/>
  <c r="P35" i="40"/>
  <c r="Q35" i="40"/>
  <c r="R35" i="40"/>
  <c r="S35" i="40"/>
  <c r="T35" i="40"/>
  <c r="U35" i="40"/>
  <c r="V35" i="40"/>
  <c r="W35" i="40"/>
  <c r="X35" i="40"/>
  <c r="Y35" i="40"/>
  <c r="Z35" i="40"/>
  <c r="AA35" i="40"/>
  <c r="AB35" i="40"/>
  <c r="AC35" i="40"/>
  <c r="AD35" i="40"/>
  <c r="AE35" i="40"/>
  <c r="AF35" i="40"/>
  <c r="D36" i="40"/>
  <c r="E36" i="40"/>
  <c r="F36" i="40"/>
  <c r="G36" i="40"/>
  <c r="H36" i="40"/>
  <c r="I36" i="40"/>
  <c r="J36" i="40"/>
  <c r="K36" i="40"/>
  <c r="L36" i="40"/>
  <c r="M36" i="40"/>
  <c r="N36" i="40"/>
  <c r="O36" i="40"/>
  <c r="P36" i="40"/>
  <c r="Q36" i="40"/>
  <c r="R36" i="40"/>
  <c r="S36" i="40"/>
  <c r="T36" i="40"/>
  <c r="U36" i="40"/>
  <c r="V36" i="40"/>
  <c r="W36" i="40"/>
  <c r="X36" i="40"/>
  <c r="Y36" i="40"/>
  <c r="Z36" i="40"/>
  <c r="AA36" i="40"/>
  <c r="AB36" i="40"/>
  <c r="AC36" i="40"/>
  <c r="AD36" i="40"/>
  <c r="AE36" i="40"/>
  <c r="AF36" i="40"/>
  <c r="D37" i="40"/>
  <c r="E37" i="40"/>
  <c r="F37" i="40"/>
  <c r="G37" i="40"/>
  <c r="H37" i="40"/>
  <c r="I37" i="40"/>
  <c r="J37" i="40"/>
  <c r="K37" i="40"/>
  <c r="L37" i="40"/>
  <c r="M37" i="40"/>
  <c r="N37" i="40"/>
  <c r="O37" i="40"/>
  <c r="P37" i="40"/>
  <c r="Q37" i="40"/>
  <c r="R37" i="40"/>
  <c r="S37" i="40"/>
  <c r="T37" i="40"/>
  <c r="U37" i="40"/>
  <c r="V37" i="40"/>
  <c r="W37" i="40"/>
  <c r="X37" i="40"/>
  <c r="Y37" i="40"/>
  <c r="Z37" i="40"/>
  <c r="AA37" i="40"/>
  <c r="AB37" i="40"/>
  <c r="AC37" i="40"/>
  <c r="AD37" i="40"/>
  <c r="AE37" i="40"/>
  <c r="AF37" i="40"/>
  <c r="D38" i="40"/>
  <c r="E38" i="40"/>
  <c r="F38" i="40"/>
  <c r="G38" i="40"/>
  <c r="H38" i="40"/>
  <c r="I38" i="40"/>
  <c r="J38" i="40"/>
  <c r="K38" i="40"/>
  <c r="L38" i="40"/>
  <c r="M38" i="40"/>
  <c r="N38" i="40"/>
  <c r="O38" i="40"/>
  <c r="P38" i="40"/>
  <c r="Q38" i="40"/>
  <c r="R38" i="40"/>
  <c r="S38" i="40"/>
  <c r="T38" i="40"/>
  <c r="U38" i="40"/>
  <c r="V38" i="40"/>
  <c r="W38" i="40"/>
  <c r="X38" i="40"/>
  <c r="Y38" i="40"/>
  <c r="Z38" i="40"/>
  <c r="AA38" i="40"/>
  <c r="AB38" i="40"/>
  <c r="AC38" i="40"/>
  <c r="AD38" i="40"/>
  <c r="AE38" i="40"/>
  <c r="AF38" i="40"/>
  <c r="D39" i="40"/>
  <c r="E39" i="40"/>
  <c r="F39" i="40"/>
  <c r="G39" i="40"/>
  <c r="H39" i="40"/>
  <c r="I39" i="40"/>
  <c r="J39" i="40"/>
  <c r="K39" i="40"/>
  <c r="L39" i="40"/>
  <c r="M39" i="40"/>
  <c r="N39" i="40"/>
  <c r="O39" i="40"/>
  <c r="P39" i="40"/>
  <c r="Q39" i="40"/>
  <c r="R39" i="40"/>
  <c r="S39" i="40"/>
  <c r="T39" i="40"/>
  <c r="U39" i="40"/>
  <c r="V39" i="40"/>
  <c r="W39" i="40"/>
  <c r="X39" i="40"/>
  <c r="Y39" i="40"/>
  <c r="Z39" i="40"/>
  <c r="AA39" i="40"/>
  <c r="AB39" i="40"/>
  <c r="AC39" i="40"/>
  <c r="AD39" i="40"/>
  <c r="AE39" i="40"/>
  <c r="AF39" i="40"/>
  <c r="D40" i="40"/>
  <c r="E40" i="40"/>
  <c r="F40" i="40"/>
  <c r="G40" i="40"/>
  <c r="H40" i="40"/>
  <c r="I40" i="40"/>
  <c r="J40" i="40"/>
  <c r="K40" i="40"/>
  <c r="L40" i="40"/>
  <c r="M40" i="40"/>
  <c r="N40" i="40"/>
  <c r="O40" i="40"/>
  <c r="P40" i="40"/>
  <c r="Q40" i="40"/>
  <c r="R40" i="40"/>
  <c r="S40" i="40"/>
  <c r="T40" i="40"/>
  <c r="U40" i="40"/>
  <c r="V40" i="40"/>
  <c r="W40" i="40"/>
  <c r="X40" i="40"/>
  <c r="Y40" i="40"/>
  <c r="Z40" i="40"/>
  <c r="AA40" i="40"/>
  <c r="AB40" i="40"/>
  <c r="AC40" i="40"/>
  <c r="AD40" i="40"/>
  <c r="AE40" i="40"/>
  <c r="AF40" i="40"/>
  <c r="D45" i="40"/>
  <c r="E45" i="40"/>
  <c r="F45" i="40"/>
  <c r="G45" i="40"/>
  <c r="H45" i="40"/>
  <c r="I45" i="40"/>
  <c r="J45" i="40"/>
  <c r="K45" i="40"/>
  <c r="L45" i="40"/>
  <c r="M45" i="40"/>
  <c r="N45" i="40"/>
  <c r="O45" i="40"/>
  <c r="P45" i="40"/>
  <c r="Q45" i="40"/>
  <c r="R45" i="40"/>
  <c r="S45" i="40"/>
  <c r="T45" i="40"/>
  <c r="U45" i="40"/>
  <c r="V45" i="40"/>
  <c r="W45" i="40"/>
  <c r="X45" i="40"/>
  <c r="Y45" i="40"/>
  <c r="Z45" i="40"/>
  <c r="AA45" i="40"/>
  <c r="AB45" i="40"/>
  <c r="AC45" i="40"/>
  <c r="AD45" i="40"/>
  <c r="AE45" i="40"/>
  <c r="AF45" i="40"/>
  <c r="D46" i="40"/>
  <c r="E46" i="40"/>
  <c r="F46" i="40"/>
  <c r="G46" i="40"/>
  <c r="H46" i="40"/>
  <c r="I46" i="40"/>
  <c r="J46" i="40"/>
  <c r="K46" i="40"/>
  <c r="L46" i="40"/>
  <c r="M46" i="40"/>
  <c r="N46" i="40"/>
  <c r="O46" i="40"/>
  <c r="P46" i="40"/>
  <c r="Q46" i="40"/>
  <c r="R46" i="40"/>
  <c r="S46" i="40"/>
  <c r="T46" i="40"/>
  <c r="U46" i="40"/>
  <c r="V46" i="40"/>
  <c r="W46" i="40"/>
  <c r="X46" i="40"/>
  <c r="Y46" i="40"/>
  <c r="Z46" i="40"/>
  <c r="AA46" i="40"/>
  <c r="AB46" i="40"/>
  <c r="AC46" i="40"/>
  <c r="AD46" i="40"/>
  <c r="AE46" i="40"/>
  <c r="AF46" i="40"/>
  <c r="D47" i="40"/>
  <c r="E47" i="40"/>
  <c r="F47" i="40"/>
  <c r="G47" i="40"/>
  <c r="H47" i="40"/>
  <c r="I47" i="40"/>
  <c r="J47" i="40"/>
  <c r="K47" i="40"/>
  <c r="L47" i="40"/>
  <c r="M47" i="40"/>
  <c r="N47" i="40"/>
  <c r="O47" i="40"/>
  <c r="P47" i="40"/>
  <c r="Q47" i="40"/>
  <c r="R47" i="40"/>
  <c r="S47" i="40"/>
  <c r="T47" i="40"/>
  <c r="U47" i="40"/>
  <c r="V47" i="40"/>
  <c r="W47" i="40"/>
  <c r="X47" i="40"/>
  <c r="Y47" i="40"/>
  <c r="Z47" i="40"/>
  <c r="AA47" i="40"/>
  <c r="AB47" i="40"/>
  <c r="AC47" i="40"/>
  <c r="AD47" i="40"/>
  <c r="AE47" i="40"/>
  <c r="AF47" i="40"/>
  <c r="D48" i="40"/>
  <c r="E48" i="40"/>
  <c r="F48" i="40"/>
  <c r="G48" i="40"/>
  <c r="H48" i="40"/>
  <c r="I48" i="40"/>
  <c r="J48" i="40"/>
  <c r="K48" i="40"/>
  <c r="L48" i="40"/>
  <c r="M48" i="40"/>
  <c r="N48" i="40"/>
  <c r="O48" i="40"/>
  <c r="P48" i="40"/>
  <c r="Q48" i="40"/>
  <c r="R48" i="40"/>
  <c r="S48" i="40"/>
  <c r="T48" i="40"/>
  <c r="U48" i="40"/>
  <c r="V48" i="40"/>
  <c r="W48" i="40"/>
  <c r="X48" i="40"/>
  <c r="Y48" i="40"/>
  <c r="Z48" i="40"/>
  <c r="AA48" i="40"/>
  <c r="AB48" i="40"/>
  <c r="AC48" i="40"/>
  <c r="AD48" i="40"/>
  <c r="AE48" i="40"/>
  <c r="AF48" i="40"/>
  <c r="D49" i="40"/>
  <c r="E49" i="40"/>
  <c r="F49" i="40"/>
  <c r="G49" i="40"/>
  <c r="H49" i="40"/>
  <c r="I49" i="40"/>
  <c r="J49" i="40"/>
  <c r="K49" i="40"/>
  <c r="L49" i="40"/>
  <c r="M49" i="40"/>
  <c r="N49" i="40"/>
  <c r="O49" i="40"/>
  <c r="P49" i="40"/>
  <c r="Q49" i="40"/>
  <c r="R49" i="40"/>
  <c r="S49" i="40"/>
  <c r="T49" i="40"/>
  <c r="U49" i="40"/>
  <c r="V49" i="40"/>
  <c r="W49" i="40"/>
  <c r="X49" i="40"/>
  <c r="Y49" i="40"/>
  <c r="Z49" i="40"/>
  <c r="AA49" i="40"/>
  <c r="AB49" i="40"/>
  <c r="AC49" i="40"/>
  <c r="AD49" i="40"/>
  <c r="AE49" i="40"/>
  <c r="AF49" i="40"/>
  <c r="D50" i="40"/>
  <c r="E50" i="40"/>
  <c r="F50" i="40"/>
  <c r="G50" i="40"/>
  <c r="H50" i="40"/>
  <c r="I50" i="40"/>
  <c r="J50" i="40"/>
  <c r="K50" i="40"/>
  <c r="L50" i="40"/>
  <c r="M50" i="40"/>
  <c r="N50" i="40"/>
  <c r="O50" i="40"/>
  <c r="P50" i="40"/>
  <c r="Q50" i="40"/>
  <c r="R50" i="40"/>
  <c r="S50" i="40"/>
  <c r="T50" i="40"/>
  <c r="U50" i="40"/>
  <c r="V50" i="40"/>
  <c r="W50" i="40"/>
  <c r="X50" i="40"/>
  <c r="Y50" i="40"/>
  <c r="Z50" i="40"/>
  <c r="AA50" i="40"/>
  <c r="AB50" i="40"/>
  <c r="AC50" i="40"/>
  <c r="AD50" i="40"/>
  <c r="AE50" i="40"/>
  <c r="AF50" i="40"/>
  <c r="D51" i="40"/>
  <c r="E51" i="40"/>
  <c r="F51" i="40"/>
  <c r="G51" i="40"/>
  <c r="H51" i="40"/>
  <c r="I51" i="40"/>
  <c r="J51" i="40"/>
  <c r="K51" i="40"/>
  <c r="L51" i="40"/>
  <c r="M51" i="40"/>
  <c r="N51" i="40"/>
  <c r="O51" i="40"/>
  <c r="P51" i="40"/>
  <c r="Q51" i="40"/>
  <c r="R51" i="40"/>
  <c r="S51" i="40"/>
  <c r="T51" i="40"/>
  <c r="U51" i="40"/>
  <c r="V51" i="40"/>
  <c r="W51" i="40"/>
  <c r="X51" i="40"/>
  <c r="Y51" i="40"/>
  <c r="Z51" i="40"/>
  <c r="AA51" i="40"/>
  <c r="AB51" i="40"/>
  <c r="AC51" i="40"/>
  <c r="AD51" i="40"/>
  <c r="AE51" i="40"/>
  <c r="AF51" i="40"/>
  <c r="D52" i="40"/>
  <c r="E52" i="40"/>
  <c r="F52" i="40"/>
  <c r="G52" i="40"/>
  <c r="H52" i="40"/>
  <c r="I52" i="40"/>
  <c r="J52" i="40"/>
  <c r="K52" i="40"/>
  <c r="L52" i="40"/>
  <c r="M52" i="40"/>
  <c r="N52" i="40"/>
  <c r="O52" i="40"/>
  <c r="P52" i="40"/>
  <c r="Q52" i="40"/>
  <c r="R52" i="40"/>
  <c r="S52" i="40"/>
  <c r="T52" i="40"/>
  <c r="U52" i="40"/>
  <c r="V52" i="40"/>
  <c r="W52" i="40"/>
  <c r="X52" i="40"/>
  <c r="Y52" i="40"/>
  <c r="Z52" i="40"/>
  <c r="AA52" i="40"/>
  <c r="AB52" i="40"/>
  <c r="AC52" i="40"/>
  <c r="AD52" i="40"/>
  <c r="AE52" i="40"/>
  <c r="AF52" i="40"/>
  <c r="D53" i="40"/>
  <c r="E53" i="40"/>
  <c r="F53" i="40"/>
  <c r="G53" i="40"/>
  <c r="H53" i="40"/>
  <c r="I53" i="40"/>
  <c r="J53" i="40"/>
  <c r="K53" i="40"/>
  <c r="L53" i="40"/>
  <c r="M53" i="40"/>
  <c r="N53" i="40"/>
  <c r="O53" i="40"/>
  <c r="P53" i="40"/>
  <c r="Q53" i="40"/>
  <c r="R53" i="40"/>
  <c r="S53" i="40"/>
  <c r="T53" i="40"/>
  <c r="U53" i="40"/>
  <c r="V53" i="40"/>
  <c r="W53" i="40"/>
  <c r="X53" i="40"/>
  <c r="Y53" i="40"/>
  <c r="Z53" i="40"/>
  <c r="AA53" i="40"/>
  <c r="AB53" i="40"/>
  <c r="AC53" i="40"/>
  <c r="AD53" i="40"/>
  <c r="AE53" i="40"/>
  <c r="AF53" i="40"/>
  <c r="D54" i="40"/>
  <c r="E54" i="40"/>
  <c r="F54" i="40"/>
  <c r="G54" i="40"/>
  <c r="H54" i="40"/>
  <c r="I54" i="40"/>
  <c r="J54" i="40"/>
  <c r="K54" i="40"/>
  <c r="L54" i="40"/>
  <c r="M54" i="40"/>
  <c r="N54" i="40"/>
  <c r="O54" i="40"/>
  <c r="P54" i="40"/>
  <c r="Q54" i="40"/>
  <c r="R54" i="40"/>
  <c r="S54" i="40"/>
  <c r="T54" i="40"/>
  <c r="U54" i="40"/>
  <c r="V54" i="40"/>
  <c r="W54" i="40"/>
  <c r="X54" i="40"/>
  <c r="Y54" i="40"/>
  <c r="Z54" i="40"/>
  <c r="AA54" i="40"/>
  <c r="AB54" i="40"/>
  <c r="AC54" i="40"/>
  <c r="AD54" i="40"/>
  <c r="AE54" i="40"/>
  <c r="AF54" i="40"/>
  <c r="D55" i="40"/>
  <c r="E55" i="40"/>
  <c r="F55" i="40"/>
  <c r="G55" i="40"/>
  <c r="H55" i="40"/>
  <c r="I55" i="40"/>
  <c r="J55" i="40"/>
  <c r="K55" i="40"/>
  <c r="L55" i="40"/>
  <c r="M55" i="40"/>
  <c r="N55" i="40"/>
  <c r="O55" i="40"/>
  <c r="P55" i="40"/>
  <c r="Q55" i="40"/>
  <c r="R55" i="40"/>
  <c r="S55" i="40"/>
  <c r="T55" i="40"/>
  <c r="U55" i="40"/>
  <c r="V55" i="40"/>
  <c r="W55" i="40"/>
  <c r="X55" i="40"/>
  <c r="Y55" i="40"/>
  <c r="Z55" i="40"/>
  <c r="AA55" i="40"/>
  <c r="AB55" i="40"/>
  <c r="AC55" i="40"/>
  <c r="AD55" i="40"/>
  <c r="AE55" i="40"/>
  <c r="AF55" i="40"/>
  <c r="D56" i="40"/>
  <c r="E56" i="40"/>
  <c r="F56" i="40"/>
  <c r="G56" i="40"/>
  <c r="H56" i="40"/>
  <c r="I56" i="40"/>
  <c r="J56" i="40"/>
  <c r="K56" i="40"/>
  <c r="L56" i="40"/>
  <c r="M56" i="40"/>
  <c r="N56" i="40"/>
  <c r="O56" i="40"/>
  <c r="P56" i="40"/>
  <c r="Q56" i="40"/>
  <c r="R56" i="40"/>
  <c r="S56" i="40"/>
  <c r="T56" i="40"/>
  <c r="U56" i="40"/>
  <c r="V56" i="40"/>
  <c r="W56" i="40"/>
  <c r="X56" i="40"/>
  <c r="Y56" i="40"/>
  <c r="Z56" i="40"/>
  <c r="AA56" i="40"/>
  <c r="AB56" i="40"/>
  <c r="AC56" i="40"/>
  <c r="AD56" i="40"/>
  <c r="AE56" i="40"/>
  <c r="AF56" i="40"/>
  <c r="D57" i="40"/>
  <c r="E57" i="40"/>
  <c r="F57" i="40"/>
  <c r="G57" i="40"/>
  <c r="H57" i="40"/>
  <c r="I57" i="40"/>
  <c r="J57" i="40"/>
  <c r="K57" i="40"/>
  <c r="L57" i="40"/>
  <c r="M57" i="40"/>
  <c r="N57" i="40"/>
  <c r="O57" i="40"/>
  <c r="P57" i="40"/>
  <c r="Q57" i="40"/>
  <c r="R57" i="40"/>
  <c r="S57" i="40"/>
  <c r="T57" i="40"/>
  <c r="U57" i="40"/>
  <c r="V57" i="40"/>
  <c r="W57" i="40"/>
  <c r="X57" i="40"/>
  <c r="Y57" i="40"/>
  <c r="Z57" i="40"/>
  <c r="AA57" i="40"/>
  <c r="AB57" i="40"/>
  <c r="AC57" i="40"/>
  <c r="AD57" i="40"/>
  <c r="AE57" i="40"/>
  <c r="AF57" i="40"/>
  <c r="D59" i="40"/>
  <c r="E59" i="40"/>
  <c r="F59" i="40"/>
  <c r="G59" i="40"/>
  <c r="H59" i="40"/>
  <c r="I59" i="40"/>
  <c r="J59" i="40"/>
  <c r="K59" i="40"/>
  <c r="L59" i="40"/>
  <c r="M59" i="40"/>
  <c r="N59" i="40"/>
  <c r="O59" i="40"/>
  <c r="P59" i="40"/>
  <c r="Q59" i="40"/>
  <c r="R59" i="40"/>
  <c r="S59" i="40"/>
  <c r="T59" i="40"/>
  <c r="U59" i="40"/>
  <c r="V59" i="40"/>
  <c r="W59" i="40"/>
  <c r="X59" i="40"/>
  <c r="Y59" i="40"/>
  <c r="Z59" i="40"/>
  <c r="AA59" i="40"/>
  <c r="AB59" i="40"/>
  <c r="AC59" i="40"/>
  <c r="AD59" i="40"/>
  <c r="AE59" i="40"/>
  <c r="AF59" i="40"/>
  <c r="D60" i="40"/>
  <c r="E60" i="40"/>
  <c r="F60" i="40"/>
  <c r="G60" i="40"/>
  <c r="H60" i="40"/>
  <c r="I60" i="40"/>
  <c r="J60" i="40"/>
  <c r="K60" i="40"/>
  <c r="L60" i="40"/>
  <c r="M60" i="40"/>
  <c r="N60" i="40"/>
  <c r="O60" i="40"/>
  <c r="P60" i="40"/>
  <c r="Q60" i="40"/>
  <c r="R60" i="40"/>
  <c r="S60" i="40"/>
  <c r="T60" i="40"/>
  <c r="U60" i="40"/>
  <c r="V60" i="40"/>
  <c r="W60" i="40"/>
  <c r="X60" i="40"/>
  <c r="Y60" i="40"/>
  <c r="Z60" i="40"/>
  <c r="AA60" i="40"/>
  <c r="AB60" i="40"/>
  <c r="AC60" i="40"/>
  <c r="AD60" i="40"/>
  <c r="AE60" i="40"/>
  <c r="AF60" i="40"/>
  <c r="D61" i="40"/>
  <c r="E61" i="40"/>
  <c r="F61" i="40"/>
  <c r="G61" i="40"/>
  <c r="H61" i="40"/>
  <c r="I61" i="40"/>
  <c r="J61" i="40"/>
  <c r="K61" i="40"/>
  <c r="L61" i="40"/>
  <c r="M61" i="40"/>
  <c r="N61" i="40"/>
  <c r="O61" i="40"/>
  <c r="P61" i="40"/>
  <c r="Q61" i="40"/>
  <c r="R61" i="40"/>
  <c r="S61" i="40"/>
  <c r="T61" i="40"/>
  <c r="U61" i="40"/>
  <c r="V61" i="40"/>
  <c r="W61" i="40"/>
  <c r="X61" i="40"/>
  <c r="Y61" i="40"/>
  <c r="Z61" i="40"/>
  <c r="AA61" i="40"/>
  <c r="AB61" i="40"/>
  <c r="AC61" i="40"/>
  <c r="AD61" i="40"/>
  <c r="AE61" i="40"/>
  <c r="AF61" i="40"/>
  <c r="D62" i="40"/>
  <c r="E62" i="40"/>
  <c r="F62" i="40"/>
  <c r="G62" i="40"/>
  <c r="H62" i="40"/>
  <c r="I62" i="40"/>
  <c r="J62" i="40"/>
  <c r="K62" i="40"/>
  <c r="L62" i="40"/>
  <c r="M62" i="40"/>
  <c r="N62" i="40"/>
  <c r="O62" i="40"/>
  <c r="P62" i="40"/>
  <c r="Q62" i="40"/>
  <c r="R62" i="40"/>
  <c r="S62" i="40"/>
  <c r="T62" i="40"/>
  <c r="U62" i="40"/>
  <c r="V62" i="40"/>
  <c r="W62" i="40"/>
  <c r="X62" i="40"/>
  <c r="Y62" i="40"/>
  <c r="Z62" i="40"/>
  <c r="AA62" i="40"/>
  <c r="AB62" i="40"/>
  <c r="AC62" i="40"/>
  <c r="AD62" i="40"/>
  <c r="AE62" i="40"/>
  <c r="AF62" i="40"/>
  <c r="D63" i="40"/>
  <c r="E63" i="40"/>
  <c r="F63" i="40"/>
  <c r="G63" i="40"/>
  <c r="H63" i="40"/>
  <c r="I63" i="40"/>
  <c r="J63" i="40"/>
  <c r="K63" i="40"/>
  <c r="L63" i="40"/>
  <c r="M63" i="40"/>
  <c r="N63" i="40"/>
  <c r="O63" i="40"/>
  <c r="P63" i="40"/>
  <c r="Q63" i="40"/>
  <c r="R63" i="40"/>
  <c r="S63" i="40"/>
  <c r="T63" i="40"/>
  <c r="U63" i="40"/>
  <c r="V63" i="40"/>
  <c r="W63" i="40"/>
  <c r="X63" i="40"/>
  <c r="Y63" i="40"/>
  <c r="Z63" i="40"/>
  <c r="AA63" i="40"/>
  <c r="AB63" i="40"/>
  <c r="AC63" i="40"/>
  <c r="AD63" i="40"/>
  <c r="AE63" i="40"/>
  <c r="AF63" i="40"/>
  <c r="D64" i="40"/>
  <c r="E64" i="40"/>
  <c r="F64" i="40"/>
  <c r="G64" i="40"/>
  <c r="H64" i="40"/>
  <c r="I64" i="40"/>
  <c r="J64" i="40"/>
  <c r="K64" i="40"/>
  <c r="L64" i="40"/>
  <c r="M64" i="40"/>
  <c r="N64" i="40"/>
  <c r="O64" i="40"/>
  <c r="P64" i="40"/>
  <c r="Q64" i="40"/>
  <c r="R64" i="40"/>
  <c r="S64" i="40"/>
  <c r="T64" i="40"/>
  <c r="U64" i="40"/>
  <c r="V64" i="40"/>
  <c r="W64" i="40"/>
  <c r="X64" i="40"/>
  <c r="Y64" i="40"/>
  <c r="Z64" i="40"/>
  <c r="AA64" i="40"/>
  <c r="AB64" i="40"/>
  <c r="AC64" i="40"/>
  <c r="AD64" i="40"/>
  <c r="AE64" i="40"/>
  <c r="AF64" i="40"/>
  <c r="D65" i="40"/>
  <c r="E65" i="40"/>
  <c r="F65" i="40"/>
  <c r="G65" i="40"/>
  <c r="H65" i="40"/>
  <c r="I65" i="40"/>
  <c r="J65" i="40"/>
  <c r="K65" i="40"/>
  <c r="L65" i="40"/>
  <c r="M65" i="40"/>
  <c r="N65" i="40"/>
  <c r="O65" i="40"/>
  <c r="P65" i="40"/>
  <c r="Q65" i="40"/>
  <c r="R65" i="40"/>
  <c r="S65" i="40"/>
  <c r="T65" i="40"/>
  <c r="U65" i="40"/>
  <c r="V65" i="40"/>
  <c r="W65" i="40"/>
  <c r="X65" i="40"/>
  <c r="Y65" i="40"/>
  <c r="Z65" i="40"/>
  <c r="AA65" i="40"/>
  <c r="AB65" i="40"/>
  <c r="AC65" i="40"/>
  <c r="AD65" i="40"/>
  <c r="AE65" i="40"/>
  <c r="AF65" i="40"/>
  <c r="D66" i="40"/>
  <c r="E66" i="40"/>
  <c r="F66" i="40"/>
  <c r="G66" i="40"/>
  <c r="H66" i="40"/>
  <c r="I66" i="40"/>
  <c r="J66" i="40"/>
  <c r="K66" i="40"/>
  <c r="L66" i="40"/>
  <c r="M66" i="40"/>
  <c r="N66" i="40"/>
  <c r="O66" i="40"/>
  <c r="P66" i="40"/>
  <c r="Q66" i="40"/>
  <c r="R66" i="40"/>
  <c r="S66" i="40"/>
  <c r="T66" i="40"/>
  <c r="U66" i="40"/>
  <c r="V66" i="40"/>
  <c r="W66" i="40"/>
  <c r="X66" i="40"/>
  <c r="Y66" i="40"/>
  <c r="Z66" i="40"/>
  <c r="AA66" i="40"/>
  <c r="AB66" i="40"/>
  <c r="AC66" i="40"/>
  <c r="AD66" i="40"/>
  <c r="AE66" i="40"/>
  <c r="AF66" i="40"/>
  <c r="D67" i="40"/>
  <c r="E67" i="40"/>
  <c r="F67" i="40"/>
  <c r="G67" i="40"/>
  <c r="H67" i="40"/>
  <c r="I67" i="40"/>
  <c r="J67" i="40"/>
  <c r="K67" i="40"/>
  <c r="L67" i="40"/>
  <c r="M67" i="40"/>
  <c r="N67" i="40"/>
  <c r="O67" i="40"/>
  <c r="P67" i="40"/>
  <c r="Q67" i="40"/>
  <c r="R67" i="40"/>
  <c r="S67" i="40"/>
  <c r="T67" i="40"/>
  <c r="U67" i="40"/>
  <c r="V67" i="40"/>
  <c r="W67" i="40"/>
  <c r="X67" i="40"/>
  <c r="Y67" i="40"/>
  <c r="Z67" i="40"/>
  <c r="AA67" i="40"/>
  <c r="AB67" i="40"/>
  <c r="AC67" i="40"/>
  <c r="AD67" i="40"/>
  <c r="AE67" i="40"/>
  <c r="AF67" i="40"/>
  <c r="D68" i="40"/>
  <c r="E68" i="40"/>
  <c r="F68" i="40"/>
  <c r="G68" i="40"/>
  <c r="H68" i="40"/>
  <c r="I68" i="40"/>
  <c r="J68" i="40"/>
  <c r="K68" i="40"/>
  <c r="L68" i="40"/>
  <c r="M68" i="40"/>
  <c r="N68" i="40"/>
  <c r="O68" i="40"/>
  <c r="P68" i="40"/>
  <c r="Q68" i="40"/>
  <c r="R68" i="40"/>
  <c r="S68" i="40"/>
  <c r="T68" i="40"/>
  <c r="U68" i="40"/>
  <c r="V68" i="40"/>
  <c r="W68" i="40"/>
  <c r="X68" i="40"/>
  <c r="Y68" i="40"/>
  <c r="Z68" i="40"/>
  <c r="AA68" i="40"/>
  <c r="AB68" i="40"/>
  <c r="AC68" i="40"/>
  <c r="AD68" i="40"/>
  <c r="AE68" i="40"/>
  <c r="AF68" i="40"/>
  <c r="D69" i="40"/>
  <c r="E69" i="40"/>
  <c r="F69" i="40"/>
  <c r="G69" i="40"/>
  <c r="H69" i="40"/>
  <c r="I69" i="40"/>
  <c r="J69" i="40"/>
  <c r="K69" i="40"/>
  <c r="L69" i="40"/>
  <c r="M69" i="40"/>
  <c r="N69" i="40"/>
  <c r="O69" i="40"/>
  <c r="P69" i="40"/>
  <c r="Q69" i="40"/>
  <c r="R69" i="40"/>
  <c r="S69" i="40"/>
  <c r="T69" i="40"/>
  <c r="U69" i="40"/>
  <c r="V69" i="40"/>
  <c r="W69" i="40"/>
  <c r="X69" i="40"/>
  <c r="Y69" i="40"/>
  <c r="Z69" i="40"/>
  <c r="AA69" i="40"/>
  <c r="AB69" i="40"/>
  <c r="AC69" i="40"/>
  <c r="AD69" i="40"/>
  <c r="AE69" i="40"/>
  <c r="AF69" i="40"/>
  <c r="D70" i="40"/>
  <c r="E70" i="40"/>
  <c r="F70" i="40"/>
  <c r="G70" i="40"/>
  <c r="H70" i="40"/>
  <c r="I70" i="40"/>
  <c r="J70" i="40"/>
  <c r="K70" i="40"/>
  <c r="L70" i="40"/>
  <c r="M70" i="40"/>
  <c r="N70" i="40"/>
  <c r="O70" i="40"/>
  <c r="P70" i="40"/>
  <c r="Q70" i="40"/>
  <c r="R70" i="40"/>
  <c r="S70" i="40"/>
  <c r="T70" i="40"/>
  <c r="U70" i="40"/>
  <c r="V70" i="40"/>
  <c r="W70" i="40"/>
  <c r="X70" i="40"/>
  <c r="Y70" i="40"/>
  <c r="Z70" i="40"/>
  <c r="AA70" i="40"/>
  <c r="AB70" i="40"/>
  <c r="AC70" i="40"/>
  <c r="AD70" i="40"/>
  <c r="AE70" i="40"/>
  <c r="AF70" i="40"/>
  <c r="D71" i="40"/>
  <c r="E71" i="40"/>
  <c r="F71" i="40"/>
  <c r="G71" i="40"/>
  <c r="H71" i="40"/>
  <c r="I71" i="40"/>
  <c r="J71" i="40"/>
  <c r="K71" i="40"/>
  <c r="L71" i="40"/>
  <c r="M71" i="40"/>
  <c r="N71" i="40"/>
  <c r="O71" i="40"/>
  <c r="P71" i="40"/>
  <c r="Q71" i="40"/>
  <c r="R71" i="40"/>
  <c r="S71" i="40"/>
  <c r="T71" i="40"/>
  <c r="U71" i="40"/>
  <c r="V71" i="40"/>
  <c r="W71" i="40"/>
  <c r="X71" i="40"/>
  <c r="Y71" i="40"/>
  <c r="Z71" i="40"/>
  <c r="AA71" i="40"/>
  <c r="AB71" i="40"/>
  <c r="AC71" i="40"/>
  <c r="AD71" i="40"/>
  <c r="AE71" i="40"/>
  <c r="AF71" i="40"/>
  <c r="D74" i="40"/>
  <c r="E74" i="40"/>
  <c r="F74" i="40"/>
  <c r="G74" i="40"/>
  <c r="H74" i="40"/>
  <c r="I74" i="40"/>
  <c r="J74" i="40"/>
  <c r="K74" i="40"/>
  <c r="L74" i="40"/>
  <c r="M74" i="40"/>
  <c r="N74" i="40"/>
  <c r="O74" i="40"/>
  <c r="P74" i="40"/>
  <c r="Q74" i="40"/>
  <c r="R74" i="40"/>
  <c r="S74" i="40"/>
  <c r="T74" i="40"/>
  <c r="U74" i="40"/>
  <c r="V74" i="40"/>
  <c r="W74" i="40"/>
  <c r="X74" i="40"/>
  <c r="Y74" i="40"/>
  <c r="Z74" i="40"/>
  <c r="AA74" i="40"/>
  <c r="AB74" i="40"/>
  <c r="AC74" i="40"/>
  <c r="AD74" i="40"/>
  <c r="AE74" i="40"/>
  <c r="AF74" i="40"/>
  <c r="D75" i="40"/>
  <c r="E75" i="40"/>
  <c r="F75" i="40"/>
  <c r="G75" i="40"/>
  <c r="H75" i="40"/>
  <c r="I75" i="40"/>
  <c r="J75" i="40"/>
  <c r="K75" i="40"/>
  <c r="L75" i="40"/>
  <c r="M75" i="40"/>
  <c r="N75" i="40"/>
  <c r="O75" i="40"/>
  <c r="P75" i="40"/>
  <c r="Q75" i="40"/>
  <c r="R75" i="40"/>
  <c r="S75" i="40"/>
  <c r="T75" i="40"/>
  <c r="U75" i="40"/>
  <c r="V75" i="40"/>
  <c r="W75" i="40"/>
  <c r="X75" i="40"/>
  <c r="Y75" i="40"/>
  <c r="Z75" i="40"/>
  <c r="AA75" i="40"/>
  <c r="AB75" i="40"/>
  <c r="AC75" i="40"/>
  <c r="AD75" i="40"/>
  <c r="AE75" i="40"/>
  <c r="AF75" i="40"/>
  <c r="D76" i="40"/>
  <c r="E76" i="40"/>
  <c r="F76" i="40"/>
  <c r="G76" i="40"/>
  <c r="H76" i="40"/>
  <c r="I76" i="40"/>
  <c r="J76" i="40"/>
  <c r="K76" i="40"/>
  <c r="L76" i="40"/>
  <c r="M76" i="40"/>
  <c r="N76" i="40"/>
  <c r="O76" i="40"/>
  <c r="P76" i="40"/>
  <c r="Q76" i="40"/>
  <c r="R76" i="40"/>
  <c r="S76" i="40"/>
  <c r="T76" i="40"/>
  <c r="U76" i="40"/>
  <c r="V76" i="40"/>
  <c r="W76" i="40"/>
  <c r="X76" i="40"/>
  <c r="Y76" i="40"/>
  <c r="Z76" i="40"/>
  <c r="AA76" i="40"/>
  <c r="AB76" i="40"/>
  <c r="AC76" i="40"/>
  <c r="AD76" i="40"/>
  <c r="AE76" i="40"/>
  <c r="AF76" i="40"/>
  <c r="D77" i="40"/>
  <c r="E77" i="40"/>
  <c r="F77" i="40"/>
  <c r="G77" i="40"/>
  <c r="H77" i="40"/>
  <c r="I77" i="40"/>
  <c r="J77" i="40"/>
  <c r="K77" i="40"/>
  <c r="L77" i="40"/>
  <c r="M77" i="40"/>
  <c r="N77" i="40"/>
  <c r="O77" i="40"/>
  <c r="P77" i="40"/>
  <c r="Q77" i="40"/>
  <c r="R77" i="40"/>
  <c r="S77" i="40"/>
  <c r="T77" i="40"/>
  <c r="U77" i="40"/>
  <c r="V77" i="40"/>
  <c r="W77" i="40"/>
  <c r="X77" i="40"/>
  <c r="Y77" i="40"/>
  <c r="Z77" i="40"/>
  <c r="AA77" i="40"/>
  <c r="AB77" i="40"/>
  <c r="AC77" i="40"/>
  <c r="AD77" i="40"/>
  <c r="AE77" i="40"/>
  <c r="AF77" i="40"/>
  <c r="D78" i="40"/>
  <c r="E78" i="40"/>
  <c r="F78" i="40"/>
  <c r="G78" i="40"/>
  <c r="H78" i="40"/>
  <c r="I78" i="40"/>
  <c r="J78" i="40"/>
  <c r="K78" i="40"/>
  <c r="L78" i="40"/>
  <c r="M78" i="40"/>
  <c r="N78" i="40"/>
  <c r="O78" i="40"/>
  <c r="P78" i="40"/>
  <c r="Q78" i="40"/>
  <c r="R78" i="40"/>
  <c r="S78" i="40"/>
  <c r="T78" i="40"/>
  <c r="U78" i="40"/>
  <c r="V78" i="40"/>
  <c r="W78" i="40"/>
  <c r="X78" i="40"/>
  <c r="Y78" i="40"/>
  <c r="Z78" i="40"/>
  <c r="AA78" i="40"/>
  <c r="AB78" i="40"/>
  <c r="AC78" i="40"/>
  <c r="AD78" i="40"/>
  <c r="AE78" i="40"/>
  <c r="AF78" i="40"/>
  <c r="D79" i="40"/>
  <c r="E79" i="40"/>
  <c r="F79" i="40"/>
  <c r="G79" i="40"/>
  <c r="H79" i="40"/>
  <c r="I79" i="40"/>
  <c r="J79" i="40"/>
  <c r="K79" i="40"/>
  <c r="L79" i="40"/>
  <c r="M79" i="40"/>
  <c r="N79" i="40"/>
  <c r="O79" i="40"/>
  <c r="P79" i="40"/>
  <c r="Q79" i="40"/>
  <c r="R79" i="40"/>
  <c r="S79" i="40"/>
  <c r="T79" i="40"/>
  <c r="U79" i="40"/>
  <c r="V79" i="40"/>
  <c r="W79" i="40"/>
  <c r="X79" i="40"/>
  <c r="Y79" i="40"/>
  <c r="Z79" i="40"/>
  <c r="AA79" i="40"/>
  <c r="AB79" i="40"/>
  <c r="AC79" i="40"/>
  <c r="AD79" i="40"/>
  <c r="AE79" i="40"/>
  <c r="AF79" i="40"/>
  <c r="D80" i="40"/>
  <c r="E80" i="40"/>
  <c r="F80" i="40"/>
  <c r="G80" i="40"/>
  <c r="H80" i="40"/>
  <c r="I80" i="40"/>
  <c r="J80" i="40"/>
  <c r="K80" i="40"/>
  <c r="L80" i="40"/>
  <c r="M80" i="40"/>
  <c r="N80" i="40"/>
  <c r="O80" i="40"/>
  <c r="P80" i="40"/>
  <c r="Q80" i="40"/>
  <c r="R80" i="40"/>
  <c r="S80" i="40"/>
  <c r="T80" i="40"/>
  <c r="U80" i="40"/>
  <c r="V80" i="40"/>
  <c r="W80" i="40"/>
  <c r="X80" i="40"/>
  <c r="Y80" i="40"/>
  <c r="Z80" i="40"/>
  <c r="AA80" i="40"/>
  <c r="AB80" i="40"/>
  <c r="AC80" i="40"/>
  <c r="AD80" i="40"/>
  <c r="AE80" i="40"/>
  <c r="AF80" i="40"/>
  <c r="D81" i="40"/>
  <c r="E81" i="40"/>
  <c r="F81" i="40"/>
  <c r="G81" i="40"/>
  <c r="H81" i="40"/>
  <c r="I81" i="40"/>
  <c r="J81" i="40"/>
  <c r="K81" i="40"/>
  <c r="L81" i="40"/>
  <c r="M81" i="40"/>
  <c r="N81" i="40"/>
  <c r="O81" i="40"/>
  <c r="P81" i="40"/>
  <c r="Q81" i="40"/>
  <c r="R81" i="40"/>
  <c r="S81" i="40"/>
  <c r="T81" i="40"/>
  <c r="U81" i="40"/>
  <c r="V81" i="40"/>
  <c r="W81" i="40"/>
  <c r="X81" i="40"/>
  <c r="Y81" i="40"/>
  <c r="Z81" i="40"/>
  <c r="AA81" i="40"/>
  <c r="AB81" i="40"/>
  <c r="AC81" i="40"/>
  <c r="AD81" i="40"/>
  <c r="AE81" i="40"/>
  <c r="AF81" i="40"/>
  <c r="D82" i="40"/>
  <c r="E82" i="40"/>
  <c r="F82" i="40"/>
  <c r="G82" i="40"/>
  <c r="H82" i="40"/>
  <c r="I82" i="40"/>
  <c r="J82" i="40"/>
  <c r="K82" i="40"/>
  <c r="L82" i="40"/>
  <c r="M82" i="40"/>
  <c r="N82" i="40"/>
  <c r="O82" i="40"/>
  <c r="P82" i="40"/>
  <c r="Q82" i="40"/>
  <c r="R82" i="40"/>
  <c r="S82" i="40"/>
  <c r="T82" i="40"/>
  <c r="U82" i="40"/>
  <c r="V82" i="40"/>
  <c r="W82" i="40"/>
  <c r="X82" i="40"/>
  <c r="Y82" i="40"/>
  <c r="Z82" i="40"/>
  <c r="AA82" i="40"/>
  <c r="AB82" i="40"/>
  <c r="AC82" i="40"/>
  <c r="AD82" i="40"/>
  <c r="AE82" i="40"/>
  <c r="AF82" i="40"/>
  <c r="D83" i="40"/>
  <c r="E83" i="40"/>
  <c r="F83" i="40"/>
  <c r="G83" i="40"/>
  <c r="H83" i="40"/>
  <c r="I83" i="40"/>
  <c r="J83" i="40"/>
  <c r="K83" i="40"/>
  <c r="L83" i="40"/>
  <c r="M83" i="40"/>
  <c r="N83" i="40"/>
  <c r="O83" i="40"/>
  <c r="P83" i="40"/>
  <c r="Q83" i="40"/>
  <c r="R83" i="40"/>
  <c r="S83" i="40"/>
  <c r="T83" i="40"/>
  <c r="U83" i="40"/>
  <c r="V83" i="40"/>
  <c r="W83" i="40"/>
  <c r="X83" i="40"/>
  <c r="Y83" i="40"/>
  <c r="Z83" i="40"/>
  <c r="AA83" i="40"/>
  <c r="AB83" i="40"/>
  <c r="AC83" i="40"/>
  <c r="AD83" i="40"/>
  <c r="AE83" i="40"/>
  <c r="AF83" i="40"/>
  <c r="D84" i="40"/>
  <c r="E84" i="40"/>
  <c r="F84" i="40"/>
  <c r="G84" i="40"/>
  <c r="H84" i="40"/>
  <c r="I84" i="40"/>
  <c r="J84" i="40"/>
  <c r="K84" i="40"/>
  <c r="L84" i="40"/>
  <c r="M84" i="40"/>
  <c r="N84" i="40"/>
  <c r="O84" i="40"/>
  <c r="P84" i="40"/>
  <c r="Q84" i="40"/>
  <c r="R84" i="40"/>
  <c r="S84" i="40"/>
  <c r="T84" i="40"/>
  <c r="U84" i="40"/>
  <c r="V84" i="40"/>
  <c r="W84" i="40"/>
  <c r="X84" i="40"/>
  <c r="Y84" i="40"/>
  <c r="Z84" i="40"/>
  <c r="AA84" i="40"/>
  <c r="AB84" i="40"/>
  <c r="AC84" i="40"/>
  <c r="AD84" i="40"/>
  <c r="AE84" i="40"/>
  <c r="AF84" i="40"/>
  <c r="D85" i="40"/>
  <c r="E85" i="40"/>
  <c r="F85" i="40"/>
  <c r="G85" i="40"/>
  <c r="H85" i="40"/>
  <c r="I85" i="40"/>
  <c r="J85" i="40"/>
  <c r="K85" i="40"/>
  <c r="L85" i="40"/>
  <c r="M85" i="40"/>
  <c r="N85" i="40"/>
  <c r="O85" i="40"/>
  <c r="P85" i="40"/>
  <c r="Q85" i="40"/>
  <c r="R85" i="40"/>
  <c r="S85" i="40"/>
  <c r="T85" i="40"/>
  <c r="U85" i="40"/>
  <c r="V85" i="40"/>
  <c r="W85" i="40"/>
  <c r="X85" i="40"/>
  <c r="Y85" i="40"/>
  <c r="Z85" i="40"/>
  <c r="AA85" i="40"/>
  <c r="AB85" i="40"/>
  <c r="AC85" i="40"/>
  <c r="AD85" i="40"/>
  <c r="AE85" i="40"/>
  <c r="AF85" i="40"/>
  <c r="D86" i="40"/>
  <c r="E86" i="40"/>
  <c r="F86" i="40"/>
  <c r="G86" i="40"/>
  <c r="H86" i="40"/>
  <c r="I86" i="40"/>
  <c r="J86" i="40"/>
  <c r="K86" i="40"/>
  <c r="L86" i="40"/>
  <c r="M86" i="40"/>
  <c r="N86" i="40"/>
  <c r="O86" i="40"/>
  <c r="P86" i="40"/>
  <c r="Q86" i="40"/>
  <c r="R86" i="40"/>
  <c r="S86" i="40"/>
  <c r="T86" i="40"/>
  <c r="U86" i="40"/>
  <c r="V86" i="40"/>
  <c r="W86" i="40"/>
  <c r="X86" i="40"/>
  <c r="Y86" i="40"/>
  <c r="Z86" i="40"/>
  <c r="AA86" i="40"/>
  <c r="AB86" i="40"/>
  <c r="AC86" i="40"/>
  <c r="AD86" i="40"/>
  <c r="AE86" i="40"/>
  <c r="AF86" i="40"/>
  <c r="D87" i="40"/>
  <c r="E87" i="40"/>
  <c r="F87" i="40"/>
  <c r="G87" i="40"/>
  <c r="H87" i="40"/>
  <c r="I87" i="40"/>
  <c r="J87" i="40"/>
  <c r="K87" i="40"/>
  <c r="L87" i="40"/>
  <c r="M87" i="40"/>
  <c r="N87" i="40"/>
  <c r="O87" i="40"/>
  <c r="P87" i="40"/>
  <c r="Q87" i="40"/>
  <c r="R87" i="40"/>
  <c r="S87" i="40"/>
  <c r="T87" i="40"/>
  <c r="U87" i="40"/>
  <c r="V87" i="40"/>
  <c r="W87" i="40"/>
  <c r="X87" i="40"/>
  <c r="Y87" i="40"/>
  <c r="Z87" i="40"/>
  <c r="AA87" i="40"/>
  <c r="AB87" i="40"/>
  <c r="AC87" i="40"/>
  <c r="AD87" i="40"/>
  <c r="AE87" i="40"/>
  <c r="AF87" i="40"/>
  <c r="D90" i="40"/>
  <c r="E90" i="40"/>
  <c r="F90" i="40"/>
  <c r="G90" i="40"/>
  <c r="H90" i="40"/>
  <c r="I90" i="40"/>
  <c r="J90" i="40"/>
  <c r="K90" i="40"/>
  <c r="L90" i="40"/>
  <c r="M90" i="40"/>
  <c r="N90" i="40"/>
  <c r="O90" i="40"/>
  <c r="P90" i="40"/>
  <c r="Q90" i="40"/>
  <c r="R90" i="40"/>
  <c r="S90" i="40"/>
  <c r="T90" i="40"/>
  <c r="U90" i="40"/>
  <c r="V90" i="40"/>
  <c r="W90" i="40"/>
  <c r="X90" i="40"/>
  <c r="Y90" i="40"/>
  <c r="Z90" i="40"/>
  <c r="AA90" i="40"/>
  <c r="AB90" i="40"/>
  <c r="AC90" i="40"/>
  <c r="AD90" i="40"/>
  <c r="AE90" i="40"/>
  <c r="AF90" i="40"/>
  <c r="D91" i="40"/>
  <c r="E91" i="40"/>
  <c r="F91" i="40"/>
  <c r="G91" i="40"/>
  <c r="H91" i="40"/>
  <c r="I91" i="40"/>
  <c r="J91" i="40"/>
  <c r="K91" i="40"/>
  <c r="L91" i="40"/>
  <c r="M91" i="40"/>
  <c r="N91" i="40"/>
  <c r="O91" i="40"/>
  <c r="P91" i="40"/>
  <c r="Q91" i="40"/>
  <c r="R91" i="40"/>
  <c r="S91" i="40"/>
  <c r="T91" i="40"/>
  <c r="U91" i="40"/>
  <c r="V91" i="40"/>
  <c r="W91" i="40"/>
  <c r="X91" i="40"/>
  <c r="Y91" i="40"/>
  <c r="Z91" i="40"/>
  <c r="AA91" i="40"/>
  <c r="AB91" i="40"/>
  <c r="AC91" i="40"/>
  <c r="AD91" i="40"/>
  <c r="AE91" i="40"/>
  <c r="AF91" i="40"/>
  <c r="D92" i="40"/>
  <c r="E92" i="40"/>
  <c r="F92" i="40"/>
  <c r="G92" i="40"/>
  <c r="H92" i="40"/>
  <c r="I92" i="40"/>
  <c r="J92" i="40"/>
  <c r="K92" i="40"/>
  <c r="L92" i="40"/>
  <c r="M92" i="40"/>
  <c r="N92" i="40"/>
  <c r="O92" i="40"/>
  <c r="P92" i="40"/>
  <c r="Q92" i="40"/>
  <c r="R92" i="40"/>
  <c r="S92" i="40"/>
  <c r="T92" i="40"/>
  <c r="U92" i="40"/>
  <c r="V92" i="40"/>
  <c r="W92" i="40"/>
  <c r="X92" i="40"/>
  <c r="Y92" i="40"/>
  <c r="Z92" i="40"/>
  <c r="AA92" i="40"/>
  <c r="AB92" i="40"/>
  <c r="AC92" i="40"/>
  <c r="AD92" i="40"/>
  <c r="AE92" i="40"/>
  <c r="AF92" i="40"/>
  <c r="D93" i="40"/>
  <c r="E93" i="40"/>
  <c r="F93" i="40"/>
  <c r="G93" i="40"/>
  <c r="H93" i="40"/>
  <c r="I93" i="40"/>
  <c r="J93" i="40"/>
  <c r="K93" i="40"/>
  <c r="L93" i="40"/>
  <c r="M93" i="40"/>
  <c r="N93" i="40"/>
  <c r="O93" i="40"/>
  <c r="P93" i="40"/>
  <c r="Q93" i="40"/>
  <c r="R93" i="40"/>
  <c r="S93" i="40"/>
  <c r="T93" i="40"/>
  <c r="U93" i="40"/>
  <c r="V93" i="40"/>
  <c r="W93" i="40"/>
  <c r="X93" i="40"/>
  <c r="Y93" i="40"/>
  <c r="Z93" i="40"/>
  <c r="AA93" i="40"/>
  <c r="AB93" i="40"/>
  <c r="AC93" i="40"/>
  <c r="AD93" i="40"/>
  <c r="AE93" i="40"/>
  <c r="AF93" i="40"/>
  <c r="D94" i="40"/>
  <c r="E94" i="40"/>
  <c r="F94" i="40"/>
  <c r="G94" i="40"/>
  <c r="H94" i="40"/>
  <c r="I94" i="40"/>
  <c r="J94" i="40"/>
  <c r="K94" i="40"/>
  <c r="L94" i="40"/>
  <c r="M94" i="40"/>
  <c r="N94" i="40"/>
  <c r="O94" i="40"/>
  <c r="P94" i="40"/>
  <c r="Q94" i="40"/>
  <c r="R94" i="40"/>
  <c r="S94" i="40"/>
  <c r="T94" i="40"/>
  <c r="U94" i="40"/>
  <c r="V94" i="40"/>
  <c r="W94" i="40"/>
  <c r="X94" i="40"/>
  <c r="Y94" i="40"/>
  <c r="Z94" i="40"/>
  <c r="AA94" i="40"/>
  <c r="AB94" i="40"/>
  <c r="AC94" i="40"/>
  <c r="AD94" i="40"/>
  <c r="AE94" i="40"/>
  <c r="AF94" i="40"/>
  <c r="D95" i="40"/>
  <c r="E95" i="40"/>
  <c r="F95" i="40"/>
  <c r="G95" i="40"/>
  <c r="H95" i="40"/>
  <c r="I95" i="40"/>
  <c r="J95" i="40"/>
  <c r="K95" i="40"/>
  <c r="L95" i="40"/>
  <c r="M95" i="40"/>
  <c r="N95" i="40"/>
  <c r="O95" i="40"/>
  <c r="P95" i="40"/>
  <c r="Q95" i="40"/>
  <c r="R95" i="40"/>
  <c r="S95" i="40"/>
  <c r="T95" i="40"/>
  <c r="U95" i="40"/>
  <c r="V95" i="40"/>
  <c r="W95" i="40"/>
  <c r="X95" i="40"/>
  <c r="Y95" i="40"/>
  <c r="Z95" i="40"/>
  <c r="AA95" i="40"/>
  <c r="AB95" i="40"/>
  <c r="AC95" i="40"/>
  <c r="AD95" i="40"/>
  <c r="AE95" i="40"/>
  <c r="AF95" i="40"/>
  <c r="D96" i="40"/>
  <c r="E96" i="40"/>
  <c r="F96" i="40"/>
  <c r="G96" i="40"/>
  <c r="H96" i="40"/>
  <c r="I96" i="40"/>
  <c r="J96" i="40"/>
  <c r="K96" i="40"/>
  <c r="L96" i="40"/>
  <c r="M96" i="40"/>
  <c r="N96" i="40"/>
  <c r="O96" i="40"/>
  <c r="P96" i="40"/>
  <c r="Q96" i="40"/>
  <c r="R96" i="40"/>
  <c r="S96" i="40"/>
  <c r="T96" i="40"/>
  <c r="U96" i="40"/>
  <c r="V96" i="40"/>
  <c r="W96" i="40"/>
  <c r="X96" i="40"/>
  <c r="Y96" i="40"/>
  <c r="Z96" i="40"/>
  <c r="AA96" i="40"/>
  <c r="AB96" i="40"/>
  <c r="AC96" i="40"/>
  <c r="AD96" i="40"/>
  <c r="AE96" i="40"/>
  <c r="AF96" i="40"/>
  <c r="D97" i="40"/>
  <c r="E97" i="40"/>
  <c r="F97" i="40"/>
  <c r="G97" i="40"/>
  <c r="H97" i="40"/>
  <c r="I97" i="40"/>
  <c r="J97" i="40"/>
  <c r="K97" i="40"/>
  <c r="L97" i="40"/>
  <c r="M97" i="40"/>
  <c r="N97" i="40"/>
  <c r="O97" i="40"/>
  <c r="P97" i="40"/>
  <c r="Q97" i="40"/>
  <c r="R97" i="40"/>
  <c r="S97" i="40"/>
  <c r="T97" i="40"/>
  <c r="U97" i="40"/>
  <c r="V97" i="40"/>
  <c r="W97" i="40"/>
  <c r="X97" i="40"/>
  <c r="Y97" i="40"/>
  <c r="Z97" i="40"/>
  <c r="AA97" i="40"/>
  <c r="AB97" i="40"/>
  <c r="AC97" i="40"/>
  <c r="AD97" i="40"/>
  <c r="AE97" i="40"/>
  <c r="AF97" i="40"/>
  <c r="D98" i="40"/>
  <c r="E98" i="40"/>
  <c r="F98" i="40"/>
  <c r="G98" i="40"/>
  <c r="H98" i="40"/>
  <c r="I98" i="40"/>
  <c r="J98" i="40"/>
  <c r="K98" i="40"/>
  <c r="L98" i="40"/>
  <c r="M98" i="40"/>
  <c r="N98" i="40"/>
  <c r="O98" i="40"/>
  <c r="P98" i="40"/>
  <c r="Q98" i="40"/>
  <c r="R98" i="40"/>
  <c r="S98" i="40"/>
  <c r="T98" i="40"/>
  <c r="U98" i="40"/>
  <c r="V98" i="40"/>
  <c r="W98" i="40"/>
  <c r="X98" i="40"/>
  <c r="Y98" i="40"/>
  <c r="Z98" i="40"/>
  <c r="AA98" i="40"/>
  <c r="AB98" i="40"/>
  <c r="AC98" i="40"/>
  <c r="AD98" i="40"/>
  <c r="AE98" i="40"/>
  <c r="AF98" i="40"/>
  <c r="D99" i="40"/>
  <c r="E99" i="40"/>
  <c r="F99" i="40"/>
  <c r="G99" i="40"/>
  <c r="H99" i="40"/>
  <c r="I99" i="40"/>
  <c r="J99" i="40"/>
  <c r="K99" i="40"/>
  <c r="L99" i="40"/>
  <c r="M99" i="40"/>
  <c r="N99" i="40"/>
  <c r="O99" i="40"/>
  <c r="P99" i="40"/>
  <c r="Q99" i="40"/>
  <c r="R99" i="40"/>
  <c r="S99" i="40"/>
  <c r="T99" i="40"/>
  <c r="U99" i="40"/>
  <c r="V99" i="40"/>
  <c r="W99" i="40"/>
  <c r="X99" i="40"/>
  <c r="Y99" i="40"/>
  <c r="Z99" i="40"/>
  <c r="AA99" i="40"/>
  <c r="AB99" i="40"/>
  <c r="AC99" i="40"/>
  <c r="AD99" i="40"/>
  <c r="AE99" i="40"/>
  <c r="AF99" i="40"/>
  <c r="D100" i="40"/>
  <c r="E100" i="40"/>
  <c r="F100" i="40"/>
  <c r="G100" i="40"/>
  <c r="H100" i="40"/>
  <c r="I100" i="40"/>
  <c r="J100" i="40"/>
  <c r="K100" i="40"/>
  <c r="L100" i="40"/>
  <c r="M100" i="40"/>
  <c r="N100" i="40"/>
  <c r="O100" i="40"/>
  <c r="P100" i="40"/>
  <c r="Q100" i="40"/>
  <c r="R100" i="40"/>
  <c r="S100" i="40"/>
  <c r="T100" i="40"/>
  <c r="U100" i="40"/>
  <c r="V100" i="40"/>
  <c r="W100" i="40"/>
  <c r="X100" i="40"/>
  <c r="Y100" i="40"/>
  <c r="Z100" i="40"/>
  <c r="AA100" i="40"/>
  <c r="AB100" i="40"/>
  <c r="AC100" i="40"/>
  <c r="AD100" i="40"/>
  <c r="AE100" i="40"/>
  <c r="AF100" i="40"/>
  <c r="D101" i="40"/>
  <c r="E101" i="40"/>
  <c r="F101" i="40"/>
  <c r="G101" i="40"/>
  <c r="H101" i="40"/>
  <c r="I101" i="40"/>
  <c r="J101" i="40"/>
  <c r="K101" i="40"/>
  <c r="L101" i="40"/>
  <c r="M101" i="40"/>
  <c r="N101" i="40"/>
  <c r="O101" i="40"/>
  <c r="P101" i="40"/>
  <c r="Q101" i="40"/>
  <c r="R101" i="40"/>
  <c r="S101" i="40"/>
  <c r="T101" i="40"/>
  <c r="U101" i="40"/>
  <c r="V101" i="40"/>
  <c r="W101" i="40"/>
  <c r="X101" i="40"/>
  <c r="Y101" i="40"/>
  <c r="Z101" i="40"/>
  <c r="AA101" i="40"/>
  <c r="AB101" i="40"/>
  <c r="AC101" i="40"/>
  <c r="AD101" i="40"/>
  <c r="AE101" i="40"/>
  <c r="AF101" i="40"/>
  <c r="D102" i="40"/>
  <c r="E102" i="40"/>
  <c r="F102" i="40"/>
  <c r="G102" i="40"/>
  <c r="H102" i="40"/>
  <c r="I102" i="40"/>
  <c r="J102" i="40"/>
  <c r="K102" i="40"/>
  <c r="L102" i="40"/>
  <c r="M102" i="40"/>
  <c r="N102" i="40"/>
  <c r="O102" i="40"/>
  <c r="P102" i="40"/>
  <c r="Q102" i="40"/>
  <c r="R102" i="40"/>
  <c r="S102" i="40"/>
  <c r="T102" i="40"/>
  <c r="U102" i="40"/>
  <c r="V102" i="40"/>
  <c r="W102" i="40"/>
  <c r="X102" i="40"/>
  <c r="Y102" i="40"/>
  <c r="Z102" i="40"/>
  <c r="AA102" i="40"/>
  <c r="AB102" i="40"/>
  <c r="AC102" i="40"/>
  <c r="AD102" i="40"/>
  <c r="AE102" i="40"/>
  <c r="AF102" i="40"/>
  <c r="D103" i="40"/>
  <c r="E103" i="40"/>
  <c r="F103" i="40"/>
  <c r="G103" i="40"/>
  <c r="H103" i="40"/>
  <c r="I103" i="40"/>
  <c r="J103" i="40"/>
  <c r="K103" i="40"/>
  <c r="L103" i="40"/>
  <c r="M103" i="40"/>
  <c r="N103" i="40"/>
  <c r="O103" i="40"/>
  <c r="P103" i="40"/>
  <c r="Q103" i="40"/>
  <c r="R103" i="40"/>
  <c r="S103" i="40"/>
  <c r="T103" i="40"/>
  <c r="U103" i="40"/>
  <c r="V103" i="40"/>
  <c r="W103" i="40"/>
  <c r="X103" i="40"/>
  <c r="Y103" i="40"/>
  <c r="Z103" i="40"/>
  <c r="AA103" i="40"/>
  <c r="AB103" i="40"/>
  <c r="AC103" i="40"/>
  <c r="AD103" i="40"/>
  <c r="AE103" i="40"/>
  <c r="AF103" i="40"/>
  <c r="D104" i="40"/>
  <c r="E104" i="40"/>
  <c r="F104" i="40"/>
  <c r="G104" i="40"/>
  <c r="H104" i="40"/>
  <c r="I104" i="40"/>
  <c r="J104" i="40"/>
  <c r="K104" i="40"/>
  <c r="L104" i="40"/>
  <c r="M104" i="40"/>
  <c r="N104" i="40"/>
  <c r="O104" i="40"/>
  <c r="P104" i="40"/>
  <c r="Q104" i="40"/>
  <c r="R104" i="40"/>
  <c r="S104" i="40"/>
  <c r="T104" i="40"/>
  <c r="U104" i="40"/>
  <c r="V104" i="40"/>
  <c r="W104" i="40"/>
  <c r="X104" i="40"/>
  <c r="Y104" i="40"/>
  <c r="Z104" i="40"/>
  <c r="AA104" i="40"/>
  <c r="AB104" i="40"/>
  <c r="AC104" i="40"/>
  <c r="AD104" i="40"/>
  <c r="AE104" i="40"/>
  <c r="AF104" i="40"/>
  <c r="D105" i="40"/>
  <c r="E105" i="40"/>
  <c r="F105" i="40"/>
  <c r="G105" i="40"/>
  <c r="H105" i="40"/>
  <c r="I105" i="40"/>
  <c r="J105" i="40"/>
  <c r="K105" i="40"/>
  <c r="L105" i="40"/>
  <c r="M105" i="40"/>
  <c r="N105" i="40"/>
  <c r="O105" i="40"/>
  <c r="P105" i="40"/>
  <c r="Q105" i="40"/>
  <c r="R105" i="40"/>
  <c r="S105" i="40"/>
  <c r="T105" i="40"/>
  <c r="U105" i="40"/>
  <c r="V105" i="40"/>
  <c r="W105" i="40"/>
  <c r="X105" i="40"/>
  <c r="Y105" i="40"/>
  <c r="Z105" i="40"/>
  <c r="AA105" i="40"/>
  <c r="AB105" i="40"/>
  <c r="AC105" i="40"/>
  <c r="AD105" i="40"/>
  <c r="AE105" i="40"/>
  <c r="AF105" i="40"/>
  <c r="D106" i="40"/>
  <c r="E106" i="40"/>
  <c r="F106" i="40"/>
  <c r="G106" i="40"/>
  <c r="H106" i="40"/>
  <c r="I106" i="40"/>
  <c r="J106" i="40"/>
  <c r="K106" i="40"/>
  <c r="L106" i="40"/>
  <c r="M106" i="40"/>
  <c r="N106" i="40"/>
  <c r="O106" i="40"/>
  <c r="P106" i="40"/>
  <c r="Q106" i="40"/>
  <c r="R106" i="40"/>
  <c r="S106" i="40"/>
  <c r="T106" i="40"/>
  <c r="U106" i="40"/>
  <c r="V106" i="40"/>
  <c r="W106" i="40"/>
  <c r="X106" i="40"/>
  <c r="Y106" i="40"/>
  <c r="Z106" i="40"/>
  <c r="AA106" i="40"/>
  <c r="AB106" i="40"/>
  <c r="AC106" i="40"/>
  <c r="AD106" i="40"/>
  <c r="AE106" i="40"/>
  <c r="AF106" i="40"/>
  <c r="D109" i="40"/>
  <c r="E109" i="40"/>
  <c r="F109" i="40"/>
  <c r="G109" i="40"/>
  <c r="H109" i="40"/>
  <c r="I109" i="40"/>
  <c r="J109" i="40"/>
  <c r="K109" i="40"/>
  <c r="L109" i="40"/>
  <c r="M109" i="40"/>
  <c r="N109" i="40"/>
  <c r="O109" i="40"/>
  <c r="P109" i="40"/>
  <c r="Q109" i="40"/>
  <c r="R109" i="40"/>
  <c r="S109" i="40"/>
  <c r="T109" i="40"/>
  <c r="U109" i="40"/>
  <c r="V109" i="40"/>
  <c r="W109" i="40"/>
  <c r="X109" i="40"/>
  <c r="Y109" i="40"/>
  <c r="Z109" i="40"/>
  <c r="AA109" i="40"/>
  <c r="AB109" i="40"/>
  <c r="AC109" i="40"/>
  <c r="AD109" i="40"/>
  <c r="AE109" i="40"/>
  <c r="AF109" i="40"/>
  <c r="D110" i="40"/>
  <c r="E110" i="40"/>
  <c r="F110" i="40"/>
  <c r="G110" i="40"/>
  <c r="H110" i="40"/>
  <c r="I110" i="40"/>
  <c r="J110" i="40"/>
  <c r="K110" i="40"/>
  <c r="L110" i="40"/>
  <c r="M110" i="40"/>
  <c r="N110" i="40"/>
  <c r="O110" i="40"/>
  <c r="P110" i="40"/>
  <c r="Q110" i="40"/>
  <c r="R110" i="40"/>
  <c r="S110" i="40"/>
  <c r="T110" i="40"/>
  <c r="U110" i="40"/>
  <c r="V110" i="40"/>
  <c r="W110" i="40"/>
  <c r="X110" i="40"/>
  <c r="Y110" i="40"/>
  <c r="Z110" i="40"/>
  <c r="AA110" i="40"/>
  <c r="AB110" i="40"/>
  <c r="AC110" i="40"/>
  <c r="AD110" i="40"/>
  <c r="AE110" i="40"/>
  <c r="AF110" i="40"/>
  <c r="D111" i="40"/>
  <c r="E111" i="40"/>
  <c r="F111" i="40"/>
  <c r="G111" i="40"/>
  <c r="H111" i="40"/>
  <c r="I111" i="40"/>
  <c r="J111" i="40"/>
  <c r="K111" i="40"/>
  <c r="L111" i="40"/>
  <c r="M111" i="40"/>
  <c r="N111" i="40"/>
  <c r="O111" i="40"/>
  <c r="P111" i="40"/>
  <c r="Q111" i="40"/>
  <c r="R111" i="40"/>
  <c r="S111" i="40"/>
  <c r="T111" i="40"/>
  <c r="U111" i="40"/>
  <c r="V111" i="40"/>
  <c r="W111" i="40"/>
  <c r="X111" i="40"/>
  <c r="Y111" i="40"/>
  <c r="Z111" i="40"/>
  <c r="AA111" i="40"/>
  <c r="AB111" i="40"/>
  <c r="AC111" i="40"/>
  <c r="AD111" i="40"/>
  <c r="AE111" i="40"/>
  <c r="AF111" i="40"/>
  <c r="D112" i="40"/>
  <c r="E112" i="40"/>
  <c r="F112" i="40"/>
  <c r="G112" i="40"/>
  <c r="H112" i="40"/>
  <c r="I112" i="40"/>
  <c r="J112" i="40"/>
  <c r="K112" i="40"/>
  <c r="L112" i="40"/>
  <c r="M112" i="40"/>
  <c r="N112" i="40"/>
  <c r="O112" i="40"/>
  <c r="P112" i="40"/>
  <c r="Q112" i="40"/>
  <c r="R112" i="40"/>
  <c r="S112" i="40"/>
  <c r="T112" i="40"/>
  <c r="U112" i="40"/>
  <c r="V112" i="40"/>
  <c r="W112" i="40"/>
  <c r="X112" i="40"/>
  <c r="Y112" i="40"/>
  <c r="Z112" i="40"/>
  <c r="AA112" i="40"/>
  <c r="AB112" i="40"/>
  <c r="AC112" i="40"/>
  <c r="AD112" i="40"/>
  <c r="AE112" i="40"/>
  <c r="AF112" i="40"/>
  <c r="D113" i="40"/>
  <c r="E113" i="40"/>
  <c r="F113" i="40"/>
  <c r="G113" i="40"/>
  <c r="H113" i="40"/>
  <c r="I113" i="40"/>
  <c r="J113" i="40"/>
  <c r="K113" i="40"/>
  <c r="L113" i="40"/>
  <c r="M113" i="40"/>
  <c r="N113" i="40"/>
  <c r="O113" i="40"/>
  <c r="P113" i="40"/>
  <c r="Q113" i="40"/>
  <c r="R113" i="40"/>
  <c r="S113" i="40"/>
  <c r="T113" i="40"/>
  <c r="U113" i="40"/>
  <c r="V113" i="40"/>
  <c r="W113" i="40"/>
  <c r="X113" i="40"/>
  <c r="Y113" i="40"/>
  <c r="Z113" i="40"/>
  <c r="AA113" i="40"/>
  <c r="AB113" i="40"/>
  <c r="AC113" i="40"/>
  <c r="AD113" i="40"/>
  <c r="AE113" i="40"/>
  <c r="AF113" i="40"/>
  <c r="D114" i="40"/>
  <c r="E114" i="40"/>
  <c r="F114" i="40"/>
  <c r="G114" i="40"/>
  <c r="H114" i="40"/>
  <c r="I114" i="40"/>
  <c r="J114" i="40"/>
  <c r="K114" i="40"/>
  <c r="L114" i="40"/>
  <c r="M114" i="40"/>
  <c r="N114" i="40"/>
  <c r="O114" i="40"/>
  <c r="P114" i="40"/>
  <c r="Q114" i="40"/>
  <c r="R114" i="40"/>
  <c r="S114" i="40"/>
  <c r="T114" i="40"/>
  <c r="U114" i="40"/>
  <c r="V114" i="40"/>
  <c r="W114" i="40"/>
  <c r="X114" i="40"/>
  <c r="Y114" i="40"/>
  <c r="Z114" i="40"/>
  <c r="AA114" i="40"/>
  <c r="AB114" i="40"/>
  <c r="AC114" i="40"/>
  <c r="AD114" i="40"/>
  <c r="AE114" i="40"/>
  <c r="AF114" i="40"/>
  <c r="D115" i="40"/>
  <c r="E115" i="40"/>
  <c r="F115" i="40"/>
  <c r="G115" i="40"/>
  <c r="H115" i="40"/>
  <c r="I115" i="40"/>
  <c r="J115" i="40"/>
  <c r="K115" i="40"/>
  <c r="L115" i="40"/>
  <c r="M115" i="40"/>
  <c r="N115" i="40"/>
  <c r="O115" i="40"/>
  <c r="P115" i="40"/>
  <c r="Q115" i="40"/>
  <c r="R115" i="40"/>
  <c r="S115" i="40"/>
  <c r="T115" i="40"/>
  <c r="U115" i="40"/>
  <c r="V115" i="40"/>
  <c r="W115" i="40"/>
  <c r="X115" i="40"/>
  <c r="Y115" i="40"/>
  <c r="Z115" i="40"/>
  <c r="AA115" i="40"/>
  <c r="AB115" i="40"/>
  <c r="AC115" i="40"/>
  <c r="AD115" i="40"/>
  <c r="AE115" i="40"/>
  <c r="AF115" i="40"/>
  <c r="D116" i="40"/>
  <c r="E116" i="40"/>
  <c r="F116" i="40"/>
  <c r="G116" i="40"/>
  <c r="H116" i="40"/>
  <c r="I116" i="40"/>
  <c r="J116" i="40"/>
  <c r="K116" i="40"/>
  <c r="L116" i="40"/>
  <c r="M116" i="40"/>
  <c r="N116" i="40"/>
  <c r="O116" i="40"/>
  <c r="P116" i="40"/>
  <c r="Q116" i="40"/>
  <c r="R116" i="40"/>
  <c r="S116" i="40"/>
  <c r="T116" i="40"/>
  <c r="U116" i="40"/>
  <c r="V116" i="40"/>
  <c r="W116" i="40"/>
  <c r="X116" i="40"/>
  <c r="Y116" i="40"/>
  <c r="Z116" i="40"/>
  <c r="AA116" i="40"/>
  <c r="AB116" i="40"/>
  <c r="AC116" i="40"/>
  <c r="AD116" i="40"/>
  <c r="AE116" i="40"/>
  <c r="AF116" i="40"/>
  <c r="D117" i="40"/>
  <c r="E117" i="40"/>
  <c r="F117" i="40"/>
  <c r="G117" i="40"/>
  <c r="H117" i="40"/>
  <c r="I117" i="40"/>
  <c r="J117" i="40"/>
  <c r="K117" i="40"/>
  <c r="L117" i="40"/>
  <c r="M117" i="40"/>
  <c r="N117" i="40"/>
  <c r="O117" i="40"/>
  <c r="P117" i="40"/>
  <c r="Q117" i="40"/>
  <c r="R117" i="40"/>
  <c r="S117" i="40"/>
  <c r="T117" i="40"/>
  <c r="U117" i="40"/>
  <c r="V117" i="40"/>
  <c r="W117" i="40"/>
  <c r="X117" i="40"/>
  <c r="Y117" i="40"/>
  <c r="Z117" i="40"/>
  <c r="AA117" i="40"/>
  <c r="AB117" i="40"/>
  <c r="AC117" i="40"/>
  <c r="AD117" i="40"/>
  <c r="AE117" i="40"/>
  <c r="AF117" i="40"/>
  <c r="D118" i="40"/>
  <c r="E118" i="40"/>
  <c r="F118" i="40"/>
  <c r="G118" i="40"/>
  <c r="H118" i="40"/>
  <c r="I118" i="40"/>
  <c r="J118" i="40"/>
  <c r="K118" i="40"/>
  <c r="L118" i="40"/>
  <c r="M118" i="40"/>
  <c r="N118" i="40"/>
  <c r="O118" i="40"/>
  <c r="P118" i="40"/>
  <c r="Q118" i="40"/>
  <c r="R118" i="40"/>
  <c r="S118" i="40"/>
  <c r="T118" i="40"/>
  <c r="U118" i="40"/>
  <c r="V118" i="40"/>
  <c r="W118" i="40"/>
  <c r="X118" i="40"/>
  <c r="Y118" i="40"/>
  <c r="Z118" i="40"/>
  <c r="AA118" i="40"/>
  <c r="AB118" i="40"/>
  <c r="AC118" i="40"/>
  <c r="AD118" i="40"/>
  <c r="AE118" i="40"/>
  <c r="AF118" i="40"/>
  <c r="D119" i="40"/>
  <c r="E119" i="40"/>
  <c r="F119" i="40"/>
  <c r="G119" i="40"/>
  <c r="H119" i="40"/>
  <c r="I119" i="40"/>
  <c r="J119" i="40"/>
  <c r="K119" i="40"/>
  <c r="L119" i="40"/>
  <c r="M119" i="40"/>
  <c r="N119" i="40"/>
  <c r="O119" i="40"/>
  <c r="P119" i="40"/>
  <c r="Q119" i="40"/>
  <c r="R119" i="40"/>
  <c r="S119" i="40"/>
  <c r="T119" i="40"/>
  <c r="U119" i="40"/>
  <c r="V119" i="40"/>
  <c r="W119" i="40"/>
  <c r="X119" i="40"/>
  <c r="Y119" i="40"/>
  <c r="Z119" i="40"/>
  <c r="AA119" i="40"/>
  <c r="AB119" i="40"/>
  <c r="AC119" i="40"/>
  <c r="AD119" i="40"/>
  <c r="AE119" i="40"/>
  <c r="AF119" i="40"/>
  <c r="D120" i="40"/>
  <c r="E120" i="40"/>
  <c r="F120" i="40"/>
  <c r="G120" i="40"/>
  <c r="H120" i="40"/>
  <c r="I120" i="40"/>
  <c r="J120" i="40"/>
  <c r="K120" i="40"/>
  <c r="L120" i="40"/>
  <c r="M120" i="40"/>
  <c r="N120" i="40"/>
  <c r="O120" i="40"/>
  <c r="P120" i="40"/>
  <c r="Q120" i="40"/>
  <c r="R120" i="40"/>
  <c r="S120" i="40"/>
  <c r="T120" i="40"/>
  <c r="U120" i="40"/>
  <c r="V120" i="40"/>
  <c r="W120" i="40"/>
  <c r="X120" i="40"/>
  <c r="Y120" i="40"/>
  <c r="Z120" i="40"/>
  <c r="AA120" i="40"/>
  <c r="AB120" i="40"/>
  <c r="AC120" i="40"/>
  <c r="AD120" i="40"/>
  <c r="AE120" i="40"/>
  <c r="AF120" i="40"/>
  <c r="D121" i="40"/>
  <c r="E121" i="40"/>
  <c r="F121" i="40"/>
  <c r="G121" i="40"/>
  <c r="H121" i="40"/>
  <c r="I121" i="40"/>
  <c r="J121" i="40"/>
  <c r="K121" i="40"/>
  <c r="L121" i="40"/>
  <c r="M121" i="40"/>
  <c r="N121" i="40"/>
  <c r="O121" i="40"/>
  <c r="P121" i="40"/>
  <c r="Q121" i="40"/>
  <c r="R121" i="40"/>
  <c r="S121" i="40"/>
  <c r="T121" i="40"/>
  <c r="U121" i="40"/>
  <c r="V121" i="40"/>
  <c r="W121" i="40"/>
  <c r="X121" i="40"/>
  <c r="Y121" i="40"/>
  <c r="Z121" i="40"/>
  <c r="AA121" i="40"/>
  <c r="AB121" i="40"/>
  <c r="AC121" i="40"/>
  <c r="AD121" i="40"/>
  <c r="AE121" i="40"/>
  <c r="AF121" i="40"/>
  <c r="D122" i="40"/>
  <c r="E122" i="40"/>
  <c r="F122" i="40"/>
  <c r="G122" i="40"/>
  <c r="H122" i="40"/>
  <c r="I122" i="40"/>
  <c r="J122" i="40"/>
  <c r="K122" i="40"/>
  <c r="L122" i="40"/>
  <c r="M122" i="40"/>
  <c r="N122" i="40"/>
  <c r="O122" i="40"/>
  <c r="P122" i="40"/>
  <c r="Q122" i="40"/>
  <c r="R122" i="40"/>
  <c r="S122" i="40"/>
  <c r="T122" i="40"/>
  <c r="U122" i="40"/>
  <c r="V122" i="40"/>
  <c r="W122" i="40"/>
  <c r="X122" i="40"/>
  <c r="Y122" i="40"/>
  <c r="Z122" i="40"/>
  <c r="AA122" i="40"/>
  <c r="AB122" i="40"/>
  <c r="AC122" i="40"/>
  <c r="AD122" i="40"/>
  <c r="AE122" i="40"/>
  <c r="AF122" i="40"/>
  <c r="D123" i="40"/>
  <c r="E123" i="40"/>
  <c r="F123" i="40"/>
  <c r="G123" i="40"/>
  <c r="H123" i="40"/>
  <c r="I123" i="40"/>
  <c r="J123" i="40"/>
  <c r="K123" i="40"/>
  <c r="L123" i="40"/>
  <c r="M123" i="40"/>
  <c r="N123" i="40"/>
  <c r="O123" i="40"/>
  <c r="P123" i="40"/>
  <c r="Q123" i="40"/>
  <c r="R123" i="40"/>
  <c r="S123" i="40"/>
  <c r="T123" i="40"/>
  <c r="U123" i="40"/>
  <c r="V123" i="40"/>
  <c r="W123" i="40"/>
  <c r="X123" i="40"/>
  <c r="Y123" i="40"/>
  <c r="Z123" i="40"/>
  <c r="AA123" i="40"/>
  <c r="AB123" i="40"/>
  <c r="AC123" i="40"/>
  <c r="AD123" i="40"/>
  <c r="AE123" i="40"/>
  <c r="AF123" i="40"/>
  <c r="D124" i="40"/>
  <c r="E124" i="40"/>
  <c r="F124" i="40"/>
  <c r="G124" i="40"/>
  <c r="H124" i="40"/>
  <c r="I124" i="40"/>
  <c r="J124" i="40"/>
  <c r="K124" i="40"/>
  <c r="L124" i="40"/>
  <c r="M124" i="40"/>
  <c r="N124" i="40"/>
  <c r="O124" i="40"/>
  <c r="P124" i="40"/>
  <c r="Q124" i="40"/>
  <c r="R124" i="40"/>
  <c r="S124" i="40"/>
  <c r="T124" i="40"/>
  <c r="U124" i="40"/>
  <c r="V124" i="40"/>
  <c r="W124" i="40"/>
  <c r="X124" i="40"/>
  <c r="Y124" i="40"/>
  <c r="Z124" i="40"/>
  <c r="AA124" i="40"/>
  <c r="AB124" i="40"/>
  <c r="AC124" i="40"/>
  <c r="AD124" i="40"/>
  <c r="AE124" i="40"/>
  <c r="AF124" i="40"/>
  <c r="D125" i="40"/>
  <c r="E125" i="40"/>
  <c r="F125" i="40"/>
  <c r="G125" i="40"/>
  <c r="H125" i="40"/>
  <c r="I125" i="40"/>
  <c r="J125" i="40"/>
  <c r="K125" i="40"/>
  <c r="L125" i="40"/>
  <c r="M125" i="40"/>
  <c r="N125" i="40"/>
  <c r="O125" i="40"/>
  <c r="P125" i="40"/>
  <c r="Q125" i="40"/>
  <c r="R125" i="40"/>
  <c r="S125" i="40"/>
  <c r="T125" i="40"/>
  <c r="U125" i="40"/>
  <c r="V125" i="40"/>
  <c r="W125" i="40"/>
  <c r="X125" i="40"/>
  <c r="Y125" i="40"/>
  <c r="Z125" i="40"/>
  <c r="AA125" i="40"/>
  <c r="AB125" i="40"/>
  <c r="AC125" i="40"/>
  <c r="AD125" i="40"/>
  <c r="AE125" i="40"/>
  <c r="AF125" i="40"/>
  <c r="D126" i="40"/>
  <c r="E126" i="40"/>
  <c r="F126" i="40"/>
  <c r="G126" i="40"/>
  <c r="H126" i="40"/>
  <c r="I126" i="40"/>
  <c r="J126" i="40"/>
  <c r="K126" i="40"/>
  <c r="L126" i="40"/>
  <c r="M126" i="40"/>
  <c r="N126" i="40"/>
  <c r="O126" i="40"/>
  <c r="P126" i="40"/>
  <c r="Q126" i="40"/>
  <c r="R126" i="40"/>
  <c r="S126" i="40"/>
  <c r="T126" i="40"/>
  <c r="U126" i="40"/>
  <c r="V126" i="40"/>
  <c r="W126" i="40"/>
  <c r="X126" i="40"/>
  <c r="Y126" i="40"/>
  <c r="Z126" i="40"/>
  <c r="AA126" i="40"/>
  <c r="AB126" i="40"/>
  <c r="AC126" i="40"/>
  <c r="AD126" i="40"/>
  <c r="AE126" i="40"/>
  <c r="AF126" i="40"/>
  <c r="D127" i="40"/>
  <c r="E127" i="40"/>
  <c r="F127" i="40"/>
  <c r="G127" i="40"/>
  <c r="H127" i="40"/>
  <c r="I127" i="40"/>
  <c r="J127" i="40"/>
  <c r="K127" i="40"/>
  <c r="L127" i="40"/>
  <c r="M127" i="40"/>
  <c r="N127" i="40"/>
  <c r="O127" i="40"/>
  <c r="P127" i="40"/>
  <c r="Q127" i="40"/>
  <c r="R127" i="40"/>
  <c r="S127" i="40"/>
  <c r="T127" i="40"/>
  <c r="U127" i="40"/>
  <c r="V127" i="40"/>
  <c r="W127" i="40"/>
  <c r="X127" i="40"/>
  <c r="Y127" i="40"/>
  <c r="Z127" i="40"/>
  <c r="AA127" i="40"/>
  <c r="AB127" i="40"/>
  <c r="AC127" i="40"/>
  <c r="AD127" i="40"/>
  <c r="AE127" i="40"/>
  <c r="AF127" i="40"/>
  <c r="D128" i="40"/>
  <c r="E128" i="40"/>
  <c r="F128" i="40"/>
  <c r="G128" i="40"/>
  <c r="H128" i="40"/>
  <c r="I128" i="40"/>
  <c r="J128" i="40"/>
  <c r="K128" i="40"/>
  <c r="L128" i="40"/>
  <c r="M128" i="40"/>
  <c r="N128" i="40"/>
  <c r="O128" i="40"/>
  <c r="P128" i="40"/>
  <c r="Q128" i="40"/>
  <c r="R128" i="40"/>
  <c r="S128" i="40"/>
  <c r="T128" i="40"/>
  <c r="U128" i="40"/>
  <c r="V128" i="40"/>
  <c r="W128" i="40"/>
  <c r="X128" i="40"/>
  <c r="Y128" i="40"/>
  <c r="Z128" i="40"/>
  <c r="AA128" i="40"/>
  <c r="AB128" i="40"/>
  <c r="AC128" i="40"/>
  <c r="AD128" i="40"/>
  <c r="AE128" i="40"/>
  <c r="AF128" i="40"/>
  <c r="D129" i="40"/>
  <c r="E129" i="40"/>
  <c r="F129" i="40"/>
  <c r="G129" i="40"/>
  <c r="H129" i="40"/>
  <c r="I129" i="40"/>
  <c r="J129" i="40"/>
  <c r="K129" i="40"/>
  <c r="L129" i="40"/>
  <c r="M129" i="40"/>
  <c r="N129" i="40"/>
  <c r="O129" i="40"/>
  <c r="P129" i="40"/>
  <c r="Q129" i="40"/>
  <c r="R129" i="40"/>
  <c r="S129" i="40"/>
  <c r="T129" i="40"/>
  <c r="U129" i="40"/>
  <c r="V129" i="40"/>
  <c r="W129" i="40"/>
  <c r="X129" i="40"/>
  <c r="Y129" i="40"/>
  <c r="Z129" i="40"/>
  <c r="AA129" i="40"/>
  <c r="AB129" i="40"/>
  <c r="AC129" i="40"/>
  <c r="AD129" i="40"/>
  <c r="AE129" i="40"/>
  <c r="AF129" i="40"/>
  <c r="D130" i="40"/>
  <c r="E130" i="40"/>
  <c r="F130" i="40"/>
  <c r="G130" i="40"/>
  <c r="H130" i="40"/>
  <c r="I130" i="40"/>
  <c r="J130" i="40"/>
  <c r="K130" i="40"/>
  <c r="L130" i="40"/>
  <c r="M130" i="40"/>
  <c r="N130" i="40"/>
  <c r="O130" i="40"/>
  <c r="P130" i="40"/>
  <c r="Q130" i="40"/>
  <c r="R130" i="40"/>
  <c r="S130" i="40"/>
  <c r="T130" i="40"/>
  <c r="U130" i="40"/>
  <c r="V130" i="40"/>
  <c r="W130" i="40"/>
  <c r="X130" i="40"/>
  <c r="Y130" i="40"/>
  <c r="Z130" i="40"/>
  <c r="AA130" i="40"/>
  <c r="AB130" i="40"/>
  <c r="AC130" i="40"/>
  <c r="AD130" i="40"/>
  <c r="AE130" i="40"/>
  <c r="AF130" i="40"/>
  <c r="D131" i="40"/>
  <c r="E131" i="40"/>
  <c r="F131" i="40"/>
  <c r="G131" i="40"/>
  <c r="H131" i="40"/>
  <c r="I131" i="40"/>
  <c r="J131" i="40"/>
  <c r="K131" i="40"/>
  <c r="L131" i="40"/>
  <c r="M131" i="40"/>
  <c r="N131" i="40"/>
  <c r="O131" i="40"/>
  <c r="P131" i="40"/>
  <c r="Q131" i="40"/>
  <c r="R131" i="40"/>
  <c r="S131" i="40"/>
  <c r="T131" i="40"/>
  <c r="U131" i="40"/>
  <c r="V131" i="40"/>
  <c r="W131" i="40"/>
  <c r="X131" i="40"/>
  <c r="Y131" i="40"/>
  <c r="Z131" i="40"/>
  <c r="AA131" i="40"/>
  <c r="AB131" i="40"/>
  <c r="AC131" i="40"/>
  <c r="AD131" i="40"/>
  <c r="AE131" i="40"/>
  <c r="AF131" i="40"/>
  <c r="D132" i="40"/>
  <c r="E132" i="40"/>
  <c r="F132" i="40"/>
  <c r="G132" i="40"/>
  <c r="H132" i="40"/>
  <c r="I132" i="40"/>
  <c r="J132" i="40"/>
  <c r="K132" i="40"/>
  <c r="L132" i="40"/>
  <c r="M132" i="40"/>
  <c r="N132" i="40"/>
  <c r="O132" i="40"/>
  <c r="P132" i="40"/>
  <c r="Q132" i="40"/>
  <c r="R132" i="40"/>
  <c r="S132" i="40"/>
  <c r="T132" i="40"/>
  <c r="U132" i="40"/>
  <c r="V132" i="40"/>
  <c r="W132" i="40"/>
  <c r="X132" i="40"/>
  <c r="Y132" i="40"/>
  <c r="Z132" i="40"/>
  <c r="AA132" i="40"/>
  <c r="AB132" i="40"/>
  <c r="AC132" i="40"/>
  <c r="AD132" i="40"/>
  <c r="AE132" i="40"/>
  <c r="AF132" i="40"/>
  <c r="D133" i="40"/>
  <c r="E133" i="40"/>
  <c r="F133" i="40"/>
  <c r="G133" i="40"/>
  <c r="H133" i="40"/>
  <c r="I133" i="40"/>
  <c r="J133" i="40"/>
  <c r="K133" i="40"/>
  <c r="L133" i="40"/>
  <c r="M133" i="40"/>
  <c r="N133" i="40"/>
  <c r="O133" i="40"/>
  <c r="P133" i="40"/>
  <c r="Q133" i="40"/>
  <c r="R133" i="40"/>
  <c r="S133" i="40"/>
  <c r="T133" i="40"/>
  <c r="U133" i="40"/>
  <c r="V133" i="40"/>
  <c r="W133" i="40"/>
  <c r="X133" i="40"/>
  <c r="Y133" i="40"/>
  <c r="Z133" i="40"/>
  <c r="AA133" i="40"/>
  <c r="AB133" i="40"/>
  <c r="AC133" i="40"/>
  <c r="AD133" i="40"/>
  <c r="AE133" i="40"/>
  <c r="AF133" i="40"/>
  <c r="D134" i="40"/>
  <c r="E134" i="40"/>
  <c r="F134" i="40"/>
  <c r="G134" i="40"/>
  <c r="H134" i="40"/>
  <c r="I134" i="40"/>
  <c r="J134" i="40"/>
  <c r="K134" i="40"/>
  <c r="L134" i="40"/>
  <c r="M134" i="40"/>
  <c r="N134" i="40"/>
  <c r="O134" i="40"/>
  <c r="P134" i="40"/>
  <c r="Q134" i="40"/>
  <c r="R134" i="40"/>
  <c r="S134" i="40"/>
  <c r="T134" i="40"/>
  <c r="U134" i="40"/>
  <c r="V134" i="40"/>
  <c r="W134" i="40"/>
  <c r="X134" i="40"/>
  <c r="Y134" i="40"/>
  <c r="Z134" i="40"/>
  <c r="AA134" i="40"/>
  <c r="AB134" i="40"/>
  <c r="AC134" i="40"/>
  <c r="AD134" i="40"/>
  <c r="AE134" i="40"/>
  <c r="AF134" i="40"/>
  <c r="D135" i="40"/>
  <c r="E135" i="40"/>
  <c r="F135" i="40"/>
  <c r="G135" i="40"/>
  <c r="H135" i="40"/>
  <c r="I135" i="40"/>
  <c r="J135" i="40"/>
  <c r="K135" i="40"/>
  <c r="L135" i="40"/>
  <c r="M135" i="40"/>
  <c r="N135" i="40"/>
  <c r="O135" i="40"/>
  <c r="P135" i="40"/>
  <c r="Q135" i="40"/>
  <c r="R135" i="40"/>
  <c r="S135" i="40"/>
  <c r="T135" i="40"/>
  <c r="U135" i="40"/>
  <c r="V135" i="40"/>
  <c r="W135" i="40"/>
  <c r="X135" i="40"/>
  <c r="Y135" i="40"/>
  <c r="Z135" i="40"/>
  <c r="AA135" i="40"/>
  <c r="AB135" i="40"/>
  <c r="AC135" i="40"/>
  <c r="AD135" i="40"/>
  <c r="AE135" i="40"/>
  <c r="AF135" i="40"/>
  <c r="D136" i="40"/>
  <c r="E136" i="40"/>
  <c r="F136" i="40"/>
  <c r="G136" i="40"/>
  <c r="H136" i="40"/>
  <c r="I136" i="40"/>
  <c r="J136" i="40"/>
  <c r="K136" i="40"/>
  <c r="L136" i="40"/>
  <c r="M136" i="40"/>
  <c r="N136" i="40"/>
  <c r="O136" i="40"/>
  <c r="P136" i="40"/>
  <c r="Q136" i="40"/>
  <c r="R136" i="40"/>
  <c r="S136" i="40"/>
  <c r="T136" i="40"/>
  <c r="U136" i="40"/>
  <c r="V136" i="40"/>
  <c r="W136" i="40"/>
  <c r="X136" i="40"/>
  <c r="Y136" i="40"/>
  <c r="Z136" i="40"/>
  <c r="AA136" i="40"/>
  <c r="AB136" i="40"/>
  <c r="AC136" i="40"/>
  <c r="AD136" i="40"/>
  <c r="AE136" i="40"/>
  <c r="AF136" i="40"/>
  <c r="D137" i="40"/>
  <c r="E137" i="40"/>
  <c r="F137" i="40"/>
  <c r="G137" i="40"/>
  <c r="H137" i="40"/>
  <c r="I137" i="40"/>
  <c r="J137" i="40"/>
  <c r="K137" i="40"/>
  <c r="L137" i="40"/>
  <c r="M137" i="40"/>
  <c r="N137" i="40"/>
  <c r="O137" i="40"/>
  <c r="P137" i="40"/>
  <c r="Q137" i="40"/>
  <c r="R137" i="40"/>
  <c r="S137" i="40"/>
  <c r="T137" i="40"/>
  <c r="U137" i="40"/>
  <c r="V137" i="40"/>
  <c r="W137" i="40"/>
  <c r="X137" i="40"/>
  <c r="Y137" i="40"/>
  <c r="Z137" i="40"/>
  <c r="AA137" i="40"/>
  <c r="AB137" i="40"/>
  <c r="AC137" i="40"/>
  <c r="AD137" i="40"/>
  <c r="AE137" i="40"/>
  <c r="AF137" i="40"/>
  <c r="D138" i="40"/>
  <c r="E138" i="40"/>
  <c r="F138" i="40"/>
  <c r="G138" i="40"/>
  <c r="H138" i="40"/>
  <c r="I138" i="40"/>
  <c r="J138" i="40"/>
  <c r="K138" i="40"/>
  <c r="L138" i="40"/>
  <c r="M138" i="40"/>
  <c r="N138" i="40"/>
  <c r="O138" i="40"/>
  <c r="P138" i="40"/>
  <c r="Q138" i="40"/>
  <c r="R138" i="40"/>
  <c r="S138" i="40"/>
  <c r="T138" i="40"/>
  <c r="U138" i="40"/>
  <c r="V138" i="40"/>
  <c r="W138" i="40"/>
  <c r="X138" i="40"/>
  <c r="Y138" i="40"/>
  <c r="Z138" i="40"/>
  <c r="AA138" i="40"/>
  <c r="AB138" i="40"/>
  <c r="AC138" i="40"/>
  <c r="AD138" i="40"/>
  <c r="AE138" i="40"/>
  <c r="AF138" i="40"/>
  <c r="D139" i="40"/>
  <c r="E139" i="40"/>
  <c r="F139" i="40"/>
  <c r="G139" i="40"/>
  <c r="H139" i="40"/>
  <c r="I139" i="40"/>
  <c r="J139" i="40"/>
  <c r="K139" i="40"/>
  <c r="L139" i="40"/>
  <c r="M139" i="40"/>
  <c r="N139" i="40"/>
  <c r="O139" i="40"/>
  <c r="P139" i="40"/>
  <c r="Q139" i="40"/>
  <c r="R139" i="40"/>
  <c r="S139" i="40"/>
  <c r="T139" i="40"/>
  <c r="U139" i="40"/>
  <c r="V139" i="40"/>
  <c r="W139" i="40"/>
  <c r="X139" i="40"/>
  <c r="Y139" i="40"/>
  <c r="Z139" i="40"/>
  <c r="AA139" i="40"/>
  <c r="AB139" i="40"/>
  <c r="AC139" i="40"/>
  <c r="AD139" i="40"/>
  <c r="AE139" i="40"/>
  <c r="AF139" i="40"/>
  <c r="D140" i="40"/>
  <c r="E140" i="40"/>
  <c r="F140" i="40"/>
  <c r="G140" i="40"/>
  <c r="H140" i="40"/>
  <c r="I140" i="40"/>
  <c r="J140" i="40"/>
  <c r="K140" i="40"/>
  <c r="L140" i="40"/>
  <c r="M140" i="40"/>
  <c r="N140" i="40"/>
  <c r="O140" i="40"/>
  <c r="P140" i="40"/>
  <c r="Q140" i="40"/>
  <c r="R140" i="40"/>
  <c r="S140" i="40"/>
  <c r="T140" i="40"/>
  <c r="U140" i="40"/>
  <c r="V140" i="40"/>
  <c r="W140" i="40"/>
  <c r="X140" i="40"/>
  <c r="Y140" i="40"/>
  <c r="Z140" i="40"/>
  <c r="AA140" i="40"/>
  <c r="AB140" i="40"/>
  <c r="AC140" i="40"/>
  <c r="AD140" i="40"/>
  <c r="AE140" i="40"/>
  <c r="AF140" i="40"/>
  <c r="D141" i="40"/>
  <c r="E141" i="40"/>
  <c r="F141" i="40"/>
  <c r="G141" i="40"/>
  <c r="H141" i="40"/>
  <c r="I141" i="40"/>
  <c r="J141" i="40"/>
  <c r="K141" i="40"/>
  <c r="L141" i="40"/>
  <c r="M141" i="40"/>
  <c r="N141" i="40"/>
  <c r="O141" i="40"/>
  <c r="P141" i="40"/>
  <c r="Q141" i="40"/>
  <c r="R141" i="40"/>
  <c r="S141" i="40"/>
  <c r="T141" i="40"/>
  <c r="U141" i="40"/>
  <c r="V141" i="40"/>
  <c r="W141" i="40"/>
  <c r="X141" i="40"/>
  <c r="Y141" i="40"/>
  <c r="Z141" i="40"/>
  <c r="AA141" i="40"/>
  <c r="AB141" i="40"/>
  <c r="AC141" i="40"/>
  <c r="AD141" i="40"/>
  <c r="AE141" i="40"/>
  <c r="AF141" i="40"/>
  <c r="D142" i="40"/>
  <c r="E142" i="40"/>
  <c r="F142" i="40"/>
  <c r="G142" i="40"/>
  <c r="H142" i="40"/>
  <c r="I142" i="40"/>
  <c r="J142" i="40"/>
  <c r="K142" i="40"/>
  <c r="L142" i="40"/>
  <c r="M142" i="40"/>
  <c r="N142" i="40"/>
  <c r="O142" i="40"/>
  <c r="P142" i="40"/>
  <c r="Q142" i="40"/>
  <c r="R142" i="40"/>
  <c r="S142" i="40"/>
  <c r="T142" i="40"/>
  <c r="U142" i="40"/>
  <c r="V142" i="40"/>
  <c r="W142" i="40"/>
  <c r="X142" i="40"/>
  <c r="Y142" i="40"/>
  <c r="Z142" i="40"/>
  <c r="AA142" i="40"/>
  <c r="AB142" i="40"/>
  <c r="AC142" i="40"/>
  <c r="AD142" i="40"/>
  <c r="AE142" i="40"/>
  <c r="AF142" i="40"/>
  <c r="D143" i="40"/>
  <c r="E143" i="40"/>
  <c r="F143" i="40"/>
  <c r="G143" i="40"/>
  <c r="H143" i="40"/>
  <c r="I143" i="40"/>
  <c r="J143" i="40"/>
  <c r="K143" i="40"/>
  <c r="L143" i="40"/>
  <c r="M143" i="40"/>
  <c r="N143" i="40"/>
  <c r="O143" i="40"/>
  <c r="P143" i="40"/>
  <c r="Q143" i="40"/>
  <c r="R143" i="40"/>
  <c r="S143" i="40"/>
  <c r="T143" i="40"/>
  <c r="U143" i="40"/>
  <c r="V143" i="40"/>
  <c r="W143" i="40"/>
  <c r="X143" i="40"/>
  <c r="Y143" i="40"/>
  <c r="Z143" i="40"/>
  <c r="AA143" i="40"/>
  <c r="AB143" i="40"/>
  <c r="AC143" i="40"/>
  <c r="AD143" i="40"/>
  <c r="AE143" i="40"/>
  <c r="AF143" i="40"/>
  <c r="D144" i="40"/>
  <c r="E144" i="40"/>
  <c r="F144" i="40"/>
  <c r="G144" i="40"/>
  <c r="H144" i="40"/>
  <c r="I144" i="40"/>
  <c r="J144" i="40"/>
  <c r="K144" i="40"/>
  <c r="L144" i="40"/>
  <c r="M144" i="40"/>
  <c r="N144" i="40"/>
  <c r="O144" i="40"/>
  <c r="P144" i="40"/>
  <c r="Q144" i="40"/>
  <c r="R144" i="40"/>
  <c r="S144" i="40"/>
  <c r="T144" i="40"/>
  <c r="U144" i="40"/>
  <c r="V144" i="40"/>
  <c r="W144" i="40"/>
  <c r="X144" i="40"/>
  <c r="Y144" i="40"/>
  <c r="Z144" i="40"/>
  <c r="AA144" i="40"/>
  <c r="AB144" i="40"/>
  <c r="AC144" i="40"/>
  <c r="AD144" i="40"/>
  <c r="AE144" i="40"/>
  <c r="AF144" i="40"/>
  <c r="D145" i="40"/>
  <c r="E145" i="40"/>
  <c r="F145" i="40"/>
  <c r="G145" i="40"/>
  <c r="H145" i="40"/>
  <c r="I145" i="40"/>
  <c r="J145" i="40"/>
  <c r="K145" i="40"/>
  <c r="L145" i="40"/>
  <c r="M145" i="40"/>
  <c r="N145" i="40"/>
  <c r="O145" i="40"/>
  <c r="P145" i="40"/>
  <c r="Q145" i="40"/>
  <c r="R145" i="40"/>
  <c r="S145" i="40"/>
  <c r="T145" i="40"/>
  <c r="U145" i="40"/>
  <c r="V145" i="40"/>
  <c r="W145" i="40"/>
  <c r="X145" i="40"/>
  <c r="Y145" i="40"/>
  <c r="Z145" i="40"/>
  <c r="AA145" i="40"/>
  <c r="AB145" i="40"/>
  <c r="AC145" i="40"/>
  <c r="AD145" i="40"/>
  <c r="AE145" i="40"/>
  <c r="AF145" i="40"/>
  <c r="D146" i="40"/>
  <c r="E146" i="40"/>
  <c r="F146" i="40"/>
  <c r="G146" i="40"/>
  <c r="H146" i="40"/>
  <c r="I146" i="40"/>
  <c r="J146" i="40"/>
  <c r="K146" i="40"/>
  <c r="L146" i="40"/>
  <c r="M146" i="40"/>
  <c r="N146" i="40"/>
  <c r="O146" i="40"/>
  <c r="P146" i="40"/>
  <c r="Q146" i="40"/>
  <c r="R146" i="40"/>
  <c r="S146" i="40"/>
  <c r="T146" i="40"/>
  <c r="U146" i="40"/>
  <c r="V146" i="40"/>
  <c r="W146" i="40"/>
  <c r="X146" i="40"/>
  <c r="Y146" i="40"/>
  <c r="Z146" i="40"/>
  <c r="AA146" i="40"/>
  <c r="AB146" i="40"/>
  <c r="AC146" i="40"/>
  <c r="AD146" i="40"/>
  <c r="AE146" i="40"/>
  <c r="AF146" i="40"/>
  <c r="D147" i="40"/>
  <c r="E147" i="40"/>
  <c r="F147" i="40"/>
  <c r="G147" i="40"/>
  <c r="H147" i="40"/>
  <c r="I147" i="40"/>
  <c r="J147" i="40"/>
  <c r="K147" i="40"/>
  <c r="L147" i="40"/>
  <c r="M147" i="40"/>
  <c r="N147" i="40"/>
  <c r="O147" i="40"/>
  <c r="P147" i="40"/>
  <c r="Q147" i="40"/>
  <c r="R147" i="40"/>
  <c r="S147" i="40"/>
  <c r="T147" i="40"/>
  <c r="U147" i="40"/>
  <c r="V147" i="40"/>
  <c r="W147" i="40"/>
  <c r="X147" i="40"/>
  <c r="Y147" i="40"/>
  <c r="Z147" i="40"/>
  <c r="AA147" i="40"/>
  <c r="AB147" i="40"/>
  <c r="AC147" i="40"/>
  <c r="AD147" i="40"/>
  <c r="AE147" i="40"/>
  <c r="AF147" i="40"/>
  <c r="D148" i="40"/>
  <c r="E148" i="40"/>
  <c r="F148" i="40"/>
  <c r="G148" i="40"/>
  <c r="H148" i="40"/>
  <c r="I148" i="40"/>
  <c r="J148" i="40"/>
  <c r="K148" i="40"/>
  <c r="L148" i="40"/>
  <c r="M148" i="40"/>
  <c r="N148" i="40"/>
  <c r="O148" i="40"/>
  <c r="P148" i="40"/>
  <c r="Q148" i="40"/>
  <c r="R148" i="40"/>
  <c r="S148" i="40"/>
  <c r="T148" i="40"/>
  <c r="U148" i="40"/>
  <c r="V148" i="40"/>
  <c r="W148" i="40"/>
  <c r="X148" i="40"/>
  <c r="Y148" i="40"/>
  <c r="Z148" i="40"/>
  <c r="AA148" i="40"/>
  <c r="AB148" i="40"/>
  <c r="AC148" i="40"/>
  <c r="AD148" i="40"/>
  <c r="AE148" i="40"/>
  <c r="AF148" i="40"/>
  <c r="D149" i="40"/>
  <c r="E149" i="40"/>
  <c r="F149" i="40"/>
  <c r="G149" i="40"/>
  <c r="H149" i="40"/>
  <c r="I149" i="40"/>
  <c r="J149" i="40"/>
  <c r="K149" i="40"/>
  <c r="L149" i="40"/>
  <c r="M149" i="40"/>
  <c r="N149" i="40"/>
  <c r="O149" i="40"/>
  <c r="P149" i="40"/>
  <c r="Q149" i="40"/>
  <c r="R149" i="40"/>
  <c r="S149" i="40"/>
  <c r="T149" i="40"/>
  <c r="U149" i="40"/>
  <c r="V149" i="40"/>
  <c r="W149" i="40"/>
  <c r="X149" i="40"/>
  <c r="Y149" i="40"/>
  <c r="Z149" i="40"/>
  <c r="AA149" i="40"/>
  <c r="AB149" i="40"/>
  <c r="AC149" i="40"/>
  <c r="AD149" i="40"/>
  <c r="AE149" i="40"/>
  <c r="AF149" i="40"/>
  <c r="D150" i="40"/>
  <c r="E150" i="40"/>
  <c r="F150" i="40"/>
  <c r="G150" i="40"/>
  <c r="H150" i="40"/>
  <c r="I150" i="40"/>
  <c r="J150" i="40"/>
  <c r="K150" i="40"/>
  <c r="L150" i="40"/>
  <c r="M150" i="40"/>
  <c r="N150" i="40"/>
  <c r="O150" i="40"/>
  <c r="P150" i="40"/>
  <c r="Q150" i="40"/>
  <c r="R150" i="40"/>
  <c r="S150" i="40"/>
  <c r="T150" i="40"/>
  <c r="U150" i="40"/>
  <c r="V150" i="40"/>
  <c r="W150" i="40"/>
  <c r="X150" i="40"/>
  <c r="Y150" i="40"/>
  <c r="Z150" i="40"/>
  <c r="AA150" i="40"/>
  <c r="AB150" i="40"/>
  <c r="AC150" i="40"/>
  <c r="AD150" i="40"/>
  <c r="AE150" i="40"/>
  <c r="AF150" i="40"/>
  <c r="D151" i="40"/>
  <c r="E151" i="40"/>
  <c r="F151" i="40"/>
  <c r="G151" i="40"/>
  <c r="H151" i="40"/>
  <c r="I151" i="40"/>
  <c r="J151" i="40"/>
  <c r="K151" i="40"/>
  <c r="L151" i="40"/>
  <c r="M151" i="40"/>
  <c r="N151" i="40"/>
  <c r="O151" i="40"/>
  <c r="P151" i="40"/>
  <c r="Q151" i="40"/>
  <c r="R151" i="40"/>
  <c r="S151" i="40"/>
  <c r="T151" i="40"/>
  <c r="U151" i="40"/>
  <c r="V151" i="40"/>
  <c r="W151" i="40"/>
  <c r="X151" i="40"/>
  <c r="Y151" i="40"/>
  <c r="Z151" i="40"/>
  <c r="AA151" i="40"/>
  <c r="AB151" i="40"/>
  <c r="AC151" i="40"/>
  <c r="AD151" i="40"/>
  <c r="AE151" i="40"/>
  <c r="AF151" i="40"/>
  <c r="D152" i="40"/>
  <c r="E152" i="40"/>
  <c r="F152" i="40"/>
  <c r="G152" i="40"/>
  <c r="H152" i="40"/>
  <c r="I152" i="40"/>
  <c r="J152" i="40"/>
  <c r="K152" i="40"/>
  <c r="L152" i="40"/>
  <c r="M152" i="40"/>
  <c r="N152" i="40"/>
  <c r="O152" i="40"/>
  <c r="P152" i="40"/>
  <c r="Q152" i="40"/>
  <c r="R152" i="40"/>
  <c r="S152" i="40"/>
  <c r="T152" i="40"/>
  <c r="U152" i="40"/>
  <c r="V152" i="40"/>
  <c r="W152" i="40"/>
  <c r="X152" i="40"/>
  <c r="Y152" i="40"/>
  <c r="Z152" i="40"/>
  <c r="AA152" i="40"/>
  <c r="AB152" i="40"/>
  <c r="AC152" i="40"/>
  <c r="AD152" i="40"/>
  <c r="AE152" i="40"/>
  <c r="AF152" i="40"/>
  <c r="D153" i="40"/>
  <c r="E153" i="40"/>
  <c r="F153" i="40"/>
  <c r="G153" i="40"/>
  <c r="H153" i="40"/>
  <c r="I153" i="40"/>
  <c r="J153" i="40"/>
  <c r="K153" i="40"/>
  <c r="L153" i="40"/>
  <c r="M153" i="40"/>
  <c r="N153" i="40"/>
  <c r="O153" i="40"/>
  <c r="P153" i="40"/>
  <c r="Q153" i="40"/>
  <c r="R153" i="40"/>
  <c r="S153" i="40"/>
  <c r="T153" i="40"/>
  <c r="U153" i="40"/>
  <c r="V153" i="40"/>
  <c r="W153" i="40"/>
  <c r="X153" i="40"/>
  <c r="Y153" i="40"/>
  <c r="Z153" i="40"/>
  <c r="AA153" i="40"/>
  <c r="AB153" i="40"/>
  <c r="AC153" i="40"/>
  <c r="AD153" i="40"/>
  <c r="AE153" i="40"/>
  <c r="AF153" i="40"/>
  <c r="D154" i="40"/>
  <c r="E154" i="40"/>
  <c r="F154" i="40"/>
  <c r="G154" i="40"/>
  <c r="H154" i="40"/>
  <c r="I154" i="40"/>
  <c r="J154" i="40"/>
  <c r="K154" i="40"/>
  <c r="L154" i="40"/>
  <c r="M154" i="40"/>
  <c r="N154" i="40"/>
  <c r="O154" i="40"/>
  <c r="P154" i="40"/>
  <c r="Q154" i="40"/>
  <c r="R154" i="40"/>
  <c r="S154" i="40"/>
  <c r="T154" i="40"/>
  <c r="U154" i="40"/>
  <c r="V154" i="40"/>
  <c r="W154" i="40"/>
  <c r="X154" i="40"/>
  <c r="Y154" i="40"/>
  <c r="Z154" i="40"/>
  <c r="AA154" i="40"/>
  <c r="AB154" i="40"/>
  <c r="AC154" i="40"/>
  <c r="AD154" i="40"/>
  <c r="AE154" i="40"/>
  <c r="AF154" i="40"/>
  <c r="D155" i="40"/>
  <c r="E155" i="40"/>
  <c r="F155" i="40"/>
  <c r="G155" i="40"/>
  <c r="H155" i="40"/>
  <c r="I155" i="40"/>
  <c r="J155" i="40"/>
  <c r="K155" i="40"/>
  <c r="L155" i="40"/>
  <c r="M155" i="40"/>
  <c r="N155" i="40"/>
  <c r="O155" i="40"/>
  <c r="P155" i="40"/>
  <c r="Q155" i="40"/>
  <c r="R155" i="40"/>
  <c r="S155" i="40"/>
  <c r="T155" i="40"/>
  <c r="U155" i="40"/>
  <c r="V155" i="40"/>
  <c r="W155" i="40"/>
  <c r="X155" i="40"/>
  <c r="Y155" i="40"/>
  <c r="Z155" i="40"/>
  <c r="AA155" i="40"/>
  <c r="AB155" i="40"/>
  <c r="AC155" i="40"/>
  <c r="AD155" i="40"/>
  <c r="AE155" i="40"/>
  <c r="AF155" i="40"/>
  <c r="D156" i="40"/>
  <c r="E156" i="40"/>
  <c r="F156" i="40"/>
  <c r="G156" i="40"/>
  <c r="H156" i="40"/>
  <c r="I156" i="40"/>
  <c r="J156" i="40"/>
  <c r="K156" i="40"/>
  <c r="L156" i="40"/>
  <c r="M156" i="40"/>
  <c r="N156" i="40"/>
  <c r="O156" i="40"/>
  <c r="P156" i="40"/>
  <c r="Q156" i="40"/>
  <c r="R156" i="40"/>
  <c r="S156" i="40"/>
  <c r="T156" i="40"/>
  <c r="U156" i="40"/>
  <c r="V156" i="40"/>
  <c r="W156" i="40"/>
  <c r="X156" i="40"/>
  <c r="Y156" i="40"/>
  <c r="Z156" i="40"/>
  <c r="AA156" i="40"/>
  <c r="AB156" i="40"/>
  <c r="AC156" i="40"/>
  <c r="AD156" i="40"/>
  <c r="AE156" i="40"/>
  <c r="AF156" i="40"/>
  <c r="D157" i="40"/>
  <c r="E157" i="40"/>
  <c r="F157" i="40"/>
  <c r="G157" i="40"/>
  <c r="H157" i="40"/>
  <c r="I157" i="40"/>
  <c r="J157" i="40"/>
  <c r="K157" i="40"/>
  <c r="L157" i="40"/>
  <c r="M157" i="40"/>
  <c r="N157" i="40"/>
  <c r="O157" i="40"/>
  <c r="P157" i="40"/>
  <c r="Q157" i="40"/>
  <c r="R157" i="40"/>
  <c r="S157" i="40"/>
  <c r="T157" i="40"/>
  <c r="U157" i="40"/>
  <c r="V157" i="40"/>
  <c r="W157" i="40"/>
  <c r="X157" i="40"/>
  <c r="Y157" i="40"/>
  <c r="Z157" i="40"/>
  <c r="AA157" i="40"/>
  <c r="AB157" i="40"/>
  <c r="AC157" i="40"/>
  <c r="AD157" i="40"/>
  <c r="AE157" i="40"/>
  <c r="AF157" i="40"/>
  <c r="D158" i="40"/>
  <c r="E158" i="40"/>
  <c r="F158" i="40"/>
  <c r="G158" i="40"/>
  <c r="H158" i="40"/>
  <c r="I158" i="40"/>
  <c r="J158" i="40"/>
  <c r="K158" i="40"/>
  <c r="L158" i="40"/>
  <c r="M158" i="40"/>
  <c r="N158" i="40"/>
  <c r="O158" i="40"/>
  <c r="P158" i="40"/>
  <c r="Q158" i="40"/>
  <c r="R158" i="40"/>
  <c r="S158" i="40"/>
  <c r="T158" i="40"/>
  <c r="U158" i="40"/>
  <c r="V158" i="40"/>
  <c r="W158" i="40"/>
  <c r="X158" i="40"/>
  <c r="Y158" i="40"/>
  <c r="Z158" i="40"/>
  <c r="AA158" i="40"/>
  <c r="AB158" i="40"/>
  <c r="AC158" i="40"/>
  <c r="AD158" i="40"/>
  <c r="AE158" i="40"/>
  <c r="AF158" i="40"/>
  <c r="D159" i="40"/>
  <c r="E159" i="40"/>
  <c r="F159" i="40"/>
  <c r="G159" i="40"/>
  <c r="H159" i="40"/>
  <c r="I159" i="40"/>
  <c r="J159" i="40"/>
  <c r="K159" i="40"/>
  <c r="L159" i="40"/>
  <c r="M159" i="40"/>
  <c r="N159" i="40"/>
  <c r="O159" i="40"/>
  <c r="P159" i="40"/>
  <c r="Q159" i="40"/>
  <c r="R159" i="40"/>
  <c r="S159" i="40"/>
  <c r="T159" i="40"/>
  <c r="U159" i="40"/>
  <c r="V159" i="40"/>
  <c r="W159" i="40"/>
  <c r="X159" i="40"/>
  <c r="Y159" i="40"/>
  <c r="Z159" i="40"/>
  <c r="AA159" i="40"/>
  <c r="AB159" i="40"/>
  <c r="AC159" i="40"/>
  <c r="AD159" i="40"/>
  <c r="AE159" i="40"/>
  <c r="AF159" i="40"/>
  <c r="D160" i="40"/>
  <c r="E160" i="40"/>
  <c r="F160" i="40"/>
  <c r="G160" i="40"/>
  <c r="H160" i="40"/>
  <c r="I160" i="40"/>
  <c r="J160" i="40"/>
  <c r="K160" i="40"/>
  <c r="L160" i="40"/>
  <c r="M160" i="40"/>
  <c r="N160" i="40"/>
  <c r="O160" i="40"/>
  <c r="P160" i="40"/>
  <c r="Q160" i="40"/>
  <c r="R160" i="40"/>
  <c r="S160" i="40"/>
  <c r="T160" i="40"/>
  <c r="U160" i="40"/>
  <c r="V160" i="40"/>
  <c r="W160" i="40"/>
  <c r="X160" i="40"/>
  <c r="Y160" i="40"/>
  <c r="Z160" i="40"/>
  <c r="AA160" i="40"/>
  <c r="AB160" i="40"/>
  <c r="AC160" i="40"/>
  <c r="AD160" i="40"/>
  <c r="AE160" i="40"/>
  <c r="AF160" i="40"/>
  <c r="D161" i="40"/>
  <c r="E161" i="40"/>
  <c r="F161" i="40"/>
  <c r="G161" i="40"/>
  <c r="H161" i="40"/>
  <c r="I161" i="40"/>
  <c r="J161" i="40"/>
  <c r="K161" i="40"/>
  <c r="L161" i="40"/>
  <c r="M161" i="40"/>
  <c r="N161" i="40"/>
  <c r="O161" i="40"/>
  <c r="P161" i="40"/>
  <c r="Q161" i="40"/>
  <c r="R161" i="40"/>
  <c r="S161" i="40"/>
  <c r="T161" i="40"/>
  <c r="U161" i="40"/>
  <c r="V161" i="40"/>
  <c r="W161" i="40"/>
  <c r="X161" i="40"/>
  <c r="Y161" i="40"/>
  <c r="Z161" i="40"/>
  <c r="AA161" i="40"/>
  <c r="AB161" i="40"/>
  <c r="AC161" i="40"/>
  <c r="AD161" i="40"/>
  <c r="AE161" i="40"/>
  <c r="AF161" i="40"/>
  <c r="D165" i="40"/>
  <c r="E165" i="40"/>
  <c r="F165" i="40"/>
  <c r="G165" i="40"/>
  <c r="H165" i="40"/>
  <c r="I165" i="40"/>
  <c r="J165" i="40"/>
  <c r="K165" i="40"/>
  <c r="L165" i="40"/>
  <c r="M165" i="40"/>
  <c r="N165" i="40"/>
  <c r="O165" i="40"/>
  <c r="P165" i="40"/>
  <c r="Q165" i="40"/>
  <c r="R165" i="40"/>
  <c r="S165" i="40"/>
  <c r="T165" i="40"/>
  <c r="U165" i="40"/>
  <c r="V165" i="40"/>
  <c r="W165" i="40"/>
  <c r="X165" i="40"/>
  <c r="Y165" i="40"/>
  <c r="Z165" i="40"/>
  <c r="AA165" i="40"/>
  <c r="AB165" i="40"/>
  <c r="AC165" i="40"/>
  <c r="AD165" i="40"/>
  <c r="AE165" i="40"/>
  <c r="AF165" i="40"/>
  <c r="D166" i="40"/>
  <c r="E166" i="40"/>
  <c r="F166" i="40"/>
  <c r="G166" i="40"/>
  <c r="H166" i="40"/>
  <c r="I166" i="40"/>
  <c r="J166" i="40"/>
  <c r="K166" i="40"/>
  <c r="L166" i="40"/>
  <c r="M166" i="40"/>
  <c r="N166" i="40"/>
  <c r="O166" i="40"/>
  <c r="P166" i="40"/>
  <c r="Q166" i="40"/>
  <c r="R166" i="40"/>
  <c r="S166" i="40"/>
  <c r="T166" i="40"/>
  <c r="U166" i="40"/>
  <c r="V166" i="40"/>
  <c r="W166" i="40"/>
  <c r="X166" i="40"/>
  <c r="Y166" i="40"/>
  <c r="Z166" i="40"/>
  <c r="AA166" i="40"/>
  <c r="AB166" i="40"/>
  <c r="AC166" i="40"/>
  <c r="AD166" i="40"/>
  <c r="AE166" i="40"/>
  <c r="AF166" i="40"/>
  <c r="D167" i="40"/>
  <c r="E167" i="40"/>
  <c r="F167" i="40"/>
  <c r="G167" i="40"/>
  <c r="H167" i="40"/>
  <c r="I167" i="40"/>
  <c r="J167" i="40"/>
  <c r="K167" i="40"/>
  <c r="L167" i="40"/>
  <c r="M167" i="40"/>
  <c r="N167" i="40"/>
  <c r="O167" i="40"/>
  <c r="P167" i="40"/>
  <c r="Q167" i="40"/>
  <c r="R167" i="40"/>
  <c r="S167" i="40"/>
  <c r="T167" i="40"/>
  <c r="U167" i="40"/>
  <c r="V167" i="40"/>
  <c r="W167" i="40"/>
  <c r="X167" i="40"/>
  <c r="Y167" i="40"/>
  <c r="Z167" i="40"/>
  <c r="AA167" i="40"/>
  <c r="AB167" i="40"/>
  <c r="AC167" i="40"/>
  <c r="AD167" i="40"/>
  <c r="AE167" i="40"/>
  <c r="AF167" i="40"/>
  <c r="D168" i="40"/>
  <c r="E168" i="40"/>
  <c r="F168" i="40"/>
  <c r="G168" i="40"/>
  <c r="H168" i="40"/>
  <c r="I168" i="40"/>
  <c r="J168" i="40"/>
  <c r="K168" i="40"/>
  <c r="L168" i="40"/>
  <c r="M168" i="40"/>
  <c r="N168" i="40"/>
  <c r="O168" i="40"/>
  <c r="P168" i="40"/>
  <c r="Q168" i="40"/>
  <c r="R168" i="40"/>
  <c r="S168" i="40"/>
  <c r="T168" i="40"/>
  <c r="U168" i="40"/>
  <c r="V168" i="40"/>
  <c r="W168" i="40"/>
  <c r="X168" i="40"/>
  <c r="Y168" i="40"/>
  <c r="Z168" i="40"/>
  <c r="AA168" i="40"/>
  <c r="AB168" i="40"/>
  <c r="AC168" i="40"/>
  <c r="AD168" i="40"/>
  <c r="AE168" i="40"/>
  <c r="AF168" i="40"/>
  <c r="D170" i="40"/>
  <c r="E170" i="40"/>
  <c r="F170" i="40"/>
  <c r="G170" i="40"/>
  <c r="H170" i="40"/>
  <c r="I170" i="40"/>
  <c r="J170" i="40"/>
  <c r="K170" i="40"/>
  <c r="L170" i="40"/>
  <c r="M170" i="40"/>
  <c r="N170" i="40"/>
  <c r="O170" i="40"/>
  <c r="P170" i="40"/>
  <c r="Q170" i="40"/>
  <c r="R170" i="40"/>
  <c r="S170" i="40"/>
  <c r="T170" i="40"/>
  <c r="U170" i="40"/>
  <c r="V170" i="40"/>
  <c r="W170" i="40"/>
  <c r="X170" i="40"/>
  <c r="Y170" i="40"/>
  <c r="Z170" i="40"/>
  <c r="AA170" i="40"/>
  <c r="AB170" i="40"/>
  <c r="AC170" i="40"/>
  <c r="AD170" i="40"/>
  <c r="AE170" i="40"/>
  <c r="AF170" i="40"/>
  <c r="D171" i="40"/>
  <c r="E171" i="40"/>
  <c r="F171" i="40"/>
  <c r="G171" i="40"/>
  <c r="H171" i="40"/>
  <c r="I171" i="40"/>
  <c r="J171" i="40"/>
  <c r="K171" i="40"/>
  <c r="L171" i="40"/>
  <c r="M171" i="40"/>
  <c r="N171" i="40"/>
  <c r="O171" i="40"/>
  <c r="P171" i="40"/>
  <c r="Q171" i="40"/>
  <c r="R171" i="40"/>
  <c r="S171" i="40"/>
  <c r="T171" i="40"/>
  <c r="U171" i="40"/>
  <c r="V171" i="40"/>
  <c r="W171" i="40"/>
  <c r="X171" i="40"/>
  <c r="Y171" i="40"/>
  <c r="Z171" i="40"/>
  <c r="AA171" i="40"/>
  <c r="AB171" i="40"/>
  <c r="AC171" i="40"/>
  <c r="AD171" i="40"/>
  <c r="AE171" i="40"/>
  <c r="AF171" i="40"/>
  <c r="D172" i="40"/>
  <c r="E172" i="40"/>
  <c r="F172" i="40"/>
  <c r="G172" i="40"/>
  <c r="H172" i="40"/>
  <c r="I172" i="40"/>
  <c r="J172" i="40"/>
  <c r="K172" i="40"/>
  <c r="L172" i="40"/>
  <c r="M172" i="40"/>
  <c r="N172" i="40"/>
  <c r="O172" i="40"/>
  <c r="P172" i="40"/>
  <c r="Q172" i="40"/>
  <c r="R172" i="40"/>
  <c r="S172" i="40"/>
  <c r="T172" i="40"/>
  <c r="U172" i="40"/>
  <c r="V172" i="40"/>
  <c r="W172" i="40"/>
  <c r="X172" i="40"/>
  <c r="Y172" i="40"/>
  <c r="Z172" i="40"/>
  <c r="AA172" i="40"/>
  <c r="AB172" i="40"/>
  <c r="AC172" i="40"/>
  <c r="AD172" i="40"/>
  <c r="AE172" i="40"/>
  <c r="AF172" i="40"/>
  <c r="D173" i="40"/>
  <c r="E173" i="40"/>
  <c r="F173" i="40"/>
  <c r="G173" i="40"/>
  <c r="H173" i="40"/>
  <c r="I173" i="40"/>
  <c r="J173" i="40"/>
  <c r="K173" i="40"/>
  <c r="L173" i="40"/>
  <c r="M173" i="40"/>
  <c r="N173" i="40"/>
  <c r="O173" i="40"/>
  <c r="P173" i="40"/>
  <c r="Q173" i="40"/>
  <c r="R173" i="40"/>
  <c r="S173" i="40"/>
  <c r="T173" i="40"/>
  <c r="U173" i="40"/>
  <c r="V173" i="40"/>
  <c r="W173" i="40"/>
  <c r="X173" i="40"/>
  <c r="Y173" i="40"/>
  <c r="Z173" i="40"/>
  <c r="AA173" i="40"/>
  <c r="AB173" i="40"/>
  <c r="AC173" i="40"/>
  <c r="AD173" i="40"/>
  <c r="AE173" i="40"/>
  <c r="AF173" i="40"/>
  <c r="D177" i="40"/>
  <c r="E177" i="40"/>
  <c r="F177" i="40"/>
  <c r="G177" i="40"/>
  <c r="H177" i="40"/>
  <c r="I177" i="40"/>
  <c r="J177" i="40"/>
  <c r="K177" i="40"/>
  <c r="L177" i="40"/>
  <c r="M177" i="40"/>
  <c r="N177" i="40"/>
  <c r="O177" i="40"/>
  <c r="P177" i="40"/>
  <c r="Q177" i="40"/>
  <c r="R177" i="40"/>
  <c r="S177" i="40"/>
  <c r="T177" i="40"/>
  <c r="U177" i="40"/>
  <c r="V177" i="40"/>
  <c r="W177" i="40"/>
  <c r="X177" i="40"/>
  <c r="Y177" i="40"/>
  <c r="Z177" i="40"/>
  <c r="AA177" i="40"/>
  <c r="AB177" i="40"/>
  <c r="AC177" i="40"/>
  <c r="AD177" i="40"/>
  <c r="AE177" i="40"/>
  <c r="AF177" i="40"/>
  <c r="D178" i="40"/>
  <c r="E178" i="40"/>
  <c r="F178" i="40"/>
  <c r="G178" i="40"/>
  <c r="H178" i="40"/>
  <c r="I178" i="40"/>
  <c r="J178" i="40"/>
  <c r="K178" i="40"/>
  <c r="L178" i="40"/>
  <c r="M178" i="40"/>
  <c r="N178" i="40"/>
  <c r="O178" i="40"/>
  <c r="P178" i="40"/>
  <c r="Q178" i="40"/>
  <c r="R178" i="40"/>
  <c r="S178" i="40"/>
  <c r="T178" i="40"/>
  <c r="U178" i="40"/>
  <c r="V178" i="40"/>
  <c r="W178" i="40"/>
  <c r="X178" i="40"/>
  <c r="Y178" i="40"/>
  <c r="Z178" i="40"/>
  <c r="AA178" i="40"/>
  <c r="AB178" i="40"/>
  <c r="AC178" i="40"/>
  <c r="AD178" i="40"/>
  <c r="AE178" i="40"/>
  <c r="AF178" i="40"/>
  <c r="D179" i="40"/>
  <c r="E179" i="40"/>
  <c r="F179" i="40"/>
  <c r="G179" i="40"/>
  <c r="H179" i="40"/>
  <c r="I179" i="40"/>
  <c r="J179" i="40"/>
  <c r="K179" i="40"/>
  <c r="L179" i="40"/>
  <c r="M179" i="40"/>
  <c r="N179" i="40"/>
  <c r="O179" i="40"/>
  <c r="P179" i="40"/>
  <c r="Q179" i="40"/>
  <c r="R179" i="40"/>
  <c r="S179" i="40"/>
  <c r="T179" i="40"/>
  <c r="U179" i="40"/>
  <c r="V179" i="40"/>
  <c r="W179" i="40"/>
  <c r="X179" i="40"/>
  <c r="Y179" i="40"/>
  <c r="Z179" i="40"/>
  <c r="AA179" i="40"/>
  <c r="AB179" i="40"/>
  <c r="AC179" i="40"/>
  <c r="AD179" i="40"/>
  <c r="AE179" i="40"/>
  <c r="AF179" i="40"/>
  <c r="D180" i="40"/>
  <c r="E180" i="40"/>
  <c r="F180" i="40"/>
  <c r="G180" i="40"/>
  <c r="H180" i="40"/>
  <c r="I180" i="40"/>
  <c r="J180" i="40"/>
  <c r="K180" i="40"/>
  <c r="L180" i="40"/>
  <c r="M180" i="40"/>
  <c r="N180" i="40"/>
  <c r="O180" i="40"/>
  <c r="P180" i="40"/>
  <c r="Q180" i="40"/>
  <c r="R180" i="40"/>
  <c r="S180" i="40"/>
  <c r="T180" i="40"/>
  <c r="U180" i="40"/>
  <c r="V180" i="40"/>
  <c r="W180" i="40"/>
  <c r="X180" i="40"/>
  <c r="Y180" i="40"/>
  <c r="Z180" i="40"/>
  <c r="AA180" i="40"/>
  <c r="AB180" i="40"/>
  <c r="AC180" i="40"/>
  <c r="AD180" i="40"/>
  <c r="AE180" i="40"/>
  <c r="AF180" i="40"/>
  <c r="D181" i="40"/>
  <c r="E181" i="40"/>
  <c r="F181" i="40"/>
  <c r="G181" i="40"/>
  <c r="H181" i="40"/>
  <c r="I181" i="40"/>
  <c r="J181" i="40"/>
  <c r="K181" i="40"/>
  <c r="L181" i="40"/>
  <c r="M181" i="40"/>
  <c r="N181" i="40"/>
  <c r="O181" i="40"/>
  <c r="P181" i="40"/>
  <c r="Q181" i="40"/>
  <c r="R181" i="40"/>
  <c r="S181" i="40"/>
  <c r="T181" i="40"/>
  <c r="U181" i="40"/>
  <c r="V181" i="40"/>
  <c r="W181" i="40"/>
  <c r="X181" i="40"/>
  <c r="Y181" i="40"/>
  <c r="Z181" i="40"/>
  <c r="AA181" i="40"/>
  <c r="AB181" i="40"/>
  <c r="AC181" i="40"/>
  <c r="AD181" i="40"/>
  <c r="AE181" i="40"/>
  <c r="AF181" i="40"/>
  <c r="D182" i="40"/>
  <c r="E182" i="40"/>
  <c r="F182" i="40"/>
  <c r="G182" i="40"/>
  <c r="H182" i="40"/>
  <c r="I182" i="40"/>
  <c r="J182" i="40"/>
  <c r="K182" i="40"/>
  <c r="L182" i="40"/>
  <c r="M182" i="40"/>
  <c r="N182" i="40"/>
  <c r="O182" i="40"/>
  <c r="P182" i="40"/>
  <c r="Q182" i="40"/>
  <c r="R182" i="40"/>
  <c r="S182" i="40"/>
  <c r="T182" i="40"/>
  <c r="U182" i="40"/>
  <c r="V182" i="40"/>
  <c r="W182" i="40"/>
  <c r="X182" i="40"/>
  <c r="Y182" i="40"/>
  <c r="Z182" i="40"/>
  <c r="AA182" i="40"/>
  <c r="AB182" i="40"/>
  <c r="AC182" i="40"/>
  <c r="AD182" i="40"/>
  <c r="AE182" i="40"/>
  <c r="AF182" i="40"/>
  <c r="D183" i="40"/>
  <c r="E183" i="40"/>
  <c r="F183" i="40"/>
  <c r="G183" i="40"/>
  <c r="H183" i="40"/>
  <c r="I183" i="40"/>
  <c r="J183" i="40"/>
  <c r="K183" i="40"/>
  <c r="L183" i="40"/>
  <c r="M183" i="40"/>
  <c r="N183" i="40"/>
  <c r="O183" i="40"/>
  <c r="P183" i="40"/>
  <c r="Q183" i="40"/>
  <c r="R183" i="40"/>
  <c r="S183" i="40"/>
  <c r="T183" i="40"/>
  <c r="U183" i="40"/>
  <c r="V183" i="40"/>
  <c r="W183" i="40"/>
  <c r="X183" i="40"/>
  <c r="Y183" i="40"/>
  <c r="Z183" i="40"/>
  <c r="AA183" i="40"/>
  <c r="AB183" i="40"/>
  <c r="AC183" i="40"/>
  <c r="AD183" i="40"/>
  <c r="AE183" i="40"/>
  <c r="AF183" i="40"/>
  <c r="D184" i="40"/>
  <c r="E184" i="40"/>
  <c r="F184" i="40"/>
  <c r="G184" i="40"/>
  <c r="H184" i="40"/>
  <c r="I184" i="40"/>
  <c r="J184" i="40"/>
  <c r="K184" i="40"/>
  <c r="L184" i="40"/>
  <c r="M184" i="40"/>
  <c r="N184" i="40"/>
  <c r="O184" i="40"/>
  <c r="P184" i="40"/>
  <c r="Q184" i="40"/>
  <c r="R184" i="40"/>
  <c r="S184" i="40"/>
  <c r="T184" i="40"/>
  <c r="U184" i="40"/>
  <c r="V184" i="40"/>
  <c r="W184" i="40"/>
  <c r="X184" i="40"/>
  <c r="Y184" i="40"/>
  <c r="Z184" i="40"/>
  <c r="AA184" i="40"/>
  <c r="AB184" i="40"/>
  <c r="AC184" i="40"/>
  <c r="AD184" i="40"/>
  <c r="AE184" i="40"/>
  <c r="AF184" i="40"/>
  <c r="D185" i="40"/>
  <c r="E185" i="40"/>
  <c r="F185" i="40"/>
  <c r="G185" i="40"/>
  <c r="H185" i="40"/>
  <c r="I185" i="40"/>
  <c r="J185" i="40"/>
  <c r="K185" i="40"/>
  <c r="L185" i="40"/>
  <c r="M185" i="40"/>
  <c r="N185" i="40"/>
  <c r="O185" i="40"/>
  <c r="P185" i="40"/>
  <c r="Q185" i="40"/>
  <c r="R185" i="40"/>
  <c r="S185" i="40"/>
  <c r="T185" i="40"/>
  <c r="U185" i="40"/>
  <c r="V185" i="40"/>
  <c r="W185" i="40"/>
  <c r="X185" i="40"/>
  <c r="Y185" i="40"/>
  <c r="Z185" i="40"/>
  <c r="AA185" i="40"/>
  <c r="AB185" i="40"/>
  <c r="AC185" i="40"/>
  <c r="AD185" i="40"/>
  <c r="AE185" i="40"/>
  <c r="AF185" i="40"/>
  <c r="D186" i="40"/>
  <c r="E186" i="40"/>
  <c r="F186" i="40"/>
  <c r="G186" i="40"/>
  <c r="H186" i="40"/>
  <c r="I186" i="40"/>
  <c r="J186" i="40"/>
  <c r="K186" i="40"/>
  <c r="L186" i="40"/>
  <c r="M186" i="40"/>
  <c r="N186" i="40"/>
  <c r="O186" i="40"/>
  <c r="P186" i="40"/>
  <c r="Q186" i="40"/>
  <c r="R186" i="40"/>
  <c r="S186" i="40"/>
  <c r="T186" i="40"/>
  <c r="U186" i="40"/>
  <c r="V186" i="40"/>
  <c r="W186" i="40"/>
  <c r="X186" i="40"/>
  <c r="Y186" i="40"/>
  <c r="Z186" i="40"/>
  <c r="AA186" i="40"/>
  <c r="AB186" i="40"/>
  <c r="AC186" i="40"/>
  <c r="AD186" i="40"/>
  <c r="AE186" i="40"/>
  <c r="AF186" i="40"/>
  <c r="D187" i="40"/>
  <c r="E187" i="40"/>
  <c r="F187" i="40"/>
  <c r="G187" i="40"/>
  <c r="H187" i="40"/>
  <c r="I187" i="40"/>
  <c r="J187" i="40"/>
  <c r="K187" i="40"/>
  <c r="L187" i="40"/>
  <c r="M187" i="40"/>
  <c r="N187" i="40"/>
  <c r="O187" i="40"/>
  <c r="P187" i="40"/>
  <c r="Q187" i="40"/>
  <c r="R187" i="40"/>
  <c r="S187" i="40"/>
  <c r="T187" i="40"/>
  <c r="U187" i="40"/>
  <c r="V187" i="40"/>
  <c r="W187" i="40"/>
  <c r="X187" i="40"/>
  <c r="Y187" i="40"/>
  <c r="Z187" i="40"/>
  <c r="AA187" i="40"/>
  <c r="AB187" i="40"/>
  <c r="AC187" i="40"/>
  <c r="AD187" i="40"/>
  <c r="AE187" i="40"/>
  <c r="AF187" i="40"/>
  <c r="D188" i="40"/>
  <c r="E188" i="40"/>
  <c r="F188" i="40"/>
  <c r="G188" i="40"/>
  <c r="H188" i="40"/>
  <c r="I188" i="40"/>
  <c r="J188" i="40"/>
  <c r="K188" i="40"/>
  <c r="L188" i="40"/>
  <c r="M188" i="40"/>
  <c r="N188" i="40"/>
  <c r="O188" i="40"/>
  <c r="P188" i="40"/>
  <c r="Q188" i="40"/>
  <c r="R188" i="40"/>
  <c r="S188" i="40"/>
  <c r="T188" i="40"/>
  <c r="U188" i="40"/>
  <c r="V188" i="40"/>
  <c r="W188" i="40"/>
  <c r="X188" i="40"/>
  <c r="Y188" i="40"/>
  <c r="Z188" i="40"/>
  <c r="AA188" i="40"/>
  <c r="AB188" i="40"/>
  <c r="AC188" i="40"/>
  <c r="AD188" i="40"/>
  <c r="AE188" i="40"/>
  <c r="AF188" i="40"/>
  <c r="D189" i="40"/>
  <c r="E189" i="40"/>
  <c r="F189" i="40"/>
  <c r="G189" i="40"/>
  <c r="H189" i="40"/>
  <c r="I189" i="40"/>
  <c r="J189" i="40"/>
  <c r="K189" i="40"/>
  <c r="L189" i="40"/>
  <c r="M189" i="40"/>
  <c r="N189" i="40"/>
  <c r="O189" i="40"/>
  <c r="P189" i="40"/>
  <c r="Q189" i="40"/>
  <c r="R189" i="40"/>
  <c r="S189" i="40"/>
  <c r="T189" i="40"/>
  <c r="U189" i="40"/>
  <c r="V189" i="40"/>
  <c r="W189" i="40"/>
  <c r="X189" i="40"/>
  <c r="Y189" i="40"/>
  <c r="Z189" i="40"/>
  <c r="AA189" i="40"/>
  <c r="AB189" i="40"/>
  <c r="AC189" i="40"/>
  <c r="AD189" i="40"/>
  <c r="AE189" i="40"/>
  <c r="AF189" i="40"/>
  <c r="D190" i="40"/>
  <c r="E190" i="40"/>
  <c r="F190" i="40"/>
  <c r="G190" i="40"/>
  <c r="H190" i="40"/>
  <c r="I190" i="40"/>
  <c r="J190" i="40"/>
  <c r="K190" i="40"/>
  <c r="L190" i="40"/>
  <c r="M190" i="40"/>
  <c r="N190" i="40"/>
  <c r="O190" i="40"/>
  <c r="P190" i="40"/>
  <c r="Q190" i="40"/>
  <c r="R190" i="40"/>
  <c r="S190" i="40"/>
  <c r="T190" i="40"/>
  <c r="U190" i="40"/>
  <c r="V190" i="40"/>
  <c r="W190" i="40"/>
  <c r="X190" i="40"/>
  <c r="Y190" i="40"/>
  <c r="Z190" i="40"/>
  <c r="AA190" i="40"/>
  <c r="AB190" i="40"/>
  <c r="AC190" i="40"/>
  <c r="AD190" i="40"/>
  <c r="AE190" i="40"/>
  <c r="AF190" i="40"/>
  <c r="D191" i="40"/>
  <c r="E191" i="40"/>
  <c r="F191" i="40"/>
  <c r="G191" i="40"/>
  <c r="H191" i="40"/>
  <c r="I191" i="40"/>
  <c r="J191" i="40"/>
  <c r="K191" i="40"/>
  <c r="L191" i="40"/>
  <c r="M191" i="40"/>
  <c r="N191" i="40"/>
  <c r="O191" i="40"/>
  <c r="P191" i="40"/>
  <c r="Q191" i="40"/>
  <c r="R191" i="40"/>
  <c r="S191" i="40"/>
  <c r="T191" i="40"/>
  <c r="U191" i="40"/>
  <c r="V191" i="40"/>
  <c r="W191" i="40"/>
  <c r="X191" i="40"/>
  <c r="Y191" i="40"/>
  <c r="Z191" i="40"/>
  <c r="AA191" i="40"/>
  <c r="AB191" i="40"/>
  <c r="AC191" i="40"/>
  <c r="AD191" i="40"/>
  <c r="AE191" i="40"/>
  <c r="AF191" i="40"/>
  <c r="D192" i="40"/>
  <c r="E192" i="40"/>
  <c r="F192" i="40"/>
  <c r="G192" i="40"/>
  <c r="H192" i="40"/>
  <c r="I192" i="40"/>
  <c r="J192" i="40"/>
  <c r="K192" i="40"/>
  <c r="L192" i="40"/>
  <c r="M192" i="40"/>
  <c r="N192" i="40"/>
  <c r="O192" i="40"/>
  <c r="P192" i="40"/>
  <c r="Q192" i="40"/>
  <c r="R192" i="40"/>
  <c r="S192" i="40"/>
  <c r="T192" i="40"/>
  <c r="U192" i="40"/>
  <c r="V192" i="40"/>
  <c r="W192" i="40"/>
  <c r="X192" i="40"/>
  <c r="Y192" i="40"/>
  <c r="Z192" i="40"/>
  <c r="AA192" i="40"/>
  <c r="AB192" i="40"/>
  <c r="AC192" i="40"/>
  <c r="AD192" i="40"/>
  <c r="AE192" i="40"/>
  <c r="AF192" i="40"/>
  <c r="C192" i="40"/>
  <c r="C191" i="40"/>
  <c r="C190" i="40"/>
  <c r="C189" i="40"/>
  <c r="C188" i="40"/>
  <c r="C187" i="40"/>
  <c r="C186" i="40"/>
  <c r="C185" i="40"/>
  <c r="C184" i="40"/>
  <c r="C183" i="40"/>
  <c r="C182" i="40"/>
  <c r="C181" i="40"/>
  <c r="C180" i="40"/>
  <c r="C179" i="40"/>
  <c r="C178" i="40"/>
  <c r="C177" i="40"/>
  <c r="C173" i="40"/>
  <c r="C172" i="40"/>
  <c r="C171" i="40"/>
  <c r="C170" i="40"/>
  <c r="C168" i="40"/>
  <c r="C167" i="40"/>
  <c r="C166" i="40"/>
  <c r="C165" i="40"/>
  <c r="C161" i="40"/>
  <c r="C160" i="40"/>
  <c r="C159" i="40"/>
  <c r="C158" i="40"/>
  <c r="C157" i="40"/>
  <c r="C156" i="40"/>
  <c r="C155" i="40"/>
  <c r="C154" i="40"/>
  <c r="C153" i="40"/>
  <c r="C152" i="40"/>
  <c r="C151" i="40"/>
  <c r="C150" i="40"/>
  <c r="C149" i="40"/>
  <c r="C148" i="40"/>
  <c r="C147" i="40"/>
  <c r="C146" i="40"/>
  <c r="C145" i="40"/>
  <c r="C144" i="40"/>
  <c r="C143" i="40"/>
  <c r="C142" i="40"/>
  <c r="C141" i="40"/>
  <c r="C140" i="40"/>
  <c r="C139" i="40"/>
  <c r="C138" i="40"/>
  <c r="C137" i="40"/>
  <c r="C136" i="40"/>
  <c r="C135" i="40"/>
  <c r="C134" i="40"/>
  <c r="C133" i="40"/>
  <c r="C132" i="40"/>
  <c r="C131" i="40"/>
  <c r="C130" i="40"/>
  <c r="C129" i="40"/>
  <c r="C128" i="40"/>
  <c r="C127" i="40"/>
  <c r="C126" i="40"/>
  <c r="C125" i="40"/>
  <c r="C124" i="40"/>
  <c r="C123" i="40"/>
  <c r="C122" i="40"/>
  <c r="C121" i="40"/>
  <c r="C120" i="40"/>
  <c r="C119" i="40"/>
  <c r="C118" i="40"/>
  <c r="C117" i="40"/>
  <c r="C116" i="40"/>
  <c r="C115" i="40"/>
  <c r="C114" i="40"/>
  <c r="C113" i="40"/>
  <c r="C112" i="40"/>
  <c r="C111" i="40"/>
  <c r="C110" i="40"/>
  <c r="C109" i="40"/>
  <c r="C106" i="40"/>
  <c r="C105" i="40"/>
  <c r="C104" i="40"/>
  <c r="C103" i="40"/>
  <c r="C102" i="40"/>
  <c r="C101" i="40"/>
  <c r="C100" i="40"/>
  <c r="C99" i="40"/>
  <c r="C98" i="40"/>
  <c r="C97" i="40"/>
  <c r="C96" i="40"/>
  <c r="C95" i="40"/>
  <c r="C94" i="40"/>
  <c r="C93" i="40"/>
  <c r="C92" i="40"/>
  <c r="C91" i="40"/>
  <c r="C90" i="40"/>
  <c r="C87" i="40"/>
  <c r="C86" i="40"/>
  <c r="C85" i="40"/>
  <c r="C84" i="40"/>
  <c r="C83" i="40"/>
  <c r="C82" i="40"/>
  <c r="C81" i="40"/>
  <c r="C80" i="40"/>
  <c r="C79" i="40"/>
  <c r="C78" i="40"/>
  <c r="C77" i="40"/>
  <c r="C76" i="40"/>
  <c r="C75" i="40"/>
  <c r="C74" i="40"/>
  <c r="C71" i="40"/>
  <c r="C70" i="40"/>
  <c r="C69" i="40"/>
  <c r="C68" i="40"/>
  <c r="C67" i="40"/>
  <c r="C66" i="40"/>
  <c r="C65" i="40"/>
  <c r="C64" i="40"/>
  <c r="C63" i="40"/>
  <c r="C62" i="40"/>
  <c r="C61" i="40"/>
  <c r="C60" i="40"/>
  <c r="C59" i="40"/>
  <c r="C57" i="40"/>
  <c r="C56" i="40"/>
  <c r="C55" i="40"/>
  <c r="C54" i="40"/>
  <c r="C53" i="40"/>
  <c r="C52" i="40"/>
  <c r="C51" i="40"/>
  <c r="C50" i="40"/>
  <c r="C49" i="40"/>
  <c r="C48" i="40"/>
  <c r="C47" i="40"/>
  <c r="C46" i="40"/>
  <c r="C45" i="40"/>
  <c r="C40" i="40"/>
  <c r="C39" i="40"/>
  <c r="C38" i="40"/>
  <c r="C37" i="40"/>
  <c r="C36" i="40"/>
  <c r="C35" i="40"/>
  <c r="C34" i="40"/>
  <c r="C33" i="40"/>
  <c r="C32" i="40"/>
  <c r="C31" i="40"/>
  <c r="C30" i="40"/>
  <c r="C29" i="40"/>
  <c r="C28" i="40"/>
  <c r="C24" i="40"/>
  <c r="C23" i="40"/>
  <c r="C20" i="40"/>
  <c r="C19" i="40"/>
  <c r="C18" i="40"/>
  <c r="C17" i="40"/>
  <c r="C15" i="40"/>
  <c r="D17" i="39"/>
  <c r="E17" i="39"/>
  <c r="F17" i="39"/>
  <c r="G17" i="39"/>
  <c r="H17" i="39"/>
  <c r="I17" i="39"/>
  <c r="J17" i="39"/>
  <c r="K17" i="39"/>
  <c r="L17" i="39"/>
  <c r="M17" i="39"/>
  <c r="N17" i="39"/>
  <c r="O17" i="39"/>
  <c r="P17" i="39"/>
  <c r="Q17" i="39"/>
  <c r="R17" i="39"/>
  <c r="S17" i="39"/>
  <c r="T17" i="39"/>
  <c r="U17" i="39"/>
  <c r="V17" i="39"/>
  <c r="W17" i="39"/>
  <c r="X17" i="39"/>
  <c r="Y17" i="39"/>
  <c r="Z17" i="39"/>
  <c r="AA17" i="39"/>
  <c r="AB17" i="39"/>
  <c r="AC17" i="39"/>
  <c r="AD17" i="39"/>
  <c r="AE17" i="39"/>
  <c r="AF17" i="39"/>
  <c r="D18" i="39"/>
  <c r="E18" i="39"/>
  <c r="F18" i="39"/>
  <c r="G18" i="39"/>
  <c r="H18" i="39"/>
  <c r="I18" i="39"/>
  <c r="J18" i="39"/>
  <c r="K18" i="39"/>
  <c r="L18" i="39"/>
  <c r="M18" i="39"/>
  <c r="N18" i="39"/>
  <c r="O18" i="39"/>
  <c r="P18" i="39"/>
  <c r="Q18" i="39"/>
  <c r="R18" i="39"/>
  <c r="S18" i="39"/>
  <c r="T18" i="39"/>
  <c r="U18" i="39"/>
  <c r="V18" i="39"/>
  <c r="W18" i="39"/>
  <c r="X18" i="39"/>
  <c r="Y18" i="39"/>
  <c r="Z18" i="39"/>
  <c r="AA18" i="39"/>
  <c r="AB18" i="39"/>
  <c r="AC18" i="39"/>
  <c r="AD18" i="39"/>
  <c r="AE18" i="39"/>
  <c r="AF18" i="39"/>
  <c r="D19" i="39"/>
  <c r="E19" i="39"/>
  <c r="F19" i="39"/>
  <c r="G19" i="39"/>
  <c r="H19" i="39"/>
  <c r="I19" i="39"/>
  <c r="J19" i="39"/>
  <c r="K19" i="39"/>
  <c r="L19" i="39"/>
  <c r="M19" i="39"/>
  <c r="N19" i="39"/>
  <c r="O19" i="39"/>
  <c r="P19" i="39"/>
  <c r="Q19" i="39"/>
  <c r="R19" i="39"/>
  <c r="S19" i="39"/>
  <c r="T19" i="39"/>
  <c r="U19" i="39"/>
  <c r="V19" i="39"/>
  <c r="W19" i="39"/>
  <c r="X19" i="39"/>
  <c r="Y19" i="39"/>
  <c r="Z19" i="39"/>
  <c r="AA19" i="39"/>
  <c r="AB19" i="39"/>
  <c r="AC19" i="39"/>
  <c r="AD19" i="39"/>
  <c r="AE19" i="39"/>
  <c r="AF19" i="39"/>
  <c r="D22" i="39"/>
  <c r="E22" i="39"/>
  <c r="F22" i="39"/>
  <c r="G22" i="39"/>
  <c r="H22" i="39"/>
  <c r="I22" i="39"/>
  <c r="J22" i="39"/>
  <c r="K22" i="39"/>
  <c r="L22" i="39"/>
  <c r="M22" i="39"/>
  <c r="N22" i="39"/>
  <c r="O22" i="39"/>
  <c r="P22" i="39"/>
  <c r="Q22" i="39"/>
  <c r="R22" i="39"/>
  <c r="S22" i="39"/>
  <c r="T22" i="39"/>
  <c r="U22" i="39"/>
  <c r="V22" i="39"/>
  <c r="W22" i="39"/>
  <c r="X22" i="39"/>
  <c r="Y22" i="39"/>
  <c r="Z22" i="39"/>
  <c r="AA22" i="39"/>
  <c r="AB22" i="39"/>
  <c r="AC22" i="39"/>
  <c r="AD22" i="39"/>
  <c r="AE22" i="39"/>
  <c r="AF22" i="39"/>
  <c r="D23" i="39"/>
  <c r="E23" i="39"/>
  <c r="F23" i="39"/>
  <c r="G23" i="39"/>
  <c r="H23" i="39"/>
  <c r="I23" i="39"/>
  <c r="J23" i="39"/>
  <c r="K23" i="39"/>
  <c r="L23" i="39"/>
  <c r="M23" i="39"/>
  <c r="N23" i="39"/>
  <c r="O23" i="39"/>
  <c r="P23" i="39"/>
  <c r="Q23" i="39"/>
  <c r="R23" i="39"/>
  <c r="S23" i="39"/>
  <c r="T23" i="39"/>
  <c r="U23" i="39"/>
  <c r="V23" i="39"/>
  <c r="W23" i="39"/>
  <c r="X23" i="39"/>
  <c r="Y23" i="39"/>
  <c r="Z23" i="39"/>
  <c r="AA23" i="39"/>
  <c r="AB23" i="39"/>
  <c r="AC23" i="39"/>
  <c r="AD23" i="39"/>
  <c r="AE23" i="39"/>
  <c r="AF23" i="39"/>
  <c r="D24" i="39"/>
  <c r="E24" i="39"/>
  <c r="F24" i="39"/>
  <c r="G24" i="39"/>
  <c r="H24" i="39"/>
  <c r="I24" i="39"/>
  <c r="J24" i="39"/>
  <c r="K24" i="39"/>
  <c r="L24" i="39"/>
  <c r="M24" i="39"/>
  <c r="N24" i="39"/>
  <c r="O24" i="39"/>
  <c r="P24" i="39"/>
  <c r="Q24" i="39"/>
  <c r="R24" i="39"/>
  <c r="S24" i="39"/>
  <c r="T24" i="39"/>
  <c r="U24" i="39"/>
  <c r="V24" i="39"/>
  <c r="W24" i="39"/>
  <c r="X24" i="39"/>
  <c r="Y24" i="39"/>
  <c r="Z24" i="39"/>
  <c r="AA24" i="39"/>
  <c r="AB24" i="39"/>
  <c r="AC24" i="39"/>
  <c r="AD24" i="39"/>
  <c r="AE24" i="39"/>
  <c r="AF24" i="39"/>
  <c r="D25" i="39"/>
  <c r="E25" i="39"/>
  <c r="F25" i="39"/>
  <c r="G25" i="39"/>
  <c r="H25" i="39"/>
  <c r="I25" i="39"/>
  <c r="J25" i="39"/>
  <c r="K25" i="39"/>
  <c r="L25" i="39"/>
  <c r="M25" i="39"/>
  <c r="N25" i="39"/>
  <c r="O25" i="39"/>
  <c r="P25" i="39"/>
  <c r="Q25" i="39"/>
  <c r="R25" i="39"/>
  <c r="S25" i="39"/>
  <c r="T25" i="39"/>
  <c r="U25" i="39"/>
  <c r="V25" i="39"/>
  <c r="W25" i="39"/>
  <c r="X25" i="39"/>
  <c r="Y25" i="39"/>
  <c r="Z25" i="39"/>
  <c r="AA25" i="39"/>
  <c r="AB25" i="39"/>
  <c r="AC25" i="39"/>
  <c r="AD25" i="39"/>
  <c r="AE25" i="39"/>
  <c r="AF25" i="39"/>
  <c r="D26" i="39"/>
  <c r="E26" i="39"/>
  <c r="F26" i="39"/>
  <c r="G26" i="39"/>
  <c r="H26" i="39"/>
  <c r="I26" i="39"/>
  <c r="J26" i="39"/>
  <c r="K26" i="39"/>
  <c r="L26" i="39"/>
  <c r="M26" i="39"/>
  <c r="N26" i="39"/>
  <c r="O26" i="39"/>
  <c r="P26" i="39"/>
  <c r="Q26" i="39"/>
  <c r="R26" i="39"/>
  <c r="S26" i="39"/>
  <c r="T26" i="39"/>
  <c r="U26" i="39"/>
  <c r="V26" i="39"/>
  <c r="W26" i="39"/>
  <c r="X26" i="39"/>
  <c r="Y26" i="39"/>
  <c r="Z26" i="39"/>
  <c r="AA26" i="39"/>
  <c r="AB26" i="39"/>
  <c r="AC26" i="39"/>
  <c r="AD26" i="39"/>
  <c r="AE26" i="39"/>
  <c r="AF26" i="39"/>
  <c r="D27" i="39"/>
  <c r="E27" i="39"/>
  <c r="F27" i="39"/>
  <c r="G27" i="39"/>
  <c r="H27" i="39"/>
  <c r="I27" i="39"/>
  <c r="J27" i="39"/>
  <c r="K27" i="39"/>
  <c r="L27" i="39"/>
  <c r="M27" i="39"/>
  <c r="N27" i="39"/>
  <c r="O27" i="39"/>
  <c r="P27" i="39"/>
  <c r="Q27" i="39"/>
  <c r="R27" i="39"/>
  <c r="S27" i="39"/>
  <c r="T27" i="39"/>
  <c r="U27" i="39"/>
  <c r="V27" i="39"/>
  <c r="W27" i="39"/>
  <c r="X27" i="39"/>
  <c r="Y27" i="39"/>
  <c r="Z27" i="39"/>
  <c r="AA27" i="39"/>
  <c r="AB27" i="39"/>
  <c r="AC27" i="39"/>
  <c r="AD27" i="39"/>
  <c r="AE27" i="39"/>
  <c r="AF27" i="39"/>
  <c r="D28" i="39"/>
  <c r="E28" i="39"/>
  <c r="F28" i="39"/>
  <c r="G28" i="39"/>
  <c r="H28" i="39"/>
  <c r="I28" i="39"/>
  <c r="J28" i="39"/>
  <c r="K28" i="39"/>
  <c r="L28" i="39"/>
  <c r="M28" i="39"/>
  <c r="N28" i="39"/>
  <c r="O28" i="39"/>
  <c r="P28" i="39"/>
  <c r="Q28" i="39"/>
  <c r="R28" i="39"/>
  <c r="S28" i="39"/>
  <c r="T28" i="39"/>
  <c r="U28" i="39"/>
  <c r="V28" i="39"/>
  <c r="W28" i="39"/>
  <c r="X28" i="39"/>
  <c r="Y28" i="39"/>
  <c r="Z28" i="39"/>
  <c r="AA28" i="39"/>
  <c r="AB28" i="39"/>
  <c r="AC28" i="39"/>
  <c r="AD28" i="39"/>
  <c r="AE28" i="39"/>
  <c r="AF28" i="39"/>
  <c r="D29" i="39"/>
  <c r="E29" i="39"/>
  <c r="F29" i="39"/>
  <c r="G29" i="39"/>
  <c r="H29" i="39"/>
  <c r="I29" i="39"/>
  <c r="J29" i="39"/>
  <c r="K29" i="39"/>
  <c r="L29" i="39"/>
  <c r="M29" i="39"/>
  <c r="N29" i="39"/>
  <c r="O29" i="39"/>
  <c r="P29" i="39"/>
  <c r="Q29" i="39"/>
  <c r="R29" i="39"/>
  <c r="S29" i="39"/>
  <c r="T29" i="39"/>
  <c r="U29" i="39"/>
  <c r="V29" i="39"/>
  <c r="W29" i="39"/>
  <c r="X29" i="39"/>
  <c r="Y29" i="39"/>
  <c r="Z29" i="39"/>
  <c r="AA29" i="39"/>
  <c r="AB29" i="39"/>
  <c r="AC29" i="39"/>
  <c r="AD29" i="39"/>
  <c r="AE29" i="39"/>
  <c r="AF29" i="39"/>
  <c r="D30" i="39"/>
  <c r="E30" i="39"/>
  <c r="F30" i="39"/>
  <c r="G30" i="39"/>
  <c r="H30" i="39"/>
  <c r="I30" i="39"/>
  <c r="J30" i="39"/>
  <c r="K30" i="39"/>
  <c r="L30" i="39"/>
  <c r="M30" i="39"/>
  <c r="N30" i="39"/>
  <c r="O30" i="39"/>
  <c r="P30" i="39"/>
  <c r="Q30" i="39"/>
  <c r="R30" i="39"/>
  <c r="S30" i="39"/>
  <c r="T30" i="39"/>
  <c r="U30" i="39"/>
  <c r="V30" i="39"/>
  <c r="W30" i="39"/>
  <c r="X30" i="39"/>
  <c r="Y30" i="39"/>
  <c r="Z30" i="39"/>
  <c r="AA30" i="39"/>
  <c r="AB30" i="39"/>
  <c r="AC30" i="39"/>
  <c r="AD30" i="39"/>
  <c r="AE30" i="39"/>
  <c r="AF30" i="39"/>
  <c r="D31" i="39"/>
  <c r="E31" i="39"/>
  <c r="F31" i="39"/>
  <c r="G31" i="39"/>
  <c r="H31" i="39"/>
  <c r="I31" i="39"/>
  <c r="J31" i="39"/>
  <c r="K31" i="39"/>
  <c r="L31" i="39"/>
  <c r="M31" i="39"/>
  <c r="N31" i="39"/>
  <c r="O31" i="39"/>
  <c r="P31" i="39"/>
  <c r="Q31" i="39"/>
  <c r="R31" i="39"/>
  <c r="S31" i="39"/>
  <c r="T31" i="39"/>
  <c r="U31" i="39"/>
  <c r="V31" i="39"/>
  <c r="W31" i="39"/>
  <c r="X31" i="39"/>
  <c r="Y31" i="39"/>
  <c r="Z31" i="39"/>
  <c r="AA31" i="39"/>
  <c r="AB31" i="39"/>
  <c r="AC31" i="39"/>
  <c r="AD31" i="39"/>
  <c r="AE31" i="39"/>
  <c r="AF31" i="39"/>
  <c r="D32" i="39"/>
  <c r="E32" i="39"/>
  <c r="F32" i="39"/>
  <c r="G32" i="39"/>
  <c r="H32" i="39"/>
  <c r="I32" i="39"/>
  <c r="J32" i="39"/>
  <c r="K32" i="39"/>
  <c r="L32" i="39"/>
  <c r="M32" i="39"/>
  <c r="N32" i="39"/>
  <c r="O32" i="39"/>
  <c r="P32" i="39"/>
  <c r="Q32" i="39"/>
  <c r="R32" i="39"/>
  <c r="S32" i="39"/>
  <c r="T32" i="39"/>
  <c r="U32" i="39"/>
  <c r="V32" i="39"/>
  <c r="W32" i="39"/>
  <c r="X32" i="39"/>
  <c r="Y32" i="39"/>
  <c r="Z32" i="39"/>
  <c r="AA32" i="39"/>
  <c r="AB32" i="39"/>
  <c r="AC32" i="39"/>
  <c r="AD32" i="39"/>
  <c r="AE32" i="39"/>
  <c r="AF32" i="39"/>
  <c r="D33" i="39"/>
  <c r="E33" i="39"/>
  <c r="F33" i="39"/>
  <c r="G33" i="39"/>
  <c r="H33" i="39"/>
  <c r="I33" i="39"/>
  <c r="J33" i="39"/>
  <c r="K33" i="39"/>
  <c r="L33" i="39"/>
  <c r="M33" i="39"/>
  <c r="N33" i="39"/>
  <c r="O33" i="39"/>
  <c r="P33" i="39"/>
  <c r="Q33" i="39"/>
  <c r="R33" i="39"/>
  <c r="S33" i="39"/>
  <c r="T33" i="39"/>
  <c r="U33" i="39"/>
  <c r="V33" i="39"/>
  <c r="W33" i="39"/>
  <c r="X33" i="39"/>
  <c r="Y33" i="39"/>
  <c r="Z33" i="39"/>
  <c r="AA33" i="39"/>
  <c r="AB33" i="39"/>
  <c r="AC33" i="39"/>
  <c r="AD33" i="39"/>
  <c r="AE33" i="39"/>
  <c r="AF33" i="39"/>
  <c r="D34" i="39"/>
  <c r="E34" i="39"/>
  <c r="F34" i="39"/>
  <c r="G34" i="39"/>
  <c r="H34" i="39"/>
  <c r="I34" i="39"/>
  <c r="J34" i="39"/>
  <c r="K34" i="39"/>
  <c r="L34" i="39"/>
  <c r="M34" i="39"/>
  <c r="N34" i="39"/>
  <c r="O34" i="39"/>
  <c r="P34" i="39"/>
  <c r="Q34" i="39"/>
  <c r="R34" i="39"/>
  <c r="S34" i="39"/>
  <c r="T34" i="39"/>
  <c r="U34" i="39"/>
  <c r="V34" i="39"/>
  <c r="W34" i="39"/>
  <c r="X34" i="39"/>
  <c r="Y34" i="39"/>
  <c r="Z34" i="39"/>
  <c r="AA34" i="39"/>
  <c r="AB34" i="39"/>
  <c r="AC34" i="39"/>
  <c r="AD34" i="39"/>
  <c r="AE34" i="39"/>
  <c r="AF34" i="39"/>
  <c r="D35" i="39"/>
  <c r="E35" i="39"/>
  <c r="F35" i="39"/>
  <c r="G35" i="39"/>
  <c r="H35" i="39"/>
  <c r="I35" i="39"/>
  <c r="J35" i="39"/>
  <c r="K35" i="39"/>
  <c r="L35" i="39"/>
  <c r="M35" i="39"/>
  <c r="N35" i="39"/>
  <c r="O35" i="39"/>
  <c r="P35" i="39"/>
  <c r="Q35" i="39"/>
  <c r="R35" i="39"/>
  <c r="S35" i="39"/>
  <c r="T35" i="39"/>
  <c r="U35" i="39"/>
  <c r="V35" i="39"/>
  <c r="W35" i="39"/>
  <c r="X35" i="39"/>
  <c r="Y35" i="39"/>
  <c r="Z35" i="39"/>
  <c r="AA35" i="39"/>
  <c r="AB35" i="39"/>
  <c r="AC35" i="39"/>
  <c r="AD35" i="39"/>
  <c r="AE35" i="39"/>
  <c r="AF35" i="39"/>
  <c r="D36" i="39"/>
  <c r="E36" i="39"/>
  <c r="F36" i="39"/>
  <c r="G36" i="39"/>
  <c r="H36" i="39"/>
  <c r="I36" i="39"/>
  <c r="J36" i="39"/>
  <c r="K36" i="39"/>
  <c r="L36" i="39"/>
  <c r="M36" i="39"/>
  <c r="N36" i="39"/>
  <c r="O36" i="39"/>
  <c r="P36" i="39"/>
  <c r="Q36" i="39"/>
  <c r="R36" i="39"/>
  <c r="S36" i="39"/>
  <c r="T36" i="39"/>
  <c r="U36" i="39"/>
  <c r="V36" i="39"/>
  <c r="W36" i="39"/>
  <c r="X36" i="39"/>
  <c r="Y36" i="39"/>
  <c r="Z36" i="39"/>
  <c r="AA36" i="39"/>
  <c r="AB36" i="39"/>
  <c r="AC36" i="39"/>
  <c r="AD36" i="39"/>
  <c r="AE36" i="39"/>
  <c r="AF36" i="39"/>
  <c r="D38" i="39"/>
  <c r="E38" i="39"/>
  <c r="F38" i="39"/>
  <c r="G38" i="39"/>
  <c r="H38" i="39"/>
  <c r="I38" i="39"/>
  <c r="J38" i="39"/>
  <c r="K38" i="39"/>
  <c r="L38" i="39"/>
  <c r="M38" i="39"/>
  <c r="N38" i="39"/>
  <c r="O38" i="39"/>
  <c r="P38" i="39"/>
  <c r="Q38" i="39"/>
  <c r="R38" i="39"/>
  <c r="S38" i="39"/>
  <c r="T38" i="39"/>
  <c r="U38" i="39"/>
  <c r="V38" i="39"/>
  <c r="W38" i="39"/>
  <c r="X38" i="39"/>
  <c r="Y38" i="39"/>
  <c r="Z38" i="39"/>
  <c r="AA38" i="39"/>
  <c r="AB38" i="39"/>
  <c r="AC38" i="39"/>
  <c r="AD38" i="39"/>
  <c r="AE38" i="39"/>
  <c r="AF38" i="39"/>
  <c r="D42" i="39"/>
  <c r="E42" i="39"/>
  <c r="F42" i="39"/>
  <c r="G42" i="39"/>
  <c r="H42" i="39"/>
  <c r="I42" i="39"/>
  <c r="J42" i="39"/>
  <c r="K42" i="39"/>
  <c r="L42" i="39"/>
  <c r="M42" i="39"/>
  <c r="N42" i="39"/>
  <c r="O42" i="39"/>
  <c r="P42" i="39"/>
  <c r="Q42" i="39"/>
  <c r="R42" i="39"/>
  <c r="S42" i="39"/>
  <c r="T42" i="39"/>
  <c r="U42" i="39"/>
  <c r="V42" i="39"/>
  <c r="W42" i="39"/>
  <c r="X42" i="39"/>
  <c r="Y42" i="39"/>
  <c r="Z42" i="39"/>
  <c r="AA42" i="39"/>
  <c r="AB42" i="39"/>
  <c r="AC42" i="39"/>
  <c r="AD42" i="39"/>
  <c r="AE42" i="39"/>
  <c r="AF42" i="39"/>
  <c r="D43" i="39"/>
  <c r="E43" i="39"/>
  <c r="F43" i="39"/>
  <c r="G43" i="39"/>
  <c r="H43" i="39"/>
  <c r="I43" i="39"/>
  <c r="J43" i="39"/>
  <c r="K43" i="39"/>
  <c r="L43" i="39"/>
  <c r="M43" i="39"/>
  <c r="N43" i="39"/>
  <c r="O43" i="39"/>
  <c r="P43" i="39"/>
  <c r="Q43" i="39"/>
  <c r="R43" i="39"/>
  <c r="S43" i="39"/>
  <c r="T43" i="39"/>
  <c r="U43" i="39"/>
  <c r="V43" i="39"/>
  <c r="W43" i="39"/>
  <c r="X43" i="39"/>
  <c r="Y43" i="39"/>
  <c r="Z43" i="39"/>
  <c r="AA43" i="39"/>
  <c r="AB43" i="39"/>
  <c r="AC43" i="39"/>
  <c r="AD43" i="39"/>
  <c r="AE43" i="39"/>
  <c r="AF43" i="39"/>
  <c r="D44" i="39"/>
  <c r="E44" i="39"/>
  <c r="F44" i="39"/>
  <c r="G44" i="39"/>
  <c r="H44" i="39"/>
  <c r="I44" i="39"/>
  <c r="J44" i="39"/>
  <c r="K44" i="39"/>
  <c r="L44" i="39"/>
  <c r="M44" i="39"/>
  <c r="N44" i="39"/>
  <c r="O44" i="39"/>
  <c r="P44" i="39"/>
  <c r="Q44" i="39"/>
  <c r="R44" i="39"/>
  <c r="S44" i="39"/>
  <c r="T44" i="39"/>
  <c r="U44" i="39"/>
  <c r="V44" i="39"/>
  <c r="W44" i="39"/>
  <c r="X44" i="39"/>
  <c r="Y44" i="39"/>
  <c r="Z44" i="39"/>
  <c r="AA44" i="39"/>
  <c r="AB44" i="39"/>
  <c r="AC44" i="39"/>
  <c r="AD44" i="39"/>
  <c r="AE44" i="39"/>
  <c r="AF44" i="39"/>
  <c r="D47" i="39"/>
  <c r="E47" i="39"/>
  <c r="F47" i="39"/>
  <c r="G47" i="39"/>
  <c r="H47" i="39"/>
  <c r="I47" i="39"/>
  <c r="J47" i="39"/>
  <c r="K47" i="39"/>
  <c r="L47" i="39"/>
  <c r="M47" i="39"/>
  <c r="N47" i="39"/>
  <c r="O47" i="39"/>
  <c r="P47" i="39"/>
  <c r="Q47" i="39"/>
  <c r="R47" i="39"/>
  <c r="S47" i="39"/>
  <c r="T47" i="39"/>
  <c r="U47" i="39"/>
  <c r="V47" i="39"/>
  <c r="W47" i="39"/>
  <c r="X47" i="39"/>
  <c r="Y47" i="39"/>
  <c r="Z47" i="39"/>
  <c r="AA47" i="39"/>
  <c r="AB47" i="39"/>
  <c r="AC47" i="39"/>
  <c r="AD47" i="39"/>
  <c r="AE47" i="39"/>
  <c r="AF47" i="39"/>
  <c r="D48" i="39"/>
  <c r="E48" i="39"/>
  <c r="F48" i="39"/>
  <c r="G48" i="39"/>
  <c r="H48" i="39"/>
  <c r="I48" i="39"/>
  <c r="J48" i="39"/>
  <c r="K48" i="39"/>
  <c r="L48" i="39"/>
  <c r="M48" i="39"/>
  <c r="N48" i="39"/>
  <c r="O48" i="39"/>
  <c r="P48" i="39"/>
  <c r="Q48" i="39"/>
  <c r="R48" i="39"/>
  <c r="S48" i="39"/>
  <c r="T48" i="39"/>
  <c r="U48" i="39"/>
  <c r="V48" i="39"/>
  <c r="W48" i="39"/>
  <c r="X48" i="39"/>
  <c r="Y48" i="39"/>
  <c r="Z48" i="39"/>
  <c r="AA48" i="39"/>
  <c r="AB48" i="39"/>
  <c r="AC48" i="39"/>
  <c r="AD48" i="39"/>
  <c r="AE48" i="39"/>
  <c r="AF48" i="39"/>
  <c r="D49" i="39"/>
  <c r="E49" i="39"/>
  <c r="F49" i="39"/>
  <c r="G49" i="39"/>
  <c r="H49" i="39"/>
  <c r="I49" i="39"/>
  <c r="J49" i="39"/>
  <c r="K49" i="39"/>
  <c r="L49" i="39"/>
  <c r="M49" i="39"/>
  <c r="N49" i="39"/>
  <c r="O49" i="39"/>
  <c r="P49" i="39"/>
  <c r="Q49" i="39"/>
  <c r="R49" i="39"/>
  <c r="S49" i="39"/>
  <c r="T49" i="39"/>
  <c r="U49" i="39"/>
  <c r="V49" i="39"/>
  <c r="W49" i="39"/>
  <c r="X49" i="39"/>
  <c r="Y49" i="39"/>
  <c r="Z49" i="39"/>
  <c r="AA49" i="39"/>
  <c r="AB49" i="39"/>
  <c r="AC49" i="39"/>
  <c r="AD49" i="39"/>
  <c r="AE49" i="39"/>
  <c r="AF49" i="39"/>
  <c r="D50" i="39"/>
  <c r="E50" i="39"/>
  <c r="F50" i="39"/>
  <c r="G50" i="39"/>
  <c r="H50" i="39"/>
  <c r="I50" i="39"/>
  <c r="J50" i="39"/>
  <c r="K50" i="39"/>
  <c r="L50" i="39"/>
  <c r="M50" i="39"/>
  <c r="N50" i="39"/>
  <c r="O50" i="39"/>
  <c r="P50" i="39"/>
  <c r="Q50" i="39"/>
  <c r="R50" i="39"/>
  <c r="S50" i="39"/>
  <c r="T50" i="39"/>
  <c r="U50" i="39"/>
  <c r="V50" i="39"/>
  <c r="W50" i="39"/>
  <c r="X50" i="39"/>
  <c r="Y50" i="39"/>
  <c r="Z50" i="39"/>
  <c r="AA50" i="39"/>
  <c r="AB50" i="39"/>
  <c r="AC50" i="39"/>
  <c r="AD50" i="39"/>
  <c r="AE50" i="39"/>
  <c r="AF50" i="39"/>
  <c r="D51" i="39"/>
  <c r="E51" i="39"/>
  <c r="F51" i="39"/>
  <c r="G51" i="39"/>
  <c r="H51" i="39"/>
  <c r="I51" i="39"/>
  <c r="J51" i="39"/>
  <c r="K51" i="39"/>
  <c r="L51" i="39"/>
  <c r="M51" i="39"/>
  <c r="N51" i="39"/>
  <c r="O51" i="39"/>
  <c r="P51" i="39"/>
  <c r="Q51" i="39"/>
  <c r="R51" i="39"/>
  <c r="S51" i="39"/>
  <c r="T51" i="39"/>
  <c r="U51" i="39"/>
  <c r="V51" i="39"/>
  <c r="W51" i="39"/>
  <c r="X51" i="39"/>
  <c r="Y51" i="39"/>
  <c r="Z51" i="39"/>
  <c r="AA51" i="39"/>
  <c r="AB51" i="39"/>
  <c r="AC51" i="39"/>
  <c r="AD51" i="39"/>
  <c r="AE51" i="39"/>
  <c r="AF51" i="39"/>
  <c r="D52" i="39"/>
  <c r="E52" i="39"/>
  <c r="F52" i="39"/>
  <c r="G52" i="39"/>
  <c r="H52" i="39"/>
  <c r="I52" i="39"/>
  <c r="J52" i="39"/>
  <c r="K52" i="39"/>
  <c r="L52" i="39"/>
  <c r="M52" i="39"/>
  <c r="N52" i="39"/>
  <c r="O52" i="39"/>
  <c r="P52" i="39"/>
  <c r="Q52" i="39"/>
  <c r="R52" i="39"/>
  <c r="S52" i="39"/>
  <c r="T52" i="39"/>
  <c r="U52" i="39"/>
  <c r="V52" i="39"/>
  <c r="W52" i="39"/>
  <c r="X52" i="39"/>
  <c r="Y52" i="39"/>
  <c r="Z52" i="39"/>
  <c r="AA52" i="39"/>
  <c r="AB52" i="39"/>
  <c r="AC52" i="39"/>
  <c r="AD52" i="39"/>
  <c r="AE52" i="39"/>
  <c r="AF52" i="39"/>
  <c r="D53" i="39"/>
  <c r="E53" i="39"/>
  <c r="F53" i="39"/>
  <c r="G53" i="39"/>
  <c r="H53" i="39"/>
  <c r="I53" i="39"/>
  <c r="J53" i="39"/>
  <c r="K53" i="39"/>
  <c r="L53" i="39"/>
  <c r="M53" i="39"/>
  <c r="N53" i="39"/>
  <c r="O53" i="39"/>
  <c r="P53" i="39"/>
  <c r="Q53" i="39"/>
  <c r="R53" i="39"/>
  <c r="S53" i="39"/>
  <c r="T53" i="39"/>
  <c r="U53" i="39"/>
  <c r="V53" i="39"/>
  <c r="W53" i="39"/>
  <c r="X53" i="39"/>
  <c r="Y53" i="39"/>
  <c r="Z53" i="39"/>
  <c r="AA53" i="39"/>
  <c r="AB53" i="39"/>
  <c r="AC53" i="39"/>
  <c r="AD53" i="39"/>
  <c r="AE53" i="39"/>
  <c r="AF53" i="39"/>
  <c r="D54" i="39"/>
  <c r="E54" i="39"/>
  <c r="F54" i="39"/>
  <c r="G54" i="39"/>
  <c r="H54" i="39"/>
  <c r="I54" i="39"/>
  <c r="J54" i="39"/>
  <c r="K54" i="39"/>
  <c r="L54" i="39"/>
  <c r="M54" i="39"/>
  <c r="N54" i="39"/>
  <c r="O54" i="39"/>
  <c r="P54" i="39"/>
  <c r="Q54" i="39"/>
  <c r="R54" i="39"/>
  <c r="S54" i="39"/>
  <c r="T54" i="39"/>
  <c r="U54" i="39"/>
  <c r="V54" i="39"/>
  <c r="W54" i="39"/>
  <c r="X54" i="39"/>
  <c r="Y54" i="39"/>
  <c r="Z54" i="39"/>
  <c r="AA54" i="39"/>
  <c r="AB54" i="39"/>
  <c r="AC54" i="39"/>
  <c r="AD54" i="39"/>
  <c r="AE54" i="39"/>
  <c r="AF54" i="39"/>
  <c r="D55" i="39"/>
  <c r="E55" i="39"/>
  <c r="F55" i="39"/>
  <c r="G55" i="39"/>
  <c r="H55" i="39"/>
  <c r="I55" i="39"/>
  <c r="J55" i="39"/>
  <c r="K55" i="39"/>
  <c r="L55" i="39"/>
  <c r="M55" i="39"/>
  <c r="N55" i="39"/>
  <c r="O55" i="39"/>
  <c r="P55" i="39"/>
  <c r="Q55" i="39"/>
  <c r="R55" i="39"/>
  <c r="S55" i="39"/>
  <c r="T55" i="39"/>
  <c r="U55" i="39"/>
  <c r="V55" i="39"/>
  <c r="W55" i="39"/>
  <c r="X55" i="39"/>
  <c r="Y55" i="39"/>
  <c r="Z55" i="39"/>
  <c r="AA55" i="39"/>
  <c r="AB55" i="39"/>
  <c r="AC55" i="39"/>
  <c r="AD55" i="39"/>
  <c r="AE55" i="39"/>
  <c r="AF55" i="39"/>
  <c r="D56" i="39"/>
  <c r="E56" i="39"/>
  <c r="F56" i="39"/>
  <c r="G56" i="39"/>
  <c r="H56" i="39"/>
  <c r="I56" i="39"/>
  <c r="J56" i="39"/>
  <c r="K56" i="39"/>
  <c r="L56" i="39"/>
  <c r="M56" i="39"/>
  <c r="N56" i="39"/>
  <c r="O56" i="39"/>
  <c r="P56" i="39"/>
  <c r="Q56" i="39"/>
  <c r="R56" i="39"/>
  <c r="S56" i="39"/>
  <c r="T56" i="39"/>
  <c r="U56" i="39"/>
  <c r="V56" i="39"/>
  <c r="W56" i="39"/>
  <c r="X56" i="39"/>
  <c r="Y56" i="39"/>
  <c r="Z56" i="39"/>
  <c r="AA56" i="39"/>
  <c r="AB56" i="39"/>
  <c r="AC56" i="39"/>
  <c r="AD56" i="39"/>
  <c r="AE56" i="39"/>
  <c r="AF56" i="39"/>
  <c r="D57" i="39"/>
  <c r="E57" i="39"/>
  <c r="F57" i="39"/>
  <c r="G57" i="39"/>
  <c r="H57" i="39"/>
  <c r="I57" i="39"/>
  <c r="J57" i="39"/>
  <c r="K57" i="39"/>
  <c r="L57" i="39"/>
  <c r="M57" i="39"/>
  <c r="N57" i="39"/>
  <c r="O57" i="39"/>
  <c r="P57" i="39"/>
  <c r="Q57" i="39"/>
  <c r="R57" i="39"/>
  <c r="S57" i="39"/>
  <c r="T57" i="39"/>
  <c r="U57" i="39"/>
  <c r="V57" i="39"/>
  <c r="W57" i="39"/>
  <c r="X57" i="39"/>
  <c r="Y57" i="39"/>
  <c r="Z57" i="39"/>
  <c r="AA57" i="39"/>
  <c r="AB57" i="39"/>
  <c r="AC57" i="39"/>
  <c r="AD57" i="39"/>
  <c r="AE57" i="39"/>
  <c r="AF57" i="39"/>
  <c r="D58" i="39"/>
  <c r="E58" i="39"/>
  <c r="F58" i="39"/>
  <c r="G58" i="39"/>
  <c r="H58" i="39"/>
  <c r="I58" i="39"/>
  <c r="J58" i="39"/>
  <c r="K58" i="39"/>
  <c r="L58" i="39"/>
  <c r="M58" i="39"/>
  <c r="N58" i="39"/>
  <c r="O58" i="39"/>
  <c r="P58" i="39"/>
  <c r="Q58" i="39"/>
  <c r="R58" i="39"/>
  <c r="S58" i="39"/>
  <c r="T58" i="39"/>
  <c r="U58" i="39"/>
  <c r="V58" i="39"/>
  <c r="W58" i="39"/>
  <c r="X58" i="39"/>
  <c r="Y58" i="39"/>
  <c r="Z58" i="39"/>
  <c r="AA58" i="39"/>
  <c r="AB58" i="39"/>
  <c r="AC58" i="39"/>
  <c r="AD58" i="39"/>
  <c r="AE58" i="39"/>
  <c r="AF58" i="39"/>
  <c r="D59" i="39"/>
  <c r="E59" i="39"/>
  <c r="F59" i="39"/>
  <c r="G59" i="39"/>
  <c r="H59" i="39"/>
  <c r="I59" i="39"/>
  <c r="J59" i="39"/>
  <c r="K59" i="39"/>
  <c r="L59" i="39"/>
  <c r="M59" i="39"/>
  <c r="N59" i="39"/>
  <c r="O59" i="39"/>
  <c r="P59" i="39"/>
  <c r="Q59" i="39"/>
  <c r="R59" i="39"/>
  <c r="S59" i="39"/>
  <c r="T59" i="39"/>
  <c r="U59" i="39"/>
  <c r="V59" i="39"/>
  <c r="W59" i="39"/>
  <c r="X59" i="39"/>
  <c r="Y59" i="39"/>
  <c r="Z59" i="39"/>
  <c r="AA59" i="39"/>
  <c r="AB59" i="39"/>
  <c r="AC59" i="39"/>
  <c r="AD59" i="39"/>
  <c r="AE59" i="39"/>
  <c r="AF59" i="39"/>
  <c r="D60" i="39"/>
  <c r="E60" i="39"/>
  <c r="F60" i="39"/>
  <c r="G60" i="39"/>
  <c r="H60" i="39"/>
  <c r="I60" i="39"/>
  <c r="J60" i="39"/>
  <c r="K60" i="39"/>
  <c r="L60" i="39"/>
  <c r="M60" i="39"/>
  <c r="N60" i="39"/>
  <c r="O60" i="39"/>
  <c r="P60" i="39"/>
  <c r="Q60" i="39"/>
  <c r="R60" i="39"/>
  <c r="S60" i="39"/>
  <c r="T60" i="39"/>
  <c r="U60" i="39"/>
  <c r="V60" i="39"/>
  <c r="W60" i="39"/>
  <c r="X60" i="39"/>
  <c r="Y60" i="39"/>
  <c r="Z60" i="39"/>
  <c r="AA60" i="39"/>
  <c r="AB60" i="39"/>
  <c r="AC60" i="39"/>
  <c r="AD60" i="39"/>
  <c r="AE60" i="39"/>
  <c r="AF60" i="39"/>
  <c r="D61" i="39"/>
  <c r="E61" i="39"/>
  <c r="F61" i="39"/>
  <c r="G61" i="39"/>
  <c r="H61" i="39"/>
  <c r="I61" i="39"/>
  <c r="J61" i="39"/>
  <c r="K61" i="39"/>
  <c r="L61" i="39"/>
  <c r="M61" i="39"/>
  <c r="N61" i="39"/>
  <c r="O61" i="39"/>
  <c r="P61" i="39"/>
  <c r="Q61" i="39"/>
  <c r="R61" i="39"/>
  <c r="S61" i="39"/>
  <c r="T61" i="39"/>
  <c r="U61" i="39"/>
  <c r="V61" i="39"/>
  <c r="W61" i="39"/>
  <c r="X61" i="39"/>
  <c r="Y61" i="39"/>
  <c r="Z61" i="39"/>
  <c r="AA61" i="39"/>
  <c r="AB61" i="39"/>
  <c r="AC61" i="39"/>
  <c r="AD61" i="39"/>
  <c r="AE61" i="39"/>
  <c r="AF61" i="39"/>
  <c r="D63" i="39"/>
  <c r="E63" i="39"/>
  <c r="F63" i="39"/>
  <c r="G63" i="39"/>
  <c r="H63" i="39"/>
  <c r="I63" i="39"/>
  <c r="J63" i="39"/>
  <c r="K63" i="39"/>
  <c r="L63" i="39"/>
  <c r="M63" i="39"/>
  <c r="N63" i="39"/>
  <c r="O63" i="39"/>
  <c r="P63" i="39"/>
  <c r="Q63" i="39"/>
  <c r="R63" i="39"/>
  <c r="S63" i="39"/>
  <c r="T63" i="39"/>
  <c r="U63" i="39"/>
  <c r="V63" i="39"/>
  <c r="W63" i="39"/>
  <c r="X63" i="39"/>
  <c r="Y63" i="39"/>
  <c r="Z63" i="39"/>
  <c r="AA63" i="39"/>
  <c r="AB63" i="39"/>
  <c r="AC63" i="39"/>
  <c r="AD63" i="39"/>
  <c r="AE63" i="39"/>
  <c r="AF63" i="39"/>
  <c r="D65" i="39"/>
  <c r="E65" i="39"/>
  <c r="F65" i="39"/>
  <c r="G65" i="39"/>
  <c r="H65" i="39"/>
  <c r="I65" i="39"/>
  <c r="J65" i="39"/>
  <c r="K65" i="39"/>
  <c r="L65" i="39"/>
  <c r="M65" i="39"/>
  <c r="N65" i="39"/>
  <c r="O65" i="39"/>
  <c r="P65" i="39"/>
  <c r="Q65" i="39"/>
  <c r="R65" i="39"/>
  <c r="S65" i="39"/>
  <c r="T65" i="39"/>
  <c r="U65" i="39"/>
  <c r="V65" i="39"/>
  <c r="W65" i="39"/>
  <c r="X65" i="39"/>
  <c r="Y65" i="39"/>
  <c r="Z65" i="39"/>
  <c r="AA65" i="39"/>
  <c r="AB65" i="39"/>
  <c r="AC65" i="39"/>
  <c r="AD65" i="39"/>
  <c r="AE65" i="39"/>
  <c r="AF65" i="39"/>
  <c r="D68" i="39"/>
  <c r="E68" i="39"/>
  <c r="F68" i="39"/>
  <c r="G68" i="39"/>
  <c r="H68" i="39"/>
  <c r="I68" i="39"/>
  <c r="J68" i="39"/>
  <c r="K68" i="39"/>
  <c r="L68" i="39"/>
  <c r="M68" i="39"/>
  <c r="N68" i="39"/>
  <c r="O68" i="39"/>
  <c r="P68" i="39"/>
  <c r="Q68" i="39"/>
  <c r="R68" i="39"/>
  <c r="S68" i="39"/>
  <c r="T68" i="39"/>
  <c r="U68" i="39"/>
  <c r="V68" i="39"/>
  <c r="W68" i="39"/>
  <c r="X68" i="39"/>
  <c r="Y68" i="39"/>
  <c r="Z68" i="39"/>
  <c r="AA68" i="39"/>
  <c r="AB68" i="39"/>
  <c r="AC68" i="39"/>
  <c r="AD68" i="39"/>
  <c r="AE68" i="39"/>
  <c r="AF68" i="39"/>
  <c r="D69" i="39"/>
  <c r="E69" i="39"/>
  <c r="F69" i="39"/>
  <c r="G69" i="39"/>
  <c r="H69" i="39"/>
  <c r="I69" i="39"/>
  <c r="J69" i="39"/>
  <c r="K69" i="39"/>
  <c r="L69" i="39"/>
  <c r="M69" i="39"/>
  <c r="N69" i="39"/>
  <c r="O69" i="39"/>
  <c r="P69" i="39"/>
  <c r="Q69" i="39"/>
  <c r="R69" i="39"/>
  <c r="S69" i="39"/>
  <c r="T69" i="39"/>
  <c r="U69" i="39"/>
  <c r="V69" i="39"/>
  <c r="W69" i="39"/>
  <c r="X69" i="39"/>
  <c r="Y69" i="39"/>
  <c r="Z69" i="39"/>
  <c r="AA69" i="39"/>
  <c r="AB69" i="39"/>
  <c r="AC69" i="39"/>
  <c r="AD69" i="39"/>
  <c r="AE69" i="39"/>
  <c r="AF69" i="39"/>
  <c r="D70" i="39"/>
  <c r="E70" i="39"/>
  <c r="F70" i="39"/>
  <c r="G70" i="39"/>
  <c r="H70" i="39"/>
  <c r="I70" i="39"/>
  <c r="J70" i="39"/>
  <c r="K70" i="39"/>
  <c r="L70" i="39"/>
  <c r="M70" i="39"/>
  <c r="N70" i="39"/>
  <c r="O70" i="39"/>
  <c r="P70" i="39"/>
  <c r="Q70" i="39"/>
  <c r="R70" i="39"/>
  <c r="S70" i="39"/>
  <c r="T70" i="39"/>
  <c r="U70" i="39"/>
  <c r="V70" i="39"/>
  <c r="W70" i="39"/>
  <c r="X70" i="39"/>
  <c r="Y70" i="39"/>
  <c r="Z70" i="39"/>
  <c r="AA70" i="39"/>
  <c r="AB70" i="39"/>
  <c r="AC70" i="39"/>
  <c r="AD70" i="39"/>
  <c r="AE70" i="39"/>
  <c r="AF70" i="39"/>
  <c r="D71" i="39"/>
  <c r="E71" i="39"/>
  <c r="F71" i="39"/>
  <c r="G71" i="39"/>
  <c r="H71" i="39"/>
  <c r="I71" i="39"/>
  <c r="J71" i="39"/>
  <c r="K71" i="39"/>
  <c r="L71" i="39"/>
  <c r="M71" i="39"/>
  <c r="N71" i="39"/>
  <c r="O71" i="39"/>
  <c r="P71" i="39"/>
  <c r="Q71" i="39"/>
  <c r="R71" i="39"/>
  <c r="S71" i="39"/>
  <c r="T71" i="39"/>
  <c r="U71" i="39"/>
  <c r="V71" i="39"/>
  <c r="W71" i="39"/>
  <c r="X71" i="39"/>
  <c r="Y71" i="39"/>
  <c r="Z71" i="39"/>
  <c r="AA71" i="39"/>
  <c r="AB71" i="39"/>
  <c r="AC71" i="39"/>
  <c r="AD71" i="39"/>
  <c r="AE71" i="39"/>
  <c r="AF71" i="39"/>
  <c r="D72" i="39"/>
  <c r="E72" i="39"/>
  <c r="F72" i="39"/>
  <c r="G72" i="39"/>
  <c r="H72" i="39"/>
  <c r="I72" i="39"/>
  <c r="J72" i="39"/>
  <c r="K72" i="39"/>
  <c r="L72" i="39"/>
  <c r="M72" i="39"/>
  <c r="N72" i="39"/>
  <c r="O72" i="39"/>
  <c r="P72" i="39"/>
  <c r="Q72" i="39"/>
  <c r="R72" i="39"/>
  <c r="S72" i="39"/>
  <c r="T72" i="39"/>
  <c r="U72" i="39"/>
  <c r="V72" i="39"/>
  <c r="W72" i="39"/>
  <c r="X72" i="39"/>
  <c r="Y72" i="39"/>
  <c r="Z72" i="39"/>
  <c r="AA72" i="39"/>
  <c r="AB72" i="39"/>
  <c r="AC72" i="39"/>
  <c r="AD72" i="39"/>
  <c r="AE72" i="39"/>
  <c r="AF72" i="39"/>
  <c r="D73" i="39"/>
  <c r="E73" i="39"/>
  <c r="F73" i="39"/>
  <c r="G73" i="39"/>
  <c r="H73" i="39"/>
  <c r="I73" i="39"/>
  <c r="J73" i="39"/>
  <c r="K73" i="39"/>
  <c r="L73" i="39"/>
  <c r="M73" i="39"/>
  <c r="N73" i="39"/>
  <c r="O73" i="39"/>
  <c r="P73" i="39"/>
  <c r="Q73" i="39"/>
  <c r="R73" i="39"/>
  <c r="S73" i="39"/>
  <c r="T73" i="39"/>
  <c r="U73" i="39"/>
  <c r="V73" i="39"/>
  <c r="W73" i="39"/>
  <c r="X73" i="39"/>
  <c r="Y73" i="39"/>
  <c r="Z73" i="39"/>
  <c r="AA73" i="39"/>
  <c r="AB73" i="39"/>
  <c r="AC73" i="39"/>
  <c r="AD73" i="39"/>
  <c r="AE73" i="39"/>
  <c r="AF73" i="39"/>
  <c r="D74" i="39"/>
  <c r="E74" i="39"/>
  <c r="F74" i="39"/>
  <c r="G74" i="39"/>
  <c r="H74" i="39"/>
  <c r="I74" i="39"/>
  <c r="J74" i="39"/>
  <c r="K74" i="39"/>
  <c r="L74" i="39"/>
  <c r="M74" i="39"/>
  <c r="N74" i="39"/>
  <c r="O74" i="39"/>
  <c r="P74" i="39"/>
  <c r="Q74" i="39"/>
  <c r="R74" i="39"/>
  <c r="S74" i="39"/>
  <c r="T74" i="39"/>
  <c r="U74" i="39"/>
  <c r="V74" i="39"/>
  <c r="W74" i="39"/>
  <c r="X74" i="39"/>
  <c r="Y74" i="39"/>
  <c r="Z74" i="39"/>
  <c r="AA74" i="39"/>
  <c r="AB74" i="39"/>
  <c r="AC74" i="39"/>
  <c r="AD74" i="39"/>
  <c r="AE74" i="39"/>
  <c r="AF74" i="39"/>
  <c r="D75" i="39"/>
  <c r="E75" i="39"/>
  <c r="F75" i="39"/>
  <c r="G75" i="39"/>
  <c r="H75" i="39"/>
  <c r="I75" i="39"/>
  <c r="J75" i="39"/>
  <c r="K75" i="39"/>
  <c r="L75" i="39"/>
  <c r="M75" i="39"/>
  <c r="N75" i="39"/>
  <c r="O75" i="39"/>
  <c r="P75" i="39"/>
  <c r="Q75" i="39"/>
  <c r="R75" i="39"/>
  <c r="S75" i="39"/>
  <c r="T75" i="39"/>
  <c r="U75" i="39"/>
  <c r="V75" i="39"/>
  <c r="W75" i="39"/>
  <c r="X75" i="39"/>
  <c r="Y75" i="39"/>
  <c r="Z75" i="39"/>
  <c r="AA75" i="39"/>
  <c r="AB75" i="39"/>
  <c r="AC75" i="39"/>
  <c r="AD75" i="39"/>
  <c r="AE75" i="39"/>
  <c r="AF75" i="39"/>
  <c r="D76" i="39"/>
  <c r="E76" i="39"/>
  <c r="F76" i="39"/>
  <c r="G76" i="39"/>
  <c r="H76" i="39"/>
  <c r="I76" i="39"/>
  <c r="J76" i="39"/>
  <c r="K76" i="39"/>
  <c r="L76" i="39"/>
  <c r="M76" i="39"/>
  <c r="N76" i="39"/>
  <c r="O76" i="39"/>
  <c r="P76" i="39"/>
  <c r="Q76" i="39"/>
  <c r="R76" i="39"/>
  <c r="S76" i="39"/>
  <c r="T76" i="39"/>
  <c r="U76" i="39"/>
  <c r="V76" i="39"/>
  <c r="W76" i="39"/>
  <c r="X76" i="39"/>
  <c r="Y76" i="39"/>
  <c r="Z76" i="39"/>
  <c r="AA76" i="39"/>
  <c r="AB76" i="39"/>
  <c r="AC76" i="39"/>
  <c r="AD76" i="39"/>
  <c r="AE76" i="39"/>
  <c r="AF76" i="39"/>
  <c r="D77" i="39"/>
  <c r="E77" i="39"/>
  <c r="F77" i="39"/>
  <c r="G77" i="39"/>
  <c r="H77" i="39"/>
  <c r="I77" i="39"/>
  <c r="J77" i="39"/>
  <c r="K77" i="39"/>
  <c r="L77" i="39"/>
  <c r="M77" i="39"/>
  <c r="N77" i="39"/>
  <c r="O77" i="39"/>
  <c r="P77" i="39"/>
  <c r="Q77" i="39"/>
  <c r="R77" i="39"/>
  <c r="S77" i="39"/>
  <c r="T77" i="39"/>
  <c r="U77" i="39"/>
  <c r="V77" i="39"/>
  <c r="W77" i="39"/>
  <c r="X77" i="39"/>
  <c r="Y77" i="39"/>
  <c r="Z77" i="39"/>
  <c r="AA77" i="39"/>
  <c r="AB77" i="39"/>
  <c r="AC77" i="39"/>
  <c r="AD77" i="39"/>
  <c r="AE77" i="39"/>
  <c r="AF77" i="39"/>
  <c r="C77" i="39"/>
  <c r="C76" i="39"/>
  <c r="C75" i="39"/>
  <c r="C74" i="39"/>
  <c r="C73" i="39"/>
  <c r="C72" i="39"/>
  <c r="C71" i="39"/>
  <c r="C70" i="39"/>
  <c r="C69" i="39"/>
  <c r="C68" i="39"/>
  <c r="C65" i="39"/>
  <c r="C63" i="39"/>
  <c r="C61" i="39"/>
  <c r="C60" i="39"/>
  <c r="C59" i="39"/>
  <c r="C58" i="39"/>
  <c r="C57" i="39"/>
  <c r="C56" i="39"/>
  <c r="C55" i="39"/>
  <c r="C54" i="39"/>
  <c r="C53" i="39"/>
  <c r="C52" i="39"/>
  <c r="C51" i="39"/>
  <c r="C50" i="39"/>
  <c r="C49" i="39"/>
  <c r="C48" i="39"/>
  <c r="C47" i="39"/>
  <c r="C44" i="39"/>
  <c r="C43" i="39"/>
  <c r="C42" i="39"/>
  <c r="C38" i="39"/>
  <c r="C36" i="39"/>
  <c r="C35" i="39"/>
  <c r="C34" i="39"/>
  <c r="C33" i="39"/>
  <c r="C32" i="39"/>
  <c r="C31" i="39"/>
  <c r="C30" i="39"/>
  <c r="C29" i="39"/>
  <c r="C28" i="39"/>
  <c r="C27" i="39"/>
  <c r="C26" i="39"/>
  <c r="C25" i="39"/>
  <c r="C24" i="39"/>
  <c r="C23" i="39"/>
  <c r="C22" i="39"/>
  <c r="C19" i="39"/>
  <c r="C18" i="39"/>
  <c r="C17" i="39"/>
  <c r="D17" i="38"/>
  <c r="E17" i="38"/>
  <c r="F17" i="38"/>
  <c r="G17" i="38"/>
  <c r="H17" i="38"/>
  <c r="I17" i="38"/>
  <c r="J17" i="38"/>
  <c r="K17" i="38"/>
  <c r="L17" i="38"/>
  <c r="M17" i="38"/>
  <c r="N17" i="38"/>
  <c r="O17" i="38"/>
  <c r="P17" i="38"/>
  <c r="Q17" i="38"/>
  <c r="R17" i="38"/>
  <c r="S17" i="38"/>
  <c r="T17" i="38"/>
  <c r="U17" i="38"/>
  <c r="V17" i="38"/>
  <c r="W17" i="38"/>
  <c r="X17" i="38"/>
  <c r="Y17" i="38"/>
  <c r="Z17" i="38"/>
  <c r="AA17" i="38"/>
  <c r="AB17" i="38"/>
  <c r="AC17" i="38"/>
  <c r="AD17" i="38"/>
  <c r="AE17" i="38"/>
  <c r="AF17" i="38"/>
  <c r="D18" i="38"/>
  <c r="E18" i="38"/>
  <c r="F18" i="38"/>
  <c r="G18" i="38"/>
  <c r="H18" i="38"/>
  <c r="I18" i="38"/>
  <c r="J18" i="38"/>
  <c r="K18" i="38"/>
  <c r="L18" i="38"/>
  <c r="M18" i="38"/>
  <c r="N18" i="38"/>
  <c r="O18" i="38"/>
  <c r="P18" i="38"/>
  <c r="Q18" i="38"/>
  <c r="R18" i="38"/>
  <c r="S18" i="38"/>
  <c r="T18" i="38"/>
  <c r="U18" i="38"/>
  <c r="V18" i="38"/>
  <c r="W18" i="38"/>
  <c r="X18" i="38"/>
  <c r="Y18" i="38"/>
  <c r="Z18" i="38"/>
  <c r="AA18" i="38"/>
  <c r="AB18" i="38"/>
  <c r="AC18" i="38"/>
  <c r="AD18" i="38"/>
  <c r="AE18" i="38"/>
  <c r="AF18" i="38"/>
  <c r="D19" i="38"/>
  <c r="E19" i="38"/>
  <c r="F19" i="38"/>
  <c r="G19" i="38"/>
  <c r="H19" i="38"/>
  <c r="I19" i="38"/>
  <c r="J19" i="38"/>
  <c r="K19" i="38"/>
  <c r="L19" i="38"/>
  <c r="M19" i="38"/>
  <c r="N19" i="38"/>
  <c r="O19" i="38"/>
  <c r="P19" i="38"/>
  <c r="Q19" i="38"/>
  <c r="R19" i="38"/>
  <c r="S19" i="38"/>
  <c r="T19" i="38"/>
  <c r="U19" i="38"/>
  <c r="V19" i="38"/>
  <c r="W19" i="38"/>
  <c r="X19" i="38"/>
  <c r="Y19" i="38"/>
  <c r="Z19" i="38"/>
  <c r="AA19" i="38"/>
  <c r="AB19" i="38"/>
  <c r="AC19" i="38"/>
  <c r="AD19" i="38"/>
  <c r="AE19" i="38"/>
  <c r="AF19" i="38"/>
  <c r="D20" i="38"/>
  <c r="E20" i="38"/>
  <c r="F20" i="38"/>
  <c r="G20" i="38"/>
  <c r="H20" i="38"/>
  <c r="I20" i="38"/>
  <c r="J20" i="38"/>
  <c r="K20" i="38"/>
  <c r="L20" i="38"/>
  <c r="M20" i="38"/>
  <c r="N20" i="38"/>
  <c r="O20" i="38"/>
  <c r="P20" i="38"/>
  <c r="Q20" i="38"/>
  <c r="R20" i="38"/>
  <c r="S20" i="38"/>
  <c r="T20" i="38"/>
  <c r="U20" i="38"/>
  <c r="V20" i="38"/>
  <c r="W20" i="38"/>
  <c r="X20" i="38"/>
  <c r="Y20" i="38"/>
  <c r="Z20" i="38"/>
  <c r="AA20" i="38"/>
  <c r="AB20" i="38"/>
  <c r="AC20" i="38"/>
  <c r="AD20" i="38"/>
  <c r="AE20" i="38"/>
  <c r="AF20" i="38"/>
  <c r="D21" i="38"/>
  <c r="E21" i="38"/>
  <c r="F21" i="38"/>
  <c r="G21" i="38"/>
  <c r="H21" i="38"/>
  <c r="I21" i="38"/>
  <c r="J21" i="38"/>
  <c r="K21" i="38"/>
  <c r="L21" i="38"/>
  <c r="M21" i="38"/>
  <c r="N21" i="38"/>
  <c r="O21" i="38"/>
  <c r="P21" i="38"/>
  <c r="Q21" i="38"/>
  <c r="R21" i="38"/>
  <c r="S21" i="38"/>
  <c r="T21" i="38"/>
  <c r="U21" i="38"/>
  <c r="V21" i="38"/>
  <c r="W21" i="38"/>
  <c r="X21" i="38"/>
  <c r="Y21" i="38"/>
  <c r="Z21" i="38"/>
  <c r="AA21" i="38"/>
  <c r="AB21" i="38"/>
  <c r="AC21" i="38"/>
  <c r="AD21" i="38"/>
  <c r="AE21" i="38"/>
  <c r="AF21" i="38"/>
  <c r="D22" i="38"/>
  <c r="E22" i="38"/>
  <c r="F22" i="38"/>
  <c r="G22" i="38"/>
  <c r="H22" i="38"/>
  <c r="I22" i="38"/>
  <c r="J22" i="38"/>
  <c r="K22" i="38"/>
  <c r="L22" i="38"/>
  <c r="M22" i="38"/>
  <c r="N22" i="38"/>
  <c r="O22" i="38"/>
  <c r="P22" i="38"/>
  <c r="Q22" i="38"/>
  <c r="R22" i="38"/>
  <c r="S22" i="38"/>
  <c r="T22" i="38"/>
  <c r="U22" i="38"/>
  <c r="V22" i="38"/>
  <c r="W22" i="38"/>
  <c r="X22" i="38"/>
  <c r="Y22" i="38"/>
  <c r="Z22" i="38"/>
  <c r="AA22" i="38"/>
  <c r="AB22" i="38"/>
  <c r="AC22" i="38"/>
  <c r="AD22" i="38"/>
  <c r="AE22" i="38"/>
  <c r="AF22" i="38"/>
  <c r="D23" i="38"/>
  <c r="E23" i="38"/>
  <c r="F23" i="38"/>
  <c r="G23" i="38"/>
  <c r="H23" i="38"/>
  <c r="I23" i="38"/>
  <c r="J23" i="38"/>
  <c r="K23" i="38"/>
  <c r="L23" i="38"/>
  <c r="M23" i="38"/>
  <c r="N23" i="38"/>
  <c r="O23" i="38"/>
  <c r="P23" i="38"/>
  <c r="Q23" i="38"/>
  <c r="R23" i="38"/>
  <c r="S23" i="38"/>
  <c r="T23" i="38"/>
  <c r="U23" i="38"/>
  <c r="V23" i="38"/>
  <c r="W23" i="38"/>
  <c r="X23" i="38"/>
  <c r="Y23" i="38"/>
  <c r="Z23" i="38"/>
  <c r="AA23" i="38"/>
  <c r="AB23" i="38"/>
  <c r="AC23" i="38"/>
  <c r="AD23" i="38"/>
  <c r="AE23" i="38"/>
  <c r="AF23" i="38"/>
  <c r="D24" i="38"/>
  <c r="E24" i="38"/>
  <c r="F24" i="38"/>
  <c r="G24" i="38"/>
  <c r="H24" i="38"/>
  <c r="I24" i="38"/>
  <c r="J24" i="38"/>
  <c r="K24" i="38"/>
  <c r="L24" i="38"/>
  <c r="M24" i="38"/>
  <c r="N24" i="38"/>
  <c r="O24" i="38"/>
  <c r="P24" i="38"/>
  <c r="Q24" i="38"/>
  <c r="R24" i="38"/>
  <c r="S24" i="38"/>
  <c r="T24" i="38"/>
  <c r="U24" i="38"/>
  <c r="V24" i="38"/>
  <c r="W24" i="38"/>
  <c r="X24" i="38"/>
  <c r="Y24" i="38"/>
  <c r="Z24" i="38"/>
  <c r="AA24" i="38"/>
  <c r="AB24" i="38"/>
  <c r="AC24" i="38"/>
  <c r="AD24" i="38"/>
  <c r="AE24" i="38"/>
  <c r="AF24" i="38"/>
  <c r="D25" i="38"/>
  <c r="E25" i="38"/>
  <c r="F25" i="38"/>
  <c r="G25" i="38"/>
  <c r="H25" i="38"/>
  <c r="I25" i="38"/>
  <c r="J25" i="38"/>
  <c r="K25" i="38"/>
  <c r="L25" i="38"/>
  <c r="M25" i="38"/>
  <c r="N25" i="38"/>
  <c r="O25" i="38"/>
  <c r="P25" i="38"/>
  <c r="Q25" i="38"/>
  <c r="R25" i="38"/>
  <c r="S25" i="38"/>
  <c r="T25" i="38"/>
  <c r="U25" i="38"/>
  <c r="V25" i="38"/>
  <c r="W25" i="38"/>
  <c r="X25" i="38"/>
  <c r="Y25" i="38"/>
  <c r="Z25" i="38"/>
  <c r="AA25" i="38"/>
  <c r="AB25" i="38"/>
  <c r="AC25" i="38"/>
  <c r="AD25" i="38"/>
  <c r="AE25" i="38"/>
  <c r="AF25" i="38"/>
  <c r="D26" i="38"/>
  <c r="E26" i="38"/>
  <c r="F26" i="38"/>
  <c r="G26" i="38"/>
  <c r="H26" i="38"/>
  <c r="I26" i="38"/>
  <c r="J26" i="38"/>
  <c r="K26" i="38"/>
  <c r="L26" i="38"/>
  <c r="M26" i="38"/>
  <c r="N26" i="38"/>
  <c r="O26" i="38"/>
  <c r="P26" i="38"/>
  <c r="Q26" i="38"/>
  <c r="R26" i="38"/>
  <c r="S26" i="38"/>
  <c r="T26" i="38"/>
  <c r="U26" i="38"/>
  <c r="V26" i="38"/>
  <c r="W26" i="38"/>
  <c r="X26" i="38"/>
  <c r="Y26" i="38"/>
  <c r="Z26" i="38"/>
  <c r="AA26" i="38"/>
  <c r="AB26" i="38"/>
  <c r="AC26" i="38"/>
  <c r="AD26" i="38"/>
  <c r="AE26" i="38"/>
  <c r="AF26" i="38"/>
  <c r="D27" i="38"/>
  <c r="E27" i="38"/>
  <c r="F27" i="38"/>
  <c r="G27" i="38"/>
  <c r="H27" i="38"/>
  <c r="I27" i="38"/>
  <c r="J27" i="38"/>
  <c r="K27" i="38"/>
  <c r="L27" i="38"/>
  <c r="M27" i="38"/>
  <c r="N27" i="38"/>
  <c r="O27" i="38"/>
  <c r="P27" i="38"/>
  <c r="Q27" i="38"/>
  <c r="R27" i="38"/>
  <c r="S27" i="38"/>
  <c r="T27" i="38"/>
  <c r="U27" i="38"/>
  <c r="V27" i="38"/>
  <c r="W27" i="38"/>
  <c r="X27" i="38"/>
  <c r="Y27" i="38"/>
  <c r="Z27" i="38"/>
  <c r="AA27" i="38"/>
  <c r="AB27" i="38"/>
  <c r="AC27" i="38"/>
  <c r="AD27" i="38"/>
  <c r="AE27" i="38"/>
  <c r="AF27" i="38"/>
  <c r="D28" i="38"/>
  <c r="E28" i="38"/>
  <c r="F28" i="38"/>
  <c r="G28" i="38"/>
  <c r="H28" i="38"/>
  <c r="I28" i="38"/>
  <c r="J28" i="38"/>
  <c r="K28" i="38"/>
  <c r="L28" i="38"/>
  <c r="M28" i="38"/>
  <c r="N28" i="38"/>
  <c r="O28" i="38"/>
  <c r="P28" i="38"/>
  <c r="Q28" i="38"/>
  <c r="R28" i="38"/>
  <c r="S28" i="38"/>
  <c r="T28" i="38"/>
  <c r="U28" i="38"/>
  <c r="V28" i="38"/>
  <c r="W28" i="38"/>
  <c r="X28" i="38"/>
  <c r="Y28" i="38"/>
  <c r="Z28" i="38"/>
  <c r="AA28" i="38"/>
  <c r="AB28" i="38"/>
  <c r="AC28" i="38"/>
  <c r="AD28" i="38"/>
  <c r="AE28" i="38"/>
  <c r="AF28" i="38"/>
  <c r="D29" i="38"/>
  <c r="E29" i="38"/>
  <c r="F29" i="38"/>
  <c r="G29" i="38"/>
  <c r="H29" i="38"/>
  <c r="I29" i="38"/>
  <c r="J29" i="38"/>
  <c r="K29" i="38"/>
  <c r="L29" i="38"/>
  <c r="M29" i="38"/>
  <c r="N29" i="38"/>
  <c r="O29" i="38"/>
  <c r="P29" i="38"/>
  <c r="Q29" i="38"/>
  <c r="R29" i="38"/>
  <c r="S29" i="38"/>
  <c r="T29" i="38"/>
  <c r="U29" i="38"/>
  <c r="V29" i="38"/>
  <c r="W29" i="38"/>
  <c r="X29" i="38"/>
  <c r="Y29" i="38"/>
  <c r="Z29" i="38"/>
  <c r="AA29" i="38"/>
  <c r="AB29" i="38"/>
  <c r="AC29" i="38"/>
  <c r="AD29" i="38"/>
  <c r="AE29" i="38"/>
  <c r="AF29" i="38"/>
  <c r="D32" i="38"/>
  <c r="E32" i="38"/>
  <c r="F32" i="38"/>
  <c r="G32" i="38"/>
  <c r="H32" i="38"/>
  <c r="I32" i="38"/>
  <c r="J32" i="38"/>
  <c r="K32" i="38"/>
  <c r="L32" i="38"/>
  <c r="M32" i="38"/>
  <c r="N32" i="38"/>
  <c r="O32" i="38"/>
  <c r="P32" i="38"/>
  <c r="Q32" i="38"/>
  <c r="R32" i="38"/>
  <c r="S32" i="38"/>
  <c r="T32" i="38"/>
  <c r="U32" i="38"/>
  <c r="V32" i="38"/>
  <c r="W32" i="38"/>
  <c r="X32" i="38"/>
  <c r="Y32" i="38"/>
  <c r="Z32" i="38"/>
  <c r="AA32" i="38"/>
  <c r="AB32" i="38"/>
  <c r="AC32" i="38"/>
  <c r="AD32" i="38"/>
  <c r="AE32" i="38"/>
  <c r="AF32" i="38"/>
  <c r="D33" i="38"/>
  <c r="E33" i="38"/>
  <c r="F33" i="38"/>
  <c r="G33" i="38"/>
  <c r="H33" i="38"/>
  <c r="I33" i="38"/>
  <c r="J33" i="38"/>
  <c r="K33" i="38"/>
  <c r="L33" i="38"/>
  <c r="M33" i="38"/>
  <c r="N33" i="38"/>
  <c r="O33" i="38"/>
  <c r="P33" i="38"/>
  <c r="Q33" i="38"/>
  <c r="R33" i="38"/>
  <c r="S33" i="38"/>
  <c r="T33" i="38"/>
  <c r="U33" i="38"/>
  <c r="V33" i="38"/>
  <c r="W33" i="38"/>
  <c r="X33" i="38"/>
  <c r="Y33" i="38"/>
  <c r="Z33" i="38"/>
  <c r="AA33" i="38"/>
  <c r="AB33" i="38"/>
  <c r="AC33" i="38"/>
  <c r="AD33" i="38"/>
  <c r="AE33" i="38"/>
  <c r="AF33" i="38"/>
  <c r="D34" i="38"/>
  <c r="E34" i="38"/>
  <c r="F34" i="38"/>
  <c r="G34" i="38"/>
  <c r="H34" i="38"/>
  <c r="I34" i="38"/>
  <c r="J34" i="38"/>
  <c r="K34" i="38"/>
  <c r="L34" i="38"/>
  <c r="M34" i="38"/>
  <c r="N34" i="38"/>
  <c r="O34" i="38"/>
  <c r="P34" i="38"/>
  <c r="Q34" i="38"/>
  <c r="R34" i="38"/>
  <c r="S34" i="38"/>
  <c r="T34" i="38"/>
  <c r="U34" i="38"/>
  <c r="V34" i="38"/>
  <c r="W34" i="38"/>
  <c r="X34" i="38"/>
  <c r="Y34" i="38"/>
  <c r="Z34" i="38"/>
  <c r="AA34" i="38"/>
  <c r="AB34" i="38"/>
  <c r="AC34" i="38"/>
  <c r="AD34" i="38"/>
  <c r="AE34" i="38"/>
  <c r="AF34" i="38"/>
  <c r="D35" i="38"/>
  <c r="E35" i="38"/>
  <c r="F35" i="38"/>
  <c r="G35" i="38"/>
  <c r="H35" i="38"/>
  <c r="I35" i="38"/>
  <c r="J35" i="38"/>
  <c r="K35" i="38"/>
  <c r="L35" i="38"/>
  <c r="M35" i="38"/>
  <c r="N35" i="38"/>
  <c r="O35" i="38"/>
  <c r="P35" i="38"/>
  <c r="Q35" i="38"/>
  <c r="R35" i="38"/>
  <c r="S35" i="38"/>
  <c r="T35" i="38"/>
  <c r="U35" i="38"/>
  <c r="V35" i="38"/>
  <c r="W35" i="38"/>
  <c r="X35" i="38"/>
  <c r="Y35" i="38"/>
  <c r="Z35" i="38"/>
  <c r="AA35" i="38"/>
  <c r="AB35" i="38"/>
  <c r="AC35" i="38"/>
  <c r="AD35" i="38"/>
  <c r="AE35" i="38"/>
  <c r="AF35" i="38"/>
  <c r="D36" i="38"/>
  <c r="E36" i="38"/>
  <c r="F36" i="38"/>
  <c r="G36" i="38"/>
  <c r="H36" i="38"/>
  <c r="I36" i="38"/>
  <c r="J36" i="38"/>
  <c r="K36" i="38"/>
  <c r="L36" i="38"/>
  <c r="M36" i="38"/>
  <c r="N36" i="38"/>
  <c r="O36" i="38"/>
  <c r="P36" i="38"/>
  <c r="Q36" i="38"/>
  <c r="R36" i="38"/>
  <c r="S36" i="38"/>
  <c r="T36" i="38"/>
  <c r="U36" i="38"/>
  <c r="V36" i="38"/>
  <c r="W36" i="38"/>
  <c r="X36" i="38"/>
  <c r="Y36" i="38"/>
  <c r="Z36" i="38"/>
  <c r="AA36" i="38"/>
  <c r="AB36" i="38"/>
  <c r="AC36" i="38"/>
  <c r="AD36" i="38"/>
  <c r="AE36" i="38"/>
  <c r="AF36" i="38"/>
  <c r="D37" i="38"/>
  <c r="E37" i="38"/>
  <c r="F37" i="38"/>
  <c r="G37" i="38"/>
  <c r="H37" i="38"/>
  <c r="I37" i="38"/>
  <c r="J37" i="38"/>
  <c r="K37" i="38"/>
  <c r="L37" i="38"/>
  <c r="M37" i="38"/>
  <c r="N37" i="38"/>
  <c r="O37" i="38"/>
  <c r="P37" i="38"/>
  <c r="Q37" i="38"/>
  <c r="R37" i="38"/>
  <c r="S37" i="38"/>
  <c r="T37" i="38"/>
  <c r="U37" i="38"/>
  <c r="V37" i="38"/>
  <c r="W37" i="38"/>
  <c r="X37" i="38"/>
  <c r="Y37" i="38"/>
  <c r="Z37" i="38"/>
  <c r="AA37" i="38"/>
  <c r="AB37" i="38"/>
  <c r="AC37" i="38"/>
  <c r="AD37" i="38"/>
  <c r="AE37" i="38"/>
  <c r="AF37" i="38"/>
  <c r="D38" i="38"/>
  <c r="E38" i="38"/>
  <c r="F38" i="38"/>
  <c r="G38" i="38"/>
  <c r="H38" i="38"/>
  <c r="I38" i="38"/>
  <c r="J38" i="38"/>
  <c r="K38" i="38"/>
  <c r="L38" i="38"/>
  <c r="M38" i="38"/>
  <c r="N38" i="38"/>
  <c r="O38" i="38"/>
  <c r="P38" i="38"/>
  <c r="Q38" i="38"/>
  <c r="R38" i="38"/>
  <c r="S38" i="38"/>
  <c r="T38" i="38"/>
  <c r="U38" i="38"/>
  <c r="V38" i="38"/>
  <c r="W38" i="38"/>
  <c r="X38" i="38"/>
  <c r="Y38" i="38"/>
  <c r="Z38" i="38"/>
  <c r="AA38" i="38"/>
  <c r="AB38" i="38"/>
  <c r="AC38" i="38"/>
  <c r="AD38" i="38"/>
  <c r="AE38" i="38"/>
  <c r="AF38" i="38"/>
  <c r="D39" i="38"/>
  <c r="E39" i="38"/>
  <c r="F39" i="38"/>
  <c r="G39" i="38"/>
  <c r="H39" i="38"/>
  <c r="I39" i="38"/>
  <c r="J39" i="38"/>
  <c r="K39" i="38"/>
  <c r="L39" i="38"/>
  <c r="M39" i="38"/>
  <c r="N39" i="38"/>
  <c r="O39" i="38"/>
  <c r="P39" i="38"/>
  <c r="Q39" i="38"/>
  <c r="R39" i="38"/>
  <c r="S39" i="38"/>
  <c r="T39" i="38"/>
  <c r="U39" i="38"/>
  <c r="V39" i="38"/>
  <c r="W39" i="38"/>
  <c r="X39" i="38"/>
  <c r="Y39" i="38"/>
  <c r="Z39" i="38"/>
  <c r="AA39" i="38"/>
  <c r="AB39" i="38"/>
  <c r="AC39" i="38"/>
  <c r="AD39" i="38"/>
  <c r="AE39" i="38"/>
  <c r="AF39" i="38"/>
  <c r="D40" i="38"/>
  <c r="E40" i="38"/>
  <c r="F40" i="38"/>
  <c r="G40" i="38"/>
  <c r="H40" i="38"/>
  <c r="I40" i="38"/>
  <c r="J40" i="38"/>
  <c r="K40" i="38"/>
  <c r="L40" i="38"/>
  <c r="M40" i="38"/>
  <c r="N40" i="38"/>
  <c r="O40" i="38"/>
  <c r="P40" i="38"/>
  <c r="Q40" i="38"/>
  <c r="R40" i="38"/>
  <c r="S40" i="38"/>
  <c r="T40" i="38"/>
  <c r="U40" i="38"/>
  <c r="V40" i="38"/>
  <c r="W40" i="38"/>
  <c r="X40" i="38"/>
  <c r="Y40" i="38"/>
  <c r="Z40" i="38"/>
  <c r="AA40" i="38"/>
  <c r="AB40" i="38"/>
  <c r="AC40" i="38"/>
  <c r="AD40" i="38"/>
  <c r="AE40" i="38"/>
  <c r="AF40" i="38"/>
  <c r="D41" i="38"/>
  <c r="E41" i="38"/>
  <c r="F41" i="38"/>
  <c r="G41" i="38"/>
  <c r="H41" i="38"/>
  <c r="I41" i="38"/>
  <c r="J41" i="38"/>
  <c r="K41" i="38"/>
  <c r="L41" i="38"/>
  <c r="M41" i="38"/>
  <c r="N41" i="38"/>
  <c r="O41" i="38"/>
  <c r="P41" i="38"/>
  <c r="Q41" i="38"/>
  <c r="R41" i="38"/>
  <c r="S41" i="38"/>
  <c r="T41" i="38"/>
  <c r="U41" i="38"/>
  <c r="V41" i="38"/>
  <c r="W41" i="38"/>
  <c r="X41" i="38"/>
  <c r="Y41" i="38"/>
  <c r="Z41" i="38"/>
  <c r="AA41" i="38"/>
  <c r="AB41" i="38"/>
  <c r="AC41" i="38"/>
  <c r="AD41" i="38"/>
  <c r="AE41" i="38"/>
  <c r="AF41" i="38"/>
  <c r="D42" i="38"/>
  <c r="E42" i="38"/>
  <c r="F42" i="38"/>
  <c r="G42" i="38"/>
  <c r="H42" i="38"/>
  <c r="I42" i="38"/>
  <c r="J42" i="38"/>
  <c r="K42" i="38"/>
  <c r="L42" i="38"/>
  <c r="M42" i="38"/>
  <c r="N42" i="38"/>
  <c r="O42" i="38"/>
  <c r="P42" i="38"/>
  <c r="Q42" i="38"/>
  <c r="R42" i="38"/>
  <c r="S42" i="38"/>
  <c r="T42" i="38"/>
  <c r="U42" i="38"/>
  <c r="V42" i="38"/>
  <c r="W42" i="38"/>
  <c r="X42" i="38"/>
  <c r="Y42" i="38"/>
  <c r="Z42" i="38"/>
  <c r="AA42" i="38"/>
  <c r="AB42" i="38"/>
  <c r="AC42" i="38"/>
  <c r="AD42" i="38"/>
  <c r="AE42" i="38"/>
  <c r="AF42" i="38"/>
  <c r="D43" i="38"/>
  <c r="E43" i="38"/>
  <c r="F43" i="38"/>
  <c r="G43" i="38"/>
  <c r="H43" i="38"/>
  <c r="I43" i="38"/>
  <c r="J43" i="38"/>
  <c r="K43" i="38"/>
  <c r="L43" i="38"/>
  <c r="M43" i="38"/>
  <c r="N43" i="38"/>
  <c r="O43" i="38"/>
  <c r="P43" i="38"/>
  <c r="Q43" i="38"/>
  <c r="R43" i="38"/>
  <c r="S43" i="38"/>
  <c r="T43" i="38"/>
  <c r="U43" i="38"/>
  <c r="V43" i="38"/>
  <c r="W43" i="38"/>
  <c r="X43" i="38"/>
  <c r="Y43" i="38"/>
  <c r="Z43" i="38"/>
  <c r="AA43" i="38"/>
  <c r="AB43" i="38"/>
  <c r="AC43" i="38"/>
  <c r="AD43" i="38"/>
  <c r="AE43" i="38"/>
  <c r="AF43" i="38"/>
  <c r="D44" i="38"/>
  <c r="E44" i="38"/>
  <c r="F44" i="38"/>
  <c r="G44" i="38"/>
  <c r="H44" i="38"/>
  <c r="I44" i="38"/>
  <c r="J44" i="38"/>
  <c r="K44" i="38"/>
  <c r="L44" i="38"/>
  <c r="M44" i="38"/>
  <c r="N44" i="38"/>
  <c r="O44" i="38"/>
  <c r="P44" i="38"/>
  <c r="Q44" i="38"/>
  <c r="R44" i="38"/>
  <c r="S44" i="38"/>
  <c r="T44" i="38"/>
  <c r="U44" i="38"/>
  <c r="V44" i="38"/>
  <c r="W44" i="38"/>
  <c r="X44" i="38"/>
  <c r="Y44" i="38"/>
  <c r="Z44" i="38"/>
  <c r="AA44" i="38"/>
  <c r="AB44" i="38"/>
  <c r="AC44" i="38"/>
  <c r="AD44" i="38"/>
  <c r="AE44" i="38"/>
  <c r="AF44" i="38"/>
  <c r="D45" i="38"/>
  <c r="E45" i="38"/>
  <c r="F45" i="38"/>
  <c r="G45" i="38"/>
  <c r="H45" i="38"/>
  <c r="I45" i="38"/>
  <c r="J45" i="38"/>
  <c r="K45" i="38"/>
  <c r="L45" i="38"/>
  <c r="M45" i="38"/>
  <c r="N45" i="38"/>
  <c r="O45" i="38"/>
  <c r="P45" i="38"/>
  <c r="Q45" i="38"/>
  <c r="R45" i="38"/>
  <c r="S45" i="38"/>
  <c r="T45" i="38"/>
  <c r="U45" i="38"/>
  <c r="V45" i="38"/>
  <c r="W45" i="38"/>
  <c r="X45" i="38"/>
  <c r="Y45" i="38"/>
  <c r="Z45" i="38"/>
  <c r="AA45" i="38"/>
  <c r="AB45" i="38"/>
  <c r="AC45" i="38"/>
  <c r="AD45" i="38"/>
  <c r="AE45" i="38"/>
  <c r="AF45" i="38"/>
  <c r="D46" i="38"/>
  <c r="E46" i="38"/>
  <c r="F46" i="38"/>
  <c r="G46" i="38"/>
  <c r="H46" i="38"/>
  <c r="I46" i="38"/>
  <c r="J46" i="38"/>
  <c r="K46" i="38"/>
  <c r="L46" i="38"/>
  <c r="M46" i="38"/>
  <c r="N46" i="38"/>
  <c r="O46" i="38"/>
  <c r="P46" i="38"/>
  <c r="Q46" i="38"/>
  <c r="R46" i="38"/>
  <c r="S46" i="38"/>
  <c r="T46" i="38"/>
  <c r="U46" i="38"/>
  <c r="V46" i="38"/>
  <c r="W46" i="38"/>
  <c r="X46" i="38"/>
  <c r="Y46" i="38"/>
  <c r="Z46" i="38"/>
  <c r="AA46" i="38"/>
  <c r="AB46" i="38"/>
  <c r="AC46" i="38"/>
  <c r="AD46" i="38"/>
  <c r="AE46" i="38"/>
  <c r="AF46" i="38"/>
  <c r="D47" i="38"/>
  <c r="E47" i="38"/>
  <c r="F47" i="38"/>
  <c r="G47" i="38"/>
  <c r="H47" i="38"/>
  <c r="I47" i="38"/>
  <c r="J47" i="38"/>
  <c r="K47" i="38"/>
  <c r="L47" i="38"/>
  <c r="M47" i="38"/>
  <c r="N47" i="38"/>
  <c r="O47" i="38"/>
  <c r="P47" i="38"/>
  <c r="Q47" i="38"/>
  <c r="R47" i="38"/>
  <c r="S47" i="38"/>
  <c r="T47" i="38"/>
  <c r="U47" i="38"/>
  <c r="V47" i="38"/>
  <c r="W47" i="38"/>
  <c r="X47" i="38"/>
  <c r="Y47" i="38"/>
  <c r="Z47" i="38"/>
  <c r="AA47" i="38"/>
  <c r="AB47" i="38"/>
  <c r="AC47" i="38"/>
  <c r="AD47" i="38"/>
  <c r="AE47" i="38"/>
  <c r="AF47" i="38"/>
  <c r="D48" i="38"/>
  <c r="E48" i="38"/>
  <c r="F48" i="38"/>
  <c r="G48" i="38"/>
  <c r="H48" i="38"/>
  <c r="I48" i="38"/>
  <c r="J48" i="38"/>
  <c r="K48" i="38"/>
  <c r="L48" i="38"/>
  <c r="M48" i="38"/>
  <c r="N48" i="38"/>
  <c r="O48" i="38"/>
  <c r="P48" i="38"/>
  <c r="Q48" i="38"/>
  <c r="R48" i="38"/>
  <c r="S48" i="38"/>
  <c r="T48" i="38"/>
  <c r="U48" i="38"/>
  <c r="V48" i="38"/>
  <c r="W48" i="38"/>
  <c r="X48" i="38"/>
  <c r="Y48" i="38"/>
  <c r="Z48" i="38"/>
  <c r="AA48" i="38"/>
  <c r="AB48" i="38"/>
  <c r="AC48" i="38"/>
  <c r="AD48" i="38"/>
  <c r="AE48" i="38"/>
  <c r="AF48" i="38"/>
  <c r="D49" i="38"/>
  <c r="E49" i="38"/>
  <c r="F49" i="38"/>
  <c r="G49" i="38"/>
  <c r="H49" i="38"/>
  <c r="I49" i="38"/>
  <c r="J49" i="38"/>
  <c r="K49" i="38"/>
  <c r="L49" i="38"/>
  <c r="M49" i="38"/>
  <c r="N49" i="38"/>
  <c r="O49" i="38"/>
  <c r="P49" i="38"/>
  <c r="Q49" i="38"/>
  <c r="R49" i="38"/>
  <c r="S49" i="38"/>
  <c r="T49" i="38"/>
  <c r="U49" i="38"/>
  <c r="V49" i="38"/>
  <c r="W49" i="38"/>
  <c r="X49" i="38"/>
  <c r="Y49" i="38"/>
  <c r="Z49" i="38"/>
  <c r="AA49" i="38"/>
  <c r="AB49" i="38"/>
  <c r="AC49" i="38"/>
  <c r="AD49" i="38"/>
  <c r="AE49" i="38"/>
  <c r="AF49" i="38"/>
  <c r="D51" i="38"/>
  <c r="E51" i="38"/>
  <c r="F51" i="38"/>
  <c r="G51" i="38"/>
  <c r="H51" i="38"/>
  <c r="I51" i="38"/>
  <c r="J51" i="38"/>
  <c r="K51" i="38"/>
  <c r="L51" i="38"/>
  <c r="M51" i="38"/>
  <c r="N51" i="38"/>
  <c r="O51" i="38"/>
  <c r="P51" i="38"/>
  <c r="Q51" i="38"/>
  <c r="R51" i="38"/>
  <c r="S51" i="38"/>
  <c r="T51" i="38"/>
  <c r="U51" i="38"/>
  <c r="V51" i="38"/>
  <c r="W51" i="38"/>
  <c r="X51" i="38"/>
  <c r="Y51" i="38"/>
  <c r="Z51" i="38"/>
  <c r="AA51" i="38"/>
  <c r="AB51" i="38"/>
  <c r="AC51" i="38"/>
  <c r="AD51" i="38"/>
  <c r="AE51" i="38"/>
  <c r="AF51" i="38"/>
  <c r="D52" i="38"/>
  <c r="E52" i="38"/>
  <c r="F52" i="38"/>
  <c r="G52" i="38"/>
  <c r="H52" i="38"/>
  <c r="I52" i="38"/>
  <c r="J52" i="38"/>
  <c r="K52" i="38"/>
  <c r="L52" i="38"/>
  <c r="M52" i="38"/>
  <c r="N52" i="38"/>
  <c r="O52" i="38"/>
  <c r="P52" i="38"/>
  <c r="Q52" i="38"/>
  <c r="R52" i="38"/>
  <c r="S52" i="38"/>
  <c r="T52" i="38"/>
  <c r="U52" i="38"/>
  <c r="V52" i="38"/>
  <c r="W52" i="38"/>
  <c r="X52" i="38"/>
  <c r="Y52" i="38"/>
  <c r="Z52" i="38"/>
  <c r="AA52" i="38"/>
  <c r="AB52" i="38"/>
  <c r="AC52" i="38"/>
  <c r="AD52" i="38"/>
  <c r="AE52" i="38"/>
  <c r="AF52" i="38"/>
  <c r="D53" i="38"/>
  <c r="E53" i="38"/>
  <c r="F53" i="38"/>
  <c r="G53" i="38"/>
  <c r="H53" i="38"/>
  <c r="I53" i="38"/>
  <c r="J53" i="38"/>
  <c r="K53" i="38"/>
  <c r="L53" i="38"/>
  <c r="M53" i="38"/>
  <c r="N53" i="38"/>
  <c r="O53" i="38"/>
  <c r="P53" i="38"/>
  <c r="Q53" i="38"/>
  <c r="R53" i="38"/>
  <c r="S53" i="38"/>
  <c r="T53" i="38"/>
  <c r="U53" i="38"/>
  <c r="V53" i="38"/>
  <c r="W53" i="38"/>
  <c r="X53" i="38"/>
  <c r="Y53" i="38"/>
  <c r="Z53" i="38"/>
  <c r="AA53" i="38"/>
  <c r="AB53" i="38"/>
  <c r="AC53" i="38"/>
  <c r="AD53" i="38"/>
  <c r="AE53" i="38"/>
  <c r="AF53" i="38"/>
  <c r="D54" i="38"/>
  <c r="E54" i="38"/>
  <c r="F54" i="38"/>
  <c r="G54" i="38"/>
  <c r="H54" i="38"/>
  <c r="I54" i="38"/>
  <c r="J54" i="38"/>
  <c r="K54" i="38"/>
  <c r="L54" i="38"/>
  <c r="M54" i="38"/>
  <c r="N54" i="38"/>
  <c r="O54" i="38"/>
  <c r="P54" i="38"/>
  <c r="Q54" i="38"/>
  <c r="R54" i="38"/>
  <c r="S54" i="38"/>
  <c r="T54" i="38"/>
  <c r="U54" i="38"/>
  <c r="V54" i="38"/>
  <c r="W54" i="38"/>
  <c r="X54" i="38"/>
  <c r="Y54" i="38"/>
  <c r="Z54" i="38"/>
  <c r="AA54" i="38"/>
  <c r="AB54" i="38"/>
  <c r="AC54" i="38"/>
  <c r="AD54" i="38"/>
  <c r="AE54" i="38"/>
  <c r="AF54" i="38"/>
  <c r="D56" i="38"/>
  <c r="E56" i="38"/>
  <c r="F56" i="38"/>
  <c r="G56" i="38"/>
  <c r="H56" i="38"/>
  <c r="I56" i="38"/>
  <c r="J56" i="38"/>
  <c r="K56" i="38"/>
  <c r="L56" i="38"/>
  <c r="M56" i="38"/>
  <c r="N56" i="38"/>
  <c r="O56" i="38"/>
  <c r="P56" i="38"/>
  <c r="Q56" i="38"/>
  <c r="R56" i="38"/>
  <c r="S56" i="38"/>
  <c r="T56" i="38"/>
  <c r="U56" i="38"/>
  <c r="V56" i="38"/>
  <c r="W56" i="38"/>
  <c r="X56" i="38"/>
  <c r="Y56" i="38"/>
  <c r="Z56" i="38"/>
  <c r="AA56" i="38"/>
  <c r="AB56" i="38"/>
  <c r="AC56" i="38"/>
  <c r="AD56" i="38"/>
  <c r="AE56" i="38"/>
  <c r="AF56" i="38"/>
  <c r="D59" i="38"/>
  <c r="E59" i="38"/>
  <c r="F59" i="38"/>
  <c r="G59" i="38"/>
  <c r="H59" i="38"/>
  <c r="I59" i="38"/>
  <c r="J59" i="38"/>
  <c r="K59" i="38"/>
  <c r="L59" i="38"/>
  <c r="M59" i="38"/>
  <c r="N59" i="38"/>
  <c r="O59" i="38"/>
  <c r="P59" i="38"/>
  <c r="Q59" i="38"/>
  <c r="R59" i="38"/>
  <c r="S59" i="38"/>
  <c r="T59" i="38"/>
  <c r="U59" i="38"/>
  <c r="V59" i="38"/>
  <c r="W59" i="38"/>
  <c r="X59" i="38"/>
  <c r="Y59" i="38"/>
  <c r="Z59" i="38"/>
  <c r="AA59" i="38"/>
  <c r="AB59" i="38"/>
  <c r="AC59" i="38"/>
  <c r="AD59" i="38"/>
  <c r="AE59" i="38"/>
  <c r="AF59" i="38"/>
  <c r="D60" i="38"/>
  <c r="E60" i="38"/>
  <c r="F60" i="38"/>
  <c r="G60" i="38"/>
  <c r="H60" i="38"/>
  <c r="I60" i="38"/>
  <c r="J60" i="38"/>
  <c r="K60" i="38"/>
  <c r="L60" i="38"/>
  <c r="M60" i="38"/>
  <c r="N60" i="38"/>
  <c r="O60" i="38"/>
  <c r="P60" i="38"/>
  <c r="Q60" i="38"/>
  <c r="R60" i="38"/>
  <c r="S60" i="38"/>
  <c r="T60" i="38"/>
  <c r="U60" i="38"/>
  <c r="V60" i="38"/>
  <c r="W60" i="38"/>
  <c r="X60" i="38"/>
  <c r="Y60" i="38"/>
  <c r="Z60" i="38"/>
  <c r="AA60" i="38"/>
  <c r="AB60" i="38"/>
  <c r="AC60" i="38"/>
  <c r="AD60" i="38"/>
  <c r="AE60" i="38"/>
  <c r="AF60" i="38"/>
  <c r="D61" i="38"/>
  <c r="E61" i="38"/>
  <c r="F61" i="38"/>
  <c r="G61" i="38"/>
  <c r="H61" i="38"/>
  <c r="I61" i="38"/>
  <c r="J61" i="38"/>
  <c r="K61" i="38"/>
  <c r="L61" i="38"/>
  <c r="M61" i="38"/>
  <c r="N61" i="38"/>
  <c r="O61" i="38"/>
  <c r="P61" i="38"/>
  <c r="Q61" i="38"/>
  <c r="R61" i="38"/>
  <c r="S61" i="38"/>
  <c r="T61" i="38"/>
  <c r="U61" i="38"/>
  <c r="V61" i="38"/>
  <c r="W61" i="38"/>
  <c r="X61" i="38"/>
  <c r="Y61" i="38"/>
  <c r="Z61" i="38"/>
  <c r="AA61" i="38"/>
  <c r="AB61" i="38"/>
  <c r="AC61" i="38"/>
  <c r="AD61" i="38"/>
  <c r="AE61" i="38"/>
  <c r="AF61" i="38"/>
  <c r="D62" i="38"/>
  <c r="E62" i="38"/>
  <c r="F62" i="38"/>
  <c r="G62" i="38"/>
  <c r="H62" i="38"/>
  <c r="I62" i="38"/>
  <c r="J62" i="38"/>
  <c r="K62" i="38"/>
  <c r="L62" i="38"/>
  <c r="M62" i="38"/>
  <c r="N62" i="38"/>
  <c r="O62" i="38"/>
  <c r="P62" i="38"/>
  <c r="Q62" i="38"/>
  <c r="R62" i="38"/>
  <c r="S62" i="38"/>
  <c r="T62" i="38"/>
  <c r="U62" i="38"/>
  <c r="V62" i="38"/>
  <c r="W62" i="38"/>
  <c r="X62" i="38"/>
  <c r="Y62" i="38"/>
  <c r="Z62" i="38"/>
  <c r="AA62" i="38"/>
  <c r="AB62" i="38"/>
  <c r="AC62" i="38"/>
  <c r="AD62" i="38"/>
  <c r="AE62" i="38"/>
  <c r="AF62" i="38"/>
  <c r="D63" i="38"/>
  <c r="E63" i="38"/>
  <c r="F63" i="38"/>
  <c r="G63" i="38"/>
  <c r="H63" i="38"/>
  <c r="I63" i="38"/>
  <c r="J63" i="38"/>
  <c r="K63" i="38"/>
  <c r="L63" i="38"/>
  <c r="M63" i="38"/>
  <c r="N63" i="38"/>
  <c r="O63" i="38"/>
  <c r="P63" i="38"/>
  <c r="Q63" i="38"/>
  <c r="R63" i="38"/>
  <c r="S63" i="38"/>
  <c r="T63" i="38"/>
  <c r="U63" i="38"/>
  <c r="V63" i="38"/>
  <c r="W63" i="38"/>
  <c r="X63" i="38"/>
  <c r="Y63" i="38"/>
  <c r="Z63" i="38"/>
  <c r="AA63" i="38"/>
  <c r="AB63" i="38"/>
  <c r="AC63" i="38"/>
  <c r="AD63" i="38"/>
  <c r="AE63" i="38"/>
  <c r="AF63" i="38"/>
  <c r="D64" i="38"/>
  <c r="E64" i="38"/>
  <c r="F64" i="38"/>
  <c r="G64" i="38"/>
  <c r="H64" i="38"/>
  <c r="I64" i="38"/>
  <c r="J64" i="38"/>
  <c r="K64" i="38"/>
  <c r="L64" i="38"/>
  <c r="M64" i="38"/>
  <c r="N64" i="38"/>
  <c r="O64" i="38"/>
  <c r="P64" i="38"/>
  <c r="Q64" i="38"/>
  <c r="R64" i="38"/>
  <c r="S64" i="38"/>
  <c r="T64" i="38"/>
  <c r="U64" i="38"/>
  <c r="V64" i="38"/>
  <c r="W64" i="38"/>
  <c r="X64" i="38"/>
  <c r="Y64" i="38"/>
  <c r="Z64" i="38"/>
  <c r="AA64" i="38"/>
  <c r="AB64" i="38"/>
  <c r="AC64" i="38"/>
  <c r="AD64" i="38"/>
  <c r="AE64" i="38"/>
  <c r="AF64" i="38"/>
  <c r="D65" i="38"/>
  <c r="E65" i="38"/>
  <c r="F65" i="38"/>
  <c r="G65" i="38"/>
  <c r="H65" i="38"/>
  <c r="I65" i="38"/>
  <c r="J65" i="38"/>
  <c r="K65" i="38"/>
  <c r="L65" i="38"/>
  <c r="M65" i="38"/>
  <c r="N65" i="38"/>
  <c r="O65" i="38"/>
  <c r="P65" i="38"/>
  <c r="Q65" i="38"/>
  <c r="R65" i="38"/>
  <c r="S65" i="38"/>
  <c r="T65" i="38"/>
  <c r="U65" i="38"/>
  <c r="V65" i="38"/>
  <c r="W65" i="38"/>
  <c r="X65" i="38"/>
  <c r="Y65" i="38"/>
  <c r="Z65" i="38"/>
  <c r="AA65" i="38"/>
  <c r="AB65" i="38"/>
  <c r="AC65" i="38"/>
  <c r="AD65" i="38"/>
  <c r="AE65" i="38"/>
  <c r="AF65" i="38"/>
  <c r="D66" i="38"/>
  <c r="E66" i="38"/>
  <c r="F66" i="38"/>
  <c r="G66" i="38"/>
  <c r="H66" i="38"/>
  <c r="I66" i="38"/>
  <c r="J66" i="38"/>
  <c r="K66" i="38"/>
  <c r="L66" i="38"/>
  <c r="M66" i="38"/>
  <c r="N66" i="38"/>
  <c r="O66" i="38"/>
  <c r="P66" i="38"/>
  <c r="Q66" i="38"/>
  <c r="R66" i="38"/>
  <c r="S66" i="38"/>
  <c r="T66" i="38"/>
  <c r="U66" i="38"/>
  <c r="V66" i="38"/>
  <c r="W66" i="38"/>
  <c r="X66" i="38"/>
  <c r="Y66" i="38"/>
  <c r="Z66" i="38"/>
  <c r="AA66" i="38"/>
  <c r="AB66" i="38"/>
  <c r="AC66" i="38"/>
  <c r="AD66" i="38"/>
  <c r="AE66" i="38"/>
  <c r="AF66" i="38"/>
  <c r="D67" i="38"/>
  <c r="E67" i="38"/>
  <c r="F67" i="38"/>
  <c r="G67" i="38"/>
  <c r="H67" i="38"/>
  <c r="I67" i="38"/>
  <c r="J67" i="38"/>
  <c r="K67" i="38"/>
  <c r="L67" i="38"/>
  <c r="M67" i="38"/>
  <c r="N67" i="38"/>
  <c r="O67" i="38"/>
  <c r="P67" i="38"/>
  <c r="Q67" i="38"/>
  <c r="R67" i="38"/>
  <c r="S67" i="38"/>
  <c r="T67" i="38"/>
  <c r="U67" i="38"/>
  <c r="V67" i="38"/>
  <c r="W67" i="38"/>
  <c r="X67" i="38"/>
  <c r="Y67" i="38"/>
  <c r="Z67" i="38"/>
  <c r="AA67" i="38"/>
  <c r="AB67" i="38"/>
  <c r="AC67" i="38"/>
  <c r="AD67" i="38"/>
  <c r="AE67" i="38"/>
  <c r="AF67" i="38"/>
  <c r="D68" i="38"/>
  <c r="E68" i="38"/>
  <c r="F68" i="38"/>
  <c r="G68" i="38"/>
  <c r="H68" i="38"/>
  <c r="I68" i="38"/>
  <c r="J68" i="38"/>
  <c r="K68" i="38"/>
  <c r="L68" i="38"/>
  <c r="M68" i="38"/>
  <c r="N68" i="38"/>
  <c r="O68" i="38"/>
  <c r="P68" i="38"/>
  <c r="Q68" i="38"/>
  <c r="R68" i="38"/>
  <c r="S68" i="38"/>
  <c r="T68" i="38"/>
  <c r="U68" i="38"/>
  <c r="V68" i="38"/>
  <c r="W68" i="38"/>
  <c r="X68" i="38"/>
  <c r="Y68" i="38"/>
  <c r="Z68" i="38"/>
  <c r="AA68" i="38"/>
  <c r="AB68" i="38"/>
  <c r="AC68" i="38"/>
  <c r="AD68" i="38"/>
  <c r="AE68" i="38"/>
  <c r="AF68" i="38"/>
  <c r="D69" i="38"/>
  <c r="E69" i="38"/>
  <c r="F69" i="38"/>
  <c r="G69" i="38"/>
  <c r="H69" i="38"/>
  <c r="I69" i="38"/>
  <c r="J69" i="38"/>
  <c r="K69" i="38"/>
  <c r="L69" i="38"/>
  <c r="M69" i="38"/>
  <c r="N69" i="38"/>
  <c r="O69" i="38"/>
  <c r="P69" i="38"/>
  <c r="Q69" i="38"/>
  <c r="R69" i="38"/>
  <c r="S69" i="38"/>
  <c r="T69" i="38"/>
  <c r="U69" i="38"/>
  <c r="V69" i="38"/>
  <c r="W69" i="38"/>
  <c r="X69" i="38"/>
  <c r="Y69" i="38"/>
  <c r="Z69" i="38"/>
  <c r="AA69" i="38"/>
  <c r="AB69" i="38"/>
  <c r="AC69" i="38"/>
  <c r="AD69" i="38"/>
  <c r="AE69" i="38"/>
  <c r="AF69" i="38"/>
  <c r="D70" i="38"/>
  <c r="E70" i="38"/>
  <c r="F70" i="38"/>
  <c r="G70" i="38"/>
  <c r="H70" i="38"/>
  <c r="I70" i="38"/>
  <c r="J70" i="38"/>
  <c r="K70" i="38"/>
  <c r="L70" i="38"/>
  <c r="M70" i="38"/>
  <c r="N70" i="38"/>
  <c r="O70" i="38"/>
  <c r="P70" i="38"/>
  <c r="Q70" i="38"/>
  <c r="R70" i="38"/>
  <c r="S70" i="38"/>
  <c r="T70" i="38"/>
  <c r="U70" i="38"/>
  <c r="V70" i="38"/>
  <c r="W70" i="38"/>
  <c r="X70" i="38"/>
  <c r="Y70" i="38"/>
  <c r="Z70" i="38"/>
  <c r="AA70" i="38"/>
  <c r="AB70" i="38"/>
  <c r="AC70" i="38"/>
  <c r="AD70" i="38"/>
  <c r="AE70" i="38"/>
  <c r="AF70" i="38"/>
  <c r="D71" i="38"/>
  <c r="E71" i="38"/>
  <c r="F71" i="38"/>
  <c r="G71" i="38"/>
  <c r="H71" i="38"/>
  <c r="I71" i="38"/>
  <c r="J71" i="38"/>
  <c r="K71" i="38"/>
  <c r="L71" i="38"/>
  <c r="M71" i="38"/>
  <c r="N71" i="38"/>
  <c r="O71" i="38"/>
  <c r="P71" i="38"/>
  <c r="Q71" i="38"/>
  <c r="R71" i="38"/>
  <c r="S71" i="38"/>
  <c r="T71" i="38"/>
  <c r="U71" i="38"/>
  <c r="V71" i="38"/>
  <c r="W71" i="38"/>
  <c r="X71" i="38"/>
  <c r="Y71" i="38"/>
  <c r="Z71" i="38"/>
  <c r="AA71" i="38"/>
  <c r="AB71" i="38"/>
  <c r="AC71" i="38"/>
  <c r="AD71" i="38"/>
  <c r="AE71" i="38"/>
  <c r="AF71" i="38"/>
  <c r="D72" i="38"/>
  <c r="E72" i="38"/>
  <c r="F72" i="38"/>
  <c r="G72" i="38"/>
  <c r="H72" i="38"/>
  <c r="I72" i="38"/>
  <c r="J72" i="38"/>
  <c r="K72" i="38"/>
  <c r="L72" i="38"/>
  <c r="M72" i="38"/>
  <c r="N72" i="38"/>
  <c r="O72" i="38"/>
  <c r="P72" i="38"/>
  <c r="Q72" i="38"/>
  <c r="R72" i="38"/>
  <c r="S72" i="38"/>
  <c r="T72" i="38"/>
  <c r="U72" i="38"/>
  <c r="V72" i="38"/>
  <c r="W72" i="38"/>
  <c r="X72" i="38"/>
  <c r="Y72" i="38"/>
  <c r="Z72" i="38"/>
  <c r="AA72" i="38"/>
  <c r="AB72" i="38"/>
  <c r="AC72" i="38"/>
  <c r="AD72" i="38"/>
  <c r="AE72" i="38"/>
  <c r="AF72" i="38"/>
  <c r="D74" i="38"/>
  <c r="E74" i="38"/>
  <c r="F74" i="38"/>
  <c r="G74" i="38"/>
  <c r="H74" i="38"/>
  <c r="I74" i="38"/>
  <c r="J74" i="38"/>
  <c r="K74" i="38"/>
  <c r="L74" i="38"/>
  <c r="M74" i="38"/>
  <c r="N74" i="38"/>
  <c r="O74" i="38"/>
  <c r="P74" i="38"/>
  <c r="Q74" i="38"/>
  <c r="R74" i="38"/>
  <c r="S74" i="38"/>
  <c r="T74" i="38"/>
  <c r="U74" i="38"/>
  <c r="V74" i="38"/>
  <c r="W74" i="38"/>
  <c r="X74" i="38"/>
  <c r="Y74" i="38"/>
  <c r="Z74" i="38"/>
  <c r="AA74" i="38"/>
  <c r="AB74" i="38"/>
  <c r="AC74" i="38"/>
  <c r="AD74" i="38"/>
  <c r="AE74" i="38"/>
  <c r="AF74" i="38"/>
  <c r="C74" i="38"/>
  <c r="C72" i="38"/>
  <c r="C71" i="38"/>
  <c r="C70" i="38"/>
  <c r="C69" i="38"/>
  <c r="C68" i="38"/>
  <c r="C67" i="38"/>
  <c r="C66" i="38"/>
  <c r="C65" i="38"/>
  <c r="C64" i="38"/>
  <c r="C63" i="38"/>
  <c r="C62" i="38"/>
  <c r="C61" i="38"/>
  <c r="C60" i="38"/>
  <c r="C59" i="38"/>
  <c r="C56" i="38"/>
  <c r="C54" i="38"/>
  <c r="C53" i="38"/>
  <c r="C52" i="38"/>
  <c r="C51" i="38"/>
  <c r="C49" i="38"/>
  <c r="C48" i="38"/>
  <c r="C47" i="38"/>
  <c r="C46" i="38"/>
  <c r="C45" i="38"/>
  <c r="C44" i="38"/>
  <c r="C43" i="38"/>
  <c r="C42" i="38"/>
  <c r="C41" i="38"/>
  <c r="C40" i="38"/>
  <c r="C39" i="38"/>
  <c r="C38" i="38"/>
  <c r="C37" i="38"/>
  <c r="C36" i="38"/>
  <c r="C35" i="38"/>
  <c r="C34" i="38"/>
  <c r="C33" i="38"/>
  <c r="C32" i="38"/>
  <c r="C29" i="38"/>
  <c r="C28" i="38"/>
  <c r="C27" i="38"/>
  <c r="C26" i="38"/>
  <c r="C25" i="38"/>
  <c r="C24" i="38"/>
  <c r="C23" i="38"/>
  <c r="C22" i="38"/>
  <c r="C21" i="38"/>
  <c r="C20" i="38"/>
  <c r="C19" i="38"/>
  <c r="C18" i="38"/>
  <c r="C17" i="38"/>
</calcChain>
</file>

<file path=xl/sharedStrings.xml><?xml version="1.0" encoding="utf-8"?>
<sst xmlns="http://schemas.openxmlformats.org/spreadsheetml/2006/main" count="7264" uniqueCount="3776">
  <si>
    <t>Sources:</t>
  </si>
  <si>
    <t xml:space="preserve">      Total</t>
  </si>
  <si>
    <t>TKI000:ea_Total</t>
  </si>
  <si>
    <t>TKI000:ea_PipelineFuel</t>
  </si>
  <si>
    <t xml:space="preserve">    Lubricants</t>
  </si>
  <si>
    <t>TKI000:ea_Lubricants</t>
  </si>
  <si>
    <t xml:space="preserve">    Military Use</t>
  </si>
  <si>
    <t>TKI000:ea_MilitaryUse</t>
  </si>
  <si>
    <t xml:space="preserve">    Air</t>
  </si>
  <si>
    <t>TKI000:ea_Air</t>
  </si>
  <si>
    <t xml:space="preserve">    Recreational Boats</t>
  </si>
  <si>
    <t>TKI000:ea_RecreationalB</t>
  </si>
  <si>
    <t xml:space="preserve">    Shipping, International</t>
  </si>
  <si>
    <t>TKI000:ea_Shipping,Inte</t>
  </si>
  <si>
    <t xml:space="preserve">    Shipping, Domestic</t>
  </si>
  <si>
    <t>TKI000:ea_Shipping,Dome</t>
  </si>
  <si>
    <t xml:space="preserve">    Rail, Freight</t>
  </si>
  <si>
    <t>TKI000:ea_Rail,Freight</t>
  </si>
  <si>
    <t xml:space="preserve">    Rail, Passenger</t>
  </si>
  <si>
    <t>TKI000:ea_Rail,Passenge</t>
  </si>
  <si>
    <t xml:space="preserve">    Freight Trucks</t>
  </si>
  <si>
    <t>TKI000:ea_FreightTrucks</t>
  </si>
  <si>
    <t xml:space="preserve">    Bus Transportation</t>
  </si>
  <si>
    <t>TKI000:ea_BusTransporta</t>
  </si>
  <si>
    <t xml:space="preserve">    Commercial Light Trucks 1/</t>
  </si>
  <si>
    <t>TKI000:ea_CommercialLig</t>
  </si>
  <si>
    <t xml:space="preserve">    Light-Duty Vehicles</t>
  </si>
  <si>
    <t>TKI000:ea_Light-DutyVeh</t>
  </si>
  <si>
    <t xml:space="preserve">  (million barrels per day oil equivalent)</t>
  </si>
  <si>
    <t>TKI000:da_Total</t>
  </si>
  <si>
    <t>TKI000:da_PipelineFuel</t>
  </si>
  <si>
    <t>TKI000:da_Lubricants</t>
  </si>
  <si>
    <t>TKI000:da_MilitaryUse</t>
  </si>
  <si>
    <t>TKI000:da_Air</t>
  </si>
  <si>
    <t>TKI000:da_RecreationalB</t>
  </si>
  <si>
    <t>TKI000:da_Shipping,Inte</t>
  </si>
  <si>
    <t>TKI000:da_Shipping,Dome</t>
  </si>
  <si>
    <t>TKI000:da_Rail,Freight</t>
  </si>
  <si>
    <t>TKI000:da_Rail,Passenge</t>
  </si>
  <si>
    <t>TKI000:da_FreightTrucks</t>
  </si>
  <si>
    <t>TKI000:da_BusTransporta</t>
  </si>
  <si>
    <t>TKI000:da_CommercialLig</t>
  </si>
  <si>
    <t>TKI000:da_Light-DutyVeh</t>
  </si>
  <si>
    <t xml:space="preserve">  (quadrillion Btu)</t>
  </si>
  <si>
    <t>Energy Use by Mode</t>
  </si>
  <si>
    <t xml:space="preserve">   Domestic Shipping</t>
  </si>
  <si>
    <t>TKI000:ca_DomesticShipp</t>
  </si>
  <si>
    <t xml:space="preserve">   Rail</t>
  </si>
  <si>
    <t>TKI000:ca_Rail</t>
  </si>
  <si>
    <t xml:space="preserve"> (ton miles/thousand Btu)</t>
  </si>
  <si>
    <t xml:space="preserve">   Aircraft</t>
  </si>
  <si>
    <t>TKI000:ca_Aircraft</t>
  </si>
  <si>
    <t xml:space="preserve"> (seat miles per gallon)</t>
  </si>
  <si>
    <t xml:space="preserve">   Freight Truck</t>
  </si>
  <si>
    <t>TKI000:ca_FreightTruck</t>
  </si>
  <si>
    <t xml:space="preserve">   Stock Commercial Light Truck 1/</t>
  </si>
  <si>
    <t>TKI000:ca_StockCommerci</t>
  </si>
  <si>
    <t xml:space="preserve">   New Commercial Light Truck 1/</t>
  </si>
  <si>
    <t>TKI000:ca_NewCommercial</t>
  </si>
  <si>
    <t xml:space="preserve">   Light-Duty Stock 6/</t>
  </si>
  <si>
    <t>TKI000:ca_Light-DutySto</t>
  </si>
  <si>
    <t xml:space="preserve">     New Light Truck 5/</t>
  </si>
  <si>
    <t>TKI000:ca_OnRoadNewTwuk</t>
  </si>
  <si>
    <t xml:space="preserve">     New Car 5/</t>
  </si>
  <si>
    <t>TKI000:ca_OnRoadNewCar</t>
  </si>
  <si>
    <t xml:space="preserve">   On-Road New Light-Duty Vehicle 5/</t>
  </si>
  <si>
    <t>TKI000:ca_OnRoadNewVeh</t>
  </si>
  <si>
    <t xml:space="preserve">     New Light Truck 4/</t>
  </si>
  <si>
    <t>TKI000:ca_TestedNewTwuk</t>
  </si>
  <si>
    <t xml:space="preserve">     New Car 4/</t>
  </si>
  <si>
    <t>TKI000:ca_TestedNewCar</t>
  </si>
  <si>
    <t xml:space="preserve">   Tested New Light-Duty Vehicle 4/</t>
  </si>
  <si>
    <t>TKI000:ca_TestedNewVeh</t>
  </si>
  <si>
    <t xml:space="preserve">     New Light Truck 3/</t>
  </si>
  <si>
    <t>TKI000:ca_NewTwukCred</t>
  </si>
  <si>
    <t xml:space="preserve">     New Car 3/</t>
  </si>
  <si>
    <t>TKI000:ca_NewCarCred</t>
  </si>
  <si>
    <t xml:space="preserve">   Compliance New Light-Duty Vehicle 3/</t>
  </si>
  <si>
    <t>TKI000:ca_NewVehCred</t>
  </si>
  <si>
    <t xml:space="preserve">     New Light Truck 2/</t>
  </si>
  <si>
    <t>TKI000:ca_TwukCAFEStand</t>
  </si>
  <si>
    <t xml:space="preserve">     New Car 2/</t>
  </si>
  <si>
    <t>TKI000:ca_CarCAFEStand</t>
  </si>
  <si>
    <t xml:space="preserve">   New Light-Duty Vehicle CAFE Standard 2/</t>
  </si>
  <si>
    <t>TKI000:ca_AvgCAFEStand</t>
  </si>
  <si>
    <t xml:space="preserve"> (miles per gallon)</t>
  </si>
  <si>
    <t>Energy Efficiency Indicators</t>
  </si>
  <si>
    <t>TKI000:ba_DomesticShipp</t>
  </si>
  <si>
    <t>TKI000:ba_Rail</t>
  </si>
  <si>
    <t xml:space="preserve"> (billion ton miles traveled)</t>
  </si>
  <si>
    <t xml:space="preserve">   Air</t>
  </si>
  <si>
    <t>TKI000:ba_Air</t>
  </si>
  <si>
    <t xml:space="preserve"> (billion seat miles available)</t>
  </si>
  <si>
    <t xml:space="preserve">   Freight Trucks greater than 10,000 pounds</t>
  </si>
  <si>
    <t>TKI000:ba_FreightTrucks</t>
  </si>
  <si>
    <t xml:space="preserve">   Commercial Light Trucks 1/</t>
  </si>
  <si>
    <t>TKI000:ba_CommercialLig</t>
  </si>
  <si>
    <t xml:space="preserve">   Light-Duty Vehicles less than 8,501 pounds</t>
  </si>
  <si>
    <t>TKI000:ba_Light-DutyVeh</t>
  </si>
  <si>
    <t xml:space="preserve"> (billion vehicle miles traveled)</t>
  </si>
  <si>
    <t>Travel Indicators</t>
  </si>
  <si>
    <t>Key Indicators</t>
  </si>
  <si>
    <t xml:space="preserve"> Key Indicators and Consumption</t>
  </si>
  <si>
    <t>7. Transportation Sector Key Indicators and Delivered Energy Consumption</t>
  </si>
  <si>
    <t>TKI000</t>
  </si>
  <si>
    <t>Release Date</t>
  </si>
  <si>
    <t>Datekey</t>
  </si>
  <si>
    <t>Scenario</t>
  </si>
  <si>
    <t>Report</t>
  </si>
  <si>
    <t>Notes</t>
  </si>
  <si>
    <t>Fuel Consumption (trillion Btu)</t>
  </si>
  <si>
    <t>- -</t>
  </si>
  <si>
    <t>Total World</t>
  </si>
  <si>
    <t>Seat Miles Demanded (billion miles)</t>
  </si>
  <si>
    <t>Travel Demand</t>
  </si>
  <si>
    <t>Driver Variables</t>
  </si>
  <si>
    <t>Load Factor (fraction of seats filled)</t>
  </si>
  <si>
    <t>Ticket Price (1996 cents per passenger mile)</t>
  </si>
  <si>
    <t>Fuel Cost (1987 dollars per million Btu)</t>
  </si>
  <si>
    <t>aircraft</t>
  </si>
  <si>
    <t>EIA</t>
  </si>
  <si>
    <t>HDVs</t>
  </si>
  <si>
    <t>See Notes section for which vehicle types use which sources</t>
  </si>
  <si>
    <t>LDVs</t>
  </si>
  <si>
    <t>rail</t>
  </si>
  <si>
    <t>ships</t>
  </si>
  <si>
    <t>motorbikes</t>
  </si>
  <si>
    <t>We scale by passenger-miles, freight ton-miles, or vehicle-miles where available.</t>
  </si>
  <si>
    <t>(We assume vehicle loading remains constant, so scaling by vehicle-miles is</t>
  </si>
  <si>
    <t>identical to scaling by passenger-miles or freight ton-miles.)</t>
  </si>
  <si>
    <t>This variable contains ratios of cargo distance transported in each year of the</t>
  </si>
  <si>
    <t>model run relative to the start year.  The start year is the year before the</t>
  </si>
  <si>
    <t>first simulated year.  So if the first year for which the model outputs data</t>
  </si>
  <si>
    <t>included in the outputs but is retained here for visual clarity.</t>
  </si>
  <si>
    <t>BCDTRtSY BAU Cargo Dist Transported Relative to Start Year</t>
  </si>
  <si>
    <t>TKI000:buspassmiles</t>
  </si>
  <si>
    <t xml:space="preserve">   Bus Transportation</t>
  </si>
  <si>
    <t>TKI000:railpassmiles</t>
  </si>
  <si>
    <t xml:space="preserve">   Passenger Rail</t>
  </si>
  <si>
    <t xml:space="preserve"> (billion passenger miles traveled)</t>
  </si>
  <si>
    <t xml:space="preserve">    Pipeline Fuel</t>
  </si>
  <si>
    <t>Total</t>
  </si>
  <si>
    <t>Energy Use by Type</t>
  </si>
  <si>
    <t>Total Consumption</t>
  </si>
  <si>
    <t>the percentage of ethanol varies seasonally.  The annual average ethanol content of 74 percent is used for these projections.</t>
  </si>
  <si>
    <t>Cargo Dist Transported Relative to Start Year (dimensionless)</t>
  </si>
  <si>
    <t>Source: U.S. Energy Information Administration</t>
  </si>
  <si>
    <t>Freight Truck Stock by Size Class</t>
  </si>
  <si>
    <t>New Trucks by Size Class</t>
  </si>
  <si>
    <t>Railroads</t>
  </si>
  <si>
    <t>Domestic Shipping</t>
  </si>
  <si>
    <t>International Shipping</t>
  </si>
  <si>
    <t>2/ CAFE standard based on projected new vehicle sales.</t>
  </si>
  <si>
    <t>3/ Includes CAFE credits for alternative fueled vehicle sales and credit banking.</t>
  </si>
  <si>
    <t>5/ Tested new vehicle efficiency revised for on-road performance.</t>
  </si>
  <si>
    <t>6/ Combined "on-the-road" estimate for all cars and light trucks.</t>
  </si>
  <si>
    <t>CAFE = Corporate average fuel economy.</t>
  </si>
  <si>
    <t>Btu = British thermal unit.</t>
  </si>
  <si>
    <t>Note:  Totals may not equal sum of components due to independent rounding.</t>
  </si>
  <si>
    <t>Highway</t>
  </si>
  <si>
    <t>Light-Duty Vehicles</t>
  </si>
  <si>
    <t>Automobiles</t>
  </si>
  <si>
    <t>Light Trucks</t>
  </si>
  <si>
    <t>Motorcycles</t>
  </si>
  <si>
    <t>Commercial Light Trucks</t>
  </si>
  <si>
    <t>Buses</t>
  </si>
  <si>
    <t>Transit</t>
  </si>
  <si>
    <t>Intercity</t>
  </si>
  <si>
    <t>School</t>
  </si>
  <si>
    <t>Freight Trucks</t>
  </si>
  <si>
    <t>Light Medium</t>
  </si>
  <si>
    <t>Medium</t>
  </si>
  <si>
    <t>Non-Highway</t>
  </si>
  <si>
    <t>Air</t>
  </si>
  <si>
    <t>General Aviation</t>
  </si>
  <si>
    <t>Water</t>
  </si>
  <si>
    <t>Freight</t>
  </si>
  <si>
    <t>Recreational Boats</t>
  </si>
  <si>
    <t>Rail</t>
  </si>
  <si>
    <t>Passenger</t>
  </si>
  <si>
    <t>Commuter</t>
  </si>
  <si>
    <t>Lubricants</t>
  </si>
  <si>
    <t>Pipeline Fuel Natural Gas</t>
  </si>
  <si>
    <t>Military Use</t>
  </si>
  <si>
    <t>Jet Fuel and Aviation Gasoline</t>
  </si>
  <si>
    <t>Residual Fuel Oil</t>
  </si>
  <si>
    <t>Distillates and Diesel</t>
  </si>
  <si>
    <t>Motor Gasoline excluding E85</t>
  </si>
  <si>
    <t>E85</t>
  </si>
  <si>
    <t>Diesel</t>
  </si>
  <si>
    <t>Jet Fuel (kerosene &amp; naphtha)</t>
  </si>
  <si>
    <t>Aviation Gasoline</t>
  </si>
  <si>
    <t>Propane</t>
  </si>
  <si>
    <t>Petroleum and Other Liquids Subtotal</t>
  </si>
  <si>
    <t>Electricity</t>
  </si>
  <si>
    <t>Compressed/Liquefied Natural Gas</t>
  </si>
  <si>
    <t>Hydrogen</t>
  </si>
  <si>
    <t>Table 35.  Transportation Sector Energy Use by Mode and Type</t>
  </si>
  <si>
    <t>full name</t>
  </si>
  <si>
    <t>api key</t>
  </si>
  <si>
    <t>units</t>
  </si>
  <si>
    <t>trillion Btu</t>
  </si>
  <si>
    <t>billion miles</t>
  </si>
  <si>
    <t>Domestic Passenger</t>
  </si>
  <si>
    <t>International Passenger</t>
  </si>
  <si>
    <t>Dedicated Freight</t>
  </si>
  <si>
    <t>Domestic</t>
  </si>
  <si>
    <t>International</t>
  </si>
  <si>
    <t>U.S. Domestic</t>
  </si>
  <si>
    <t>U.S. International</t>
  </si>
  <si>
    <t>Population (millions)</t>
  </si>
  <si>
    <t>United States</t>
  </si>
  <si>
    <t>Canada</t>
  </si>
  <si>
    <t>Africa</t>
  </si>
  <si>
    <t>China</t>
  </si>
  <si>
    <t>Revenue Passenger Miles (billion miles)</t>
  </si>
  <si>
    <t>Freight Revenue Ton Miles (billion miles)</t>
  </si>
  <si>
    <t>Narrow Body Aircraft</t>
  </si>
  <si>
    <t>Wide Body Aircraft</t>
  </si>
  <si>
    <t>Regional Jets</t>
  </si>
  <si>
    <t>Aircraft Efficiency (seat miles per gallon)</t>
  </si>
  <si>
    <t>New Aircraft</t>
  </si>
  <si>
    <t>Average Aircraft</t>
  </si>
  <si>
    <t>Aircraft Stock</t>
  </si>
  <si>
    <t>Commercial Jet Fuel</t>
  </si>
  <si>
    <t>Commercial Aviation Gasoline</t>
  </si>
  <si>
    <t xml:space="preserve"> U.S.</t>
  </si>
  <si>
    <t>Military Jet Fuel</t>
  </si>
  <si>
    <t>Table 47.  Air Travel Energy Use</t>
  </si>
  <si>
    <t>1987 $/MMBtu</t>
  </si>
  <si>
    <t>fraction</t>
  </si>
  <si>
    <t>millions</t>
  </si>
  <si>
    <t>seat mpg</t>
  </si>
  <si>
    <t>Table 49.  Freight Transportation Energy Use</t>
  </si>
  <si>
    <t>Vehicle Miles Traveled (billion miles)</t>
  </si>
  <si>
    <t>Motor Gasoline</t>
  </si>
  <si>
    <t>Ethanol-Flex Fuel</t>
  </si>
  <si>
    <t>Electric</t>
  </si>
  <si>
    <t>Plug-in Diesel Hybrid</t>
  </si>
  <si>
    <t>Plug-in Gasoline Hybrid</t>
  </si>
  <si>
    <t>Fuel Cell</t>
  </si>
  <si>
    <t>Light Medium Subtotal</t>
  </si>
  <si>
    <t>Medium Subtotal</t>
  </si>
  <si>
    <t>Heavy</t>
  </si>
  <si>
    <t>Heavy Subtotal</t>
  </si>
  <si>
    <t>Total Vehicle Miles Traveled</t>
  </si>
  <si>
    <t>Consumption (trillion Btu)</t>
  </si>
  <si>
    <t xml:space="preserve"> Medium</t>
  </si>
  <si>
    <t>Fuel Efficiency (miles per gallon)</t>
  </si>
  <si>
    <t>Light Medium Average</t>
  </si>
  <si>
    <t>Medium Average</t>
  </si>
  <si>
    <t>Heavy Average</t>
  </si>
  <si>
    <t>Average Fuel Efficiency</t>
  </si>
  <si>
    <t>Stock (millions)</t>
  </si>
  <si>
    <t>Total Stock</t>
  </si>
  <si>
    <t>Sales (thousands)</t>
  </si>
  <si>
    <t>Total Sales</t>
  </si>
  <si>
    <t>Ton Miles by Rail (billion)</t>
  </si>
  <si>
    <t>Fuel Efficiency (ton miles per thousand Btu)</t>
  </si>
  <si>
    <t>Distillate Fuel Oil (diesel)</t>
  </si>
  <si>
    <t>Compressed Natural Gas</t>
  </si>
  <si>
    <t>Liquefied Natural Gas</t>
  </si>
  <si>
    <t>Ton Miles Shipping (billion)</t>
  </si>
  <si>
    <t>Gross Trade (billion 2012 dollars)</t>
  </si>
  <si>
    <t>Exports (billion 2012 dollars)</t>
  </si>
  <si>
    <t>Imports (billion 2012 dollars)</t>
  </si>
  <si>
    <t xml:space="preserve"> and Heavy Total</t>
  </si>
  <si>
    <t>mpg diesel equiv</t>
  </si>
  <si>
    <t>mpg gas equiv</t>
  </si>
  <si>
    <t>mpg</t>
  </si>
  <si>
    <t>thousands</t>
  </si>
  <si>
    <t>billions</t>
  </si>
  <si>
    <t>ton miles/thousand B</t>
  </si>
  <si>
    <t>billion 2012 $</t>
  </si>
  <si>
    <t>Tables 7, 36, 46, 47, 49</t>
  </si>
  <si>
    <t>https://www.eia.gov/outlooks/aeo/tables_side.php</t>
  </si>
  <si>
    <t>is 2020, the start year is 2019.  The start year column does not have to be</t>
  </si>
  <si>
    <t>We use AEO 2021 to calculate start year vehicles, as AEO 2021 does not include 2019 data.</t>
  </si>
  <si>
    <t>We classify AEO's light commercial trucks category as well as light-medium and medium duty vehicles</t>
  </si>
  <si>
    <t>in "freight LDVs" and heavy duty vehicles in "freight HDVs."</t>
  </si>
  <si>
    <t xml:space="preserve">Without any calibration adjustment, the very large dip in passenger air travel in 2020 leads to discrepancies </t>
  </si>
  <si>
    <t>in energy use between AEO and the EPS outputs given our current methodology. Therefore, we add a calibration</t>
  </si>
  <si>
    <t>adjustment factor here, which adjusts the BAU aircraft cargo distance so that final aircraft energy use aligns</t>
  </si>
  <si>
    <t>with the energy use in AEO 2021.</t>
  </si>
  <si>
    <t>ref2022.d011222a</t>
  </si>
  <si>
    <t>Annual Energy Outlook 2022</t>
  </si>
  <si>
    <t>ref2022</t>
  </si>
  <si>
    <t>Reference</t>
  </si>
  <si>
    <t>d011222a</t>
  </si>
  <si>
    <t xml:space="preserve"> March 2022</t>
  </si>
  <si>
    <t>Average</t>
  </si>
  <si>
    <t>Annual</t>
  </si>
  <si>
    <t>Change</t>
  </si>
  <si>
    <t>2021–2050</t>
  </si>
  <si>
    <t>TEU000</t>
  </si>
  <si>
    <t>35. Transportation Sector Energy Use by Mode and Type</t>
  </si>
  <si>
    <t>(trillion Btu)</t>
  </si>
  <si>
    <t xml:space="preserve"> Mode and Type</t>
  </si>
  <si>
    <t xml:space="preserve">   Highway</t>
  </si>
  <si>
    <t>TEU000:ba_Light-DutyVeh</t>
  </si>
  <si>
    <t xml:space="preserve">      Light-Duty Vehicles</t>
  </si>
  <si>
    <t>TEU000:ba_Automobiles</t>
  </si>
  <si>
    <t xml:space="preserve">         Automobiles</t>
  </si>
  <si>
    <t>TEU000:ba_LightTrucks</t>
  </si>
  <si>
    <t xml:space="preserve">         Light Trucks</t>
  </si>
  <si>
    <t>TEU000:ba_Motorcycles</t>
  </si>
  <si>
    <t xml:space="preserve">         Motorcycles</t>
  </si>
  <si>
    <t>TEU000:ba_CommercialLig</t>
  </si>
  <si>
    <t xml:space="preserve">      Commercial Light Trucks 1/</t>
  </si>
  <si>
    <t>TEU000:ba_Buses</t>
  </si>
  <si>
    <t xml:space="preserve">      Buses</t>
  </si>
  <si>
    <t>TEU000:ba_Transit</t>
  </si>
  <si>
    <t xml:space="preserve">         Transit</t>
  </si>
  <si>
    <t>TEU000:ba_Intercity</t>
  </si>
  <si>
    <t xml:space="preserve">         Intercity</t>
  </si>
  <si>
    <t>TEU000:ba_School</t>
  </si>
  <si>
    <t xml:space="preserve">         School</t>
  </si>
  <si>
    <t>TEU000:ba_FreightTrucks</t>
  </si>
  <si>
    <t xml:space="preserve">      Freight Trucks 2/</t>
  </si>
  <si>
    <t>TEU000:ba_LightMedium</t>
  </si>
  <si>
    <t xml:space="preserve">         Light Medium</t>
  </si>
  <si>
    <t>TEU000:ba_Medium</t>
  </si>
  <si>
    <t xml:space="preserve">         Medium</t>
  </si>
  <si>
    <t>TEU000:ba_Large(&gt;26000p</t>
  </si>
  <si>
    <t xml:space="preserve">         Large  (&gt; 26000 pounds)</t>
  </si>
  <si>
    <t xml:space="preserve">   Non-Highway</t>
  </si>
  <si>
    <t>TEU000:ca_Air</t>
  </si>
  <si>
    <t xml:space="preserve">      Air 3/</t>
  </si>
  <si>
    <t>TEU000:ca_GeneralAviati</t>
  </si>
  <si>
    <t xml:space="preserve">         General Aviation</t>
  </si>
  <si>
    <t>TEU000:ca_DomesticAirCa</t>
  </si>
  <si>
    <t xml:space="preserve">         Domestic Passenger 4/</t>
  </si>
  <si>
    <t>TEU000:ca_International</t>
  </si>
  <si>
    <t xml:space="preserve">         International Passenger 4/</t>
  </si>
  <si>
    <t>TEU000:ca_FreightCarrie</t>
  </si>
  <si>
    <t xml:space="preserve">         Dedicated Freight</t>
  </si>
  <si>
    <t>TEU000:ca_Water</t>
  </si>
  <si>
    <t xml:space="preserve">      Water 5/</t>
  </si>
  <si>
    <t>TEU000:ca_Freight</t>
  </si>
  <si>
    <t xml:space="preserve">         Freight</t>
  </si>
  <si>
    <t>TEU000:ca_DomesticShipp</t>
  </si>
  <si>
    <t xml:space="preserve">            Domestic Shipping</t>
  </si>
  <si>
    <t>TEU000:da_International</t>
  </si>
  <si>
    <t xml:space="preserve">            International Shipping</t>
  </si>
  <si>
    <t>TEU000:da_RecreationalB</t>
  </si>
  <si>
    <t xml:space="preserve">         Recreational Boats</t>
  </si>
  <si>
    <t>TEU000:da_Rail</t>
  </si>
  <si>
    <t xml:space="preserve">      Rail</t>
  </si>
  <si>
    <t>TEU000:da_Freight</t>
  </si>
  <si>
    <t>TEU000:da_Passenger</t>
  </si>
  <si>
    <t xml:space="preserve">         Passenger</t>
  </si>
  <si>
    <t>TEU000:da_Intercity</t>
  </si>
  <si>
    <t xml:space="preserve">            Intercity</t>
  </si>
  <si>
    <t>TEU000:da_Transit</t>
  </si>
  <si>
    <t xml:space="preserve">            Transit</t>
  </si>
  <si>
    <t>TEU000:da_Commuter</t>
  </si>
  <si>
    <t xml:space="preserve">            Commuter</t>
  </si>
  <si>
    <t>TEU000:da_Lubricants</t>
  </si>
  <si>
    <t xml:space="preserve">      Lubricants</t>
  </si>
  <si>
    <t>TEU000:da_PipelineFuelN</t>
  </si>
  <si>
    <t xml:space="preserve">      Pipeline Fuel Natural Gas</t>
  </si>
  <si>
    <t>TEU000:ea_MilitaryUse</t>
  </si>
  <si>
    <t xml:space="preserve">   Military Use</t>
  </si>
  <si>
    <t>TEU000:ea_Aviation</t>
  </si>
  <si>
    <t xml:space="preserve">      Jet Fuel and Aviation Gasoline</t>
  </si>
  <si>
    <t>TEU000:ea_ResidualFuelU</t>
  </si>
  <si>
    <t xml:space="preserve">      Residual Fuel Oil</t>
  </si>
  <si>
    <t>TEU000:ea_DistillateFue</t>
  </si>
  <si>
    <t xml:space="preserve">      Distillates and Diesel</t>
  </si>
  <si>
    <t>TEU000:fa_Total</t>
  </si>
  <si>
    <t>TEU000:ga_MotorGasoline</t>
  </si>
  <si>
    <t xml:space="preserve">      Motor Gasoline excluding E85 6/</t>
  </si>
  <si>
    <t>TEU000:ga_Ethanol</t>
  </si>
  <si>
    <t xml:space="preserve">      E85 6/</t>
  </si>
  <si>
    <t>TEU000:ga_Distillate(di</t>
  </si>
  <si>
    <t xml:space="preserve">      Diesel 7/</t>
  </si>
  <si>
    <t>TEU000:ga_JetFuel(keros</t>
  </si>
  <si>
    <t xml:space="preserve">      Jet Fuel (kerosene &amp; naphtha)</t>
  </si>
  <si>
    <t>TEU000:ga_ResidualOil</t>
  </si>
  <si>
    <t>TEU000:ga_AviationGasol</t>
  </si>
  <si>
    <t xml:space="preserve">      Aviation Gasoline</t>
  </si>
  <si>
    <t>TEU000:ga_LiquefiedPetr</t>
  </si>
  <si>
    <t xml:space="preserve">      Propane</t>
  </si>
  <si>
    <t>TEU000:ga_Lubricants</t>
  </si>
  <si>
    <t>TEU000:ga_PetroleumSubt</t>
  </si>
  <si>
    <t xml:space="preserve">   Petroleum and Other Liquids Subtotal</t>
  </si>
  <si>
    <t>TEU000:ga_Methanol</t>
  </si>
  <si>
    <t xml:space="preserve">   M85</t>
  </si>
  <si>
    <t>TEU000:ga_Electricity</t>
  </si>
  <si>
    <t xml:space="preserve">   Electricity</t>
  </si>
  <si>
    <t>TEU000:ga_CompressedNat</t>
  </si>
  <si>
    <t xml:space="preserve">   Compressed/Liquefied Natural Gas</t>
  </si>
  <si>
    <t>TEU000:ga_LiquidHydroge</t>
  </si>
  <si>
    <t xml:space="preserve">   Hydrogen</t>
  </si>
  <si>
    <t>TEU000:ga_PipelineFuelN</t>
  </si>
  <si>
    <t xml:space="preserve">   Pipeline Fuel Natural Gas</t>
  </si>
  <si>
    <t>TEU000:ha_TotalConsumpt</t>
  </si>
  <si>
    <t>1/ Commercial light trucks from 8,501 to 10,000 pounds.</t>
  </si>
  <si>
    <t>2/ Does not include commercial bus and military use.</t>
  </si>
  <si>
    <t>3/ Does not include military jet fuel use.</t>
  </si>
  <si>
    <t>4/ Includes additional energy consumption attributed to belly freight carried in the cargo hold of passenger aircraft.</t>
  </si>
  <si>
    <t>5/ Does not include military residual oil.</t>
  </si>
  <si>
    <t>6/ E85 refers to a blend of 85 % ethanol (renewable) and 15 % motor gasoline (nonrenewable).  To address cold starting issues,</t>
  </si>
  <si>
    <t>7/ Includes all military distillates.</t>
  </si>
  <si>
    <t>Note:  Includes estimated consumption for petroleum and other liquids.  Totals may not equal sum of components due to independent rounding.</t>
  </si>
  <si>
    <t>Sources:  2021 and projections:  U.S. Energy Information Administration (EIA), AEO2022 National Energy</t>
  </si>
  <si>
    <t>Modeling System run ref2022.d011222a.</t>
  </si>
  <si>
    <t>TFV000</t>
  </si>
  <si>
    <t>46. Transportation Fleet Car and Truck Vehicle Miles Traveled by Type and Technology</t>
  </si>
  <si>
    <t>(billion miles)</t>
  </si>
  <si>
    <t xml:space="preserve"> Technology Type</t>
  </si>
  <si>
    <t>Cars 1/</t>
  </si>
  <si>
    <t xml:space="preserve"> Conventional Cars</t>
  </si>
  <si>
    <t>TFV000:ba_GasolineICEVe</t>
  </si>
  <si>
    <t xml:space="preserve">   Gasoline ICE Vehicles</t>
  </si>
  <si>
    <t>TFV000:ba_TDIDieselICE</t>
  </si>
  <si>
    <t xml:space="preserve">   TDI Diesel ICE</t>
  </si>
  <si>
    <t>TFV000:ba_TotalConventi</t>
  </si>
  <si>
    <t xml:space="preserve">     Total Conventional Cars</t>
  </si>
  <si>
    <t xml:space="preserve"> Alternative-Fuel Cars</t>
  </si>
  <si>
    <t>TFV000:ca_Ethanol-FlexF</t>
  </si>
  <si>
    <t xml:space="preserve">   Ethanol-Flex Fuel ICE</t>
  </si>
  <si>
    <t>TFV000:ca_100mileEV</t>
  </si>
  <si>
    <t xml:space="preserve">   100 Mile Electric Vehicle</t>
  </si>
  <si>
    <t>TFV000:ca_ElectricVehic</t>
  </si>
  <si>
    <t xml:space="preserve">   200 Mile Electric Vehicle</t>
  </si>
  <si>
    <t>TFV000:ea_FuelCellGasol</t>
  </si>
  <si>
    <t xml:space="preserve">   300 Mile Electric Vehicle</t>
  </si>
  <si>
    <t>TFV000:ca_Plug-inGasoli</t>
  </si>
  <si>
    <t xml:space="preserve">   Plug-in 20 Gasoline Hybrid</t>
  </si>
  <si>
    <t>TFV000:ca_Plug-in40Hybd</t>
  </si>
  <si>
    <t xml:space="preserve">   Plug-in 50 Gasoline Hybrid</t>
  </si>
  <si>
    <t>TFV000:ca_Electric-Dies</t>
  </si>
  <si>
    <t xml:space="preserve">   Electric-Diesel Hybrid</t>
  </si>
  <si>
    <t>TFV000:ca_Electric-Gaso</t>
  </si>
  <si>
    <t xml:space="preserve">   Electric-Gasoline Hybrid</t>
  </si>
  <si>
    <t>TFV000:ca_CompressedNat</t>
  </si>
  <si>
    <t xml:space="preserve">   Natural Gas ICE</t>
  </si>
  <si>
    <t>TFV000:da_CompressedNat</t>
  </si>
  <si>
    <t xml:space="preserve">   Natural Gas Bi-fuel</t>
  </si>
  <si>
    <t>TFV000:da_LiquefiedPetr</t>
  </si>
  <si>
    <t xml:space="preserve">   Propane ICE</t>
  </si>
  <si>
    <t>TFV000:ea_LiquefiedPetr</t>
  </si>
  <si>
    <t xml:space="preserve">   Propane Bi-fuel</t>
  </si>
  <si>
    <t>TFV000:ea_FuelCellMetha</t>
  </si>
  <si>
    <t xml:space="preserve">   Fuel Cell Methanol</t>
  </si>
  <si>
    <t>TFV000:ea_FuelCellHydro</t>
  </si>
  <si>
    <t xml:space="preserve">   Fuel Cell Hydrogen</t>
  </si>
  <si>
    <t>TFV000:ea_TotalAlternat</t>
  </si>
  <si>
    <t xml:space="preserve">     Total Alternative Cars</t>
  </si>
  <si>
    <t>TFV000:fa_TotalNewCarSa</t>
  </si>
  <si>
    <t xml:space="preserve"> Total Cars</t>
  </si>
  <si>
    <t>Light Trucks 1/</t>
  </si>
  <si>
    <t xml:space="preserve"> Conventional Light Trucks</t>
  </si>
  <si>
    <t>TFV000:ga_GasolineICEVe</t>
  </si>
  <si>
    <t>TFV000:ga_TDIDieselICE</t>
  </si>
  <si>
    <t>TFV000:ga_TotalConventi</t>
  </si>
  <si>
    <t xml:space="preserve">     Total Conventional Light Trucks</t>
  </si>
  <si>
    <t xml:space="preserve"> Alternative-Fuel Light Trucks</t>
  </si>
  <si>
    <t>TFV000:ha_Ethanol-FlexF</t>
  </si>
  <si>
    <t>TFV000:ha_100mileEV</t>
  </si>
  <si>
    <t>TFV000:ha_ElectricVehic</t>
  </si>
  <si>
    <t>TFV000:ja_FuelCellGasol</t>
  </si>
  <si>
    <t>TFV000:ha_Plug-inGasoli</t>
  </si>
  <si>
    <t>TFV000:ha_Plug-in40Hybd</t>
  </si>
  <si>
    <t>TFV000:ha_Electric-Dies</t>
  </si>
  <si>
    <t>TFV000:ha_Electric-Gaso</t>
  </si>
  <si>
    <t>TFV000:ha_CompressedNat</t>
  </si>
  <si>
    <t>TFV000:ia_CompressedNat</t>
  </si>
  <si>
    <t>TFV000:ia_LiquefiedPetr</t>
  </si>
  <si>
    <t>TFV000:ja_LiquefiedPetr</t>
  </si>
  <si>
    <t>TFV000:ja_FuelCellMetha</t>
  </si>
  <si>
    <t>TFV000:ja_FuelCellHydro</t>
  </si>
  <si>
    <t>TFV000:ja_TotalAlternat</t>
  </si>
  <si>
    <t xml:space="preserve">     Total Alternative Light Trucks</t>
  </si>
  <si>
    <t>TFV000:ka_TotalNewTruck</t>
  </si>
  <si>
    <t xml:space="preserve"> Total Light Trucks</t>
  </si>
  <si>
    <t>TFV000:la_TotalFleetVeh</t>
  </si>
  <si>
    <t>Total Fleet Vehicles</t>
  </si>
  <si>
    <t>Commercial Light Trucks 2/</t>
  </si>
  <si>
    <t>TFV000:clt_MotorGasICE</t>
  </si>
  <si>
    <t xml:space="preserve">   Motor Gasoline</t>
  </si>
  <si>
    <t>TFV000:clt_DieselTDI</t>
  </si>
  <si>
    <t xml:space="preserve">   Diesel</t>
  </si>
  <si>
    <t>TFV000:clt_Propane</t>
  </si>
  <si>
    <t xml:space="preserve">   Propane</t>
  </si>
  <si>
    <t>TFV000:clt_natgasgasgas</t>
  </si>
  <si>
    <t>TFV000:clt_ethanolflex</t>
  </si>
  <si>
    <t xml:space="preserve">   Ethanol-Flex Fuel</t>
  </si>
  <si>
    <t>TFV000:clt_electriclt</t>
  </si>
  <si>
    <t xml:space="preserve">   Electric</t>
  </si>
  <si>
    <t>TFV000:clt_plugingas</t>
  </si>
  <si>
    <t xml:space="preserve">   Plug-in Gasoline Hybrid</t>
  </si>
  <si>
    <t>TFV000:clt_plugindiesel</t>
  </si>
  <si>
    <t xml:space="preserve">   Plug-in Diesel Hybrid</t>
  </si>
  <si>
    <t>TFV000:clt_fuelcellar</t>
  </si>
  <si>
    <t xml:space="preserve">   Fuel Cell</t>
  </si>
  <si>
    <t>TFV000:ma_CommercialLig</t>
  </si>
  <si>
    <t xml:space="preserve">      Total Commercial Light Trucks</t>
  </si>
  <si>
    <t>1/ Includes all fleets of 10 or more.</t>
  </si>
  <si>
    <t>2/ Commercial trucks from 8,501 to 10,000 pounds.</t>
  </si>
  <si>
    <t>ICE = Internal combustion engine.</t>
  </si>
  <si>
    <t>- - = Not applicable.</t>
  </si>
  <si>
    <t>Sources:  U.S. Energy Information Administration, AEO2022 National Energy Modeling System run ref2022.d011222a.</t>
  </si>
  <si>
    <t>ATE000</t>
  </si>
  <si>
    <t>47. Air Travel Energy Use</t>
  </si>
  <si>
    <t xml:space="preserve"> Indicators</t>
  </si>
  <si>
    <t>ATE000:ba_FuelCost(1987</t>
  </si>
  <si>
    <t>ATE000:ca_Yield-domesti</t>
  </si>
  <si>
    <t xml:space="preserve">  Domestic</t>
  </si>
  <si>
    <t>ATE000:ca_Yield-interna</t>
  </si>
  <si>
    <t xml:space="preserve">  International</t>
  </si>
  <si>
    <t>ATE000:ca_Yield-non_u.s</t>
  </si>
  <si>
    <t xml:space="preserve">  Non-U.S. 1/</t>
  </si>
  <si>
    <t>ATE000:da_LoadFactor,Do</t>
  </si>
  <si>
    <t xml:space="preserve">  U.S. Domestic</t>
  </si>
  <si>
    <t>ATE000:ea_LoadFactor,In</t>
  </si>
  <si>
    <t xml:space="preserve">  U.S. International</t>
  </si>
  <si>
    <t xml:space="preserve">  Population (millions)</t>
  </si>
  <si>
    <t>ATE000:pop_JF_US</t>
  </si>
  <si>
    <t xml:space="preserve">    United States</t>
  </si>
  <si>
    <t>ATE000:pop_JF_Canada</t>
  </si>
  <si>
    <t xml:space="preserve">    Canada</t>
  </si>
  <si>
    <t>ATE000:pop_JF_Central_A</t>
  </si>
  <si>
    <t xml:space="preserve">    Central America</t>
  </si>
  <si>
    <t>ATE000:pop_JF_South_Am</t>
  </si>
  <si>
    <t xml:space="preserve">    South America</t>
  </si>
  <si>
    <t>ATE000:pop_JF_Europe</t>
  </si>
  <si>
    <t xml:space="preserve">    Europe</t>
  </si>
  <si>
    <t>ATE000:pop_JF_Africa</t>
  </si>
  <si>
    <t xml:space="preserve">    Africa</t>
  </si>
  <si>
    <t>ATE000:pop_JF_Mideast</t>
  </si>
  <si>
    <t xml:space="preserve">    Mideast</t>
  </si>
  <si>
    <t>ATE000:pop_JF_Russia</t>
  </si>
  <si>
    <t xml:space="preserve">    Commonwealth of Independent States</t>
  </si>
  <si>
    <t>ATE000:pop_JF_China</t>
  </si>
  <si>
    <t xml:space="preserve">    China</t>
  </si>
  <si>
    <t>ATE000:pop_JF_NE_Asia</t>
  </si>
  <si>
    <t xml:space="preserve">    Northeast Asia</t>
  </si>
  <si>
    <t>ATE000:pop_JF_SE_Asia</t>
  </si>
  <si>
    <t xml:space="preserve">    Southeast Asia</t>
  </si>
  <si>
    <t>ATE000:pop_JF_SW_Asia</t>
  </si>
  <si>
    <t xml:space="preserve">    Southwest Asia</t>
  </si>
  <si>
    <t>ATE000:pop_JF_Oceania</t>
  </si>
  <si>
    <t xml:space="preserve">    Oceania</t>
  </si>
  <si>
    <t xml:space="preserve">  Revenue Passenger Miles (billion miles)</t>
  </si>
  <si>
    <t xml:space="preserve">    Domestic 2/</t>
  </si>
  <si>
    <t>ATE000:rpm_US_Domestic</t>
  </si>
  <si>
    <t xml:space="preserve">      United States</t>
  </si>
  <si>
    <t>ATE000:rpm_CN_Domestic</t>
  </si>
  <si>
    <t xml:space="preserve">      Canada</t>
  </si>
  <si>
    <t>ATE000:rpm_CA_Domestic</t>
  </si>
  <si>
    <t xml:space="preserve">      Central America</t>
  </si>
  <si>
    <t>ATE000:rpm_SA_Domestic</t>
  </si>
  <si>
    <t xml:space="preserve">      South America</t>
  </si>
  <si>
    <t>ATE000:rpm_EU_Domestic</t>
  </si>
  <si>
    <t xml:space="preserve">      Europe</t>
  </si>
  <si>
    <t>ATE000:rpm_AF_Domestic</t>
  </si>
  <si>
    <t xml:space="preserve">      Africa</t>
  </si>
  <si>
    <t>ATE000:rpm_ME_Domestic</t>
  </si>
  <si>
    <t xml:space="preserve">      Mideast</t>
  </si>
  <si>
    <t>ATE000:rpm_RU_Domestic</t>
  </si>
  <si>
    <t xml:space="preserve">      Commonwealth of Independent States</t>
  </si>
  <si>
    <t>ATE000:rpm_CH_Domestic</t>
  </si>
  <si>
    <t xml:space="preserve">      China</t>
  </si>
  <si>
    <t>ATE000:rpm_NE_Domestic</t>
  </si>
  <si>
    <t xml:space="preserve">      Northeast Asia</t>
  </si>
  <si>
    <t>ATE000:rpm_SE_Domestic</t>
  </si>
  <si>
    <t xml:space="preserve">      Southeast Asia</t>
  </si>
  <si>
    <t>ATE000:rpm_SW_Domestic</t>
  </si>
  <si>
    <t xml:space="preserve">      Southwest Asia</t>
  </si>
  <si>
    <t>ATE000:rpm_OC_Domestic</t>
  </si>
  <si>
    <t xml:space="preserve">      Oceania</t>
  </si>
  <si>
    <t xml:space="preserve">    International 2/</t>
  </si>
  <si>
    <t>ATE000:rpm_US_Internat</t>
  </si>
  <si>
    <t>ATE000:rpm_CN_Internat</t>
  </si>
  <si>
    <t>ATE000:rpm_CA_Internat</t>
  </si>
  <si>
    <t>ATE000:rpm_SA_Internat</t>
  </si>
  <si>
    <t>ATE000:rpm_EU_Internat</t>
  </si>
  <si>
    <t>ATE000:rpm_AF_Internat</t>
  </si>
  <si>
    <t>ATE000:rpm_ME_Internat</t>
  </si>
  <si>
    <t>ATE000:rpm_RU_Internat</t>
  </si>
  <si>
    <t>ATE000:rpm_CH_Internat</t>
  </si>
  <si>
    <t>ATE000:rpm_NE_Internat</t>
  </si>
  <si>
    <t>ATE000:rpm_SE_Internat</t>
  </si>
  <si>
    <t>ATE000:rpm_SW_Internat</t>
  </si>
  <si>
    <t>ATE000:rpm_OC_Internat</t>
  </si>
  <si>
    <t xml:space="preserve">  Freight Revenue Ton Miles (billion miles) 3/</t>
  </si>
  <si>
    <t>ATE000:ea_FreRevUnited</t>
  </si>
  <si>
    <t>ATE000:ea_FreRevCanada</t>
  </si>
  <si>
    <t>ATE000:ea_FreRevCentAm</t>
  </si>
  <si>
    <t>ATE000:ea_FreRevSouthAm</t>
  </si>
  <si>
    <t>ATE000:ea_FreRevEurope</t>
  </si>
  <si>
    <t>ATE000:ea_FreRevAfrica</t>
  </si>
  <si>
    <t>ATE000:ea_FreRevMideast</t>
  </si>
  <si>
    <t>ATE000:ea_FreRevRussia</t>
  </si>
  <si>
    <t>ATE000:ea_FreRevChina</t>
  </si>
  <si>
    <t>ATE000:ea_FreRevNEAsia</t>
  </si>
  <si>
    <t>ATE000:ea_FreRevSEAsia</t>
  </si>
  <si>
    <t>ATE000:ea_FreRevSWAsia</t>
  </si>
  <si>
    <t>ATE000:ea_FreRevOceania</t>
  </si>
  <si>
    <t>ATE000:ea_FreRevWorld</t>
  </si>
  <si>
    <t xml:space="preserve">      Total World</t>
  </si>
  <si>
    <t>ATE000:fa_U.S.Total</t>
  </si>
  <si>
    <t xml:space="preserve">  United States</t>
  </si>
  <si>
    <t>ATE000:fa_USNarrowBody</t>
  </si>
  <si>
    <t xml:space="preserve">    Narrow Body Aircraft</t>
  </si>
  <si>
    <t>ATE000:fa_USWideBody</t>
  </si>
  <si>
    <t xml:space="preserve">    Wide Body Aircraft</t>
  </si>
  <si>
    <t>ATE000:fa_USRegional</t>
  </si>
  <si>
    <t xml:space="preserve">    Regional Jets</t>
  </si>
  <si>
    <t>ATE000:fa_Canada</t>
  </si>
  <si>
    <t xml:space="preserve">  Canada</t>
  </si>
  <si>
    <t>ATE000:fa_Central_Am</t>
  </si>
  <si>
    <t xml:space="preserve">  Central America</t>
  </si>
  <si>
    <t>ATE000:fa_South_Am</t>
  </si>
  <si>
    <t xml:space="preserve">  South America</t>
  </si>
  <si>
    <t>ATE000:fa_Europe</t>
  </si>
  <si>
    <t xml:space="preserve">  Europe</t>
  </si>
  <si>
    <t>ATE000:fa_Africa</t>
  </si>
  <si>
    <t xml:space="preserve">  Africa</t>
  </si>
  <si>
    <t>ATE000:fa_Mideast</t>
  </si>
  <si>
    <t xml:space="preserve">  Mideast</t>
  </si>
  <si>
    <t>ATE000:fa_Russia</t>
  </si>
  <si>
    <t xml:space="preserve">  Commonwealth of Independent States</t>
  </si>
  <si>
    <t>ATE000:fa_China</t>
  </si>
  <si>
    <t xml:space="preserve">  China</t>
  </si>
  <si>
    <t>ATE000:fa_NE_Asia</t>
  </si>
  <si>
    <t xml:space="preserve">  Northeast Asia</t>
  </si>
  <si>
    <t>ATE000:fa_SE_Asia</t>
  </si>
  <si>
    <t xml:space="preserve">  Southeast Asia</t>
  </si>
  <si>
    <t>ATE000:fa_SW_Asia</t>
  </si>
  <si>
    <t xml:space="preserve">  Southwest Asia</t>
  </si>
  <si>
    <t>ATE000:fa_Oceania</t>
  </si>
  <si>
    <t xml:space="preserve">  Oceania</t>
  </si>
  <si>
    <t>ATE000:fa_WorldTotal</t>
  </si>
  <si>
    <t xml:space="preserve">    Total World</t>
  </si>
  <si>
    <t>Aircraft Deliveries</t>
  </si>
  <si>
    <t>ATE000:sal_U.S.Total</t>
  </si>
  <si>
    <t>ATE000:sal_USNarrowBody</t>
  </si>
  <si>
    <t>ATE000:sal_USWideBody</t>
  </si>
  <si>
    <t>ATE000:sal_USRegional</t>
  </si>
  <si>
    <t>ATE000:sal_Canada</t>
  </si>
  <si>
    <t>ATE000:sal_Canada-nb</t>
  </si>
  <si>
    <t>ATE000:sal_Canada-wb</t>
  </si>
  <si>
    <t>ATE000:sal_Canada-rj</t>
  </si>
  <si>
    <t>ATE000:sal_Central_Am</t>
  </si>
  <si>
    <t>ATE000:sal_Central_Am-n</t>
  </si>
  <si>
    <t>ATE000:sal_Central_Am-w</t>
  </si>
  <si>
    <t>ATE000:sal_Central_Am-r</t>
  </si>
  <si>
    <t>ATE000:sal_South_Am</t>
  </si>
  <si>
    <t>ATE000:sal_South_Am-nb</t>
  </si>
  <si>
    <t>ATE000:sal_South_Am-wb</t>
  </si>
  <si>
    <t>ATE000:sal_South_Am-rj</t>
  </si>
  <si>
    <t>ATE000:sal_Europe</t>
  </si>
  <si>
    <t>ATE000:sal_Europe-nb</t>
  </si>
  <si>
    <t>ATE000:sal_Europe-wb</t>
  </si>
  <si>
    <t>ATE000:sal_Europe-rj</t>
  </si>
  <si>
    <t>ATE000:sal_Africa</t>
  </si>
  <si>
    <t>ATE000:sal_Africa-nb</t>
  </si>
  <si>
    <t>ATE000:sal_Africa-wb</t>
  </si>
  <si>
    <t>ATE000:sal_Africa-rj</t>
  </si>
  <si>
    <t>ATE000:sal_Mideast</t>
  </si>
  <si>
    <t>ATE000:sal_Mideast-nb</t>
  </si>
  <si>
    <t>ATE000:sal_Mideast-wb</t>
  </si>
  <si>
    <t>ATE000:sal_Mideast-rj</t>
  </si>
  <si>
    <t>ATE000:sal_Russia</t>
  </si>
  <si>
    <t>ATE000:sal_Russia-nb</t>
  </si>
  <si>
    <t>ATE000:sal_Russia-wb</t>
  </si>
  <si>
    <t>ATE000:sal_Russia-rj</t>
  </si>
  <si>
    <t>ATE000:sal_China</t>
  </si>
  <si>
    <t>ATE000:sal_China-nb</t>
  </si>
  <si>
    <t>ATE000:sal_China-wb</t>
  </si>
  <si>
    <t>ATE000:sal_China-rj</t>
  </si>
  <si>
    <t>ATE000:sal_NE_Asia</t>
  </si>
  <si>
    <t>ATE000:sal_NE_Asia-nb</t>
  </si>
  <si>
    <t>ATE000:sal_NE_Asia-wb</t>
  </si>
  <si>
    <t>ATE000:sal_NE_Asia-rj</t>
  </si>
  <si>
    <t>ATE000:sal_SE_Asia</t>
  </si>
  <si>
    <t>ATE000:sal_SE_Asia-nb</t>
  </si>
  <si>
    <t>ATE000:sal_SE_Asia-wb</t>
  </si>
  <si>
    <t>ATE000:sal_SE_Asia-rj</t>
  </si>
  <si>
    <t>ATE000:sal_SW_Asia</t>
  </si>
  <si>
    <t>ATE000:sal_SW_Asia-nb</t>
  </si>
  <si>
    <t>ATE000:sal_SW_Asia-wb</t>
  </si>
  <si>
    <t>ATE000:sal_SW_Asia-rj</t>
  </si>
  <si>
    <t>ATE000:sal_Oceania</t>
  </si>
  <si>
    <t>ATE000:sal_Oceania-nb</t>
  </si>
  <si>
    <t>ATE000:sal_Oceania-wb</t>
  </si>
  <si>
    <t>ATE000:sal_Oceania-rj</t>
  </si>
  <si>
    <t>ATE000:sal_WorldTotal</t>
  </si>
  <si>
    <t>Aircraft Efficiency (seat miles per gallon) 4/</t>
  </si>
  <si>
    <t xml:space="preserve">  New Aircraft</t>
  </si>
  <si>
    <t>ATE000:ma_NarrowBodyAir</t>
  </si>
  <si>
    <t>ATE000:ma_WideBodyAircr</t>
  </si>
  <si>
    <t>ATE000:ma_RegionalJets</t>
  </si>
  <si>
    <t>ATE000:ma_AverageAircra</t>
  </si>
  <si>
    <t xml:space="preserve">      Average Aircraft</t>
  </si>
  <si>
    <t xml:space="preserve">  Aircraft Stock</t>
  </si>
  <si>
    <t>ATE000:na_NarrowBodyAir</t>
  </si>
  <si>
    <t>ATE000:na_WideBodyAircr</t>
  </si>
  <si>
    <t>ATE000:na_RegionalJets</t>
  </si>
  <si>
    <t>ATE000:na_AverageAircra</t>
  </si>
  <si>
    <t xml:space="preserve">  Commercial Jet Fuel</t>
  </si>
  <si>
    <t>ATE000:oa_JF_US</t>
  </si>
  <si>
    <t>ATE000:oa_JF_Canada</t>
  </si>
  <si>
    <t>ATE000:oa_JF_Central_Am</t>
  </si>
  <si>
    <t>ATE000:oa_JF_South_Am</t>
  </si>
  <si>
    <t>ATE000:oa_JF_Europe</t>
  </si>
  <si>
    <t>ATE000:oa_JF_Africa</t>
  </si>
  <si>
    <t>ATE000:oa_JF_Mideast</t>
  </si>
  <si>
    <t>ATE000:oa_JF_Russia</t>
  </si>
  <si>
    <t>ATE000:oa_JF_China</t>
  </si>
  <si>
    <t>ATE000:oa_JF_NE_Asia</t>
  </si>
  <si>
    <t>ATE000:oa_JF_SE_Asia</t>
  </si>
  <si>
    <t>ATE000:oa_JF_SW_Asia</t>
  </si>
  <si>
    <t>ATE000:oa_JF_Oceania</t>
  </si>
  <si>
    <t>ATE000:oa_JF_World</t>
  </si>
  <si>
    <t>ATE000:oa_AviationGasol</t>
  </si>
  <si>
    <t xml:space="preserve">  Commercial Aviation Gasoline, U.S.</t>
  </si>
  <si>
    <t>ATE000:pa_JetFuelUS</t>
  </si>
  <si>
    <t xml:space="preserve">  Military Jet Fuel, U.S.</t>
  </si>
  <si>
    <t>1/ Assumed to be the same as International U.S.</t>
  </si>
  <si>
    <t>2/ Domestic and International represent intra-and inter-region, respectively.</t>
  </si>
  <si>
    <t>3/ Includes freight carried by passenger aircraft (belly freight) and dedicated freighter aircraft.</t>
  </si>
  <si>
    <t>4/ Efficiency values are representative of global passenger aircraft deliveries and stock, and include belly freight</t>
  </si>
  <si>
    <t xml:space="preserve">  (converted to seats using an average weight of 200 pounds for each passenger, including luggage).</t>
  </si>
  <si>
    <t>Sources:  2021:  U.S. Energy Information Administration (EIA), Short-Term Energy Outlook, November 2021 and EIA, AEO2022</t>
  </si>
  <si>
    <t>National Energy Modeling System run ref2022.d011222a.  Projections:  EIA AEO2022 National Energy Modeling System run ref2022.d011222a.</t>
  </si>
  <si>
    <t>FTE000</t>
  </si>
  <si>
    <t>49. Freight Transportation Energy Use</t>
  </si>
  <si>
    <t xml:space="preserve"> Technology and Fuel Type</t>
  </si>
  <si>
    <t>Freight Truck Stock by Size Class 1/</t>
  </si>
  <si>
    <t xml:space="preserve">  Vehicle Miles Traveled (billion miles)</t>
  </si>
  <si>
    <t xml:space="preserve">    Light Medium</t>
  </si>
  <si>
    <t>FTE000:lm_vmt_stk_Dies</t>
  </si>
  <si>
    <t xml:space="preserve">      Diesel</t>
  </si>
  <si>
    <t>FTE000:lm_vmt_stk_Gas</t>
  </si>
  <si>
    <t xml:space="preserve">      Motor Gasoline</t>
  </si>
  <si>
    <t>FTE000:lm_vmt_stk_Liq</t>
  </si>
  <si>
    <t>FTE000:lm_vmt_stk_NGas</t>
  </si>
  <si>
    <t xml:space="preserve">      Compressed/Liquefied Natural Gas</t>
  </si>
  <si>
    <t>FTE000:lm_vmt_stk_eff</t>
  </si>
  <si>
    <t xml:space="preserve">      Ethanol-Flex Fuel</t>
  </si>
  <si>
    <t>FTE000:lm_vmt_stk_elec</t>
  </si>
  <si>
    <t xml:space="preserve">      Electric</t>
  </si>
  <si>
    <t>FTE000:lm_vmt_stk_pidh</t>
  </si>
  <si>
    <t xml:space="preserve">      Plug-in Diesel Hybrid</t>
  </si>
  <si>
    <t>FTE000:lm_vmt_stk_pigh</t>
  </si>
  <si>
    <t xml:space="preserve">      Plug-in Gasoline Hybrid</t>
  </si>
  <si>
    <t>FTE000:lm_vmt_stk_cell</t>
  </si>
  <si>
    <t xml:space="preserve">      Fuel Cell</t>
  </si>
  <si>
    <t>FTE000:lm_vmt_stk_total</t>
  </si>
  <si>
    <t xml:space="preserve">        Light Medium Subtotal</t>
  </si>
  <si>
    <t xml:space="preserve">    Medium</t>
  </si>
  <si>
    <t>FTE000:ca_Diesel</t>
  </si>
  <si>
    <t>FTE000:ca_Gasoline</t>
  </si>
  <si>
    <t>FTE000:ca_LiquefiedPetr</t>
  </si>
  <si>
    <t>FTE000:ca_CompressedNat</t>
  </si>
  <si>
    <t>FTE000:ca_ethanolflex</t>
  </si>
  <si>
    <t>FTE000:ca_electric</t>
  </si>
  <si>
    <t>FTE000:ca_plugindiesel</t>
  </si>
  <si>
    <t>FTE000:ca_plugingasolin</t>
  </si>
  <si>
    <t>FTE000:ca_fuelcell</t>
  </si>
  <si>
    <t>FTE000:ca_MediumSubtota</t>
  </si>
  <si>
    <t xml:space="preserve">        Medium Subtotal</t>
  </si>
  <si>
    <t xml:space="preserve">    Heavy</t>
  </si>
  <si>
    <t>FTE000:da_Diesel</t>
  </si>
  <si>
    <t>FTE000:da_Gasoline</t>
  </si>
  <si>
    <t>FTE000:da_LiquefiedPetr</t>
  </si>
  <si>
    <t>FTE000:da_CompressedNat</t>
  </si>
  <si>
    <t>FTE000:da_ethanolflex</t>
  </si>
  <si>
    <t>FTE000:da_electric</t>
  </si>
  <si>
    <t>FTE000:da_plugindiesel</t>
  </si>
  <si>
    <t>FTE000:da_plugingasolin</t>
  </si>
  <si>
    <t>FTE000:da_fuelcell</t>
  </si>
  <si>
    <t>FTE000:da_HeavySubtotal</t>
  </si>
  <si>
    <t xml:space="preserve">        Heavy Subtotal</t>
  </si>
  <si>
    <t>FTE000:da_TotalVehicleM</t>
  </si>
  <si>
    <t xml:space="preserve">  Total Vehicle Miles Traveled</t>
  </si>
  <si>
    <t xml:space="preserve">  Consumption (trillion Btu)</t>
  </si>
  <si>
    <t>FTE000:lm_use_stk_Dies</t>
  </si>
  <si>
    <t>FTE000:lm_use_stk_Gas</t>
  </si>
  <si>
    <t>FTE000:lm_use_stk_Liq</t>
  </si>
  <si>
    <t>FTE000:lm_use_stk_NGas</t>
  </si>
  <si>
    <t>FTE000:lm_use_stk_flex</t>
  </si>
  <si>
    <t>FTE000:lm_use_stk_elect</t>
  </si>
  <si>
    <t>FTE000:lm_use_stk_plugd</t>
  </si>
  <si>
    <t>FTE000:lm_use_stk_plugg</t>
  </si>
  <si>
    <t>FTE000:lm_use_stk_sell</t>
  </si>
  <si>
    <t>FTE000:lm_use_stk_total</t>
  </si>
  <si>
    <t>FTE000:ea_Diesel</t>
  </si>
  <si>
    <t>FTE000:ea_Gasoline</t>
  </si>
  <si>
    <t>FTE000:ea_LiquefiedPetr</t>
  </si>
  <si>
    <t>FTE000:ea_CompressedNat</t>
  </si>
  <si>
    <t>FTE000:ea_ethanolflex</t>
  </si>
  <si>
    <t>FTE000:ea_electric</t>
  </si>
  <si>
    <t>FTE000:ea_plugindiesel</t>
  </si>
  <si>
    <t>FTE000:ea_plugingasolin</t>
  </si>
  <si>
    <t>FTE000:ea_fuelcell</t>
  </si>
  <si>
    <t>FTE000:ea_MediumSubtota</t>
  </si>
  <si>
    <t>FTE000:fa_Diesel</t>
  </si>
  <si>
    <t>FTE000:fa_Gasoline</t>
  </si>
  <si>
    <t>FTE000:fa_LiquefiedPetr</t>
  </si>
  <si>
    <t>FTE000:fa_CompressedNat</t>
  </si>
  <si>
    <t>FTE000:fa_ethanolflex</t>
  </si>
  <si>
    <t>FTE000:fa_electric</t>
  </si>
  <si>
    <t>FTE000:fa_plugindiesel</t>
  </si>
  <si>
    <t>FTE000:fa_plugingasolin</t>
  </si>
  <si>
    <t>FTE000:fa_fuelcell</t>
  </si>
  <si>
    <t>FTE000:fa_HeavySubtotal</t>
  </si>
  <si>
    <t xml:space="preserve">    Light Medium, Medium, and Heavy Total</t>
  </si>
  <si>
    <t>FTE000:ga_Diesel</t>
  </si>
  <si>
    <t>FTE000:ga_Gasoline</t>
  </si>
  <si>
    <t>FTE000:ga_LiquefiedPetr</t>
  </si>
  <si>
    <t>FTE000:ga_CompressedNat</t>
  </si>
  <si>
    <t>FTE000:ga_ethanolflex</t>
  </si>
  <si>
    <t>FTE000:ga_electric</t>
  </si>
  <si>
    <t>FTE000:ga_plugindiesel</t>
  </si>
  <si>
    <t>FTE000:ga_plugingasolin</t>
  </si>
  <si>
    <t>FTE000:ga_fuelcell</t>
  </si>
  <si>
    <t>FTE000:ga_Total</t>
  </si>
  <si>
    <t xml:space="preserve">        Total Consumption</t>
  </si>
  <si>
    <t xml:space="preserve">  Fuel Efficiency (miles per gallon)</t>
  </si>
  <si>
    <t>FTE000:lm_mpg_stk_Dies</t>
  </si>
  <si>
    <t>FTE000:lm_mpg_stk_Gas</t>
  </si>
  <si>
    <t>FTE000:lm_mpg_stk_Liq</t>
  </si>
  <si>
    <t>FTE000:lm_mpg_stk_NGas</t>
  </si>
  <si>
    <t>FTE000:lm_mpg_stk_fleck</t>
  </si>
  <si>
    <t>FTE000:lm_mpg_stk_eleck</t>
  </si>
  <si>
    <t>FTE000:lm_mpg_stk_diehy</t>
  </si>
  <si>
    <t>FTE000:lm_mpg_stk_gashy</t>
  </si>
  <si>
    <t>FTE000:lm_mpg_stk_cel</t>
  </si>
  <si>
    <t>FTE000:lm_mpg_stk_total</t>
  </si>
  <si>
    <t xml:space="preserve">        Light Medium Average</t>
  </si>
  <si>
    <t>FTE000:ha_Diesel</t>
  </si>
  <si>
    <t>FTE000:ha_Gasoline</t>
  </si>
  <si>
    <t>FTE000:ha_LiquefiedPetr</t>
  </si>
  <si>
    <t>FTE000:ha_CompressedNat</t>
  </si>
  <si>
    <t>FTE000:ha_ethanolflex</t>
  </si>
  <si>
    <t>FTE000:ha_electric</t>
  </si>
  <si>
    <t>FTE000:ha_plugindiesel</t>
  </si>
  <si>
    <t>FTE000:ha_plugingasolin</t>
  </si>
  <si>
    <t>FTE000:ha_fuelcell</t>
  </si>
  <si>
    <t>FTE000:ha_MediumAverage</t>
  </si>
  <si>
    <t xml:space="preserve">        Medium Average</t>
  </si>
  <si>
    <t>FTE000:ia_Diesel</t>
  </si>
  <si>
    <t>FTE000:ia_Gasoline</t>
  </si>
  <si>
    <t>FTE000:ia_LiquefiedPetr</t>
  </si>
  <si>
    <t>FTE000:ia_CompressedNat</t>
  </si>
  <si>
    <t>FTE000:ia_ethanolflex</t>
  </si>
  <si>
    <t>FTE000:ia_electric</t>
  </si>
  <si>
    <t>FTE000:ia_plugindiesel</t>
  </si>
  <si>
    <t>FTE000:ia_plugingasolin</t>
  </si>
  <si>
    <t>FTE000:ia_fuelcell</t>
  </si>
  <si>
    <t>FTE000:ia_HeavyAverage</t>
  </si>
  <si>
    <t xml:space="preserve">        Heavy Average</t>
  </si>
  <si>
    <t>FTE000:ia_Average</t>
  </si>
  <si>
    <t xml:space="preserve">  Average Fuel Efficiency</t>
  </si>
  <si>
    <t xml:space="preserve">  Stock (millions)</t>
  </si>
  <si>
    <t>FTE000:lm_stk_stk_Dies</t>
  </si>
  <si>
    <t>FTE000:lm_stk_stk_Gas</t>
  </si>
  <si>
    <t>FTE000:lm_stk_stk_Liq</t>
  </si>
  <si>
    <t>FTE000:lm_stk_stk_NGas</t>
  </si>
  <si>
    <t>FTE000:lm_stk_stk_flux</t>
  </si>
  <si>
    <t>FTE000:lm_stk_stk_el</t>
  </si>
  <si>
    <t>FTE000:lm_stk_stk_inDie</t>
  </si>
  <si>
    <t>FTE000:lm_stk_stk_inGas</t>
  </si>
  <si>
    <t>FTE000:lm_stk_stk_FuelC</t>
  </si>
  <si>
    <t>FTE000:lm_stk_stk_total</t>
  </si>
  <si>
    <t>FTE000:ja_Diesel</t>
  </si>
  <si>
    <t>FTE000:ja_Gasoline</t>
  </si>
  <si>
    <t>FTE000:ja_LiquefiedPetr</t>
  </si>
  <si>
    <t>FTE000:ja_CompressedNat</t>
  </si>
  <si>
    <t>FTE000:ja_ethanolflex</t>
  </si>
  <si>
    <t>FTE000:ja_electric</t>
  </si>
  <si>
    <t>FTE000:ja_plugindiesel</t>
  </si>
  <si>
    <t>FTE000:ja_plugingasolin</t>
  </si>
  <si>
    <t>FTE000:ja_fuelcell</t>
  </si>
  <si>
    <t>FTE000:ja_MediumSubtota</t>
  </si>
  <si>
    <t>FTE000:ka_Diesel</t>
  </si>
  <si>
    <t>FTE000:ka_Gasoline</t>
  </si>
  <si>
    <t>FTE000:ka_LiquefiedPetr</t>
  </si>
  <si>
    <t>FTE000:ka_CompressedNat</t>
  </si>
  <si>
    <t>FTE000:ka_ethanolflex</t>
  </si>
  <si>
    <t>FTE000:ka_electric</t>
  </si>
  <si>
    <t>FTE000:ka_plugindiesel</t>
  </si>
  <si>
    <t>FTE000:ka_plugingasolin</t>
  </si>
  <si>
    <t>FTE000:ka_fuelcell</t>
  </si>
  <si>
    <t>FTE000:ka_HeavySubtotal</t>
  </si>
  <si>
    <t>FTE000:ka_TotalStock</t>
  </si>
  <si>
    <t xml:space="preserve">  Total Stock</t>
  </si>
  <si>
    <t>FTE000:lm_mpg_new_Dies</t>
  </si>
  <si>
    <t>FTE000:lm_mpg_new_Gas</t>
  </si>
  <si>
    <t>FTE000:lm_mpg_new_Liq</t>
  </si>
  <si>
    <t>FTE000:lm_mpg_new_NGas</t>
  </si>
  <si>
    <t>FTE000:lm_mpg_new_Ethfl</t>
  </si>
  <si>
    <t>FTE000:lm_mpg_new_lectr</t>
  </si>
  <si>
    <t>FTE000:lm_mpg_new_PlgDs</t>
  </si>
  <si>
    <t>FTE000:lm_mpg_new_PlgGs</t>
  </si>
  <si>
    <t>FTE000:lm_mpg_new_FuCel</t>
  </si>
  <si>
    <t>FTE000:lm_mpg_new_total</t>
  </si>
  <si>
    <t>FTE000:ma_Diesel</t>
  </si>
  <si>
    <t>FTE000:ma_Gasoline</t>
  </si>
  <si>
    <t>FTE000:ma_LiquefiedPetr</t>
  </si>
  <si>
    <t>FTE000:ma_CompressedNat</t>
  </si>
  <si>
    <t>FTE000:ma_ethanolflex</t>
  </si>
  <si>
    <t>FTE000:ma_electric</t>
  </si>
  <si>
    <t>FTE000:ma_plugindiesel</t>
  </si>
  <si>
    <t>FTE000:ma_plugingasolin</t>
  </si>
  <si>
    <t>FTE000:ma_fuelcell</t>
  </si>
  <si>
    <t>FTE000:ma_MediumAverage</t>
  </si>
  <si>
    <t>FTE000:na_Diesel</t>
  </si>
  <si>
    <t>FTE000:na_Gasoline</t>
  </si>
  <si>
    <t>FTE000:na_LiquefiedPetr</t>
  </si>
  <si>
    <t>FTE000:na_CompressedNat</t>
  </si>
  <si>
    <t>FTE000:na_ethanolflex</t>
  </si>
  <si>
    <t>FTE000:na_electric</t>
  </si>
  <si>
    <t>FTE000:na_plugindiesel</t>
  </si>
  <si>
    <t>FTE000:na_plugingasolin</t>
  </si>
  <si>
    <t>FTE000:na_fuelcell</t>
  </si>
  <si>
    <t>FTE000:na_HeavyAverage</t>
  </si>
  <si>
    <t>FTE000:na_Average</t>
  </si>
  <si>
    <t xml:space="preserve">  Sales (thousands)</t>
  </si>
  <si>
    <t>FTE000:lm_sal_new_Dies</t>
  </si>
  <si>
    <t>FTE000:lm_sal_new_Gas</t>
  </si>
  <si>
    <t>FTE000:lm_sal_new_Liq</t>
  </si>
  <si>
    <t>FTE000:lm_sal_new_NGas</t>
  </si>
  <si>
    <t>FTE000:lm_sal_new_flxfl</t>
  </si>
  <si>
    <t>FTE000:lm_sal_new_lctrc</t>
  </si>
  <si>
    <t>FTE000:lm_sal_new_PiDH</t>
  </si>
  <si>
    <t>FTE000:lm_sal_new_PiGH</t>
  </si>
  <si>
    <t>FTE000:lm_sal_new_FlCll</t>
  </si>
  <si>
    <t>FTE000:lm_sal_new_total</t>
  </si>
  <si>
    <t>FTE000:oa_Diesel</t>
  </si>
  <si>
    <t>FTE000:oa_Gasoline</t>
  </si>
  <si>
    <t>FTE000:oa_LiquefiedPetr</t>
  </si>
  <si>
    <t>FTE000:oa_CompressedNat</t>
  </si>
  <si>
    <t>FTE000:oa_ethanolflex</t>
  </si>
  <si>
    <t>FTE000:oa_electric</t>
  </si>
  <si>
    <t>FTE000:oa_plugindiesel</t>
  </si>
  <si>
    <t>FTE000:oa_plugingasolin</t>
  </si>
  <si>
    <t>FTE000:oa_fuelcell</t>
  </si>
  <si>
    <t>FTE000:oa_MediumSubtota</t>
  </si>
  <si>
    <t>FTE000:pa_Diesel</t>
  </si>
  <si>
    <t>FTE000:pa_Gasoline</t>
  </si>
  <si>
    <t>FTE000:pa_LiquefiedPetr</t>
  </si>
  <si>
    <t>FTE000:pa_CompressedNat</t>
  </si>
  <si>
    <t>FTE000:pa_ethanolflex</t>
  </si>
  <si>
    <t>FTE000:pa_electric</t>
  </si>
  <si>
    <t>FTE000:pa_plugindiesel</t>
  </si>
  <si>
    <t>FTE000:pa_plugingasolin</t>
  </si>
  <si>
    <t>FTE000:pa_fuelcell</t>
  </si>
  <si>
    <t>FTE000:pa_HeavySubtotal</t>
  </si>
  <si>
    <t>FTE000:pa_TotalSales</t>
  </si>
  <si>
    <t xml:space="preserve">  Total Sales</t>
  </si>
  <si>
    <t>FTE000:qa_TonMilesbyRai</t>
  </si>
  <si>
    <t xml:space="preserve"> Ton Miles by Rail (billion)</t>
  </si>
  <si>
    <t>FTE000:qa_FuelEfficienc</t>
  </si>
  <si>
    <t xml:space="preserve"> Fuel Efficiency (ton miles per thousand Btu)</t>
  </si>
  <si>
    <t xml:space="preserve"> Fuel Consumption (trillion Btu)</t>
  </si>
  <si>
    <t>FTE000:qa_Distillate(di</t>
  </si>
  <si>
    <t xml:space="preserve">   Distillate Fuel Oil (diesel)</t>
  </si>
  <si>
    <t>FTE000:qa_ResidualOil</t>
  </si>
  <si>
    <t xml:space="preserve">   Residual Fuel Oil</t>
  </si>
  <si>
    <t>FTE000:qa_Electricity</t>
  </si>
  <si>
    <t xml:space="preserve">   Compressed Natural Gas</t>
  </si>
  <si>
    <t>FTE000:qa_ElEnGee</t>
  </si>
  <si>
    <t xml:space="preserve">   Liquefied Natural Gas</t>
  </si>
  <si>
    <t>FTE000:ra_TonMilesShipp</t>
  </si>
  <si>
    <t xml:space="preserve"> Ton Miles Shipping (billion)</t>
  </si>
  <si>
    <t>FTE000:ra_FuelEfficienc</t>
  </si>
  <si>
    <t>FTE000:ra_Distillate(di</t>
  </si>
  <si>
    <t>FTE000:ra_ResidualOil</t>
  </si>
  <si>
    <t>FTE000:ra_MotorGasoline</t>
  </si>
  <si>
    <t>FTE000:ra_ElEnGee</t>
  </si>
  <si>
    <t>FTE000:sa_GrossTrade(bi</t>
  </si>
  <si>
    <t xml:space="preserve"> Gross Trade (billion 2012 dollars)</t>
  </si>
  <si>
    <t>FTE000:sa_Exports(billi</t>
  </si>
  <si>
    <t xml:space="preserve"> Exports (billion 2012 dollars)</t>
  </si>
  <si>
    <t>FTE000:sa_Imports(billi</t>
  </si>
  <si>
    <t xml:space="preserve"> Imports (billion 2012 dollars)</t>
  </si>
  <si>
    <t>FTE000:sa_Distillate(di</t>
  </si>
  <si>
    <t>FTE000:sa_ResidualOil</t>
  </si>
  <si>
    <t>FTE000:sa_SeeEnGee</t>
  </si>
  <si>
    <t>FTE000:sa_ElEnGee</t>
  </si>
  <si>
    <t>1/ Light Medium, Medium, and Heavy contain Class 3, Classes 4-6, and Classes 7-8, respectively.</t>
  </si>
  <si>
    <t>MPG = Miles per gallon.</t>
  </si>
  <si>
    <t>Sources:  2021:  U.S. Energy Information Administration (EIA),</t>
  </si>
  <si>
    <t>Short-Term Energy Outlook, November 2021 and EIA, AEO2022 National Energy Modeling System run ref2022.d011222a.</t>
  </si>
  <si>
    <t>Projections:  EIA, AEO2022 National Energy Modeling System run ref2022.d011222a.</t>
  </si>
  <si>
    <t>Growth (2021-2050)</t>
  </si>
  <si>
    <t>Table 46.  Transportation Fleet Car and Truck Vehicle Miles Traveled by Type and Technology</t>
  </si>
  <si>
    <t>Cars</t>
  </si>
  <si>
    <t>Conventional Cars</t>
  </si>
  <si>
    <t>Gasoline ICE Vehicles</t>
  </si>
  <si>
    <t>TDI Diesel ICE</t>
  </si>
  <si>
    <t>Total Conventional Cars</t>
  </si>
  <si>
    <t>Alternative-Fuel Cars</t>
  </si>
  <si>
    <t>Ethanol-Flex Fuel ICE</t>
  </si>
  <si>
    <t>Plug-in 20 Gasoline Hybrid</t>
  </si>
  <si>
    <t>Plug-in 50 Gasoline Hybrid</t>
  </si>
  <si>
    <t>Electric-Diesel Hybrid</t>
  </si>
  <si>
    <t>Electric-Gasoline Hybrid</t>
  </si>
  <si>
    <t>Natural Gas ICE</t>
  </si>
  <si>
    <t>Natural Gas Bi-fuel</t>
  </si>
  <si>
    <t>Propane ICE</t>
  </si>
  <si>
    <t>Propane Bi-fuel</t>
  </si>
  <si>
    <t>Fuel Cell Methanol</t>
  </si>
  <si>
    <t>Fuel Cell Hydrogen</t>
  </si>
  <si>
    <t>Total Alternative Cars</t>
  </si>
  <si>
    <t>Total Cars</t>
  </si>
  <si>
    <t>Conventional Light Trucks</t>
  </si>
  <si>
    <t>Total Conventional Light Trucks</t>
  </si>
  <si>
    <t>Alternative-Fuel Light Trucks</t>
  </si>
  <si>
    <t>Total Alternative Light Trucks</t>
  </si>
  <si>
    <t>Total Light Trucks</t>
  </si>
  <si>
    <t>Total Commercial Light Trucks</t>
  </si>
  <si>
    <t>For buses, we choose to use the EPA GHG Inventory to calculate the 2020 value, due to the fact the Inventory</t>
  </si>
  <si>
    <t>reports only a ~20% drop in emissions from buses vs. the AEO which reports a ~50% drop. We then scale back</t>
  </si>
  <si>
    <t>up to AEO values over a period of 5 years.</t>
  </si>
  <si>
    <t>Bus adjustment factor, 2020-2025</t>
  </si>
  <si>
    <t>EPA</t>
  </si>
  <si>
    <t>Inventory of U.S. Greenhouse Gas Emissions and Sinks: 1990-2020</t>
  </si>
  <si>
    <t>https://www.epa.gov/ghgemissions/inventory-us-greenhouse-gas-emissions-and-sinks-1990-2020</t>
  </si>
  <si>
    <t>Table 3-13</t>
  </si>
  <si>
    <t>ref2023.d020623a</t>
  </si>
  <si>
    <t>Annual Energy Outlook 2023</t>
  </si>
  <si>
    <t>ref2023</t>
  </si>
  <si>
    <t>d020623a</t>
  </si>
  <si>
    <t xml:space="preserve"> March 2023</t>
  </si>
  <si>
    <t>2022–2050</t>
  </si>
  <si>
    <t>TKI000:ia_liquefactexp</t>
  </si>
  <si>
    <t xml:space="preserve">   Natural Gas Liquefaction for Export 7/</t>
  </si>
  <si>
    <t>TKI000:da_liquefactexp</t>
  </si>
  <si>
    <t>1/ Commercial trucks have a 8,501 to 10,000 pound gross vehicle weight rating.</t>
  </si>
  <si>
    <t>4/ U.S. Environmental Protection Agency rated miles per gallon.</t>
  </si>
  <si>
    <t>7/ Fuel used in facilities that liquefy natural gas for export.</t>
  </si>
  <si>
    <t>Data source: 2022:  U.S. Energy Information Administration (EIA), Short-Term Energy Outlook, November 2022 and EIA, AEO2023</t>
  </si>
  <si>
    <t>AEO2023 National Energy Modeling System run ref2023.d020623a. Projections:  EIA, AEO2023 National Energy Modeling System run ref2023.d020623a.</t>
  </si>
  <si>
    <t>https://www.eia.gov/outlooks/aeo/data/browser/#/?id=45-AEO2023&amp;region=0-0&amp;cases=lowmacro&amp;start=2021&amp;end=2050&amp;f=A&amp;sourcekey=0</t>
  </si>
  <si>
    <t>Tue Apr 11 2023 11:16:50 GMT-0400 (Eastern Daylight Time)</t>
  </si>
  <si>
    <t>Growth (2022-2050)</t>
  </si>
  <si>
    <t>Transportation Energy Use: Highway: Light-Duty Vehicles: Low Economic Growth</t>
  </si>
  <si>
    <t>AEO.2023.LOWMACRO.CNSM_NA_TRN_HWY_LDV_NA_NA_TRLBTU.A</t>
  </si>
  <si>
    <t>Transportation Energy Use: Highway: Light-Duty Vehicles: Automobiles: Low Economic Growth</t>
  </si>
  <si>
    <t>AEO.2023.LOWMACRO.CNSM_NA_TRN_HWY_LDV_AUTO_NA_TRLBTU.A</t>
  </si>
  <si>
    <t>Transportation Energy Use: Highway: Light-Duty Vehicles: Light Trucks: Low Economic Growth</t>
  </si>
  <si>
    <t>AEO.2023.LOWMACRO.CNSM_NA_TRN_HWY_LDV_LTRT_NA_TRLBTU.A</t>
  </si>
  <si>
    <t>Transportation Energy Use: Highway: Light-Duty Vehicles: Motorcycles: Low Economic Growth</t>
  </si>
  <si>
    <t>AEO.2023.LOWMACRO.CNSM_NA_TRN_HWY_LDV_MCYCL_NA_TRLBTU.A</t>
  </si>
  <si>
    <t>Transportation Energy Use: Highway: Commercial Light Trucks: Low Economic Growth</t>
  </si>
  <si>
    <t>AEO.2023.LOWMACRO.CNSM_NA_TRN_HWY_CML_NA_NA_TRLBTU.A</t>
  </si>
  <si>
    <t>Transportation Energy Use: Highway: Buses: Low Economic Growth</t>
  </si>
  <si>
    <t>AEO.2023.LOWMACRO.CNSM_NA_TRN_HWY_BUS_NA_NA_TRLBTU.A</t>
  </si>
  <si>
    <t>Transportation Energy Use: Highway: Buses: Transit: Low Economic Growth</t>
  </si>
  <si>
    <t>AEO.2023.LOWMACRO.CNSM_NA_TRN_HWY_BUS_TNST_NA_TRLBTU.A</t>
  </si>
  <si>
    <t>Transportation Energy Use: Highway: Buses: Intercity: Low Economic Growth</t>
  </si>
  <si>
    <t>AEO.2023.LOWMACRO.CNSM_NA_TRN_HWY_BUS_ICYT_NA_TRLBTU.A</t>
  </si>
  <si>
    <t>Transportation Energy Use: Highway: Buses: School: Low Economic Growth</t>
  </si>
  <si>
    <t>AEO.2023.LOWMACRO.CNSM_NA_TRN_HWY_BUS_SCBU_NA_TRLBTU.A</t>
  </si>
  <si>
    <t>Transportation Energy Use: Highway: Freight Trucks: Low Economic Growth</t>
  </si>
  <si>
    <t>AEO.2023.LOWMACRO.CNSM_NA_TRN_HWY_FGHT_NA_NA_TRLBTU.A</t>
  </si>
  <si>
    <t>Transportation Energy Use: Highway: Freight Trucks: Light Medium: Low Economic Growth</t>
  </si>
  <si>
    <t>AEO.2023.LOWMACRO.CNSM_NA_TRN_HWY_FGHT_LITEMED_NA_TRLBTU.A</t>
  </si>
  <si>
    <t>Transportation Energy Use: Highway: Freight Trucks: Medium: Low Economic Growth</t>
  </si>
  <si>
    <t>AEO.2023.LOWMACRO.CNSM_NA_TRN_HWY_FGHT_MD10T26KLB_NA_TRLBTU.A</t>
  </si>
  <si>
    <t>Large  (more than 26000 pounds)</t>
  </si>
  <si>
    <t>Transportation Energy Use: Highway: Freight Trucks: Large: Low Economic Growth</t>
  </si>
  <si>
    <t>AEO.2023.LOWMACRO.#N/A.A</t>
  </si>
  <si>
    <t>Transportation Energy Use: Non-Highway: Air: Low Economic Growth</t>
  </si>
  <si>
    <t>AEO.2023.LOWMACRO.CNSM_NA_TRN_AIR_NA_NA_NA_TRLBTU.A</t>
  </si>
  <si>
    <t>Transportation Energy Use: Non-Highway: Air: General Aviation: Low Economic Growth</t>
  </si>
  <si>
    <t>AEO.2023.LOWMACRO.CNSM_NA_TRN_AIR_GAV_NA_NA_TRLBTU.A</t>
  </si>
  <si>
    <t>Transportation Energy Use: Non-Highway: Air: Domestic Passenger: Low Economic Growth</t>
  </si>
  <si>
    <t>AEO.2023.LOWMACRO.CNSM_NA_TRN_AIR_DAC_NA_NA_TRLBTU.A</t>
  </si>
  <si>
    <t>Transportation Energy Use: Non-Highway: Air: International Passenger: Low Economic Growth</t>
  </si>
  <si>
    <t>AEO.2023.LOWMACRO.CNSM_NA_TRN_AIR_IAC_NA_NA_TRLBTU.A</t>
  </si>
  <si>
    <t>Transportation Energy Use: Non-Highway: Air: Dedicated Freight: Low Economic Growth</t>
  </si>
  <si>
    <t>AEO.2023.LOWMACRO.CNSM_NA_TRN_AIR_DFT_NA_NA_TRLBTU.A</t>
  </si>
  <si>
    <t>Transportation Energy Use: Non-Highway: Water: Low Economic Growth</t>
  </si>
  <si>
    <t>AEO.2023.LOWMACRO.CNSM_NA_TRN_WTR_NA_NA_NA_TRLBTU.A</t>
  </si>
  <si>
    <t>Transportation Energy Use: Non-Highway: Water: Freight: Low Economic Growth</t>
  </si>
  <si>
    <t>AEO.2023.LOWMACRO.CNSM_NA_TRN_WTR_FGT_NA_NA_TRLBTU.A</t>
  </si>
  <si>
    <t>Transportation Energy Use: Non-Highway: Water: Freight: Domestic Shipping: Low Economic Growth</t>
  </si>
  <si>
    <t>AEO.2023.LOWMACRO.CNSM_NA_TRN_WTR_DMT_NA_NA_TRLBTU.A</t>
  </si>
  <si>
    <t>Transportation Energy Use: Non-Highway: Water: Freight: International Shipping: Low Economic Growth</t>
  </si>
  <si>
    <t>AEO.2023.LOWMACRO.CNSM_NA_TRN_WTR_INTS_NA_NA_TRLBTU.A</t>
  </si>
  <si>
    <t>Transportation Energy Use: Non-Highway: Water: Recreational Boats: Low Economic Growth</t>
  </si>
  <si>
    <t>AEO.2023.LOWMACRO.CNSM_NA_TRN_WTR_RBT_NA_NA_TRLBTU.A</t>
  </si>
  <si>
    <t>Transportation Energy Use: Non-Highway: Rail: Low Economic Growth</t>
  </si>
  <si>
    <t>AEO.2023.LOWMACRO.CNSM_NA_TRN_RAIL_RAIL_NA_NA_TRLBTU.A</t>
  </si>
  <si>
    <t>Transportation Energy Use: Non-Highway: Rail: Freight: Low Economic Growth</t>
  </si>
  <si>
    <t>AEO.2023.LOWMACRO.CNSM_NA_TRN_RAIL_FGT_NA_NA_TRLBTU.A</t>
  </si>
  <si>
    <t>Transportation Energy Use: Non-Highway: Rail: Passenger: Low Economic Growth</t>
  </si>
  <si>
    <t>AEO.2023.LOWMACRO.CNSM_NA_TRN_RAIL_PSG_PSG_NA_TRLBTU.A</t>
  </si>
  <si>
    <t>Transportation Energy Use: Non-Highway: Rail: Passenger: Intercity: Low Economic Growth</t>
  </si>
  <si>
    <t>AEO.2023.LOWMACRO.CNSM_NA_TRN_RAIL_PSG_ICYT_NA_TRLBTU.A</t>
  </si>
  <si>
    <t>Transportation Energy Use: Non-Highway: Rail: Passenger: Transit: Low Economic Growth</t>
  </si>
  <si>
    <t>AEO.2023.LOWMACRO.CNSM_NA_TRN_RAIL_PSG_TNST_NA_TRLBTU.A</t>
  </si>
  <si>
    <t>Transportation Energy Use: Non-Highway: Rail: Passenger: Commuter: Low Economic Growth</t>
  </si>
  <si>
    <t>AEO.2023.LOWMACRO.CNSM_NA_TRN_RAIL_PSG_CMTR_NA_TRLBTU.A</t>
  </si>
  <si>
    <t>Transportation Energy Use: Non-Highway: Lubricants: Low Economic Growth</t>
  </si>
  <si>
    <t>AEO.2023.LOWMACRO.CNSM_NA_TRN_NA_LBC_NA_NA_TRLBTU.A</t>
  </si>
  <si>
    <t>Transportation Energy Use: Non-Highway: Pipeline Fuel Natural Gas: Low Economic Growth</t>
  </si>
  <si>
    <t>AEO.2023.LOWMACRO.CNSM_NA_TRN_PIPL_NG_NA_NA_TRLBTU.A</t>
  </si>
  <si>
    <t>Natural Gas Liquefaction for Export</t>
  </si>
  <si>
    <t>Transportation Energy Use: Non-Highway: Natural Gas for Liquefaction: Low Economic Growth</t>
  </si>
  <si>
    <t>AEO.2023.LOWMACRO.CNSM_NA_NMFG_LQFCT_DELE_NA_NA_TRLBTU.A</t>
  </si>
  <si>
    <t>Transportation Energy Use: Military Use: Low Economic Growth</t>
  </si>
  <si>
    <t>AEO.2023.LOWMACRO.CNSM_NA_TRN_MLU_MILU_NA_NA_TRLBTU.A</t>
  </si>
  <si>
    <t>Transportation Energy Use: Military Use: Aviation: Low Economic Growth</t>
  </si>
  <si>
    <t>AEO.2023.LOWMACRO.CNSM_NA_TRN_MLU_AVI_NA_NA_TRLBTU.A</t>
  </si>
  <si>
    <t>Transportation Energy Use: Military Use: Residual Fuel Oil: Low Economic Growth</t>
  </si>
  <si>
    <t>AEO.2023.LOWMACRO.CNSM_NA_TRN_MLU_RFO_NA_NA_TRLBTU.A</t>
  </si>
  <si>
    <t>Transportation Energy Use: Military Use: Distillate Fuel Oil: Low Economic Growth</t>
  </si>
  <si>
    <t>AEO.2023.LOWMACRO.CNSM_NA_TRN_MLU_DFO_NA_NA_TRLBTU.A</t>
  </si>
  <si>
    <t>Transportation Energy Use: Total: Low Economic Growth</t>
  </si>
  <si>
    <t>AEO.2023.LOWMACRO.CNSM_NA_TRN_NA_TOT_NA_NA_TRLBTU.A</t>
  </si>
  <si>
    <t>Transportation Energy Use: Petroleum: Motor Gasoline: Low Economic Growth</t>
  </si>
  <si>
    <t>AEO.2023.LOWMACRO.CNSM_NA_TRN_NA_PET_MGS_NA_TRLBTU.A</t>
  </si>
  <si>
    <t>Transportation Energy Use: E85: Low Economic Growth</t>
  </si>
  <si>
    <t>AEO.2023.LOWMACRO.CNSM_NA_TRN_NA_E85_NA_NA_TRLBTU.A</t>
  </si>
  <si>
    <t>Transportation Energy Use: Petroleum: Diesel: Low Economic Growth</t>
  </si>
  <si>
    <t>AEO.2023.LOWMACRO.CNSM_NA_TRN_NA_PET_DSL_NA_TRLBTU.A</t>
  </si>
  <si>
    <t>Transportation Energy Use: Petroleum: Jet Fuel: Low Economic Growth</t>
  </si>
  <si>
    <t>AEO.2023.LOWMACRO.UNC_NA_TRN_NA_PET_JFL_NA_TRLBTU.A</t>
  </si>
  <si>
    <t>Transportation Energy Use: Petroleum: Residual Fuel Oil: Low Economic Growth</t>
  </si>
  <si>
    <t>AEO.2023.LOWMACRO.CNSM_NA_TRN_NA_PET_RFO_NA_TRLBTU.A</t>
  </si>
  <si>
    <t>Transportation Energy Use: Petroleum: Aviation Gasoline: Low Economic Growth</t>
  </si>
  <si>
    <t>AEO.2023.LOWMACRO.CNSM_NA_TRN_NA_PET_AVGA_NA_TRLBTU.A</t>
  </si>
  <si>
    <t>Transportation Energy Use: Petroleum: Propane: Low Economic Growth</t>
  </si>
  <si>
    <t>AEO.2023.LOWMACRO.CNSM_NA_TRN_NA_PET_PROP_NA_TRLBTU.A</t>
  </si>
  <si>
    <t>Transportation Energy Use: Petroleum: Lubricants: Low Economic Growth</t>
  </si>
  <si>
    <t>AEO.2023.LOWMACRO.CNSM_NA_TRN_NA_PET_LBC_NA_TRLBTU.A</t>
  </si>
  <si>
    <t>Transportation Energy Use: Petroleum Subtotal: Low Economic Growth</t>
  </si>
  <si>
    <t>AEO.2023.LOWMACRO.CNSM_NA_TRN_NA_PET_NA_NA_TRLBTU.A</t>
  </si>
  <si>
    <t>Transportation Energy Use: Electricity: Low Economic Growth</t>
  </si>
  <si>
    <t>AEO.2023.LOWMACRO.CNSM_NA_TRN_NA_ELC_NA_NA_TRLBTU.A</t>
  </si>
  <si>
    <t>Transportation Energy Use: Natural Gas: Low Economic Growth</t>
  </si>
  <si>
    <t>AEO.2023.LOWMACRO.CNSM_NA_TRN_NA_NG_NA_NA_TRLBTU.A</t>
  </si>
  <si>
    <t>Transportation Energy Use: Hydrogen: Low Economic Growth</t>
  </si>
  <si>
    <t>AEO.2023.LOWMACRO.CNSM_NA_TRN_NA_HDG_NA_NA_TRLBTU.A</t>
  </si>
  <si>
    <t>Transportation Energy Use: Pipeline Fuel Natural Gas: Low Economic Growth</t>
  </si>
  <si>
    <t>Transportation Energy Use: Natural Gas for Liquefaction: Low Economic Growth</t>
  </si>
  <si>
    <t>Transportation: Total Energy Use: Low Economic Growth</t>
  </si>
  <si>
    <t>AEO.2023.LOWMACRO.CNSM_NA_TRN_NA_NA_NA_NA_TRLBTU.A</t>
  </si>
  <si>
    <t>https://www.eia.gov/outlooks/aeo/data/browser/#/?id=56-AEO2023&amp;cases=lowmacro&amp;sourcekey=0</t>
  </si>
  <si>
    <t>Tue Apr 11 2023 11:19:27 GMT-0400 (Eastern Daylight Time)</t>
  </si>
  <si>
    <t>Fleet Vehicle Miles Traveled: Conventional Cars: Gasoline: Low Economic Growth</t>
  </si>
  <si>
    <t>AEO.2023.LOWMACRO.ECI_VMT_CNV_FLC_GSL_NA_NA_BLNMLS.A</t>
  </si>
  <si>
    <t>Fleet Vehicle Miles Traveled: Conventional Cars: TDI Diesel: Low Economic Growth</t>
  </si>
  <si>
    <t>AEO.2023.LOWMACRO.ECI_VMT_CNV_FLC_TDS_NA_NA_BLNMLS.A</t>
  </si>
  <si>
    <t>Fleet Vehicle Miles Traveled: Conventional Cars: Total: Low Economic Growth</t>
  </si>
  <si>
    <t>AEO.2023.LOWMACRO.ECI_VMT_CNV_FLC_NA_NA_NA_BLNMLS.A</t>
  </si>
  <si>
    <t>Fleet Vehicle Miles Traveled: Alternative-Fuel Cars: Ethanol-Flex Fuel ICE: Low Economic Growth</t>
  </si>
  <si>
    <t>AEO.2023.LOWMACRO.ECI_VMT_ALF1_FLC_EFFI_NA_NA_BLNMLS.A</t>
  </si>
  <si>
    <t>100-Mile Electric Vehicle</t>
  </si>
  <si>
    <t>Fleet Vehicle Miles Traveled: Alternative-Fuel Cars: 100-Mile Electric Vehicle: Low Economic Growth</t>
  </si>
  <si>
    <t>200-Mile Electric Vehicle</t>
  </si>
  <si>
    <t>Fleet Vehicle Miles Traveled: Alternative-Fuel Cars: 200-Mile Electric Vehicle: Low Economic Growth</t>
  </si>
  <si>
    <t>300-Mile Electric Vehicle</t>
  </si>
  <si>
    <t>Fleet Vehicle Miles Traveled: Alternative-Fuel Cars: 300-Mile Electric Vehicle: Low Economic Growth</t>
  </si>
  <si>
    <t>Fleet Vehicle Miles Traveled: Alternative-Fuel Cars: Plug-in 20 Gasoline Hybrid: Low Economic Growth</t>
  </si>
  <si>
    <t>AEO.2023.LOWMACRO.ECI_VMT_ALF1_FLC_PI20GH_NA_NA_BLNMLS.A</t>
  </si>
  <si>
    <t>Fleet Vehicle Miles Traveled: Alternative-Fuel Cars: Plug-in 50 Gasoline Hybrid: Low Economic Growth</t>
  </si>
  <si>
    <t>AEO.2023.LOWMACRO.ECI_VMT_ALF1_FLC_PI50GH_NA_NA_BLNMLS.A</t>
  </si>
  <si>
    <t>Fleet Vehicle Miles Traveled: Alternative-Fuel Cars: Electric-Diesel Hybrid: Low Economic Growth</t>
  </si>
  <si>
    <t>AEO.2023.LOWMACRO.ECI_VMT_ALF1_FLC_EDH_NA_NA_BLNMLS.A</t>
  </si>
  <si>
    <t>Fleet Vehicle Miles Traveled: Alternative-Fuel Cars: Electric-Gasoline Hybrid: Low Economic Growth</t>
  </si>
  <si>
    <t>AEO.2023.LOWMACRO.ECI_VMT_ALF1_FLC_EGH_NA_NA_BLNMLS.A</t>
  </si>
  <si>
    <t>Fleet Vehicle Miles Traveled: Alternative-Fuel Cars: Natural Gas ICE: Low Economic Growth</t>
  </si>
  <si>
    <t>AEO.2023.LOWMACRO.ECI_VMT_ALF1_FLC_NGI_NA_NA_BLNMLS.A</t>
  </si>
  <si>
    <t>Fleet Vehicle Miles Traveled: Alternative-Fuel Cars: Natural Gas Bi-fuel: Low Economic Growth</t>
  </si>
  <si>
    <t>AEO.2023.LOWMACRO.ECI_VMT_ALF1_FLC_NBF_NA_NA_BLNMLS.A</t>
  </si>
  <si>
    <t>Fleet Vehicle Miles Traveled: Alternative-Fuel Cars: Propane ICE: Low Economic Growth</t>
  </si>
  <si>
    <t>AEO.2023.LOWMACRO.ECI_VMT_ALF1_FLC_PROP_NA_NA_BLNMLS.A</t>
  </si>
  <si>
    <t>Fleet Vehicle Miles Traveled: Alternative-Fuel Cars: Propane Bi-fuel: Low Economic Growth</t>
  </si>
  <si>
    <t>AEO.2023.LOWMACRO.ECI_VMT_ALF1_FLC_PBF_NA_NA_BLNMLS.A</t>
  </si>
  <si>
    <t>Fleet Vehicle Miles Traveled: Alternative-Fuel Cars: Fuel Cell Methanol: Low Economic Growth</t>
  </si>
  <si>
    <t>AEO.2023.LOWMACRO.ECI_VMT_ALF1_FLC_FCLMTH_NA_NA_BLNMLS.A</t>
  </si>
  <si>
    <t>Fleet Vehicle Miles Traveled: Alternative-Fuel Cars: Fuel Cell Hydrogen: Low Economic Growth</t>
  </si>
  <si>
    <t>AEO.2023.LOWMACRO.ECI_VMT_ALF1_FLC_FCH_NA_NA_BLNMLS.A</t>
  </si>
  <si>
    <t>Fleet Vehicle Miles Traveled: Alternative-Fuel Cars: Total: Low Economic Growth</t>
  </si>
  <si>
    <t>AEO.2023.LOWMACRO.ECI_VMT_ALF1_FLC_NA_NA_NA_BLNMLS.A</t>
  </si>
  <si>
    <t>Fleet Vehicle Miles Traveled: Cars: Total: Low Economic Growth</t>
  </si>
  <si>
    <t>AEO.2023.LOWMACRO.ECI_VMT_NA_FLC_NA_NA_NA_BLNMLS.A</t>
  </si>
  <si>
    <t>Fleet Vehicle Miles Traveled: Conventional Light Trucks: Gasoline: Low Economic Growth</t>
  </si>
  <si>
    <t>AEO.2023.LOWMACRO.ECI_VMT_CNV_FLTR_GSL_NA_NA_BLNMLS.A</t>
  </si>
  <si>
    <t>Fleet Vehicle Miles Traveled: Conventional Light Trucks: TDI Diesel: Low Economic Growth</t>
  </si>
  <si>
    <t>AEO.2023.LOWMACRO.ECI_VMT_CNV_FLTR_TDS_NA_NA_BLNMLS.A</t>
  </si>
  <si>
    <t>Fleet Vehicle Miles Traveled: Conventional Light Trucks: Total: Low Economic Growth</t>
  </si>
  <si>
    <t>AEO.2023.LOWMACRO.ECI_VMT_CNV_FLTR_NA_NA_NA_BLNMLS.A</t>
  </si>
  <si>
    <t>Fleet Vehicle Miles Traveled: Alternative-Fuel Light Trucks: Ethanol-Flex Fuel ICE: Low Economic Growth</t>
  </si>
  <si>
    <t>AEO.2023.LOWMACRO.ECI_VMT_ALF1_FLTR_EFFI_NA_NA_BLNMLS.A</t>
  </si>
  <si>
    <t>Fleet Vehicle Miles Traveled: Alternative-Fuel Light Trucks: 100-Mile Electric Vehicle: Low Economic Growth</t>
  </si>
  <si>
    <t>Fleet Vehicle Miles Traveled: Alternative-Fuel Light Trucks: 200-Mile Electric Vehicle: Low Economic Growth</t>
  </si>
  <si>
    <t>Fleet Vehicle Miles Traveled: Alternative-Fuel Light Trucks: 300-Mile Electric Vehicle: Low Economic Growth</t>
  </si>
  <si>
    <t>Fleet Vehicle Miles Traveled: Alternative-Fuel Light Trucks: Plug-in 20 Gasoline Hybrid: Low Economic Growth</t>
  </si>
  <si>
    <t>AEO.2023.LOWMACRO.ECI_VMT_ALF1_FLTR_PI20GH_NA_NA_BLNMLS.A</t>
  </si>
  <si>
    <t>Fleet Vehicle Miles Traveled: Alternative-Fuel Light Trucks: Plug-in 50 Gasoline Hybrid: Low Economic Growth</t>
  </si>
  <si>
    <t>AEO.2023.LOWMACRO.ECI_VMT_ALF1_FLTR_PI50GH_NA_NA_BLNMLS.A</t>
  </si>
  <si>
    <t>Fleet Vehicle Miles Traveled: Alternative-Fuel Light Trucks: Electric-Diesel Hybrid: Low Economic Growth</t>
  </si>
  <si>
    <t>AEO.2023.LOWMACRO.ECI_VMT_ALF1_FLTR_EDH_NA_NA_BLNMLS.A</t>
  </si>
  <si>
    <t>Fleet Vehicle Miles Traveled: Alternative-Fuel Light Trucks: Electric-Gasoline Hybrid: Low Economic Growth</t>
  </si>
  <si>
    <t>AEO.2023.LOWMACRO.ECI_VMT_ALF1_FLTR_EGH_NA_NA_BLNMLS.A</t>
  </si>
  <si>
    <t>Fleet Vehicle Miles Traveled: Alternative-Fuel Light Trucks: Natural Gas ICE: Low Economic Growth</t>
  </si>
  <si>
    <t>AEO.2023.LOWMACRO.ECI_VMT_ALF1_FLTR_NGI_NA_NA_BLNMLS.A</t>
  </si>
  <si>
    <t>Fleet Vehicle Miles Traveled: Alternative-Fuel Light Trucks: Natural Gas Bi-fuel: Low Economic Growth</t>
  </si>
  <si>
    <t>AEO.2023.LOWMACRO.ECI_VMT_ALF1_FLTR_NBF_NA_NA_BLNMLS.A</t>
  </si>
  <si>
    <t>Fleet Vehicle Miles Traveled: Alternative-Fuel Light Trucks: Propane ICE: Low Economic Growth</t>
  </si>
  <si>
    <t>AEO.2023.LOWMACRO.ECI_VMT_ALF1_FLTR_PROP_NA_NA_BLNMLS.A</t>
  </si>
  <si>
    <t>Fleet Vehicle Miles Traveled: Alternative-Fuel Light Trucks: Propane Bi-fuel: Low Economic Growth</t>
  </si>
  <si>
    <t>AEO.2023.LOWMACRO.ECI_VMT_ALF1_FLTR_PBF_NA_NA_BLNMLS.A</t>
  </si>
  <si>
    <t>Fleet Vehicle Miles Traveled: Alternative-Fuel Light Trucks: Fuel Cell Methanol: Low Economic Growth</t>
  </si>
  <si>
    <t>AEO.2023.LOWMACRO.ECI_VMT_ALF1_FLTR_FCLMTH_NA_NA_BLNMLS.A</t>
  </si>
  <si>
    <t>Fleet Vehicle Miles Traveled: Alternative-Fuel Light Trucks: Fuel Cell Hydrogen: Low Economic Growth</t>
  </si>
  <si>
    <t>AEO.2023.LOWMACRO.ECI_VMT_ALF1_FLTR_FCH_NA_NA_BLNMLS.A</t>
  </si>
  <si>
    <t>Fleet Vehicle Miles Traveled: Alternative-Fuel Light Trucks: Total: Low Economic Growth</t>
  </si>
  <si>
    <t>AEO.2023.LOWMACRO.ECI_VMT_ALF1_FLTR_NA_NA_NA_BLNMLS.A</t>
  </si>
  <si>
    <t>Fleet Vehicle Miles Traveled: Light Trucks: Total: Low Economic Growth</t>
  </si>
  <si>
    <t>AEO.2023.LOWMACRO.ECI_VMT_NA_FLTR_NA_NA_NA_BLNMLS.A</t>
  </si>
  <si>
    <t>Fleet Vehicle Miles Traveled: Total Fleet Vehicles: Low Economic Growth</t>
  </si>
  <si>
    <t>AEO.2023.LOWMACRO.ECI_VMT_NA_NA_NA_NA_NA_BLNMLS.A</t>
  </si>
  <si>
    <t>Fleet Vehicle Miles Traveled: Commercial Light Trucks: Gasoline: Low Economic Growth</t>
  </si>
  <si>
    <t>AEO.2023.LOWMACRO.ECI_VMT_NA_CLTR_GSL_NA_NA_BLNMLS.A</t>
  </si>
  <si>
    <t>Fleet Vehicle Miles Traveled: Commercial Light Trucks: TDI Diesel: Low Economic Growth</t>
  </si>
  <si>
    <t>AEO.2023.LOWMACRO.ECI_VMT_NA_CLTR_TDS_NA_NA_BLNMLS.A</t>
  </si>
  <si>
    <t>Fleet Vehicle Miles Traveled: Commercial Light Trucks: Propane: Low Economic Growth</t>
  </si>
  <si>
    <t>AEO.2023.LOWMACRO.ECI_VMT_NA_CLTR_PROP_NA_NA_BLNMLS.A</t>
  </si>
  <si>
    <t>Fleet Vehicle Miles Traveled: Commercial Light Trucks: CNG/LNG: Low Economic Growth</t>
  </si>
  <si>
    <t>AEO.2023.LOWMACRO.ECI_VMT_NA_CLTR_NG_NA_NA_BLNMLS.A</t>
  </si>
  <si>
    <t>Fleet Vehicle Miles Traveled: Commercial Light Trucks: Ethanol Flex: Low Economic Growth</t>
  </si>
  <si>
    <t>AEO.2023.LOWMACRO.ECI_VMT_NA_CLTR_EFFI_NA_NA_BLNMLS.A</t>
  </si>
  <si>
    <t>Fleet Vehicle Miles Traveled: Commercial Light Trucks: Electric: Low Economic Growth</t>
  </si>
  <si>
    <t>AEO.2023.LOWMACRO.ECI_VMT_NA_CLTR_ELE_NA_NA_BLNMLS.A</t>
  </si>
  <si>
    <t>Fleet Vehicle Miles Traveled: Commercial Light Trucks: Plug-in Gas: Low Economic Growth</t>
  </si>
  <si>
    <t>AEO.2023.LOWMACRO.ECI_VMT_NA_CLTR_EGH_NA_NA_BLNMLS.A</t>
  </si>
  <si>
    <t>Fleet Vehicle Miles Traveled: Commercial Light Trucks: Plug-in Diesel: Low Economic Growth</t>
  </si>
  <si>
    <t>AEO.2023.LOWMACRO.ECI_VMT_NA_CLTR_EDH_NA_NA_BLNMLS.A</t>
  </si>
  <si>
    <t>Fleet Vehicle Miles Traveled: Commercial Light Trucks: Fuel Cell: Low Economic Growth</t>
  </si>
  <si>
    <t>AEO.2023.LOWMACRO.ECI_VMT_NA_CLTR_FUC_NA_NA_BLNMLS.A</t>
  </si>
  <si>
    <t>Fleet Vehicle Miles Traveled: Commercial Light Trucks: Total: Low Economic Growth</t>
  </si>
  <si>
    <t>AEO.2023.LOWMACRO.ECI_VMT_NA_CLTR_NA_NA_NA_BLNMLS.A</t>
  </si>
  <si>
    <t>https://www.eia.gov/outlooks/aeo/data/browser/#/?id=57-AEO2023&amp;cases=lowmacro&amp;sourcekey=0</t>
  </si>
  <si>
    <t>Tue Apr 11 2023 11:21:03 GMT-0400 (Eastern Daylight Time)</t>
  </si>
  <si>
    <t>Air Travel: Fuel Cost: Low Economic Growth</t>
  </si>
  <si>
    <t>AEO.2023.LOWMACRO.PRCE_FUL_AIRT_NA_NA_NA_NA_87DLRPMBTU.A</t>
  </si>
  <si>
    <t>Air Travel: Load Factor: U.S. Domestic: Low Economic Growth</t>
  </si>
  <si>
    <t>AEO.2023.LOWMACRO.CAP_LDFAC_AIRT_DMS_NA_NA_NA_FRAC.A</t>
  </si>
  <si>
    <t>Air Travel: Load Factor: U.S. International: Low Economic Growth</t>
  </si>
  <si>
    <t>AEO.2023.LOWMACRO.CAP_LDFAC_AIRT_INTA_NA_NA_NA_FRAC.A</t>
  </si>
  <si>
    <t>Air Travel: Drivers: Population: U.S.: Low Economic Growth</t>
  </si>
  <si>
    <t>AEO.2023.LOWMACRO.ECI_POP_NA_NA_NA_NA_USA_MILL.A</t>
  </si>
  <si>
    <t>Air Travel: Drivers: Population: Canada: Low Economic Growth</t>
  </si>
  <si>
    <t>AEO.2023.LOWMACRO.ECI_POP_NA_NA_NA_NA_CAN_MILL.A</t>
  </si>
  <si>
    <t>Mexico and other OECD Americas</t>
  </si>
  <si>
    <t>Air Travel: Drivers: Population: Mexico and other OECD Americas: Low Economic Growth</t>
  </si>
  <si>
    <t>AEO.2023.LOWMACRO.ECI_POP_NA_NA_NA_NA_MEXOTH_MILL.A</t>
  </si>
  <si>
    <t>OECD Europe</t>
  </si>
  <si>
    <t>Air Travel: Drivers: Population: OECD Europe: Low Economic Growth</t>
  </si>
  <si>
    <t>AEO.2023.LOWMACRO.ECI_POP_NA_NA_NA_NA_OCDEU_MILL.A</t>
  </si>
  <si>
    <t>Japan</t>
  </si>
  <si>
    <t>Air Travel: Drivers: Population: Japan: Low Economic Growth</t>
  </si>
  <si>
    <t>AEO.2023.LOWMACRO.ECI_POP_NA_NA_NA_NA_JPN_MILL.A</t>
  </si>
  <si>
    <t>Australia and New Zealand</t>
  </si>
  <si>
    <t>Air Travel: Drivers: Population: Australia and New Zealand: Low Economic Growth</t>
  </si>
  <si>
    <t>AEO.2023.LOWMACRO.ECI_POP_NA_NA_NA_NA_AUNZ_MILL.A</t>
  </si>
  <si>
    <t>South Korea</t>
  </si>
  <si>
    <t>Air Travel: Drivers: Population: South Korea: Low Economic Growth</t>
  </si>
  <si>
    <t>AEO.2023.LOWMACRO.ECI_POP_NA_NA_NA_NA_SOK_MILL.A</t>
  </si>
  <si>
    <t>Russia</t>
  </si>
  <si>
    <t>Air Travel: Drivers: Population: Russia: Low Economic Growth</t>
  </si>
  <si>
    <t>AEO.2023.LOWMACRO.ECI_POP_NA_NA_NA_NA_RUS_MILL.A</t>
  </si>
  <si>
    <t>Other Europe and Eurasia</t>
  </si>
  <si>
    <t>Air Travel: Drivers: Population: Other Europe and Eurasia: Low Economic Growth</t>
  </si>
  <si>
    <t>AEO.2023.LOWMACRO.ECI_POP_NA_NA_NA_NA_OEUAS_MILL.A</t>
  </si>
  <si>
    <t>Air Travel: Drivers: Population: China: Low Economic Growth</t>
  </si>
  <si>
    <t>AEO.2023.LOWMACRO.ECI_POP_NA_NA_NA_NA_CHN_MILL.A</t>
  </si>
  <si>
    <t>India</t>
  </si>
  <si>
    <t>Air Travel: Drivers: Population: India: Low Economic Growth</t>
  </si>
  <si>
    <t>AEO.2023.LOWMACRO.ECI_POP_NA_NA_NA_NA_IND_MILL.A</t>
  </si>
  <si>
    <t>Other Non-OECD Asia</t>
  </si>
  <si>
    <t>Air Travel: Drivers: Population: Other Non-OECD Asia: Low Economic Growth</t>
  </si>
  <si>
    <t>AEO.2023.LOWMACRO.ECI_POP_NA_NA_NA_NA_ONCDAS_MILL.A</t>
  </si>
  <si>
    <t>Middle East</t>
  </si>
  <si>
    <t>Air Travel: Drivers: Population: Middle East: Low Economic Growth</t>
  </si>
  <si>
    <t>AEO.2023.LOWMACRO.ECI_POP_NA_NA_NA_NA_MDE_MILL.A</t>
  </si>
  <si>
    <t>Air Travel: Drivers: Population: Africa: Low Economic Growth</t>
  </si>
  <si>
    <t>AEO.2023.LOWMACRO.ECI_POP_NA_NA_NA_NA_AFR_MILL.A</t>
  </si>
  <si>
    <t>Brazil</t>
  </si>
  <si>
    <t>Air Travel: Drivers: Population: Brazil: Low Economic Growth</t>
  </si>
  <si>
    <t>AEO.2023.LOWMACRO.ECI_POP_NA_NA_NA_NA_BRZ_MILL.A</t>
  </si>
  <si>
    <t>Other Non-OECD Americas</t>
  </si>
  <si>
    <t>Air Travel: Drivers: Population: Other Non-OECD Americas: Low Economic Growth</t>
  </si>
  <si>
    <t>AEO.2023.LOWMACRO.ECI_POP_NA_NA_NA_NA_OTHAMER_MILL.A</t>
  </si>
  <si>
    <t>Air Travel: Travel Demand: Revenue Passenger Miles: Domestic: U.S.: Low Economic Growth</t>
  </si>
  <si>
    <t>AEO.2023.LOWMACRO.ECI_RPM_AIRT_DMS_NA_NA_USA_BLNMLS.A</t>
  </si>
  <si>
    <t>Air Travel: Travel Demand: Revenue Passenger Miles: Domestic: Canada: Low Economic Growth</t>
  </si>
  <si>
    <t>AEO.2023.LOWMACRO.ECI_RPM_AIRT_DMS_NA_NA_CAN_BLNMLS.A</t>
  </si>
  <si>
    <t>Air Travel: Travel Demand: Revenue Passenger Miles: Domestic: Mexico and other OECD Americas: Low Economic Growth</t>
  </si>
  <si>
    <t>AEO.2023.LOWMACRO.ECI_RPM_AIRT_DMS_NA_NA_MEXOTH_BLNMLS.A</t>
  </si>
  <si>
    <t>Air Travel: Travel Demand: Revenue Passenger Miles: Domestic: OECD Europe: Low Economic Growth</t>
  </si>
  <si>
    <t>AEO.2023.LOWMACRO.ECI_RPM_AIRT_DMS_NA_NA_OCDEU_BLNMLS.A</t>
  </si>
  <si>
    <t>Air Travel: Travel Demand: Revenue Passenger Miles: Domestic: Japan: Low Economic Growth</t>
  </si>
  <si>
    <t>AEO.2023.LOWMACRO.ECI_RPM_AIRT_DMS_NA_NA_JPN_BLNMLS.A</t>
  </si>
  <si>
    <t>Air Travel: Travel Demand: Revenue Passenger Miles: Domestic: Australia and New Zealand: Low Economic Growth</t>
  </si>
  <si>
    <t>AEO.2023.LOWMACRO.ECI_RPM_AIRT_DMS_NA_NA_AUNZ_BLNMLS.A</t>
  </si>
  <si>
    <t>Air Travel: Travel Demand: Revenue Passenger Miles: Domestic: South Korea: Low Economic Growth</t>
  </si>
  <si>
    <t>AEO.2023.LOWMACRO.ECI_RPM_AIRT_DMS_NA_NA_SOK_BLNMLS.A</t>
  </si>
  <si>
    <t>Air Travel: Travel Demand: Revenue Passenger Miles: Domestic: Russia: Low Economic Growth</t>
  </si>
  <si>
    <t>AEO.2023.LOWMACRO.ECI_RPM_AIRT_DMS_NA_NA_RUS_BLNMLS.A</t>
  </si>
  <si>
    <t>Air Travel: Travel Demand: Revenue Passenger Miles: Domestic: Other Europe and Eurasia: Low Economic Growth</t>
  </si>
  <si>
    <t>AEO.2023.LOWMACRO.ECI_RPM_AIRT_DMS_NA_NA_OEUAS_BLNMLS.A</t>
  </si>
  <si>
    <t>Air Travel: Travel Demand: Revenue Passenger Miles: Domestic: China: Low Economic Growth</t>
  </si>
  <si>
    <t>AEO.2023.LOWMACRO.ECI_RPM_AIRT_DMS_NA_NA_CHN_BLNMLS.A</t>
  </si>
  <si>
    <t>Air Travel: Travel Demand: Revenue Passenger Miles: Domestic: India: Low Economic Growth</t>
  </si>
  <si>
    <t>AEO.2023.LOWMACRO.ECI_RPM_AIRT_DMS_NA_NA_IND_BLNMLS.A</t>
  </si>
  <si>
    <t>Air Travel: Travel Demand: Revenue Passenger Miles: Domestic: Other Non-OECD Asia: Low Economic Growth</t>
  </si>
  <si>
    <t>AEO.2023.LOWMACRO.ECI_RPM_AIRT_DMS_NA_NA_ONCDAS_BLNMLS.A</t>
  </si>
  <si>
    <t>Air Travel: Travel Demand: Revenue Passenger Miles: Domestic: Middle East: Low Economic Growth</t>
  </si>
  <si>
    <t>AEO.2023.LOWMACRO.ECI_RPM_AIRT_DMS_NA_NA_MDE_BLNMLS.A</t>
  </si>
  <si>
    <t>Air Travel: Travel Demand: Revenue Passenger Miles: Domestic: Africa: Low Economic Growth</t>
  </si>
  <si>
    <t>AEO.2023.LOWMACRO.ECI_RPM_AIRT_DMS_NA_NA_AFR_BLNMLS.A</t>
  </si>
  <si>
    <t>Air Travel: Travel Demand: Revenue Passenger Miles: Domestic: Brazil: Low Economic Growth</t>
  </si>
  <si>
    <t>AEO.2023.LOWMACRO.ECI_RPM_AIRT_DMS_NA_NA_BRZ_BLNMLS.A</t>
  </si>
  <si>
    <t>Air Travel: Travel Demand: Revenue Passenger Miles: Domestic: Other Non-OECD Americas: Low Economic Growth</t>
  </si>
  <si>
    <t>AEO.2023.LOWMACRO.ECI_RPM_AIRT_DMS_NA_NA_OTHAMER_BLNMLS.A</t>
  </si>
  <si>
    <t>Total World Domestic</t>
  </si>
  <si>
    <t>Air Travel: Travel Demand: Revenue Passenger Miles: Domestic: World: Low Economic Growth</t>
  </si>
  <si>
    <t>AEO.2023.LOWMACRO.ECI_RPM_AIRT_DMS_NA_NA_WRLD_BLNMLS.A</t>
  </si>
  <si>
    <t>Air Travel: Travel Demand: Revenue Passenger Miles: International U.S.: Low Economic Growth</t>
  </si>
  <si>
    <t>AEO.2023.LOWMACRO.ECI_RPM_AIRT_INTA_NA_NA_USA_BLNMLS.A</t>
  </si>
  <si>
    <t>Air Travel: Travel Demand: Revenue Passenger Miles: International Canada: Low Economic Growth</t>
  </si>
  <si>
    <t>AEO.2023.LOWMACRO.ECI_RPM_AIRT_INTA_NA_NA_CAN_BLNMLS.A</t>
  </si>
  <si>
    <t>Air Travel: Travel Demand: Revenue Passenger Miles: International Mexico and other OECD Americas: Low Economic Growth</t>
  </si>
  <si>
    <t>AEO.2023.LOWMACRO.ECI_RPM_AIRT_INTA_NA_NA_MEXOTH_BLNMLS.A</t>
  </si>
  <si>
    <t>Air Travel: Travel Demand: Revenue Passenger Miles: International OECD Europe: Low Economic Growth</t>
  </si>
  <si>
    <t>AEO.2023.LOWMACRO.ECI_RPM_AIRT_INTA_NA_NA_OCDEU_BLNMLS.A</t>
  </si>
  <si>
    <t>Air Travel: Travel Demand: Revenue Passenger Miles: International Japan: Low Economic Growth</t>
  </si>
  <si>
    <t>AEO.2023.LOWMACRO.ECI_RPM_AIRT_INTA_NA_NA_JPN_BLNMLS.A</t>
  </si>
  <si>
    <t>Air Travel: Travel Demand: Revenue Passenger Miles: International Australia and New Zealand: Low Economic Growth</t>
  </si>
  <si>
    <t>AEO.2023.LOWMACRO.ECI_RPM_AIRT_INTA_NA_NA_AUNZ_BLNMLS.A</t>
  </si>
  <si>
    <t>Air Travel: Travel Demand: Revenue Passenger Miles: International South Korea: Low Economic Growth</t>
  </si>
  <si>
    <t>AEO.2023.LOWMACRO.ECI_RPM_AIRT_INTA_NA_NA_SOK_BLNMLS.A</t>
  </si>
  <si>
    <t>Air Travel: Travel Demand: Revenue Passenger Miles: International Russia: Low Economic Growth</t>
  </si>
  <si>
    <t>AEO.2023.LOWMACRO.ECI_RPM_AIRT_INTA_NA_NA_RUS_BLNMLS.A</t>
  </si>
  <si>
    <t>Air Travel: Travel Demand: Revenue Passenger Miles: International Other Europe and Eurasia: Low Economic Growth</t>
  </si>
  <si>
    <t>AEO.2023.LOWMACRO.ECI_RPM_AIRT_INTA_NA_NA_OEUAS_BLNMLS.A</t>
  </si>
  <si>
    <t>Air Travel: Travel Demand: Revenue Passenger Miles: International China: Low Economic Growth</t>
  </si>
  <si>
    <t>AEO.2023.LOWMACRO.ECI_RPM_AIRT_INTA_NA_NA_CHN_BLNMLS.A</t>
  </si>
  <si>
    <t>Air Travel: Travel Demand: Revenue Passenger Miles: International India: Low Economic Growth</t>
  </si>
  <si>
    <t>AEO.2023.LOWMACRO.ECI_RPM_AIRT_INTA_NA_NA_IND_BLNMLS.A</t>
  </si>
  <si>
    <t>Air Travel: Travel Demand: Revenue Passenger Miles: International Other Non-OECD Asia: Low Economic Growth</t>
  </si>
  <si>
    <t>AEO.2023.LOWMACRO.ECI_RPM_AIRT_INTA_NA_NA_ONCDAS_BLNMLS.A</t>
  </si>
  <si>
    <t>Air Travel: Travel Demand: Revenue Passenger Miles: International Middle East: Low Economic Growth</t>
  </si>
  <si>
    <t>AEO.2023.LOWMACRO.ECI_RPM_AIRT_INTA_NA_NA_MDE_BLNMLS.A</t>
  </si>
  <si>
    <t>Air Travel: Travel Demand: Revenue Passenger Miles: International Africa: Low Economic Growth</t>
  </si>
  <si>
    <t>AEO.2023.LOWMACRO.ECI_RPM_AIRT_INTA_NA_NA_AFR_BLNMLS.A</t>
  </si>
  <si>
    <t>Air Travel: Travel Demand: Revenue Passenger Miles: International Brazil: Low Economic Growth</t>
  </si>
  <si>
    <t>AEO.2023.LOWMACRO.ECI_RPM_AIRT_INTA_NA_NA_BRZ_BLNMLS.A</t>
  </si>
  <si>
    <t>Air Travel: Travel Demand: Revenue Passenger Miles: International Other Non-OECD Americas: Low Economic Growth</t>
  </si>
  <si>
    <t>AEO.2023.LOWMACRO.ECI_RPM_AIRT_INTA_NA_NA_OTHAMER_BLNMLS.A</t>
  </si>
  <si>
    <t>Total World International</t>
  </si>
  <si>
    <t>Air Travel: Travel Demand: Revenue Passenger Miles: International World: Low Economic Growth</t>
  </si>
  <si>
    <t>AEO.2023.LOWMACRO.ECI_RPM_AIRT_INTA_NA_NA_WRLD_BLNMLS.A</t>
  </si>
  <si>
    <t>Air Travel: Travel Demand: Revenue Passenger Miles: World: Low Economic Growth</t>
  </si>
  <si>
    <t>Air Travel: Travel Demand: Revenue Ton Miles: Freight: U.S.: Low Economic Growth</t>
  </si>
  <si>
    <t>AEO.2023.LOWMACRO.ECI_RTM_AIRT_NA_NA_NA_USA_BLNMLS.A</t>
  </si>
  <si>
    <t>Air Travel: Travel Demand: Revenue Ton Miles: Freight: Canada: Low Economic Growth</t>
  </si>
  <si>
    <t>AEO.2023.LOWMACRO.ECI_RTM_AIRT_NA_NA_NA_CAN_BLNMLS.A</t>
  </si>
  <si>
    <t>Air Travel: Travel Demand: Revenue Ton Miles: Freight: Mexico and other OECD Americas: Low Economic Growth</t>
  </si>
  <si>
    <t>AEO.2023.LOWMACRO.ECI_RTM_AIRT_NA_NA_NA_MEXOTH_BLNMLS.A</t>
  </si>
  <si>
    <t>Air Travel: Travel Demand: Revenue Ton Miles: Freight: OECD Europe: Low Economic Growth</t>
  </si>
  <si>
    <t>AEO.2023.LOWMACRO.ECI_RTM_AIRT_NA_NA_NA_OCDEU_BLNMLS.A</t>
  </si>
  <si>
    <t>Air Travel: Travel Demand: Revenue Ton Miles: Freight: Japan: Low Economic Growth</t>
  </si>
  <si>
    <t>AEO.2023.LOWMACRO.ECI_RTM_AIRT_NA_NA_NA_JPN_BLNMLS.A</t>
  </si>
  <si>
    <t>Air Travel: Travel Demand: Revenue Ton Miles: Freight: Australia and New Zealand: Low Economic Growth</t>
  </si>
  <si>
    <t>AEO.2023.LOWMACRO.ECI_RTM_AIRT_NA_NA_NA_AUNZ_BLNMLS.A</t>
  </si>
  <si>
    <t>Air Travel: Travel Demand: Revenue Ton Miles: Freight: South Korea: Low Economic Growth</t>
  </si>
  <si>
    <t>AEO.2023.LOWMACRO.ECI_RTM_AIRT_NA_NA_NA_SOK_BLNMLS.A</t>
  </si>
  <si>
    <t>Air Travel: Travel Demand: Revenue Ton Miles: Freight: Russia: Low Economic Growth</t>
  </si>
  <si>
    <t>AEO.2023.LOWMACRO.ECI_RTM_AIRT_NA_NA_NA_RUS_BLNMLS.A</t>
  </si>
  <si>
    <t>Air Travel: Travel Demand: Revenue Ton Miles: Freight: Other Europe and Eurasia: Low Economic Growth</t>
  </si>
  <si>
    <t>AEO.2023.LOWMACRO.ECI_RTM_AIRT_NA_NA_NA_OEUAS_BLNMLS.A</t>
  </si>
  <si>
    <t>Air Travel: Travel Demand: Revenue Ton Miles: Freight: China: Low Economic Growth</t>
  </si>
  <si>
    <t>AEO.2023.LOWMACRO.ECI_RTM_AIRT_NA_NA_NA_CHN_BLNMLS.A</t>
  </si>
  <si>
    <t>Air Travel: Travel Demand: Revenue Ton Miles: Freight: India: Low Economic Growth</t>
  </si>
  <si>
    <t>AEO.2023.LOWMACRO.ECI_RTM_AIRT_NA_NA_NA_IND_BLNMLS.A</t>
  </si>
  <si>
    <t>Air Travel: Travel Demand: Revenue Ton Miles: Freight: Other Non-OECD Asia: Low Economic Growth</t>
  </si>
  <si>
    <t>AEO.2023.LOWMACRO.ECI_RTM_AIRT_NA_NA_NA_ONCDAS_BLNMLS.A</t>
  </si>
  <si>
    <t>Air Travel: Travel Demand: Revenue Ton Miles: Freight: Middle East: Low Economic Growth</t>
  </si>
  <si>
    <t>AEO.2023.LOWMACRO.ECI_RTM_AIRT_NA_NA_NA_MDE_BLNMLS.A</t>
  </si>
  <si>
    <t>Air Travel: Travel Demand: Revenue Ton Miles: Freight: Africa: Low Economic Growth</t>
  </si>
  <si>
    <t>AEO.2023.LOWMACRO.ECI_RTM_AIRT_NA_NA_NA_AFR_BLNMLS.A</t>
  </si>
  <si>
    <t>Air Travel: Travel Demand: Revenue Ton Miles: Freight: Brazil: Low Economic Growth</t>
  </si>
  <si>
    <t>AEO.2023.LOWMACRO.ECI_RTM_AIRT_NA_NA_NA_BRZ_BLNMLS.A</t>
  </si>
  <si>
    <t>Air Travel: Travel Demand: Revenue Ton Miles: Freight: Other Non-OECD Americas: Low Economic Growth</t>
  </si>
  <si>
    <t>AEO.2023.LOWMACRO.ECI_RTM_AIRT_NA_NA_NA_OTHAMER_BLNMLS.A</t>
  </si>
  <si>
    <t>Air Travel: Travel Demand: Revenue Ton Miles: Freight: Domestic World: Low Economic Growth</t>
  </si>
  <si>
    <t>AEO.2023.LOWMACRO.ECI_RTM_AIRT_NA_NA_NA_WRLD_BLNMLS.A</t>
  </si>
  <si>
    <t>Air Travel: Travel Demand: Revenue Ton Miles: Freight: International World: Low Economic Growth</t>
  </si>
  <si>
    <t>Air Travel: Travel Demand: Revenue Ton Miles: Freight: World: Low Economic Growth</t>
  </si>
  <si>
    <t>Air Travel: Seat Miles Demanded: U.S.: Low Economic Growth</t>
  </si>
  <si>
    <t>AEO.2023.LOWMACRO.ECI_SMD_AIRT_NA_NA_NA_USA_BLNMLS.A</t>
  </si>
  <si>
    <t>Air Travel: Seat Miles Demanded: U.S.: Narrow Body Aircraft: Low Economic Growth</t>
  </si>
  <si>
    <t>AEO.2023.LOWMACRO.ECI_SMD_AIRT_NBTR_NA_NA_USA_BLNMLS.A</t>
  </si>
  <si>
    <t>Air Travel: Seat Miles Demanded: U.S.: Wide Body Aircraft: Low Economic Growth</t>
  </si>
  <si>
    <t>AEO.2023.LOWMACRO.ECI_SMD_AIRT_WBE_NA_NA_USA_BLNMLS.A</t>
  </si>
  <si>
    <t>Air Travel: Seat Miles Demanded: U.S.: Regional Jets: Low Economic Growth</t>
  </si>
  <si>
    <t>AEO.2023.LOWMACRO.ECI_SMD_AIRT_REGJ_NA_NA_USA_BLNMLS.A</t>
  </si>
  <si>
    <t>Air Travel: Seat Miles Demanded: Canada: Low Economic Growth</t>
  </si>
  <si>
    <t>AEO.2023.LOWMACRO.ECI_SMD_AIRT_NA_NA_NA_CAN_BLNMLS.A</t>
  </si>
  <si>
    <t>Air Travel: Seat Miles Demanded: Canada: Narrow Body Aircraft: Low Economic Growth</t>
  </si>
  <si>
    <t>AEO.2023.LOWMACRO.ECI_SMD_AIRT_NBTR_NA_NA_CAN_BLNMLS.A</t>
  </si>
  <si>
    <t>Air Travel: Seat Miles Demanded: Canada: Wide Body Aircraft: Low Economic Growth</t>
  </si>
  <si>
    <t>AEO.2023.LOWMACRO.ECI_SMD_AIRT_WBE_NA_NA_CAN_BLNMLS.A</t>
  </si>
  <si>
    <t>Air Travel: Seat Miles Demanded: Canada: Regional Jets: Low Economic Growth</t>
  </si>
  <si>
    <t>AEO.2023.LOWMACRO.ECI_SMD_AIRT_REGJ_NA_NA_CAN_BLNMLS.A</t>
  </si>
  <si>
    <t>Air Travel: Seat Miles Demanded: Mexico and other OECD Americas: Low Economic Growth</t>
  </si>
  <si>
    <t>AEO.2023.LOWMACRO.ECI_SMD_AIRT_NA_NA_NA_MEXOTH_BLNMLS.A</t>
  </si>
  <si>
    <t>Air Travel: Seat Miles Demanded: Mexico and other OECD Americas: Narrow Body Aircraft: Low Economic Growth</t>
  </si>
  <si>
    <t>AEO.2023.LOWMACRO.ECI_SMD_AIRT_NBTR_NA_NA_MEXOTH_BLNMLS.A</t>
  </si>
  <si>
    <t>Air Travel: Seat Miles Demanded: Mexico and other OECD Americas: Wide Body Aircraft: Low Economic Growth</t>
  </si>
  <si>
    <t>AEO.2023.LOWMACRO.ECI_SMD_AIRT_WBE_NA_NA_MEXOTH_BLNMLS.A</t>
  </si>
  <si>
    <t>Air Travel: Seat Miles Demanded: Mexico and other OECD Americas: Regional Jets: Low Economic Growth</t>
  </si>
  <si>
    <t>AEO.2023.LOWMACRO.ECI_SMD_AIRT_REGJ_NA_NA_MEXOTH_BLNMLS.A</t>
  </si>
  <si>
    <t>Air Travel: Seat Miles Demanded: OECD Europe: Low Economic Growth</t>
  </si>
  <si>
    <t>AEO.2023.LOWMACRO.ECI_SMD_AIRT_NA_NA_NA_OCDEU_BLNMLS.A</t>
  </si>
  <si>
    <t>Air Travel: Seat Miles Demanded: OECD Europe: Narrow Body Aircraft: Low Economic Growth</t>
  </si>
  <si>
    <t>AEO.2023.LOWMACRO.ECI_SMD_AIRT_NBTR_NA_NA_OCDEU_BLNMLS.A</t>
  </si>
  <si>
    <t>Air Travel: Seat Miles Demanded: OECD Europe: Wide Body Aircraft: Low Economic Growth</t>
  </si>
  <si>
    <t>AEO.2023.LOWMACRO.ECI_SMD_AIRT_WBE_NA_NA_OCDEU_BLNMLS.A</t>
  </si>
  <si>
    <t>Air Travel: Seat Miles Demanded: OECD Europe: Regional Jets: Low Economic Growth</t>
  </si>
  <si>
    <t>AEO.2023.LOWMACRO.ECI_SMD_AIRT_REGJ_NA_NA_OCDEU_BLNMLS.A</t>
  </si>
  <si>
    <t>Air Travel: Seat Miles Demanded: Japan: Low Economic Growth</t>
  </si>
  <si>
    <t>AEO.2023.LOWMACRO.ECI_SMD_AIRT_NA_NA_NA_JPN_BLNMLS.A</t>
  </si>
  <si>
    <t>Air Travel: Seat Miles Demanded: Japan: Narrow Body Aircraft: Low Economic Growth</t>
  </si>
  <si>
    <t>AEO.2023.LOWMACRO.ECI_SMD_AIRT_NBTR_NA_NA_JPN_BLNMLS.A</t>
  </si>
  <si>
    <t>Air Travel: Seat Miles Demanded: Japan: Wide Body Aircraft: Low Economic Growth</t>
  </si>
  <si>
    <t>AEO.2023.LOWMACRO.ECI_SMD_AIRT_WBE_NA_NA_JPN_BLNMLS.A</t>
  </si>
  <si>
    <t>Air Travel: Seat Miles Demanded: Japan: Regional Jets: Low Economic Growth</t>
  </si>
  <si>
    <t>AEO.2023.LOWMACRO.ECI_SMD_AIRT_REGJ_NA_NA_JPN_BLNMLS.A</t>
  </si>
  <si>
    <t>Air Travel: Seat Miles Demanded: Australia and New Zealand: Low Economic Growth</t>
  </si>
  <si>
    <t>AEO.2023.LOWMACRO.ECI_SMD_AIRT_NA_NA_NA_AUNZ_BLNMLS.A</t>
  </si>
  <si>
    <t>Air Travel: Seat Miles Demanded: Australia and New Zealand: Narrow Body Aircraft: Low Economic Growth</t>
  </si>
  <si>
    <t>AEO.2023.LOWMACRO.ECI_SMD_AIRT_NBTR_NA_NA_AUNZ_BLNMLS.A</t>
  </si>
  <si>
    <t>Air Travel: Seat Miles Demanded: Australia and New Zealand: Wide Body Aircraft: Low Economic Growth</t>
  </si>
  <si>
    <t>AEO.2023.LOWMACRO.ECI_SMD_AIRT_WBE_NA_NA_AUNZ_BLNMLS.A</t>
  </si>
  <si>
    <t>Air Travel: Seat Miles Demanded: Australia and New Zealand: Regional Jets: Low Economic Growth</t>
  </si>
  <si>
    <t>AEO.2023.LOWMACRO.ECI_SMD_AIRT_REGJ_NA_NA_AUNZ_BLNMLS.A</t>
  </si>
  <si>
    <t>Air Travel: Seat Miles Demanded: South Korea: Low Economic Growth</t>
  </si>
  <si>
    <t>AEO.2023.LOWMACRO.ECI_SMD_AIRT_NA_NA_NA_SOK_BLNMLS.A</t>
  </si>
  <si>
    <t>Air Travel: Seat Miles Demanded: South Korea: Narrow Body Aircraft: Low Economic Growth</t>
  </si>
  <si>
    <t>AEO.2023.LOWMACRO.ECI_SMD_AIRT_NBTR_NA_NA_SOK_BLNMLS.A</t>
  </si>
  <si>
    <t>Air Travel: Seat Miles Demanded: South Korea: Wide Body Aircraft: Low Economic Growth</t>
  </si>
  <si>
    <t>AEO.2023.LOWMACRO.ECI_SMD_AIRT_WBE_NA_NA_SOK_BLNMLS.A</t>
  </si>
  <si>
    <t>Air Travel: Seat Miles Demanded: South Korea: Regional Jets: Low Economic Growth</t>
  </si>
  <si>
    <t>AEO.2023.LOWMACRO.ECI_SMD_AIRT_REGJ_NA_NA_SOK_BLNMLS.A</t>
  </si>
  <si>
    <t>Air Travel: Seat Miles Demanded: Russia: Low Economic Growth</t>
  </si>
  <si>
    <t>AEO.2023.LOWMACRO.ECI_SMD_AIRT_NA_NA_NA_RUS_BLNMLS.A</t>
  </si>
  <si>
    <t>Air Travel: Seat Miles Demanded: Russia: Narrow Body Aircraft: Low Economic Growth</t>
  </si>
  <si>
    <t>AEO.2023.LOWMACRO.ECI_SMD_AIRT_NBTR_NA_NA_RUS_BLNMLS.A</t>
  </si>
  <si>
    <t>Air Travel: Seat Miles Demanded: Russia: Wide Body Aircraft: Low Economic Growth</t>
  </si>
  <si>
    <t>AEO.2023.LOWMACRO.ECI_SMD_AIRT_WBE_NA_NA_RUS_BLNMLS.A</t>
  </si>
  <si>
    <t>Air Travel: Seat Miles Demanded: Russia: Regional Jets: Low Economic Growth</t>
  </si>
  <si>
    <t>AEO.2023.LOWMACRO.ECI_SMD_AIRT_REGJ_NA_NA_RUS_BLNMLS.A</t>
  </si>
  <si>
    <t>Air Travel: Seat Miles Demanded: Other Europe and Eurasia: Low Economic Growth</t>
  </si>
  <si>
    <t>AEO.2023.LOWMACRO.ECI_SMD_AIRT_NA_NA_NA_OEUAS_BLNMLS.A</t>
  </si>
  <si>
    <t>Air Travel: Seat Miles Demanded: Other Europe and Eurasia: Narrow Body Aircraft: Low Economic Growth</t>
  </si>
  <si>
    <t>AEO.2023.LOWMACRO.ECI_SMD_AIRT_NBTR_NA_NA_OEUAS_BLNMLS.A</t>
  </si>
  <si>
    <t>Air Travel: Seat Miles Demanded: Other Europe and Eurasia: Wide Body Aircraft: Low Economic Growth</t>
  </si>
  <si>
    <t>AEO.2023.LOWMACRO.ECI_SMD_AIRT_WBE_NA_NA_OEUAS_BLNMLS.A</t>
  </si>
  <si>
    <t>Air Travel: Seat Miles Demanded: Other Europe and Eurasia: Regional Jets: Low Economic Growth</t>
  </si>
  <si>
    <t>AEO.2023.LOWMACRO.ECI_SMD_AIRT_REGJ_NA_NA_OEUAS_BLNMLS.A</t>
  </si>
  <si>
    <t>Air Travel: Seat Miles Demanded: China: Low Economic Growth</t>
  </si>
  <si>
    <t>AEO.2023.LOWMACRO.ECI_SMD_AIRT_NA_NA_NA_CHN_BLNMLS.A</t>
  </si>
  <si>
    <t>Air Travel: Seat Miles Demanded: China: Narrow Body Aircraft: Low Economic Growth</t>
  </si>
  <si>
    <t>AEO.2023.LOWMACRO.ECI_SMD_AIRT_NBTR_NA_NA_CHN_BLNMLS.A</t>
  </si>
  <si>
    <t>Air Travel: Seat Miles Demanded: China: Wide Body Aircraft: Low Economic Growth</t>
  </si>
  <si>
    <t>AEO.2023.LOWMACRO.ECI_SMD_AIRT_WBE_NA_NA_CHN_BLNMLS.A</t>
  </si>
  <si>
    <t>Air Travel: Seat Miles Demanded: China: Regional Jets: Low Economic Growth</t>
  </si>
  <si>
    <t>AEO.2023.LOWMACRO.ECI_SMD_AIRT_REGJ_NA_NA_CHN_BLNMLS.A</t>
  </si>
  <si>
    <t>Air Travel: Seat Miles Demanded: India: Low Economic Growth</t>
  </si>
  <si>
    <t>AEO.2023.LOWMACRO.ECI_SMD_AIRT_NA_NA_NA_IND_BLNMLS.A</t>
  </si>
  <si>
    <t>Air Travel: Seat Miles Demanded: India: Narrow Body Aircraft: Low Economic Growth</t>
  </si>
  <si>
    <t>AEO.2023.LOWMACRO.ECI_SMD_AIRT_NBTR_NA_NA_IND_BLNMLS.A</t>
  </si>
  <si>
    <t>Air Travel: Seat Miles Demanded: India: Wide Body Aircraft: Low Economic Growth</t>
  </si>
  <si>
    <t>AEO.2023.LOWMACRO.ECI_SMD_AIRT_WBE_NA_NA_IND_BLNMLS.A</t>
  </si>
  <si>
    <t>Air Travel: Seat Miles Demanded: India: Regional Jets: Low Economic Growth</t>
  </si>
  <si>
    <t>AEO.2023.LOWMACRO.ECI_SMD_AIRT_REGJ_NA_NA_IND_BLNMLS.A</t>
  </si>
  <si>
    <t>Air Travel: Seat Miles Demanded: Other Non-OECD Asia: Low Economic Growth</t>
  </si>
  <si>
    <t>AEO.2023.LOWMACRO.ECI_SMD_AIRT_NA_NA_NA_ONCDAS_BLNMLS.A</t>
  </si>
  <si>
    <t>Air Travel: Seat Miles Demanded: Other Non-OECD Asia: Narrow Body Aircraft: Low Economic Growth</t>
  </si>
  <si>
    <t>AEO.2023.LOWMACRO.ECI_SMD_AIRT_NBTR_NA_NA_ONCDAS_BLNMLS.A</t>
  </si>
  <si>
    <t>Air Travel: Seat Miles Demanded: Other Non-OECD Asia: Wide Body Aircraft: Low Economic Growth</t>
  </si>
  <si>
    <t>AEO.2023.LOWMACRO.ECI_SMD_AIRT_WBE_NA_NA_ONCDAS_BLNMLS.A</t>
  </si>
  <si>
    <t>Air Travel: Seat Miles Demanded: Other Non-OECD Asia: Regional Jets: Low Economic Growth</t>
  </si>
  <si>
    <t>AEO.2023.LOWMACRO.ECI_SMD_AIRT_REGJ_NA_NA_ONCDAS_BLNMLS.A</t>
  </si>
  <si>
    <t>Air Travel: Seat Miles Demanded: Middle East: Low Economic Growth</t>
  </si>
  <si>
    <t>AEO.2023.LOWMACRO.ECI_SMD_AIRT_NA_NA_NA_MDE_BLNMLS.A</t>
  </si>
  <si>
    <t>Air Travel: Seat Miles Demanded: Middle East: Narrow Body Aircraft: Low Economic Growth</t>
  </si>
  <si>
    <t>AEO.2023.LOWMACRO.ECI_SMD_AIRT_NBTR_NA_NA_MDE_BLNMLS.A</t>
  </si>
  <si>
    <t>Air Travel: Seat Miles Demanded: Middle East: Wide Body Aircraft: Low Economic Growth</t>
  </si>
  <si>
    <t>AEO.2023.LOWMACRO.ECI_SMD_AIRT_WBE_NA_NA_MDE_BLNMLS.A</t>
  </si>
  <si>
    <t>Air Travel: Seat Miles Demanded: Middle East: Regional Jets: Low Economic Growth</t>
  </si>
  <si>
    <t>AEO.2023.LOWMACRO.ECI_SMD_AIRT_REGJ_NA_NA_MDE_BLNMLS.A</t>
  </si>
  <si>
    <t>Air Travel: Seat Miles Demanded: Africa: Low Economic Growth</t>
  </si>
  <si>
    <t>AEO.2023.LOWMACRO.ECI_SMD_AIRT_NA_NA_NA_AFR_BLNMLS.A</t>
  </si>
  <si>
    <t>Air Travel: Seat Miles Demanded: Africa: Narrow Body Aircraft: Low Economic Growth</t>
  </si>
  <si>
    <t>AEO.2023.LOWMACRO.ECI_SMD_AIRT_NBTR_NA_NA_AFR_BLNMLS.A</t>
  </si>
  <si>
    <t>Air Travel: Seat Miles Demanded: Africa: Wide Body Aircraft: Low Economic Growth</t>
  </si>
  <si>
    <t>AEO.2023.LOWMACRO.ECI_SMD_AIRT_WBE_NA_NA_AFR_BLNMLS.A</t>
  </si>
  <si>
    <t>Air Travel: Seat Miles Demanded: Africa: Regional Jets: Low Economic Growth</t>
  </si>
  <si>
    <t>AEO.2023.LOWMACRO.ECI_SMD_AIRT_REGJ_NA_NA_AFR_BLNMLS.A</t>
  </si>
  <si>
    <t>Air Travel: Seat Miles Demanded: Brazil: Low Economic Growth</t>
  </si>
  <si>
    <t>AEO.2023.LOWMACRO.ECI_SMD_AIRT_NA_NA_NA_BRZ_BLNMLS.A</t>
  </si>
  <si>
    <t>Air Travel: Seat Miles Demanded: Brazil: Narrow Body Aircraft: Low Economic Growth</t>
  </si>
  <si>
    <t>AEO.2023.LOWMACRO.ECI_SMD_AIRT_NBTR_NA_NA_BRZ_BLNMLS.A</t>
  </si>
  <si>
    <t>Air Travel: Seat Miles Demanded: Brazil: Wide Body Aircraft: Low Economic Growth</t>
  </si>
  <si>
    <t>AEO.2023.LOWMACRO.ECI_SMD_AIRT_WBE_NA_NA_BRZ_BLNMLS.A</t>
  </si>
  <si>
    <t>Air Travel: Seat Miles Demanded: Brazil: Regional Jets: Low Economic Growth</t>
  </si>
  <si>
    <t>AEO.2023.LOWMACRO.ECI_SMD_AIRT_REGJ_NA_NA_BRZ_BLNMLS.A</t>
  </si>
  <si>
    <t>Air Travel: Seat Miles Demanded: Other Non-OECD Americas: Low Economic Growth</t>
  </si>
  <si>
    <t>AEO.2023.LOWMACRO.ECI_SMD_AIRT_NA_NA_NA_OTHAMER_BLNMLS.A</t>
  </si>
  <si>
    <t>Air Travel: Seat Miles Demanded: Other Non-OECD Americas: Narrow Body Aircraft: Low Economic Growth</t>
  </si>
  <si>
    <t>AEO.2023.LOWMACRO.ECI_SMD_AIRT_NBTR_NA_NA_OTHAMER_BLNMLS.A</t>
  </si>
  <si>
    <t>Air Travel: Seat Miles Demanded: Other Non-OECD Americas: Wide Body Aircraft: Low Economic Growth</t>
  </si>
  <si>
    <t>AEO.2023.LOWMACRO.ECI_SMD_AIRT_WBE_NA_NA_OTHAMER_BLNMLS.A</t>
  </si>
  <si>
    <t>Air Travel: Seat Miles Demanded: Other Non-OECD Americas: Regional Jets: Low Economic Growth</t>
  </si>
  <si>
    <t>AEO.2023.LOWMACRO.ECI_SMD_AIRT_REGJ_NA_NA_OTHAMER_BLNMLS.A</t>
  </si>
  <si>
    <t>Total Narrow Body</t>
  </si>
  <si>
    <t>Air Travel: Seat Miles Demanded: World: Narrow Body Aircraft: Low Economic Growth</t>
  </si>
  <si>
    <t>AEO.2023.LOWMACRO.ECI_SMD_AIRT_NBTR_NA_NA_WRLD_BLNMLS.A</t>
  </si>
  <si>
    <t>Total Wide Body</t>
  </si>
  <si>
    <t>Air Travel: Seat Miles Demanded: World: Wide Body Aircraft: Low Economic Growth</t>
  </si>
  <si>
    <t>AEO.2023.LOWMACRO.ECI_SMD_AIRT_WBE_NA_NA_WRLD_BLNMLS.A</t>
  </si>
  <si>
    <t>Total Regional Jet</t>
  </si>
  <si>
    <t>Air Travel: Seat Miles Demanded: World: Regional Jets: Low Economic Growth</t>
  </si>
  <si>
    <t>AEO.2023.LOWMACRO.ECI_SMD_AIRT_REGJ_NA_NA_WRLD_BLNMLS.A</t>
  </si>
  <si>
    <t>Air Travel: Seat Miles Demanded: World: Low Economic Growth</t>
  </si>
  <si>
    <t>AEO.2023.LOWMACRO.ECI_SMD_AIRT_NA_NA_NA_WRLD_BLNMLS.A</t>
  </si>
  <si>
    <t>Air Travel: Aircraft Deliveries: U.S.: Low Economic Growth</t>
  </si>
  <si>
    <t>Air Travel: Aircraft Deliveries: U.S.: Narrow Body Aircraft: Low Economic Growth</t>
  </si>
  <si>
    <t>Air Travel: Aircraft Deliveries: U.S.: Wide Body Aircraft: Low Economic Growth</t>
  </si>
  <si>
    <t>Air Travel: Aircraft Deliveries: U.S.: Regional Jets: Low Economic Growth</t>
  </si>
  <si>
    <t>Air Travel: Aircraft Deliveries: Canada: Low Economic Growth</t>
  </si>
  <si>
    <t>Air Travel: Aircraft Deliveries: Canada: Narrow Body Aircraft: Low Economic Growth</t>
  </si>
  <si>
    <t>Air Travel: Aircraft Deliveries: Canada: Wide Body Aircraft: Low Economic Growth</t>
  </si>
  <si>
    <t>Air Travel: Aircraft Deliveries: Canada: Regional Jets: Low Economic Growth</t>
  </si>
  <si>
    <t>Air Travel: Aircraft Deliveries: Mexico and other OECD Americas: Low Economic Growth</t>
  </si>
  <si>
    <t>Air Travel: Aircraft Deliveries: Mexico and other OECD Americas: Narrow Body Aircraft: Low Economic Growth</t>
  </si>
  <si>
    <t>Air Travel: Aircraft Deliveries: Mexico and other OECD Americas: Wide Body Aircraft: Low Economic Growth</t>
  </si>
  <si>
    <t>Air Travel: Aircraft Deliveries: Mexico and other OECD Americas: Regional Jets: Low Economic Growth</t>
  </si>
  <si>
    <t>Air Travel: Aircraft Deliveries: OECD Europe: Low Economic Growth</t>
  </si>
  <si>
    <t>Air Travel: Aircraft Deliveries: OECD Europe: Narrow Body Aircraft: Low Economic Growth</t>
  </si>
  <si>
    <t>Air Travel: Aircraft Deliveries: OECD Europe: Wide Body Aircraft: Low Economic Growth</t>
  </si>
  <si>
    <t>Air Travel: Aircraft Deliveries: OECD Europe: Regional Jets: Low Economic Growth</t>
  </si>
  <si>
    <t>Air Travel: Aircraft Deliveries: Japan: Low Economic Growth</t>
  </si>
  <si>
    <t>Air Travel: Aircraft Deliveries: Japan: Narrow Body Aircraft: Low Economic Growth</t>
  </si>
  <si>
    <t>Air Travel: Aircraft Deliveries: Japan: Wide Body Aircraft: Low Economic Growth</t>
  </si>
  <si>
    <t>Air Travel: Aircraft Deliveries: Japan: Regional Jets: Low Economic Growth</t>
  </si>
  <si>
    <t>Air Travel: Aircraft Deliveries: Australia and New Zealand: Low Economic Growth</t>
  </si>
  <si>
    <t>Air Travel: Aircraft Deliveries: Australia and New Zealand: Narrow Body Aircraft: Low Economic Growth</t>
  </si>
  <si>
    <t>Air Travel: Aircraft Deliveries: Australia and New Zealand: Wide Body Aircraft: Low Economic Growth</t>
  </si>
  <si>
    <t>Air Travel: Aircraft Deliveries: Australia and New Zealand: Regional Jets: Low Economic Growth</t>
  </si>
  <si>
    <t>Air Travel: Aircraft Deliveries: South Korea: Low Economic Growth</t>
  </si>
  <si>
    <t>Air Travel: Aircraft Deliveries: South Korea: Narrow Body Aircraft: Low Economic Growth</t>
  </si>
  <si>
    <t>Air Travel: Aircraft Deliveries: South Korea: Wide Body Aircraft: Low Economic Growth</t>
  </si>
  <si>
    <t>Air Travel: Aircraft Deliveries: South Korea: Regional Jets: Low Economic Growth</t>
  </si>
  <si>
    <t>Air Travel: Aircraft Deliveries: Russia: Low Economic Growth</t>
  </si>
  <si>
    <t>Air Travel: Aircraft Deliveries: Russia: Narrow Body Aircraft: Low Economic Growth</t>
  </si>
  <si>
    <t>Air Travel: Aircraft Deliveries: Russia: Wide Body Aircraft: Low Economic Growth</t>
  </si>
  <si>
    <t>Air Travel: Aircraft Deliveries: Russia: Regional Jets: Low Economic Growth</t>
  </si>
  <si>
    <t>Air Travel: Aircraft Deliveries: Other Europe and Eurasia: Low Economic Growth</t>
  </si>
  <si>
    <t>Air Travel: Aircraft Deliveries: Other Europe and Eurasia: Narrow Body Aircraft: Low Economic Growth</t>
  </si>
  <si>
    <t>Air Travel: Aircraft Deliveries: Other Europe and Eurasia: Wide Body Aircraft: Low Economic Growth</t>
  </si>
  <si>
    <t>Air Travel: Aircraft Deliveries: Other Europe and Eurasia: Regional Jets: Low Economic Growth</t>
  </si>
  <si>
    <t>Air Travel: Aircraft Deliveries: China: Low Economic Growth</t>
  </si>
  <si>
    <t>Air Travel: Aircraft Deliveries: China: Narrow Body Aircraft: Low Economic Growth</t>
  </si>
  <si>
    <t>Air Travel: Aircraft Deliveries: China: Wide Body Aircraft: Low Economic Growth</t>
  </si>
  <si>
    <t>Air Travel: Aircraft Deliveries: China: Regional Jets: Low Economic Growth</t>
  </si>
  <si>
    <t>Air Travel: Aircraft Deliveries: India: Low Economic Growth</t>
  </si>
  <si>
    <t>Air Travel: Aircraft Deliveries: India: Narrow Body Aircraft: Low Economic Growth</t>
  </si>
  <si>
    <t>Air Travel: Aircraft Deliveries: India: Wide Body Aircraft: Low Economic Growth</t>
  </si>
  <si>
    <t>Air Travel: Aircraft Deliveries: India: Regional Jets: Low Economic Growth</t>
  </si>
  <si>
    <t>Air Travel: Aircraft Deliveries: Other Non-OECD Asia: Low Economic Growth</t>
  </si>
  <si>
    <t>Air Travel: Aircraft Deliveries: Other Non-OECD Asia: Narrow Body Aircraft: Low Economic Growth</t>
  </si>
  <si>
    <t>Air Travel: Aircraft Deliveries: Other Non-OECD Asia: Wide Body Aircraft: Low Economic Growth</t>
  </si>
  <si>
    <t>Air Travel: Aircraft Deliveries: Other Non-OECD Asia: Regional Jets: Low Economic Growth</t>
  </si>
  <si>
    <t>Air Travel: Aircraft Deliveries: Middle East: Low Economic Growth</t>
  </si>
  <si>
    <t>Air Travel: Aircraft Deliveries: Middle East: Narrow Body Aircraft: Low Economic Growth</t>
  </si>
  <si>
    <t>Air Travel: Aircraft Deliveries: Middle East: Wide Body Aircraft: Low Economic Growth</t>
  </si>
  <si>
    <t>Air Travel: Aircraft Deliveries: Middle East: Regional Jets: Low Economic Growth</t>
  </si>
  <si>
    <t>Air Travel: Aircraft Deliveries: Africa: Low Economic Growth</t>
  </si>
  <si>
    <t>Air Travel: Aircraft Deliveries: Africa: Narrow Body Aircraft: Low Economic Growth</t>
  </si>
  <si>
    <t>Air Travel: Aircraft Deliveries: Africa: Wide Body Aircraft: Low Economic Growth</t>
  </si>
  <si>
    <t>Air Travel: Aircraft Deliveries: Africa: Regional Jets: Low Economic Growth</t>
  </si>
  <si>
    <t>Air Travel: Aircraft Deliveries: Brazil: Low Economic Growth</t>
  </si>
  <si>
    <t>Air Travel: Aircraft Deliveries: Brazil: Narrow Body Aircraft: Low Economic Growth</t>
  </si>
  <si>
    <t>Air Travel: Aircraft Deliveries: Brazil: Wide Body Aircraft: Low Economic Growth</t>
  </si>
  <si>
    <t>Air Travel: Aircraft Deliveries: Brazil: Regional Jets: Low Economic Growth</t>
  </si>
  <si>
    <t>Air Travel: Aircraft Deliveries: Other Non-OECD Americas: Low Economic Growth</t>
  </si>
  <si>
    <t>Air Travel: Aircraft Deliveries: Other Non-OECD Americas: Narrow Body Aircraft: Low Economic Growth</t>
  </si>
  <si>
    <t>Air Travel: Aircraft Deliveries: Other Non-OECD Americas: Wide Body Aircraft: Low Economic Growth</t>
  </si>
  <si>
    <t>Air Travel: Aircraft Deliveries: Other Non-OECD Americas: Regional Jets: Low Economic Growth</t>
  </si>
  <si>
    <t>Air Travel: Aircraft Deliveries: World: Narrow Body Aircraft: Low Economic Growth</t>
  </si>
  <si>
    <t>Air Travel: Aircraft Deliveries: World: Wide Body Aircraft: Low Economic Growth</t>
  </si>
  <si>
    <t>Air Travel: Aircraft Deliveries: World: Regional Jets: Low Economic Growth</t>
  </si>
  <si>
    <t>Air Travel: Aircraft Deliveries: World: Low Economic Growth</t>
  </si>
  <si>
    <t>Air Travel: New Aircraft Efficiency: Narrow Body Aircraft: Low Economic Growth</t>
  </si>
  <si>
    <t>AEO.2023.LOWMACRO.EFI_NEW_AIRT_NBTR_NA_NA_USA_SEATMPG.A</t>
  </si>
  <si>
    <t>Air Travel: New Aircraft Efficiency: Wide Body Aircraft: Low Economic Growth</t>
  </si>
  <si>
    <t>AEO.2023.LOWMACRO.EFI_NEW_AIRT_WBE_NA_NA_USA_SEATMPG.A</t>
  </si>
  <si>
    <t>Air Travel: New Aircraft Efficiency: Regional Jets: Low Economic Growth</t>
  </si>
  <si>
    <t>AEO.2023.LOWMACRO.EFI_NEW_AIRT_REGJ_NA_NA_USA_SEATMPG.A</t>
  </si>
  <si>
    <t>Air Travel: New Aircraft Efficiency: Average Aircraft: Low Economic Growth</t>
  </si>
  <si>
    <t>AEO.2023.LOWMACRO.EFI_NEW_AIRT_NA_NA_NA_USA_SEATMPG.A</t>
  </si>
  <si>
    <t>Air Travel: Aircraft Stock Efficiency: Narrow Body Aircraft: Low Economic Growth</t>
  </si>
  <si>
    <t>AEO.2023.LOWMACRO.EFI_STK_AIRT_NBTR_NA_NA_USA_SEATMPG.A</t>
  </si>
  <si>
    <t>Air Travel: Aircraft Stock Efficiency: Wide Body Aircraft: Low Economic Growth</t>
  </si>
  <si>
    <t>AEO.2023.LOWMACRO.EFI_STK_AIRT_WBE_NA_NA_USA_SEATMPG.A</t>
  </si>
  <si>
    <t>Air Travel: Aircraft Stock Efficiency: Regional Jets: Low Economic Growth</t>
  </si>
  <si>
    <t>AEO.2023.LOWMACRO.EFI_STK_AIRT_REGJ_NA_NA_USA_SEATMPG.A</t>
  </si>
  <si>
    <t>Air Travel: Aircraft Stock Efficiency: Average Aircraft: Low Economic Growth</t>
  </si>
  <si>
    <t>AEO.2023.LOWMACRO.EFI_STK_AIRT_NA_NA_NA_USA_SEATMPG.A</t>
  </si>
  <si>
    <t>Air Travel: Fuel Use: Commercial: Jet Fuel: U.S.: Low Economic Growth</t>
  </si>
  <si>
    <t>AEO.2023.LOWMACRO.CNSM_NA_AIRT_COMM_JFL_NA_USA_TRLBTU.A</t>
  </si>
  <si>
    <t>Air Travel: Fuel Use: Commercial: Jet Fuel: Canada: Low Economic Growth</t>
  </si>
  <si>
    <t>AEO.2023.LOWMACRO.CNSM_NA_AIRT_COMM_JFL_NA_CAN_TRLBTU.A</t>
  </si>
  <si>
    <t>Air Travel: Fuel Use: Commercial: Jet Fuel: Mexico and other OECD Americas: Low Economic Growth</t>
  </si>
  <si>
    <t>AEO.2023.LOWMACRO.CNSM_NA_AIRT_COMM_JFL_NA_MEXOTH_TRLBTU.A</t>
  </si>
  <si>
    <t>Air Travel: Fuel Use: Commercial: Jet Fuel: OECD Europe: Low Economic Growth</t>
  </si>
  <si>
    <t>AEO.2023.LOWMACRO.CNSM_NA_AIRT_COMM_JFL_NA_OCDEU_TRLBTU.A</t>
  </si>
  <si>
    <t>Air Travel: Fuel Use: Commercial: Jet Fuel: Japan: Low Economic Growth</t>
  </si>
  <si>
    <t>AEO.2023.LOWMACRO.CNSM_NA_AIRT_COMM_JFL_NA_JPN_TRLBTU.A</t>
  </si>
  <si>
    <t>Air Travel: Fuel Use: Commercial: Jet Fuel: Australia and New Zealand: Low Economic Growth</t>
  </si>
  <si>
    <t>AEO.2023.LOWMACRO.CNSM_NA_AIRT_COMM_JFL_NA_AUNZ_TRLBTU.A</t>
  </si>
  <si>
    <t>Air Travel: Fuel Use: Commercial: Jet Fuel: South Korea: Low Economic Growth</t>
  </si>
  <si>
    <t>AEO.2023.LOWMACRO.CNSM_NA_AIRT_COMM_JFL_NA_SOK_TRLBTU.A</t>
  </si>
  <si>
    <t>Air Travel: Fuel Use: Commercial: Jet Fuel: Russia: Low Economic Growth</t>
  </si>
  <si>
    <t>AEO.2023.LOWMACRO.CNSM_NA_AIRT_COMM_JFL_NA_RUS_TRLBTU.A</t>
  </si>
  <si>
    <t>Air Travel: Fuel Use: Commercial: Jet Fuel: Other Europe and Eurasia: Low Economic Growth</t>
  </si>
  <si>
    <t>AEO.2023.LOWMACRO.CNSM_NA_AIRT_COMM_JFL_NA_OEUAS_TRLBTU.A</t>
  </si>
  <si>
    <t>Air Travel: Fuel Use: Commercial: Jet Fuel: China: Low Economic Growth</t>
  </si>
  <si>
    <t>AEO.2023.LOWMACRO.CNSM_NA_AIRT_COMM_JFL_NA_CHN_TRLBTU.A</t>
  </si>
  <si>
    <t>Air Travel: Fuel Use: Commercial: Jet Fuel: India: Low Economic Growth</t>
  </si>
  <si>
    <t>AEO.2023.LOWMACRO.CNSM_NA_AIRT_COMM_JFL_NA_IND_TRLBTU.A</t>
  </si>
  <si>
    <t>Air Travel: Fuel Use: Commercial: Jet Fuel: Other Non-OECD Asia: Low Economic Growth</t>
  </si>
  <si>
    <t>AEO.2023.LOWMACRO.CNSM_NA_AIRT_COMM_JFL_NA_ONCDAS_TRLBTU.A</t>
  </si>
  <si>
    <t>Air Travel: Fuel Use: Commercial: Jet Fuel: Middle East: Low Economic Growth</t>
  </si>
  <si>
    <t>AEO.2023.LOWMACRO.CNSM_NA_AIRT_COMM_JFL_NA_MDE_TRLBTU.A</t>
  </si>
  <si>
    <t>Air Travel: Fuel Use: Commercial: Jet Fuel: Africa: Low Economic Growth</t>
  </si>
  <si>
    <t>AEO.2023.LOWMACRO.CNSM_NA_AIRT_COMM_JFL_NA_AFR_TRLBTU.A</t>
  </si>
  <si>
    <t>Air Travel: Fuel Use: Commercial: Jet Fuel: Brazil: Low Economic Growth</t>
  </si>
  <si>
    <t>AEO.2023.LOWMACRO.CNSM_NA_AIRT_COMM_JFL_NA_BRZ_TRLBTU.A</t>
  </si>
  <si>
    <t>Air Travel: Fuel Use: Commercial: Jet Fuel: Other Non-OECD Americas: Low Economic Growth</t>
  </si>
  <si>
    <t>AEO.2023.LOWMACRO.CNSM_NA_AIRT_COMM_JFL_NA_OTHAMER_TRLBTU.A</t>
  </si>
  <si>
    <t>Air Travel: Fuel Use: Commercial: Jet Fuel: World: Low Economic Growth</t>
  </si>
  <si>
    <t>AEO.2023.LOWMACRO.CNSM_NA_AIRT_COMM_JFL_NA_WRLD_TRLBTU.A</t>
  </si>
  <si>
    <t>Air Travel: Fuel Use: Commercial: Aviation Gasoline: U.S.: Low Economic Growth</t>
  </si>
  <si>
    <t>AEO.2023.LOWMACRO.CNSM_NA_AIRT_COMM_AVGA_NA_USA_TRLBTU.A</t>
  </si>
  <si>
    <t>Air Travel: Fuel Use: Military: Jet Fuel: U.S.: Low Economic Growth</t>
  </si>
  <si>
    <t>AEO.2023.LOWMACRO.CNSM_NA_AIRT_MILT_JFL_NA_USA_TRLBTU.A</t>
  </si>
  <si>
    <t>https://www.eia.gov/outlooks/aeo/data/browser/#/?id=58-AEO2023&amp;cases=lowmacro&amp;sourcekey=0</t>
  </si>
  <si>
    <t>Tue Apr 11 2023 11:22:44 GMT-0400 (Eastern Daylight Time)</t>
  </si>
  <si>
    <t>Freight: Truck Stock: Vehicle Miles Traveled: Light Medium: Diesel: Low Economic Growth</t>
  </si>
  <si>
    <t>AEO.2023.LOWMACRO.ECI_VMT_FGHT_LITEMEDS_DSL_NA_NA_BLNMLS.A</t>
  </si>
  <si>
    <t>Freight: Truck Stock: Vehicle Miles Traveled: Light Medium: Motor Gasoline: Low Economic Growth</t>
  </si>
  <si>
    <t>AEO.2023.LOWMACRO.ECI_VMT_FGHT_LITEMEDS_MGS_NA_NA_BLNMLS.A</t>
  </si>
  <si>
    <t>Freight: Truck Stock: Vehicle Miles Traveled: Light Medium: Propane: Low Economic Growth</t>
  </si>
  <si>
    <t>AEO.2023.LOWMACRO.ECI_VMT_FGHT_LITEMEDS_PROP_NA_NA_BLNMLS.A</t>
  </si>
  <si>
    <t>Freight: Truck Stock: Vehicle Miles Traveled: Light Medium: Natural Gas: Low Economic Growth</t>
  </si>
  <si>
    <t>AEO.2023.LOWMACRO.ECI_VMT_FGHT_LITEMEDS_NG_NA_NA_BLNMLS.A</t>
  </si>
  <si>
    <t>Freight: Truck Stock: Vehicle Miles Traveled: Light Medium: Ethanol-Flex Fuel: Low Economic Growth</t>
  </si>
  <si>
    <t>AEO.2023.LOWMACRO.ECI_VMT_FGHT_LITEMEDS_EFFI_NA_NA_BLNMLS.A</t>
  </si>
  <si>
    <t>Freight: Truck Stock: Vehicle Miles Traveled: Light Medium: Electric: Low Economic Growth</t>
  </si>
  <si>
    <t>AEO.2023.LOWMACRO.ECI_VMT_FGHT_LITEMEDS_ELE_NA_NA_BLNMLS.A</t>
  </si>
  <si>
    <t>Freight: Truck Stock: Vehicle Miles Traveled: Light Medium: Plug-in Diesel Hybrid: Low Economic Growth</t>
  </si>
  <si>
    <t>AEO.2023.LOWMACRO.ECI_VMT_FGHT_LITEMEDS_EDH_NA_NA_BLNMLS.A</t>
  </si>
  <si>
    <t>Freight: Truck Stock: Vehicle Miles Traveled: Light Medium: Plug-in Gasoline Hybrid: Low Economic Growth</t>
  </si>
  <si>
    <t>AEO.2023.LOWMACRO.ECI_VMT_FGHT_LITEMEDS_EGH_NA_NA_BLNMLS.A</t>
  </si>
  <si>
    <t>Freight: Truck Stock: Vehicle Miles Traveled: Light Medium: Fuel Cell: Low Economic Growth</t>
  </si>
  <si>
    <t>AEO.2023.LOWMACRO.ECI_VMT_FGHT_LITEMEDS_FUC_NA_NA_BLNMLS.A</t>
  </si>
  <si>
    <t>Freight: Truck Stock: Vehicle Miles Traveled: Light Medium: Low Economic Growth</t>
  </si>
  <si>
    <t>AEO.2023.LOWMACRO.ECI_VMT_FGHT_LITEMEDS_NA_NA_NA_BLNMLS.A</t>
  </si>
  <si>
    <t>Freight: Truck Stock: Vehicle Miles Traveled: Medium: Diesel: Low Economic Growth</t>
  </si>
  <si>
    <t>AEO.2023.LOWMACRO.ECI_VMT_FGHT_SOSOS_DSL_NA_NA_BLNMLS.A</t>
  </si>
  <si>
    <t>Freight: Truck Stock: Vehicle Miles Traveled: Medium: Motor Gasoline: Low Economic Growth</t>
  </si>
  <si>
    <t>AEO.2023.LOWMACRO.ECI_VMT_FGHT_SOSOS_MGS_NA_NA_BLNMLS.A</t>
  </si>
  <si>
    <t>Freight: Truck Stock: Vehicle Miles Traveled: Medium: Propane: Low Economic Growth</t>
  </si>
  <si>
    <t>AEO.2023.LOWMACRO.ECI_VMT_FGHT_SOSOS_PROP_NA_NA_BLNMLS.A</t>
  </si>
  <si>
    <t>Freight: Truck Stock: Vehicle Miles Traveled: Medium: Natural Gas: Low Economic Growth</t>
  </si>
  <si>
    <t>AEO.2023.LOWMACRO.ECI_VMT_FGHT_SOSOS_NG_NA_NA_BLNMLS.A</t>
  </si>
  <si>
    <t>Freight: Truck Stock: Vehicle Miles Traveled: Medium: Ethanol-Flex Fuel: Low Economic Growth</t>
  </si>
  <si>
    <t>AEO.2023.LOWMACRO.ECI_VMT_FGHT_SOSOS_EFFI_NA_NA_BLNMLS.A</t>
  </si>
  <si>
    <t>Freight: Truck Stock: Vehicle Miles Traveled: Medium: Electric: Low Economic Growth</t>
  </si>
  <si>
    <t>AEO.2023.LOWMACRO.ECI_VMT_FGHT_SOSOS_ELE_NA_NA_BLNMLS.A</t>
  </si>
  <si>
    <t>Freight: Truck Stock: Vehicle Miles Traveled: Medium: Plug-in Diesel Hybrid: Low Economic Growth</t>
  </si>
  <si>
    <t>AEO.2023.LOWMACRO.ECI_VMT_FGHT_SOSOS_EDH_NA_NA_BLNMLS.A</t>
  </si>
  <si>
    <t>Freight: Truck Stock: Vehicle Miles Traveled: Medium: Plug-in Gasoline Hybrid: Low Economic Growth</t>
  </si>
  <si>
    <t>AEO.2023.LOWMACRO.ECI_VMT_FGHT_SOSOS_EGH_NA_NA_BLNMLS.A</t>
  </si>
  <si>
    <t>Freight: Truck Stock: Vehicle Miles Traveled: Medium: Fuel Cell: Low Economic Growth</t>
  </si>
  <si>
    <t>AEO.2023.LOWMACRO.ECI_VMT_FGHT_SOSOS_FUC_NA_NA_BLNMLS.A</t>
  </si>
  <si>
    <t>Freight: Truck Stock: Vehicle Miles Traveled: Medium: Low Economic Growth</t>
  </si>
  <si>
    <t>AEO.2023.LOWMACRO.ECI_VMT_FGHT_SOSOS_NA_NA_NA_BLNMLS.A</t>
  </si>
  <si>
    <t>Freight: Truck Stock: Vehicle Miles Traveled: Heavy: Diesel: Low Economic Growth</t>
  </si>
  <si>
    <t>AEO.2023.LOWMACRO.ECI_VMT_FGHT_RADS_DSL_NA_NA_BLNMLS.A</t>
  </si>
  <si>
    <t>Freight: Truck Stock: Vehicle Miles Traveled: Heavy: Motor Gasoline: Low Economic Growth</t>
  </si>
  <si>
    <t>AEO.2023.LOWMACRO.ECI_VMT_FGHT_RADS_MGS_NA_NA_BLNMLS.A</t>
  </si>
  <si>
    <t>Freight: Truck Stock: Vehicle Miles Traveled: Heavy: Propane: Low Economic Growth</t>
  </si>
  <si>
    <t>AEO.2023.LOWMACRO.ECI_VMT_FGHT_RADS_PROP_NA_NA_BLNMLS.A</t>
  </si>
  <si>
    <t>Freight: Truck Stock: Vehicle Miles Traveled: Heavy: Natural Gas: Low Economic Growth</t>
  </si>
  <si>
    <t>AEO.2023.LOWMACRO.ECI_VMT_FGHT_RADS_NG_NA_NA_BLNMLS.A</t>
  </si>
  <si>
    <t>Freight: Truck Stock: Vehicle Miles Traveled: Heavy: Ethanol-Flex Fuel: Low Economic Growth</t>
  </si>
  <si>
    <t>AEO.2023.LOWMACRO.ECI_VMT_FGHT_RADS_EFFI_NA_NA_BLNMLS.A</t>
  </si>
  <si>
    <t>Freight: Truck Stock: Vehicle Miles Traveled: Heavy: Electric: Low Economic Growth</t>
  </si>
  <si>
    <t>AEO.2023.LOWMACRO.ECI_VMT_FGHT_RADS_ELE_NA_NA_BLNMLS.A</t>
  </si>
  <si>
    <t>Freight: Truck Stock: Vehicle Miles Traveled: Heavy: Plug-in Diesel Hybrid: Low Economic Growth</t>
  </si>
  <si>
    <t>AEO.2023.LOWMACRO.ECI_VMT_FGHT_RADS_EDH_NA_NA_BLNMLS.A</t>
  </si>
  <si>
    <t>Freight: Truck Stock: Vehicle Miles Traveled: Heavy: Plug-in Gasoline Hybrid: Low Economic Growth</t>
  </si>
  <si>
    <t>AEO.2023.LOWMACRO.ECI_VMT_FGHT_RADS_EGH_NA_NA_BLNMLS.A</t>
  </si>
  <si>
    <t>Freight: Truck Stock: Vehicle Miles Traveled: Heavy: Fuel Cell: Low Economic Growth</t>
  </si>
  <si>
    <t>AEO.2023.LOWMACRO.ECI_VMT_FGHT_RADS_FUC_NA_NA_BLNMLS.A</t>
  </si>
  <si>
    <t>Freight: Truck Stock: Vehicle Miles Traveled: Heavy: Low Economic Growth</t>
  </si>
  <si>
    <t>AEO.2023.LOWMACRO.ECI_VMT_FGHT_RADS_NA_NA_NA_BLNMLS.A</t>
  </si>
  <si>
    <t>Freight: Truck Stock: Vehicle Miles Traveled: Low Economic Growth</t>
  </si>
  <si>
    <t>AEO.2023.LOWMACRO.ECI_VMT_FGHT_STK_NA_NA_NA_BLNMLS.A</t>
  </si>
  <si>
    <t>Freight: Truck Stock: Use: Light Medium: Diesel: Low Economic Growth</t>
  </si>
  <si>
    <t>AEO.2023.LOWMACRO.CNSM_NA_FGHT_LITEMEDS_DSL_NA_NA_TRLBTU.A</t>
  </si>
  <si>
    <t>Freight: Truck Stock: Use: Light Medium: Motor Gasoline: Low Economic Growth</t>
  </si>
  <si>
    <t>AEO.2023.LOWMACRO.CNSM_NA_FGHT_LITEMEDS_MGS_NA_NA_TRLBTU.A</t>
  </si>
  <si>
    <t>Freight: Truck Stock: Use: Light Medium: Propane: Low Economic Growth</t>
  </si>
  <si>
    <t>AEO.2023.LOWMACRO.CNSM_NA_FGHT_LITEMEDS_PROP_NA_NA_TRLBTU.A</t>
  </si>
  <si>
    <t>Freight: Truck Stock: Use: Light Medium: Natural Gas: Low Economic Growth</t>
  </si>
  <si>
    <t>AEO.2023.LOWMACRO.CNSM_NA_FGHT_LITEMEDS_NG_NA_NA_TRLBTU.A</t>
  </si>
  <si>
    <t>Freight: Truck Stock: Use: Light Medium: Ethanol-Flex Fuel: Low Economic Growth</t>
  </si>
  <si>
    <t>AEO.2023.LOWMACRO.CNSM_NA_FGHT_LITEMEDS_EFFI_NA_NA_TRLBTU.A</t>
  </si>
  <si>
    <t>Freight: Truck Stock: Use: Light Medium: Electric: Low Economic Growth</t>
  </si>
  <si>
    <t>AEO.2023.LOWMACRO.CNSM_NA_FGHT_LITEMEDS_ELE_NA_NA_TRLBTU.A</t>
  </si>
  <si>
    <t>Freight: Truck Stock: Use: Light Medium: Plug-in Diesel Hybrid: Low Economic Growth</t>
  </si>
  <si>
    <t>AEO.2023.LOWMACRO.CNSM_NA_FGHT_LITEMEDS_EDH_NA_NA_TRLBTU.A</t>
  </si>
  <si>
    <t>Freight: Truck Stock: Use: Light Medium: Plug-in Gasoline Hybrid: Low Economic Growth</t>
  </si>
  <si>
    <t>AEO.2023.LOWMACRO.CNSM_NA_FGHT_LITEMEDS_EGH_NA_NA_TRLBTU.A</t>
  </si>
  <si>
    <t>Freight: Truck Stock: Use: Light Medium: Fuel Cell: Low Economic Growth</t>
  </si>
  <si>
    <t>AEO.2023.LOWMACRO.CNSM_NA_FGHT_LITEMEDS_FUC_NA_NA_TRLBTU.A</t>
  </si>
  <si>
    <t>Freight: Truck Stock: Use: Light Medium: Low Economic Growth</t>
  </si>
  <si>
    <t>AEO.2023.LOWMACRO.CNSM_NA_FGHT_LITEMEDS_NA_NA_NA_TRLBTU.A</t>
  </si>
  <si>
    <t>Freight: Truck Stock: Use: Medium: Diesel: Low Economic Growth</t>
  </si>
  <si>
    <t>AEO.2023.LOWMACRO.CNSM_NA_FGHT_SOSOS_DSL_NA_NA_TRLBTU.A</t>
  </si>
  <si>
    <t>Freight: Truck Stock: Use: Medium: Motor Gasoline: Low Economic Growth</t>
  </si>
  <si>
    <t>AEO.2023.LOWMACRO.CNSM_NA_FGHT_SOSOS_MGS_NA_NA_TRLBTU.A</t>
  </si>
  <si>
    <t>Freight: Truck Stock: Use: Medium: Propane: Low Economic Growth</t>
  </si>
  <si>
    <t>AEO.2023.LOWMACRO.CNSM_NA_FGHT_SOSOS_PROP_NA_NA_TRLBTU.A</t>
  </si>
  <si>
    <t>Freight: Truck Stock: Use: Medium: Natural Gas: Low Economic Growth</t>
  </si>
  <si>
    <t>AEO.2023.LOWMACRO.CNSM_NA_FGHT_SOSOS_NG_NA_NA_TRLBTU.A</t>
  </si>
  <si>
    <t>Freight: Truck Stock: Use: Medium: Ethanol-Flex Fuel: Low Economic Growth</t>
  </si>
  <si>
    <t>AEO.2023.LOWMACRO.CNSM_NA_FGHT_SOSOS_EFFI_NA_NA_TRLBTU.A</t>
  </si>
  <si>
    <t>Freight: Truck Stock: Use: Medium: Electric: Low Economic Growth</t>
  </si>
  <si>
    <t>AEO.2023.LOWMACRO.CNSM_NA_FGHT_SOSOS_ELE_NA_NA_TRLBTU.A</t>
  </si>
  <si>
    <t>Freight: Truck Stock: Use: Medium: Plug-in Diesel Hybrid: Low Economic Growth</t>
  </si>
  <si>
    <t>AEO.2023.LOWMACRO.CNSM_NA_FGHT_SOSOS_EDH_NA_NA_TRLBTU.A</t>
  </si>
  <si>
    <t>Freight: Truck Stock: Use: Medium: Plug-in Gasoline Hybrid: Low Economic Growth</t>
  </si>
  <si>
    <t>AEO.2023.LOWMACRO.CNSM_NA_FGHT_SOSOS_EGH_NA_NA_TRLBTU.A</t>
  </si>
  <si>
    <t>Freight: Truck Stock: Use: Medium: Fuel Cell: Low Economic Growth</t>
  </si>
  <si>
    <t>AEO.2023.LOWMACRO.CNSM_NA_FGHT_SOSOS_FUC_NA_NA_TRLBTU.A</t>
  </si>
  <si>
    <t>Freight: Truck Stock: Use: Medium: Low Economic Growth</t>
  </si>
  <si>
    <t>AEO.2023.LOWMACRO.CNSM_NA_FGHT_SOSOS_NA_NA_NA_TRLBTU.A</t>
  </si>
  <si>
    <t>Freight: Truck Stock: Use: Heavy: Diesel: Low Economic Growth</t>
  </si>
  <si>
    <t>AEO.2023.LOWMACRO.CNSM_NA_FGHT_RADS_DSL_NA_NA_TRLBTU.A</t>
  </si>
  <si>
    <t>Freight: Truck Stock: Use: Heavy: Motor Gasoline: Low Economic Growth</t>
  </si>
  <si>
    <t>AEO.2023.LOWMACRO.CNSM_NA_FGHT_RADS_MGS_NA_NA_TRLBTU.A</t>
  </si>
  <si>
    <t>Freight: Truck Stock: Use: Heavy: Propane: Low Economic Growth</t>
  </si>
  <si>
    <t>AEO.2023.LOWMACRO.CNSM_NA_FGHT_RADS_PROP_NA_NA_TRLBTU.A</t>
  </si>
  <si>
    <t>Freight: Truck Stock: Use: Heavy: Natural Gas: Low Economic Growth</t>
  </si>
  <si>
    <t>AEO.2023.LOWMACRO.CNSM_NA_FGHT_RADS_NG_NA_NA_TRLBTU.A</t>
  </si>
  <si>
    <t>Freight: Truck Stock: Use: Heavy: Ethanol-Flex Fuel: Low Economic Growth</t>
  </si>
  <si>
    <t>AEO.2023.LOWMACRO.CNSM_NA_FGHT_RADS_EFFI_NA_NA_TRLBTU.A</t>
  </si>
  <si>
    <t>Freight: Truck Stock: Use: Heavy: Electric: Low Economic Growth</t>
  </si>
  <si>
    <t>AEO.2023.LOWMACRO.CNSM_NA_FGHT_RADS_ELE_NA_NA_TRLBTU.A</t>
  </si>
  <si>
    <t>Freight: Truck Stock: Use: Heavy: Plug-in Diesel Hybrid: Low Economic Growth</t>
  </si>
  <si>
    <t>AEO.2023.LOWMACRO.CNSM_NA_FGHT_RADS_EDH_NA_NA_TRLBTU.A</t>
  </si>
  <si>
    <t>Freight: Truck Stock: Use: Heavy: Plug-in Gasoline Hybrid: Low Economic Growth</t>
  </si>
  <si>
    <t>AEO.2023.LOWMACRO.CNSM_NA_FGHT_RADS_EGH_NA_NA_TRLBTU.A</t>
  </si>
  <si>
    <t>Freight: Truck Stock: Use: Heavy: Fuel Cell: Low Economic Growth</t>
  </si>
  <si>
    <t>AEO.2023.LOWMACRO.CNSM_NA_FGHT_RADS_FUC_NA_NA_TRLBTU.A</t>
  </si>
  <si>
    <t>Freight: Truck Stock: Use: Heavy: Low Economic Growth</t>
  </si>
  <si>
    <t>AEO.2023.LOWMACRO.CNSM_NA_FGHT_RADS_NA_NA_NA_TRLBTU.A</t>
  </si>
  <si>
    <t>Freight: Truck Stock: Use: Light Medium, Medium, and Heavy: Diesel: Low Economic Growth</t>
  </si>
  <si>
    <t>AEO.2023.LOWMACRO.CNSM_NA_FGHT_STK_DSL_NA_NA_TRLBTU.A</t>
  </si>
  <si>
    <t>Freight: Truck Stock: Use: Light Medium, Medium, and Heavy: Motor Gasoline: Low Economic Growth</t>
  </si>
  <si>
    <t>AEO.2023.LOWMACRO.CNSM_NA_FGHT_STK_MGS_NA_NA_TRLBTU.A</t>
  </si>
  <si>
    <t>Freight: Truck Stock: Use: Light Medium, Medium, and Heavy: Propane: Low Economic Growth</t>
  </si>
  <si>
    <t>AEO.2023.LOWMACRO.CNSM_NA_FGHT_STK_PROP_NA_NA_TRLBTU.A</t>
  </si>
  <si>
    <t>Freight: Truck Stock: Use: Light Medium, Medium, and Heavy: Natural Gas: Low Economic Growth</t>
  </si>
  <si>
    <t>AEO.2023.LOWMACRO.CNSM_NA_FGHT_STK_NG_NA_NA_TRLBTU.A</t>
  </si>
  <si>
    <t>Freight: Truck Stock: Use: Light Medium, Medium, and Heavy: Ethanol-Flex Fuel: Low Economic Growth</t>
  </si>
  <si>
    <t>AEO.2023.LOWMACRO.CNSM_NA_FGHT_STK_EFFI_NA_NA_TRLBTU.A</t>
  </si>
  <si>
    <t>Freight: Truck Stock: Use: Light Medium, Medium, and Heavy: Electric: Low Economic Growth</t>
  </si>
  <si>
    <t>AEO.2023.LOWMACRO.CNSM_NA_FGHT_STK_ELE_NA_NA_TRLBTU.A</t>
  </si>
  <si>
    <t>Freight: Truck Stock: Use: Light Medium, Medium, and Heavy: Plug-in Diesel Hybrid: Low Economic Growth</t>
  </si>
  <si>
    <t>AEO.2023.LOWMACRO.CNSM_NA_FGHT_STK_EDH_NA_NA_TRLBTU.A</t>
  </si>
  <si>
    <t>Freight: Truck Stock: Use: Light Medium, Medium, and Heavy: Plug-in Gasoline Hybrid: Low Economic Growth</t>
  </si>
  <si>
    <t>AEO.2023.LOWMACRO.CNSM_NA_FGHT_STK_EGH_NA_NA_TRLBTU.A</t>
  </si>
  <si>
    <t>Freight: Truck Stock: Use: Light Medium, Medium, and Heavy: Fuel Cell: Low Economic Growth</t>
  </si>
  <si>
    <t>AEO.2023.LOWMACRO.CNSM_NA_FGHT_STK_FUC_NA_NA_TRLBTU.A</t>
  </si>
  <si>
    <t>Freight: Truck Stock: Use: Light Medium, Medium, and Heavy: Low Economic Growth</t>
  </si>
  <si>
    <t>AEO.2023.LOWMACRO.CNSM_NA_FGHT_STK_NA_NA_NA_TRLBTU.A</t>
  </si>
  <si>
    <t>Freight: Truck Stock: Fuel Efficiency: Light Medium: Diesel: Low Economic Growth</t>
  </si>
  <si>
    <t>AEO.2023.LOWMACRO.EFI_NA_FGHT_LITEMEDS_DSL_NA_NA_MPGDSEQ.A</t>
  </si>
  <si>
    <t>Freight: Truck Stock: Fuel Efficiency: Light Medium: Motor Gasoline: Low Economic Growth</t>
  </si>
  <si>
    <t>AEO.2023.LOWMACRO.EFI_NA_FGHT_LITEMEDS_MGS_NA_NA_MPGGASEQ.A</t>
  </si>
  <si>
    <t>Freight: Truck Stock: Fuel Efficiency: Light Medium: Propane: Low Economic Growth</t>
  </si>
  <si>
    <t>AEO.2023.LOWMACRO.EFI_NA_FGHT_LITEMEDS_PROP_NA_NA_MPGGASEQ.A</t>
  </si>
  <si>
    <t>Freight: Truck Stock: Fuel Efficiency: Light Medium: Natural Gas: Low Economic Growth</t>
  </si>
  <si>
    <t>AEO.2023.LOWMACRO.EFI_NA_FGHT_LITEMEDS_NG_NA_NA_MPGGASEQ.A</t>
  </si>
  <si>
    <t>Freight: Truck Stock: Fuel Efficiency: Light Medium: Ethanol-Flex Fuel: Low Economic Growth</t>
  </si>
  <si>
    <t>AEO.2023.LOWMACRO.EFI_NA_FGHT_LITEMEDS_EFFI_NA_NA_MPGGASEQ.A</t>
  </si>
  <si>
    <t>Freight: Truck Stock: Fuel Efficiency: Light Medium: Electric: Low Economic Growth</t>
  </si>
  <si>
    <t>AEO.2023.LOWMACRO.EFI_NA_FGHT_LITEMEDS_ELE_NA_NA_MPGDSEQ.A</t>
  </si>
  <si>
    <t>Freight: Truck Stock: Fuel Efficiency: Light Medium: Plug-in Diesel Hybrid: Low Economic Growth</t>
  </si>
  <si>
    <t>AEO.2023.LOWMACRO.EFI_NA_FGHT_LITEMEDS_EDH_NA_NA_MPGDSEQ.A</t>
  </si>
  <si>
    <t>Freight: Truck Stock: Fuel Efficiency: Light Medium: Plug-in Gasoline Hybrid: Low Economic Growth</t>
  </si>
  <si>
    <t>AEO.2023.LOWMACRO.EFI_NA_FGHT_LITEMEDS_EGH_NA_NA_MPGGASEQ.A</t>
  </si>
  <si>
    <t>Freight: Truck Stock: Fuel Efficiency: Light Medium: Fuel Cell: Low Economic Growth</t>
  </si>
  <si>
    <t>AEO.2023.LOWMACRO.EFI_NA_FGHT_LITEMEDS_FUC_NA_NA_MPGDSEQ.A</t>
  </si>
  <si>
    <t>Freight: Truck Stock: Fuel Efficiency: Light Medium: Average: Low Economic Growth</t>
  </si>
  <si>
    <t>AEO.2023.LOWMACRO.EFI_NA_FGHT_LITEMEDS_NA_NA_NA_NA.A</t>
  </si>
  <si>
    <t>Freight: Truck Stock: Fuel Efficiency: Medium: Diesel: Low Economic Growth</t>
  </si>
  <si>
    <t>AEO.2023.LOWMACRO.EFI_NA_FGHT_SOSOS_DSL_NA_NA_MPGDSEQ.A</t>
  </si>
  <si>
    <t>Freight: Truck Stock: Fuel Efficiency: Medium: Motor Gasoline: Low Economic Growth</t>
  </si>
  <si>
    <t>AEO.2023.LOWMACRO.EFI_NA_FGHT_SOSOS_MGS_NA_NA_MPGGASEQ.A</t>
  </si>
  <si>
    <t>Freight: Truck Stock: Fuel Efficiency: Medium: Propane: Low Economic Growth</t>
  </si>
  <si>
    <t>AEO.2023.LOWMACRO.EFI_NA_FGHT_SOSOS_PROP_NA_NA_MPGGASEQ.A</t>
  </si>
  <si>
    <t>Freight: Truck Stock: Fuel Efficiency: Medium: Natural Gas: Low Economic Growth</t>
  </si>
  <si>
    <t>AEO.2023.LOWMACRO.EFI_NA_FGHT_SOSOS_NG_NA_NA_MPGGASEQ.A</t>
  </si>
  <si>
    <t>Freight: Truck Stock: Fuel Efficiency: Medium: Ethanol-Flex Fuel: Low Economic Growth</t>
  </si>
  <si>
    <t>AEO.2023.LOWMACRO.EFI_NA_FGHT_SOSOS_EFFI_NA_NA_MPG.A</t>
  </si>
  <si>
    <t>Freight: Truck Stock: Fuel Efficiency: Medium: Electric: Low Economic Growth</t>
  </si>
  <si>
    <t>AEO.2023.LOWMACRO.EFI_NA_FGHT_SOSOS_ELE_NA_NA_MPGGASEQ.A</t>
  </si>
  <si>
    <t>Freight: Truck Stock: Fuel Efficiency: Medium: Plug-in Diesel Hybrid: Low Economic Growth</t>
  </si>
  <si>
    <t>AEO.2023.LOWMACRO.EFI_NA_FGHT_SOSOS_EDH_NA_NA_MPGGASEQ.A</t>
  </si>
  <si>
    <t>Freight: Truck Stock: Fuel Efficiency: Medium: Plug-in Gasoline Hybrid: Low Economic Growth</t>
  </si>
  <si>
    <t>AEO.2023.LOWMACRO.EFI_NA_FGHT_SOSOS_EGH_NA_NA_MPGGASEQ.A</t>
  </si>
  <si>
    <t>Freight: Truck Stock: Fuel Efficiency: Medium: Fuel Cell: Low Economic Growth</t>
  </si>
  <si>
    <t>AEO.2023.LOWMACRO.EFI_NA_FGHT_SOSOS_FUC_NA_NA_MPGGASEQ.A</t>
  </si>
  <si>
    <t>Freight: Truck Stock: Fuel Efficiency: Medium: Average: Low Economic Growth</t>
  </si>
  <si>
    <t>AEO.2023.LOWMACRO.EFI_NA_FGHT_SOSOS_NA_NA_NA_NA.A</t>
  </si>
  <si>
    <t>Freight: Truck Stock: Fuel Efficiency: Heavy: Diesel: Low Economic Growth</t>
  </si>
  <si>
    <t>AEO.2023.LOWMACRO.EFI_NA_FGHT_RADS_DSL_NA_NA_MPGDSEQ.A</t>
  </si>
  <si>
    <t>Freight: Truck Stock: Fuel Efficiency: Heavy: Motor Gasoline: Low Economic Growth</t>
  </si>
  <si>
    <t>AEO.2023.LOWMACRO.EFI_NA_FGHT_RADS_MGS_NA_NA_MPGGASEQ.A</t>
  </si>
  <si>
    <t>Freight: Truck Stock: Fuel Efficiency: Heavy: Propane: Low Economic Growth</t>
  </si>
  <si>
    <t>AEO.2023.LOWMACRO.EFI_NA_FGHT_RADS_PROP_NA_NA_MPGGASEQ.A</t>
  </si>
  <si>
    <t>Freight: Truck Stock: Fuel Efficiency: Heavy: Natural Gas: Low Economic Growth</t>
  </si>
  <si>
    <t>AEO.2023.LOWMACRO.EFI_NA_FGHT_RADS_NG_NA_NA_MPGDSEQ.A</t>
  </si>
  <si>
    <t>Freight: Truck Stock: Fuel Efficiency: Heavy: Ethanol-Flex Fuel: Low Economic Growth</t>
  </si>
  <si>
    <t>AEO.2023.LOWMACRO.EFI_NA_FGHT_RADS_EFFI_NA_NA_MPGGASEQ.A</t>
  </si>
  <si>
    <t>Freight: Truck Stock: Fuel Efficiency: Heavy: Electric: Low Economic Growth</t>
  </si>
  <si>
    <t>AEO.2023.LOWMACRO.EFI_NA_FGHT_RADS_ELE_NA_NA_MPGDSEQ.A</t>
  </si>
  <si>
    <t>Freight: Truck Stock: Fuel Efficiency: Heavy: Plug-in Diesel Hybrid: Low Economic Growth</t>
  </si>
  <si>
    <t>AEO.2023.LOWMACRO.EFI_NA_FGHT_RADS_EDH_NA_NA_MPGDSEQ.A</t>
  </si>
  <si>
    <t>Freight: Truck Stock: Fuel Efficiency: Heavy: Plug-in Gasoline Hybrid: Low Economic Growth</t>
  </si>
  <si>
    <t>AEO.2023.LOWMACRO.EFI_NA_FGHT_RADS_EGH_NA_NA_MPGGASEQ.A</t>
  </si>
  <si>
    <t>Freight: Truck Stock: Fuel Efficiency: Heavy: Fuel Cell: Low Economic Growth</t>
  </si>
  <si>
    <t>AEO.2023.LOWMACRO.EFI_NA_FGHT_RADS_FUC_NA_NA_MPGDSEQ.A</t>
  </si>
  <si>
    <t>Freight: Truck Stock: Fuel Efficiency: Heavy: Average: Low Economic Growth</t>
  </si>
  <si>
    <t>AEO.2023.LOWMACRO.EFI_NA_FGHT_RADS_NA_NA_NA_NA.A</t>
  </si>
  <si>
    <t>Freight: Truck Stock: Fuel Efficiency: Low Economic Growth</t>
  </si>
  <si>
    <t>AEO.2023.LOWMACRO.EFI_NA_FGHT_STK_NA_NA_NA_NA.A</t>
  </si>
  <si>
    <t>Freight: Truck Stock: Light Medium: Diesel: Low Economic Growth</t>
  </si>
  <si>
    <t>AEO.2023.LOWMACRO.ECI_STK_FGHT_LITEMEDS_DSL_NA_NA_MILL.A</t>
  </si>
  <si>
    <t>Freight: Truck Stock: Light Medium: Motor Gasoline: Low Economic Growth</t>
  </si>
  <si>
    <t>AEO.2023.LOWMACRO.ECI_STK_FGHT_LITEMEDS_MGS_NA_NA_MILL.A</t>
  </si>
  <si>
    <t>Freight: Truck Stock: Light Medium: Propane: Low Economic Growth</t>
  </si>
  <si>
    <t>AEO.2023.LOWMACRO.ECI_STK_FGHT_LITEMEDS_PROP_NA_NA_MILL.A</t>
  </si>
  <si>
    <t>Freight: Truck Stock: Light Medium: Natural Gas: Low Economic Growth</t>
  </si>
  <si>
    <t>AEO.2023.LOWMACRO.ECI_STK_FGHT_LITEMEDS_NG_NA_NA_MILL.A</t>
  </si>
  <si>
    <t>Freight: Truck Stock: Light Medium: Ethanol-Flex Fuel: Low Economic Growth</t>
  </si>
  <si>
    <t>AEO.2023.LOWMACRO.ECI_STK_FGHT_LITEMEDS_EFFI_NA_NA_MILL.A</t>
  </si>
  <si>
    <t>Freight: Truck Stock: Light Medium: Electric: Low Economic Growth</t>
  </si>
  <si>
    <t>AEO.2023.LOWMACRO.ECI_STK_FGHT_LITEMEDS_ELE_NA_NA_MILL.A</t>
  </si>
  <si>
    <t>Freight: Truck Stock: Light Medium: Plug-in Diesel Hybrid: Low Economic Growth</t>
  </si>
  <si>
    <t>AEO.2023.LOWMACRO.ECI_STK_FGHT_LITEMEDS_EDH_NA_NA_MILL.A</t>
  </si>
  <si>
    <t>Freight: Truck Stock: Light Medium: Plug-in Gasoline Hybrid: Low Economic Growth</t>
  </si>
  <si>
    <t>AEO.2023.LOWMACRO.ECI_STK_FGHT_LITEMEDS_EGH_NA_NA_MILL.A</t>
  </si>
  <si>
    <t>Freight: Truck Stock: Light Medium: Fuel Cell: Low Economic Growth</t>
  </si>
  <si>
    <t>AEO.2023.LOWMACRO.ECI_STK_FGHT_LITEMEDS_FUC_NA_NA_MILL.A</t>
  </si>
  <si>
    <t>Freight: Truck Stock: Light Medium: Low Economic Growth</t>
  </si>
  <si>
    <t>AEO.2023.LOWMACRO.ECI_STK_FGHT_LITEMEDS_NA_NA_NA_MILL.A</t>
  </si>
  <si>
    <t>Freight: Truck Stock: Medium: Diesel: Low Economic Growth</t>
  </si>
  <si>
    <t>AEO.2023.LOWMACRO.ECI_STK_FGHT_SOSOS_DSL_NA_NA_MILL.A</t>
  </si>
  <si>
    <t>Freight: Truck Stock: Medium: Motor Gasoline: Low Economic Growth</t>
  </si>
  <si>
    <t>AEO.2023.LOWMACRO.ECI_STK_FGHT_SOSOS_MGS_NA_NA_MILL.A</t>
  </si>
  <si>
    <t>Freight: Truck Stock: Medium: Propane: Low Economic Growth</t>
  </si>
  <si>
    <t>AEO.2023.LOWMACRO.ECI_STK_FGHT_SOSOS_PROP_NA_NA_MILL.A</t>
  </si>
  <si>
    <t>Freight: Truck Stock: Medium: Natural Gas: Low Economic Growth</t>
  </si>
  <si>
    <t>AEO.2023.LOWMACRO.ECI_STK_FGHT_SOSOS_NG_NA_NA_MILL.A</t>
  </si>
  <si>
    <t>Freight: Truck Stock: Medium: Ethanol-Flex Fuel: Low Economic Growth</t>
  </si>
  <si>
    <t>AEO.2023.LOWMACRO.ECI_STK_FGHT_SOSOS_EFFI_NA_NA_MILL.A</t>
  </si>
  <si>
    <t>Freight: Truck Stock: Medium: Electric: Low Economic Growth</t>
  </si>
  <si>
    <t>AEO.2023.LOWMACRO.ECI_STK_FGHT_SOSOS_ELE_NA_NA_MILL.A</t>
  </si>
  <si>
    <t>Freight: Truck Stock: Medium: Plug-in Diesel Hybrid: Low Economic Growth</t>
  </si>
  <si>
    <t>AEO.2023.LOWMACRO.ECI_STK_FGHT_SOSOS_EDH_NA_NA_MILL.A</t>
  </si>
  <si>
    <t>Freight: Truck Stock: Medium: Plug-in Gasoline Hybrid: Low Economic Growth</t>
  </si>
  <si>
    <t>AEO.2023.LOWMACRO.ECI_STK_FGHT_SOSOS_EGH_NA_NA_MILL.A</t>
  </si>
  <si>
    <t>Freight: Truck Stock: Medium: Fuel Cell: Low Economic Growth</t>
  </si>
  <si>
    <t>AEO.2023.LOWMACRO.ECI_STK_FGHT_SOSOS_FUC_NA_NA_MILL.A</t>
  </si>
  <si>
    <t>Freight: Truck Stock: Medium: Low Economic Growth</t>
  </si>
  <si>
    <t>AEO.2023.LOWMACRO.ECI_STK_FGHT_SOSOS_NA_NA_NA_MILL.A</t>
  </si>
  <si>
    <t>Freight: Truck Stock: Heavy: Diesel: Low Economic Growth</t>
  </si>
  <si>
    <t>AEO.2023.LOWMACRO.ECI_STK_FGHT_RADS_DSL_NA_NA_MILL.A</t>
  </si>
  <si>
    <t>Freight: Truck Stock: Heavy: Motor Gasoline: Low Economic Growth</t>
  </si>
  <si>
    <t>AEO.2023.LOWMACRO.ECI_STK_FGHT_RADS_MGS_NA_NA_MILL.A</t>
  </si>
  <si>
    <t>Freight: Truck Stock: Heavy: Propane: Low Economic Growth</t>
  </si>
  <si>
    <t>AEO.2023.LOWMACRO.ECI_STK_FGHT_RADS_PROP_NA_NA_MILL.A</t>
  </si>
  <si>
    <t>Freight: Truck Stock: Heavy: Natural Gas: Low Economic Growth</t>
  </si>
  <si>
    <t>AEO.2023.LOWMACRO.ECI_STK_FGHT_RADS_NG_NA_NA_MILL.A</t>
  </si>
  <si>
    <t>Freight: Truck Stock: Heavy: Ethanol-Flex Fuel: Low Economic Growth</t>
  </si>
  <si>
    <t>AEO.2023.LOWMACRO.ECI_STK_FGHT_RADS_EFFI_NA_NA_MILL.A</t>
  </si>
  <si>
    <t>Freight: Truck Stock: Heavy: Electric: Low Economic Growth</t>
  </si>
  <si>
    <t>AEO.2023.LOWMACRO.ECI_STK_FGHT_RADS_ELE_NA_NA_MILL.A</t>
  </si>
  <si>
    <t>Freight: Truck Stock: Heavy: Plug-in Diesel Hybrid: Low Economic Growth</t>
  </si>
  <si>
    <t>AEO.2023.LOWMACRO.ECI_STK_FGHT_RADS_EDH_NA_NA_MILL.A</t>
  </si>
  <si>
    <t>Freight: Truck Stock: Heavy: Plug-in Gasoline Hybrid: Low Economic Growth</t>
  </si>
  <si>
    <t>AEO.2023.LOWMACRO.ECI_STK_FGHT_RADS_EGH_NA_NA_MILL.A</t>
  </si>
  <si>
    <t>Freight: Truck Stock: Heavy: Fuel Cell: Low Economic Growth</t>
  </si>
  <si>
    <t>AEO.2023.LOWMACRO.ECI_STK_FGHT_RADS_FUC_NA_NA_MILL.A</t>
  </si>
  <si>
    <t>Freight: Truck Stock: Heavy: Low Economic Growth</t>
  </si>
  <si>
    <t>AEO.2023.LOWMACRO.ECI_STK_FGHT_RADS_NA_NA_NA_MILL.A</t>
  </si>
  <si>
    <t>Freight: Truck Stock: Low Economic Growth</t>
  </si>
  <si>
    <t>AEO.2023.LOWMACRO.ECI_STK_FGHT_STK_NA_NA_NA_MILL.A</t>
  </si>
  <si>
    <t>Freight: New Trucks: Fuel Efficiency: Light Medium: Diesel: Low Economic Growth</t>
  </si>
  <si>
    <t>AEO.2023.LOWMACRO.EFI_NA_FGHT_LITEMEDN_DSL_NA_NA_MPGDSEQ.A</t>
  </si>
  <si>
    <t>Freight: New Trucks: Fuel Efficiency: Light Medium: Motor Gasoline: Low Economic Growth</t>
  </si>
  <si>
    <t>AEO.2023.LOWMACRO.EFI_NA_FGHT_LITEMEDN_MGS_NA_NA_MPGGASEQ.A</t>
  </si>
  <si>
    <t>Freight: New Trucks: Fuel Efficiency: Light Medium: Propane: Low Economic Growth</t>
  </si>
  <si>
    <t>AEO.2023.LOWMACRO.EFI_NA_FGHT_LITEMEDN_PROP_NA_NA_MPGGASEQ.A</t>
  </si>
  <si>
    <t>Freight: New Trucks: Fuel Efficiency: Light Medium: Natural Gas: Low Economic Growth</t>
  </si>
  <si>
    <t>AEO.2023.LOWMACRO.EFI_NA_FGHT_LITEMEDN_NG_NA_NA_MPGGASEQ.A</t>
  </si>
  <si>
    <t>Freight: New Trucks: Fuel Efficiency: Light Medium: Ethanol-Flex Fuel: Low Economic Growth</t>
  </si>
  <si>
    <t>AEO.2023.LOWMACRO.EFI_NA_FGHT_LITEMEDN_EFFI_NA_NA_MPGGASEQ.A</t>
  </si>
  <si>
    <t>Freight: New Trucks: Fuel Efficiency: Light Medium: Electric: Low Economic Growth</t>
  </si>
  <si>
    <t>AEO.2023.LOWMACRO.EFI_NA_FGHT_LITEMEDN_ELE_NA_NA_MPGDSEQ.A</t>
  </si>
  <si>
    <t>Freight: New Trucks: Fuel Efficiency: Light Medium: Plug-in Diesel Hybrid: Low Economic Growth</t>
  </si>
  <si>
    <t>AEO.2023.LOWMACRO.EFI_NA_FGHT_LITEMEDN_EDH_NA_NA_MPGDSEQ.A</t>
  </si>
  <si>
    <t>Freight: New Trucks: Fuel Efficiency: Light Medium: Plug-in Gasoline Hybrid: Low Economic Growth</t>
  </si>
  <si>
    <t>AEO.2023.LOWMACRO.EFI_NA_FGHT_LITEMEDN_EGH_NA_NA_MPGGASEQ.A</t>
  </si>
  <si>
    <t>Freight: New Trucks: Fuel Efficiency: Light Medium: Fuel Cell: Low Economic Growth</t>
  </si>
  <si>
    <t>AEO.2023.LOWMACRO.EFI_NA_FGHT_LITEMEDN_FUC_NA_NA_MPGDSEQ.A</t>
  </si>
  <si>
    <t>Freight: New Trucks: Fuel Efficiency: Light Medium: Average: Low Economic Growth</t>
  </si>
  <si>
    <t>AEO.2023.LOWMACRO.EFI_NA_FGHT_LITEMEDN_NA_NA_NA_NA.A</t>
  </si>
  <si>
    <t>Freight: New Trucks: Fuel Efficiency: Medium: Diesel: Low Economic Growth</t>
  </si>
  <si>
    <t>AEO.2023.LOWMACRO.EFI_NA_FGHT_SOSON_DSL_NA_NA_MPGDSEQ.A</t>
  </si>
  <si>
    <t>Freight: New Trucks: Fuel Efficiency: Medium: Motor Gasoline: Low Economic Growth</t>
  </si>
  <si>
    <t>AEO.2023.LOWMACRO.EFI_NA_FGHT_SOSON_MGS_NA_NA_MPGGASEQ.A</t>
  </si>
  <si>
    <t>Freight: New Trucks: Fuel Efficiency: Medium: Propane: Low Economic Growth</t>
  </si>
  <si>
    <t>AEO.2023.LOWMACRO.EFI_NA_FGHT_SOSON_PROP_NA_NA_MPGGASEQ.A</t>
  </si>
  <si>
    <t>Freight: New Trucks: Fuel Efficiency: Medium: Natural Gas: Low Economic Growth</t>
  </si>
  <si>
    <t>AEO.2023.LOWMACRO.EFI_NA_FGHT_SOSON_NG_NA_NA_MPGGASEQ.A</t>
  </si>
  <si>
    <t>Freight: New Trucks: Fuel Efficiency: Medium: Ethanol-Flex Fuel: Low Economic Growth</t>
  </si>
  <si>
    <t>AEO.2023.LOWMACRO.EFI_NA_FGHT_SOSON_EFFI_NA_NA_MPG.A</t>
  </si>
  <si>
    <t>Freight: New Trucks: Fuel Efficiency: Medium: Electric: Low Economic Growth</t>
  </si>
  <si>
    <t>AEO.2023.LOWMACRO.EFI_NA_FGHT_SOSON_ELE_NA_NA_MPGGASEQ.A</t>
  </si>
  <si>
    <t>Freight: New Trucks: Fuel Efficiency: Medium: Plug-in Diesel Hybrid: Low Economic Growth</t>
  </si>
  <si>
    <t>AEO.2023.LOWMACRO.EFI_NA_FGHT_SOSON_EDH_NA_NA_MPGGASEQ.A</t>
  </si>
  <si>
    <t>Freight: New Trucks: Fuel Efficiency: Medium: Plug-in Gasoline Hybrid: Low Economic Growth</t>
  </si>
  <si>
    <t>AEO.2023.LOWMACRO.EFI_NA_FGHT_SOSON_EGH_NA_NA_MPGGASEQ.A</t>
  </si>
  <si>
    <t>Freight: New Trucks: Fuel Efficiency: Medium: Fuel Cell: Low Economic Growth</t>
  </si>
  <si>
    <t>AEO.2023.LOWMACRO.EFI_NA_FGHT_SOSON_FUC_NA_NA_MPGGASEQ.A</t>
  </si>
  <si>
    <t>Freight: New Trucks: Fuel Efficiency: Medium: Average: Low Economic Growth</t>
  </si>
  <si>
    <t>AEO.2023.LOWMACRO.EFI_NA_FGHT_SOSON_NA_NA_NA_NA.A</t>
  </si>
  <si>
    <t>Freight: New Trucks: Fuel Efficiency: Heavy: Diesel: Low Economic Growth</t>
  </si>
  <si>
    <t>AEO.2023.LOWMACRO.EFI_NA_FGHT_RADN_DSL_NA_NA_MPGDSEQ.A</t>
  </si>
  <si>
    <t>Freight: New Trucks: Fuel Efficiency: Heavy: Motor Gasoline: Low Economic Growth</t>
  </si>
  <si>
    <t>AEO.2023.LOWMACRO.EFI_NA_FGHT_RADN_MGS_NA_NA_MPGGASEQ.A</t>
  </si>
  <si>
    <t>Freight: New Trucks: Fuel Efficiency: Heavy: Propane: Low Economic Growth</t>
  </si>
  <si>
    <t>AEO.2023.LOWMACRO.EFI_NA_FGHT_RADN_PROP_NA_NA_MPGGASEQ.A</t>
  </si>
  <si>
    <t>Freight: New Trucks: Fuel Efficiency: Heavy: Natural Gas: Low Economic Growth</t>
  </si>
  <si>
    <t>AEO.2023.LOWMACRO.EFI_NA_FGHT_RADN_NG_NA_NA_MPGDSEQ.A</t>
  </si>
  <si>
    <t>Freight: New Trucks: Fuel Efficiency: Heavy: Ethanol-Flex Fuel: Low Economic Growth</t>
  </si>
  <si>
    <t>AEO.2023.LOWMACRO.EFI_NA_FGHT_RADN_EFFI_NA_NA_MPGGASEQ.A</t>
  </si>
  <si>
    <t>Freight: New Trucks: Fuel Efficiency: Heavy: Electric: Low Economic Growth</t>
  </si>
  <si>
    <t>AEO.2023.LOWMACRO.EFI_NA_FGHT_RADN_ELE_NA_NA_MPGDSEQ.A</t>
  </si>
  <si>
    <t>Freight: New Trucks: Fuel Efficiency: Heavy: Plug-in Diesel Hybrid: Low Economic Growth</t>
  </si>
  <si>
    <t>AEO.2023.LOWMACRO.EFI_NA_FGHT_RADN_EDH_NA_NA_MPGDSEQ.A</t>
  </si>
  <si>
    <t>Freight: New Trucks: Fuel Efficiency: Heavy: Plug-in Gasoline Hybrid: Low Economic Growth</t>
  </si>
  <si>
    <t>AEO.2023.LOWMACRO.EFI_NA_FGHT_RADN_EGH_NA_NA_MPGGASEQ.A</t>
  </si>
  <si>
    <t>Freight: New Trucks: Fuel Efficiency: Heavy: Fuel Cell: Low Economic Growth</t>
  </si>
  <si>
    <t>AEO.2023.LOWMACRO.EFI_NA_FGHT_RADN_FUC_NA_NA_MPGDSEQ.A</t>
  </si>
  <si>
    <t>Freight: New Trucks: Fuel Efficiency: Heavy: Average: Low Economic Growth</t>
  </si>
  <si>
    <t>AEO.2023.LOWMACRO.EFI_NA_FGHT_RADN_NA_NA_NA_NA.A</t>
  </si>
  <si>
    <t>Freight: New Trucks: Fuel Efficiency: Low Economic Growth</t>
  </si>
  <si>
    <t>AEO.2023.LOWMACRO.EFI_NA_FGHT_NEW_NA_NA_NA_NA.A</t>
  </si>
  <si>
    <t>Freight: New Trucks: Sales: Light Medium: Diesel: Low Economic Growth</t>
  </si>
  <si>
    <t>AEO.2023.LOWMACRO.ECI_SAL_FGHT_LITEMED_DSL_NA_NA_TH.A</t>
  </si>
  <si>
    <t>Freight: New Trucks: Sales: Light Medium: Motor Gasoline: Low Economic Growth</t>
  </si>
  <si>
    <t>AEO.2023.LOWMACRO.ECI_SAL_FGHT_LITEMED_MGS_NA_NA_TH.A</t>
  </si>
  <si>
    <t>Freight: New Trucks: Sales: Light Medium: Propane: Low Economic Growth</t>
  </si>
  <si>
    <t>AEO.2023.LOWMACRO.ECI_SAL_FGHT_LITEMED_PROP_NA_NA_TH.A</t>
  </si>
  <si>
    <t>Freight: New Trucks: Sales: Light Medium: Natural Gas: Low Economic Growth</t>
  </si>
  <si>
    <t>AEO.2023.LOWMACRO.ECI_SAL_FGHT_LITEMED_NG_NA_NA_TH.A</t>
  </si>
  <si>
    <t>Freight: New Trucks: Sales: Light Medium: Ethanol-Flex Fuel: Low Economic Growth</t>
  </si>
  <si>
    <t>AEO.2023.LOWMACRO.ECI_SAL_FGHT_LITEMED_EFFI_NA_NA_TH.A</t>
  </si>
  <si>
    <t>Freight: New Trucks: Sales: Light Medium: Electric: Low Economic Growth</t>
  </si>
  <si>
    <t>AEO.2023.LOWMACRO.ECI_SAL_FGHT_LITEMED_ELE_NA_NA_TH.A</t>
  </si>
  <si>
    <t>Freight: New Trucks: Sales: Light Medium: Plug-in Diesel Hybrid: Low Economic Growth</t>
  </si>
  <si>
    <t>AEO.2023.LOWMACRO.ECI_SAL_FGHT_LITEMED_EDH_NA_NA_TH.A</t>
  </si>
  <si>
    <t>Freight: New Trucks: Sales: Light Medium: Plug-in Gasoline Hybrid: Low Economic Growth</t>
  </si>
  <si>
    <t>AEO.2023.LOWMACRO.ECI_SAL_FGHT_LITEMED_EGH_NA_NA_TH.A</t>
  </si>
  <si>
    <t>Freight: New Trucks: Sales: Light Medium: Fuel Cell: Low Economic Growth</t>
  </si>
  <si>
    <t>AEO.2023.LOWMACRO.ECI_SAL_FGHT_LITEMED_FUC_NA_NA_TH.A</t>
  </si>
  <si>
    <t>Freight: New Trucks: Sales: Light Medium: Low Economic Growth</t>
  </si>
  <si>
    <t>AEO.2023.LOWMACRO.ECI_SAL_FGHT_LITEMED_NA_NA_NA_TH.A</t>
  </si>
  <si>
    <t>Freight: New Trucks: Sales: Medium: Diesel: Low Economic Growth</t>
  </si>
  <si>
    <t>AEO.2023.LOWMACRO.ECI_SAL_FGHT_SOSO_DSL_NA_NA_TH.A</t>
  </si>
  <si>
    <t>Freight: New Trucks: Sales: Medium: Motor Gasoline: Low Economic Growth</t>
  </si>
  <si>
    <t>AEO.2023.LOWMACRO.ECI_SAL_FGHT_SOSO_MGS_NA_NA_TH.A</t>
  </si>
  <si>
    <t>Freight: New Trucks: Sales: Medium: Propane: Low Economic Growth</t>
  </si>
  <si>
    <t>AEO.2023.LOWMACRO.ECI_SAL_FGHT_SOSO_PROP_NA_NA_TH.A</t>
  </si>
  <si>
    <t>Freight: New Trucks: Sales: Medium: Natural Gas: Low Economic Growth</t>
  </si>
  <si>
    <t>AEO.2023.LOWMACRO.ECI_SAL_FGHT_SOSO_NG_NA_NA_TH.A</t>
  </si>
  <si>
    <t>Freight: New Trucks: Sales: Medium: Ethanol-Flex Fuel: Low Economic Growth</t>
  </si>
  <si>
    <t>AEO.2023.LOWMACRO.ECI_SAL_FGHT_SOSO_EFFI_NA_NA_TH.A</t>
  </si>
  <si>
    <t>Freight: New Trucks: Sales: Medium: Electric: Low Economic Growth</t>
  </si>
  <si>
    <t>AEO.2023.LOWMACRO.ECI_SAL_FGHT_SOSO_ELE_NA_NA_TH.A</t>
  </si>
  <si>
    <t>Freight: New Trucks: Sales: Medium: Plug-in Diesel Hybrid: Low Economic Growth</t>
  </si>
  <si>
    <t>AEO.2023.LOWMACRO.ECI_SAL_FGHT_SOSO_EDH_NA_NA_TH.A</t>
  </si>
  <si>
    <t>Freight: New Trucks: Sales: Medium: Plug-in Gasoline Hybrid: Low Economic Growth</t>
  </si>
  <si>
    <t>AEO.2023.LOWMACRO.ECI_SAL_FGHT_SOSO_EGH_NA_NA_TH.A</t>
  </si>
  <si>
    <t>Freight: New Trucks: Sales: Medium: Fuel Cell: Low Economic Growth</t>
  </si>
  <si>
    <t>AEO.2023.LOWMACRO.ECI_SAL_FGHT_SOSO_FUC_NA_NA_TH.A</t>
  </si>
  <si>
    <t>Freight: New Trucks: Sales: Medium: Low Economic Growth</t>
  </si>
  <si>
    <t>AEO.2023.LOWMACRO.ECI_SAL_FGHT_SOSO_NA_NA_NA_TH.A</t>
  </si>
  <si>
    <t>Freight: New Trucks: Sales: Heavy: Diesel: Low Economic Growth</t>
  </si>
  <si>
    <t>AEO.2023.LOWMACRO.ECI_SAL_FGHT_RAD_DSL_NA_NA_TH.A</t>
  </si>
  <si>
    <t>Freight: New Trucks: Sales: Heavy: Motor Gasoline: Low Economic Growth</t>
  </si>
  <si>
    <t>AEO.2023.LOWMACRO.ECI_SAL_FGHT_RAD_MGS_NA_NA_TH.A</t>
  </si>
  <si>
    <t>Freight: New Trucks: Sales: Heavy: Propane: Low Economic Growth</t>
  </si>
  <si>
    <t>AEO.2023.LOWMACRO.ECI_SAL_FGHT_RAD_PROP_NA_NA_TH.A</t>
  </si>
  <si>
    <t>Freight: New Trucks: Sales: Heavy: Natural Gas: Low Economic Growth</t>
  </si>
  <si>
    <t>AEO.2023.LOWMACRO.ECI_SAL_FGHT_RAD_NG_NA_NA_TH.A</t>
  </si>
  <si>
    <t>Freight: New Trucks: Sales: Heavy: Ethanol-Flex Fuel: Low Economic Growth</t>
  </si>
  <si>
    <t>AEO.2023.LOWMACRO.ECI_SAL_FGHT_RAD_EFFI_NA_NA_TH.A</t>
  </si>
  <si>
    <t>Freight: New Trucks: Sales: Heavy: Electric: Low Economic Growth</t>
  </si>
  <si>
    <t>AEO.2023.LOWMACRO.ECI_SAL_FGHT_RAD_ELE_NA_NA_TH.A</t>
  </si>
  <si>
    <t>Freight: New Trucks: Sales: Heavy: Plug-in Diesel Hybrid: Low Economic Growth</t>
  </si>
  <si>
    <t>AEO.2023.LOWMACRO.ECI_SAL_FGHT_RAD_EDH_NA_NA_TH.A</t>
  </si>
  <si>
    <t>Freight: New Trucks: Sales: Heavy: Plug-in Gasoline Hybrid: Low Economic Growth</t>
  </si>
  <si>
    <t>AEO.2023.LOWMACRO.ECI_SAL_FGHT_RAD_EGH_NA_NA_TH.A</t>
  </si>
  <si>
    <t>Freight: New Trucks: Sales: Heavy: Fuel Cell: Low Economic Growth</t>
  </si>
  <si>
    <t>AEO.2023.LOWMACRO.ECI_SAL_FGHT_RAD_FUC_NA_NA_TH.A</t>
  </si>
  <si>
    <t>Freight: New Trucks: Sales: Heavy: Low Economic Growth</t>
  </si>
  <si>
    <t>AEO.2023.LOWMACRO.ECI_SAL_FGHT_RAD_NA_NA_NA_TH.A</t>
  </si>
  <si>
    <t>Freight: New Trucks: Sales: Low Economic Growth</t>
  </si>
  <si>
    <t>AEO.2023.LOWMACRO.ECI_SAL_FGHT_NA_NA_NA_NA_TH.A</t>
  </si>
  <si>
    <t>Freight: Railroads: Ton Miles by Rail: Low Economic Growth</t>
  </si>
  <si>
    <t>AEO.2023.LOWMACRO.ECI_FTM_TRN_RAIL_NA_NA_NA_BLN.A</t>
  </si>
  <si>
    <t>Freight: Railroads: Fuel Efficiency: Low Economic Growth</t>
  </si>
  <si>
    <t>AEO.2023.LOWMACRO.EFI_NA_TRN_RAIL_NA_NA_NA_TONMLPTHBTU.A</t>
  </si>
  <si>
    <t>Freight: Railroads: Fuel Use: Distillate Fuel Oil: Low Economic Growth</t>
  </si>
  <si>
    <t>AEO.2023.LOWMACRO.CNSM_NA_TRN_RAIL_DFO_NA_NA_TRLBTU.A</t>
  </si>
  <si>
    <t>Freight: Railroads: Fuel Use: Residual Fuel Oil: Low Economic Growth</t>
  </si>
  <si>
    <t>AEO.2023.LOWMACRO.CNSM_NA_TRN_RAIL_RFO_NA_NA_TRLBTU.A</t>
  </si>
  <si>
    <t>Freight: Railroads: Fuel Use: CNG: Low Economic Growth</t>
  </si>
  <si>
    <t>AEO.2023.LOWMACRO.CNSM_NA_TRN_RAIL_CNG_NA_NA_TRLBTU.A</t>
  </si>
  <si>
    <t>Freight: Railroads: Fuel Use: LNG: Low Economic Growth</t>
  </si>
  <si>
    <t>AEO.2023.LOWMACRO.CNSM_NA_TRN_RAIL_LNG_NA_NA_TRLBTU.A</t>
  </si>
  <si>
    <t>Freight: Domestic Shipping: Ton Miles Shipping: Low Economic Growth</t>
  </si>
  <si>
    <t>AEO.2023.LOWMACRO.ECI_FTM_TRN_DMT_NA_NA_NA_BLN.A</t>
  </si>
  <si>
    <t>Freight: Domestic Shipping: Fuel Efficiency: Low Economic Growth</t>
  </si>
  <si>
    <t>AEO.2023.LOWMACRO.EFI_NA_TRN_DMT_NA_NA_NA_TONMLPTHBTU.A</t>
  </si>
  <si>
    <t>Freight: Domestic Shipping: Fuel Use: Distillate Fuel Oil: Low Economic Growth</t>
  </si>
  <si>
    <t>AEO.2023.LOWMACRO.CNSM_NA_TRN_DMT_DFO_NA_NA_TRLBTU.A</t>
  </si>
  <si>
    <t>Freight: Domestic Shipping: Fuel Use: Residual Fuel Oil: Low Economic Growth</t>
  </si>
  <si>
    <t>AEO.2023.LOWMACRO.CNSM_NA_TRN_DMT_RFO_NA_NA_TRLBTU.A</t>
  </si>
  <si>
    <t>Freight: Domestic Shipping: Fuel Use: CNG: Low Economic Growth</t>
  </si>
  <si>
    <t>AEO.2023.LOWMACRO.CNSM_NA_TRN_DMT_CNG_NA_NA_TRLBTU.A</t>
  </si>
  <si>
    <t>Freight: Domestic Shipping: Fuel Use: LNG: Low Economic Growth</t>
  </si>
  <si>
    <t>AEO.2023.LOWMACRO.CNSM_NA_TRN_DMT_LNG_NA_NA_TRLBTU.A</t>
  </si>
  <si>
    <t>Freight: International Shipping: Gross Trade: Low Economic Growth</t>
  </si>
  <si>
    <t>AEO.2023.LOWMACRO.ECI_UGHT_TRN_INTS_NA_NA_NA_BLNY09DLR.A</t>
  </si>
  <si>
    <t>Freight: International Shipping: Exports: Low Economic Growth</t>
  </si>
  <si>
    <t>AEO.2023.LOWMACRO.ECI_EXPT_TRN_INTS_NA_NA_NA_BLNY09DLR.A</t>
  </si>
  <si>
    <t>Freight: International Shipping: Imports: Low Economic Growth</t>
  </si>
  <si>
    <t>AEO.2023.LOWMACRO.ECI_IMP_TRN_INTS_NA_NA_NA_BLNY09DLR.A</t>
  </si>
  <si>
    <t>Freight: International Shipping: Fuel Use: Distillate Fuel Oil: Low Economic Growth</t>
  </si>
  <si>
    <t>AEO.2023.LOWMACRO.CNSM_NA_TRN_INTS_DFO_NA_NA_TRLBTU.A</t>
  </si>
  <si>
    <t>Freight: International Shipping: Fuel Use: Residual Fuel Oil: Low Economic Growth</t>
  </si>
  <si>
    <t>AEO.2023.LOWMACRO.CNSM_NA_TRN_INTS_RFO_NA_NA_TRLBTU.A</t>
  </si>
  <si>
    <t>Freight: International Shipping: Fuel Use: CNG: Low Economic Growth</t>
  </si>
  <si>
    <t>AEO.2023.LOWMACRO.CNSM_NA_TRN_INTS_CNG_NA_NA_TRLBTU.A</t>
  </si>
  <si>
    <t>Freight: International Shipping: Fuel Use: LNG: Low Economic Growth</t>
  </si>
  <si>
    <t>AEO.2023.LOWMACRO.CNSM_NA_TRN_INTS_LNG_NA_NA_TRLBTU.A</t>
  </si>
  <si>
    <t>psgr</t>
  </si>
  <si>
    <t>freight</t>
  </si>
  <si>
    <t>Calibration multiplier</t>
  </si>
  <si>
    <t>Table 3-13:  CO2 Emissions from Fossil Fuel Combustion in Transportation End-Use Sector (MMT CO2 Eq.)</t>
  </si>
  <si>
    <t>Fuel/Vehicle Type</t>
  </si>
  <si>
    <t>Gasolinea</t>
  </si>
  <si>
    <t>Passenger Cars</t>
  </si>
  <si>
    <t>Light-Duty Trucks</t>
  </si>
  <si>
    <t>Medium- and Heavy-Duty Trucksb</t>
  </si>
  <si>
    <t>Recreational Boatsc</t>
  </si>
  <si>
    <t>Distillate Fuel Oil (Diesel)a</t>
  </si>
  <si>
    <t>Ships and Non-Recreational Boatsd</t>
  </si>
  <si>
    <t>International Bunker Fuelse</t>
  </si>
  <si>
    <t>Jet Fuel</t>
  </si>
  <si>
    <t>Commercial Aircraftf</t>
  </si>
  <si>
    <t>Military Aircraft</t>
  </si>
  <si>
    <t>General Aviation Aircraft</t>
  </si>
  <si>
    <t xml:space="preserve">International Bunker Fuels from Commercial Aviation </t>
  </si>
  <si>
    <t>Ships and Non-Recreational Boatse</t>
  </si>
  <si>
    <t>Natural Gas i</t>
  </si>
  <si>
    <t>Medium- and Heavy-Duty Trucks</t>
  </si>
  <si>
    <t>Pipelineg</t>
  </si>
  <si>
    <t>LPG i</t>
  </si>
  <si>
    <t>Electricityk</t>
  </si>
  <si>
    <t>Total e,j</t>
  </si>
  <si>
    <t>International Bunker Fuels</t>
  </si>
  <si>
    <t>Biofuels-Ethanolh</t>
  </si>
  <si>
    <t>Biofuels-Biodieselh</t>
  </si>
  <si>
    <t>+ Does not exceed 0.05 MMT CO2 Eq.</t>
  </si>
  <si>
    <t xml:space="preserve">a On-road fuel consumption data from FHWA Table MF-21 and MF-27 were used to determine total on-road use of motor gasoline and diesel fuel (FHWA 1996 through 2023). Ratios developed from MOVES3 output are used to apportion FHWA fuel consumption data to vehicle type and fuel type (see Annex 3.2 for information about the MOVES model). </t>
  </si>
  <si>
    <t>b Includes medium- and heavy-duty trucks over 8,500 lbs.</t>
  </si>
  <si>
    <t>c In 2014, EPA incorporated the NONROAD2008 model into the MOVES model framework. The current Inventory uses the Nonroad component of MOVES3 for years 1999 through 2021. See Annex 3.2 for information about the MOVES model.</t>
  </si>
  <si>
    <t>d Note that large year over year fluctuations in emission estimates partially reflect nature of data collection for these sources.</t>
  </si>
  <si>
    <t>e Official estimates exclude emissions from the combustion of both aviation and marine international bunker fuels; however, estimates of international bunker fuel-related emissions are presented for informational purposes.</t>
  </si>
  <si>
    <t xml:space="preserve">f Commercial aircraft, as modeled in FAA’s Aviation Environmental Design Tool (AEDT), consists of passenger aircraft, cargo, and other chartered flights. </t>
  </si>
  <si>
    <t>g Pipelines reflect CO2 emissions from natural gas-powered pipelines transporting natural gas.</t>
  </si>
  <si>
    <t>h Ethanol and biodiesel estimates are presented for informational purposes only. See Section 3.10 of this chapter and the estimates in Land Use, Land-Use Change, and Forestry (see Chapter 6), in line with IPCC methodological guidance and UNFCCC reporting obligations, for more information on ethanol and biodiesel.</t>
  </si>
  <si>
    <t>i Transportation sector natural gas and LPG consumption are based on data from EIA (2021b). Prior to the 1990 to 2015 Inventory, data from DOE TEDB were used to estimate each vehicle class’s share of the total natural gas and LPG consumption. Since TEDB does not include estimates for natural gas use by medium and heavy-duty trucks or LPG use by passenger cars, EIA Alternative Fuel Vehicle Data (Browning 2017) is now used to determine each vehicle class’s share of the total natural gas and LPG consumption. These changes were first incorporated in the 1990 to 2016 Inventory and apply to the 1990 to 2021 time period.</t>
  </si>
  <si>
    <t>j Includes emissions from rail electricity.</t>
  </si>
  <si>
    <t xml:space="preserve">k Electricity consumption by passenger cars, light-duty trucks (SUVs), and buses is based on plug-in electric vehicle sales and engine efficiency data, as outlined in Browning (2018a). In prior Inventory years, CO2 emissions from electric vehicle charging were allocated to the residential and commercial sectors. They are now allocated to the transportation sector. These changes apply to the 2010 through 2021 time period. </t>
  </si>
  <si>
    <t>Notes: This table does not include emissions from non-transportation mobile sources, such as agricultural equipment and construction/mining equipment; it also does not include emissions associated with electricity consumption by pipelines or lubricants used in transportation. In addition, this table does not include CO2 emissions from U.S. Territories, since these are covered in a separate chapter of the Inventory. Totals may not sum due to independent rounding.</t>
  </si>
  <si>
    <t>2021 to 2020 growth rate</t>
  </si>
  <si>
    <t>Table A-71:  Energy Consumption by Fuel and Vehicle Type (TBtu)</t>
  </si>
  <si>
    <t>gasoline</t>
  </si>
  <si>
    <t>diesel</t>
  </si>
  <si>
    <t>2010a</t>
  </si>
  <si>
    <t>Motor Gasolinea,b</t>
  </si>
  <si>
    <t xml:space="preserve">  Passenger Cars</t>
  </si>
  <si>
    <t xml:space="preserve">  Light-Duty Trucks</t>
  </si>
  <si>
    <t xml:space="preserve">  Motorcycles</t>
  </si>
  <si>
    <t xml:space="preserve">  Buses</t>
  </si>
  <si>
    <t xml:space="preserve">  Medium- and Heavy-Duty Trucks</t>
  </si>
  <si>
    <t xml:space="preserve">  Recreational Boatsc</t>
  </si>
  <si>
    <t>Distillate Fuel Oil (Diesel Fuel)a,b</t>
  </si>
  <si>
    <t xml:space="preserve">  Recreational Boats</t>
  </si>
  <si>
    <t xml:space="preserve">  Ships and Non-Recreational Boats</t>
  </si>
  <si>
    <t xml:space="preserve">  Raild</t>
  </si>
  <si>
    <t>Jet Fuele</t>
  </si>
  <si>
    <t xml:space="preserve">  Commercial Aircraft</t>
  </si>
  <si>
    <t xml:space="preserve">  General Aviation Aircraft</t>
  </si>
  <si>
    <t xml:space="preserve">  Military Aircraft</t>
  </si>
  <si>
    <t>Residual Fuel Oile,f,</t>
  </si>
  <si>
    <t>Natural Gase</t>
  </si>
  <si>
    <t xml:space="preserve">+ </t>
  </si>
  <si>
    <t xml:space="preserve">  Pipelines</t>
  </si>
  <si>
    <t>LPGe</t>
  </si>
  <si>
    <t>Electricityg</t>
  </si>
  <si>
    <t>+ Does not exceed 0.5 TBtu</t>
  </si>
  <si>
    <t xml:space="preserve">a Figures do not include ethanol blended in motor gasoline or biodiesel blended into distillate fuel oil. Net carbon fluxes associated with ethanol are accounted for in the Land Use, Land-Use Change, and Forestry chapter. </t>
  </si>
  <si>
    <t xml:space="preserve">b Gasoline and diesel highway vehicle fuel consumption estimates are based on data from FHWA Highway Statistics Table MF-21, MF-27, and ratios developed from MOVES3 to apportion FHWA fuel consumption data to vehicle type and fuel type. </t>
  </si>
  <si>
    <t>c Fluctuations in recreational boat gasoline estimates reflect the use of this category to reconcile bottom-up values with EIA total gasoline estimates.</t>
  </si>
  <si>
    <t xml:space="preserve">d Class II and Class III diesel consumption data for 2014 through 2021 is estimated by applying the historical average fuel usage per carload factor to the annual number of carloads. </t>
  </si>
  <si>
    <t xml:space="preserve">e Estimated based on EIA transportation sector energy estimates, with bottom-up data used for apportionment to modes. Transportation sector natural gas and LPG consumption are based on data from EIA (2022a). In previous Inventory years, data from DOE TEDB was used to estimate each vehicle class’s share of the total natural gas and LPG consumption. Since TEDB does not include estimates for natural gas use by medium and heavy-duty trucks or LPG use by passenger cars, EIA Alternative Fuel Vehicle Data (Browning 2022b) is now used to determine each vehicle class’s share of the total natural gas and LPG consumption. These changes were first incorporated in the 2016 Inventory and apply to the 1990–2021 time period. </t>
  </si>
  <si>
    <t xml:space="preserve">f Fluctuations in reported fuel consumption may reflect data collection problems. Residual fuel oil for ships and boats data is based on EIA (2022a). </t>
  </si>
  <si>
    <t xml:space="preserve">g Electricity consumption by passenger cars, light-duty trucks (SUVs), and buses is based on plug-in electric vehicle sales data and engine efficiencies, as outlined in Browning (2022b). In Inventory years prior to 2017, CO2 emissions from electric vehicle charging were allocated to the residential and commercial sectors. They are now allocated to the transportation sector. These changes were first incorporated in the 2017 Inventory and apply to the 2010 through 2021 time period. </t>
  </si>
  <si>
    <t>Light-Duty Vehicle</t>
  </si>
  <si>
    <t>Air Transportation</t>
  </si>
  <si>
    <t>Bus Transportation</t>
  </si>
  <si>
    <t>Rail Transportation</t>
  </si>
  <si>
    <t>TEF000</t>
  </si>
  <si>
    <t>36. Transportation Sector Energy Use by Fuel Type Within Mode</t>
  </si>
  <si>
    <t>TEF000:ba_Total</t>
  </si>
  <si>
    <t>TEF000:ba_MotorGasoline</t>
  </si>
  <si>
    <t xml:space="preserve">  Motor Gasoline excluding E85 1/</t>
  </si>
  <si>
    <t>TEF000:ba_Ethanol</t>
  </si>
  <si>
    <t xml:space="preserve">  E85 1/</t>
  </si>
  <si>
    <t>TEF000:ba_Distillate(di</t>
  </si>
  <si>
    <t xml:space="preserve">  Distillate Fuel Oil (diesel)</t>
  </si>
  <si>
    <t>TEF000:ba_CompressedNat</t>
  </si>
  <si>
    <t xml:space="preserve">  Compressed/Liquefied Natural Gas</t>
  </si>
  <si>
    <t>TEF000:ba_LiquefiedPetr</t>
  </si>
  <si>
    <t xml:space="preserve">  Propane</t>
  </si>
  <si>
    <t>TEF000:ba_Electricity</t>
  </si>
  <si>
    <t xml:space="preserve">  Electricity</t>
  </si>
  <si>
    <t>TEF000:ba_LiquidHydroge</t>
  </si>
  <si>
    <t xml:space="preserve">  Hydrogen</t>
  </si>
  <si>
    <t>TEF000:ca_CommercialLig</t>
  </si>
  <si>
    <t>TEF000:clt_MotorGas</t>
  </si>
  <si>
    <t>TEF000:clt_e85</t>
  </si>
  <si>
    <t>TEF000:clt_Diesel</t>
  </si>
  <si>
    <t>TEF000:clt_propane</t>
  </si>
  <si>
    <t>TEF000:clt_natural_gas</t>
  </si>
  <si>
    <t>TEF000:clt_electricity</t>
  </si>
  <si>
    <t>TEF000:clt_hydrogen</t>
  </si>
  <si>
    <t>--</t>
  </si>
  <si>
    <t>TEF000:da_Total</t>
  </si>
  <si>
    <t>Freight Trucks 3/</t>
  </si>
  <si>
    <t>TEF000:da_MotorGasoline</t>
  </si>
  <si>
    <t xml:space="preserve">  Motor Gasoline</t>
  </si>
  <si>
    <t>TEF000:da_Distillate(di</t>
  </si>
  <si>
    <t>TEF000:da_CompressedNat</t>
  </si>
  <si>
    <t>TEF000:da_LiquefiedPetr</t>
  </si>
  <si>
    <t>TEF000:ft_eeeeeeeeeee85</t>
  </si>
  <si>
    <t xml:space="preserve">  E85</t>
  </si>
  <si>
    <t>TEF000:ft_electricity</t>
  </si>
  <si>
    <t>TEF000:ft_hydrogen</t>
  </si>
  <si>
    <t>TEF000:ea_Total</t>
  </si>
  <si>
    <t>Freight Rail 4/</t>
  </si>
  <si>
    <t>TEF000:ea_Distillate(di</t>
  </si>
  <si>
    <t>TEF000:ea_ResidualOil</t>
  </si>
  <si>
    <t xml:space="preserve">  Residual Fuel Oil</t>
  </si>
  <si>
    <t>TEF000:ea_SeeEnGee</t>
  </si>
  <si>
    <t xml:space="preserve">  Compressed Natural Gas</t>
  </si>
  <si>
    <t>TEF000:ea_LiquidNG</t>
  </si>
  <si>
    <t xml:space="preserve">  Liquefied Natural Gas</t>
  </si>
  <si>
    <t>TEF000:fa_Total</t>
  </si>
  <si>
    <t>TEF000:fa_Distillate(di</t>
  </si>
  <si>
    <t>TEF000:fa_ResidualOil</t>
  </si>
  <si>
    <t xml:space="preserve">  Residual Oil</t>
  </si>
  <si>
    <t>TEF000:fa_MotorGasoline</t>
  </si>
  <si>
    <t>TEF000:fa_LiquidNG</t>
  </si>
  <si>
    <t>TEF000:ga_Total</t>
  </si>
  <si>
    <t>TEF000:ga_Distillate(di</t>
  </si>
  <si>
    <t>TEF000:ga_ResidualOil</t>
  </si>
  <si>
    <t>TEF000:ga_SeeEnGee</t>
  </si>
  <si>
    <t>TEF000:ga_LiquidNG</t>
  </si>
  <si>
    <t>TEF000:ha_Total</t>
  </si>
  <si>
    <t>TEF000:ha_JetFuel</t>
  </si>
  <si>
    <t xml:space="preserve">  Jet Fuel</t>
  </si>
  <si>
    <t>TEF000:ha_AviationGasol</t>
  </si>
  <si>
    <t xml:space="preserve">  Aviation Gasoline</t>
  </si>
  <si>
    <t>TEF000:ia_Total</t>
  </si>
  <si>
    <t>TEF000:ia_JetFuel</t>
  </si>
  <si>
    <t xml:space="preserve">  Jet Fuel and Aviation Gasoline</t>
  </si>
  <si>
    <t>TEF000:ia_ResidualFuel</t>
  </si>
  <si>
    <t>TEF000:ia_Distillate</t>
  </si>
  <si>
    <t xml:space="preserve">  Distillates and Diesel</t>
  </si>
  <si>
    <t>TEF000:ja_Total</t>
  </si>
  <si>
    <t>TEF000:bus_transit_tot</t>
  </si>
  <si>
    <t xml:space="preserve">  Transit Bus</t>
  </si>
  <si>
    <t>TEF000:ja_TransitBus(mo</t>
  </si>
  <si>
    <t xml:space="preserve">    Motor Gasoline</t>
  </si>
  <si>
    <t>TEF000:bus_transit_e85</t>
  </si>
  <si>
    <t xml:space="preserve">    E85</t>
  </si>
  <si>
    <t>TEF000:ja_TransitBus(di</t>
  </si>
  <si>
    <t xml:space="preserve">    Distillate Fuel Oil (diesel)</t>
  </si>
  <si>
    <t>TEF000:bus_transit_CNG</t>
  </si>
  <si>
    <t xml:space="preserve">    Compressed/Liquefied Natural Gas</t>
  </si>
  <si>
    <t>TEF000:bus_transit_LPG</t>
  </si>
  <si>
    <t xml:space="preserve">    Propane</t>
  </si>
  <si>
    <t>TEF000:bus_transit_elec</t>
  </si>
  <si>
    <t xml:space="preserve">    Electricity</t>
  </si>
  <si>
    <t>TEF000:bus_transit_hydr</t>
  </si>
  <si>
    <t xml:space="preserve">    Hydrogen</t>
  </si>
  <si>
    <t>TEF000:bus_inter_total</t>
  </si>
  <si>
    <t xml:space="preserve">  Intercity Bus</t>
  </si>
  <si>
    <t>TEF000:bus_inter_motor</t>
  </si>
  <si>
    <t>TEF000:bus_inter_e85</t>
  </si>
  <si>
    <t>TEF000:ja_IntercityBus(</t>
  </si>
  <si>
    <t>TEF000:bus_inter_CNG</t>
  </si>
  <si>
    <t>TEF000:bus_inter_LPG</t>
  </si>
  <si>
    <t>TEF000:bus_inter_elec</t>
  </si>
  <si>
    <t>TEF000:bus_inter_hydrog</t>
  </si>
  <si>
    <t>TEF000:bus_school_total</t>
  </si>
  <si>
    <t xml:space="preserve">  School Bus</t>
  </si>
  <si>
    <t>TEF000:ja_SchoolBus(mot</t>
  </si>
  <si>
    <t>TEF000:bus_school_e85</t>
  </si>
  <si>
    <t>TEF000:ja_SchoolBus(die</t>
  </si>
  <si>
    <t>TEF000:bus_school_CNG</t>
  </si>
  <si>
    <t>TEF000:bus_school_LPG</t>
  </si>
  <si>
    <t>TEF000:bus_school_elec</t>
  </si>
  <si>
    <t>TEF000:bus_school_hydro</t>
  </si>
  <si>
    <t>TEF000:ma_Total</t>
  </si>
  <si>
    <t>TEF000:ka_IntercityRail</t>
  </si>
  <si>
    <t xml:space="preserve">  Intercity Rail</t>
  </si>
  <si>
    <t>TEF000:ka_InterElect</t>
  </si>
  <si>
    <t>TEF000:la_InterDiesel</t>
  </si>
  <si>
    <t xml:space="preserve">    Diesel</t>
  </si>
  <si>
    <t>TEF000:la_InterCNG</t>
  </si>
  <si>
    <t xml:space="preserve">    Compressed Natural Gas</t>
  </si>
  <si>
    <t>TEF000:la_InterLNG</t>
  </si>
  <si>
    <t xml:space="preserve">    Liquefied Natural Gas</t>
  </si>
  <si>
    <t>TEF000:la_TransitRail</t>
  </si>
  <si>
    <t xml:space="preserve">  Transit Rail</t>
  </si>
  <si>
    <t>TEF000:la_TransitElect</t>
  </si>
  <si>
    <t>TEF000:ma_CommuterRail</t>
  </si>
  <si>
    <t xml:space="preserve">  Commuter Rail</t>
  </si>
  <si>
    <t>TEF000:ma_CommuteElect</t>
  </si>
  <si>
    <t>TEF000:ma_CommuteDiesel</t>
  </si>
  <si>
    <t>TEF000:ma_CommuteCNG</t>
  </si>
  <si>
    <t>TEF000:ma_CommuteLNG</t>
  </si>
  <si>
    <t>TEF000:na_RecreationBoa</t>
  </si>
  <si>
    <t>TEF000:na_RecreateGas</t>
  </si>
  <si>
    <t xml:space="preserve">  Gasoline</t>
  </si>
  <si>
    <t>TEF000:na_RecreateDies</t>
  </si>
  <si>
    <t>TEF000:na_Lubricants</t>
  </si>
  <si>
    <t>TEF000:na_PipelineFuelN</t>
  </si>
  <si>
    <t>TEF000:pa_TotalConsumpt</t>
  </si>
  <si>
    <t>1/ E85 refers to a blend of 85 % ethanol (renewable) and 15 % motor gasoline (nonrenewable).  To address cold starting issues,</t>
  </si>
  <si>
    <t>3/ Does not include military distillate.  Does not include commercial buses.</t>
  </si>
  <si>
    <t>4/ Does not include passenger rail.</t>
  </si>
  <si>
    <t>adjustment</t>
  </si>
  <si>
    <t>2021 EPA diesel for medium- and heavy-duty</t>
  </si>
  <si>
    <t>2021 EIA diesel for medium- and heavy-duty</t>
  </si>
  <si>
    <t>LDVs and HDVs</t>
  </si>
  <si>
    <t>buses</t>
  </si>
  <si>
    <t>AEO.2025.ALTTRNP.ECI_VMT_NA_CLTR_NA_NA_NA_BLNMLS.A</t>
  </si>
  <si>
    <t>Fleet Vehicle Miles Traveled: Commercial Light Trucks: Total: Alternative Transportation</t>
  </si>
  <si>
    <t>AEO.2025.ALTTRNP.ECI_VMT_NA_CLTR_HYDICE_NA_NA_BLNMLS.A</t>
  </si>
  <si>
    <t>Fleet Vehicle Miles Traveled: Commercial Light Trucks: Hydrogen ICE: Alternative Transportation</t>
  </si>
  <si>
    <t>Hydrogen ICE</t>
  </si>
  <si>
    <t>AEO.2025.ALTTRNP.ECI_VMT_NA_CLTR_GASHEV_NA_NA_BLNMLS.A</t>
  </si>
  <si>
    <t>Fleet Vehicle Miles Traveled: Commercial Light Trucks: Gasoline Hybrid: Alternative Transportation</t>
  </si>
  <si>
    <t>Gasoline Hybrid</t>
  </si>
  <si>
    <t>AEO.2025.ALTTRNP.ECI_VMT_NA_CLTR_FEUCELBATDOM_NA_NA_BLNMLS.A</t>
  </si>
  <si>
    <t>Fleet Vehicle Miles Traveled: Commercial Light Trucks: Fuel Cell Battery Dominant: Alternative Transportation</t>
  </si>
  <si>
    <t>Fuel Cell Battery Dominant</t>
  </si>
  <si>
    <t>AEO.2025.ALTTRNP.ECI_VMT_NA_CLTR_FUC_NA_NA_BLNMLS.A</t>
  </si>
  <si>
    <t>Fleet Vehicle Miles Traveled: Commercial Light Trucks: Fuel Cell: Alternative Transportation</t>
  </si>
  <si>
    <t>AEO.2025.ALTTRNP.ECI_VMT_NA_CLTR_EDH_NA_NA_BLNMLS.A</t>
  </si>
  <si>
    <t>Fleet Vehicle Miles Traveled: Commercial Light Trucks: Plug-in Diesel: Alternative Transportation</t>
  </si>
  <si>
    <t>AEO.2025.ALTTRNP.ECI_VMT_NA_CLTR_EGH_NA_NA_BLNMLS.A</t>
  </si>
  <si>
    <t>Fleet Vehicle Miles Traveled: Commercial Light Trucks: Plug-in Gas: Alternative Transportation</t>
  </si>
  <si>
    <t>AEO.2025.ALTTRNP.ECI_VMT_NA_CLTR_ELE_NA_NA_BLNMLS.A</t>
  </si>
  <si>
    <t>Fleet Vehicle Miles Traveled: Commercial Light Trucks: Electric: Alternative Transportation</t>
  </si>
  <si>
    <t>AEO.2025.ALTTRNP.ECI_VMT_NA_CLTR_EFFI_NA_NA_BLNMLS.A</t>
  </si>
  <si>
    <t>Fleet Vehicle Miles Traveled: Commercial Light Trucks: Ethanol Flex: Alternative Transportation</t>
  </si>
  <si>
    <t>AEO.2025.ALTTRNP.ECI_VMT_NA_CLTR_NG_NA_NA_BLNMLS.A</t>
  </si>
  <si>
    <t>Fleet Vehicle Miles Traveled: Commercial Light Trucks: CNG/LNG: Alternative Transportation</t>
  </si>
  <si>
    <t>AEO.2025.ALTTRNP.ECI_VMT_NA_CLTR_PROP_NA_NA_BLNMLS.A</t>
  </si>
  <si>
    <t>Fleet Vehicle Miles Traveled: Commercial Light Trucks: Propane: Alternative Transportation</t>
  </si>
  <si>
    <t>AEO.2025.ALTTRNP.ECI_VMT_NA_CLTR_TDS_NA_NA_BLNMLS.A</t>
  </si>
  <si>
    <t>Fleet Vehicle Miles Traveled: Commercial Light Trucks: TDI Diesel: Alternative Transportation</t>
  </si>
  <si>
    <t>AEO.2025.ALTTRNP.ECI_VMT_NA_CLTR_GSL_NA_NA_BLNMLS.A</t>
  </si>
  <si>
    <t>Fleet Vehicle Miles Traveled: Commercial Light Trucks: Gasoline: Alternative Transportation</t>
  </si>
  <si>
    <t>AEO.2025.ALTTRNP.ECI_VMT_NA_NA_NA_NA_NA_BLNMLS.A</t>
  </si>
  <si>
    <t>Fleet Vehicle Miles Traveled: Total Fleet Vehicles: Alternative Transportation</t>
  </si>
  <si>
    <t>AEO.2025.ALTTRNP.ECI_VMT_NA_FLTR_NA_NA_NA_BLNMLS.A</t>
  </si>
  <si>
    <t>Fleet Vehicle Miles Traveled: Light Trucks: Total: Alternative Transportation</t>
  </si>
  <si>
    <t>AEO.2025.ALTTRNP.ECI_VMT_ALF1_FLTR_NA_NA_NA_BLNMLS.A</t>
  </si>
  <si>
    <t>Fleet Vehicle Miles Traveled: Alternative-Fuel Light Trucks: Total: Alternative Transportation</t>
  </si>
  <si>
    <t>AEO.2025.ALTTRNP.ECI_VMT_ALF1_FLTR_FCH_NA_NA_BLNMLS.A</t>
  </si>
  <si>
    <t>Fleet Vehicle Miles Traveled: Alternative-Fuel Light Trucks: Fuel Cell Hydrogen: Alternative Transportation</t>
  </si>
  <si>
    <t>AEO.2025.ALTTRNP.ECI_VMT_ALF1_FLTR_FCLMTH_NA_NA_BLNMLS.A</t>
  </si>
  <si>
    <t>Fleet Vehicle Miles Traveled: Alternative-Fuel Light Trucks: Fuel Cell Methanol: Alternative Transportation</t>
  </si>
  <si>
    <t>AEO.2025.ALTTRNP.ECI_VMT_ALF1_FLTR_PBF_NA_NA_BLNMLS.A</t>
  </si>
  <si>
    <t>Fleet Vehicle Miles Traveled: Alternative-Fuel Light Trucks: Propane Bi-fuel: Alternative Transportation</t>
  </si>
  <si>
    <t>AEO.2025.ALTTRNP.ECI_VMT_ALF1_FLTR_PROP_NA_NA_BLNMLS.A</t>
  </si>
  <si>
    <t>Fleet Vehicle Miles Traveled: Alternative-Fuel Light Trucks: Propane ICE: Alternative Transportation</t>
  </si>
  <si>
    <t>AEO.2025.ALTTRNP.ECI_VMT_ALF1_FLTR_NBF_NA_NA_BLNMLS.A</t>
  </si>
  <si>
    <t>Fleet Vehicle Miles Traveled: Alternative-Fuel Light Trucks: Natural Gas Bi-fuel: Alternative Transportation</t>
  </si>
  <si>
    <t>AEO.2025.ALTTRNP.ECI_VMT_ALF1_FLTR_NGI_NA_NA_BLNMLS.A</t>
  </si>
  <si>
    <t>Fleet Vehicle Miles Traveled: Alternative-Fuel Light Trucks: Natural Gas ICE: Alternative Transportation</t>
  </si>
  <si>
    <t>AEO.2025.ALTTRNP.ECI_VMT_ALF1_FLTR_EGH_NA_NA_BLNMLS.A</t>
  </si>
  <si>
    <t>Fleet Vehicle Miles Traveled: Alternative-Fuel Light Trucks: Electric-Gasoline Hybrid: Alternative Transportation</t>
  </si>
  <si>
    <t>AEO.2025.ALTTRNP.ECI_VMT_ALF1_FLTR_EDH_NA_NA_BLNMLS.A</t>
  </si>
  <si>
    <t>Fleet Vehicle Miles Traveled: Alternative-Fuel Light Trucks: Electric-Diesel Hybrid: Alternative Transportation</t>
  </si>
  <si>
    <t>AEO.2025.ALTTRNP.ECI_VMT_ALF1_FLTR_PI50GH_NA_NA_BLNMLS.A</t>
  </si>
  <si>
    <t>Fleet Vehicle Miles Traveled: Alternative-Fuel Light Trucks: Plug-in 50 Gasoline Hybrid: Alternative Transportation</t>
  </si>
  <si>
    <t>AEO.2025.ALTTRNP.ECI_VMT_ALF1_FLTR_PI20GH_NA_NA_BLNMLS.A</t>
  </si>
  <si>
    <t>Fleet Vehicle Miles Traveled: Alternative-Fuel Light Trucks: Plug-in 20 Gasoline Hybrid: Alternative Transportation</t>
  </si>
  <si>
    <t>AEO.2025.ALTTRNP.ECI_VMT_ALF1_FLTR_300MIEV_NA_NA_BLNMLS.A</t>
  </si>
  <si>
    <t>Fleet Vehicle Miles Traveled: Alternative-Fuel Light Trucks: 300-Mile Electric Vehicle: Alternative Transportation</t>
  </si>
  <si>
    <t>AEO.2025.ALTTRNP.ECI_VMT_ALF1_FLTR_200MIEV_NA_NA_BLNMLS.A</t>
  </si>
  <si>
    <t>Fleet Vehicle Miles Traveled: Alternative-Fuel Light Trucks: 200-Mile Electric Vehicle: Alternative Transportation</t>
  </si>
  <si>
    <t>AEO.2025.ALTTRNP.ECI_VMT_ALF1_FLTR_100MIEV_NA_NA_BLNMLS.A</t>
  </si>
  <si>
    <t>Fleet Vehicle Miles Traveled: Alternative-Fuel Light Trucks: 100-Mile Electric Vehicle: Alternative Transportation</t>
  </si>
  <si>
    <t>AEO.2025.ALTTRNP.ECI_VMT_ALF1_FLTR_EFFI_NA_NA_BLNMLS.A</t>
  </si>
  <si>
    <t>Fleet Vehicle Miles Traveled: Alternative-Fuel Light Trucks: Ethanol-Flex Fuel ICE: Alternative Transportation</t>
  </si>
  <si>
    <t>AEO.2025.ALTTRNP.ECI_VMT_CNV_FLTR_NA_NA_NA_BLNMLS.A</t>
  </si>
  <si>
    <t>Fleet Vehicle Miles Traveled: Conventional Light Trucks: Total: Alternative Transportation</t>
  </si>
  <si>
    <t>AEO.2025.ALTTRNP.ECI_VMT_CNV_FLTR_TDS_NA_NA_BLNMLS.A</t>
  </si>
  <si>
    <t>Fleet Vehicle Miles Traveled: Conventional Light Trucks: TDI Diesel: Alternative Transportation</t>
  </si>
  <si>
    <t>AEO.2025.ALTTRNP.ECI_VMT_CNV_FLTR_GSL_NA_NA_BLNMLS.A</t>
  </si>
  <si>
    <t>Fleet Vehicle Miles Traveled: Conventional Light Trucks: Gasoline: Alternative Transportation</t>
  </si>
  <si>
    <t>AEO.2025.ALTTRNP.ECI_VMT_NA_FLC_NA_NA_NA_BLNMLS.A</t>
  </si>
  <si>
    <t>Fleet Vehicle Miles Traveled: Cars: Total: Alternative Transportation</t>
  </si>
  <si>
    <t>AEO.2025.ALTTRNP.ECI_VMT_ALF1_FLC_NA_NA_NA_BLNMLS.A</t>
  </si>
  <si>
    <t>Fleet Vehicle Miles Traveled: Alternative-Fuel Cars: Total: Alternative Transportation</t>
  </si>
  <si>
    <t>AEO.2025.ALTTRNP.ECI_VMT_ALF1_FLC_FCH_NA_NA_BLNMLS.A</t>
  </si>
  <si>
    <t>Fleet Vehicle Miles Traveled: Alternative-Fuel Cars: Fuel Cell Hydrogen: Alternative Transportation</t>
  </si>
  <si>
    <t>AEO.2025.ALTTRNP.ECI_VMT_ALF1_FLC_FCLMTH_NA_NA_BLNMLS.A</t>
  </si>
  <si>
    <t>Fleet Vehicle Miles Traveled: Alternative-Fuel Cars: Fuel Cell Methanol: Alternative Transportation</t>
  </si>
  <si>
    <t>AEO.2025.ALTTRNP.ECI_VMT_ALF1_FLC_PBF_NA_NA_BLNMLS.A</t>
  </si>
  <si>
    <t>Fleet Vehicle Miles Traveled: Alternative-Fuel Cars: Propane Bi-fuel: Alternative Transportation</t>
  </si>
  <si>
    <t>AEO.2025.ALTTRNP.ECI_VMT_ALF1_FLC_PROP_NA_NA_BLNMLS.A</t>
  </si>
  <si>
    <t>Fleet Vehicle Miles Traveled: Alternative-Fuel Cars: Propane ICE: Alternative Transportation</t>
  </si>
  <si>
    <t>AEO.2025.ALTTRNP.ECI_VMT_ALF1_FLC_NBF_NA_NA_BLNMLS.A</t>
  </si>
  <si>
    <t>Fleet Vehicle Miles Traveled: Alternative-Fuel Cars: Natural Gas Bi-fuel: Alternative Transportation</t>
  </si>
  <si>
    <t>AEO.2025.ALTTRNP.ECI_VMT_ALF1_FLC_NGI_NA_NA_BLNMLS.A</t>
  </si>
  <si>
    <t>Fleet Vehicle Miles Traveled: Alternative-Fuel Cars: Natural Gas ICE: Alternative Transportation</t>
  </si>
  <si>
    <t>AEO.2025.ALTTRNP.ECI_VMT_ALF1_FLC_EGH_NA_NA_BLNMLS.A</t>
  </si>
  <si>
    <t>Fleet Vehicle Miles Traveled: Alternative-Fuel Cars: Electric-Gasoline Hybrid: Alternative Transportation</t>
  </si>
  <si>
    <t>AEO.2025.ALTTRNP.ECI_VMT_ALF1_FLC_EDH_NA_NA_BLNMLS.A</t>
  </si>
  <si>
    <t>Fleet Vehicle Miles Traveled: Alternative-Fuel Cars: Electric-Diesel Hybrid: Alternative Transportation</t>
  </si>
  <si>
    <t>AEO.2025.ALTTRNP.ECI_VMT_ALF1_FLC_PI50GH_NA_NA_BLNMLS.A</t>
  </si>
  <si>
    <t>Fleet Vehicle Miles Traveled: Alternative-Fuel Cars: Plug-in 50 Gasoline Hybrid: Alternative Transportation</t>
  </si>
  <si>
    <t>AEO.2025.ALTTRNP.ECI_VMT_ALF1_FLC_PI20GH_NA_NA_BLNMLS.A</t>
  </si>
  <si>
    <t>Fleet Vehicle Miles Traveled: Alternative-Fuel Cars: Plug-in 20 Gasoline Hybrid: Alternative Transportation</t>
  </si>
  <si>
    <t>AEO.2025.ALTTRNP.ECI_VMT_ALF1_FLC_300MIEV_NA_NA_BLNMLS.A</t>
  </si>
  <si>
    <t>Fleet Vehicle Miles Traveled: Alternative-Fuel Cars: 300-Mile Electric Vehicle: Alternative Transportation</t>
  </si>
  <si>
    <t>AEO.2025.ALTTRNP.ECI_VMT_ALF1_FLC_200MIEV_NA_NA_BLNMLS.A</t>
  </si>
  <si>
    <t>Fleet Vehicle Miles Traveled: Alternative-Fuel Cars: 200-Mile Electric Vehicle: Alternative Transportation</t>
  </si>
  <si>
    <t>AEO.2025.ALTTRNP.ECI_VMT_ALF1_FLC_100MIEV_NA_NA_BLNMLS.A</t>
  </si>
  <si>
    <t>Fleet Vehicle Miles Traveled: Alternative-Fuel Cars: 100-Mile Electric Vehicle: Alternative Transportation</t>
  </si>
  <si>
    <t>AEO.2025.ALTTRNP.ECI_VMT_ALF1_FLC_EFFI_NA_NA_BLNMLS.A</t>
  </si>
  <si>
    <t>Fleet Vehicle Miles Traveled: Alternative-Fuel Cars: Ethanol-Flex Fuel ICE: Alternative Transportation</t>
  </si>
  <si>
    <t>AEO.2025.ALTTRNP.ECI_VMT_CNV_FLC_NA_NA_NA_BLNMLS.A</t>
  </si>
  <si>
    <t>Fleet Vehicle Miles Traveled: Conventional Cars: Total: Alternative Transportation</t>
  </si>
  <si>
    <t>AEO.2025.ALTTRNP.ECI_VMT_CNV_FLC_TDS_NA_NA_BLNMLS.A</t>
  </si>
  <si>
    <t>Fleet Vehicle Miles Traveled: Conventional Cars: TDI Diesel: Alternative Transportation</t>
  </si>
  <si>
    <t>AEO.2025.ALTTRNP.ECI_VMT_CNV_FLC_GSL_NA_NA_BLNMLS.A</t>
  </si>
  <si>
    <t>Fleet Vehicle Miles Traveled: Conventional Cars: Gasoline: Alternative Transportation</t>
  </si>
  <si>
    <t>Growth (2024-2050)</t>
  </si>
  <si>
    <t>Fri Dec 05 2025 14:51:05 GMT-0800 (Pacific Standard Time)</t>
  </si>
  <si>
    <t>https://www.eia.gov/outlooks/aeo/data/browser/#/?id=56-AEO2025&amp;cases=alttrnp&amp;sourcekey=0</t>
  </si>
  <si>
    <t>AEO.2025.ALTTRNP.CNSM_NA_AIRT_MILT_JFL_NA_USA_TRLBTU.A</t>
  </si>
  <si>
    <t>Air Travel: Fuel Use: Military: Jet Fuel: U.S.: Alternative Transportation</t>
  </si>
  <si>
    <t xml:space="preserve"> United States</t>
  </si>
  <si>
    <t>AEO.2025.ALTTRNP.CNSM_NA_AIRT_COMM_AVGA_NA_USA_TRLBTU.A</t>
  </si>
  <si>
    <t>Air Travel: Fuel Use: Commercial: Aviation Gasoline: U.S.: Alternative Transportation</t>
  </si>
  <si>
    <t>AEO.2025.ALTTRNP.CNSM_NA_AIRT_COMM_JFL_NA_WRLD_TRLBTU.A</t>
  </si>
  <si>
    <t>Air Travel: Fuel Use: Commercial: Jet Fuel: World: Alternative Transportation</t>
  </si>
  <si>
    <t>AEO.2025.ALTTRNP.CNSM_NA_AIRT_COMM_JFL_NA_ONOAS_TRLBTU.A</t>
  </si>
  <si>
    <t>Air Travel: Fuel Use: Commercial: Jet Fuel: Other Americas: Alternative Transportation</t>
  </si>
  <si>
    <t>Other Americas</t>
  </si>
  <si>
    <t>AEO.2025.ALTTRNP.CNSM_NA_AIRT_COMM_JFL_NA_BRZ_TRLBTU.A</t>
  </si>
  <si>
    <t>Air Travel: Fuel Use: Commercial: Jet Fuel: Brazil: Alternative Transportation</t>
  </si>
  <si>
    <t>AEO.2025.ALTTRNP.CNSM_NA_AIRT_COMM_JFL_NA_AFR_TRLBTU.A</t>
  </si>
  <si>
    <t>Air Travel: Fuel Use: Commercial: Jet Fuel: Africa: Alternative Transportation</t>
  </si>
  <si>
    <t>AEO.2025.ALTTRNP.CNSM_NA_AIRT_COMM_JFL_NA_MDE_TRLBTU.A</t>
  </si>
  <si>
    <t>Air Travel: Fuel Use: Commercial: Jet Fuel: Middle East: Alternative Transportation</t>
  </si>
  <si>
    <t>AEO.2025.ALTTRNP.CNSM_NA_AIRT_COMM_JFL_NA_ONCDAS_TRLBTU.A</t>
  </si>
  <si>
    <t>Air Travel: Fuel Use: Commercial: Jet Fuel: Other Asia Pacific: Alternative Transportation</t>
  </si>
  <si>
    <t>Other Asia Pacific</t>
  </si>
  <si>
    <t>AEO.2025.ALTTRNP.CNSM_NA_AIRT_COMM_JFL_NA_IND_TRLBTU.A</t>
  </si>
  <si>
    <t>Air Travel: Fuel Use: Commercial: Jet Fuel: India: Alternative Transportation</t>
  </si>
  <si>
    <t>AEO.2025.ALTTRNP.CNSM_NA_AIRT_COMM_JFL_NA_CHN_TRLBTU.A</t>
  </si>
  <si>
    <t>Air Travel: Fuel Use: Commercial: Jet Fuel: China: Alternative Transportation</t>
  </si>
  <si>
    <t>AEO.2025.ALTTRNP.CNSM_NA_AIRT_COMM_JFL_NA_OEUAS_TRLBTU.A</t>
  </si>
  <si>
    <t>Air Travel: Fuel Use: Commercial: Jet Fuel: Eastern Europe and Eurasia: Alternative Transportation</t>
  </si>
  <si>
    <t>Eastern Europe and Eurasia</t>
  </si>
  <si>
    <t>AEO.2025.ALTTRNP.CNSM_NA_AIRT_COMM_JFL_NA_RUS_TRLBTU.A</t>
  </si>
  <si>
    <t>Air Travel: Fuel Use: Commercial: Jet Fuel: Russia: Alternative Transportation</t>
  </si>
  <si>
    <t>AEO.2025.ALTTRNP.CNSM_NA_AIRT_COMM_JFL_NA_SOK_TRLBTU.A</t>
  </si>
  <si>
    <t>Air Travel: Fuel Use: Commercial: Jet Fuel: South Korea: Alternative Transportation</t>
  </si>
  <si>
    <t>AEO.2025.ALTTRNP.CNSM_NA_AIRT_COMM_JFL_NA_AUNZ_TRLBTU.A</t>
  </si>
  <si>
    <t>Air Travel: Fuel Use: Commercial: Jet Fuel: Australia and New Zealand: Alternative Transportation</t>
  </si>
  <si>
    <t>AEO.2025.ALTTRNP.CNSM_NA_AIRT_COMM_JFL_NA_JPN_TRLBTU.A</t>
  </si>
  <si>
    <t>Air Travel: Fuel Use: Commercial: Jet Fuel: Japan: Alternative Transportation</t>
  </si>
  <si>
    <t>AEO.2025.ALTTRNP.CNSM_NA_AIRT_COMM_JFL_NA_OCDEU_TRLBTU.A</t>
  </si>
  <si>
    <t>Air Travel: Fuel Use: Commercial: Jet Fuel: Western Europe: Alternative Transportation</t>
  </si>
  <si>
    <t>Western Europe</t>
  </si>
  <si>
    <t>AEO.2025.ALTTRNP.CNSM_NA_AIRT_COMM_JFL_NA_MAOOAS_TRLBTU.A</t>
  </si>
  <si>
    <t>Air Travel: Fuel Use: Commercial: Jet Fuel: Mexico: Alternative Transportation</t>
  </si>
  <si>
    <t>Mexico</t>
  </si>
  <si>
    <t>AEO.2025.ALTTRNP.CNSM_NA_AIRT_COMM_JFL_NA_CAN_TRLBTU.A</t>
  </si>
  <si>
    <t>Air Travel: Fuel Use: Commercial: Jet Fuel: Canada: Alternative Transportation</t>
  </si>
  <si>
    <t>AEO.2025.ALTTRNP.CNSM_NA_AIRT_COMM_JFL_NA_USA_TRLBTU.A</t>
  </si>
  <si>
    <t>Air Travel: Fuel Use: Commercial: Jet Fuel: U.S.: Alternative Transportation</t>
  </si>
  <si>
    <t>AEO.2025.ALTTRNP.EFI_STK_AIRT_NA_NA_NA_USA_SEATMPG.A</t>
  </si>
  <si>
    <t>Air Travel: Aircraft Stock Efficiency: Average Aircraft: Alternative Transportation</t>
  </si>
  <si>
    <t>AEO.2025.ALTTRNP.EFI_STK_AIRT_REGJ_NA_NA_USA_SEATMPG.A</t>
  </si>
  <si>
    <t>Air Travel: Aircraft Stock Efficiency: Regional Jets: Alternative Transportation</t>
  </si>
  <si>
    <t>AEO.2025.ALTTRNP.EFI_STK_AIRT_WBE_NA_NA_USA_SEATMPG.A</t>
  </si>
  <si>
    <t>Air Travel: Aircraft Stock Efficiency: Wide Body Aircraft: Alternative Transportation</t>
  </si>
  <si>
    <t>AEO.2025.ALTTRNP.EFI_STK_AIRT_NBTR_NA_NA_USA_SEATMPG.A</t>
  </si>
  <si>
    <t>Air Travel: Aircraft Stock Efficiency: Narrow Body Aircraft: Alternative Transportation</t>
  </si>
  <si>
    <t>AEO.2025.ALTTRNP.EFI_NEW_AIRT_NA_NA_NA_USA_SEATMPG.A</t>
  </si>
  <si>
    <t>Air Travel: New Aircraft Efficiency: Average Aircraft: Alternative Transportation</t>
  </si>
  <si>
    <t>AEO.2025.ALTTRNP.EFI_NEW_AIRT_REGJ_NA_NA_USA_SEATMPG.A</t>
  </si>
  <si>
    <t>Air Travel: New Aircraft Efficiency: Regional Jets: Alternative Transportation</t>
  </si>
  <si>
    <t>AEO.2025.ALTTRNP.EFI_NEW_AIRT_WBE_NA_NA_USA_SEATMPG.A</t>
  </si>
  <si>
    <t>Air Travel: New Aircraft Efficiency: Wide Body Aircraft: Alternative Transportation</t>
  </si>
  <si>
    <t>AEO.2025.ALTTRNP.EFI_NEW_AIRT_NBTR_NA_NA_USA_SEATMPG.A</t>
  </si>
  <si>
    <t>Air Travel: New Aircraft Efficiency: Narrow Body Aircraft: Alternative Transportation</t>
  </si>
  <si>
    <t>AEO.2025.ALTTRNP.ECI_ACFTDELIV_AIRT_NA_NA_NA_WRLD_UNIT.A</t>
  </si>
  <si>
    <t>Air Travel: Aircraft Deliveries: World: Alternative Transportation</t>
  </si>
  <si>
    <t>AEO.2025.ALTTRNP.ECI_ACFTDELIV_AIRT_REGJ_NA_NA_WRLD_UNIT.A</t>
  </si>
  <si>
    <t>Air Travel: Aircraft Deliveries: World: Regional Jets: Alternative Transportation</t>
  </si>
  <si>
    <t>AEO.2025.ALTTRNP.ECI_ACFTDELIV_AIRT_WBE_NA_NA_WRLD_UNIT.A</t>
  </si>
  <si>
    <t>Air Travel: Aircraft Deliveries: World: Wide Body Aircraft: Alternative Transportation</t>
  </si>
  <si>
    <t>AEO.2025.ALTTRNP.ECI_ACFTDELIV_AIRT_NBTR_NA_NA_WRLD_UNIT.A</t>
  </si>
  <si>
    <t>Air Travel: Aircraft Deliveries: World: Narrow Body Aircraft: Alternative Transportation</t>
  </si>
  <si>
    <t>AEO.2025.ALTTRNP.ECI_ACFTDELIV_AIRT_REGJ_NA_NA_ONOAS_UNIT.A</t>
  </si>
  <si>
    <t>Air Travel: Aircraft Deliveries: Other Americas: Regional Jets: Alternative Transportation</t>
  </si>
  <si>
    <t>AEO.2025.ALTTRNP.ECI_ACFTDELIV_AIRT_WBE_NA_NA_ONOAS_UNIT.A</t>
  </si>
  <si>
    <t>Air Travel: Aircraft Deliveries: Other Americas: Wide Body Aircraft: Alternative Transportation</t>
  </si>
  <si>
    <t>AEO.2025.ALTTRNP.ECI_ACFTDELIV_AIRT_NBTR_NA_NA_ONOAS_UNIT.A</t>
  </si>
  <si>
    <t>Air Travel: Aircraft Deliveries: Other Americas: Narrow Body Aircraft: Alternative Transportation</t>
  </si>
  <si>
    <t>AEO.2025.ALTTRNP.ECI_ACFTDELIV_AIRT_NA_NA_NA_ONOAS_UNIT.A</t>
  </si>
  <si>
    <t>Air Travel: Aircraft Deliveries: Other Americas: Alternative Transportation</t>
  </si>
  <si>
    <t>AEO.2025.ALTTRNP.ECI_ACFTDELIV_AIRT_REGJ_NA_NA_BRZ_UNIT.A</t>
  </si>
  <si>
    <t>Air Travel: Aircraft Deliveries: Brazil: Regional Jets: Alternative Transportation</t>
  </si>
  <si>
    <t>AEO.2025.ALTTRNP.ECI_ACFTDELIV_AIRT_WBE_NA_NA_BRZ_UNIT.A</t>
  </si>
  <si>
    <t>Air Travel: Aircraft Deliveries: Brazil: Wide Body Aircraft: Alternative Transportation</t>
  </si>
  <si>
    <t>AEO.2025.ALTTRNP.ECI_ACFTDELIV_AIRT_NBTR_NA_NA_BRZ_UNIT.A</t>
  </si>
  <si>
    <t>Air Travel: Aircraft Deliveries: Brazil: Narrow Body Aircraft: Alternative Transportation</t>
  </si>
  <si>
    <t>AEO.2025.ALTTRNP.ECI_ACFTDELIV_AIRT_NA_NA_NA_BRZ_UNIT.A</t>
  </si>
  <si>
    <t>Air Travel: Aircraft Deliveries: Brazil: Alternative Transportation</t>
  </si>
  <si>
    <t>AEO.2025.ALTTRNP.ECI_ACFTDELIV_AIRT_REGJ_NA_NA_AFR_UNIT.A</t>
  </si>
  <si>
    <t>Air Travel: Aircraft Deliveries: Africa: Regional Jets: Alternative Transportation</t>
  </si>
  <si>
    <t>AEO.2025.ALTTRNP.ECI_ACFTDELIV_AIRT_WBE_NA_NA_AFR_UNIT.A</t>
  </si>
  <si>
    <t>Air Travel: Aircraft Deliveries: Africa: Wide Body Aircraft: Alternative Transportation</t>
  </si>
  <si>
    <t>AEO.2025.ALTTRNP.ECI_ACFTDELIV_AIRT_NBTR_NA_NA_AFR_UNIT.A</t>
  </si>
  <si>
    <t>Air Travel: Aircraft Deliveries: Africa: Narrow Body Aircraft: Alternative Transportation</t>
  </si>
  <si>
    <t>AEO.2025.ALTTRNP.ECI_ACFTDELIV_AIRT_NA_NA_NA_AFR_UNIT.A</t>
  </si>
  <si>
    <t>Air Travel: Aircraft Deliveries: Africa: Alternative Transportation</t>
  </si>
  <si>
    <t>AEO.2025.ALTTRNP.ECI_ACFTDELIV_AIRT_REGJ_NA_NA_MDE_UNIT.A</t>
  </si>
  <si>
    <t>Air Travel: Aircraft Deliveries: Middle East: Regional Jets: Alternative Transportation</t>
  </si>
  <si>
    <t>AEO.2025.ALTTRNP.ECI_ACFTDELIV_AIRT_WBE_NA_NA_MDE_UNIT.A</t>
  </si>
  <si>
    <t>Air Travel: Aircraft Deliveries: Middle East: Wide Body Aircraft: Alternative Transportation</t>
  </si>
  <si>
    <t>AEO.2025.ALTTRNP.ECI_ACFTDELIV_AIRT_NBTR_NA_NA_MDE_UNIT.A</t>
  </si>
  <si>
    <t>Air Travel: Aircraft Deliveries: Middle East: Narrow Body Aircraft: Alternative Transportation</t>
  </si>
  <si>
    <t>AEO.2025.ALTTRNP.ECI_ACFTDELIV_AIRT_NA_NA_NA_MDE_UNIT.A</t>
  </si>
  <si>
    <t>Air Travel: Aircraft Deliveries: Middle East: Alternative Transportation</t>
  </si>
  <si>
    <t>AEO.2025.ALTTRNP.ECI_ACFTDELIV_AIRT_REGJ_NA_NA_ONCDAS_UNIT.A</t>
  </si>
  <si>
    <t>Air Travel: Aircraft Deliveries: Other Asia Pacific: Regional Jets: Alternative Transportation</t>
  </si>
  <si>
    <t>AEO.2025.ALTTRNP.ECI_ACFTDELIV_AIRT_WBE_NA_NA_ONCDAS_UNIT.A</t>
  </si>
  <si>
    <t>Air Travel: Aircraft Deliveries: Other Asia Pacific: Wide Body Aircraft: Alternative Transportation</t>
  </si>
  <si>
    <t>AEO.2025.ALTTRNP.ECI_ACFTDELIV_AIRT_NBTR_NA_NA_ONCDAS_UNIT.A</t>
  </si>
  <si>
    <t>Air Travel: Aircraft Deliveries: Other Asia Pacific: Narrow Body Aircraft: Alternative Transportation</t>
  </si>
  <si>
    <t>AEO.2025.ALTTRNP.ECI_ACFTDELIV_AIRT_NA_NA_NA_ONCDAS_UNIT.A</t>
  </si>
  <si>
    <t>Air Travel: Aircraft Deliveries: Other Asia Pacific: Alternative Transportation</t>
  </si>
  <si>
    <t>AEO.2025.ALTTRNP.ECI_ACFTDELIV_AIRT_REGJ_NA_NA_IND_UNIT.A</t>
  </si>
  <si>
    <t>Air Travel: Aircraft Deliveries: India: Regional Jets: Alternative Transportation</t>
  </si>
  <si>
    <t>AEO.2025.ALTTRNP.ECI_ACFTDELIV_AIRT_WBE_NA_NA_IND_UNIT.A</t>
  </si>
  <si>
    <t>Air Travel: Aircraft Deliveries: India: Wide Body Aircraft: Alternative Transportation</t>
  </si>
  <si>
    <t>AEO.2025.ALTTRNP.ECI_ACFTDELIV_AIRT_NBTR_NA_NA_IND_UNIT.A</t>
  </si>
  <si>
    <t>Air Travel: Aircraft Deliveries: India: Narrow Body Aircraft: Alternative Transportation</t>
  </si>
  <si>
    <t>AEO.2025.ALTTRNP.ECI_ACFTDELIV_AIRT_NA_NA_NA_IND_UNIT.A</t>
  </si>
  <si>
    <t>Air Travel: Aircraft Deliveries: India: Alternative Transportation</t>
  </si>
  <si>
    <t>AEO.2025.ALTTRNP.ECI_ACFTDELIV_AIRT_REGJ_NA_NA_CHN_UNIT.A</t>
  </si>
  <si>
    <t>Air Travel: Aircraft Deliveries: China: Regional Jets: Alternative Transportation</t>
  </si>
  <si>
    <t>AEO.2025.ALTTRNP.ECI_ACFTDELIV_AIRT_WBE_NA_NA_CHN_UNIT.A</t>
  </si>
  <si>
    <t>Air Travel: Aircraft Deliveries: China: Wide Body Aircraft: Alternative Transportation</t>
  </si>
  <si>
    <t>AEO.2025.ALTTRNP.ECI_ACFTDELIV_AIRT_NBTR_NA_NA_CHN_UNIT.A</t>
  </si>
  <si>
    <t>Air Travel: Aircraft Deliveries: China: Narrow Body Aircraft: Alternative Transportation</t>
  </si>
  <si>
    <t>AEO.2025.ALTTRNP.ECI_ACFTDELIV_AIRT_NA_NA_NA_CHN_UNIT.A</t>
  </si>
  <si>
    <t>Air Travel: Aircraft Deliveries: China: Alternative Transportation</t>
  </si>
  <si>
    <t>AEO.2025.ALTTRNP.ECI_ACFTDELIV_AIRT_REGJ_NA_NA_OEUAS_UNIT.A</t>
  </si>
  <si>
    <t>Air Travel: Aircraft Deliveries: Eastern Europe and Eurasia: Regional Jets: Alternative Transportation</t>
  </si>
  <si>
    <t>AEO.2025.ALTTRNP.ECI_ACFTDELIV_AIRT_WBE_NA_NA_OEUAS_UNIT.A</t>
  </si>
  <si>
    <t>Air Travel: Aircraft Deliveries: Eastern Europe and Eurasia: Wide Body Aircraft: Alternative Transportation</t>
  </si>
  <si>
    <t>AEO.2025.ALTTRNP.ECI_ACFTDELIV_AIRT_NBTR_NA_NA_OEUAS_UNIT.A</t>
  </si>
  <si>
    <t>Air Travel: Aircraft Deliveries: Eastern Europe and Eurasia: Narrow Body Aircraft: Alternative Transportation</t>
  </si>
  <si>
    <t>AEO.2025.ALTTRNP.ECI_ACFTDELIV_AIRT_NA_NA_NA_OEUAS_UNIT.A</t>
  </si>
  <si>
    <t>Air Travel: Aircraft Deliveries: Eastern Europe and Eurasia: Alternative Transportation</t>
  </si>
  <si>
    <t>AEO.2025.ALTTRNP.ECI_ACFTDELIV_AIRT_REGJ_NA_NA_RUS_UNIT.A</t>
  </si>
  <si>
    <t>Air Travel: Aircraft Deliveries: Russia: Regional Jets: Alternative Transportation</t>
  </si>
  <si>
    <t>AEO.2025.ALTTRNP.ECI_ACFTDELIV_AIRT_WBE_NA_NA_RUS_UNIT.A</t>
  </si>
  <si>
    <t>Air Travel: Aircraft Deliveries: Russia: Wide Body Aircraft: Alternative Transportation</t>
  </si>
  <si>
    <t>AEO.2025.ALTTRNP.ECI_ACFTDELIV_AIRT_NBTR_NA_NA_RUS_UNIT.A</t>
  </si>
  <si>
    <t>Air Travel: Aircraft Deliveries: Russia: Narrow Body Aircraft: Alternative Transportation</t>
  </si>
  <si>
    <t>AEO.2025.ALTTRNP.ECI_ACFTDELIV_AIRT_NA_NA_NA_RUS_UNIT.A</t>
  </si>
  <si>
    <t>Air Travel: Aircraft Deliveries: Russia: Alternative Transportation</t>
  </si>
  <si>
    <t>AEO.2025.ALTTRNP.ECI_ACFTDELIV_AIRT_REGJ_NA_NA_SOK_UNIT.A</t>
  </si>
  <si>
    <t>Air Travel: Aircraft Deliveries: South Korea: Regional Jets: Alternative Transportation</t>
  </si>
  <si>
    <t>AEO.2025.ALTTRNP.ECI_ACFTDELIV_AIRT_WBE_NA_NA_SOK_UNIT.A</t>
  </si>
  <si>
    <t>Air Travel: Aircraft Deliveries: South Korea: Wide Body Aircraft: Alternative Transportation</t>
  </si>
  <si>
    <t>AEO.2025.ALTTRNP.ECI_ACFTDELIV_AIRT_NBTR_NA_NA_SOK_UNIT.A</t>
  </si>
  <si>
    <t>Air Travel: Aircraft Deliveries: South Korea: Narrow Body Aircraft: Alternative Transportation</t>
  </si>
  <si>
    <t>AEO.2025.ALTTRNP.ECI_ACFTDELIV_AIRT_NA_NA_NA_SOK_UNIT.A</t>
  </si>
  <si>
    <t>Air Travel: Aircraft Deliveries: South Korea: Alternative Transportation</t>
  </si>
  <si>
    <t>AEO.2025.ALTTRNP.ECI_ACFTDELIV_AIRT_REGJ_NA_NA_AUNZ_UNIT.A</t>
  </si>
  <si>
    <t>Air Travel: Aircraft Deliveries: Australia and New Zealand: Regional Jets: Alternative Transportation</t>
  </si>
  <si>
    <t>AEO.2025.ALTTRNP.ECI_ACFTDELIV_AIRT_WBE_NA_NA_AUNZ_UNIT.A</t>
  </si>
  <si>
    <t>Air Travel: Aircraft Deliveries: Australia and New Zealand: Wide Body Aircraft: Alternative Transportation</t>
  </si>
  <si>
    <t>AEO.2025.ALTTRNP.ECI_ACFTDELIV_AIRT_NBTR_NA_NA_AUNZ_UNIT.A</t>
  </si>
  <si>
    <t>Air Travel: Aircraft Deliveries: Australia and New Zealand: Narrow Body Aircraft: Alternative Transportation</t>
  </si>
  <si>
    <t>AEO.2025.ALTTRNP.ECI_ACFTDELIV_AIRT_NA_NA_NA_AUNZ_UNIT.A</t>
  </si>
  <si>
    <t>Air Travel: Aircraft Deliveries: Australia and New Zealand: Alternative Transportation</t>
  </si>
  <si>
    <t>AEO.2025.ALTTRNP.ECI_ACFTDELIV_AIRT_REGJ_NA_NA_JPN_UNIT.A</t>
  </si>
  <si>
    <t>Air Travel: Aircraft Deliveries: Japan: Regional Jets: Alternative Transportation</t>
  </si>
  <si>
    <t>AEO.2025.ALTTRNP.ECI_ACFTDELIV_AIRT_WBE_NA_NA_JPN_UNIT.A</t>
  </si>
  <si>
    <t>Air Travel: Aircraft Deliveries: Japan: Wide Body Aircraft: Alternative Transportation</t>
  </si>
  <si>
    <t>AEO.2025.ALTTRNP.ECI_ACFTDELIV_AIRT_NBTR_NA_NA_JPN_UNIT.A</t>
  </si>
  <si>
    <t>Air Travel: Aircraft Deliveries: Japan: Narrow Body Aircraft: Alternative Transportation</t>
  </si>
  <si>
    <t>AEO.2025.ALTTRNP.ECI_ACFTDELIV_AIRT_NA_NA_NA_JPN_UNIT.A</t>
  </si>
  <si>
    <t>Air Travel: Aircraft Deliveries: Japan: Alternative Transportation</t>
  </si>
  <si>
    <t>AEO.2025.ALTTRNP.ECI_ACFTDELIV_AIRT_REGJ_NA_NA_OCDEU_UNIT.A</t>
  </si>
  <si>
    <t>Air Travel: Aircraft Deliveries: Western Europe: Regional Jets: Alternative Transportation</t>
  </si>
  <si>
    <t>AEO.2025.ALTTRNP.ECI_ACFTDELIV_AIRT_WBE_NA_NA_OCDEU_UNIT.A</t>
  </si>
  <si>
    <t>Air Travel: Aircraft Deliveries: Western Europe: Wide Body Aircraft: Alternative Transportation</t>
  </si>
  <si>
    <t>AEO.2025.ALTTRNP.ECI_ACFTDELIV_AIRT_NBTR_NA_NA_OCDEU_UNIT.A</t>
  </si>
  <si>
    <t>Air Travel: Aircraft Deliveries: Western Europe: Narrow Body Aircraft: Alternative Transportation</t>
  </si>
  <si>
    <t>AEO.2025.ALTTRNP.ECI_ACFTDELIV_AIRT_NA_NA_NA_OCDEU_UNIT.A</t>
  </si>
  <si>
    <t>Air Travel: Aircraft Deliveries: Western Europe: Alternative Transportation</t>
  </si>
  <si>
    <t>AEO.2025.ALTTRNP.ECI_ACFTDELIV_AIRT_REGJ_NA_NA_MAOOAS_UNIT.A</t>
  </si>
  <si>
    <t>Air Travel: Aircraft Deliveries: Mexico: Regional Jets: Alternative Transportation</t>
  </si>
  <si>
    <t>AEO.2025.ALTTRNP.ECI_ACFTDELIV_AIRT_WBE_NA_NA_MAOOAS_UNIT.A</t>
  </si>
  <si>
    <t>Air Travel: Aircraft Deliveries: Mexico: Wide Body Aircraft: Alternative Transportation</t>
  </si>
  <si>
    <t>AEO.2025.ALTTRNP.ECI_ACFTDELIV_AIRT_NBTR_NA_NA_MAOOAS_UNIT.A</t>
  </si>
  <si>
    <t>Air Travel: Aircraft Deliveries: Mexico: Narrow Body Aircraft: Alternative Transportation</t>
  </si>
  <si>
    <t>AEO.2025.ALTTRNP.ECI_ACFTDELIV_AIRT_NA_NA_NA_MAOOAS_UNIT.A</t>
  </si>
  <si>
    <t>Air Travel: Aircraft Deliveries: Mexico: Alternative Transportation</t>
  </si>
  <si>
    <t>AEO.2025.ALTTRNP.ECI_ACFTDELIV_AIRT_REGJ_NA_NA_CAN_UNIT.A</t>
  </si>
  <si>
    <t>Air Travel: Aircraft Deliveries: Canada: Regional Jets: Alternative Transportation</t>
  </si>
  <si>
    <t>AEO.2025.ALTTRNP.ECI_ACFTDELIV_AIRT_WBE_NA_NA_CAN_UNIT.A</t>
  </si>
  <si>
    <t>Air Travel: Aircraft Deliveries: Canada: Wide Body Aircraft: Alternative Transportation</t>
  </si>
  <si>
    <t>AEO.2025.ALTTRNP.ECI_ACFTDELIV_AIRT_NBTR_NA_NA_CAN_UNIT.A</t>
  </si>
  <si>
    <t>Air Travel: Aircraft Deliveries: Canada: Narrow Body Aircraft: Alternative Transportation</t>
  </si>
  <si>
    <t>AEO.2025.ALTTRNP.ECI_ACFTDELIV_AIRT_NA_NA_NA_CAN_UNIT.A</t>
  </si>
  <si>
    <t>Air Travel: Aircraft Deliveries: Canada: Alternative Transportation</t>
  </si>
  <si>
    <t>AEO.2025.ALTTRNP.ECI_ACFTDELIV_AIRT_REGJ_NA_NA_USA_UNIT.A</t>
  </si>
  <si>
    <t>Air Travel: Aircraft Deliveries: U.S.: Regional Jets: Alternative Transportation</t>
  </si>
  <si>
    <t>AEO.2025.ALTTRNP.ECI_ACFTDELIV_AIRT_WBE_NA_NA_USA_UNIT.A</t>
  </si>
  <si>
    <t>Air Travel: Aircraft Deliveries: U.S.: Wide Body Aircraft: Alternative Transportation</t>
  </si>
  <si>
    <t>AEO.2025.ALTTRNP.ECI_ACFTDELIV_AIRT_NBTR_NA_NA_USA_UNIT.A</t>
  </si>
  <si>
    <t>Air Travel: Aircraft Deliveries: U.S.: Narrow Body Aircraft: Alternative Transportation</t>
  </si>
  <si>
    <t>AEO.2025.ALTTRNP.ECI_ACFTDELIV_AIRT_NA_NA_NA_USA_UNIT.A</t>
  </si>
  <si>
    <t>Air Travel: Aircraft Deliveries: U.S.: Alternative Transportation</t>
  </si>
  <si>
    <t>AEO.2025.ALTTRNP.ECI_SMD_AIRT_NA_NA_NA_WRLD_BLNMLS.A</t>
  </si>
  <si>
    <t>Air Travel: Seat Miles Demanded: World: Alternative Transportation</t>
  </si>
  <si>
    <t>AEO.2025.ALTTRNP.ECI_SMD_AIRT_REGJ_NA_NA_WRLD_BLNMLS.A</t>
  </si>
  <si>
    <t>Air Travel: Seat Miles Demanded: World: Regional Jets: Alternative Transportation</t>
  </si>
  <si>
    <t>AEO.2025.ALTTRNP.ECI_SMD_AIRT_WBE_NA_NA_WRLD_BLNMLS.A</t>
  </si>
  <si>
    <t>Air Travel: Seat Miles Demanded: World: Wide Body Aircraft: Alternative Transportation</t>
  </si>
  <si>
    <t>AEO.2025.ALTTRNP.ECI_SMD_AIRT_NBTR_NA_NA_WRLD_BLNMLS.A</t>
  </si>
  <si>
    <t>Air Travel: Seat Miles Demanded: World: Narrow Body Aircraft: Alternative Transportation</t>
  </si>
  <si>
    <t>AEO.2025.ALTTRNP.ECI_SMD_AIRT_REGJ_NA_NA_ONOAS_BLNMLS.A</t>
  </si>
  <si>
    <t>Air Travel: Seat Miles Demanded: Other Americas: Regional Jets: Alternative Transportation</t>
  </si>
  <si>
    <t>AEO.2025.ALTTRNP.ECI_SMD_AIRT_WBE_NA_NA_ONOAS_BLNMLS.A</t>
  </si>
  <si>
    <t>Air Travel: Seat Miles Demanded: Other Americas: Wide Body Aircraft: Alternative Transportation</t>
  </si>
  <si>
    <t>AEO.2025.ALTTRNP.ECI_SMD_AIRT_NBTR_NA_NA_ONOAS_BLNMLS.A</t>
  </si>
  <si>
    <t>Air Travel: Seat Miles Demanded: Other Americas: Narrow Body Aircraft: Alternative Transportation</t>
  </si>
  <si>
    <t>AEO.2025.ALTTRNP.ECI_SMD_AIRT_NA_NA_NA_ONOAS_BLNMLS.A</t>
  </si>
  <si>
    <t>Air Travel: Seat Miles Demanded: Other Americas: Alternative Transportation</t>
  </si>
  <si>
    <t>AEO.2025.ALTTRNP.ECI_SMD_AIRT_REGJ_NA_NA_BRZ_BLNMLS.A</t>
  </si>
  <si>
    <t>Air Travel: Seat Miles Demanded: Brazil: Regional Jets: Alternative Transportation</t>
  </si>
  <si>
    <t>AEO.2025.ALTTRNP.ECI_SMD_AIRT_WBE_NA_NA_BRZ_BLNMLS.A</t>
  </si>
  <si>
    <t>Air Travel: Seat Miles Demanded: Brazil: Wide Body Aircraft: Alternative Transportation</t>
  </si>
  <si>
    <t>AEO.2025.ALTTRNP.ECI_SMD_AIRT_NBTR_NA_NA_BRZ_BLNMLS.A</t>
  </si>
  <si>
    <t>Air Travel: Seat Miles Demanded: Brazil: Narrow Body Aircraft: Alternative Transportation</t>
  </si>
  <si>
    <t>AEO.2025.ALTTRNP.ECI_SMD_AIRT_NA_NA_NA_BRZ_BLNMLS.A</t>
  </si>
  <si>
    <t>Air Travel: Seat Miles Demanded: Brazil: Alternative Transportation</t>
  </si>
  <si>
    <t>AEO.2025.ALTTRNP.ECI_SMD_AIRT_REGJ_NA_NA_AFR_BLNMLS.A</t>
  </si>
  <si>
    <t>Air Travel: Seat Miles Demanded: Africa: Regional Jets: Alternative Transportation</t>
  </si>
  <si>
    <t>AEO.2025.ALTTRNP.ECI_SMD_AIRT_WBE_NA_NA_AFR_BLNMLS.A</t>
  </si>
  <si>
    <t>Air Travel: Seat Miles Demanded: Africa: Wide Body Aircraft: Alternative Transportation</t>
  </si>
  <si>
    <t>AEO.2025.ALTTRNP.ECI_SMD_AIRT_NBTR_NA_NA_AFR_BLNMLS.A</t>
  </si>
  <si>
    <t>Air Travel: Seat Miles Demanded: Africa: Narrow Body Aircraft: Alternative Transportation</t>
  </si>
  <si>
    <t>AEO.2025.ALTTRNP.ECI_SMD_AIRT_NA_NA_NA_AFR_BLNMLS.A</t>
  </si>
  <si>
    <t>Air Travel: Seat Miles Demanded: Africa: Alternative Transportation</t>
  </si>
  <si>
    <t>AEO.2025.ALTTRNP.ECI_SMD_AIRT_REGJ_NA_NA_MDE_BLNMLS.A</t>
  </si>
  <si>
    <t>Air Travel: Seat Miles Demanded: Middle East: Regional Jets: Alternative Transportation</t>
  </si>
  <si>
    <t>AEO.2025.ALTTRNP.ECI_SMD_AIRT_WBE_NA_NA_MDE_BLNMLS.A</t>
  </si>
  <si>
    <t>Air Travel: Seat Miles Demanded: Middle East: Wide Body Aircraft: Alternative Transportation</t>
  </si>
  <si>
    <t>AEO.2025.ALTTRNP.ECI_SMD_AIRT_NBTR_NA_NA_MDE_BLNMLS.A</t>
  </si>
  <si>
    <t>Air Travel: Seat Miles Demanded: Middle East: Narrow Body Aircraft: Alternative Transportation</t>
  </si>
  <si>
    <t>AEO.2025.ALTTRNP.ECI_SMD_AIRT_NA_NA_NA_MDE_BLNMLS.A</t>
  </si>
  <si>
    <t>Air Travel: Seat Miles Demanded: Middle East: Alternative Transportation</t>
  </si>
  <si>
    <t>AEO.2025.ALTTRNP.ECI_SMD_AIRT_REGJ_NA_NA_ONCDAS_BLNMLS.A</t>
  </si>
  <si>
    <t>Air Travel: Seat Miles Demanded: Other Asia Pacific: Regional Jets: Alternative Transportation</t>
  </si>
  <si>
    <t>AEO.2025.ALTTRNP.ECI_SMD_AIRT_WBE_NA_NA_ONCDAS_BLNMLS.A</t>
  </si>
  <si>
    <t>Air Travel: Seat Miles Demanded: Other Asia Pacific: Wide Body Aircraft: Alternative Transportation</t>
  </si>
  <si>
    <t>AEO.2025.ALTTRNP.ECI_SMD_AIRT_NBTR_NA_NA_ONCDAS_BLNMLS.A</t>
  </si>
  <si>
    <t>Air Travel: Seat Miles Demanded: Other Asia Pacific: Narrow Body Aircraft: Alternative Transportation</t>
  </si>
  <si>
    <t>AEO.2025.ALTTRNP.ECI_SMD_AIRT_NA_NA_NA_ONCDAS_BLNMLS.A</t>
  </si>
  <si>
    <t>Air Travel: Seat Miles Demanded: Other Asia Pacific: Alternative Transportation</t>
  </si>
  <si>
    <t>AEO.2025.ALTTRNP.ECI_SMD_AIRT_REGJ_NA_NA_IND_BLNMLS.A</t>
  </si>
  <si>
    <t>Air Travel: Seat Miles Demanded: India: Regional Jets: Alternative Transportation</t>
  </si>
  <si>
    <t>AEO.2025.ALTTRNP.ECI_SMD_AIRT_WBE_NA_NA_IND_BLNMLS.A</t>
  </si>
  <si>
    <t>Air Travel: Seat Miles Demanded: India: Wide Body Aircraft: Alternative Transportation</t>
  </si>
  <si>
    <t>AEO.2025.ALTTRNP.ECI_SMD_AIRT_NBTR_NA_NA_IND_BLNMLS.A</t>
  </si>
  <si>
    <t>Air Travel: Seat Miles Demanded: India: Narrow Body Aircraft: Alternative Transportation</t>
  </si>
  <si>
    <t>AEO.2025.ALTTRNP.ECI_SMD_AIRT_NA_NA_NA_IND_BLNMLS.A</t>
  </si>
  <si>
    <t>Air Travel: Seat Miles Demanded: India: Alternative Transportation</t>
  </si>
  <si>
    <t>AEO.2025.ALTTRNP.ECI_SMD_AIRT_REGJ_NA_NA_CHN_BLNMLS.A</t>
  </si>
  <si>
    <t>Air Travel: Seat Miles Demanded: China: Regional Jets: Alternative Transportation</t>
  </si>
  <si>
    <t>AEO.2025.ALTTRNP.ECI_SMD_AIRT_WBE_NA_NA_CHN_BLNMLS.A</t>
  </si>
  <si>
    <t>Air Travel: Seat Miles Demanded: China: Wide Body Aircraft: Alternative Transportation</t>
  </si>
  <si>
    <t>AEO.2025.ALTTRNP.ECI_SMD_AIRT_NBTR_NA_NA_CHN_BLNMLS.A</t>
  </si>
  <si>
    <t>Air Travel: Seat Miles Demanded: China: Narrow Body Aircraft: Alternative Transportation</t>
  </si>
  <si>
    <t>AEO.2025.ALTTRNP.ECI_SMD_AIRT_NA_NA_NA_CHN_BLNMLS.A</t>
  </si>
  <si>
    <t>Air Travel: Seat Miles Demanded: China: Alternative Transportation</t>
  </si>
  <si>
    <t>AEO.2025.ALTTRNP.ECI_SMD_AIRT_REGJ_NA_NA_OEUAS_BLNMLS.A</t>
  </si>
  <si>
    <t>Air Travel: Seat Miles Demanded: Eastern Europe and Eurasia: Regional Jets: Alternative Transportation</t>
  </si>
  <si>
    <t>AEO.2025.ALTTRNP.ECI_SMD_AIRT_WBE_NA_NA_OEUAS_BLNMLS.A</t>
  </si>
  <si>
    <t>Air Travel: Seat Miles Demanded: Eastern Europe and Eurasia: Wide Body Aircraft: Alternative Transportation</t>
  </si>
  <si>
    <t>AEO.2025.ALTTRNP.ECI_SMD_AIRT_NBTR_NA_NA_OEUAS_BLNMLS.A</t>
  </si>
  <si>
    <t>Air Travel: Seat Miles Demanded: Eastern Europe and Eurasia: Narrow Body Aircraft: Alternative Transportation</t>
  </si>
  <si>
    <t>AEO.2025.ALTTRNP.ECI_SMD_AIRT_NA_NA_NA_OEUAS_BLNMLS.A</t>
  </si>
  <si>
    <t>Air Travel: Seat Miles Demanded: Eastern Europe and Eurasia: Alternative Transportation</t>
  </si>
  <si>
    <t>AEO.2025.ALTTRNP.ECI_SMD_AIRT_REGJ_NA_NA_RUS_BLNMLS.A</t>
  </si>
  <si>
    <t>Air Travel: Seat Miles Demanded: Russia: Regional Jets: Alternative Transportation</t>
  </si>
  <si>
    <t>AEO.2025.ALTTRNP.ECI_SMD_AIRT_WBE_NA_NA_RUS_BLNMLS.A</t>
  </si>
  <si>
    <t>Air Travel: Seat Miles Demanded: Russia: Wide Body Aircraft: Alternative Transportation</t>
  </si>
  <si>
    <t>AEO.2025.ALTTRNP.ECI_SMD_AIRT_NBTR_NA_NA_RUS_BLNMLS.A</t>
  </si>
  <si>
    <t>Air Travel: Seat Miles Demanded: Russia: Narrow Body Aircraft: Alternative Transportation</t>
  </si>
  <si>
    <t>AEO.2025.ALTTRNP.ECI_SMD_AIRT_NA_NA_NA_RUS_BLNMLS.A</t>
  </si>
  <si>
    <t>Air Travel: Seat Miles Demanded: Russia: Alternative Transportation</t>
  </si>
  <si>
    <t>AEO.2025.ALTTRNP.ECI_SMD_AIRT_REGJ_NA_NA_SOK_BLNMLS.A</t>
  </si>
  <si>
    <t>Air Travel: Seat Miles Demanded: South Korea: Regional Jets: Alternative Transportation</t>
  </si>
  <si>
    <t>AEO.2025.ALTTRNP.ECI_SMD_AIRT_WBE_NA_NA_SOK_BLNMLS.A</t>
  </si>
  <si>
    <t>Air Travel: Seat Miles Demanded: South Korea: Wide Body Aircraft: Alternative Transportation</t>
  </si>
  <si>
    <t>AEO.2025.ALTTRNP.ECI_SMD_AIRT_NBTR_NA_NA_SOK_BLNMLS.A</t>
  </si>
  <si>
    <t>Air Travel: Seat Miles Demanded: South Korea: Narrow Body Aircraft: Alternative Transportation</t>
  </si>
  <si>
    <t>AEO.2025.ALTTRNP.ECI_SMD_AIRT_NA_NA_NA_SOK_BLNMLS.A</t>
  </si>
  <si>
    <t>Air Travel: Seat Miles Demanded: South Korea: Alternative Transportation</t>
  </si>
  <si>
    <t>AEO.2025.ALTTRNP.ECI_SMD_AIRT_REGJ_NA_NA_AUNZ_BLNMLS.A</t>
  </si>
  <si>
    <t>Air Travel: Seat Miles Demanded: Australia and New Zealand: Regional Jets: Alternative Transportation</t>
  </si>
  <si>
    <t>AEO.2025.ALTTRNP.ECI_SMD_AIRT_WBE_NA_NA_AUNZ_BLNMLS.A</t>
  </si>
  <si>
    <t>Air Travel: Seat Miles Demanded: Australia and New Zealand: Wide Body Aircraft: Alternative Transportation</t>
  </si>
  <si>
    <t>AEO.2025.ALTTRNP.ECI_SMD_AIRT_NBTR_NA_NA_AUNZ_BLNMLS.A</t>
  </si>
  <si>
    <t>Air Travel: Seat Miles Demanded: Australia and New Zealand: Narrow Body Aircraft: Alternative Transportation</t>
  </si>
  <si>
    <t>AEO.2025.ALTTRNP.ECI_SMD_AIRT_NA_NA_NA_AUNZ_BLNMLS.A</t>
  </si>
  <si>
    <t>Air Travel: Seat Miles Demanded: Australia and New Zealand: Alternative Transportation</t>
  </si>
  <si>
    <t>AEO.2025.ALTTRNP.ECI_SMD_AIRT_REGJ_NA_NA_JPN_BLNMLS.A</t>
  </si>
  <si>
    <t>Air Travel: Seat Miles Demanded: Japan: Regional Jets: Alternative Transportation</t>
  </si>
  <si>
    <t>AEO.2025.ALTTRNP.ECI_SMD_AIRT_WBE_NA_NA_JPN_BLNMLS.A</t>
  </si>
  <si>
    <t>Air Travel: Seat Miles Demanded: Japan: Wide Body Aircraft: Alternative Transportation</t>
  </si>
  <si>
    <t>AEO.2025.ALTTRNP.ECI_SMD_AIRT_NBTR_NA_NA_JPN_BLNMLS.A</t>
  </si>
  <si>
    <t>Air Travel: Seat Miles Demanded: Japan: Narrow Body Aircraft: Alternative Transportation</t>
  </si>
  <si>
    <t>AEO.2025.ALTTRNP.ECI_SMD_AIRT_NA_NA_NA_JPN_BLNMLS.A</t>
  </si>
  <si>
    <t>Air Travel: Seat Miles Demanded: Japan: Alternative Transportation</t>
  </si>
  <si>
    <t>AEO.2025.ALTTRNP.ECI_SMD_AIRT_REGJ_NA_NA_OCDEU_BLNMLS.A</t>
  </si>
  <si>
    <t>Air Travel: Seat Miles Demanded: Western Europe: Regional Jets: Alternative Transportation</t>
  </si>
  <si>
    <t>AEO.2025.ALTTRNP.ECI_SMD_AIRT_WBE_NA_NA_OCDEU_BLNMLS.A</t>
  </si>
  <si>
    <t>Air Travel: Seat Miles Demanded: Western Europe: Wide Body Aircraft: Alternative Transportation</t>
  </si>
  <si>
    <t>AEO.2025.ALTTRNP.ECI_SMD_AIRT_NBTR_NA_NA_OCDEU_BLNMLS.A</t>
  </si>
  <si>
    <t>Air Travel: Seat Miles Demanded: Western Europe: Narrow Body Aircraft: Alternative Transportation</t>
  </si>
  <si>
    <t>AEO.2025.ALTTRNP.ECI_SMD_AIRT_NA_NA_NA_OCDEU_BLNMLS.A</t>
  </si>
  <si>
    <t>Air Travel: Seat Miles Demanded: Western Europe: Alternative Transportation</t>
  </si>
  <si>
    <t>AEO.2025.ALTTRNP.ECI_SMD_AIRT_REGJ_NA_NA_MAOOAS_BLNMLS.A</t>
  </si>
  <si>
    <t>Air Travel: Seat Miles Demanded: Mexico: Regional Jets: Alternative Transportation</t>
  </si>
  <si>
    <t>AEO.2025.ALTTRNP.ECI_SMD_AIRT_WBE_NA_NA_MAOOAS_BLNMLS.A</t>
  </si>
  <si>
    <t>Air Travel: Seat Miles Demanded: Mexico: Wide Body Aircraft: Alternative Transportation</t>
  </si>
  <si>
    <t>AEO.2025.ALTTRNP.ECI_SMD_AIRT_NBTR_NA_NA_MAOOAS_BLNMLS.A</t>
  </si>
  <si>
    <t>Air Travel: Seat Miles Demanded: Mexico: Narrow Body Aircraft: Alternative Transportation</t>
  </si>
  <si>
    <t>AEO.2025.ALTTRNP.ECI_SMD_AIRT_NA_NA_NA_MAOOAS_BLNMLS.A</t>
  </si>
  <si>
    <t>Air Travel: Seat Miles Demanded: Mexico: Alternative Transportation</t>
  </si>
  <si>
    <t>AEO.2025.ALTTRNP.ECI_SMD_AIRT_REGJ_NA_NA_CAN_BLNMLS.A</t>
  </si>
  <si>
    <t>Air Travel: Seat Miles Demanded: Canada: Regional Jets: Alternative Transportation</t>
  </si>
  <si>
    <t>AEO.2025.ALTTRNP.ECI_SMD_AIRT_WBE_NA_NA_CAN_BLNMLS.A</t>
  </si>
  <si>
    <t>Air Travel: Seat Miles Demanded: Canada: Wide Body Aircraft: Alternative Transportation</t>
  </si>
  <si>
    <t>AEO.2025.ALTTRNP.ECI_SMD_AIRT_NBTR_NA_NA_CAN_BLNMLS.A</t>
  </si>
  <si>
    <t>Air Travel: Seat Miles Demanded: Canada: Narrow Body Aircraft: Alternative Transportation</t>
  </si>
  <si>
    <t>AEO.2025.ALTTRNP.ECI_SMD_AIRT_NA_NA_NA_CAN_BLNMLS.A</t>
  </si>
  <si>
    <t>Air Travel: Seat Miles Demanded: Canada: Alternative Transportation</t>
  </si>
  <si>
    <t>AEO.2025.ALTTRNP.ECI_SMD_AIRT_REGJ_NA_NA_USA_BLNMLS.A</t>
  </si>
  <si>
    <t>Air Travel: Seat Miles Demanded: U.S.: Regional Jets: Alternative Transportation</t>
  </si>
  <si>
    <t>AEO.2025.ALTTRNP.ECI_SMD_AIRT_WBE_NA_NA_USA_BLNMLS.A</t>
  </si>
  <si>
    <t>Air Travel: Seat Miles Demanded: U.S.: Wide Body Aircraft: Alternative Transportation</t>
  </si>
  <si>
    <t>AEO.2025.ALTTRNP.ECI_SMD_AIRT_NBTR_NA_NA_USA_BLNMLS.A</t>
  </si>
  <si>
    <t>Air Travel: Seat Miles Demanded: U.S.: Narrow Body Aircraft: Alternative Transportation</t>
  </si>
  <si>
    <t>AEO.2025.ALTTRNP.ECI_SMD_AIRT_NA_NA_NA_USA_BLNMLS.A</t>
  </si>
  <si>
    <t>Air Travel: Seat Miles Demanded: U.S.: Alternative Transportation</t>
  </si>
  <si>
    <t>AEO.2025.ALTTRNP.ECI_RTM_AIRT_NA_NA_NA_WRLD_BLNMLS.A</t>
  </si>
  <si>
    <t>Air Travel: Travel Demand: Revenue Ton Miles: Freight: World: Alternative Transportation</t>
  </si>
  <si>
    <t>Air Travel: Travel Demand: Revenue Ton Miles: Freight: International World: Alternative Transportation</t>
  </si>
  <si>
    <t>Air Travel: Travel Demand: Revenue Ton Miles: Freight: Domestic World: Alternative Transportation</t>
  </si>
  <si>
    <t>AEO.2025.ALTTRNP.ECI_RTM_AIRT_NA_NA_NA_ONOAS_BLNMLS.A</t>
  </si>
  <si>
    <t>Air Travel: Travel Demand: Revenue Ton Miles: Freight: Other Americas: Alternative Transportation</t>
  </si>
  <si>
    <t>AEO.2025.ALTTRNP.ECI_RTM_AIRT_NA_NA_NA_BRZ_BLNMLS.A</t>
  </si>
  <si>
    <t>Air Travel: Travel Demand: Revenue Ton Miles: Freight: Brazil: Alternative Transportation</t>
  </si>
  <si>
    <t>AEO.2025.ALTTRNP.ECI_RTM_AIRT_NA_NA_NA_AFR_BLNMLS.A</t>
  </si>
  <si>
    <t>Air Travel: Travel Demand: Revenue Ton Miles: Freight: Africa: Alternative Transportation</t>
  </si>
  <si>
    <t>AEO.2025.ALTTRNP.ECI_RTM_AIRT_NA_NA_NA_MDE_BLNMLS.A</t>
  </si>
  <si>
    <t>Air Travel: Travel Demand: Revenue Ton Miles: Freight: Middle East: Alternative Transportation</t>
  </si>
  <si>
    <t>AEO.2025.ALTTRNP.ECI_RTM_AIRT_NA_NA_NA_ONCDAS_BLNMLS.A</t>
  </si>
  <si>
    <t>Air Travel: Travel Demand: Revenue Ton Miles: Freight: Other Asia Pacific: Alternative Transportation</t>
  </si>
  <si>
    <t>AEO.2025.ALTTRNP.ECI_RTM_AIRT_NA_NA_NA_IND_BLNMLS.A</t>
  </si>
  <si>
    <t>Air Travel: Travel Demand: Revenue Ton Miles: Freight: India: Alternative Transportation</t>
  </si>
  <si>
    <t>AEO.2025.ALTTRNP.ECI_RTM_AIRT_NA_NA_NA_CHN_BLNMLS.A</t>
  </si>
  <si>
    <t>Air Travel: Travel Demand: Revenue Ton Miles: Freight: China: Alternative Transportation</t>
  </si>
  <si>
    <t>AEO.2025.ALTTRNP.ECI_RTM_AIRT_NA_NA_NA_OEUAS_BLNMLS.A</t>
  </si>
  <si>
    <t>Air Travel: Travel Demand: Revenue Ton Miles: Freight: Eastern Europe and Eurasia: Alternative Transportation</t>
  </si>
  <si>
    <t>AEO.2025.ALTTRNP.ECI_RTM_AIRT_NA_NA_NA_RUS_BLNMLS.A</t>
  </si>
  <si>
    <t>Air Travel: Travel Demand: Revenue Ton Miles: Freight: Russia: Alternative Transportation</t>
  </si>
  <si>
    <t>AEO.2025.ALTTRNP.ECI_RTM_AIRT_NA_NA_NA_SOK_BLNMLS.A</t>
  </si>
  <si>
    <t>Air Travel: Travel Demand: Revenue Ton Miles: Freight: South Korea: Alternative Transportation</t>
  </si>
  <si>
    <t>AEO.2025.ALTTRNP.ECI_RTM_AIRT_NA_NA_NA_AUNZ_BLNMLS.A</t>
  </si>
  <si>
    <t>Air Travel: Travel Demand: Revenue Ton Miles: Freight: Australia and New Zealand: Alternative Transportation</t>
  </si>
  <si>
    <t>AEO.2025.ALTTRNP.ECI_RTM_AIRT_NA_NA_NA_JPN_BLNMLS.A</t>
  </si>
  <si>
    <t>Air Travel: Travel Demand: Revenue Ton Miles: Freight: Japan: Alternative Transportation</t>
  </si>
  <si>
    <t>AEO.2025.ALTTRNP.ECI_RTM_AIRT_NA_NA_NA_OCDEU_BLNMLS.A</t>
  </si>
  <si>
    <t>Air Travel: Travel Demand: Revenue Ton Miles: Freight: Western Europe: Alternative Transportation</t>
  </si>
  <si>
    <t>AEO.2025.ALTTRNP.ECI_RTM_AIRT_NA_NA_NA_MAOOAS_BLNMLS.A</t>
  </si>
  <si>
    <t>Air Travel: Travel Demand: Revenue Ton Miles: Freight: Mexico: Alternative Transportation</t>
  </si>
  <si>
    <t>AEO.2025.ALTTRNP.ECI_RTM_AIRT_NA_NA_NA_CAN_BLNMLS.A</t>
  </si>
  <si>
    <t>Air Travel: Travel Demand: Revenue Ton Miles: Freight: Canada: Alternative Transportation</t>
  </si>
  <si>
    <t>AEO.2025.ALTTRNP.ECI_RTM_AIRT_NA_NA_NA_USA_BLNMLS.A</t>
  </si>
  <si>
    <t>Air Travel: Travel Demand: Revenue Ton Miles: Freight: U.S.: Alternative Transportation</t>
  </si>
  <si>
    <t>AEO.2025.ALTTRNP.ECI_RPM_AIRT_INTA_NA_NA_WRLD_BLNMLS.A</t>
  </si>
  <si>
    <t>Air Travel: Travel Demand: Revenue Passenger Miles: World: Alternative Transportation</t>
  </si>
  <si>
    <t>Air Travel: Travel Demand: Revenue Passenger Miles: International World: Alternative Transportation</t>
  </si>
  <si>
    <t>AEO.2025.ALTTRNP.ECI_RPM_AIRT_INTA_NA_NA_ONOAS_BLNMLS.A</t>
  </si>
  <si>
    <t>Air Travel: Travel Demand: Revenue Passenger Miles: International Other Americas: Alternative Transportation</t>
  </si>
  <si>
    <t>AEO.2025.ALTTRNP.ECI_RPM_AIRT_INTA_NA_NA_BRZ_BLNMLS.A</t>
  </si>
  <si>
    <t>Air Travel: Travel Demand: Revenue Passenger Miles: International Brazil: Alternative Transportation</t>
  </si>
  <si>
    <t>AEO.2025.ALTTRNP.ECI_RPM_AIRT_INTA_NA_NA_AFR_BLNMLS.A</t>
  </si>
  <si>
    <t>Air Travel: Travel Demand: Revenue Passenger Miles: International Africa: Alternative Transportation</t>
  </si>
  <si>
    <t>AEO.2025.ALTTRNP.ECI_RPM_AIRT_INTA_NA_NA_MDE_BLNMLS.A</t>
  </si>
  <si>
    <t>Air Travel: Travel Demand: Revenue Passenger Miles: International Middle East: Alternative Transportation</t>
  </si>
  <si>
    <t>AEO.2025.ALTTRNP.ECI_RPM_AIRT_INTA_NA_NA_ONCDAS_BLNMLS.A</t>
  </si>
  <si>
    <t>Air Travel: Travel Demand: Revenue Passenger Miles: International Other Asia Pacific: Alternative Transportation</t>
  </si>
  <si>
    <t>AEO.2025.ALTTRNP.ECI_RPM_AIRT_INTA_NA_NA_IND_BLNMLS.A</t>
  </si>
  <si>
    <t>Air Travel: Travel Demand: Revenue Passenger Miles: International India: Alternative Transportation</t>
  </si>
  <si>
    <t>AEO.2025.ALTTRNP.ECI_RPM_AIRT_INTA_NA_NA_CHN_BLNMLS.A</t>
  </si>
  <si>
    <t>Air Travel: Travel Demand: Revenue Passenger Miles: International China: Alternative Transportation</t>
  </si>
  <si>
    <t>AEO.2025.ALTTRNP.ECI_RPM_AIRT_INTA_NA_NA_OEUAS_BLNMLS.A</t>
  </si>
  <si>
    <t>Air Travel: Travel Demand: Revenue Passenger Miles: International Eastern Europe and Eurasia: Alternative Transportation</t>
  </si>
  <si>
    <t>AEO.2025.ALTTRNP.ECI_RPM_AIRT_INTA_NA_NA_RUS_BLNMLS.A</t>
  </si>
  <si>
    <t>Air Travel: Travel Demand: Revenue Passenger Miles: International Russia: Alternative Transportation</t>
  </si>
  <si>
    <t>AEO.2025.ALTTRNP.ECI_RPM_AIRT_INTA_NA_NA_SOK_BLNMLS.A</t>
  </si>
  <si>
    <t>Air Travel: Travel Demand: Revenue Passenger Miles: International South Korea: Alternative Transportation</t>
  </si>
  <si>
    <t>AEO.2025.ALTTRNP.ECI_RPM_AIRT_INTA_NA_NA_AUNZ_BLNMLS.A</t>
  </si>
  <si>
    <t>Air Travel: Travel Demand: Revenue Passenger Miles: International Australia and New Zealand: Alternative Transportation</t>
  </si>
  <si>
    <t>AEO.2025.ALTTRNP.ECI_RPM_AIRT_INTA_NA_NA_JPN_BLNMLS.A</t>
  </si>
  <si>
    <t>Air Travel: Travel Demand: Revenue Passenger Miles: International Japan: Alternative Transportation</t>
  </si>
  <si>
    <t>AEO.2025.ALTTRNP.ECI_RPM_AIRT_INTA_NA_NA_OCDEU_BLNMLS.A</t>
  </si>
  <si>
    <t>Air Travel: Travel Demand: Revenue Passenger Miles: International Western Europe: Alternative Transportation</t>
  </si>
  <si>
    <t>AEO.2025.ALTTRNP.ECI_RPM_AIRT_INTA_NA_NA_MAOOAS_BLNMLS.A</t>
  </si>
  <si>
    <t>Air Travel: Travel Demand: Revenue Passenger Miles: International Mexico: Alternative Transportation</t>
  </si>
  <si>
    <t>AEO.2025.ALTTRNP.ECI_RPM_AIRT_INTA_NA_NA_CAN_BLNMLS.A</t>
  </si>
  <si>
    <t>Air Travel: Travel Demand: Revenue Passenger Miles: International Canada: Alternative Transportation</t>
  </si>
  <si>
    <t>AEO.2025.ALTTRNP.ECI_RPM_AIRT_INTA_NA_NA_USA_BLNMLS.A</t>
  </si>
  <si>
    <t>Air Travel: Travel Demand: Revenue Passenger Miles: International U.S.: Alternative Transportation</t>
  </si>
  <si>
    <t>AEO.2025.ALTTRNP.ECI_RPM_AIRT_DMS_NA_NA_WRLD_BLNMLS.A</t>
  </si>
  <si>
    <t>Air Travel: Travel Demand: Revenue Passenger Miles: Domestic: World: Alternative Transportation</t>
  </si>
  <si>
    <t>AEO.2025.ALTTRNP.ECI_RPM_AIRT_DMS_NA_NA_ONOAS_BLNMLS.A</t>
  </si>
  <si>
    <t>Air Travel: Travel Demand: Revenue Passenger Miles: Domestic: Other Americas: Alternative Transportation</t>
  </si>
  <si>
    <t>AEO.2025.ALTTRNP.ECI_RPM_AIRT_DMS_NA_NA_BRZ_BLNMLS.A</t>
  </si>
  <si>
    <t>Air Travel: Travel Demand: Revenue Passenger Miles: Domestic: Brazil: Alternative Transportation</t>
  </si>
  <si>
    <t>AEO.2025.ALTTRNP.ECI_RPM_AIRT_DMS_NA_NA_AFR_BLNMLS.A</t>
  </si>
  <si>
    <t>Air Travel: Travel Demand: Revenue Passenger Miles: Domestic: Africa: Alternative Transportation</t>
  </si>
  <si>
    <t>AEO.2025.ALTTRNP.ECI_RPM_AIRT_DMS_NA_NA_MDE_BLNMLS.A</t>
  </si>
  <si>
    <t>Air Travel: Travel Demand: Revenue Passenger Miles: Domestic: Middle East: Alternative Transportation</t>
  </si>
  <si>
    <t>AEO.2025.ALTTRNP.ECI_RPM_AIRT_DMS_NA_NA_ONCDAS_BLNMLS.A</t>
  </si>
  <si>
    <t>Air Travel: Travel Demand: Revenue Passenger Miles: Domestic: Other Asia Pacific: Alternative Transportation</t>
  </si>
  <si>
    <t>AEO.2025.ALTTRNP.ECI_RPM_AIRT_DMS_NA_NA_IND_BLNMLS.A</t>
  </si>
  <si>
    <t>Air Travel: Travel Demand: Revenue Passenger Miles: Domestic: India: Alternative Transportation</t>
  </si>
  <si>
    <t>AEO.2025.ALTTRNP.ECI_RPM_AIRT_DMS_NA_NA_CHN_BLNMLS.A</t>
  </si>
  <si>
    <t>Air Travel: Travel Demand: Revenue Passenger Miles: Domestic: China: Alternative Transportation</t>
  </si>
  <si>
    <t>AEO.2025.ALTTRNP.ECI_RPM_AIRT_DMS_NA_NA_OEUAS_BLNMLS.A</t>
  </si>
  <si>
    <t>Air Travel: Travel Demand: Revenue Passenger Miles: Domestic: Eastern Europe and Eurasia: Alternative Transportation</t>
  </si>
  <si>
    <t>AEO.2025.ALTTRNP.ECI_RPM_AIRT_DMS_NA_NA_RUS_BLNMLS.A</t>
  </si>
  <si>
    <t>Air Travel: Travel Demand: Revenue Passenger Miles: Domestic: Russia: Alternative Transportation</t>
  </si>
  <si>
    <t>AEO.2025.ALTTRNP.ECI_RPM_AIRT_DMS_NA_NA_SOK_BLNMLS.A</t>
  </si>
  <si>
    <t>Air Travel: Travel Demand: Revenue Passenger Miles: Domestic: South Korea: Alternative Transportation</t>
  </si>
  <si>
    <t>AEO.2025.ALTTRNP.ECI_RPM_AIRT_DMS_NA_NA_AUNZ_BLNMLS.A</t>
  </si>
  <si>
    <t>Air Travel: Travel Demand: Revenue Passenger Miles: Domestic: Australia and New Zealand: Alternative Transportation</t>
  </si>
  <si>
    <t>AEO.2025.ALTTRNP.ECI_RPM_AIRT_DMS_NA_NA_JPN_BLNMLS.A</t>
  </si>
  <si>
    <t>Air Travel: Travel Demand: Revenue Passenger Miles: Domestic: Japan: Alternative Transportation</t>
  </si>
  <si>
    <t>AEO.2025.ALTTRNP.ECI_RPM_AIRT_DMS_NA_NA_OCDEU_BLNMLS.A</t>
  </si>
  <si>
    <t>Air Travel: Travel Demand: Revenue Passenger Miles: Domestic: Western Europe: Alternative Transportation</t>
  </si>
  <si>
    <t>AEO.2025.ALTTRNP.ECI_RPM_AIRT_DMS_NA_NA_MAOOAS_BLNMLS.A</t>
  </si>
  <si>
    <t>Air Travel: Travel Demand: Revenue Passenger Miles: Domestic: Mexico: Alternative Transportation</t>
  </si>
  <si>
    <t>AEO.2025.ALTTRNP.ECI_RPM_AIRT_DMS_NA_NA_CAN_BLNMLS.A</t>
  </si>
  <si>
    <t>Air Travel: Travel Demand: Revenue Passenger Miles: Domestic: Canada: Alternative Transportation</t>
  </si>
  <si>
    <t>AEO.2025.ALTTRNP.ECI_RPM_AIRT_DMS_NA_NA_USA_BLNMLS.A</t>
  </si>
  <si>
    <t>Air Travel: Travel Demand: Revenue Passenger Miles: Domestic: U.S.: Alternative Transportation</t>
  </si>
  <si>
    <t>AEO.2025.ALTTRNP.ECI_POP_NA_NA_NA_NA_ONOAS_MILL.A</t>
  </si>
  <si>
    <t>Air Travel: Drivers: Population: Other Americas: Alternative Transportation</t>
  </si>
  <si>
    <t>AEO.2025.ALTTRNP.ECI_POP_NA_NA_NA_NA_BRZ_MILL.A</t>
  </si>
  <si>
    <t>Air Travel: Drivers: Population: Brazil: Alternative Transportation</t>
  </si>
  <si>
    <t>AEO.2025.ALTTRNP.ECI_POP_NA_NA_NA_NA_AFR_MILL.A</t>
  </si>
  <si>
    <t>Air Travel: Drivers: Population: Africa: Alternative Transportation</t>
  </si>
  <si>
    <t>AEO.2025.ALTTRNP.ECI_POP_NA_NA_NA_NA_MDE_MILL.A</t>
  </si>
  <si>
    <t>Air Travel: Drivers: Population: Middle East: Alternative Transportation</t>
  </si>
  <si>
    <t>AEO.2025.ALTTRNP.ECI_POP_NA_NA_NA_NA_ONCDAS_MILL.A</t>
  </si>
  <si>
    <t>Air Travel: Drivers: Population: Other Asia Pacific: Alternative Transportation</t>
  </si>
  <si>
    <t>AEO.2025.ALTTRNP.ECI_POP_NA_NA_NA_NA_IND_MILL.A</t>
  </si>
  <si>
    <t>Air Travel: Drivers: Population: India: Alternative Transportation</t>
  </si>
  <si>
    <t>AEO.2025.ALTTRNP.ECI_POP_NA_NA_NA_NA_CHN_MILL.A</t>
  </si>
  <si>
    <t>Air Travel: Drivers: Population: China: Alternative Transportation</t>
  </si>
  <si>
    <t>AEO.2025.ALTTRNP.ECI_POP_NA_NA_NA_NA_OEUAS_MILL.A</t>
  </si>
  <si>
    <t>Air Travel: Drivers: Population: Eastern Europe and Eurasia: Alternative Transportation</t>
  </si>
  <si>
    <t>AEO.2025.ALTTRNP.ECI_POP_NA_NA_NA_NA_RUS_MILL.A</t>
  </si>
  <si>
    <t>Air Travel: Drivers: Population: Russia: Alternative Transportation</t>
  </si>
  <si>
    <t>AEO.2025.ALTTRNP.ECI_POP_NA_NA_NA_NA_SOK_MILL.A</t>
  </si>
  <si>
    <t>Air Travel: Drivers: Population: South Korea: Alternative Transportation</t>
  </si>
  <si>
    <t>AEO.2025.ALTTRNP.ECI_POP_NA_NA_NA_NA_AUNZ_MILL.A</t>
  </si>
  <si>
    <t>Air Travel: Drivers: Population: Australia and New Zealand: Alternative Transportation</t>
  </si>
  <si>
    <t>AEO.2025.ALTTRNP.ECI_POP_NA_NA_NA_NA_JPN_MILL.A</t>
  </si>
  <si>
    <t>Air Travel: Drivers: Population: Japan: Alternative Transportation</t>
  </si>
  <si>
    <t>AEO.2025.ALTTRNP.ECI_POP_NA_NA_NA_NA_OCDEU_MILL.A</t>
  </si>
  <si>
    <t>Air Travel: Drivers: Population: Western Europe: Alternative Transportation</t>
  </si>
  <si>
    <t>AEO.2025.ALTTRNP.ECI_POP_NA_NA_NA_NA_MAOOAS_MILL.A</t>
  </si>
  <si>
    <t>Air Travel: Drivers: Population: Mexico: Alternative Transportation</t>
  </si>
  <si>
    <t>AEO.2025.ALTTRNP.ECI_POP_NA_NA_NA_NA_CAN_MILL.A</t>
  </si>
  <si>
    <t>Air Travel: Drivers: Population: Canada: Alternative Transportation</t>
  </si>
  <si>
    <t>AEO.2025.ALTTRNP.ECI_POP_NA_NA_NA_NA_USA_MILL.A</t>
  </si>
  <si>
    <t>Air Travel: Drivers: Population: U.S.: Alternative Transportation</t>
  </si>
  <si>
    <t>AEO.2025.ALTTRNP.CAP_LDFAC_AIRT_INTA_NA_NA_NA_FRAC.A</t>
  </si>
  <si>
    <t>Air Travel: Load Factor: U.S. International: Alternative Transportation</t>
  </si>
  <si>
    <t>AEO.2025.ALTTRNP.CAP_LDFAC_AIRT_DMS_NA_NA_NA_FRAC.A</t>
  </si>
  <si>
    <t>Air Travel: Load Factor: U.S. Domestic: Alternative Transportation</t>
  </si>
  <si>
    <t>AEO.2025.ALTTRNP.PRCE_FUL_AIRT_NA_NA_NA_NA_87DLRPMBTU.A</t>
  </si>
  <si>
    <t>Air Travel: Fuel Cost: Alternative Transportation</t>
  </si>
  <si>
    <t>Fuel Cost (1987 dollars per MMBtu)</t>
  </si>
  <si>
    <t>Fri Dec 05 2025 14:51:22 GMT-0800 (Pacific Standard Time)</t>
  </si>
  <si>
    <t>https://www.eia.gov/outlooks/aeo/data/browser/#/?id=57-AEO2025&amp;cases=alttrnp&amp;sourcekey=0</t>
  </si>
  <si>
    <t>AEO.2025.ALTTRNP.CNSM_NA_TRN_INTS_LNG_NA_NA_TRLBTU.A</t>
  </si>
  <si>
    <t>Freight: International Shipping: Fuel Use: LNG: Alternative Transportation</t>
  </si>
  <si>
    <t>AEO.2025.ALTTRNP.CNSM_NA_TRN_INTS_CNG_NA_NA_TRLBTU.A</t>
  </si>
  <si>
    <t>Freight: International Shipping: Fuel Use: CNG: Alternative Transportation</t>
  </si>
  <si>
    <t>AEO.2025.ALTTRNP.CNSM_NA_TRN_INTS_RFO_NA_NA_TRLBTU.A</t>
  </si>
  <si>
    <t>Freight: International Shipping: Fuel Use: Residual Fuel Oil: Alternative Transportation</t>
  </si>
  <si>
    <t>AEO.2025.ALTTRNP.CNSM_NA_TRN_INTS_DFO_NA_NA_TRLBTU.A</t>
  </si>
  <si>
    <t>Freight: International Shipping: Fuel Use: Distillate Fuel Oil: Alternative Transportation</t>
  </si>
  <si>
    <t>AEO.2025.ALTTRNP.ECI_IMP_TRN_INTS_NA_NA_NA_BLNY09DLR.A</t>
  </si>
  <si>
    <t>Freight: International Shipping: Imports: Alternative Transportation</t>
  </si>
  <si>
    <t>AEO.2025.ALTTRNP.ECI_EXPT_TRN_INTS_NA_NA_NA_BLNY09DLR.A</t>
  </si>
  <si>
    <t>Freight: International Shipping: Exports: Alternative Transportation</t>
  </si>
  <si>
    <t>AEO.2025.ALTTRNP.ECI_UGHT_TRN_INTS_NA_NA_NA_BLNY09DLR.A</t>
  </si>
  <si>
    <t>Freight: International Shipping: Gross Trade: Alternative Transportation</t>
  </si>
  <si>
    <t>AEO.2025.ALTTRNP.CNSM_NA_TRN_DMT_LNG_NA_NA_TRLBTU.A</t>
  </si>
  <si>
    <t>Freight: Domestic Shipping: Fuel Use: LNG: Alternative Transportation</t>
  </si>
  <si>
    <t>AEO.2025.ALTTRNP.CNSM_NA_TRN_DMT_CNG_NA_NA_TRLBTU.A</t>
  </si>
  <si>
    <t>Freight: Domestic Shipping: Fuel Use: CNG: Alternative Transportation</t>
  </si>
  <si>
    <t>AEO.2025.ALTTRNP.CNSM_NA_TRN_DMT_RFO_NA_NA_TRLBTU.A</t>
  </si>
  <si>
    <t>Freight: Domestic Shipping: Fuel Use: Residual Fuel Oil: Alternative Transportation</t>
  </si>
  <si>
    <t>AEO.2025.ALTTRNP.CNSM_NA_TRN_DMT_DFO_NA_NA_TRLBTU.A</t>
  </si>
  <si>
    <t>Freight: Domestic Shipping: Fuel Use: Distillate Fuel Oil: Alternative Transportation</t>
  </si>
  <si>
    <t>ton miles/thousand Btu</t>
  </si>
  <si>
    <t>AEO.2025.ALTTRNP.EFI_NA_TRN_DMT_NA_NA_NA_TONMLPTHBTU.A</t>
  </si>
  <si>
    <t>Freight: Domestic Shipping: Fuel Efficiency: Alternative Transportation</t>
  </si>
  <si>
    <t>AEO.2025.ALTTRNP.ECI_FTM_TRN_DMT_NA_NA_NA_BLN.A</t>
  </si>
  <si>
    <t>Freight: Domestic Shipping: Ton Miles Shipping: Alternative Transportation</t>
  </si>
  <si>
    <t>AEO.2025.ALTTRNP.CNSM_NA_TRN_RAIL_LNG_NA_NA_TRLBTU.A</t>
  </si>
  <si>
    <t>Freight: Railroads: Fuel Use: LNG: Alternative Transportation</t>
  </si>
  <si>
    <t>AEO.2025.ALTTRNP.CNSM_NA_TRN_RAIL_CNG_NA_NA_TRLBTU.A</t>
  </si>
  <si>
    <t>Freight: Railroads: Fuel Use: CNG: Alternative Transportation</t>
  </si>
  <si>
    <t>AEO.2025.ALTTRNP.CNSM_NA_TRN_RAIL_RFO_NA_NA_TRLBTU.A</t>
  </si>
  <si>
    <t>Freight: Railroads: Fuel Use: Residual Fuel Oil: Alternative Transportation</t>
  </si>
  <si>
    <t>AEO.2025.ALTTRNP.CNSM_NA_TRN_RAIL_DFO_NA_NA_TRLBTU.A</t>
  </si>
  <si>
    <t>Freight: Railroads: Fuel Use: Distillate Fuel Oil: Alternative Transportation</t>
  </si>
  <si>
    <t>AEO.2025.ALTTRNP.EFI_NA_TRN_RAIL_NA_NA_NA_TONMLPTHBTU.A</t>
  </si>
  <si>
    <t>Freight: Railroads: Fuel Efficiency: Alternative Transportation</t>
  </si>
  <si>
    <t>AEO.2025.ALTTRNP.ECI_FTM_TRN_RAIL_NA_NA_NA_BLN.A</t>
  </si>
  <si>
    <t>Freight: Railroads: Ton Miles by Rail: Alternative Transportation</t>
  </si>
  <si>
    <t>AEO.2025.ALTTRNP.ECI_SAL_FGHT_NA_NA_NA_NA_TH.A</t>
  </si>
  <si>
    <t>Freight: New Trucks: Sales: Alternative Transportation</t>
  </si>
  <si>
    <t>AEO.2025.ALTTRNP.ECI_SAL_FGHT_RAD_NA_NA_NA_TH.A</t>
  </si>
  <si>
    <t>Freight: New Trucks: Sales: Heavy: Alternative Transportation</t>
  </si>
  <si>
    <t>AEO.2025.ALTTRNP.ECI_SAL_FGHT_RAD_HYDICE_NA_NA_MPGDSEQ.A</t>
  </si>
  <si>
    <t>Freight: New Trucks: Sales: Heavy: Hydrogen ICE: Alternative Transportation</t>
  </si>
  <si>
    <t>AEO.2025.ALTTRNP.ECI_SAL_FGHT_RAD_GASHEV_NA_NA_MPGGASEQ.A</t>
  </si>
  <si>
    <t>Freight: New Trucks: Sales: Heavy: Gasoline Hybrid: Alternative Transportation</t>
  </si>
  <si>
    <t>AEO.2025.ALTTRNP.ECI_SAL_FGHT_RAD_FEUCELBATDOM_NA_NA_MPGDSEQ.A</t>
  </si>
  <si>
    <t>Freight: New Trucks: Sales: Heavy: Fuel Cell Battery Dominant: Alternative Transportation</t>
  </si>
  <si>
    <t>AEO.2025.ALTTRNP.ECI_SAL_FGHT_RAD_FUC_NA_NA_TH.A</t>
  </si>
  <si>
    <t>Freight: New Trucks: Sales: Heavy: Fuel Cell: Alternative Transportation</t>
  </si>
  <si>
    <t>AEO.2025.ALTTRNP.ECI_SAL_FGHT_RAD_EGH_NA_NA_TH.A</t>
  </si>
  <si>
    <t>Freight: New Trucks: Sales: Heavy: Plug-in Gasoline Hybrid: Alternative Transportation</t>
  </si>
  <si>
    <t>AEO.2025.ALTTRNP.ECI_SAL_FGHT_RAD_EDH_NA_NA_TH.A</t>
  </si>
  <si>
    <t>Freight: New Trucks: Sales: Heavy: Plug-in Diesel Hybrid: Alternative Transportation</t>
  </si>
  <si>
    <t>AEO.2025.ALTTRNP.ECI_SAL_FGHT_RAD_ELE_NA_NA_TH.A</t>
  </si>
  <si>
    <t>Freight: New Trucks: Sales: Heavy: Electric: Alternative Transportation</t>
  </si>
  <si>
    <t>AEO.2025.ALTTRNP.ECI_SAL_FGHT_RAD_EFFI_NA_NA_TH.A</t>
  </si>
  <si>
    <t>Freight: New Trucks: Sales: Heavy: Ethanol-Flex Fuel: Alternative Transportation</t>
  </si>
  <si>
    <t>AEO.2025.ALTTRNP.ECI_SAL_FGHT_RAD_NG_NA_NA_TH.A</t>
  </si>
  <si>
    <t>Freight: New Trucks: Sales: Heavy: Natural Gas: Alternative Transportation</t>
  </si>
  <si>
    <t>AEO.2025.ALTTRNP.ECI_SAL_FGHT_RAD_PROP_NA_NA_TH.A</t>
  </si>
  <si>
    <t>Freight: New Trucks: Sales: Heavy: Propane: Alternative Transportation</t>
  </si>
  <si>
    <t>AEO.2025.ALTTRNP.ECI_SAL_FGHT_RAD_MGS_NA_NA_TH.A</t>
  </si>
  <si>
    <t>Freight: New Trucks: Sales: Heavy: Motor Gasoline: Alternative Transportation</t>
  </si>
  <si>
    <t>AEO.2025.ALTTRNP.ECI_SAL_FGHT_RAD_DSL_NA_NA_TH.A</t>
  </si>
  <si>
    <t>Freight: New Trucks: Sales: Heavy: Diesel: Alternative Transportation</t>
  </si>
  <si>
    <t>AEO.2025.ALTTRNP.ECI_SAL_FGHT_SOSO_NA_NA_NA_TH.A</t>
  </si>
  <si>
    <t>Freight: New Trucks: Sales: Medium: Alternative Transportation</t>
  </si>
  <si>
    <t>AEO.2025.ALTTRNP.ECI_SAL_FGHT_SOSO_HYDICE_NA_NA_MPGDSEQ.A</t>
  </si>
  <si>
    <t>Freight: New Trucks: Sales: Medium: Hydrogen ICE: Alternative Transportation</t>
  </si>
  <si>
    <t>AEO.2025.ALTTRNP.ECI_SAL_FGHT_SOSO_GASHEV_NA_NA_MPGGASEQ.A</t>
  </si>
  <si>
    <t>Freight: New Trucks: Sales: Medium: Gasoline Hybrid: Alternative Transportation</t>
  </si>
  <si>
    <t>AEO.2025.ALTTRNP.ECI_SAL_FGHT_SOSO_FEUCELBATDOM_NA_NA_MPGDSEQ.A</t>
  </si>
  <si>
    <t>Freight: New Trucks: Sales: Medium: Fuel Cell Battery Dominant: Alternative Transportation</t>
  </si>
  <si>
    <t>AEO.2025.ALTTRNP.ECI_SAL_FGHT_SOSO_FUC_NA_NA_TH.A</t>
  </si>
  <si>
    <t>Freight: New Trucks: Sales: Medium: Fuel Cell: Alternative Transportation</t>
  </si>
  <si>
    <t>AEO.2025.ALTTRNP.ECI_SAL_FGHT_SOSO_EGH_NA_NA_TH.A</t>
  </si>
  <si>
    <t>Freight: New Trucks: Sales: Medium: Plug-in Gasoline Hybrid: Alternative Transportation</t>
  </si>
  <si>
    <t>AEO.2025.ALTTRNP.ECI_SAL_FGHT_SOSO_EDH_NA_NA_TH.A</t>
  </si>
  <si>
    <t>Freight: New Trucks: Sales: Medium: Plug-in Diesel Hybrid: Alternative Transportation</t>
  </si>
  <si>
    <t>AEO.2025.ALTTRNP.ECI_SAL_FGHT_SOSO_ELE_NA_NA_TH.A</t>
  </si>
  <si>
    <t>Freight: New Trucks: Sales: Medium: Electric: Alternative Transportation</t>
  </si>
  <si>
    <t>AEO.2025.ALTTRNP.ECI_SAL_FGHT_SOSO_EFFI_NA_NA_TH.A</t>
  </si>
  <si>
    <t>Freight: New Trucks: Sales: Medium: Ethanol-Flex Fuel: Alternative Transportation</t>
  </si>
  <si>
    <t>AEO.2025.ALTTRNP.ECI_SAL_FGHT_SOSO_NG_NA_NA_TH.A</t>
  </si>
  <si>
    <t>Freight: New Trucks: Sales: Medium: Natural Gas: Alternative Transportation</t>
  </si>
  <si>
    <t>AEO.2025.ALTTRNP.ECI_SAL_FGHT_SOSO_PROP_NA_NA_TH.A</t>
  </si>
  <si>
    <t>Freight: New Trucks: Sales: Medium: Propane: Alternative Transportation</t>
  </si>
  <si>
    <t>AEO.2025.ALTTRNP.ECI_SAL_FGHT_SOSO_MGS_NA_NA_TH.A</t>
  </si>
  <si>
    <t>Freight: New Trucks: Sales: Medium: Motor Gasoline: Alternative Transportation</t>
  </si>
  <si>
    <t>AEO.2025.ALTTRNP.ECI_SAL_FGHT_SOSO_DSL_NA_NA_TH.A</t>
  </si>
  <si>
    <t>Freight: New Trucks: Sales: Medium: Diesel: Alternative Transportation</t>
  </si>
  <si>
    <t>AEO.2025.ALTTRNP.ECI_SAL_FGHT_LITEMED_NA_NA_NA_TH.A</t>
  </si>
  <si>
    <t>Freight: New Trucks: Sales: Light Medium: Alternative Transportation</t>
  </si>
  <si>
    <t>AEO.2025.ALTTRNP.ECI_SAL_FGHT_LITEMED_HYDICE_NA_NA_MPGDSEQ.A</t>
  </si>
  <si>
    <t>Freight: New Trucks: Sales: Light Medium: Hydrogen ICE: Alternative Transportation</t>
  </si>
  <si>
    <t>AEO.2025.ALTTRNP.ECI_SAL_FGHT_LITEMED_GASHEV_NA_NA_MPGGASEQ.A</t>
  </si>
  <si>
    <t>Freight: New Trucks: Sales: Light Medium: Gasoline Hybrid: Alternative Transportation</t>
  </si>
  <si>
    <t>AEO.2025.ALTTRNP.ECI_SAL_FGHT_LITEMED_FEUCELBATDOM_NA_NA_MPGDSEQ.A</t>
  </si>
  <si>
    <t>Freight: New Trucks: Sales: Light Medium: Fuel Cell Battery Dominant: Alternative Transportation</t>
  </si>
  <si>
    <t>AEO.2025.ALTTRNP.ECI_SAL_FGHT_LITEMED_FUC_NA_NA_TH.A</t>
  </si>
  <si>
    <t>Freight: New Trucks: Sales: Light Medium: Fuel Cell: Alternative Transportation</t>
  </si>
  <si>
    <t>AEO.2025.ALTTRNP.ECI_SAL_FGHT_LITEMED_EGH_NA_NA_TH.A</t>
  </si>
  <si>
    <t>Freight: New Trucks: Sales: Light Medium: Plug-in Gasoline Hybrid: Alternative Transportation</t>
  </si>
  <si>
    <t>AEO.2025.ALTTRNP.ECI_SAL_FGHT_LITEMED_EDH_NA_NA_TH.A</t>
  </si>
  <si>
    <t>Freight: New Trucks: Sales: Light Medium: Plug-in Diesel Hybrid: Alternative Transportation</t>
  </si>
  <si>
    <t>AEO.2025.ALTTRNP.ECI_SAL_FGHT_LITEMED_ELE_NA_NA_TH.A</t>
  </si>
  <si>
    <t>Freight: New Trucks: Sales: Light Medium: Electric: Alternative Transportation</t>
  </si>
  <si>
    <t>AEO.2025.ALTTRNP.ECI_SAL_FGHT_LITEMED_EFFI_NA_NA_TH.A</t>
  </si>
  <si>
    <t>Freight: New Trucks: Sales: Light Medium: Ethanol-Flex Fuel: Alternative Transportation</t>
  </si>
  <si>
    <t>AEO.2025.ALTTRNP.ECI_SAL_FGHT_LITEMED_NG_NA_NA_TH.A</t>
  </si>
  <si>
    <t>Freight: New Trucks: Sales: Light Medium: Natural Gas: Alternative Transportation</t>
  </si>
  <si>
    <t>AEO.2025.ALTTRNP.ECI_SAL_FGHT_LITEMED_PROP_NA_NA_TH.A</t>
  </si>
  <si>
    <t>Freight: New Trucks: Sales: Light Medium: Propane: Alternative Transportation</t>
  </si>
  <si>
    <t>AEO.2025.ALTTRNP.ECI_SAL_FGHT_LITEMED_MGS_NA_NA_TH.A</t>
  </si>
  <si>
    <t>Freight: New Trucks: Sales: Light Medium: Motor Gasoline: Alternative Transportation</t>
  </si>
  <si>
    <t>AEO.2025.ALTTRNP.ECI_SAL_FGHT_LITEMED_DSL_NA_NA_TH.A</t>
  </si>
  <si>
    <t>Freight: New Trucks: Sales: Light Medium: Diesel: Alternative Transportation</t>
  </si>
  <si>
    <t>AEO.2025.ALTTRNP.EFI_NA_FGHT_NEW_NA_NA_NA_NA.A</t>
  </si>
  <si>
    <t>Freight: New Trucks: Fuel Efficiency: Alternative Transportation</t>
  </si>
  <si>
    <t>AEO.2025.ALTTRNP.EFI_NA_FGHT_RADN_NA_NA_NA_NA.A</t>
  </si>
  <si>
    <t>Freight: New Trucks: Fuel Efficiency: Heavy: Average: Alternative Transportation</t>
  </si>
  <si>
    <t>AEO.2025.ALTTRNP.EFI_NA_FGHT_RADN_HYDICE_NA_NA_MPGDSEQ.A</t>
  </si>
  <si>
    <t>Freight: New Trucks: Fuel Efficiency: Heavy: Hydrogen ICE: Alternative Transportation</t>
  </si>
  <si>
    <t>AEO.2025.ALTTRNP.EFI_NA_FGHT_RADN_GASHEV_NA_NA_MPGGASEQ.A</t>
  </si>
  <si>
    <t>Freight: New Trucks: Fuel Efficiency: Heavy: Gasoline Hybrid: Alternative Transportation</t>
  </si>
  <si>
    <t>AEO.2025.ALTTRNP.EFI_NA_FGHT_RADN_FEUCELBATDOM_NA_NA_MPGDSEQ.A</t>
  </si>
  <si>
    <t>Freight: New Trucks: Fuel Efficiency: Heavy: Fuel Cell Battery Dominant: Alternative Transportation</t>
  </si>
  <si>
    <t>AEO.2025.ALTTRNP.EFI_NA_FGHT_RADN_FUC_NA_NA_MPGDSEQ.A</t>
  </si>
  <si>
    <t>Freight: New Trucks: Fuel Efficiency: Heavy: Fuel Cell: Alternative Transportation</t>
  </si>
  <si>
    <t>AEO.2025.ALTTRNP.EFI_NA_FGHT_RADN_EGH_NA_NA_MPGGASEQ.A</t>
  </si>
  <si>
    <t>Freight: New Trucks: Fuel Efficiency: Heavy: Plug-in Gasoline Hybrid: Alternative Transportation</t>
  </si>
  <si>
    <t>AEO.2025.ALTTRNP.EFI_NA_FGHT_RADN_EDH_NA_NA_MPGDSEQ.A</t>
  </si>
  <si>
    <t>Freight: New Trucks: Fuel Efficiency: Heavy: Plug-in Diesel Hybrid: Alternative Transportation</t>
  </si>
  <si>
    <t>AEO.2025.ALTTRNP.EFI_NA_FGHT_RADN_ELE_NA_NA_MPGDSEQ.A</t>
  </si>
  <si>
    <t>Freight: New Trucks: Fuel Efficiency: Heavy: Electric: Alternative Transportation</t>
  </si>
  <si>
    <t>AEO.2025.ALTTRNP.EFI_NA_FGHT_RADN_EFFI_NA_NA_MPGGASEQ.A</t>
  </si>
  <si>
    <t>Freight: New Trucks: Fuel Efficiency: Heavy: Ethanol-Flex Fuel: Alternative Transportation</t>
  </si>
  <si>
    <t>AEO.2025.ALTTRNP.EFI_NA_FGHT_RADN_NG_NA_NA_MPGDSEQ.A</t>
  </si>
  <si>
    <t>Freight: New Trucks: Fuel Efficiency: Heavy: Natural Gas: Alternative Transportation</t>
  </si>
  <si>
    <t>AEO.2025.ALTTRNP.EFI_NA_FGHT_RADN_PROP_NA_NA_MPGGASEQ.A</t>
  </si>
  <si>
    <t>Freight: New Trucks: Fuel Efficiency: Heavy: Propane: Alternative Transportation</t>
  </si>
  <si>
    <t>AEO.2025.ALTTRNP.EFI_NA_FGHT_RADN_MGS_NA_NA_MPGGASEQ.A</t>
  </si>
  <si>
    <t>Freight: New Trucks: Fuel Efficiency: Heavy: Motor Gasoline: Alternative Transportation</t>
  </si>
  <si>
    <t>AEO.2025.ALTTRNP.EFI_NA_FGHT_RADN_DSL_NA_NA_MPGDSEQ.A</t>
  </si>
  <si>
    <t>Freight: New Trucks: Fuel Efficiency: Heavy: Diesel: Alternative Transportation</t>
  </si>
  <si>
    <t>AEO.2025.ALTTRNP.EFI_NA_FGHT_SOSON_NA_NA_NA_NA.A</t>
  </si>
  <si>
    <t>Freight: New Trucks: Fuel Efficiency: Medium: Average: Alternative Transportation</t>
  </si>
  <si>
    <t>AEO.2025.ALTTRNP.EFI_NA_FGHT_SOSON_HYDICE_NA_NA_MPGDSEQ.A</t>
  </si>
  <si>
    <t>Freight: New Trucks: Fuel Efficiency: Medium: Hydrogen ICE: Alternative Transportation</t>
  </si>
  <si>
    <t>AEO.2025.ALTTRNP.EFI_NA_FGHT_SOSON_GASHEV_NA_NA_MPGGASEQ.A</t>
  </si>
  <si>
    <t>Freight: New Trucks: Fuel Efficiency: Medium: Gasoline Hybrid: Alternative Transportation</t>
  </si>
  <si>
    <t>AEO.2025.ALTTRNP.EFI_NA_FGHT_SOSON_FEUCELBATDOM_NA_NA_MPGDSEQ.A</t>
  </si>
  <si>
    <t>Freight: New Trucks: Fuel Efficiency: Medium: Fuel Cell Battery Dominant: Alternative Transportation</t>
  </si>
  <si>
    <t>AEO.2025.ALTTRNP.EFI_NA_FGHT_SOSON_FUC_NA_NA_MPGGASEQ.A</t>
  </si>
  <si>
    <t>Freight: New Trucks: Fuel Efficiency: Medium: Fuel Cell: Alternative Transportation</t>
  </si>
  <si>
    <t>AEO.2025.ALTTRNP.EFI_NA_FGHT_SOSON_EGH_NA_NA_MPGGASEQ.A</t>
  </si>
  <si>
    <t>Freight: New Trucks: Fuel Efficiency: Medium: Plug-in Gasoline Hybrid: Alternative Transportation</t>
  </si>
  <si>
    <t>AEO.2025.ALTTRNP.EFI_NA_FGHT_SOSON_EDH_NA_NA_MPGGASEQ.A</t>
  </si>
  <si>
    <t>Freight: New Trucks: Fuel Efficiency: Medium: Plug-in Diesel Hybrid: Alternative Transportation</t>
  </si>
  <si>
    <t>AEO.2025.ALTTRNP.EFI_NA_FGHT_SOSON_ELE_NA_NA_MPGGASEQ.A</t>
  </si>
  <si>
    <t>Freight: New Trucks: Fuel Efficiency: Medium: Electric: Alternative Transportation</t>
  </si>
  <si>
    <t>AEO.2025.ALTTRNP.EFI_NA_FGHT_SOSON_EFFI_NA_NA_MPG.A</t>
  </si>
  <si>
    <t>Freight: New Trucks: Fuel Efficiency: Medium: Ethanol-Flex Fuel: Alternative Transportation</t>
  </si>
  <si>
    <t>AEO.2025.ALTTRNP.EFI_NA_FGHT_SOSON_NG_NA_NA_MPGGASEQ.A</t>
  </si>
  <si>
    <t>Freight: New Trucks: Fuel Efficiency: Medium: Natural Gas: Alternative Transportation</t>
  </si>
  <si>
    <t>AEO.2025.ALTTRNP.EFI_NA_FGHT_SOSON_PROP_NA_NA_MPGGASEQ.A</t>
  </si>
  <si>
    <t>Freight: New Trucks: Fuel Efficiency: Medium: Propane: Alternative Transportation</t>
  </si>
  <si>
    <t>AEO.2025.ALTTRNP.EFI_NA_FGHT_SOSON_MGS_NA_NA_MPGGASEQ.A</t>
  </si>
  <si>
    <t>Freight: New Trucks: Fuel Efficiency: Medium: Motor Gasoline: Alternative Transportation</t>
  </si>
  <si>
    <t>AEO.2025.ALTTRNP.EFI_NA_FGHT_SOSON_DSL_NA_NA_MPGDSEQ.A</t>
  </si>
  <si>
    <t>Freight: New Trucks: Fuel Efficiency: Medium: Diesel: Alternative Transportation</t>
  </si>
  <si>
    <t>AEO.2025.ALTTRNP.EFI_NA_FGHT_LITEMEDN_NA_NA_NA_NA.A</t>
  </si>
  <si>
    <t>Freight: New Trucks: Fuel Efficiency: Light Medium: Average: Alternative Transportation</t>
  </si>
  <si>
    <t>AEO.2025.ALTTRNP.EFI_NA_FGHT_LITEMEDN_HYDICE_NA_NA_MPGDSEQ.A</t>
  </si>
  <si>
    <t>Freight: New Trucks: Fuel Efficiency: Light Medium: Hydrogen ICE: Alternative Transportation</t>
  </si>
  <si>
    <t>AEO.2025.ALTTRNP.EFI_NA_FGHT_LITEMEDN_GASHEV_NA_NA_MPGGASEQ.A</t>
  </si>
  <si>
    <t>Freight: New Trucks: Fuel Efficiency: Light Medium: Gasoline Hybrid: Alternative Transportation</t>
  </si>
  <si>
    <t>AEO.2025.ALTTRNP.EFI_NA_FGHT_LITEMEDN_FEUCELBATDOM_NA_NA_MPGDSEQ.A</t>
  </si>
  <si>
    <t>Freight: New Trucks: Fuel Efficiency: Light Medium: Fuel Cell Battery Dominant: Alternative Transportation</t>
  </si>
  <si>
    <t>AEO.2025.ALTTRNP.EFI_NA_FGHT_LITEMEDN_FUC_NA_NA_MPGDSEQ.A</t>
  </si>
  <si>
    <t>Freight: New Trucks: Fuel Efficiency: Light Medium: Fuel Cell: Alternative Transportation</t>
  </si>
  <si>
    <t>AEO.2025.ALTTRNP.EFI_NA_FGHT_LITEMEDN_EGH_NA_NA_MPGGASEQ.A</t>
  </si>
  <si>
    <t>Freight: New Trucks: Fuel Efficiency: Light Medium: Plug-in Gasoline Hybrid: Alternative Transportation</t>
  </si>
  <si>
    <t>AEO.2025.ALTTRNP.EFI_NA_FGHT_LITEMEDN_EDH_NA_NA_MPGDSEQ.A</t>
  </si>
  <si>
    <t>Freight: New Trucks: Fuel Efficiency: Light Medium: Plug-in Diesel Hybrid: Alternative Transportation</t>
  </si>
  <si>
    <t>AEO.2025.ALTTRNP.EFI_NA_FGHT_LITEMEDN_ELE_NA_NA_MPGDSEQ.A</t>
  </si>
  <si>
    <t>Freight: New Trucks: Fuel Efficiency: Light Medium: Electric: Alternative Transportation</t>
  </si>
  <si>
    <t>AEO.2025.ALTTRNP.EFI_NA_FGHT_LITEMEDN_EFFI_NA_NA_MPGGASEQ.A</t>
  </si>
  <si>
    <t>Freight: New Trucks: Fuel Efficiency: Light Medium: Ethanol-Flex Fuel: Alternative Transportation</t>
  </si>
  <si>
    <t>AEO.2025.ALTTRNP.EFI_NA_FGHT_LITEMEDN_NG_NA_NA_MPGGASEQ.A</t>
  </si>
  <si>
    <t>Freight: New Trucks: Fuel Efficiency: Light Medium: Natural Gas: Alternative Transportation</t>
  </si>
  <si>
    <t>AEO.2025.ALTTRNP.EFI_NA_FGHT_LITEMEDN_PROP_NA_NA_MPGGASEQ.A</t>
  </si>
  <si>
    <t>Freight: New Trucks: Fuel Efficiency: Light Medium: Propane: Alternative Transportation</t>
  </si>
  <si>
    <t>AEO.2025.ALTTRNP.EFI_NA_FGHT_LITEMEDN_MGS_NA_NA_MPGGASEQ.A</t>
  </si>
  <si>
    <t>Freight: New Trucks: Fuel Efficiency: Light Medium: Motor Gasoline: Alternative Transportation</t>
  </si>
  <si>
    <t>AEO.2025.ALTTRNP.EFI_NA_FGHT_LITEMEDN_DSL_NA_NA_MPGDSEQ.A</t>
  </si>
  <si>
    <t>Freight: New Trucks: Fuel Efficiency: Light Medium: Diesel: Alternative Transportation</t>
  </si>
  <si>
    <t>AEO.2025.ALTTRNP.ECI_STK_FGHT_STK_NA_NA_NA_MILL.A</t>
  </si>
  <si>
    <t>Freight: Truck Stock: Alternative Transportation</t>
  </si>
  <si>
    <t>AEO.2025.ALTTRNP.ECI_STK_FGHT_RADS_NA_NA_NA_MILL.A</t>
  </si>
  <si>
    <t>Freight: Truck Stock: Heavy: Alternative Transportation</t>
  </si>
  <si>
    <t>AEO.2025.ALTTRNP.ECI_STK_FGHT_RADS_HYDICE_NA_NA_MILL.A</t>
  </si>
  <si>
    <t>Freight: Truck Stock: Heavy: Hydrogen ICE: Alternative Transportation</t>
  </si>
  <si>
    <t>AEO.2025.ALTTRNP.ECI_STK_FGHT_RADS_GASHEV_NA_NA_MILL.A</t>
  </si>
  <si>
    <t>Freight: Truck Stock: Heavy: Gasoline Hybrid: Alternative Transportation</t>
  </si>
  <si>
    <t>AEO.2025.ALTTRNP.ECI_STK_FGHT_RADS_FEUCELBATDOM_NA_NA_MILL.A</t>
  </si>
  <si>
    <t>Freight: Truck Stock: Heavy: Fuel Cell Battery Dominant: Alternative Transportation</t>
  </si>
  <si>
    <t>AEO.2025.ALTTRNP.ECI_STK_FGHT_RADS_FUC_NA_NA_MILL.A</t>
  </si>
  <si>
    <t>Freight: Truck Stock: Heavy: Fuel Cell: Alternative Transportation</t>
  </si>
  <si>
    <t>AEO.2025.ALTTRNP.ECI_STK_FGHT_RADS_EGH_NA_NA_MILL.A</t>
  </si>
  <si>
    <t>Freight: Truck Stock: Heavy: Plug-in Gasoline Hybrid: Alternative Transportation</t>
  </si>
  <si>
    <t>AEO.2025.ALTTRNP.ECI_STK_FGHT_RADS_EDH_NA_NA_MILL.A</t>
  </si>
  <si>
    <t>Freight: Truck Stock: Heavy: Plug-in Diesel Hybrid: Alternative Transportation</t>
  </si>
  <si>
    <t>AEO.2025.ALTTRNP.ECI_STK_FGHT_RADS_ELE_NA_NA_MILL.A</t>
  </si>
  <si>
    <t>Freight: Truck Stock: Heavy: Electric: Alternative Transportation</t>
  </si>
  <si>
    <t>AEO.2025.ALTTRNP.ECI_STK_FGHT_RADS_EFFI_NA_NA_MILL.A</t>
  </si>
  <si>
    <t>Freight: Truck Stock: Heavy: Ethanol-Flex Fuel: Alternative Transportation</t>
  </si>
  <si>
    <t>AEO.2025.ALTTRNP.ECI_STK_FGHT_RADS_NG_NA_NA_MILL.A</t>
  </si>
  <si>
    <t>Freight: Truck Stock: Heavy: Natural Gas: Alternative Transportation</t>
  </si>
  <si>
    <t>AEO.2025.ALTTRNP.ECI_STK_FGHT_RADS_PROP_NA_NA_MILL.A</t>
  </si>
  <si>
    <t>Freight: Truck Stock: Heavy: Propane: Alternative Transportation</t>
  </si>
  <si>
    <t>AEO.2025.ALTTRNP.ECI_STK_FGHT_RADS_MGS_NA_NA_MILL.A</t>
  </si>
  <si>
    <t>Freight: Truck Stock: Heavy: Motor Gasoline: Alternative Transportation</t>
  </si>
  <si>
    <t>AEO.2025.ALTTRNP.ECI_STK_FGHT_RADS_DSL_NA_NA_MILL.A</t>
  </si>
  <si>
    <t>Freight: Truck Stock: Heavy: Diesel: Alternative Transportation</t>
  </si>
  <si>
    <t>AEO.2025.ALTTRNP.ECI_STK_FGHT_SOSOS_NA_NA_NA_MILL.A</t>
  </si>
  <si>
    <t>Freight: Truck Stock: Medium: Alternative Transportation</t>
  </si>
  <si>
    <t>AEO.2025.ALTTRNP.ECI_STK_FGHT_SOSOS_HYDICE_NA_NA_MILL.A</t>
  </si>
  <si>
    <t>Freight: Truck Stock: Medium: Hydrogen ICE: Alternative Transportation</t>
  </si>
  <si>
    <t>AEO.2025.ALTTRNP.ECI_STK_FGHT_SOSOS_GASHEV_NA_NA_MILL.A</t>
  </si>
  <si>
    <t>Freight: Truck Stock: Medium: Gasoline Hybrid: Alternative Transportation</t>
  </si>
  <si>
    <t>AEO.2025.ALTTRNP.ECI_STK_FGHT_SOSOS_FEUCELBATDOM_NA_NA_MILL.A</t>
  </si>
  <si>
    <t>Freight: Truck Stock: Medium: Fuel Cell Battery Dominant: Alternative Transportation</t>
  </si>
  <si>
    <t>AEO.2025.ALTTRNP.ECI_STK_FGHT_SOSOS_FUC_NA_NA_MILL.A</t>
  </si>
  <si>
    <t>Freight: Truck Stock: Medium: Fuel Cell: Alternative Transportation</t>
  </si>
  <si>
    <t>AEO.2025.ALTTRNP.ECI_STK_FGHT_SOSOS_EGH_NA_NA_MILL.A</t>
  </si>
  <si>
    <t>Freight: Truck Stock: Medium: Plug-in Gasoline Hybrid: Alternative Transportation</t>
  </si>
  <si>
    <t>AEO.2025.ALTTRNP.ECI_STK_FGHT_SOSOS_EDH_NA_NA_MILL.A</t>
  </si>
  <si>
    <t>Freight: Truck Stock: Medium: Plug-in Diesel Hybrid: Alternative Transportation</t>
  </si>
  <si>
    <t>AEO.2025.ALTTRNP.ECI_STK_FGHT_SOSOS_ELE_NA_NA_MILL.A</t>
  </si>
  <si>
    <t>Freight: Truck Stock: Medium: Electric: Alternative Transportation</t>
  </si>
  <si>
    <t>AEO.2025.ALTTRNP.ECI_STK_FGHT_SOSOS_EFFI_NA_NA_MILL.A</t>
  </si>
  <si>
    <t>Freight: Truck Stock: Medium: Ethanol-Flex Fuel: Alternative Transportation</t>
  </si>
  <si>
    <t>AEO.2025.ALTTRNP.ECI_STK_FGHT_SOSOS_NG_NA_NA_MILL.A</t>
  </si>
  <si>
    <t>Freight: Truck Stock: Medium: Natural Gas: Alternative Transportation</t>
  </si>
  <si>
    <t>AEO.2025.ALTTRNP.ECI_STK_FGHT_SOSOS_PROP_NA_NA_MILL.A</t>
  </si>
  <si>
    <t>Freight: Truck Stock: Medium: Propane: Alternative Transportation</t>
  </si>
  <si>
    <t>AEO.2025.ALTTRNP.ECI_STK_FGHT_SOSOS_MGS_NA_NA_MILL.A</t>
  </si>
  <si>
    <t>Freight: Truck Stock: Medium: Motor Gasoline: Alternative Transportation</t>
  </si>
  <si>
    <t>AEO.2025.ALTTRNP.ECI_STK_FGHT_SOSOS_DSL_NA_NA_MILL.A</t>
  </si>
  <si>
    <t>Freight: Truck Stock: Medium: Diesel: Alternative Transportation</t>
  </si>
  <si>
    <t>AEO.2025.ALTTRNP.ECI_STK_FGHT_LITEMEDS_NA_NA_NA_MILL.A</t>
  </si>
  <si>
    <t>Freight: Truck Stock: Light Medium: Alternative Transportation</t>
  </si>
  <si>
    <t>AEO.2025.ALTTRNP.ECI_STK_FGHT_LITEMEDS_HYDICE_NA_NA_MILL.A</t>
  </si>
  <si>
    <t>Freight: Truck Stock: Light Medium: Hydrogen ICE: Alternative Transportation</t>
  </si>
  <si>
    <t>AEO.2025.ALTTRNP.ECI_STK_FGHT_LITEMEDS_GASHEV_NA_NA_MILL.A</t>
  </si>
  <si>
    <t>Freight: Truck Stock: Light Medium: Gasoline Hybrid: Alternative Transportation</t>
  </si>
  <si>
    <t>AEO.2025.ALTTRNP.ECI_STK_FGHT_LITEMEDS_FEUCELBATDOM_NA_NA_MILL.A</t>
  </si>
  <si>
    <t>Freight: Truck Stock: Light Medium: Fuel Cell Battery Dominant: Alternative Transportation</t>
  </si>
  <si>
    <t>AEO.2025.ALTTRNP.ECI_STK_FGHT_LITEMEDS_FUC_NA_NA_MILL.A</t>
  </si>
  <si>
    <t>Freight: Truck Stock: Light Medium: Fuel Cell: Alternative Transportation</t>
  </si>
  <si>
    <t>AEO.2025.ALTTRNP.ECI_STK_FGHT_LITEMEDS_EGH_NA_NA_MILL.A</t>
  </si>
  <si>
    <t>Freight: Truck Stock: Light Medium: Plug-in Gasoline Hybrid: Alternative Transportation</t>
  </si>
  <si>
    <t>AEO.2025.ALTTRNP.ECI_STK_FGHT_LITEMEDS_EDH_NA_NA_MILL.A</t>
  </si>
  <si>
    <t>Freight: Truck Stock: Light Medium: Plug-in Diesel Hybrid: Alternative Transportation</t>
  </si>
  <si>
    <t>AEO.2025.ALTTRNP.ECI_STK_FGHT_LITEMEDS_ELE_NA_NA_MILL.A</t>
  </si>
  <si>
    <t>Freight: Truck Stock: Light Medium: Electric: Alternative Transportation</t>
  </si>
  <si>
    <t>AEO.2025.ALTTRNP.ECI_STK_FGHT_LITEMEDS_EFFI_NA_NA_MILL.A</t>
  </si>
  <si>
    <t>Freight: Truck Stock: Light Medium: Ethanol-Flex Fuel: Alternative Transportation</t>
  </si>
  <si>
    <t>AEO.2025.ALTTRNP.ECI_STK_FGHT_LITEMEDS_NG_NA_NA_MILL.A</t>
  </si>
  <si>
    <t>Freight: Truck Stock: Light Medium: Natural Gas: Alternative Transportation</t>
  </si>
  <si>
    <t>AEO.2025.ALTTRNP.ECI_STK_FGHT_LITEMEDS_PROP_NA_NA_MILL.A</t>
  </si>
  <si>
    <t>Freight: Truck Stock: Light Medium: Propane: Alternative Transportation</t>
  </si>
  <si>
    <t>AEO.2025.ALTTRNP.ECI_STK_FGHT_LITEMEDS_MGS_NA_NA_MILL.A</t>
  </si>
  <si>
    <t>Freight: Truck Stock: Light Medium: Motor Gasoline: Alternative Transportation</t>
  </si>
  <si>
    <t>AEO.2025.ALTTRNP.ECI_STK_FGHT_LITEMEDS_DSL_NA_NA_MILL.A</t>
  </si>
  <si>
    <t>Freight: Truck Stock: Light Medium: Diesel: Alternative Transportation</t>
  </si>
  <si>
    <t>AEO.2025.ALTTRNP.EFI_NA_FGHT_STK_NA_NA_NA_NA.A</t>
  </si>
  <si>
    <t>Freight: Truck Stock: Fuel Efficiency: Alternative Transportation</t>
  </si>
  <si>
    <t>AEO.2025.ALTTRNP.EFI_NA_FGHT_RADS_NA_NA_NA_NA.A</t>
  </si>
  <si>
    <t>Freight: Truck Stock: Fuel Efficiency: Heavy: Average: Alternative Transportation</t>
  </si>
  <si>
    <t>AEO.2025.ALTTRNP.EFI_NA_FGHT_RADS_HYDICE_NA_NA_MPGDSEQ.A</t>
  </si>
  <si>
    <t>Freight: Truck Stock: Fuel Efficiency: Heavy: Hydrogen ICE: Alternative Transportation</t>
  </si>
  <si>
    <t>AEO.2025.ALTTRNP.EFI_NA_FGHT_RADS_GASHEV_NA_NA_MPGGASEQ.A</t>
  </si>
  <si>
    <t>Freight: Truck Stock: Fuel Efficiency: Heavy: Gasoline Hybrid: Alternative Transportation</t>
  </si>
  <si>
    <t>AEO.2025.ALTTRNP.EFI_NA_FGHT_RADS_FEUCELBATDOM_NA_NA_MPGDSEQ.A</t>
  </si>
  <si>
    <t>Freight: Truck Stock: Fuel Efficiency: Heavy: Fuel Cell Battery Dominant: Alternative Transportation</t>
  </si>
  <si>
    <t>AEO.2025.ALTTRNP.EFI_NA_FGHT_RADS_FUC_NA_NA_MPGDSEQ.A</t>
  </si>
  <si>
    <t>Freight: Truck Stock: Fuel Efficiency: Heavy: Fuel Cell: Alternative Transportation</t>
  </si>
  <si>
    <t>AEO.2025.ALTTRNP.EFI_NA_FGHT_RADS_EGH_NA_NA_MPGGASEQ.A</t>
  </si>
  <si>
    <t>Freight: Truck Stock: Fuel Efficiency: Heavy: Plug-in Gasoline Hybrid: Alternative Transportation</t>
  </si>
  <si>
    <t>AEO.2025.ALTTRNP.EFI_NA_FGHT_RADS_EDH_NA_NA_MPGDSEQ.A</t>
  </si>
  <si>
    <t>Freight: Truck Stock: Fuel Efficiency: Heavy: Plug-in Diesel Hybrid: Alternative Transportation</t>
  </si>
  <si>
    <t>AEO.2025.ALTTRNP.EFI_NA_FGHT_RADS_ELE_NA_NA_MPGDSEQ.A</t>
  </si>
  <si>
    <t>Freight: Truck Stock: Fuel Efficiency: Heavy: Electric: Alternative Transportation</t>
  </si>
  <si>
    <t>AEO.2025.ALTTRNP.EFI_NA_FGHT_RADS_EFFI_NA_NA_MPGGASEQ.A</t>
  </si>
  <si>
    <t>Freight: Truck Stock: Fuel Efficiency: Heavy: Ethanol-Flex Fuel: Alternative Transportation</t>
  </si>
  <si>
    <t>AEO.2025.ALTTRNP.EFI_NA_FGHT_RADS_NG_NA_NA_MPGDSEQ.A</t>
  </si>
  <si>
    <t>Freight: Truck Stock: Fuel Efficiency: Heavy: Natural Gas: Alternative Transportation</t>
  </si>
  <si>
    <t>AEO.2025.ALTTRNP.EFI_NA_FGHT_RADS_PROP_NA_NA_MPGGASEQ.A</t>
  </si>
  <si>
    <t>Freight: Truck Stock: Fuel Efficiency: Heavy: Propane: Alternative Transportation</t>
  </si>
  <si>
    <t>AEO.2025.ALTTRNP.EFI_NA_FGHT_RADS_MGS_NA_NA_MPGGASEQ.A</t>
  </si>
  <si>
    <t>Freight: Truck Stock: Fuel Efficiency: Heavy: Motor Gasoline: Alternative Transportation</t>
  </si>
  <si>
    <t>AEO.2025.ALTTRNP.EFI_NA_FGHT_RADS_DSL_NA_NA_MPGDSEQ.A</t>
  </si>
  <si>
    <t>Freight: Truck Stock: Fuel Efficiency: Heavy: Diesel: Alternative Transportation</t>
  </si>
  <si>
    <t>AEO.2025.ALTTRNP.EFI_NA_FGHT_SOSOS_NA_NA_NA_NA.A</t>
  </si>
  <si>
    <t>Freight: Truck Stock: Fuel Efficiency: Medium: Average: Alternative Transportation</t>
  </si>
  <si>
    <t>AEO.2025.ALTTRNP.EFI_NA_FGHT_SOSOS_HYDICE_NA_NA_MPGDSEQ.A</t>
  </si>
  <si>
    <t>Freight: Truck Stock: Fuel Efficiency: Medium: Hydrogen ICE: Alternative Transportation</t>
  </si>
  <si>
    <t>AEO.2025.ALTTRNP.EFI_NA_FGHT_SOSOS_GASHEV_NA_NA_MPGGASEQ.A</t>
  </si>
  <si>
    <t>Freight: Truck Stock: Fuel Efficiency: Medium: Gasoline Hybrid: Alternative Transportation</t>
  </si>
  <si>
    <t>AEO.2025.ALTTRNP.EFI_NA_FGHT_SOSOS_FEUCELBATDOM_NA_NA_MPGDSEQ.A</t>
  </si>
  <si>
    <t>Freight: Truck Stock: Fuel Efficiency: Medium: Fuel Cell Battery Dominant: Alternative Transportation</t>
  </si>
  <si>
    <t>AEO.2025.ALTTRNP.EFI_NA_FGHT_SOSOS_FUC_NA_NA_MPGGASEQ.A</t>
  </si>
  <si>
    <t>Freight: Truck Stock: Fuel Efficiency: Medium: Fuel Cell: Alternative Transportation</t>
  </si>
  <si>
    <t>AEO.2025.ALTTRNP.EFI_NA_FGHT_SOSOS_EGH_NA_NA_MPGGASEQ.A</t>
  </si>
  <si>
    <t>Freight: Truck Stock: Fuel Efficiency: Medium: Plug-in Gasoline Hybrid: Alternative Transportation</t>
  </si>
  <si>
    <t>AEO.2025.ALTTRNP.EFI_NA_FGHT_SOSOS_EDH_NA_NA_MPGGASEQ.A</t>
  </si>
  <si>
    <t>Freight: Truck Stock: Fuel Efficiency: Medium: Plug-in Diesel Hybrid: Alternative Transportation</t>
  </si>
  <si>
    <t>AEO.2025.ALTTRNP.EFI_NA_FGHT_SOSOS_ELE_NA_NA_MPGGASEQ.A</t>
  </si>
  <si>
    <t>Freight: Truck Stock: Fuel Efficiency: Medium: Electric: Alternative Transportation</t>
  </si>
  <si>
    <t>AEO.2025.ALTTRNP.EFI_NA_FGHT_SOSOS_EFFI_NA_NA_MPG.A</t>
  </si>
  <si>
    <t>Freight: Truck Stock: Fuel Efficiency: Medium: Ethanol-Flex Fuel: Alternative Transportation</t>
  </si>
  <si>
    <t>AEO.2025.ALTTRNP.EFI_NA_FGHT_SOSOS_NG_NA_NA_MPGGASEQ.A</t>
  </si>
  <si>
    <t>Freight: Truck Stock: Fuel Efficiency: Medium: Natural Gas: Alternative Transportation</t>
  </si>
  <si>
    <t>AEO.2025.ALTTRNP.EFI_NA_FGHT_SOSOS_PROP_NA_NA_MPGGASEQ.A</t>
  </si>
  <si>
    <t>Freight: Truck Stock: Fuel Efficiency: Medium: Propane: Alternative Transportation</t>
  </si>
  <si>
    <t>AEO.2025.ALTTRNP.EFI_NA_FGHT_SOSOS_MGS_NA_NA_MPGGASEQ.A</t>
  </si>
  <si>
    <t>Freight: Truck Stock: Fuel Efficiency: Medium: Motor Gasoline: Alternative Transportation</t>
  </si>
  <si>
    <t>AEO.2025.ALTTRNP.EFI_NA_FGHT_SOSOS_DSL_NA_NA_MPGDSEQ.A</t>
  </si>
  <si>
    <t>Freight: Truck Stock: Fuel Efficiency: Medium: Diesel: Alternative Transportation</t>
  </si>
  <si>
    <t>AEO.2025.ALTTRNP.EFI_NA_FGHT_LITEMEDS_NA_NA_NA_NA.A</t>
  </si>
  <si>
    <t>Freight: Truck Stock: Fuel Efficiency: Light Medium: Average: Alternative Transportation</t>
  </si>
  <si>
    <t>AEO.2025.ALTTRNP.EFI_NA_FGHT_LITEMEDS_HYDICE_NA_NA_MPGDSEQ.A</t>
  </si>
  <si>
    <t>Freight: Truck Stock: Fuel Efficiency: Light Medium: Hydrogen ICE: Alternative Transportation</t>
  </si>
  <si>
    <t>AEO.2025.ALTTRNP.EFI_NA_FGHT_LITEMEDS_GASHEV_NA_NA_MPGGASEQ.A</t>
  </si>
  <si>
    <t>Freight: Truck Stock: Fuel Efficiency: Light Medium: Gasoline Hybrid: Alternative Transportation</t>
  </si>
  <si>
    <t>AEO.2025.ALTTRNP.EFI_NA_FGHT_LITEMEDS_FEUCELBATDOM_NA_NA_MPGDSEQ.A</t>
  </si>
  <si>
    <t>Freight: Truck Stock: Fuel Efficiency: Light Medium: Fuel Cell Battery Dominant: Alternative Transportation</t>
  </si>
  <si>
    <t>AEO.2025.ALTTRNP.EFI_NA_FGHT_LITEMEDS_FUC_NA_NA_MPGDSEQ.A</t>
  </si>
  <si>
    <t>Freight: Truck Stock: Fuel Efficiency: Light Medium: Fuel Cell: Alternative Transportation</t>
  </si>
  <si>
    <t>AEO.2025.ALTTRNP.EFI_NA_FGHT_LITEMEDS_EGH_NA_NA_MPGGASEQ.A</t>
  </si>
  <si>
    <t>Freight: Truck Stock: Fuel Efficiency: Light Medium: Plug-in Gasoline Hybrid: Alternative Transportation</t>
  </si>
  <si>
    <t>AEO.2025.ALTTRNP.EFI_NA_FGHT_LITEMEDS_EDH_NA_NA_MPGDSEQ.A</t>
  </si>
  <si>
    <t>Freight: Truck Stock: Fuel Efficiency: Light Medium: Plug-in Diesel Hybrid: Alternative Transportation</t>
  </si>
  <si>
    <t>AEO.2025.ALTTRNP.EFI_NA_FGHT_LITEMEDS_ELE_NA_NA_MPGDSEQ.A</t>
  </si>
  <si>
    <t>Freight: Truck Stock: Fuel Efficiency: Light Medium: Electric: Alternative Transportation</t>
  </si>
  <si>
    <t>AEO.2025.ALTTRNP.EFI_NA_FGHT_LITEMEDS_EFFI_NA_NA_MPGGASEQ.A</t>
  </si>
  <si>
    <t>Freight: Truck Stock: Fuel Efficiency: Light Medium: Ethanol-Flex Fuel: Alternative Transportation</t>
  </si>
  <si>
    <t>AEO.2025.ALTTRNP.EFI_NA_FGHT_LITEMEDS_NG_NA_NA_MPGGASEQ.A</t>
  </si>
  <si>
    <t>Freight: Truck Stock: Fuel Efficiency: Light Medium: Natural Gas: Alternative Transportation</t>
  </si>
  <si>
    <t>AEO.2025.ALTTRNP.EFI_NA_FGHT_LITEMEDS_PROP_NA_NA_MPGGASEQ.A</t>
  </si>
  <si>
    <t>Freight: Truck Stock: Fuel Efficiency: Light Medium: Propane: Alternative Transportation</t>
  </si>
  <si>
    <t>AEO.2025.ALTTRNP.EFI_NA_FGHT_LITEMEDS_MGS_NA_NA_MPGGASEQ.A</t>
  </si>
  <si>
    <t>Freight: Truck Stock: Fuel Efficiency: Light Medium: Motor Gasoline: Alternative Transportation</t>
  </si>
  <si>
    <t>AEO.2025.ALTTRNP.EFI_NA_FGHT_LITEMEDS_DSL_NA_NA_MPGDSEQ.A</t>
  </si>
  <si>
    <t>Freight: Truck Stock: Fuel Efficiency: Light Medium: Diesel: Alternative Transportation</t>
  </si>
  <si>
    <t>AEO.2025.ALTTRNP.CNSM_NA_FGHT_STK_NA_NA_NA_TRLBTU.A</t>
  </si>
  <si>
    <t>Freight: Truck Stock: Use: Light Medium, Medium, and Heavy: Alternative Transportation</t>
  </si>
  <si>
    <t>AEO.2025.ALTTRNP.CNSM_NA_FGHT_STK_HYDICE_NA_NA_TRLBTU.A</t>
  </si>
  <si>
    <t>Freight: Truck Stock: Use: Light Medium, Medium, and Heavy: Hydrogen ICE: Alternative Transportation</t>
  </si>
  <si>
    <t>AEO.2025.ALTTRNP.CNSM_NA_FGHT_STK_GASHEV_NA_NA_TRLBTU.A</t>
  </si>
  <si>
    <t>Freight: Truck Stock: Use: Light Medium, Medium, and Heavy: Gasoline Hybrid: Alternative Transportation</t>
  </si>
  <si>
    <t>AEO.2025.ALTTRNP.CNSM_NA_FGHT_STK_FEUCELBATDOM_NA_NA_TRLBTU.A</t>
  </si>
  <si>
    <t>Freight: Truck Stock: Use: Light Medium, Medium, and Heavy: Fuel Cell Battery Dominant: Alternative Transportation</t>
  </si>
  <si>
    <t>AEO.2025.ALTTRNP.CNSM_NA_FGHT_STK_FUC_NA_NA_TRLBTU.A</t>
  </si>
  <si>
    <t>Freight: Truck Stock: Use: Light Medium, Medium, and Heavy: Fuel Cell: Alternative Transportation</t>
  </si>
  <si>
    <t>AEO.2025.ALTTRNP.CNSM_NA_FGHT_STK_EGH_NA_NA_TRLBTU.A</t>
  </si>
  <si>
    <t>Freight: Truck Stock: Use: Light Medium, Medium, and Heavy: Plug-in Gasoline Hybrid: Alternative Transportation</t>
  </si>
  <si>
    <t>AEO.2025.ALTTRNP.CNSM_NA_FGHT_STK_EDH_NA_NA_TRLBTU.A</t>
  </si>
  <si>
    <t>Freight: Truck Stock: Use: Light Medium, Medium, and Heavy: Plug-in Diesel Hybrid: Alternative Transportation</t>
  </si>
  <si>
    <t>AEO.2025.ALTTRNP.CNSM_NA_FGHT_STK_ELE_NA_NA_TRLBTU.A</t>
  </si>
  <si>
    <t>Freight: Truck Stock: Use: Light Medium, Medium, and Heavy: Electric: Alternative Transportation</t>
  </si>
  <si>
    <t>AEO.2025.ALTTRNP.CNSM_NA_FGHT_STK_EFFI_NA_NA_TRLBTU.A</t>
  </si>
  <si>
    <t>Freight: Truck Stock: Use: Light Medium, Medium, and Heavy: Ethanol-Flex Fuel: Alternative Transportation</t>
  </si>
  <si>
    <t>AEO.2025.ALTTRNP.CNSM_NA_FGHT_STK_NG_NA_NA_TRLBTU.A</t>
  </si>
  <si>
    <t>Freight: Truck Stock: Use: Light Medium, Medium, and Heavy: Natural Gas: Alternative Transportation</t>
  </si>
  <si>
    <t>AEO.2025.ALTTRNP.CNSM_NA_FGHT_STK_PROP_NA_NA_TRLBTU.A</t>
  </si>
  <si>
    <t>Freight: Truck Stock: Use: Light Medium, Medium, and Heavy: Propane: Alternative Transportation</t>
  </si>
  <si>
    <t>AEO.2025.ALTTRNP.CNSM_NA_FGHT_STK_MGS_NA_NA_TRLBTU.A</t>
  </si>
  <si>
    <t>Freight: Truck Stock: Use: Light Medium, Medium, and Heavy: Motor Gasoline: Alternative Transportation</t>
  </si>
  <si>
    <t>AEO.2025.ALTTRNP.CNSM_NA_FGHT_STK_DSL_NA_NA_TRLBTU.A</t>
  </si>
  <si>
    <t>Freight: Truck Stock: Use: Light Medium, Medium, and Heavy: Diesel: Alternative Transportation</t>
  </si>
  <si>
    <t>AEO.2025.ALTTRNP.CNSM_NA_FGHT_RADS_NA_NA_NA_TRLBTU.A</t>
  </si>
  <si>
    <t>Freight: Truck Stock: Use: Heavy: Alternative Transportation</t>
  </si>
  <si>
    <t>AEO.2025.ALTTRNP.CNSM_NA_FGHT_RADS_HYDICE_NA_NA_TRLBTU.A</t>
  </si>
  <si>
    <t>Freight: Truck Stock: Use: Heavy: Hydrogen ICE: Alternative Transportation</t>
  </si>
  <si>
    <t>AEO.2025.ALTTRNP.CNSM_NA_FGHT_RADS_GASHEV_NA_NA_TRLBTU.A</t>
  </si>
  <si>
    <t>Freight: Truck Stock: Use: Heavy: Gasoline Hybrid: Alternative Transportation</t>
  </si>
  <si>
    <t>AEO.2025.ALTTRNP.CNSM_NA_FGHT_RADS_FEUCELBATDOM_NA_NA_TRLBTU.A</t>
  </si>
  <si>
    <t>Freight: Truck Stock: Use: Heavy: Fuel Cell Battery Dominant: Alternative Transportation</t>
  </si>
  <si>
    <t>AEO.2025.ALTTRNP.CNSM_NA_FGHT_RADS_FUC_NA_NA_TRLBTU.A</t>
  </si>
  <si>
    <t>Freight: Truck Stock: Use: Heavy: Fuel Cell: Alternative Transportation</t>
  </si>
  <si>
    <t>AEO.2025.ALTTRNP.CNSM_NA_FGHT_RADS_EGH_NA_NA_TRLBTU.A</t>
  </si>
  <si>
    <t>Freight: Truck Stock: Use: Heavy: Plug-in Gasoline Hybrid: Alternative Transportation</t>
  </si>
  <si>
    <t>AEO.2025.ALTTRNP.CNSM_NA_FGHT_RADS_EDH_NA_NA_TRLBTU.A</t>
  </si>
  <si>
    <t>Freight: Truck Stock: Use: Heavy: Plug-in Diesel Hybrid: Alternative Transportation</t>
  </si>
  <si>
    <t>AEO.2025.ALTTRNP.CNSM_NA_FGHT_RADS_ELE_NA_NA_TRLBTU.A</t>
  </si>
  <si>
    <t>Freight: Truck Stock: Use: Heavy: Electric: Alternative Transportation</t>
  </si>
  <si>
    <t>AEO.2025.ALTTRNP.CNSM_NA_FGHT_RADS_EFFI_NA_NA_TRLBTU.A</t>
  </si>
  <si>
    <t>Freight: Truck Stock: Use: Heavy: Ethanol-Flex Fuel: Alternative Transportation</t>
  </si>
  <si>
    <t>AEO.2025.ALTTRNP.CNSM_NA_FGHT_RADS_NG_NA_NA_TRLBTU.A</t>
  </si>
  <si>
    <t>Freight: Truck Stock: Use: Heavy: Natural Gas: Alternative Transportation</t>
  </si>
  <si>
    <t>AEO.2025.ALTTRNP.CNSM_NA_FGHT_RADS_PROP_NA_NA_TRLBTU.A</t>
  </si>
  <si>
    <t>Freight: Truck Stock: Use: Heavy: Propane: Alternative Transportation</t>
  </si>
  <si>
    <t>AEO.2025.ALTTRNP.CNSM_NA_FGHT_RADS_MGS_NA_NA_TRLBTU.A</t>
  </si>
  <si>
    <t>Freight: Truck Stock: Use: Heavy: Motor Gasoline: Alternative Transportation</t>
  </si>
  <si>
    <t>AEO.2025.ALTTRNP.CNSM_NA_FGHT_RADS_DSL_NA_NA_TRLBTU.A</t>
  </si>
  <si>
    <t>Freight: Truck Stock: Use: Heavy: Diesel: Alternative Transportation</t>
  </si>
  <si>
    <t>AEO.2025.ALTTRNP.CNSM_NA_FGHT_SOSOS_NA_NA_NA_TRLBTU.A</t>
  </si>
  <si>
    <t>Freight: Truck Stock: Use: Medium: Alternative Transportation</t>
  </si>
  <si>
    <t>AEO.2025.ALTTRNP.CNSM_NA_FGHT_SOSOS_HYDICE_NA_NA_TRLBTU.A</t>
  </si>
  <si>
    <t>Freight: Truck Stock: Use: Medium: Hydrogen ICE: Alternative Transportation</t>
  </si>
  <si>
    <t>AEO.2025.ALTTRNP.CNSM_NA_FGHT_SOSOS_GASHEV_NA_NA_TRLBTU.A</t>
  </si>
  <si>
    <t>Freight: Truck Stock: Use: Medium: Gasoline Hybrid: Alternative Transportation</t>
  </si>
  <si>
    <t>AEO.2025.ALTTRNP.CNSM_NA_FGHT_SOSOS_FEUCELBATDOM_NA_NA_TRLBTU.A</t>
  </si>
  <si>
    <t>Freight: Truck Stock: Use: Medium: Fuel Cell Battery Dominant: Alternative Transportation</t>
  </si>
  <si>
    <t>AEO.2025.ALTTRNP.CNSM_NA_FGHT_SOSOS_FUC_NA_NA_TRLBTU.A</t>
  </si>
  <si>
    <t>Freight: Truck Stock: Use: Medium: Fuel Cell: Alternative Transportation</t>
  </si>
  <si>
    <t>AEO.2025.ALTTRNP.CNSM_NA_FGHT_SOSOS_EGH_NA_NA_TRLBTU.A</t>
  </si>
  <si>
    <t>Freight: Truck Stock: Use: Medium: Plug-in Gasoline Hybrid: Alternative Transportation</t>
  </si>
  <si>
    <t>AEO.2025.ALTTRNP.CNSM_NA_FGHT_SOSOS_EDH_NA_NA_TRLBTU.A</t>
  </si>
  <si>
    <t>Freight: Truck Stock: Use: Medium: Plug-in Diesel Hybrid: Alternative Transportation</t>
  </si>
  <si>
    <t>AEO.2025.ALTTRNP.CNSM_NA_FGHT_SOSOS_ELE_NA_NA_TRLBTU.A</t>
  </si>
  <si>
    <t>Freight: Truck Stock: Use: Medium: Electric: Alternative Transportation</t>
  </si>
  <si>
    <t>AEO.2025.ALTTRNP.CNSM_NA_FGHT_SOSOS_EFFI_NA_NA_TRLBTU.A</t>
  </si>
  <si>
    <t>Freight: Truck Stock: Use: Medium: Ethanol-Flex Fuel: Alternative Transportation</t>
  </si>
  <si>
    <t>AEO.2025.ALTTRNP.CNSM_NA_FGHT_SOSOS_NG_NA_NA_TRLBTU.A</t>
  </si>
  <si>
    <t>Freight: Truck Stock: Use: Medium: Natural Gas: Alternative Transportation</t>
  </si>
  <si>
    <t>AEO.2025.ALTTRNP.CNSM_NA_FGHT_SOSOS_PROP_NA_NA_TRLBTU.A</t>
  </si>
  <si>
    <t>Freight: Truck Stock: Use: Medium: Propane: Alternative Transportation</t>
  </si>
  <si>
    <t>AEO.2025.ALTTRNP.CNSM_NA_FGHT_SOSOS_MGS_NA_NA_TRLBTU.A</t>
  </si>
  <si>
    <t>Freight: Truck Stock: Use: Medium: Motor Gasoline: Alternative Transportation</t>
  </si>
  <si>
    <t>AEO.2025.ALTTRNP.CNSM_NA_FGHT_SOSOS_DSL_NA_NA_TRLBTU.A</t>
  </si>
  <si>
    <t>Freight: Truck Stock: Use: Medium: Diesel: Alternative Transportation</t>
  </si>
  <si>
    <t>AEO.2025.ALTTRNP.CNSM_NA_FGHT_LITEMEDS_NA_NA_NA_TRLBTU.A</t>
  </si>
  <si>
    <t>Freight: Truck Stock: Use: Light Medium: Alternative Transportation</t>
  </si>
  <si>
    <t>AEO.2025.ALTTRNP.CNSM_NA_FGHT_LITEMEDS_HYDICE_NA_NA_TRLBTU.A</t>
  </si>
  <si>
    <t>Freight: Truck Stock: Use: Light Medium: Hydrogen ICE: Alternative Transportation</t>
  </si>
  <si>
    <t>AEO.2025.ALTTRNP.CNSM_NA_FGHT_LITEMEDS_GASHEV_NA_NA_TRLBTU.A</t>
  </si>
  <si>
    <t>Freight: Truck Stock: Use: Light Medium: Gasoline Hybrid: Alternative Transportation</t>
  </si>
  <si>
    <t>AEO.2025.ALTTRNP.CNSM_NA_FGHT_LITEMEDS_FEUCELBATDOM_NA_NA_TRLBTU.A</t>
  </si>
  <si>
    <t>Freight: Truck Stock: Use: Light Medium: Fuel Cell Battery Dominant: Alternative Transportation</t>
  </si>
  <si>
    <t>AEO.2025.ALTTRNP.CNSM_NA_FGHT_LITEMEDS_FUC_NA_NA_TRLBTU.A</t>
  </si>
  <si>
    <t>Freight: Truck Stock: Use: Light Medium: Fuel Cell: Alternative Transportation</t>
  </si>
  <si>
    <t>AEO.2025.ALTTRNP.CNSM_NA_FGHT_LITEMEDS_EGH_NA_NA_TRLBTU.A</t>
  </si>
  <si>
    <t>Freight: Truck Stock: Use: Light Medium: Plug-in Gasoline Hybrid: Alternative Transportation</t>
  </si>
  <si>
    <t>AEO.2025.ALTTRNP.CNSM_NA_FGHT_LITEMEDS_EDH_NA_NA_TRLBTU.A</t>
  </si>
  <si>
    <t>Freight: Truck Stock: Use: Light Medium: Plug-in Diesel Hybrid: Alternative Transportation</t>
  </si>
  <si>
    <t>AEO.2025.ALTTRNP.CNSM_NA_FGHT_LITEMEDS_ELE_NA_NA_TRLBTU.A</t>
  </si>
  <si>
    <t>Freight: Truck Stock: Use: Light Medium: Electric: Alternative Transportation</t>
  </si>
  <si>
    <t>AEO.2025.ALTTRNP.CNSM_NA_FGHT_LITEMEDS_EFFI_NA_NA_TRLBTU.A</t>
  </si>
  <si>
    <t>Freight: Truck Stock: Use: Light Medium: Ethanol-Flex Fuel: Alternative Transportation</t>
  </si>
  <si>
    <t>AEO.2025.ALTTRNP.CNSM_NA_FGHT_LITEMEDS_NG_NA_NA_TRLBTU.A</t>
  </si>
  <si>
    <t>Freight: Truck Stock: Use: Light Medium: Natural Gas: Alternative Transportation</t>
  </si>
  <si>
    <t>AEO.2025.ALTTRNP.CNSM_NA_FGHT_LITEMEDS_PROP_NA_NA_TRLBTU.A</t>
  </si>
  <si>
    <t>Freight: Truck Stock: Use: Light Medium: Propane: Alternative Transportation</t>
  </si>
  <si>
    <t>AEO.2025.ALTTRNP.CNSM_NA_FGHT_LITEMEDS_MGS_NA_NA_TRLBTU.A</t>
  </si>
  <si>
    <t>Freight: Truck Stock: Use: Light Medium: Motor Gasoline: Alternative Transportation</t>
  </si>
  <si>
    <t>AEO.2025.ALTTRNP.CNSM_NA_FGHT_LITEMEDS_DSL_NA_NA_TRLBTU.A</t>
  </si>
  <si>
    <t>Freight: Truck Stock: Use: Light Medium: Diesel: Alternative Transportation</t>
  </si>
  <si>
    <t>AEO.2025.ALTTRNP.ECI_VMT_FGHT_STK_NA_NA_NA_BLNMLS.A</t>
  </si>
  <si>
    <t>Freight: Truck Stock: Vehicle Miles Traveled: Alternative Transportation</t>
  </si>
  <si>
    <t>AEO.2025.ALTTRNP.ECI_VMT_FGHT_RADS_NA_NA_NA_BLNMLS.A</t>
  </si>
  <si>
    <t>Freight: Truck Stock: Vehicle Miles Traveled: Heavy: Alternative Transportation</t>
  </si>
  <si>
    <t>AEO.2025.ALTTRNP.ECI_VMT_FGHT_RADS_HYDICE_NA_NA_BLNMLS.A</t>
  </si>
  <si>
    <t>Freight: Truck Stock: Vehicle Miles Traveled: Heavy: Hydrogen ICE: Alternative Transportation</t>
  </si>
  <si>
    <t>AEO.2025.ALTTRNP.ECI_VMT_FGHT_RADS_GASHEV_NA_NA_BLNMLS.A</t>
  </si>
  <si>
    <t>Freight: Truck Stock: Vehicle Miles Traveled: Heavy: Gasoline Hybrid: Alternative Transportation</t>
  </si>
  <si>
    <t>AEO.2025.ALTTRNP.ECI_VMT_FGHT_RADS_FEUCELBATDOM_NA_NA_BLNMLS.A</t>
  </si>
  <si>
    <t>Freight: Truck Stock: Vehicle Miles Traveled: Heavy: Fuel Cell Battery Dominant: Alternative Transportation</t>
  </si>
  <si>
    <t>AEO.2025.ALTTRNP.ECI_VMT_FGHT_RADS_FUC_NA_NA_BLNMLS.A</t>
  </si>
  <si>
    <t>Freight: Truck Stock: Vehicle Miles Traveled: Heavy: Fuel Cell: Alternative Transportation</t>
  </si>
  <si>
    <t>AEO.2025.ALTTRNP.ECI_VMT_FGHT_RADS_EGH_NA_NA_BLNMLS.A</t>
  </si>
  <si>
    <t>Freight: Truck Stock: Vehicle Miles Traveled: Heavy: Plug-in Gasoline Hybrid: Alternative Transportation</t>
  </si>
  <si>
    <t>AEO.2025.ALTTRNP.ECI_VMT_FGHT_RADS_EDH_NA_NA_BLNMLS.A</t>
  </si>
  <si>
    <t>Freight: Truck Stock: Vehicle Miles Traveled: Heavy: Plug-in Diesel Hybrid: Alternative Transportation</t>
  </si>
  <si>
    <t>AEO.2025.ALTTRNP.ECI_VMT_FGHT_RADS_ELE_NA_NA_BLNMLS.A</t>
  </si>
  <si>
    <t>Freight: Truck Stock: Vehicle Miles Traveled: Heavy: Electric: Alternative Transportation</t>
  </si>
  <si>
    <t>AEO.2025.ALTTRNP.ECI_VMT_FGHT_RADS_EFFI_NA_NA_BLNMLS.A</t>
  </si>
  <si>
    <t>Freight: Truck Stock: Vehicle Miles Traveled: Heavy: Ethanol-Flex Fuel: Alternative Transportation</t>
  </si>
  <si>
    <t>AEO.2025.ALTTRNP.ECI_VMT_FGHT_RADS_NG_NA_NA_BLNMLS.A</t>
  </si>
  <si>
    <t>Freight: Truck Stock: Vehicle Miles Traveled: Heavy: Natural Gas: Alternative Transportation</t>
  </si>
  <si>
    <t>AEO.2025.ALTTRNP.ECI_VMT_FGHT_RADS_PROP_NA_NA_BLNMLS.A</t>
  </si>
  <si>
    <t>Freight: Truck Stock: Vehicle Miles Traveled: Heavy: Propane: Alternative Transportation</t>
  </si>
  <si>
    <t>AEO.2025.ALTTRNP.ECI_VMT_FGHT_RADS_MGS_NA_NA_BLNMLS.A</t>
  </si>
  <si>
    <t>Freight: Truck Stock: Vehicle Miles Traveled: Heavy: Motor Gasoline: Alternative Transportation</t>
  </si>
  <si>
    <t>AEO.2025.ALTTRNP.ECI_VMT_FGHT_RADS_DSL_NA_NA_BLNMLS.A</t>
  </si>
  <si>
    <t>Freight: Truck Stock: Vehicle Miles Traveled: Heavy: Diesel: Alternative Transportation</t>
  </si>
  <si>
    <t>AEO.2025.ALTTRNP.ECI_VMT_FGHT_SOSOS_NA_NA_NA_BLNMLS.A</t>
  </si>
  <si>
    <t>Freight: Truck Stock: Vehicle Miles Traveled: Medium: Alternative Transportation</t>
  </si>
  <si>
    <t>AEO.2025.ALTTRNP.ECI_VMT_FGHT_SOSOS_HYDICE_NA_NA_BLNMLS.A</t>
  </si>
  <si>
    <t>Freight: Truck Stock: Vehicle Miles Traveled: Medium: Hydrogen ICE: Alternative Transportation</t>
  </si>
  <si>
    <t>AEO.2025.ALTTRNP.ECI_VMT_FGHT_SOSOS_GASHEV_NA_NA_BLNMLS.A</t>
  </si>
  <si>
    <t>Freight: Truck Stock: Vehicle Miles Traveled: Medium: Gasoline Hybrid: Alternative Transportation</t>
  </si>
  <si>
    <t>AEO.2025.ALTTRNP.ECI_VMT_FGHT_SOSOS_FEUCELBATDOM_NA_NA_BLNMLS.A</t>
  </si>
  <si>
    <t>Freight: Truck Stock: Vehicle Miles Traveled: Medium: Fuel Cell Battery Dominant: Alternative Transportation</t>
  </si>
  <si>
    <t>AEO.2025.ALTTRNP.ECI_VMT_FGHT_SOSOS_FUC_NA_NA_BLNMLS.A</t>
  </si>
  <si>
    <t>Freight: Truck Stock: Vehicle Miles Traveled: Medium: Fuel Cell: Alternative Transportation</t>
  </si>
  <si>
    <t>AEO.2025.ALTTRNP.ECI_VMT_FGHT_SOSOS_EGH_NA_NA_BLNMLS.A</t>
  </si>
  <si>
    <t>Freight: Truck Stock: Vehicle Miles Traveled: Medium: Plug-in Gasoline Hybrid: Alternative Transportation</t>
  </si>
  <si>
    <t>AEO.2025.ALTTRNP.ECI_VMT_FGHT_SOSOS_EDH_NA_NA_BLNMLS.A</t>
  </si>
  <si>
    <t>Freight: Truck Stock: Vehicle Miles Traveled: Medium: Plug-in Diesel Hybrid: Alternative Transportation</t>
  </si>
  <si>
    <t>AEO.2025.ALTTRNP.ECI_VMT_FGHT_SOSOS_ELE_NA_NA_BLNMLS.A</t>
  </si>
  <si>
    <t>Freight: Truck Stock: Vehicle Miles Traveled: Medium: Electric: Alternative Transportation</t>
  </si>
  <si>
    <t>AEO.2025.ALTTRNP.ECI_VMT_FGHT_SOSOS_EFFI_NA_NA_BLNMLS.A</t>
  </si>
  <si>
    <t>Freight: Truck Stock: Vehicle Miles Traveled: Medium: Ethanol-Flex Fuel: Alternative Transportation</t>
  </si>
  <si>
    <t>AEO.2025.ALTTRNP.ECI_VMT_FGHT_SOSOS_NG_NA_NA_BLNMLS.A</t>
  </si>
  <si>
    <t>Freight: Truck Stock: Vehicle Miles Traveled: Medium: Natural Gas: Alternative Transportation</t>
  </si>
  <si>
    <t>AEO.2025.ALTTRNP.ECI_VMT_FGHT_SOSOS_PROP_NA_NA_BLNMLS.A</t>
  </si>
  <si>
    <t>Freight: Truck Stock: Vehicle Miles Traveled: Medium: Propane: Alternative Transportation</t>
  </si>
  <si>
    <t>AEO.2025.ALTTRNP.ECI_VMT_FGHT_SOSOS_MGS_NA_NA_BLNMLS.A</t>
  </si>
  <si>
    <t>Freight: Truck Stock: Vehicle Miles Traveled: Medium: Motor Gasoline: Alternative Transportation</t>
  </si>
  <si>
    <t>AEO.2025.ALTTRNP.ECI_VMT_FGHT_SOSOS_DSL_NA_NA_BLNMLS.A</t>
  </si>
  <si>
    <t>Freight: Truck Stock: Vehicle Miles Traveled: Medium: Diesel: Alternative Transportation</t>
  </si>
  <si>
    <t>AEO.2025.ALTTRNP.ECI_VMT_FGHT_LITEMEDS_NA_NA_NA_BLNMLS.A</t>
  </si>
  <si>
    <t>Freight: Truck Stock: Vehicle Miles Traveled: Light Medium: Alternative Transportation</t>
  </si>
  <si>
    <t>AEO.2025.ALTTRNP.ECI_VMT_FGHT_LITEMEDS_HYDICE_NA_NA_BLNMLS.A</t>
  </si>
  <si>
    <t>Freight: Truck Stock: Vehicle Miles Traveled: Light Medium: Hydrogen ICE: Alternative Transportation</t>
  </si>
  <si>
    <t>AEO.2025.ALTTRNP.ECI_VMT_FGHT_LITEMEDS_GASHEV_NA_NA_BLNMLS.A</t>
  </si>
  <si>
    <t>Freight: Truck Stock: Vehicle Miles Traveled: Light Medium: Gasoline Hybrid: Alternative Transportation</t>
  </si>
  <si>
    <t>AEO.2025.ALTTRNP.ECI_VMT_FGHT_LITEMEDS_FEUCELBATDOM_NA_NA_BLNMLS.A</t>
  </si>
  <si>
    <t>Freight: Truck Stock: Vehicle Miles Traveled: Light Medium: Fuel Cell Battery Dominant: Alternative Transportation</t>
  </si>
  <si>
    <t>AEO.2025.ALTTRNP.ECI_VMT_FGHT_LITEMEDS_FUC_NA_NA_BLNMLS.A</t>
  </si>
  <si>
    <t>Freight: Truck Stock: Vehicle Miles Traveled: Light Medium: Fuel Cell: Alternative Transportation</t>
  </si>
  <si>
    <t>AEO.2025.ALTTRNP.ECI_VMT_FGHT_LITEMEDS_EGH_NA_NA_BLNMLS.A</t>
  </si>
  <si>
    <t>Freight: Truck Stock: Vehicle Miles Traveled: Light Medium: Plug-in Gasoline Hybrid: Alternative Transportation</t>
  </si>
  <si>
    <t>AEO.2025.ALTTRNP.ECI_VMT_FGHT_LITEMEDS_EDH_NA_NA_BLNMLS.A</t>
  </si>
  <si>
    <t>Freight: Truck Stock: Vehicle Miles Traveled: Light Medium: Plug-in Diesel Hybrid: Alternative Transportation</t>
  </si>
  <si>
    <t>AEO.2025.ALTTRNP.ECI_VMT_FGHT_LITEMEDS_ELE_NA_NA_BLNMLS.A</t>
  </si>
  <si>
    <t>Freight: Truck Stock: Vehicle Miles Traveled: Light Medium: Electric: Alternative Transportation</t>
  </si>
  <si>
    <t>AEO.2025.ALTTRNP.ECI_VMT_FGHT_LITEMEDS_EFFI_NA_NA_BLNMLS.A</t>
  </si>
  <si>
    <t>Freight: Truck Stock: Vehicle Miles Traveled: Light Medium: Ethanol-Flex Fuel: Alternative Transportation</t>
  </si>
  <si>
    <t>AEO.2025.ALTTRNP.ECI_VMT_FGHT_LITEMEDS_NG_NA_NA_BLNMLS.A</t>
  </si>
  <si>
    <t>Freight: Truck Stock: Vehicle Miles Traveled: Light Medium: Natural Gas: Alternative Transportation</t>
  </si>
  <si>
    <t>AEO.2025.ALTTRNP.ECI_VMT_FGHT_LITEMEDS_PROP_NA_NA_BLNMLS.A</t>
  </si>
  <si>
    <t>Freight: Truck Stock: Vehicle Miles Traveled: Light Medium: Propane: Alternative Transportation</t>
  </si>
  <si>
    <t>AEO.2025.ALTTRNP.ECI_VMT_FGHT_LITEMEDS_MGS_NA_NA_BLNMLS.A</t>
  </si>
  <si>
    <t>Freight: Truck Stock: Vehicle Miles Traveled: Light Medium: Motor Gasoline: Alternative Transportation</t>
  </si>
  <si>
    <t>AEO.2025.ALTTRNP.ECI_VMT_FGHT_LITEMEDS_DSL_NA_NA_BLNMLS.A</t>
  </si>
  <si>
    <t>Freight: Truck Stock: Vehicle Miles Traveled: Light Medium: Diesel: Alternative Transportation</t>
  </si>
  <si>
    <t>Fri Dec 05 2025 14:51:45 GMT-0800 (Pacific Standard Time)</t>
  </si>
  <si>
    <t>https://www.eia.gov/outlooks/aeo/data/browser/#/?id=58-AEO2025&amp;cases=alttrnp&amp;sourcekey=0</t>
  </si>
  <si>
    <t>AEO.2025.ALTTRNP.CNSM_NA_TRN_NA_NA_NA_NA_TRLBTU.A</t>
  </si>
  <si>
    <t>Transportation: Total Energy Use: Alternative Transportation</t>
  </si>
  <si>
    <t>AEO.2025.ALTTRNP.CNSM_NA_NMFG_LQFCT_DELE_NA_NA_TRLBTU.A</t>
  </si>
  <si>
    <t>Transportation Energy Use: Natural Gas for Liquefaction: Alternative Transportation</t>
  </si>
  <si>
    <t>AEO.2025.ALTTRNP.CNSM_NA_TRN_PIPL_NG_NA_NA_TRLBTU.A</t>
  </si>
  <si>
    <t>Transportation Energy Use: Pipeline Fuel Natural Gas: Alternative Transportation</t>
  </si>
  <si>
    <t>AEO.2025.ALTTRNP.CNSM_NA_TRN_NA_HDG_NA_NA_TRLBTU.A</t>
  </si>
  <si>
    <t>Transportation Energy Use: Hydrogen: Alternative Transportation</t>
  </si>
  <si>
    <t>AEO.2025.ALTTRNP.CNSM_NA_TRN_NA_NG_NA_NA_TRLBTU.A</t>
  </si>
  <si>
    <t>Transportation Energy Use: Natural Gas: Alternative Transportation</t>
  </si>
  <si>
    <t>AEO.2025.ALTTRNP.CNSM_NA_TRN_NA_ELC_NA_NA_TRLBTU.A</t>
  </si>
  <si>
    <t>Transportation Energy Use: Electricity: Alternative Transportation</t>
  </si>
  <si>
    <t>AEO.2025.ALTTRNP.CNSM_NA_TRN_NA_PET_NA_NA_TRLBTU.A</t>
  </si>
  <si>
    <t>Transportation Energy Use: Petroleum Subtotal: Alternative Transportation</t>
  </si>
  <si>
    <t>AEO.2025.ALTTRNP.CNSM_NA_TRN_NA_PET_LBC_NA_TRLBTU.A</t>
  </si>
  <si>
    <t>Transportation Energy Use: Petroleum: Lubricants: Alternative Transportation</t>
  </si>
  <si>
    <t>AEO.2025.ALTTRNP.CNSM_NA_TRN_NA_PET_PROP_NA_TRLBTU.A</t>
  </si>
  <si>
    <t>Transportation Energy Use: Petroleum: Propane: Alternative Transportation</t>
  </si>
  <si>
    <t>AEO.2025.ALTTRNP.CNSM_NA_TRN_NA_PET_AVGA_NA_TRLBTU.A</t>
  </si>
  <si>
    <t>Transportation Energy Use: Petroleum: Aviation Gasoline: Alternative Transportation</t>
  </si>
  <si>
    <t>AEO.2025.ALTTRNP.CNSM_NA_TRN_NA_PET_RFO_NA_TRLBTU.A</t>
  </si>
  <si>
    <t>Transportation Energy Use: Petroleum: Residual Fuel Oil: Alternative Transportation</t>
  </si>
  <si>
    <t>AEO.2025.ALTTRNP.UNC_NA_TRN_NA_PET_JFL_NA_TRLBTU.A</t>
  </si>
  <si>
    <t>Transportation Energy Use: Petroleum: Jet Fuel: Alternative Transportation</t>
  </si>
  <si>
    <t>AEO.2025.ALTTRNP.CNSM_NA_TRN_NA_PET_DSL_NA_TRLBTU.A</t>
  </si>
  <si>
    <t>Transportation Energy Use: Petroleum: Diesel: Alternative Transportation</t>
  </si>
  <si>
    <t>AEO.2025.ALTTRNP.CNSM_NA_TRN_NA_E85_NA_NA_TRLBTU.A</t>
  </si>
  <si>
    <t>Transportation Energy Use: E85: Alternative Transportation</t>
  </si>
  <si>
    <t>AEO.2025.ALTTRNP.CNSM_NA_TRN_NA_PET_MGS_NA_TRLBTU.A</t>
  </si>
  <si>
    <t>Transportation Energy Use: Petroleum: Motor Gasoline: Alternative Transportation</t>
  </si>
  <si>
    <t>AEO.2025.ALTTRNP.CNSM_NA_TRN_NA_TOT_NA_NA_TRLBTU.A</t>
  </si>
  <si>
    <t>Transportation Energy Use: Total: Alternative Transportation</t>
  </si>
  <si>
    <t>AEO.2025.ALTTRNP.CNSM_NA_TRN_MLU_DFO_NA_NA_TRLBTU.A</t>
  </si>
  <si>
    <t>Transportation Energy Use: Military Use: Distillate Fuel Oil: Alternative Transportation</t>
  </si>
  <si>
    <t>AEO.2025.ALTTRNP.CNSM_NA_TRN_MLU_RFO_NA_NA_TRLBTU.A</t>
  </si>
  <si>
    <t>Transportation Energy Use: Military Use: Residual Fuel Oil: Alternative Transportation</t>
  </si>
  <si>
    <t>AEO.2025.ALTTRNP.CNSM_NA_TRN_MLU_AVI_NA_NA_TRLBTU.A</t>
  </si>
  <si>
    <t>Transportation Energy Use: Military Use: Aviation: Alternative Transportation</t>
  </si>
  <si>
    <t>AEO.2025.ALTTRNP.CNSM_NA_TRN_MLU_MILU_NA_NA_TRLBTU.A</t>
  </si>
  <si>
    <t>Transportation Energy Use: Military Use: Alternative Transportation</t>
  </si>
  <si>
    <t>Transportation Energy Use: Non-Highway: Natural Gas for Liquefaction: Alternative Transportation</t>
  </si>
  <si>
    <t>Transportation Energy Use: Non-Highway: Pipeline Fuel Natural Gas: Alternative Transportation</t>
  </si>
  <si>
    <t>AEO.2025.ALTTRNP.CNSM_NA_TRN_NA_LBC_NA_NA_TRLBTU.A</t>
  </si>
  <si>
    <t>Transportation Energy Use: Non-Highway: Lubricants: Alternative Transportation</t>
  </si>
  <si>
    <t>AEO.2025.ALTTRNP.CNSM_NA_TRN_RAIL_PSG_CMTR_NA_TRLBTU.A</t>
  </si>
  <si>
    <t>Transportation Energy Use: Non-Highway: Rail: Passenger: Commuter: Alternative Transportation</t>
  </si>
  <si>
    <t>AEO.2025.ALTTRNP.CNSM_NA_TRN_RAIL_PSG_TNST_NA_TRLBTU.A</t>
  </si>
  <si>
    <t>Transportation Energy Use: Non-Highway: Rail: Passenger: Transit: Alternative Transportation</t>
  </si>
  <si>
    <t>AEO.2025.ALTTRNP.CNSM_NA_TRN_RAIL_PSG_ICYT_NA_TRLBTU.A</t>
  </si>
  <si>
    <t>Transportation Energy Use: Non-Highway: Rail: Passenger: Intercity: Alternative Transportation</t>
  </si>
  <si>
    <t>AEO.2025.ALTTRNP.CNSM_NA_TRN_RAIL_PSG_PSG_NA_TRLBTU.A</t>
  </si>
  <si>
    <t>Transportation Energy Use: Non-Highway: Rail: Passenger: Alternative Transportation</t>
  </si>
  <si>
    <t>AEO.2025.ALTTRNP.CNSM_NA_TRN_RAIL_FGT_NA_NA_TRLBTU.A</t>
  </si>
  <si>
    <t>Transportation Energy Use: Non-Highway: Rail: Freight: Alternative Transportation</t>
  </si>
  <si>
    <t>AEO.2025.ALTTRNP.CNSM_NA_TRN_RAIL_RAIL_NA_NA_TRLBTU.A</t>
  </si>
  <si>
    <t>Transportation Energy Use: Non-Highway: Rail: Alternative Transportation</t>
  </si>
  <si>
    <t>AEO.2025.ALTTRNP.CNSM_NA_TRN_WTR_RBT_NA_NA_TRLBTU.A</t>
  </si>
  <si>
    <t>Transportation Energy Use: Non-Highway: Water: Recreational Boats: Alternative Transportation</t>
  </si>
  <si>
    <t>AEO.2025.ALTTRNP.CNSM_NA_TRN_WTR_INTS_NA_NA_TRLBTU.A</t>
  </si>
  <si>
    <t>Transportation Energy Use: Non-Highway: Water: Freight: International Shipping: Alternative Transportation</t>
  </si>
  <si>
    <t>AEO.2025.ALTTRNP.CNSM_NA_TRN_WTR_DMT_NA_NA_TRLBTU.A</t>
  </si>
  <si>
    <t>Transportation Energy Use: Non-Highway: Water: Freight: Domestic Shipping: Alternative Transportation</t>
  </si>
  <si>
    <t>AEO.2025.ALTTRNP.CNSM_NA_TRN_WTR_FGT_NA_NA_TRLBTU.A</t>
  </si>
  <si>
    <t>Transportation Energy Use: Non-Highway: Water: Freight: Alternative Transportation</t>
  </si>
  <si>
    <t>AEO.2025.ALTTRNP.CNSM_NA_TRN_WTR_NA_NA_NA_TRLBTU.A</t>
  </si>
  <si>
    <t>Transportation Energy Use: Non-Highway: Water: Alternative Transportation</t>
  </si>
  <si>
    <t>AEO.2025.ALTTRNP.CNSM_NA_TRN_AIR_DFT_NA_NA_TRLBTU.A</t>
  </si>
  <si>
    <t>Transportation Energy Use: Non-Highway: Air: Dedicated Freight: Alternative Transportation</t>
  </si>
  <si>
    <t>AEO.2025.ALTTRNP.CNSM_NA_TRN_AIR_IAC_NA_NA_TRLBTU.A</t>
  </si>
  <si>
    <t>Transportation Energy Use: Non-Highway: Air: International Passenger: Alternative Transportation</t>
  </si>
  <si>
    <t>AEO.2025.ALTTRNP.CNSM_NA_TRN_AIR_DAC_NA_NA_TRLBTU.A</t>
  </si>
  <si>
    <t>Transportation Energy Use: Non-Highway: Air: Domestic Passenger: Alternative Transportation</t>
  </si>
  <si>
    <t>AEO.2025.ALTTRNP.CNSM_NA_TRN_AIR_GAV_NA_NA_TRLBTU.A</t>
  </si>
  <si>
    <t>Transportation Energy Use: Non-Highway: Air: General Aviation: Alternative Transportation</t>
  </si>
  <si>
    <t>AEO.2025.ALTTRNP.CNSM_NA_TRN_AIR_NA_NA_NA_TRLBTU.A</t>
  </si>
  <si>
    <t>Transportation Energy Use: Non-Highway: Air: Alternative Transportation</t>
  </si>
  <si>
    <t>AEO.2025.ALTTRNP.CNSM_NA_TRN_HWY_FGHT_LRGGT26KLB_NA_TRLBTU.A</t>
  </si>
  <si>
    <t>Transportation Energy Use: Highway: Freight Trucks: Large: Alternative Transportation</t>
  </si>
  <si>
    <t>AEO.2025.ALTTRNP.CNSM_NA_TRN_HWY_FGHT_MD10T26KLB_NA_TRLBTU.A</t>
  </si>
  <si>
    <t>Transportation Energy Use: Highway: Freight Trucks: Medium: Alternative Transportation</t>
  </si>
  <si>
    <t>AEO.2025.ALTTRNP.CNSM_NA_TRN_HWY_FGHT_LITEMED_NA_TRLBTU.A</t>
  </si>
  <si>
    <t>Transportation Energy Use: Highway: Freight Trucks: Light Medium: Alternative Transportation</t>
  </si>
  <si>
    <t>AEO.2025.ALTTRNP.CNSM_NA_TRN_HWY_FGHT_NA_NA_TRLBTU.A</t>
  </si>
  <si>
    <t>Transportation Energy Use: Highway: Freight Trucks: Alternative Transportation</t>
  </si>
  <si>
    <t>AEO.2025.ALTTRNP.CNSM_NA_TRN_HWY_BUS_SCBU_NA_TRLBTU.A</t>
  </si>
  <si>
    <t>Transportation Energy Use: Highway: Buses: School: Alternative Transportation</t>
  </si>
  <si>
    <t>AEO.2025.ALTTRNP.CNSM_NA_TRN_HWY_BUS_ICYT_NA_TRLBTU.A</t>
  </si>
  <si>
    <t>Transportation Energy Use: Highway: Buses: Intercity: Alternative Transportation</t>
  </si>
  <si>
    <t>AEO.2025.ALTTRNP.CNSM_NA_TRN_HWY_BUS_TNST_NA_TRLBTU.A</t>
  </si>
  <si>
    <t>Transportation Energy Use: Highway: Buses: Transit: Alternative Transportation</t>
  </si>
  <si>
    <t>AEO.2025.ALTTRNP.CNSM_NA_TRN_HWY_BUS_NA_NA_TRLBTU.A</t>
  </si>
  <si>
    <t>Transportation Energy Use: Highway: Buses: Alternative Transportation</t>
  </si>
  <si>
    <t>AEO.2025.ALTTRNP.CNSM_NA_TRN_HWY_CML_NA_NA_TRLBTU.A</t>
  </si>
  <si>
    <t>Transportation Energy Use: Highway: Commercial Light Trucks: Alternative Transportation</t>
  </si>
  <si>
    <t>AEO.2025.ALTTRNP.CNSM_NA_TRN_HWY_LDV_MCYCL_NA_TRLBTU.A</t>
  </si>
  <si>
    <t>Transportation Energy Use: Highway: Light-Duty Vehicles: Motorcycles: Alternative Transportation</t>
  </si>
  <si>
    <t>AEO.2025.ALTTRNP.CNSM_NA_TRN_HWY_LDV_LTRT_NA_TRLBTU.A</t>
  </si>
  <si>
    <t>Transportation Energy Use: Highway: Light-Duty Vehicles: Light Trucks: Alternative Transportation</t>
  </si>
  <si>
    <t>AEO.2025.ALTTRNP.CNSM_NA_TRN_HWY_LDV_AUTO_NA_TRLBTU.A</t>
  </si>
  <si>
    <t>Transportation Energy Use: Highway: Light-Duty Vehicles: Automobiles: Alternative Transportation</t>
  </si>
  <si>
    <t>AEO.2025.ALTTRNP.CNSM_NA_TRN_HWY_LDV_NA_NA_TRLBTU.A</t>
  </si>
  <si>
    <t>Transportation Energy Use: Highway: Light-Duty Vehicles: Alternative Transportation</t>
  </si>
  <si>
    <t>Fri Dec 05 2025 14:48:52 GMT-0800 (Pacific Standard Time)</t>
  </si>
  <si>
    <t>https://www.eia.gov/outlooks/aeo/data/browser/#/?id=45-AEO2025&amp;cases=alttrnp&amp;sourcekey=0</t>
  </si>
  <si>
    <t>2024 $/MMBtu</t>
  </si>
  <si>
    <t>AEO.2025.ALTTRNP.PRCE_NA_TRN_NA_LNG_INTA_NA_Y13DLRPMMBTU.A</t>
  </si>
  <si>
    <t>Transportation: Natural Gas Prices: Liquefied: Shipping: International: Alternative Transportation</t>
  </si>
  <si>
    <t>AEO.2025.ALTTRNP.PRCE_NA_TRN_NA_LNG_DMS_NA_Y13DLRPMMBTU.A</t>
  </si>
  <si>
    <t>Transportation: Natural Gas Prices: Liquefied: Shipping: Domestic: Alternative Transportation</t>
  </si>
  <si>
    <t>AEO.2025.ALTTRNP.PRCE_NA_TRN_NA_LNG_SHIP_NA_Y13DLRPMMBTU.A</t>
  </si>
  <si>
    <t>Transportation: Natural Gas Prices: Liquefied: Shipping: Alternative Transportation</t>
  </si>
  <si>
    <t>Marine</t>
  </si>
  <si>
    <t>AEO.2025.ALTTRNP.PRCE_NA_TRN_NA_LNG_FGT_NA_Y13DLRPMMBTU.A</t>
  </si>
  <si>
    <t>Transportation: Natural Gas Prices: Liquefied: Rail: Freight: Alternative Transportation</t>
  </si>
  <si>
    <t>Freight Rail</t>
  </si>
  <si>
    <t>AEO.2025.ALTTRNP.PRCE_NA_TRN_NA_LNG_FLEET_NA_Y13DLRPMMBTU.A</t>
  </si>
  <si>
    <t>Transportation: Natural Gas Prices: Liquefied: Vehicles: Depot: Alternative Transportation</t>
  </si>
  <si>
    <t>Depot</t>
  </si>
  <si>
    <t>AEO.2025.ALTTRNP.PRCE_NA_TRN_NA_LNG_PERS_NA_Y13DLRPMMBTU.A</t>
  </si>
  <si>
    <t>Transportation: Natural Gas Prices: Liquefied: Vehicles: Public/Retail: Alternative Transportation</t>
  </si>
  <si>
    <t>Public/Retail</t>
  </si>
  <si>
    <t>AEO.2025.ALTTRNP.PRCE_NA_TRN_NA_LNG_LDV_NA_Y13DLRPMMBTU.A</t>
  </si>
  <si>
    <t>Transportation: Natural Gas Prices: Liquefied: Vehicles: Alternative Transportation</t>
  </si>
  <si>
    <t>AEO.2025.ALTTRNP.PRCE_NA_TRN_NA_CNG_INTA_NA_Y13DLRPMMBTU.A</t>
  </si>
  <si>
    <t>Transportation: Natural Gas Prices: Compressed: Shipping: International: Alternative Transportation</t>
  </si>
  <si>
    <t>AEO.2025.ALTTRNP.PRCE_NA_TRN_NA_CNG_DMS_NA_Y13DLRPMMBTU.A</t>
  </si>
  <si>
    <t>Transportation: Natural Gas Prices: Compressed: Shipping: Domestic: Alternative Transportation</t>
  </si>
  <si>
    <t>AEO.2025.ALTTRNP.PRCE_NA_TRN_NA_CNG_SHIP_NA_Y13DLRPMMBTU.A</t>
  </si>
  <si>
    <t>Transportation: Natural Gas Prices: Compressed: Shipping: Alternative Transportation</t>
  </si>
  <si>
    <t>AEO.2025.ALTTRNP.PRCE_NA_TRN_NA_CNG_FLEET_NA_Y13DLRPMMBTU.A</t>
  </si>
  <si>
    <t>Transportation: Natural Gas Prices: Compressed: Vehicles: Depot: Alternative Transportation</t>
  </si>
  <si>
    <t>AEO.2025.ALTTRNP.PRCE_NA_TRN_NA_CNG_NFLEET_NA_Y13DLRPMMBTU.A</t>
  </si>
  <si>
    <t>Transportation: Natural Gas Prices: Compressed: Vehicles: Public/Retail: Alternative Transportation</t>
  </si>
  <si>
    <t>AEO.2025.ALTTRNP.PRCE_NA_TRN_NA_CNG_LDTVHFT_NA_Y13DLRPMMBTU.A</t>
  </si>
  <si>
    <t>Transportation: Natural Gas Prices: Compressed: Vehicles: Alternative Transportation</t>
  </si>
  <si>
    <t>Natural Gas Prices (2024 dollars per mmBtu)</t>
  </si>
  <si>
    <t>2024 $/kg</t>
  </si>
  <si>
    <t>AEO.2025.ALTTRNP.PRCE_NA_TRN_NA_HDG_NA_NA_NA.A</t>
  </si>
  <si>
    <t>Transportation: Hydrogen Price: Delivered: Alternative Transportation</t>
  </si>
  <si>
    <t>Hydrogen Price (2024 dollars per kg)</t>
  </si>
  <si>
    <t>2024 cents/kWh</t>
  </si>
  <si>
    <t>AEO.2025.ALTTRNP.PRCE_NA_TRN_NA_ELC_CLT_NA_Y13DLRPMMBTU.A</t>
  </si>
  <si>
    <t>Transportation: Electricity Prices: Commercial Light Truck Public/Retail: Alternative Transportation</t>
  </si>
  <si>
    <t>Transportation: Electricity Prices: Commercial Light Truck Depot: Alternative Transportation</t>
  </si>
  <si>
    <t>Commercial light truck</t>
  </si>
  <si>
    <t>AEO.2025.ALTTRNP.PRCE_NA_TRN_NA_ELC_FRTTRK_NA_Y13DLRPMMBTU.A</t>
  </si>
  <si>
    <t>Transportation: Electricity Prices: Freight Truck Public/Retail: Alternative Transportation</t>
  </si>
  <si>
    <t>Transportation: Electricity Prices: Freight Truck Depot: Alternative Transportation</t>
  </si>
  <si>
    <t>Transportation: Electricity Prices: Freight Truck: Alternative Transportation</t>
  </si>
  <si>
    <t>Freight truck</t>
  </si>
  <si>
    <t>AEO.2025.ALTTRNP.PRCE_NA_TRN_NA_ELC_BUS_NA_Y13DLRPMMBTU.A</t>
  </si>
  <si>
    <t>Transportation: Electricity Prices: Intercity Bus: Alternative Transportation</t>
  </si>
  <si>
    <t>Transportation: Electricity Prices: Transit Bus: Alternative Transportation</t>
  </si>
  <si>
    <t>Transportation: Electricity Prices: School Bus: Alternative Transportation</t>
  </si>
  <si>
    <t>Transportation: Electricity Prices: Bus: Alternative Transportation</t>
  </si>
  <si>
    <t>Bus</t>
  </si>
  <si>
    <t>AEO.2025.ALTTRNP.PRCE_NA_TRN_NA_ELC_LDV_NA_Y13DLRPMMBTU.A</t>
  </si>
  <si>
    <t>Transportation: Electricity Prices: Light-Duty Vehicles Public DCFC: Alternative Transportation</t>
  </si>
  <si>
    <t>Public DC Fast Charge</t>
  </si>
  <si>
    <t>Transportation: Electricity Prices: Light-Duty Vehicles Public Level 2: Alternative Transportation</t>
  </si>
  <si>
    <t>Public Level 2</t>
  </si>
  <si>
    <t>Transportation: Electricity Prices: Light-Duty Vehicles Home: Alternative Transportation</t>
  </si>
  <si>
    <t>Home</t>
  </si>
  <si>
    <t>Transportation: Electricity Prices: Light-Duty Vehicles: Alternative Transportation</t>
  </si>
  <si>
    <t>AEO.2025.ALTTRNP.PRCE_NA_TRN_NA_ELC_LTRNS_NA_Y13DLRPMMBTU.A</t>
  </si>
  <si>
    <t>Transportation: Electricity Prices: Light Trains: Alternative Transportation</t>
  </si>
  <si>
    <t>Light Trains</t>
  </si>
  <si>
    <t>Electricity Prices (2024 cents per kWh)</t>
  </si>
  <si>
    <t>2024 $/kWh</t>
  </si>
  <si>
    <t>AEO.2025.ALTTRNP.PRCE_NA_TRN_NA_BAT_FRTTRK_NA_13YDKWH.A</t>
  </si>
  <si>
    <t>Transportation: Battery Prices: Freight Truck Gasoline Hybrid Electric: Alternative Transportation</t>
  </si>
  <si>
    <t>Hybrid Electric Vehicles</t>
  </si>
  <si>
    <t>Transportation: Battery Prices: Freight Truck Class 2b&amp;3: Alternative Transportation</t>
  </si>
  <si>
    <t>Class 2b &amp; 3</t>
  </si>
  <si>
    <t>Transportation: Battery Prices: Freight Truck Class 7&amp;8 Tractor: Alternative Transportation</t>
  </si>
  <si>
    <t>Class 7&amp;8 Tractors</t>
  </si>
  <si>
    <t>Transportation: Battery Prices: Freight Truck Class 6-8 Vocational: Alternative Transportation</t>
  </si>
  <si>
    <t>Class 6-8 Vocational</t>
  </si>
  <si>
    <t>Transportation: Battery Prices: Freight Truck Class 4-5: Alternative Transportation</t>
  </si>
  <si>
    <t>Class 4 &amp; 5</t>
  </si>
  <si>
    <t>2024 $/kWh RPE</t>
  </si>
  <si>
    <t>AEO.2025.ALTTRNP.PRCE_NA_TRN_NA_BAT_LDV_NA_13YDKWH.A</t>
  </si>
  <si>
    <t>Transportation: Battery Prices: Light-Duty Hybrid Electric: Alternative Transportation</t>
  </si>
  <si>
    <t>Transportation: Battery Prices: Light-Duty Plug-in Hybrid Electric: Alternative Transportation</t>
  </si>
  <si>
    <t>Plug-In Hybrid Electric Vehicles</t>
  </si>
  <si>
    <t>Transportation: Battery Prices: Light-Duty Battery Electric: Alternative Transportation</t>
  </si>
  <si>
    <t>Battery Electric Vehicles</t>
  </si>
  <si>
    <t>Battery Prices (2024 dollars per nominal kWh)</t>
  </si>
  <si>
    <t>MMb/d oil eq</t>
  </si>
  <si>
    <t>AEO.2025.ALTTRNP.CNSM_NA_TRN_NA_USE_NA_NA_MILLBPDYOEQ.A</t>
  </si>
  <si>
    <t>Transportation: Energy Use by Mode: Total: Alternative Transportation</t>
  </si>
  <si>
    <t>AEO.2025.ALTTRNP.CNSM_NA_TRN_NA_LQFCT_NA_USA_MILLBPDYOEQ.A</t>
  </si>
  <si>
    <t>Transportation: Energy Use by Mode: Natural Gas for Liquefaction: Alternative Transportation</t>
  </si>
  <si>
    <t>AEO.2025.ALTTRNP.CNSM_NA_TRN_PFT_USE_NA_NA_MILLBPDYOEQ.A</t>
  </si>
  <si>
    <t>Transportation: Energy Use by Mode: Pipeline Fuel: Alternative Transportation</t>
  </si>
  <si>
    <t>Pipeline Fuel</t>
  </si>
  <si>
    <t>AEO.2025.ALTTRNP.CNSM_NA_TRN_LBC_USE_NA_NA_MILLBPDYOEQ.A</t>
  </si>
  <si>
    <t>Transportation: Energy Use by Mode: Lubricants: Alternative Transportation</t>
  </si>
  <si>
    <t>AEO.2025.ALTTRNP.CNSM_NA_TRN_MILU_USE_NA_NA_MILLBPDYOEQ.A</t>
  </si>
  <si>
    <t>Transportation: Energy Use by Mode: Military Use: Alternative Transportation</t>
  </si>
  <si>
    <t>AEO.2025.ALTTRNP.CNSM_NA_TRN_AIR_USE_NA_NA_MILLBPDYOEQ.A</t>
  </si>
  <si>
    <t>Transportation: Energy Use by Mode: Air: Alternative Transportation</t>
  </si>
  <si>
    <t>AEO.2025.ALTTRNP.CNSM_NA_TRN_RBT_USE_NA_NA_MILLBPDYOEQ.A</t>
  </si>
  <si>
    <t>Transportation: Energy Use by Mode: Recreational Boats: Alternative Transportation</t>
  </si>
  <si>
    <t>AEO.2025.ALTTRNP.CNSM_NA_TRN_SHINT_USE_NA_NA_MILLBPDYOEQ.A</t>
  </si>
  <si>
    <t>Transportation: Energy Use by Mode: Shipping, International: Alternative Transportation</t>
  </si>
  <si>
    <t xml:space="preserve"> International</t>
  </si>
  <si>
    <t>Shipping</t>
  </si>
  <si>
    <t>AEO.2025.ALTTRNP.CNSM_NA_TRN_SHDT_USE_NA_NA_MILLBPDYOEQ.A</t>
  </si>
  <si>
    <t>Transportation: Energy Use by Mode: Shipping, Domestic: Alternative Transportation</t>
  </si>
  <si>
    <t xml:space="preserve"> Domestic</t>
  </si>
  <si>
    <t>AEO.2025.ALTTRNP.CNSM_NA_TRN_RLF_USE_NA_NA_MILLBPDYOEQ.A</t>
  </si>
  <si>
    <t>Transportation: Energy Use by Mode: Rail, Freight: Alternative Transportation</t>
  </si>
  <si>
    <t xml:space="preserve"> Freight</t>
  </si>
  <si>
    <t>AEO.2025.ALTTRNP.CNSM_NA_TRN_RLP_USE_NA_NA_MILLBPDYOEQ.A</t>
  </si>
  <si>
    <t>Transportation: Energy Use by Mode: Rail, Passenger: Alternative Transportation</t>
  </si>
  <si>
    <t xml:space="preserve"> Passenger</t>
  </si>
  <si>
    <t>AEO.2025.ALTTRNP.CNSM_NA_TRN_FGHT_USE_NA_NA_MILLBPDYOEQ.A</t>
  </si>
  <si>
    <t>Transportation: Energy Use by Mode: Freight Trucks: Alternative Transportation</t>
  </si>
  <si>
    <t>AEO.2025.ALTTRNP.CNSM_NA_TRN_BST_USE_NA_NA_MILLBPDYOEQ.A</t>
  </si>
  <si>
    <t>Transportation: Energy Use by Mode: Bus Transportation: Alternative Transportation</t>
  </si>
  <si>
    <t>AEO.2025.ALTTRNP.CNSM_NA_TRN_CML_USE_NA_NA_MILLBPDYOEQ.A</t>
  </si>
  <si>
    <t>Transportation: Energy Use by Mode: Commercial Light Trucks: Alternative Transportation</t>
  </si>
  <si>
    <t>AEO.2025.ALTTRNP.CNSM_NA_TRN_LDV_USE_NA_NA_MILLBPDYOEQ.A</t>
  </si>
  <si>
    <t>Transportation: Energy Use by Mode: Light-Duty Vehicles: Alternative Transportation</t>
  </si>
  <si>
    <t>(million barrels per day oil equivalent)</t>
  </si>
  <si>
    <t>quads</t>
  </si>
  <si>
    <t>AEO.2025.ALTTRNP.CNSM_NA_TRN_NA_USE_NA_NA_QBTU.A</t>
  </si>
  <si>
    <t>AEO.2025.ALTTRNP.CNSM_NA_TRN_IDEI_LQFCT_NA_USA_QBTU.A</t>
  </si>
  <si>
    <t>AEO.2025.ALTTRNP.CNSM_NA_TRN_PFT_USE_NA_NA_QBTU.A</t>
  </si>
  <si>
    <t>AEO.2025.ALTTRNP.CNSM_NA_TRN_LBC_USE_NA_NA_QBTU.A</t>
  </si>
  <si>
    <t>AEO.2025.ALTTRNP.CNSM_NA_TRN_MILU_USE_NA_NA_QBTU.A</t>
  </si>
  <si>
    <t>AEO.2025.ALTTRNP.CNSM_NA_TRN_AIR_USE_NA_NA_QBTU.A</t>
  </si>
  <si>
    <t>AEO.2025.ALTTRNP.CNSM_NA_TRN_RBT_USE_NA_NA_QBTU.A</t>
  </si>
  <si>
    <t>AEO.2025.ALTTRNP.CNSM_NA_TRN_SHINT_USE_NA_NA_QBTU.A</t>
  </si>
  <si>
    <t>AEO.2025.ALTTRNP.CNSM_NA_TRN_SHDT_USE_NA_NA_QBTU.A</t>
  </si>
  <si>
    <t>AEO.2025.ALTTRNP.CNSM_NA_TRN_RLF_USE_NA_NA_QBTU.A</t>
  </si>
  <si>
    <t>AEO.2025.ALTTRNP.CNSM_NA_TRN_RLP_USE_NA_NA_QBTU.A</t>
  </si>
  <si>
    <t>AEO.2025.ALTTRNP.CNSM_NA_TRN_FGHT_USE_NA_NA_QBTU.A</t>
  </si>
  <si>
    <t>AEO.2025.ALTTRNP.CNSM_NA_TRN_BST_USE_NA_NA_QBTU.A</t>
  </si>
  <si>
    <t>AEO.2025.ALTTRNP.CNSM_NA_TRN_CML_USE_NA_NA_QBTU.A</t>
  </si>
  <si>
    <t>AEO.2025.ALTTRNP.CNSM_NA_TRN_LDV_USE_NA_NA_QBTU.A</t>
  </si>
  <si>
    <t>(quadrillion Btu)</t>
  </si>
  <si>
    <t>AEO.2025.ALTTRNP.EFI_NA_TRN_NA_DMT_NA_NA_TONMLPTHBTU.A</t>
  </si>
  <si>
    <t>Transportation: Energy Efficiency Indicators: Domestic Shipping: Alternative Transportation</t>
  </si>
  <si>
    <t>AEO.2025.ALTTRNP.EFI_NA_TRN_NA_RAIL_NA_NA_TONMLPTHBTU.A</t>
  </si>
  <si>
    <t>Transportation: Energy Efficiency Indicators: Rail: Alternative Transportation</t>
  </si>
  <si>
    <t>(ton miles/thousand Btu)</t>
  </si>
  <si>
    <t>AEO.2025.ALTTRNP.EFI_NA_TRN_NA_AIRC_NA_NA_SEATMPG.A</t>
  </si>
  <si>
    <t>Transportation: Energy Efficiency Indicators: Aircraft: Alternative Transportation</t>
  </si>
  <si>
    <t>Aircraft</t>
  </si>
  <si>
    <t>(seat miles per gallon)</t>
  </si>
  <si>
    <t>AEO.2025.ALTTRNP.EFI_NA_TRN_HWY_FRTT_STK_NA_MLSPGLN.A</t>
  </si>
  <si>
    <t>Transportation: Energy Efficiency Indicators: Freight Truck: Alternative Transportation</t>
  </si>
  <si>
    <t>Freight Truck</t>
  </si>
  <si>
    <t>AEO.2025.ALTTRNP.EFI_NA_TRN_HWY_CLTR_STK_NA_MLSPGLN.A</t>
  </si>
  <si>
    <t>Transportation: Energy Efficiency Indicators: Stock Commercial Light Truck: Alternative Transportation</t>
  </si>
  <si>
    <t>Stock Commercial Light Truck</t>
  </si>
  <si>
    <t>AEO.2025.ALTTRNP.EFI_NA_TRN_HWY_CLTR_NEW_NA_MLSPGLN.A</t>
  </si>
  <si>
    <t>Transportation: Energy Efficiency Indicators: New Commercial Light Truck: Alternative Transportation</t>
  </si>
  <si>
    <t>New Commercial Light Truck</t>
  </si>
  <si>
    <t>AEO.2025.ALTTRNP.EFI_CAFEO_TRN_HWY_LDTY_STK_NA_MLSPGLN.A</t>
  </si>
  <si>
    <t>Transportation: Energy Efficiency Indicators: Light-Duty Stock: Alternative Transportation</t>
  </si>
  <si>
    <t>Light-Duty Stock</t>
  </si>
  <si>
    <t>AEO.2025.ALTTRNP.EFI_CAFEO_TRN_HWY_LTRT_NEW_NA_MLSPGLN.A</t>
  </si>
  <si>
    <t>Transportation: Energy Efficiency Indicators: On-Road New Light Truck: Alternative Transportation</t>
  </si>
  <si>
    <t>New Light Truck</t>
  </si>
  <si>
    <t>AEO.2025.ALTTRNP.EFI_CAFEO_TRN_HWY_CAR_NEW_NA_MLSPGLN.A</t>
  </si>
  <si>
    <t>Transportation: Energy Efficiency Indicators: On-Road New Car: Alternative Transportation</t>
  </si>
  <si>
    <t>New Car</t>
  </si>
  <si>
    <t>AEO.2025.ALTTRNP.EFI_CAFEO_TRN_HWY_LDTY_NEW_NA_MLSPGLN.A</t>
  </si>
  <si>
    <t>Transportation: Energy Efficiency Indicators: On-Road New Light-Duty Vehicle: Alternative Transportation</t>
  </si>
  <si>
    <t>On-Road New Light-Duty Vehicle</t>
  </si>
  <si>
    <t>AEO.2025.ALTTRNP.EFI_CAFET_TRN_HWY_LTRT_NEW_NA_MLSPGLN.A</t>
  </si>
  <si>
    <t>Transportation: Energy Efficiency Indicators: Tested: New Light Truck: Alternative Transportation</t>
  </si>
  <si>
    <t>AEO.2025.ALTTRNP.EFI_CAFET_TRN_HWY_CAR_NEW_NA_MLSPGLN.A</t>
  </si>
  <si>
    <t>Transportation: Energy Efficiency Indicators: Tested: New Car: Alternative Transportation</t>
  </si>
  <si>
    <t>AEO.2025.ALTTRNP.EFI_CAFET_TRN_HWY_LDTY_NEW_NA_MLSPGLN.A</t>
  </si>
  <si>
    <t>Transportation: Energy Efficiency Indicators: Tested: New Light-Duty Vehicle: Alternative Transportation</t>
  </si>
  <si>
    <t>Tested New Light-Duty Vehicle</t>
  </si>
  <si>
    <t>AEO.2025.ALTTRNP.EFI_CAFEC_TRN_HWY_LTRT_NEW_NA_MLSPGLN.A</t>
  </si>
  <si>
    <t>Transportation: Energy Efficiency Indicators: Compliance: New Light Truck: Alternative Transportation</t>
  </si>
  <si>
    <t>AEO.2025.ALTTRNP.EFI_CAFEC_TRN_HWY_CAR_NEW_NA_MLSPGLN.A</t>
  </si>
  <si>
    <t>Transportation: Energy Efficiency Indicators: Compliance: New Car: Alternative Transportation</t>
  </si>
  <si>
    <t>AEO.2025.ALTTRNP.EFI_CAFEC_TRN_HWY_LDTY_NEW_NA_MLSPGLN.A</t>
  </si>
  <si>
    <t>Transportation: Energy Efficiency Indicators: Compliance: New Light-Duty Vehicle: Alternative Transportation</t>
  </si>
  <si>
    <t>Compliance New Light-Duty Vehicle</t>
  </si>
  <si>
    <t>AEO.2025.ALTTRNP.EFI_CAFES_TRN_HWY_LTRT_NEW_NA_MLSPGLN.A</t>
  </si>
  <si>
    <t>Transportation: Energy Efficiency Indicators: CAFE Standard: New Light Truck: Alternative Transportation</t>
  </si>
  <si>
    <t>AEO.2025.ALTTRNP.EFI_CAFES_TRN_HWY_CAR_NEW_NA_MLSPGLN.A</t>
  </si>
  <si>
    <t>Transportation: Energy Efficiency Indicators: CAFE Standard: New Car: Alternative Transportation</t>
  </si>
  <si>
    <t>AEO.2025.ALTTRNP.EFI_CAFES_TRN_HWY_LDTY_NEW_NA_MLSPGLN.A</t>
  </si>
  <si>
    <t>Transportation: Energy Efficiency Indicators: CAFE Standard: New Light-Duty Vehicle: Alternative Transportation</t>
  </si>
  <si>
    <t>New Light-Duty Vehicle CAFE Standard</t>
  </si>
  <si>
    <t>(miles per gallon)</t>
  </si>
  <si>
    <t>billion ton miles</t>
  </si>
  <si>
    <t>AEO.2025.ALTTRNP.KEI_TRV_TRN_NA_DMT_NA_NA_BLNTNMLS.A</t>
  </si>
  <si>
    <t>Transportation: Travel Indicators: Domestic Shipping: Alternative Transportation</t>
  </si>
  <si>
    <t>AEO.2025.ALTTRNP.KEI_TRV_TRN_NA_RAIL_NA_NA_BLNTNMLS.A</t>
  </si>
  <si>
    <t>Transportation: Travel Indicators: Rail: Alternative Transportation</t>
  </si>
  <si>
    <t>(billion ton miles traveled)</t>
  </si>
  <si>
    <t>billion seat miles</t>
  </si>
  <si>
    <t>AEO.2025.ALTTRNP.KEI_TRV_TRN_NA_AIR_NA_NA_BLNSEATMLS.A</t>
  </si>
  <si>
    <t>Transportation: Travel Indicators: Air: Alternative Transportation</t>
  </si>
  <si>
    <t>(billion seat miles available)</t>
  </si>
  <si>
    <t>billion passenger miles</t>
  </si>
  <si>
    <t>AEO.2025.ALTTRNP.KEI_TRV_TRN_NA_RLP_NA_NA_BPM.A</t>
  </si>
  <si>
    <t>Transportation: Travel Indicators: Passenger Rail: Alternative Transportation</t>
  </si>
  <si>
    <t>Passenger Rail</t>
  </si>
  <si>
    <t>AEO.2025.ALTTRNP.KEI_TRV_TRN_NA_BST_NA_NA_BPM.A</t>
  </si>
  <si>
    <t>Transportation: Travel Indicators: Bus: Alternative Transportation</t>
  </si>
  <si>
    <t>(billion passenger miles traveled)</t>
  </si>
  <si>
    <t>billion vehicle miles</t>
  </si>
  <si>
    <t>AEO.2025.ALTTRNP.KEI_TRV_TRN_NA_FGHT_NA_NA_BLNVEHMLS.A</t>
  </si>
  <si>
    <t>Transportation: Travel Indicators: Freight Trucks &gt; 10,000 lbs.: Alternative Transportation</t>
  </si>
  <si>
    <t>000 pounds</t>
  </si>
  <si>
    <t>Freight Trucks greater than 10</t>
  </si>
  <si>
    <t>AEO.2025.ALTTRNP.KEI_TRV_TRN_NA_CML_NA_NA_BLNVEHMLS.A</t>
  </si>
  <si>
    <t>Transportation: Travel Indicators: Commercial Light Trucks: Alternative Transportation</t>
  </si>
  <si>
    <t>AEO.2025.ALTTRNP.KEI_TRV_TRN_NA_LDV_NA_NA_BLNVEHMLS.A</t>
  </si>
  <si>
    <t>Transportation: Travel Indicators: Light-Duty Vehicles &lt;= 8,500 lbs: Alternative Transportation</t>
  </si>
  <si>
    <t>501 pounds</t>
  </si>
  <si>
    <t>Light-Duty Vehicles less than 8</t>
  </si>
  <si>
    <t>(billion vehicle miles traveled)</t>
  </si>
  <si>
    <t>Fri Dec 05 2025 14:42:41 GMT-0800 (Pacific Standard Time)</t>
  </si>
  <si>
    <t>https://www.eia.gov/outlooks/aeo/data/browser/#/?id=7-AEO2025&amp;cases=alttrnp&amp;sourcekey=0</t>
  </si>
  <si>
    <t>Table 7.  Transportation Sector Key Indicators and Delivered Energy Consumption</t>
  </si>
  <si>
    <t>2023, 2025</t>
  </si>
  <si>
    <t>Annual Energy Outlook 2023, 2025</t>
  </si>
  <si>
    <t>Alternative Transportation Scenario</t>
  </si>
  <si>
    <t>PASSENGER</t>
  </si>
  <si>
    <t>FREIGHT</t>
  </si>
  <si>
    <t>EPA and EIA transportation emissions may not align. To match EPA's emissions results, we can apply a calibration factor for the following sectors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</si>
</sst>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7">
    <numFmt numFmtId="44" formatCode="_(&quot;$&quot;* #,##0.00_);_(&quot;$&quot;* \(#,##0.00\);_(&quot;$&quot;* &quot;-&quot;??_);_(@_)"/>
    <numFmt numFmtId="43" formatCode="_(* #,##0.00_);_(* \(#,##0.00\);_(* &quot;-&quot;??_);_(@_)"/>
    <numFmt numFmtId="164" formatCode="0.0%"/>
    <numFmt numFmtId="165" formatCode="#,##0.0"/>
    <numFmt numFmtId="166" formatCode="###0.00_)"/>
    <numFmt numFmtId="167" formatCode="#,##0_)"/>
    <numFmt numFmtId="168" formatCode="0.000"/>
  </numFmts>
  <fonts count="70">
    <font>
      <sz val="11"/>
      <color theme="1"/>
      <name val="Calibri"/>
      <family val="2"/>
      <scheme val="minor"/>
    </font>
    <font>
      <sz val="11"/>
      <color theme="1"/>
      <name val="Calibri"/>
      <family val="2"/>
      <scheme val="minor"/>
    </font>
    <font>
      <b/>
      <sz val="11"/>
      <color theme="1"/>
      <name val="Calibri"/>
      <family val="2"/>
      <scheme val="minor"/>
    </font>
    <font>
      <sz val="9"/>
      <color indexed="8"/>
      <name val="Calibri"/>
      <family val="2"/>
    </font>
    <font>
      <sz val="9"/>
      <name val="Calibri"/>
      <family val="2"/>
    </font>
    <font>
      <b/>
      <sz val="9"/>
      <color indexed="8"/>
      <name val="Calibri"/>
      <family val="2"/>
    </font>
    <font>
      <sz val="8"/>
      <name val="Arial"/>
      <family val="2"/>
    </font>
    <font>
      <b/>
      <sz val="12"/>
      <color indexed="30"/>
      <name val="Calibri"/>
      <family val="2"/>
    </font>
    <font>
      <sz val="10"/>
      <color indexed="8"/>
      <name val="Arial"/>
      <family val="2"/>
    </font>
    <font>
      <sz val="11"/>
      <color indexed="8"/>
      <name val="Calibri"/>
      <family val="2"/>
    </font>
    <font>
      <sz val="11"/>
      <color indexed="9"/>
      <name val="Calibri"/>
      <family val="2"/>
    </font>
    <font>
      <sz val="11"/>
      <color indexed="20"/>
      <name val="Calibri"/>
      <family val="2"/>
    </font>
    <font>
      <b/>
      <sz val="11"/>
      <color indexed="52"/>
      <name val="Calibri"/>
      <family val="2"/>
    </font>
    <font>
      <b/>
      <sz val="11"/>
      <color indexed="9"/>
      <name val="Calibri"/>
      <family val="2"/>
    </font>
    <font>
      <sz val="12"/>
      <name val="Helv"/>
    </font>
    <font>
      <sz val="10"/>
      <name val="Arial"/>
      <family val="2"/>
    </font>
    <font>
      <b/>
      <sz val="12"/>
      <name val="Helv"/>
    </font>
    <font>
      <sz val="10"/>
      <name val="Helv"/>
    </font>
    <font>
      <sz val="10"/>
      <name val="Helv"/>
      <family val="2"/>
    </font>
    <font>
      <sz val="9"/>
      <name val="Helv"/>
    </font>
    <font>
      <vertAlign val="superscript"/>
      <sz val="12"/>
      <name val="Helv"/>
    </font>
    <font>
      <i/>
      <sz val="11"/>
      <color indexed="23"/>
      <name val="Calibri"/>
      <family val="2"/>
    </font>
    <font>
      <sz val="11"/>
      <color indexed="17"/>
      <name val="Calibri"/>
      <family val="2"/>
    </font>
    <font>
      <b/>
      <sz val="15"/>
      <color indexed="56"/>
      <name val="Calibri"/>
      <family val="2"/>
    </font>
    <font>
      <b/>
      <sz val="13"/>
      <color indexed="56"/>
      <name val="Calibri"/>
      <family val="2"/>
    </font>
    <font>
      <b/>
      <sz val="11"/>
      <color indexed="56"/>
      <name val="Calibri"/>
      <family val="2"/>
    </font>
    <font>
      <b/>
      <sz val="10"/>
      <name val="Helv"/>
    </font>
    <font>
      <b/>
      <sz val="10"/>
      <name val="Helv"/>
      <family val="2"/>
    </font>
    <font>
      <b/>
      <sz val="9"/>
      <name val="Helv"/>
    </font>
    <font>
      <sz val="8.5"/>
      <name val="Helv"/>
    </font>
    <font>
      <u/>
      <sz val="10"/>
      <color indexed="12"/>
      <name val="Arial"/>
      <family val="2"/>
    </font>
    <font>
      <sz val="11"/>
      <color indexed="62"/>
      <name val="Calibri"/>
      <family val="2"/>
    </font>
    <font>
      <sz val="11"/>
      <color indexed="52"/>
      <name val="Calibri"/>
      <family val="2"/>
    </font>
    <font>
      <sz val="11"/>
      <color indexed="60"/>
      <name val="Calibri"/>
      <family val="2"/>
    </font>
    <font>
      <sz val="18"/>
      <name val="P-AVGARD"/>
    </font>
    <font>
      <b/>
      <sz val="11"/>
      <color indexed="63"/>
      <name val="Calibri"/>
      <family val="2"/>
    </font>
    <font>
      <sz val="8"/>
      <name val="Helv"/>
    </font>
    <font>
      <vertAlign val="superscript"/>
      <sz val="12"/>
      <name val="Helv"/>
      <family val="2"/>
    </font>
    <font>
      <sz val="8"/>
      <name val="Helv"/>
      <family val="2"/>
    </font>
    <font>
      <b/>
      <sz val="18"/>
      <color indexed="56"/>
      <name val="Cambria"/>
      <family val="2"/>
    </font>
    <font>
      <b/>
      <sz val="14"/>
      <name val="Helv"/>
    </font>
    <font>
      <b/>
      <sz val="11"/>
      <color indexed="8"/>
      <name val="Calibri"/>
      <family val="2"/>
    </font>
    <font>
      <sz val="11"/>
      <color indexed="10"/>
      <name val="Calibri"/>
      <family val="2"/>
    </font>
    <font>
      <sz val="18"/>
      <color theme="3"/>
      <name val="Cambria"/>
      <family val="2"/>
      <scheme val="major"/>
    </font>
    <font>
      <b/>
      <sz val="15"/>
      <color theme="3"/>
      <name val="Calibri"/>
      <family val="2"/>
      <scheme val="minor"/>
    </font>
    <font>
      <b/>
      <sz val="13"/>
      <color theme="3"/>
      <name val="Calibri"/>
      <family val="2"/>
      <scheme val="minor"/>
    </font>
    <font>
      <b/>
      <sz val="11"/>
      <color theme="3"/>
      <name val="Calibri"/>
      <family val="2"/>
      <scheme val="minor"/>
    </font>
    <font>
      <sz val="11"/>
      <color rgb="FF006100"/>
      <name val="Calibri"/>
      <family val="2"/>
      <scheme val="minor"/>
    </font>
    <font>
      <sz val="11"/>
      <color rgb="FF9C0006"/>
      <name val="Calibri"/>
      <family val="2"/>
      <scheme val="minor"/>
    </font>
    <font>
      <sz val="11"/>
      <color rgb="FF3F3F76"/>
      <name val="Calibri"/>
      <family val="2"/>
      <scheme val="minor"/>
    </font>
    <font>
      <b/>
      <sz val="11"/>
      <color rgb="FF3F3F3F"/>
      <name val="Calibri"/>
      <family val="2"/>
      <scheme val="minor"/>
    </font>
    <font>
      <b/>
      <sz val="11"/>
      <color rgb="FFFA7D00"/>
      <name val="Calibri"/>
      <family val="2"/>
      <scheme val="minor"/>
    </font>
    <font>
      <sz val="11"/>
      <color rgb="FFFA7D00"/>
      <name val="Calibri"/>
      <family val="2"/>
      <scheme val="minor"/>
    </font>
    <font>
      <b/>
      <sz val="11"/>
      <color theme="0"/>
      <name val="Calibri"/>
      <family val="2"/>
      <scheme val="minor"/>
    </font>
    <font>
      <sz val="11"/>
      <color rgb="FFFF0000"/>
      <name val="Calibri"/>
      <family val="2"/>
      <scheme val="minor"/>
    </font>
    <font>
      <i/>
      <sz val="11"/>
      <color rgb="FF7F7F7F"/>
      <name val="Calibri"/>
      <family val="2"/>
      <scheme val="minor"/>
    </font>
    <font>
      <sz val="11"/>
      <color theme="0"/>
      <name val="Calibri"/>
      <family val="2"/>
      <scheme val="minor"/>
    </font>
    <font>
      <u/>
      <sz val="11"/>
      <color theme="10"/>
      <name val="Calibri"/>
      <family val="2"/>
      <scheme val="minor"/>
    </font>
    <font>
      <sz val="11"/>
      <color rgb="FF9C6500"/>
      <name val="Calibri"/>
      <family val="2"/>
      <scheme val="minor"/>
    </font>
    <font>
      <sz val="10"/>
      <name val="Calibri"/>
      <family val="2"/>
    </font>
    <font>
      <b/>
      <sz val="9"/>
      <name val="Calibri"/>
      <family val="2"/>
    </font>
    <font>
      <sz val="9"/>
      <name val="Calibri"/>
      <family val="2"/>
    </font>
    <font>
      <sz val="10"/>
      <name val="Calibri"/>
      <family val="2"/>
    </font>
    <font>
      <b/>
      <sz val="12"/>
      <name val="Calibri"/>
      <family val="2"/>
    </font>
    <font>
      <sz val="10"/>
      <name val="Calibri"/>
      <family val="2"/>
    </font>
    <font>
      <sz val="9"/>
      <name val="Calibri"/>
      <family val="2"/>
    </font>
    <font>
      <i/>
      <sz val="11"/>
      <color theme="1"/>
      <name val="Calibri"/>
      <family val="2"/>
      <scheme val="minor"/>
    </font>
    <font>
      <b/>
      <sz val="9"/>
      <name val="Calibri"/>
      <family val="2"/>
    </font>
    <font>
      <sz val="9"/>
      <name val="Calibri"/>
      <family val="2"/>
    </font>
    <font>
      <sz val="10"/>
      <name val="Calibri"/>
      <family val="2"/>
    </font>
  </fonts>
  <fills count="62">
    <fill>
      <patternFill patternType="none"/>
    </fill>
    <fill>
      <patternFill patternType="gray125"/>
    </fill>
    <fill>
      <patternFill patternType="solid">
        <fgColor rgb="FFFFFFCC"/>
      </patternFill>
    </fill>
    <fill>
      <patternFill patternType="solid">
        <fgColor theme="0" tint="-0.249977111117893"/>
        <bgColor indexed="64"/>
      </patternFill>
    </fill>
    <fill>
      <patternFill patternType="solid">
        <fgColor indexed="31"/>
      </patternFill>
    </fill>
    <fill>
      <patternFill patternType="solid">
        <fgColor indexed="45"/>
      </patternFill>
    </fill>
    <fill>
      <patternFill patternType="solid">
        <fgColor indexed="42"/>
      </patternFill>
    </fill>
    <fill>
      <patternFill patternType="solid">
        <fgColor indexed="46"/>
      </patternFill>
    </fill>
    <fill>
      <patternFill patternType="solid">
        <fgColor indexed="27"/>
      </patternFill>
    </fill>
    <fill>
      <patternFill patternType="solid">
        <fgColor indexed="47"/>
      </patternFill>
    </fill>
    <fill>
      <patternFill patternType="solid">
        <fgColor indexed="44"/>
      </patternFill>
    </fill>
    <fill>
      <patternFill patternType="solid">
        <fgColor indexed="29"/>
      </patternFill>
    </fill>
    <fill>
      <patternFill patternType="solid">
        <fgColor indexed="11"/>
      </patternFill>
    </fill>
    <fill>
      <patternFill patternType="solid">
        <fgColor indexed="51"/>
      </patternFill>
    </fill>
    <fill>
      <patternFill patternType="solid">
        <fgColor indexed="30"/>
      </patternFill>
    </fill>
    <fill>
      <patternFill patternType="solid">
        <fgColor indexed="36"/>
      </patternFill>
    </fill>
    <fill>
      <patternFill patternType="solid">
        <fgColor indexed="49"/>
      </patternFill>
    </fill>
    <fill>
      <patternFill patternType="solid">
        <fgColor indexed="52"/>
      </patternFill>
    </fill>
    <fill>
      <patternFill patternType="solid">
        <fgColor indexed="62"/>
      </patternFill>
    </fill>
    <fill>
      <patternFill patternType="solid">
        <fgColor indexed="10"/>
      </patternFill>
    </fill>
    <fill>
      <patternFill patternType="solid">
        <fgColor indexed="57"/>
      </patternFill>
    </fill>
    <fill>
      <patternFill patternType="solid">
        <fgColor indexed="53"/>
      </patternFill>
    </fill>
    <fill>
      <patternFill patternType="solid">
        <fgColor indexed="22"/>
      </patternFill>
    </fill>
    <fill>
      <patternFill patternType="solid">
        <fgColor indexed="55"/>
      </patternFill>
    </fill>
    <fill>
      <patternFill patternType="solid">
        <fgColor indexed="22"/>
        <bgColor indexed="9"/>
      </patternFill>
    </fill>
    <fill>
      <patternFill patternType="solid">
        <fgColor indexed="43"/>
      </patternFill>
    </fill>
    <fill>
      <patternFill patternType="solid">
        <fgColor indexed="26"/>
      </patternFill>
    </fill>
    <fill>
      <patternFill patternType="solid">
        <fgColor indexed="22"/>
        <bgColor indexed="55"/>
      </patternFill>
    </fill>
    <fill>
      <patternFill patternType="solid">
        <fgColor rgb="FFFFFF00"/>
        <bgColor indexed="64"/>
      </patternFill>
    </fill>
    <fill>
      <patternFill patternType="solid">
        <fgColor rgb="FFC6EFCE"/>
      </patternFill>
    </fill>
    <fill>
      <patternFill patternType="solid">
        <fgColor rgb="FFFFC7CE"/>
      </patternFill>
    </fill>
    <fill>
      <patternFill patternType="solid">
        <fgColor rgb="FFFFEB9C"/>
      </patternFill>
    </fill>
    <fill>
      <patternFill patternType="solid">
        <fgColor rgb="FFFFCC99"/>
      </patternFill>
    </fill>
    <fill>
      <patternFill patternType="solid">
        <fgColor rgb="FFF2F2F2"/>
      </patternFill>
    </fill>
    <fill>
      <patternFill patternType="solid">
        <fgColor rgb="FFA5A5A5"/>
      </patternFill>
    </fill>
    <fill>
      <patternFill patternType="solid">
        <fgColor theme="4"/>
      </patternFill>
    </fill>
    <fill>
      <patternFill patternType="solid">
        <fgColor theme="4" tint="0.79998168889431442"/>
        <bgColor indexed="65"/>
      </patternFill>
    </fill>
    <fill>
      <patternFill patternType="solid">
        <fgColor theme="4" tint="0.59999389629810485"/>
        <bgColor indexed="65"/>
      </patternFill>
    </fill>
    <fill>
      <patternFill patternType="solid">
        <fgColor theme="4" tint="0.39997558519241921"/>
        <bgColor indexed="65"/>
      </patternFill>
    </fill>
    <fill>
      <patternFill patternType="solid">
        <fgColor theme="5"/>
      </patternFill>
    </fill>
    <fill>
      <patternFill patternType="solid">
        <fgColor theme="5" tint="0.79998168889431442"/>
        <bgColor indexed="65"/>
      </patternFill>
    </fill>
    <fill>
      <patternFill patternType="solid">
        <fgColor theme="5" tint="0.59999389629810485"/>
        <bgColor indexed="65"/>
      </patternFill>
    </fill>
    <fill>
      <patternFill patternType="solid">
        <fgColor theme="5" tint="0.39997558519241921"/>
        <bgColor indexed="65"/>
      </patternFill>
    </fill>
    <fill>
      <patternFill patternType="solid">
        <fgColor theme="6"/>
      </patternFill>
    </fill>
    <fill>
      <patternFill patternType="solid">
        <fgColor theme="6" tint="0.79998168889431442"/>
        <bgColor indexed="65"/>
      </patternFill>
    </fill>
    <fill>
      <patternFill patternType="solid">
        <fgColor theme="6" tint="0.59999389629810485"/>
        <bgColor indexed="65"/>
      </patternFill>
    </fill>
    <fill>
      <patternFill patternType="solid">
        <fgColor theme="6" tint="0.39997558519241921"/>
        <bgColor indexed="65"/>
      </patternFill>
    </fill>
    <fill>
      <patternFill patternType="solid">
        <fgColor theme="7"/>
      </patternFill>
    </fill>
    <fill>
      <patternFill patternType="solid">
        <fgColor theme="7" tint="0.79998168889431442"/>
        <bgColor indexed="65"/>
      </patternFill>
    </fill>
    <fill>
      <patternFill patternType="solid">
        <fgColor theme="7" tint="0.59999389629810485"/>
        <bgColor indexed="65"/>
      </patternFill>
    </fill>
    <fill>
      <patternFill patternType="solid">
        <fgColor theme="7" tint="0.39997558519241921"/>
        <bgColor indexed="65"/>
      </patternFill>
    </fill>
    <fill>
      <patternFill patternType="solid">
        <fgColor theme="8"/>
      </patternFill>
    </fill>
    <fill>
      <patternFill patternType="solid">
        <fgColor theme="8" tint="0.79998168889431442"/>
        <bgColor indexed="65"/>
      </patternFill>
    </fill>
    <fill>
      <patternFill patternType="solid">
        <fgColor theme="8" tint="0.59999389629810485"/>
        <bgColor indexed="65"/>
      </patternFill>
    </fill>
    <fill>
      <patternFill patternType="solid">
        <fgColor theme="8" tint="0.39997558519241921"/>
        <bgColor indexed="65"/>
      </patternFill>
    </fill>
    <fill>
      <patternFill patternType="solid">
        <fgColor theme="9"/>
      </patternFill>
    </fill>
    <fill>
      <patternFill patternType="solid">
        <fgColor theme="9" tint="0.79998168889431442"/>
        <bgColor indexed="65"/>
      </patternFill>
    </fill>
    <fill>
      <patternFill patternType="solid">
        <fgColor theme="9" tint="0.59999389629810485"/>
        <bgColor indexed="65"/>
      </patternFill>
    </fill>
    <fill>
      <patternFill patternType="solid">
        <fgColor theme="9" tint="0.39997558519241921"/>
        <bgColor indexed="65"/>
      </patternFill>
    </fill>
    <fill>
      <patternFill patternType="solid">
        <fgColor theme="0" tint="-0.14999847407452621"/>
        <bgColor indexed="64"/>
      </patternFill>
    </fill>
    <fill>
      <patternFill patternType="solid">
        <fgColor theme="9" tint="0.39997558519241921"/>
        <bgColor indexed="64"/>
      </patternFill>
    </fill>
    <fill>
      <patternFill patternType="solid">
        <fgColor theme="7" tint="0.59999389629810485"/>
        <bgColor indexed="64"/>
      </patternFill>
    </fill>
  </fills>
  <borders count="27">
    <border>
      <left/>
      <right/>
      <top/>
      <bottom/>
      <diagonal/>
    </border>
    <border>
      <left style="thin">
        <color rgb="FFB2B2B2"/>
      </left>
      <right style="thin">
        <color rgb="FFB2B2B2"/>
      </right>
      <top style="thin">
        <color rgb="FFB2B2B2"/>
      </top>
      <bottom style="thin">
        <color rgb="FFB2B2B2"/>
      </bottom>
      <diagonal/>
    </border>
    <border>
      <left/>
      <right/>
      <top style="medium">
        <color rgb="FF0096D7"/>
      </top>
      <bottom/>
      <diagonal/>
    </border>
    <border>
      <left/>
      <right/>
      <top/>
      <bottom style="thin">
        <color rgb="FFBFBFBF"/>
      </bottom>
      <diagonal/>
    </border>
    <border>
      <left/>
      <right/>
      <top/>
      <bottom style="dashed">
        <color rgb="FFBFBFBF"/>
      </bottom>
      <diagonal/>
    </border>
    <border>
      <left/>
      <right/>
      <top/>
      <bottom style="thick">
        <color rgb="FF0096D7"/>
      </bottom>
      <diagonal/>
    </border>
    <border>
      <left style="thin">
        <color indexed="23"/>
      </left>
      <right style="thin">
        <color indexed="23"/>
      </right>
      <top style="thin">
        <color indexed="23"/>
      </top>
      <bottom style="thin">
        <color indexed="23"/>
      </bottom>
      <diagonal/>
    </border>
    <border>
      <left style="double">
        <color indexed="63"/>
      </left>
      <right style="double">
        <color indexed="63"/>
      </right>
      <top style="double">
        <color indexed="63"/>
      </top>
      <bottom style="double">
        <color indexed="63"/>
      </bottom>
      <diagonal/>
    </border>
    <border>
      <left/>
      <right/>
      <top/>
      <bottom style="thin">
        <color indexed="22"/>
      </bottom>
      <diagonal/>
    </border>
    <border>
      <left/>
      <right/>
      <top/>
      <bottom style="thick">
        <color indexed="62"/>
      </bottom>
      <diagonal/>
    </border>
    <border>
      <left/>
      <right/>
      <top/>
      <bottom style="thick">
        <color indexed="22"/>
      </bottom>
      <diagonal/>
    </border>
    <border>
      <left/>
      <right/>
      <top/>
      <bottom style="medium">
        <color indexed="30"/>
      </bottom>
      <diagonal/>
    </border>
    <border>
      <left/>
      <right/>
      <top/>
      <bottom style="hair">
        <color indexed="64"/>
      </bottom>
      <diagonal/>
    </border>
    <border>
      <left/>
      <right/>
      <top/>
      <bottom style="thin">
        <color indexed="64"/>
      </bottom>
      <diagonal/>
    </border>
    <border>
      <left/>
      <right/>
      <top/>
      <bottom style="double">
        <color indexed="52"/>
      </bottom>
      <diagonal/>
    </border>
    <border>
      <left style="thin">
        <color indexed="22"/>
      </left>
      <right style="thin">
        <color indexed="22"/>
      </right>
      <top style="thin">
        <color indexed="22"/>
      </top>
      <bottom style="thin">
        <color indexed="22"/>
      </bottom>
      <diagonal/>
    </border>
    <border>
      <left style="thin">
        <color indexed="63"/>
      </left>
      <right style="thin">
        <color indexed="63"/>
      </right>
      <top style="thin">
        <color indexed="63"/>
      </top>
      <bottom style="thin">
        <color indexed="63"/>
      </bottom>
      <diagonal/>
    </border>
    <border>
      <left/>
      <right/>
      <top/>
      <bottom style="hair">
        <color indexed="8"/>
      </bottom>
      <diagonal/>
    </border>
    <border>
      <left/>
      <right/>
      <top style="thin">
        <color indexed="62"/>
      </top>
      <bottom style="double">
        <color indexed="62"/>
      </bottom>
      <diagonal/>
    </border>
    <border>
      <left/>
      <right/>
      <top/>
      <bottom style="thick">
        <color theme="4"/>
      </bottom>
      <diagonal/>
    </border>
    <border>
      <left/>
      <right/>
      <top/>
      <bottom style="thick">
        <color theme="4" tint="0.499984740745262"/>
      </bottom>
      <diagonal/>
    </border>
    <border>
      <left/>
      <right/>
      <top/>
      <bottom style="medium">
        <color theme="4" tint="0.39997558519241921"/>
      </bottom>
      <diagonal/>
    </border>
    <border>
      <left style="thin">
        <color rgb="FF7F7F7F"/>
      </left>
      <right style="thin">
        <color rgb="FF7F7F7F"/>
      </right>
      <top style="thin">
        <color rgb="FF7F7F7F"/>
      </top>
      <bottom style="thin">
        <color rgb="FF7F7F7F"/>
      </bottom>
      <diagonal/>
    </border>
    <border>
      <left style="thin">
        <color rgb="FF3F3F3F"/>
      </left>
      <right style="thin">
        <color rgb="FF3F3F3F"/>
      </right>
      <top style="thin">
        <color rgb="FF3F3F3F"/>
      </top>
      <bottom style="thin">
        <color rgb="FF3F3F3F"/>
      </bottom>
      <diagonal/>
    </border>
    <border>
      <left/>
      <right/>
      <top/>
      <bottom style="double">
        <color rgb="FFFF8001"/>
      </bottom>
      <diagonal/>
    </border>
    <border>
      <left style="double">
        <color rgb="FF3F3F3F"/>
      </left>
      <right style="double">
        <color rgb="FF3F3F3F"/>
      </right>
      <top style="double">
        <color rgb="FF3F3F3F"/>
      </top>
      <bottom style="double">
        <color rgb="FF3F3F3F"/>
      </bottom>
      <diagonal/>
    </border>
    <border>
      <left/>
      <right/>
      <top style="thin">
        <color theme="4"/>
      </top>
      <bottom style="double">
        <color theme="4"/>
      </bottom>
      <diagonal/>
    </border>
  </borders>
  <cellStyleXfs count="227">
    <xf numFmtId="0" fontId="0" fillId="0" borderId="0"/>
    <xf numFmtId="0" fontId="3" fillId="0" borderId="0"/>
    <xf numFmtId="0" fontId="3" fillId="0" borderId="2" applyNumberFormat="0" applyProtection="0">
      <alignment wrapText="1"/>
    </xf>
    <xf numFmtId="0" fontId="5" fillId="0" borderId="3" applyNumberFormat="0" applyProtection="0">
      <alignment wrapText="1"/>
    </xf>
    <xf numFmtId="0" fontId="3" fillId="0" borderId="4" applyNumberFormat="0" applyFont="0" applyProtection="0">
      <alignment wrapText="1"/>
    </xf>
    <xf numFmtId="0" fontId="5" fillId="0" borderId="5" applyNumberFormat="0" applyProtection="0">
      <alignment wrapText="1"/>
    </xf>
    <xf numFmtId="0" fontId="3" fillId="0" borderId="0" applyNumberFormat="0" applyFill="0" applyBorder="0" applyAlignment="0" applyProtection="0"/>
    <xf numFmtId="0" fontId="7" fillId="0" borderId="0" applyNumberFormat="0" applyProtection="0">
      <alignment horizontal="left"/>
    </xf>
    <xf numFmtId="0" fontId="9" fillId="4" borderId="0" applyNumberFormat="0" applyBorder="0" applyAlignment="0" applyProtection="0"/>
    <xf numFmtId="0" fontId="9" fillId="5" borderId="0" applyNumberFormat="0" applyBorder="0" applyAlignment="0" applyProtection="0"/>
    <xf numFmtId="0" fontId="9" fillId="6" borderId="0" applyNumberFormat="0" applyBorder="0" applyAlignment="0" applyProtection="0"/>
    <xf numFmtId="0" fontId="9" fillId="7" borderId="0" applyNumberFormat="0" applyBorder="0" applyAlignment="0" applyProtection="0"/>
    <xf numFmtId="0" fontId="9" fillId="8" borderId="0" applyNumberFormat="0" applyBorder="0" applyAlignment="0" applyProtection="0"/>
    <xf numFmtId="0" fontId="9" fillId="9" borderId="0" applyNumberFormat="0" applyBorder="0" applyAlignment="0" applyProtection="0"/>
    <xf numFmtId="0" fontId="9" fillId="10" borderId="0" applyNumberFormat="0" applyBorder="0" applyAlignment="0" applyProtection="0"/>
    <xf numFmtId="0" fontId="9" fillId="11" borderId="0" applyNumberFormat="0" applyBorder="0" applyAlignment="0" applyProtection="0"/>
    <xf numFmtId="0" fontId="9" fillId="12" borderId="0" applyNumberFormat="0" applyBorder="0" applyAlignment="0" applyProtection="0"/>
    <xf numFmtId="0" fontId="9" fillId="7" borderId="0" applyNumberFormat="0" applyBorder="0" applyAlignment="0" applyProtection="0"/>
    <xf numFmtId="0" fontId="9" fillId="10" borderId="0" applyNumberFormat="0" applyBorder="0" applyAlignment="0" applyProtection="0"/>
    <xf numFmtId="0" fontId="9" fillId="13" borderId="0" applyNumberFormat="0" applyBorder="0" applyAlignment="0" applyProtection="0"/>
    <xf numFmtId="0" fontId="10" fillId="14" borderId="0" applyNumberFormat="0" applyBorder="0" applyAlignment="0" applyProtection="0"/>
    <xf numFmtId="0" fontId="10" fillId="11" borderId="0" applyNumberFormat="0" applyBorder="0" applyAlignment="0" applyProtection="0"/>
    <xf numFmtId="0" fontId="10" fillId="12" borderId="0" applyNumberFormat="0" applyBorder="0" applyAlignment="0" applyProtection="0"/>
    <xf numFmtId="0" fontId="10" fillId="15" borderId="0" applyNumberFormat="0" applyBorder="0" applyAlignment="0" applyProtection="0"/>
    <xf numFmtId="0" fontId="10" fillId="16" borderId="0" applyNumberFormat="0" applyBorder="0" applyAlignment="0" applyProtection="0"/>
    <xf numFmtId="0" fontId="10" fillId="17" borderId="0" applyNumberFormat="0" applyBorder="0" applyAlignment="0" applyProtection="0"/>
    <xf numFmtId="0" fontId="10" fillId="18" borderId="0" applyNumberFormat="0" applyBorder="0" applyAlignment="0" applyProtection="0"/>
    <xf numFmtId="0" fontId="10" fillId="19" borderId="0" applyNumberFormat="0" applyBorder="0" applyAlignment="0" applyProtection="0"/>
    <xf numFmtId="0" fontId="10" fillId="20" borderId="0" applyNumberFormat="0" applyBorder="0" applyAlignment="0" applyProtection="0"/>
    <xf numFmtId="0" fontId="10" fillId="15" borderId="0" applyNumberFormat="0" applyBorder="0" applyAlignment="0" applyProtection="0"/>
    <xf numFmtId="0" fontId="10" fillId="16" borderId="0" applyNumberFormat="0" applyBorder="0" applyAlignment="0" applyProtection="0"/>
    <xf numFmtId="0" fontId="10" fillId="21" borderId="0" applyNumberFormat="0" applyBorder="0" applyAlignment="0" applyProtection="0"/>
    <xf numFmtId="0" fontId="11" fillId="5" borderId="0" applyNumberFormat="0" applyBorder="0" applyAlignment="0" applyProtection="0"/>
    <xf numFmtId="0" fontId="3" fillId="0" borderId="4" applyNumberFormat="0" applyFont="0" applyProtection="0">
      <alignment wrapText="1"/>
    </xf>
    <xf numFmtId="0" fontId="12" fillId="22" borderId="6" applyNumberFormat="0" applyAlignment="0" applyProtection="0"/>
    <xf numFmtId="0" fontId="13" fillId="23" borderId="7" applyNumberFormat="0" applyAlignment="0" applyProtection="0"/>
    <xf numFmtId="0" fontId="14" fillId="0" borderId="0">
      <alignment horizontal="center" vertical="center" wrapText="1"/>
    </xf>
    <xf numFmtId="43" fontId="15" fillId="0" borderId="0" applyFont="0" applyFill="0" applyBorder="0" applyAlignment="0" applyProtection="0"/>
    <xf numFmtId="43" fontId="1" fillId="0" borderId="0" applyFont="0" applyFill="0" applyBorder="0" applyAlignment="0" applyProtection="0"/>
    <xf numFmtId="43" fontId="9" fillId="0" borderId="0" applyFont="0" applyFill="0" applyBorder="0" applyAlignment="0" applyProtection="0"/>
    <xf numFmtId="43" fontId="15"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0" fontId="16" fillId="0" borderId="0">
      <alignment horizontal="left" vertical="center" wrapText="1"/>
    </xf>
    <xf numFmtId="44" fontId="1" fillId="0" borderId="0" applyFont="0" applyFill="0" applyBorder="0" applyAlignment="0" applyProtection="0"/>
    <xf numFmtId="44" fontId="1" fillId="0" borderId="0" applyFont="0" applyFill="0" applyBorder="0" applyAlignment="0" applyProtection="0"/>
    <xf numFmtId="44" fontId="15" fillId="0" borderId="0" applyFont="0" applyFill="0" applyBorder="0" applyAlignment="0" applyProtection="0"/>
    <xf numFmtId="166" fontId="17" fillId="0" borderId="8" applyNumberFormat="0" applyFill="0">
      <alignment horizontal="right"/>
    </xf>
    <xf numFmtId="166" fontId="18" fillId="0" borderId="8" applyNumberFormat="0" applyFill="0">
      <alignment horizontal="right"/>
    </xf>
    <xf numFmtId="167" fontId="19" fillId="0" borderId="8">
      <alignment horizontal="right" vertical="center"/>
    </xf>
    <xf numFmtId="49" fontId="20" fillId="0" borderId="8">
      <alignment horizontal="left" vertical="center"/>
    </xf>
    <xf numFmtId="166" fontId="17" fillId="0" borderId="8" applyNumberFormat="0" applyFill="0">
      <alignment horizontal="right"/>
    </xf>
    <xf numFmtId="0" fontId="21" fillId="0" borderId="0" applyNumberFormat="0" applyFill="0" applyBorder="0" applyAlignment="0" applyProtection="0"/>
    <xf numFmtId="0" fontId="3" fillId="0" borderId="0" applyNumberFormat="0" applyFill="0" applyBorder="0" applyAlignment="0" applyProtection="0"/>
    <xf numFmtId="0" fontId="3" fillId="0" borderId="2" applyNumberFormat="0" applyProtection="0">
      <alignment wrapText="1"/>
    </xf>
    <xf numFmtId="0" fontId="22" fillId="6" borderId="0" applyNumberFormat="0" applyBorder="0" applyAlignment="0" applyProtection="0"/>
    <xf numFmtId="0" fontId="5" fillId="0" borderId="5" applyNumberFormat="0" applyProtection="0">
      <alignment wrapText="1"/>
    </xf>
    <xf numFmtId="0" fontId="23" fillId="0" borderId="9" applyNumberFormat="0" applyFill="0" applyAlignment="0" applyProtection="0"/>
    <xf numFmtId="0" fontId="24" fillId="0" borderId="10" applyNumberFormat="0" applyFill="0" applyAlignment="0" applyProtection="0"/>
    <xf numFmtId="0" fontId="25" fillId="0" borderId="11" applyNumberFormat="0" applyFill="0" applyAlignment="0" applyProtection="0"/>
    <xf numFmtId="0" fontId="25" fillId="0" borderId="0" applyNumberFormat="0" applyFill="0" applyBorder="0" applyAlignment="0" applyProtection="0"/>
    <xf numFmtId="0" fontId="26" fillId="0" borderId="8">
      <alignment horizontal="left"/>
    </xf>
    <xf numFmtId="0" fontId="27" fillId="0" borderId="8">
      <alignment horizontal="left"/>
    </xf>
    <xf numFmtId="0" fontId="28" fillId="0" borderId="12">
      <alignment horizontal="right" vertical="center"/>
    </xf>
    <xf numFmtId="0" fontId="29" fillId="0" borderId="8">
      <alignment horizontal="left" vertical="center"/>
    </xf>
    <xf numFmtId="0" fontId="17" fillId="0" borderId="8">
      <alignment horizontal="left" vertical="center"/>
    </xf>
    <xf numFmtId="0" fontId="26" fillId="0" borderId="8">
      <alignment horizontal="left"/>
    </xf>
    <xf numFmtId="0" fontId="26" fillId="24" borderId="0">
      <alignment horizontal="centerContinuous" wrapText="1"/>
    </xf>
    <xf numFmtId="49" fontId="26" fillId="24" borderId="13">
      <alignment horizontal="left" vertical="center"/>
    </xf>
    <xf numFmtId="0" fontId="26" fillId="24" borderId="0">
      <alignment horizontal="centerContinuous" vertical="center" wrapText="1"/>
    </xf>
    <xf numFmtId="0" fontId="30" fillId="0" borderId="0" applyNumberFormat="0" applyFill="0" applyBorder="0" applyAlignment="0" applyProtection="0">
      <alignment vertical="top"/>
      <protection locked="0"/>
    </xf>
    <xf numFmtId="0" fontId="31" fillId="9" borderId="6" applyNumberFormat="0" applyAlignment="0" applyProtection="0"/>
    <xf numFmtId="0" fontId="32" fillId="0" borderId="14" applyNumberFormat="0" applyFill="0" applyAlignment="0" applyProtection="0"/>
    <xf numFmtId="0" fontId="33" fillId="25" borderId="0" applyNumberFormat="0" applyBorder="0" applyAlignment="0" applyProtection="0"/>
    <xf numFmtId="0" fontId="1" fillId="0" borderId="0"/>
    <xf numFmtId="0" fontId="1" fillId="0" borderId="0"/>
    <xf numFmtId="0" fontId="15" fillId="0" borderId="0"/>
    <xf numFmtId="0" fontId="34" fillId="0" borderId="0"/>
    <xf numFmtId="0" fontId="15" fillId="0" borderId="0"/>
    <xf numFmtId="0" fontId="15"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5"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5" fillId="0" borderId="0"/>
    <xf numFmtId="0" fontId="15" fillId="0" borderId="0"/>
    <xf numFmtId="0" fontId="1" fillId="0" borderId="0"/>
    <xf numFmtId="0" fontId="1" fillId="0" borderId="0"/>
    <xf numFmtId="0" fontId="1" fillId="0" borderId="0"/>
    <xf numFmtId="0" fontId="15" fillId="0" borderId="0"/>
    <xf numFmtId="0" fontId="1" fillId="2" borderId="1" applyNumberFormat="0" applyFont="0" applyAlignment="0" applyProtection="0"/>
    <xf numFmtId="0" fontId="15" fillId="26" borderId="15" applyNumberFormat="0" applyFont="0" applyAlignment="0" applyProtection="0"/>
    <xf numFmtId="0" fontId="35" fillId="22" borderId="16" applyNumberFormat="0" applyAlignment="0" applyProtection="0"/>
    <xf numFmtId="0" fontId="5" fillId="0" borderId="3" applyNumberFormat="0" applyProtection="0">
      <alignment wrapText="1"/>
    </xf>
    <xf numFmtId="9" fontId="1" fillId="0" borderId="0" applyFont="0" applyFill="0" applyBorder="0" applyAlignment="0" applyProtection="0"/>
    <xf numFmtId="9" fontId="1" fillId="0" borderId="0" applyFont="0" applyFill="0" applyBorder="0" applyAlignment="0" applyProtection="0"/>
    <xf numFmtId="9" fontId="15" fillId="0" borderId="0" applyFont="0" applyFill="0" applyBorder="0" applyAlignment="0" applyProtection="0"/>
    <xf numFmtId="9" fontId="15" fillId="0" borderId="0" applyFont="0" applyFill="0" applyBorder="0" applyAlignment="0" applyProtection="0"/>
    <xf numFmtId="9" fontId="1" fillId="0" borderId="0" applyFont="0" applyFill="0" applyBorder="0" applyAlignment="0" applyProtection="0"/>
    <xf numFmtId="3" fontId="19" fillId="0" borderId="0">
      <alignment horizontal="left" vertical="center"/>
    </xf>
    <xf numFmtId="0" fontId="14" fillId="0" borderId="0">
      <alignment horizontal="left" vertical="center"/>
    </xf>
    <xf numFmtId="0" fontId="36" fillId="0" borderId="0">
      <alignment horizontal="right"/>
    </xf>
    <xf numFmtId="49" fontId="36" fillId="0" borderId="0">
      <alignment horizontal="center"/>
    </xf>
    <xf numFmtId="0" fontId="20" fillId="0" borderId="0">
      <alignment horizontal="right"/>
    </xf>
    <xf numFmtId="0" fontId="37" fillId="0" borderId="0">
      <alignment horizontal="right"/>
    </xf>
    <xf numFmtId="0" fontId="36" fillId="0" borderId="0">
      <alignment horizontal="left"/>
    </xf>
    <xf numFmtId="0" fontId="38" fillId="0" borderId="0">
      <alignment horizontal="left"/>
    </xf>
    <xf numFmtId="49" fontId="19" fillId="0" borderId="0">
      <alignment horizontal="left" vertical="center"/>
    </xf>
    <xf numFmtId="49" fontId="20" fillId="0" borderId="8">
      <alignment horizontal="left"/>
    </xf>
    <xf numFmtId="166" fontId="19" fillId="0" borderId="0" applyNumberFormat="0">
      <alignment horizontal="right"/>
    </xf>
    <xf numFmtId="0" fontId="28" fillId="27" borderId="0">
      <alignment horizontal="centerContinuous" vertical="center" wrapText="1"/>
    </xf>
    <xf numFmtId="0" fontId="28" fillId="0" borderId="17">
      <alignment horizontal="left" vertical="center"/>
    </xf>
    <xf numFmtId="0" fontId="7" fillId="0" borderId="0" applyNumberFormat="0" applyProtection="0">
      <alignment horizontal="left"/>
    </xf>
    <xf numFmtId="0" fontId="39" fillId="0" borderId="0" applyNumberFormat="0" applyFill="0" applyBorder="0" applyAlignment="0" applyProtection="0"/>
    <xf numFmtId="0" fontId="26" fillId="0" borderId="0">
      <alignment horizontal="left"/>
    </xf>
    <xf numFmtId="0" fontId="16" fillId="0" borderId="0">
      <alignment horizontal="left"/>
    </xf>
    <xf numFmtId="0" fontId="17" fillId="0" borderId="0">
      <alignment horizontal="left"/>
    </xf>
    <xf numFmtId="0" fontId="40" fillId="0" borderId="0">
      <alignment horizontal="left" vertical="top"/>
    </xf>
    <xf numFmtId="0" fontId="16" fillId="0" borderId="0">
      <alignment horizontal="left"/>
    </xf>
    <xf numFmtId="0" fontId="17" fillId="0" borderId="0">
      <alignment horizontal="left"/>
    </xf>
    <xf numFmtId="0" fontId="41" fillId="0" borderId="18" applyNumberFormat="0" applyFill="0" applyAlignment="0" applyProtection="0"/>
    <xf numFmtId="0" fontId="42" fillId="0" borderId="0" applyNumberFormat="0" applyFill="0" applyBorder="0" applyAlignment="0" applyProtection="0"/>
    <xf numFmtId="49" fontId="19" fillId="0" borderId="8">
      <alignment horizontal="left"/>
    </xf>
    <xf numFmtId="0" fontId="28" fillId="0" borderId="12">
      <alignment horizontal="left"/>
    </xf>
    <xf numFmtId="0" fontId="26" fillId="0" borderId="0">
      <alignment horizontal="left" vertical="center"/>
    </xf>
    <xf numFmtId="49" fontId="36" fillId="0" borderId="8">
      <alignment horizontal="left"/>
    </xf>
    <xf numFmtId="0" fontId="43" fillId="0" borderId="0" applyNumberFormat="0" applyFill="0" applyBorder="0" applyAlignment="0" applyProtection="0"/>
    <xf numFmtId="0" fontId="44" fillId="0" borderId="19" applyNumberFormat="0" applyFill="0" applyAlignment="0" applyProtection="0"/>
    <xf numFmtId="0" fontId="45" fillId="0" borderId="20" applyNumberFormat="0" applyFill="0" applyAlignment="0" applyProtection="0"/>
    <xf numFmtId="0" fontId="46" fillId="0" borderId="21" applyNumberFormat="0" applyFill="0" applyAlignment="0" applyProtection="0"/>
    <xf numFmtId="0" fontId="46" fillId="0" borderId="0" applyNumberFormat="0" applyFill="0" applyBorder="0" applyAlignment="0" applyProtection="0"/>
    <xf numFmtId="0" fontId="47" fillId="29" borderId="0" applyNumberFormat="0" applyBorder="0" applyAlignment="0" applyProtection="0"/>
    <xf numFmtId="0" fontId="48" fillId="30" borderId="0" applyNumberFormat="0" applyBorder="0" applyAlignment="0" applyProtection="0"/>
    <xf numFmtId="0" fontId="49" fillId="32" borderId="22" applyNumberFormat="0" applyAlignment="0" applyProtection="0"/>
    <xf numFmtId="0" fontId="50" fillId="33" borderId="23" applyNumberFormat="0" applyAlignment="0" applyProtection="0"/>
    <xf numFmtId="0" fontId="51" fillId="33" borderId="22" applyNumberFormat="0" applyAlignment="0" applyProtection="0"/>
    <xf numFmtId="0" fontId="52" fillId="0" borderId="24" applyNumberFormat="0" applyFill="0" applyAlignment="0" applyProtection="0"/>
    <xf numFmtId="0" fontId="53" fillId="34" borderId="25" applyNumberFormat="0" applyAlignment="0" applyProtection="0"/>
    <xf numFmtId="0" fontId="54" fillId="0" borderId="0" applyNumberFormat="0" applyFill="0" applyBorder="0" applyAlignment="0" applyProtection="0"/>
    <xf numFmtId="0" fontId="1" fillId="2" borderId="1" applyNumberFormat="0" applyFont="0" applyAlignment="0" applyProtection="0"/>
    <xf numFmtId="0" fontId="55" fillId="0" borderId="0" applyNumberFormat="0" applyFill="0" applyBorder="0" applyAlignment="0" applyProtection="0"/>
    <xf numFmtId="0" fontId="2" fillId="0" borderId="26" applyNumberFormat="0" applyFill="0" applyAlignment="0" applyProtection="0"/>
    <xf numFmtId="0" fontId="56" fillId="35" borderId="0" applyNumberFormat="0" applyBorder="0" applyAlignment="0" applyProtection="0"/>
    <xf numFmtId="0" fontId="1" fillId="36" borderId="0" applyNumberFormat="0" applyBorder="0" applyAlignment="0" applyProtection="0"/>
    <xf numFmtId="0" fontId="1" fillId="37" borderId="0" applyNumberFormat="0" applyBorder="0" applyAlignment="0" applyProtection="0"/>
    <xf numFmtId="0" fontId="56" fillId="39" borderId="0" applyNumberFormat="0" applyBorder="0" applyAlignment="0" applyProtection="0"/>
    <xf numFmtId="0" fontId="1" fillId="40" borderId="0" applyNumberFormat="0" applyBorder="0" applyAlignment="0" applyProtection="0"/>
    <xf numFmtId="0" fontId="1" fillId="41" borderId="0" applyNumberFormat="0" applyBorder="0" applyAlignment="0" applyProtection="0"/>
    <xf numFmtId="0" fontId="56" fillId="43" borderId="0" applyNumberFormat="0" applyBorder="0" applyAlignment="0" applyProtection="0"/>
    <xf numFmtId="0" fontId="1" fillId="44" borderId="0" applyNumberFormat="0" applyBorder="0" applyAlignment="0" applyProtection="0"/>
    <xf numFmtId="0" fontId="1" fillId="45" borderId="0" applyNumberFormat="0" applyBorder="0" applyAlignment="0" applyProtection="0"/>
    <xf numFmtId="0" fontId="56" fillId="47" borderId="0" applyNumberFormat="0" applyBorder="0" applyAlignment="0" applyProtection="0"/>
    <xf numFmtId="0" fontId="1" fillId="48" borderId="0" applyNumberFormat="0" applyBorder="0" applyAlignment="0" applyProtection="0"/>
    <xf numFmtId="0" fontId="1" fillId="49" borderId="0" applyNumberFormat="0" applyBorder="0" applyAlignment="0" applyProtection="0"/>
    <xf numFmtId="0" fontId="56" fillId="51" borderId="0" applyNumberFormat="0" applyBorder="0" applyAlignment="0" applyProtection="0"/>
    <xf numFmtId="0" fontId="1" fillId="52" borderId="0" applyNumberFormat="0" applyBorder="0" applyAlignment="0" applyProtection="0"/>
    <xf numFmtId="0" fontId="1" fillId="53" borderId="0" applyNumberFormat="0" applyBorder="0" applyAlignment="0" applyProtection="0"/>
    <xf numFmtId="0" fontId="56" fillId="55" borderId="0" applyNumberFormat="0" applyBorder="0" applyAlignment="0" applyProtection="0"/>
    <xf numFmtId="0" fontId="1" fillId="56" borderId="0" applyNumberFormat="0" applyBorder="0" applyAlignment="0" applyProtection="0"/>
    <xf numFmtId="0" fontId="1" fillId="57" borderId="0" applyNumberFormat="0" applyBorder="0" applyAlignment="0" applyProtection="0"/>
    <xf numFmtId="0" fontId="57" fillId="0" borderId="0" applyNumberFormat="0" applyFill="0" applyBorder="0" applyAlignment="0" applyProtection="0"/>
    <xf numFmtId="0" fontId="58" fillId="31" borderId="0" applyNumberFormat="0" applyBorder="0" applyAlignment="0" applyProtection="0"/>
    <xf numFmtId="0" fontId="56" fillId="38" borderId="0" applyNumberFormat="0" applyBorder="0" applyAlignment="0" applyProtection="0"/>
    <xf numFmtId="0" fontId="56" fillId="42" borderId="0" applyNumberFormat="0" applyBorder="0" applyAlignment="0" applyProtection="0"/>
    <xf numFmtId="0" fontId="56" fillId="46" borderId="0" applyNumberFormat="0" applyBorder="0" applyAlignment="0" applyProtection="0"/>
    <xf numFmtId="0" fontId="56" fillId="50" borderId="0" applyNumberFormat="0" applyBorder="0" applyAlignment="0" applyProtection="0"/>
    <xf numFmtId="0" fontId="56" fillId="54" borderId="0" applyNumberFormat="0" applyBorder="0" applyAlignment="0" applyProtection="0"/>
    <xf numFmtId="0" fontId="56" fillId="58" borderId="0" applyNumberFormat="0" applyBorder="0" applyAlignment="0" applyProtection="0"/>
    <xf numFmtId="0" fontId="1" fillId="36" borderId="0" applyNumberFormat="0" applyBorder="0" applyAlignment="0" applyProtection="0"/>
    <xf numFmtId="0" fontId="1" fillId="37" borderId="0" applyNumberFormat="0" applyBorder="0" applyAlignment="0" applyProtection="0"/>
    <xf numFmtId="0" fontId="1" fillId="40" borderId="0" applyNumberFormat="0" applyBorder="0" applyAlignment="0" applyProtection="0"/>
    <xf numFmtId="0" fontId="1" fillId="41" borderId="0" applyNumberFormat="0" applyBorder="0" applyAlignment="0" applyProtection="0"/>
    <xf numFmtId="0" fontId="1" fillId="44" borderId="0" applyNumberFormat="0" applyBorder="0" applyAlignment="0" applyProtection="0"/>
    <xf numFmtId="0" fontId="1" fillId="45" borderId="0" applyNumberFormat="0" applyBorder="0" applyAlignment="0" applyProtection="0"/>
    <xf numFmtId="0" fontId="1" fillId="48" borderId="0" applyNumberFormat="0" applyBorder="0" applyAlignment="0" applyProtection="0"/>
    <xf numFmtId="0" fontId="1" fillId="49" borderId="0" applyNumberFormat="0" applyBorder="0" applyAlignment="0" applyProtection="0"/>
    <xf numFmtId="0" fontId="1" fillId="52" borderId="0" applyNumberFormat="0" applyBorder="0" applyAlignment="0" applyProtection="0"/>
    <xf numFmtId="0" fontId="1" fillId="53" borderId="0" applyNumberFormat="0" applyBorder="0" applyAlignment="0" applyProtection="0"/>
    <xf numFmtId="0" fontId="1" fillId="56" borderId="0" applyNumberFormat="0" applyBorder="0" applyAlignment="0" applyProtection="0"/>
    <xf numFmtId="0" fontId="1" fillId="57" borderId="0" applyNumberFormat="0" applyBorder="0" applyAlignment="0" applyProtection="0"/>
    <xf numFmtId="9" fontId="1" fillId="0" borderId="0" applyFont="0" applyFill="0" applyBorder="0" applyAlignment="0" applyProtection="0"/>
    <xf numFmtId="0" fontId="3" fillId="0" borderId="4">
      <alignment wrapText="1"/>
    </xf>
    <xf numFmtId="0" fontId="3" fillId="0" borderId="0"/>
    <xf numFmtId="0" fontId="3" fillId="0" borderId="2">
      <alignment wrapText="1"/>
    </xf>
    <xf numFmtId="0" fontId="5" fillId="0" borderId="5">
      <alignment wrapText="1"/>
    </xf>
    <xf numFmtId="0" fontId="5" fillId="0" borderId="3">
      <alignment wrapText="1"/>
    </xf>
    <xf numFmtId="0" fontId="7" fillId="0" borderId="0">
      <alignment horizontal="left"/>
    </xf>
    <xf numFmtId="0" fontId="3" fillId="0" borderId="0"/>
    <xf numFmtId="0" fontId="3" fillId="0" borderId="4">
      <alignment wrapText="1"/>
    </xf>
    <xf numFmtId="0" fontId="3" fillId="0" borderId="0"/>
    <xf numFmtId="0" fontId="3" fillId="0" borderId="2">
      <alignment wrapText="1"/>
    </xf>
    <xf numFmtId="0" fontId="5" fillId="0" borderId="5">
      <alignment wrapText="1"/>
    </xf>
    <xf numFmtId="0" fontId="5" fillId="0" borderId="3">
      <alignment wrapText="1"/>
    </xf>
    <xf numFmtId="0" fontId="7" fillId="0" borderId="0">
      <alignment horizontal="left"/>
    </xf>
    <xf numFmtId="0" fontId="3" fillId="0" borderId="4">
      <alignment wrapText="1"/>
    </xf>
    <xf numFmtId="0" fontId="3" fillId="0" borderId="0"/>
    <xf numFmtId="0" fontId="3" fillId="0" borderId="2">
      <alignment wrapText="1"/>
    </xf>
    <xf numFmtId="0" fontId="5" fillId="0" borderId="5">
      <alignment wrapText="1"/>
    </xf>
    <xf numFmtId="0" fontId="5" fillId="0" borderId="3">
      <alignment wrapText="1"/>
    </xf>
    <xf numFmtId="0" fontId="7" fillId="0" borderId="0">
      <alignment horizontal="left"/>
    </xf>
  </cellStyleXfs>
  <cellXfs count="115">
    <xf numFmtId="0" fontId="0" fillId="0" borderId="0" xfId="0"/>
    <xf numFmtId="0" fontId="2" fillId="0" borderId="0" xfId="0" applyFont="1"/>
    <xf numFmtId="0" fontId="2" fillId="3" borderId="0" xfId="0" applyFont="1" applyFill="1"/>
    <xf numFmtId="0" fontId="0" fillId="0" borderId="0" xfId="0" applyAlignment="1">
      <alignment horizontal="left"/>
    </xf>
    <xf numFmtId="0" fontId="4" fillId="0" borderId="0" xfId="0" applyFont="1"/>
    <xf numFmtId="0" fontId="57" fillId="0" borderId="0" xfId="187"/>
    <xf numFmtId="0" fontId="8" fillId="0" borderId="0" xfId="0" applyFont="1"/>
    <xf numFmtId="0" fontId="6" fillId="0" borderId="0" xfId="0" applyFont="1"/>
    <xf numFmtId="0" fontId="0" fillId="28" borderId="0" xfId="0" applyFill="1"/>
    <xf numFmtId="0" fontId="3" fillId="0" borderId="0" xfId="1"/>
    <xf numFmtId="0" fontId="5" fillId="0" borderId="5" xfId="5">
      <alignment wrapText="1"/>
    </xf>
    <xf numFmtId="3" fontId="5" fillId="0" borderId="3" xfId="3" applyNumberFormat="1" applyAlignment="1">
      <alignment horizontal="right" wrapText="1"/>
    </xf>
    <xf numFmtId="0" fontId="3" fillId="0" borderId="0" xfId="6"/>
    <xf numFmtId="0" fontId="59" fillId="0" borderId="0" xfId="0" applyFont="1"/>
    <xf numFmtId="0" fontId="7" fillId="0" borderId="0" xfId="7">
      <alignment horizontal="left"/>
    </xf>
    <xf numFmtId="0" fontId="5" fillId="0" borderId="3" xfId="3">
      <alignment wrapText="1"/>
    </xf>
    <xf numFmtId="0" fontId="0" fillId="0" borderId="4" xfId="4" applyFont="1">
      <alignment wrapText="1"/>
    </xf>
    <xf numFmtId="3" fontId="0" fillId="0" borderId="4" xfId="4" applyNumberFormat="1" applyFont="1" applyAlignment="1">
      <alignment horizontal="right" wrapText="1"/>
    </xf>
    <xf numFmtId="165" fontId="0" fillId="0" borderId="4" xfId="4" applyNumberFormat="1" applyFont="1" applyAlignment="1">
      <alignment horizontal="right" wrapText="1"/>
    </xf>
    <xf numFmtId="4" fontId="0" fillId="0" borderId="4" xfId="4" applyNumberFormat="1" applyFont="1" applyAlignment="1">
      <alignment horizontal="right" wrapText="1"/>
    </xf>
    <xf numFmtId="0" fontId="0" fillId="0" borderId="2" xfId="0" applyBorder="1"/>
    <xf numFmtId="0" fontId="4" fillId="0" borderId="0" xfId="1" applyFont="1"/>
    <xf numFmtId="10" fontId="0" fillId="0" borderId="0" xfId="0" applyNumberFormat="1"/>
    <xf numFmtId="0" fontId="60" fillId="0" borderId="0" xfId="0" applyFont="1" applyAlignment="1">
      <alignment horizontal="right"/>
    </xf>
    <xf numFmtId="0" fontId="61" fillId="0" borderId="2" xfId="2" applyFont="1">
      <alignment wrapText="1"/>
    </xf>
    <xf numFmtId="0" fontId="62" fillId="0" borderId="0" xfId="0" applyFont="1"/>
    <xf numFmtId="0" fontId="60" fillId="0" borderId="5" xfId="5" applyFont="1" applyAlignment="1">
      <alignment horizontal="right"/>
    </xf>
    <xf numFmtId="0" fontId="0" fillId="0" borderId="0" xfId="0" applyAlignment="1">
      <alignment horizontal="right"/>
    </xf>
    <xf numFmtId="165" fontId="5" fillId="0" borderId="3" xfId="3" applyNumberFormat="1" applyAlignment="1">
      <alignment horizontal="right" wrapText="1"/>
    </xf>
    <xf numFmtId="11" fontId="0" fillId="0" borderId="0" xfId="0" applyNumberFormat="1"/>
    <xf numFmtId="164" fontId="0" fillId="0" borderId="4" xfId="207" applyNumberFormat="1" applyFont="1" applyBorder="1" applyAlignment="1">
      <alignment horizontal="right" wrapText="1"/>
    </xf>
    <xf numFmtId="3" fontId="0" fillId="0" borderId="4" xfId="4" applyNumberFormat="1" applyFont="1">
      <alignment wrapText="1"/>
    </xf>
    <xf numFmtId="164" fontId="5" fillId="0" borderId="3" xfId="207" applyNumberFormat="1" applyFont="1" applyBorder="1" applyAlignment="1">
      <alignment horizontal="right" wrapText="1"/>
    </xf>
    <xf numFmtId="164" fontId="0" fillId="0" borderId="0" xfId="207" applyNumberFormat="1" applyFont="1"/>
    <xf numFmtId="164" fontId="0" fillId="0" borderId="4" xfId="207" applyNumberFormat="1" applyFont="1" applyBorder="1" applyAlignment="1">
      <alignment wrapText="1"/>
    </xf>
    <xf numFmtId="0" fontId="0" fillId="0" borderId="0" xfId="0" applyAlignment="1">
      <alignment horizontal="left" vertical="top"/>
    </xf>
    <xf numFmtId="0" fontId="3" fillId="0" borderId="2" xfId="1" applyBorder="1"/>
    <xf numFmtId="0" fontId="3" fillId="0" borderId="0" xfId="209"/>
    <xf numFmtId="0" fontId="5" fillId="0" borderId="5" xfId="211">
      <alignment wrapText="1"/>
    </xf>
    <xf numFmtId="0" fontId="6" fillId="0" borderId="0" xfId="1" applyFont="1"/>
    <xf numFmtId="0" fontId="8" fillId="0" borderId="0" xfId="1" applyFont="1"/>
    <xf numFmtId="0" fontId="63" fillId="0" borderId="0" xfId="213" applyFont="1">
      <alignment horizontal="left"/>
    </xf>
    <xf numFmtId="0" fontId="60" fillId="0" borderId="0" xfId="1" applyFont="1" applyAlignment="1">
      <alignment horizontal="right"/>
    </xf>
    <xf numFmtId="0" fontId="4" fillId="0" borderId="0" xfId="209" applyFont="1"/>
    <xf numFmtId="0" fontId="4" fillId="0" borderId="0" xfId="1" applyFont="1" applyAlignment="1">
      <alignment horizontal="left"/>
    </xf>
    <xf numFmtId="0" fontId="60" fillId="0" borderId="5" xfId="211" applyFont="1">
      <alignment wrapText="1"/>
    </xf>
    <xf numFmtId="0" fontId="60" fillId="0" borderId="5" xfId="211" applyFont="1" applyAlignment="1">
      <alignment horizontal="right"/>
    </xf>
    <xf numFmtId="0" fontId="60" fillId="0" borderId="3" xfId="212" applyFont="1">
      <alignment wrapText="1"/>
    </xf>
    <xf numFmtId="0" fontId="4" fillId="0" borderId="4" xfId="208" applyFont="1">
      <alignment wrapText="1"/>
    </xf>
    <xf numFmtId="4" fontId="4" fillId="0" borderId="4" xfId="208" applyNumberFormat="1" applyFont="1" applyAlignment="1">
      <alignment horizontal="right" wrapText="1"/>
    </xf>
    <xf numFmtId="164" fontId="4" fillId="0" borderId="4" xfId="208" applyNumberFormat="1" applyFont="1" applyAlignment="1">
      <alignment horizontal="right" wrapText="1"/>
    </xf>
    <xf numFmtId="4" fontId="60" fillId="0" borderId="3" xfId="212" applyNumberFormat="1" applyFont="1" applyAlignment="1">
      <alignment horizontal="right" wrapText="1"/>
    </xf>
    <xf numFmtId="164" fontId="60" fillId="0" borderId="3" xfId="212" applyNumberFormat="1" applyFont="1" applyAlignment="1">
      <alignment horizontal="right" wrapText="1"/>
    </xf>
    <xf numFmtId="3" fontId="4" fillId="0" borderId="4" xfId="208" applyNumberFormat="1" applyFont="1" applyAlignment="1">
      <alignment horizontal="right" wrapText="1"/>
    </xf>
    <xf numFmtId="165" fontId="4" fillId="0" borderId="4" xfId="208" applyNumberFormat="1" applyFont="1" applyAlignment="1">
      <alignment horizontal="right" wrapText="1"/>
    </xf>
    <xf numFmtId="0" fontId="64" fillId="0" borderId="0" xfId="1" applyFont="1"/>
    <xf numFmtId="168" fontId="0" fillId="0" borderId="0" xfId="207" applyNumberFormat="1" applyFont="1"/>
    <xf numFmtId="0" fontId="66" fillId="0" borderId="0" xfId="0" applyFont="1"/>
    <xf numFmtId="4" fontId="0" fillId="0" borderId="0" xfId="0" applyNumberFormat="1"/>
    <xf numFmtId="3" fontId="4" fillId="28" borderId="4" xfId="208" applyNumberFormat="1" applyFont="1" applyFill="1" applyAlignment="1">
      <alignment horizontal="right" wrapText="1"/>
    </xf>
    <xf numFmtId="3" fontId="0" fillId="0" borderId="0" xfId="0" applyNumberFormat="1"/>
    <xf numFmtId="9" fontId="0" fillId="0" borderId="0" xfId="207" applyFont="1"/>
    <xf numFmtId="0" fontId="3" fillId="0" borderId="0" xfId="222"/>
    <xf numFmtId="0" fontId="5" fillId="0" borderId="5" xfId="224">
      <alignment wrapText="1"/>
    </xf>
    <xf numFmtId="0" fontId="7" fillId="0" borderId="0" xfId="226">
      <alignment horizontal="left"/>
    </xf>
    <xf numFmtId="0" fontId="3" fillId="0" borderId="0" xfId="1" applyAlignment="1">
      <alignment horizontal="left"/>
    </xf>
    <xf numFmtId="0" fontId="5" fillId="0" borderId="3" xfId="225">
      <alignment wrapText="1"/>
    </xf>
    <xf numFmtId="0" fontId="3" fillId="0" borderId="4" xfId="221">
      <alignment wrapText="1"/>
    </xf>
    <xf numFmtId="3" fontId="3" fillId="0" borderId="4" xfId="221" applyNumberFormat="1" applyAlignment="1">
      <alignment horizontal="right" wrapText="1"/>
    </xf>
    <xf numFmtId="3" fontId="5" fillId="0" borderId="3" xfId="225" applyNumberFormat="1" applyAlignment="1">
      <alignment horizontal="right" wrapText="1"/>
    </xf>
    <xf numFmtId="0" fontId="67" fillId="0" borderId="0" xfId="1" applyFont="1" applyAlignment="1">
      <alignment horizontal="right"/>
    </xf>
    <xf numFmtId="164" fontId="3" fillId="0" borderId="4" xfId="221" applyNumberFormat="1" applyAlignment="1">
      <alignment horizontal="right" wrapText="1"/>
    </xf>
    <xf numFmtId="164" fontId="5" fillId="0" borderId="3" xfId="225" applyNumberFormat="1" applyAlignment="1">
      <alignment horizontal="right" wrapText="1"/>
    </xf>
    <xf numFmtId="0" fontId="3" fillId="0" borderId="0" xfId="1" applyAlignment="1">
      <alignment horizontal="right"/>
    </xf>
    <xf numFmtId="0" fontId="69" fillId="0" borderId="0" xfId="1" applyFont="1"/>
    <xf numFmtId="0" fontId="5" fillId="0" borderId="0" xfId="225" applyBorder="1">
      <alignment wrapText="1"/>
    </xf>
    <xf numFmtId="3" fontId="5" fillId="0" borderId="0" xfId="225" applyNumberFormat="1" applyBorder="1" applyAlignment="1">
      <alignment horizontal="right" wrapText="1"/>
    </xf>
    <xf numFmtId="164" fontId="5" fillId="0" borderId="0" xfId="225" applyNumberFormat="1" applyBorder="1" applyAlignment="1">
      <alignment horizontal="right" wrapText="1"/>
    </xf>
    <xf numFmtId="0" fontId="68" fillId="0" borderId="0" xfId="223" applyFont="1" applyBorder="1">
      <alignment wrapText="1"/>
    </xf>
    <xf numFmtId="0" fontId="67" fillId="0" borderId="5" xfId="224" applyFont="1" applyAlignment="1">
      <alignment horizontal="right"/>
    </xf>
    <xf numFmtId="0" fontId="65" fillId="0" borderId="2" xfId="210" applyFont="1">
      <alignment wrapText="1"/>
    </xf>
    <xf numFmtId="0" fontId="0" fillId="59" borderId="0" xfId="0" applyFill="1"/>
    <xf numFmtId="10" fontId="0" fillId="59" borderId="0" xfId="0" applyNumberFormat="1" applyFill="1"/>
    <xf numFmtId="10" fontId="2" fillId="0" borderId="0" xfId="0" applyNumberFormat="1" applyFont="1"/>
    <xf numFmtId="0" fontId="6" fillId="60" borderId="0" xfId="0" applyFont="1" applyFill="1"/>
    <xf numFmtId="0" fontId="0" fillId="60" borderId="4" xfId="4" applyFont="1" applyFill="1">
      <alignment wrapText="1"/>
    </xf>
    <xf numFmtId="3" fontId="0" fillId="60" borderId="4" xfId="4" applyNumberFormat="1" applyFont="1" applyFill="1" applyAlignment="1">
      <alignment horizontal="right" wrapText="1"/>
    </xf>
    <xf numFmtId="164" fontId="0" fillId="60" borderId="4" xfId="207" applyNumberFormat="1" applyFont="1" applyFill="1" applyBorder="1" applyAlignment="1">
      <alignment horizontal="right" wrapText="1"/>
    </xf>
    <xf numFmtId="0" fontId="0" fillId="60" borderId="0" xfId="0" applyFill="1"/>
    <xf numFmtId="0" fontId="6" fillId="61" borderId="0" xfId="1" applyFont="1" applyFill="1"/>
    <xf numFmtId="0" fontId="4" fillId="61" borderId="4" xfId="208" applyFont="1" applyFill="1">
      <alignment wrapText="1"/>
    </xf>
    <xf numFmtId="3" fontId="4" fillId="61" borderId="4" xfId="208" applyNumberFormat="1" applyFont="1" applyFill="1" applyAlignment="1">
      <alignment horizontal="right" wrapText="1"/>
    </xf>
    <xf numFmtId="164" fontId="4" fillId="61" borderId="4" xfId="208" applyNumberFormat="1" applyFont="1" applyFill="1" applyAlignment="1">
      <alignment horizontal="right" wrapText="1"/>
    </xf>
    <xf numFmtId="0" fontId="4" fillId="61" borderId="0" xfId="1" applyFont="1" applyFill="1"/>
    <xf numFmtId="0" fontId="0" fillId="61" borderId="0" xfId="0" applyFill="1"/>
    <xf numFmtId="10" fontId="0" fillId="61" borderId="0" xfId="0" applyNumberFormat="1" applyFill="1"/>
    <xf numFmtId="0" fontId="6" fillId="61" borderId="0" xfId="0" applyFont="1" applyFill="1"/>
    <xf numFmtId="0" fontId="0" fillId="61" borderId="4" xfId="4" applyFont="1" applyFill="1">
      <alignment wrapText="1"/>
    </xf>
    <xf numFmtId="165" fontId="0" fillId="61" borderId="4" xfId="4" applyNumberFormat="1" applyFont="1" applyFill="1" applyAlignment="1">
      <alignment horizontal="right" wrapText="1"/>
    </xf>
    <xf numFmtId="164" fontId="0" fillId="61" borderId="4" xfId="207" applyNumberFormat="1" applyFont="1" applyFill="1" applyBorder="1" applyAlignment="1">
      <alignment horizontal="right" wrapText="1"/>
    </xf>
    <xf numFmtId="0" fontId="0" fillId="0" borderId="0" xfId="207" applyNumberFormat="1" applyFont="1" applyAlignment="1"/>
    <xf numFmtId="0" fontId="6" fillId="28" borderId="0" xfId="1" applyFont="1" applyFill="1"/>
    <xf numFmtId="0" fontId="4" fillId="28" borderId="4" xfId="208" applyFont="1" applyFill="1">
      <alignment wrapText="1"/>
    </xf>
    <xf numFmtId="4" fontId="4" fillId="28" borderId="4" xfId="208" applyNumberFormat="1" applyFont="1" applyFill="1" applyAlignment="1">
      <alignment horizontal="right" wrapText="1"/>
    </xf>
    <xf numFmtId="164" fontId="4" fillId="28" borderId="4" xfId="208" applyNumberFormat="1" applyFont="1" applyFill="1" applyAlignment="1">
      <alignment horizontal="right" wrapText="1"/>
    </xf>
    <xf numFmtId="0" fontId="4" fillId="28" borderId="0" xfId="1" applyFont="1" applyFill="1"/>
    <xf numFmtId="10" fontId="0" fillId="28" borderId="0" xfId="0" applyNumberFormat="1" applyFill="1"/>
    <xf numFmtId="0" fontId="0" fillId="0" borderId="0" xfId="0"/>
    <xf numFmtId="0" fontId="61" fillId="0" borderId="0" xfId="0" applyFont="1"/>
    <xf numFmtId="0" fontId="61" fillId="0" borderId="2" xfId="2" applyFont="1">
      <alignment wrapText="1"/>
    </xf>
    <xf numFmtId="0" fontId="0" fillId="0" borderId="2" xfId="0" applyBorder="1"/>
    <xf numFmtId="0" fontId="68" fillId="0" borderId="2" xfId="223" applyFont="1">
      <alignment wrapText="1"/>
    </xf>
    <xf numFmtId="0" fontId="3" fillId="0" borderId="2" xfId="1" applyBorder="1"/>
    <xf numFmtId="0" fontId="3" fillId="0" borderId="0" xfId="1"/>
    <xf numFmtId="0" fontId="0" fillId="0" borderId="0" xfId="0" applyFont="1"/>
  </cellXfs>
  <cellStyles count="227">
    <cellStyle name="20% - Accent1" xfId="170" builtinId="30" customBuiltin="1"/>
    <cellStyle name="20% - Accent1 2" xfId="8" xr:uid="{00000000-0005-0000-0000-000001000000}"/>
    <cellStyle name="20% - Accent1 2 2" xfId="195" xr:uid="{00000000-0005-0000-0000-000002000000}"/>
    <cellStyle name="20% - Accent2" xfId="173" builtinId="34" customBuiltin="1"/>
    <cellStyle name="20% - Accent2 2" xfId="9" xr:uid="{00000000-0005-0000-0000-000004000000}"/>
    <cellStyle name="20% - Accent2 2 2" xfId="197" xr:uid="{00000000-0005-0000-0000-000005000000}"/>
    <cellStyle name="20% - Accent3" xfId="176" builtinId="38" customBuiltin="1"/>
    <cellStyle name="20% - Accent3 2" xfId="10" xr:uid="{00000000-0005-0000-0000-000007000000}"/>
    <cellStyle name="20% - Accent3 2 2" xfId="199" xr:uid="{00000000-0005-0000-0000-000008000000}"/>
    <cellStyle name="20% - Accent4" xfId="179" builtinId="42" customBuiltin="1"/>
    <cellStyle name="20% - Accent4 2" xfId="11" xr:uid="{00000000-0005-0000-0000-00000A000000}"/>
    <cellStyle name="20% - Accent4 2 2" xfId="201" xr:uid="{00000000-0005-0000-0000-00000B000000}"/>
    <cellStyle name="20% - Accent5" xfId="182" builtinId="46" customBuiltin="1"/>
    <cellStyle name="20% - Accent5 2" xfId="12" xr:uid="{00000000-0005-0000-0000-00000D000000}"/>
    <cellStyle name="20% - Accent5 2 2" xfId="203" xr:uid="{00000000-0005-0000-0000-00000E000000}"/>
    <cellStyle name="20% - Accent6" xfId="185" builtinId="50" customBuiltin="1"/>
    <cellStyle name="20% - Accent6 2" xfId="13" xr:uid="{00000000-0005-0000-0000-000010000000}"/>
    <cellStyle name="20% - Accent6 2 2" xfId="205" xr:uid="{00000000-0005-0000-0000-000011000000}"/>
    <cellStyle name="40% - Accent1" xfId="171" builtinId="31" customBuiltin="1"/>
    <cellStyle name="40% - Accent1 2" xfId="14" xr:uid="{00000000-0005-0000-0000-000013000000}"/>
    <cellStyle name="40% - Accent1 2 2" xfId="196" xr:uid="{00000000-0005-0000-0000-000014000000}"/>
    <cellStyle name="40% - Accent2" xfId="174" builtinId="35" customBuiltin="1"/>
    <cellStyle name="40% - Accent2 2" xfId="15" xr:uid="{00000000-0005-0000-0000-000016000000}"/>
    <cellStyle name="40% - Accent2 2 2" xfId="198" xr:uid="{00000000-0005-0000-0000-000017000000}"/>
    <cellStyle name="40% - Accent3" xfId="177" builtinId="39" customBuiltin="1"/>
    <cellStyle name="40% - Accent3 2" xfId="16" xr:uid="{00000000-0005-0000-0000-000019000000}"/>
    <cellStyle name="40% - Accent3 2 2" xfId="200" xr:uid="{00000000-0005-0000-0000-00001A000000}"/>
    <cellStyle name="40% - Accent4" xfId="180" builtinId="43" customBuiltin="1"/>
    <cellStyle name="40% - Accent4 2" xfId="17" xr:uid="{00000000-0005-0000-0000-00001C000000}"/>
    <cellStyle name="40% - Accent4 2 2" xfId="202" xr:uid="{00000000-0005-0000-0000-00001D000000}"/>
    <cellStyle name="40% - Accent5" xfId="183" builtinId="47" customBuiltin="1"/>
    <cellStyle name="40% - Accent5 2" xfId="18" xr:uid="{00000000-0005-0000-0000-00001F000000}"/>
    <cellStyle name="40% - Accent5 2 2" xfId="204" xr:uid="{00000000-0005-0000-0000-000020000000}"/>
    <cellStyle name="40% - Accent6" xfId="186" builtinId="51" customBuiltin="1"/>
    <cellStyle name="40% - Accent6 2" xfId="19" xr:uid="{00000000-0005-0000-0000-000022000000}"/>
    <cellStyle name="40% - Accent6 2 2" xfId="206" xr:uid="{00000000-0005-0000-0000-000023000000}"/>
    <cellStyle name="60% - Accent1 2" xfId="20" xr:uid="{00000000-0005-0000-0000-000024000000}"/>
    <cellStyle name="60% - Accent1 3" xfId="189" xr:uid="{00000000-0005-0000-0000-000025000000}"/>
    <cellStyle name="60% - Accent2 2" xfId="21" xr:uid="{00000000-0005-0000-0000-000026000000}"/>
    <cellStyle name="60% - Accent2 3" xfId="190" xr:uid="{00000000-0005-0000-0000-000027000000}"/>
    <cellStyle name="60% - Accent3 2" xfId="22" xr:uid="{00000000-0005-0000-0000-000028000000}"/>
    <cellStyle name="60% - Accent3 3" xfId="191" xr:uid="{00000000-0005-0000-0000-000029000000}"/>
    <cellStyle name="60% - Accent4 2" xfId="23" xr:uid="{00000000-0005-0000-0000-00002A000000}"/>
    <cellStyle name="60% - Accent4 3" xfId="192" xr:uid="{00000000-0005-0000-0000-00002B000000}"/>
    <cellStyle name="60% - Accent5 2" xfId="24" xr:uid="{00000000-0005-0000-0000-00002C000000}"/>
    <cellStyle name="60% - Accent5 3" xfId="193" xr:uid="{00000000-0005-0000-0000-00002D000000}"/>
    <cellStyle name="60% - Accent6 2" xfId="25" xr:uid="{00000000-0005-0000-0000-00002E000000}"/>
    <cellStyle name="60% - Accent6 3" xfId="194" xr:uid="{00000000-0005-0000-0000-00002F000000}"/>
    <cellStyle name="Accent1" xfId="169" builtinId="29" customBuiltin="1"/>
    <cellStyle name="Accent1 2" xfId="26" xr:uid="{00000000-0005-0000-0000-000031000000}"/>
    <cellStyle name="Accent2" xfId="172" builtinId="33" customBuiltin="1"/>
    <cellStyle name="Accent2 2" xfId="27" xr:uid="{00000000-0005-0000-0000-000033000000}"/>
    <cellStyle name="Accent3" xfId="175" builtinId="37" customBuiltin="1"/>
    <cellStyle name="Accent3 2" xfId="28" xr:uid="{00000000-0005-0000-0000-000035000000}"/>
    <cellStyle name="Accent4" xfId="178" builtinId="41" customBuiltin="1"/>
    <cellStyle name="Accent4 2" xfId="29" xr:uid="{00000000-0005-0000-0000-000037000000}"/>
    <cellStyle name="Accent5" xfId="181" builtinId="45" customBuiltin="1"/>
    <cellStyle name="Accent5 2" xfId="30" xr:uid="{00000000-0005-0000-0000-000039000000}"/>
    <cellStyle name="Accent6" xfId="184" builtinId="49" customBuiltin="1"/>
    <cellStyle name="Accent6 2" xfId="31" xr:uid="{00000000-0005-0000-0000-00003B000000}"/>
    <cellStyle name="Bad" xfId="159" builtinId="27" customBuiltin="1"/>
    <cellStyle name="Bad 2" xfId="32" xr:uid="{00000000-0005-0000-0000-00003D000000}"/>
    <cellStyle name="Body: normal cell" xfId="4" xr:uid="{00000000-0005-0000-0000-00003E000000}"/>
    <cellStyle name="Body: normal cell 2" xfId="33" xr:uid="{00000000-0005-0000-0000-00003F000000}"/>
    <cellStyle name="Body: normal cell 2 2" xfId="221" xr:uid="{9F1189E0-253F-4740-8EF7-1E1F7170DDF5}"/>
    <cellStyle name="Body: normal cell 3" xfId="215" xr:uid="{06F9487A-E3B1-4401-B33F-A1D59968A6A2}"/>
    <cellStyle name="Body: normal cell 4" xfId="208" xr:uid="{C6305E00-CA4D-49E4-A695-2171446F05F2}"/>
    <cellStyle name="Calculation" xfId="162" builtinId="22" customBuiltin="1"/>
    <cellStyle name="Calculation 2" xfId="34" xr:uid="{00000000-0005-0000-0000-000041000000}"/>
    <cellStyle name="Check Cell" xfId="164" builtinId="23" customBuiltin="1"/>
    <cellStyle name="Check Cell 2" xfId="35" xr:uid="{00000000-0005-0000-0000-000043000000}"/>
    <cellStyle name="Column heading" xfId="36" xr:uid="{00000000-0005-0000-0000-000044000000}"/>
    <cellStyle name="Comma 2" xfId="37" xr:uid="{00000000-0005-0000-0000-000045000000}"/>
    <cellStyle name="Comma 2 2" xfId="38" xr:uid="{00000000-0005-0000-0000-000046000000}"/>
    <cellStyle name="Comma 3" xfId="39" xr:uid="{00000000-0005-0000-0000-000047000000}"/>
    <cellStyle name="Comma 4" xfId="40" xr:uid="{00000000-0005-0000-0000-000048000000}"/>
    <cellStyle name="Comma 5" xfId="41" xr:uid="{00000000-0005-0000-0000-000049000000}"/>
    <cellStyle name="Comma 6" xfId="42" xr:uid="{00000000-0005-0000-0000-00004A000000}"/>
    <cellStyle name="Comma 7" xfId="43" xr:uid="{00000000-0005-0000-0000-00004B000000}"/>
    <cellStyle name="Comma 8" xfId="44" xr:uid="{00000000-0005-0000-0000-00004C000000}"/>
    <cellStyle name="Corner heading" xfId="45" xr:uid="{00000000-0005-0000-0000-00004D000000}"/>
    <cellStyle name="Currency 2" xfId="46" xr:uid="{00000000-0005-0000-0000-00004E000000}"/>
    <cellStyle name="Currency 3" xfId="47" xr:uid="{00000000-0005-0000-0000-00004F000000}"/>
    <cellStyle name="Currency 3 2" xfId="48" xr:uid="{00000000-0005-0000-0000-000050000000}"/>
    <cellStyle name="Data" xfId="49" xr:uid="{00000000-0005-0000-0000-000051000000}"/>
    <cellStyle name="Data 2" xfId="50" xr:uid="{00000000-0005-0000-0000-000052000000}"/>
    <cellStyle name="Data no deci" xfId="51" xr:uid="{00000000-0005-0000-0000-000053000000}"/>
    <cellStyle name="Data Superscript" xfId="52" xr:uid="{00000000-0005-0000-0000-000054000000}"/>
    <cellStyle name="Data_1-1A-Regular" xfId="53" xr:uid="{00000000-0005-0000-0000-000055000000}"/>
    <cellStyle name="Explanatory Text" xfId="167" builtinId="53" customBuiltin="1"/>
    <cellStyle name="Explanatory Text 2" xfId="54" xr:uid="{00000000-0005-0000-0000-000057000000}"/>
    <cellStyle name="Font: Calibri, 9pt regular" xfId="6" xr:uid="{00000000-0005-0000-0000-000058000000}"/>
    <cellStyle name="Font: Calibri, 9pt regular 2" xfId="55" xr:uid="{00000000-0005-0000-0000-000059000000}"/>
    <cellStyle name="Font: Calibri, 9pt regular 2 2" xfId="222" xr:uid="{BCD055C3-1FEB-498B-B408-784A080E8E38}"/>
    <cellStyle name="Font: Calibri, 9pt regular 3" xfId="216" xr:uid="{0BD7D402-278F-4782-A177-BADCF3B581A9}"/>
    <cellStyle name="Font: Calibri, 9pt regular 4" xfId="209" xr:uid="{519CF548-359B-4491-8B1A-D50E86113721}"/>
    <cellStyle name="Footnotes: top row" xfId="2" xr:uid="{00000000-0005-0000-0000-00005A000000}"/>
    <cellStyle name="Footnotes: top row 2" xfId="56" xr:uid="{00000000-0005-0000-0000-00005B000000}"/>
    <cellStyle name="Footnotes: top row 2 2" xfId="223" xr:uid="{5F106645-4A5E-425C-8474-CF6B55DAA707}"/>
    <cellStyle name="Footnotes: top row 3" xfId="217" xr:uid="{A936FBD4-269B-416E-A371-0F26F5E8842C}"/>
    <cellStyle name="Footnotes: top row 4" xfId="210" xr:uid="{98969F2B-9162-4D43-8D7B-4878AB5C436D}"/>
    <cellStyle name="Good" xfId="158" builtinId="26" customBuiltin="1"/>
    <cellStyle name="Good 2" xfId="57" xr:uid="{00000000-0005-0000-0000-00005D000000}"/>
    <cellStyle name="Header: bottom row" xfId="5" xr:uid="{00000000-0005-0000-0000-00005E000000}"/>
    <cellStyle name="Header: bottom row 2" xfId="58" xr:uid="{00000000-0005-0000-0000-00005F000000}"/>
    <cellStyle name="Header: bottom row 2 2" xfId="224" xr:uid="{49771800-68B2-41F3-9DA5-445EB1C6759C}"/>
    <cellStyle name="Header: bottom row 3" xfId="218" xr:uid="{8290FB4E-9BD8-484A-AF49-F7A30BEF32E5}"/>
    <cellStyle name="Header: bottom row 4" xfId="211" xr:uid="{639BC003-3855-42E3-85DF-BA800ECAF917}"/>
    <cellStyle name="Heading 1" xfId="154" builtinId="16" customBuiltin="1"/>
    <cellStyle name="Heading 1 2" xfId="59" xr:uid="{00000000-0005-0000-0000-000061000000}"/>
    <cellStyle name="Heading 2" xfId="155" builtinId="17" customBuiltin="1"/>
    <cellStyle name="Heading 2 2" xfId="60" xr:uid="{00000000-0005-0000-0000-000063000000}"/>
    <cellStyle name="Heading 3" xfId="156" builtinId="18" customBuiltin="1"/>
    <cellStyle name="Heading 3 2" xfId="61" xr:uid="{00000000-0005-0000-0000-000065000000}"/>
    <cellStyle name="Heading 4" xfId="157" builtinId="19" customBuiltin="1"/>
    <cellStyle name="Heading 4 2" xfId="62" xr:uid="{00000000-0005-0000-0000-000067000000}"/>
    <cellStyle name="Hed Side" xfId="63" xr:uid="{00000000-0005-0000-0000-000068000000}"/>
    <cellStyle name="Hed Side 2" xfId="64" xr:uid="{00000000-0005-0000-0000-000069000000}"/>
    <cellStyle name="Hed Side bold" xfId="65" xr:uid="{00000000-0005-0000-0000-00006A000000}"/>
    <cellStyle name="Hed Side Indent" xfId="66" xr:uid="{00000000-0005-0000-0000-00006B000000}"/>
    <cellStyle name="Hed Side Regular" xfId="67" xr:uid="{00000000-0005-0000-0000-00006C000000}"/>
    <cellStyle name="Hed Side_1-1A-Regular" xfId="68" xr:uid="{00000000-0005-0000-0000-00006D000000}"/>
    <cellStyle name="Hed Top" xfId="69" xr:uid="{00000000-0005-0000-0000-00006E000000}"/>
    <cellStyle name="Hed Top - SECTION" xfId="70" xr:uid="{00000000-0005-0000-0000-00006F000000}"/>
    <cellStyle name="Hed Top_3-new4" xfId="71" xr:uid="{00000000-0005-0000-0000-000070000000}"/>
    <cellStyle name="Hyperlink" xfId="187" builtinId="8"/>
    <cellStyle name="Hyperlink 2" xfId="72" xr:uid="{00000000-0005-0000-0000-000072000000}"/>
    <cellStyle name="Input" xfId="160" builtinId="20" customBuiltin="1"/>
    <cellStyle name="Input 2" xfId="73" xr:uid="{00000000-0005-0000-0000-000074000000}"/>
    <cellStyle name="Linked Cell" xfId="163" builtinId="24" customBuiltin="1"/>
    <cellStyle name="Linked Cell 2" xfId="74" xr:uid="{00000000-0005-0000-0000-000076000000}"/>
    <cellStyle name="Neutral 2" xfId="75" xr:uid="{00000000-0005-0000-0000-000077000000}"/>
    <cellStyle name="Neutral 3" xfId="188" xr:uid="{00000000-0005-0000-0000-000078000000}"/>
    <cellStyle name="Normal" xfId="0" builtinId="0"/>
    <cellStyle name="Normal 10" xfId="76" xr:uid="{00000000-0005-0000-0000-00007A000000}"/>
    <cellStyle name="Normal 11" xfId="77" xr:uid="{00000000-0005-0000-0000-00007B000000}"/>
    <cellStyle name="Normal 2" xfId="1" xr:uid="{00000000-0005-0000-0000-00007C000000}"/>
    <cellStyle name="Normal 2 2" xfId="78" xr:uid="{00000000-0005-0000-0000-00007D000000}"/>
    <cellStyle name="Normal 2 3" xfId="79" xr:uid="{00000000-0005-0000-0000-00007E000000}"/>
    <cellStyle name="Normal 3" xfId="80" xr:uid="{00000000-0005-0000-0000-00007F000000}"/>
    <cellStyle name="Normal 3 2" xfId="81" xr:uid="{00000000-0005-0000-0000-000080000000}"/>
    <cellStyle name="Normal 3 2 2" xfId="82" xr:uid="{00000000-0005-0000-0000-000081000000}"/>
    <cellStyle name="Normal 3 2 2 2" xfId="83" xr:uid="{00000000-0005-0000-0000-000082000000}"/>
    <cellStyle name="Normal 3 2 3" xfId="84" xr:uid="{00000000-0005-0000-0000-000083000000}"/>
    <cellStyle name="Normal 3 3" xfId="85" xr:uid="{00000000-0005-0000-0000-000084000000}"/>
    <cellStyle name="Normal 3 3 2" xfId="86" xr:uid="{00000000-0005-0000-0000-000085000000}"/>
    <cellStyle name="Normal 3 3 2 2" xfId="87" xr:uid="{00000000-0005-0000-0000-000086000000}"/>
    <cellStyle name="Normal 3 3 3" xfId="88" xr:uid="{00000000-0005-0000-0000-000087000000}"/>
    <cellStyle name="Normal 3 4" xfId="89" xr:uid="{00000000-0005-0000-0000-000088000000}"/>
    <cellStyle name="Normal 3 4 2" xfId="90" xr:uid="{00000000-0005-0000-0000-000089000000}"/>
    <cellStyle name="Normal 3 5" xfId="91" xr:uid="{00000000-0005-0000-0000-00008A000000}"/>
    <cellStyle name="Normal 3 6" xfId="92" xr:uid="{00000000-0005-0000-0000-00008B000000}"/>
    <cellStyle name="Normal 3 7" xfId="93" xr:uid="{00000000-0005-0000-0000-00008C000000}"/>
    <cellStyle name="Normal 4" xfId="94" xr:uid="{00000000-0005-0000-0000-00008D000000}"/>
    <cellStyle name="Normal 4 2" xfId="95" xr:uid="{00000000-0005-0000-0000-00008E000000}"/>
    <cellStyle name="Normal 4 2 2" xfId="96" xr:uid="{00000000-0005-0000-0000-00008F000000}"/>
    <cellStyle name="Normal 4 2 2 2" xfId="97" xr:uid="{00000000-0005-0000-0000-000090000000}"/>
    <cellStyle name="Normal 4 2 3" xfId="98" xr:uid="{00000000-0005-0000-0000-000091000000}"/>
    <cellStyle name="Normal 4 3" xfId="99" xr:uid="{00000000-0005-0000-0000-000092000000}"/>
    <cellStyle name="Normal 4 3 2" xfId="100" xr:uid="{00000000-0005-0000-0000-000093000000}"/>
    <cellStyle name="Normal 4 3 2 2" xfId="101" xr:uid="{00000000-0005-0000-0000-000094000000}"/>
    <cellStyle name="Normal 4 3 3" xfId="102" xr:uid="{00000000-0005-0000-0000-000095000000}"/>
    <cellStyle name="Normal 4 4" xfId="103" xr:uid="{00000000-0005-0000-0000-000096000000}"/>
    <cellStyle name="Normal 4 4 2" xfId="104" xr:uid="{00000000-0005-0000-0000-000097000000}"/>
    <cellStyle name="Normal 4 5" xfId="105" xr:uid="{00000000-0005-0000-0000-000098000000}"/>
    <cellStyle name="Normal 4 6" xfId="106" xr:uid="{00000000-0005-0000-0000-000099000000}"/>
    <cellStyle name="Normal 4 7" xfId="107" xr:uid="{00000000-0005-0000-0000-00009A000000}"/>
    <cellStyle name="Normal 4 8" xfId="214" xr:uid="{C66652ED-7207-4F72-99D7-B2F497538203}"/>
    <cellStyle name="Normal 5" xfId="108" xr:uid="{00000000-0005-0000-0000-00009B000000}"/>
    <cellStyle name="Normal 5 2" xfId="109" xr:uid="{00000000-0005-0000-0000-00009C000000}"/>
    <cellStyle name="Normal 5 3" xfId="110" xr:uid="{00000000-0005-0000-0000-00009D000000}"/>
    <cellStyle name="Normal 6" xfId="111" xr:uid="{00000000-0005-0000-0000-00009E000000}"/>
    <cellStyle name="Normal 6 2" xfId="112" xr:uid="{00000000-0005-0000-0000-00009F000000}"/>
    <cellStyle name="Normal 7" xfId="113" xr:uid="{00000000-0005-0000-0000-0000A0000000}"/>
    <cellStyle name="Normal 7 2" xfId="114" xr:uid="{00000000-0005-0000-0000-0000A1000000}"/>
    <cellStyle name="Normal 8" xfId="115" xr:uid="{00000000-0005-0000-0000-0000A2000000}"/>
    <cellStyle name="Normal 9" xfId="116" xr:uid="{00000000-0005-0000-0000-0000A3000000}"/>
    <cellStyle name="Note" xfId="166" builtinId="10" customBuiltin="1"/>
    <cellStyle name="Note 2" xfId="117" xr:uid="{00000000-0005-0000-0000-0000A5000000}"/>
    <cellStyle name="Note 2 2" xfId="118" xr:uid="{00000000-0005-0000-0000-0000A6000000}"/>
    <cellStyle name="Output" xfId="161" builtinId="21" customBuiltin="1"/>
    <cellStyle name="Output 2" xfId="119" xr:uid="{00000000-0005-0000-0000-0000A8000000}"/>
    <cellStyle name="Parent row" xfId="3" xr:uid="{00000000-0005-0000-0000-0000A9000000}"/>
    <cellStyle name="Parent row 2" xfId="120" xr:uid="{00000000-0005-0000-0000-0000AA000000}"/>
    <cellStyle name="Parent row 2 2" xfId="225" xr:uid="{A0EC3B3E-2FBE-4405-959C-3851598653E8}"/>
    <cellStyle name="Parent row 3" xfId="219" xr:uid="{83B1DB15-6E9E-42D2-A177-5895380696A6}"/>
    <cellStyle name="Parent row 4" xfId="212" xr:uid="{5BAF48A9-F5B6-4F20-803F-2C380CAC8CDA}"/>
    <cellStyle name="Percent" xfId="207" builtinId="5"/>
    <cellStyle name="Percent 2" xfId="121" xr:uid="{00000000-0005-0000-0000-0000AB000000}"/>
    <cellStyle name="Percent 2 2" xfId="122" xr:uid="{00000000-0005-0000-0000-0000AC000000}"/>
    <cellStyle name="Percent 3" xfId="123" xr:uid="{00000000-0005-0000-0000-0000AD000000}"/>
    <cellStyle name="Percent 3 2" xfId="124" xr:uid="{00000000-0005-0000-0000-0000AE000000}"/>
    <cellStyle name="Percent 4" xfId="125" xr:uid="{00000000-0005-0000-0000-0000AF000000}"/>
    <cellStyle name="Reference" xfId="126" xr:uid="{00000000-0005-0000-0000-0000B0000000}"/>
    <cellStyle name="Row heading" xfId="127" xr:uid="{00000000-0005-0000-0000-0000B1000000}"/>
    <cellStyle name="Source Hed" xfId="128" xr:uid="{00000000-0005-0000-0000-0000B2000000}"/>
    <cellStyle name="Source Letter" xfId="129" xr:uid="{00000000-0005-0000-0000-0000B3000000}"/>
    <cellStyle name="Source Superscript" xfId="130" xr:uid="{00000000-0005-0000-0000-0000B4000000}"/>
    <cellStyle name="Source Superscript 2" xfId="131" xr:uid="{00000000-0005-0000-0000-0000B5000000}"/>
    <cellStyle name="Source Text" xfId="132" xr:uid="{00000000-0005-0000-0000-0000B6000000}"/>
    <cellStyle name="Source Text 2" xfId="133" xr:uid="{00000000-0005-0000-0000-0000B7000000}"/>
    <cellStyle name="State" xfId="134" xr:uid="{00000000-0005-0000-0000-0000B8000000}"/>
    <cellStyle name="Superscript" xfId="135" xr:uid="{00000000-0005-0000-0000-0000B9000000}"/>
    <cellStyle name="Table Data" xfId="136" xr:uid="{00000000-0005-0000-0000-0000BA000000}"/>
    <cellStyle name="Table Head Top" xfId="137" xr:uid="{00000000-0005-0000-0000-0000BB000000}"/>
    <cellStyle name="Table Hed Side" xfId="138" xr:uid="{00000000-0005-0000-0000-0000BC000000}"/>
    <cellStyle name="Table title" xfId="7" xr:uid="{00000000-0005-0000-0000-0000BD000000}"/>
    <cellStyle name="Table title 2" xfId="139" xr:uid="{00000000-0005-0000-0000-0000BE000000}"/>
    <cellStyle name="Table title 2 2" xfId="226" xr:uid="{B364316B-0C80-45CD-8E7F-7AE953291CD4}"/>
    <cellStyle name="Table title 3" xfId="220" xr:uid="{A5BAA771-02BA-462F-80B2-1D60A4CCF809}"/>
    <cellStyle name="Table title 4" xfId="213" xr:uid="{9EE90202-27A6-4017-A4B6-C2010A196C0E}"/>
    <cellStyle name="Title" xfId="153" builtinId="15" customBuiltin="1"/>
    <cellStyle name="Title 2" xfId="140" xr:uid="{00000000-0005-0000-0000-0000C0000000}"/>
    <cellStyle name="Title Text" xfId="141" xr:uid="{00000000-0005-0000-0000-0000C1000000}"/>
    <cellStyle name="Title Text 1" xfId="142" xr:uid="{00000000-0005-0000-0000-0000C2000000}"/>
    <cellStyle name="Title Text 2" xfId="143" xr:uid="{00000000-0005-0000-0000-0000C3000000}"/>
    <cellStyle name="Title-1" xfId="144" xr:uid="{00000000-0005-0000-0000-0000C4000000}"/>
    <cellStyle name="Title-2" xfId="145" xr:uid="{00000000-0005-0000-0000-0000C5000000}"/>
    <cellStyle name="Title-3" xfId="146" xr:uid="{00000000-0005-0000-0000-0000C6000000}"/>
    <cellStyle name="Total" xfId="168" builtinId="25" customBuiltin="1"/>
    <cellStyle name="Total 2" xfId="147" xr:uid="{00000000-0005-0000-0000-0000C8000000}"/>
    <cellStyle name="Warning Text" xfId="165" builtinId="11" customBuiltin="1"/>
    <cellStyle name="Warning Text 2" xfId="148" xr:uid="{00000000-0005-0000-0000-0000CA000000}"/>
    <cellStyle name="Wrap" xfId="149" xr:uid="{00000000-0005-0000-0000-0000CB000000}"/>
    <cellStyle name="Wrap Bold" xfId="150" xr:uid="{00000000-0005-0000-0000-0000CC000000}"/>
    <cellStyle name="Wrap Title" xfId="151" xr:uid="{00000000-0005-0000-0000-0000CD000000}"/>
    <cellStyle name="Wrap_NTS99-~11" xfId="152" xr:uid="{00000000-0005-0000-0000-0000CE000000}"/>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worksheet" Target="worksheets/sheet18.xml"/><Relationship Id="rId26" Type="http://schemas.openxmlformats.org/officeDocument/2006/relationships/externalLink" Target="externalLinks/externalLink2.xml"/><Relationship Id="rId3" Type="http://schemas.openxmlformats.org/officeDocument/2006/relationships/worksheet" Target="worksheets/sheet3.xml"/><Relationship Id="rId21" Type="http://schemas.openxmlformats.org/officeDocument/2006/relationships/worksheet" Target="worksheets/sheet21.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worksheet" Target="worksheets/sheet17.xml"/><Relationship Id="rId25" Type="http://schemas.openxmlformats.org/officeDocument/2006/relationships/externalLink" Target="externalLinks/externalLink1.xml"/><Relationship Id="rId2" Type="http://schemas.openxmlformats.org/officeDocument/2006/relationships/worksheet" Target="worksheets/sheet2.xml"/><Relationship Id="rId16" Type="http://schemas.openxmlformats.org/officeDocument/2006/relationships/worksheet" Target="worksheets/sheet16.xml"/><Relationship Id="rId20" Type="http://schemas.openxmlformats.org/officeDocument/2006/relationships/worksheet" Target="worksheets/sheet20.xml"/><Relationship Id="rId29" Type="http://schemas.openxmlformats.org/officeDocument/2006/relationships/styles" Target="styles.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worksheet" Target="worksheets/sheet24.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worksheet" Target="worksheets/sheet23.xml"/><Relationship Id="rId28" Type="http://schemas.openxmlformats.org/officeDocument/2006/relationships/theme" Target="theme/theme1.xml"/><Relationship Id="rId10" Type="http://schemas.openxmlformats.org/officeDocument/2006/relationships/worksheet" Target="worksheets/sheet10.xml"/><Relationship Id="rId19" Type="http://schemas.openxmlformats.org/officeDocument/2006/relationships/worksheet" Target="worksheets/sheet19.xml"/><Relationship Id="rId31" Type="http://schemas.openxmlformats.org/officeDocument/2006/relationships/calcChain" Target="calcChain.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worksheet" Target="worksheets/sheet22.xml"/><Relationship Id="rId27" Type="http://schemas.openxmlformats.org/officeDocument/2006/relationships/externalLink" Target="externalLinks/externalLink3.xml"/><Relationship Id="rId30" Type="http://schemas.openxmlformats.org/officeDocument/2006/relationships/sharedStrings" Target="sharedStrings.xml"/></Relationships>
</file>

<file path=xl/externalLinks/_rels/externalLink1.xml.rels><?xml version="1.0" encoding="UTF-8" standalone="yes"?>
<Relationships xmlns="http://schemas.openxmlformats.org/package/2006/relationships"><Relationship Id="rId1" Type="http://schemas.openxmlformats.org/officeDocument/2006/relationships/externalLinkPath" Target="/WINDOWS/TEMP/USFreight97-93.xls" TargetMode="External"/></Relationships>
</file>

<file path=xl/externalLinks/_rels/externalLink2.xml.rels><?xml version="1.0" encoding="UTF-8" standalone="yes"?>
<Relationships xmlns="http://schemas.openxmlformats.org/package/2006/relationships"><Relationship Id="rId1" Type="http://schemas.openxmlformats.org/officeDocument/2006/relationships/externalLinkPath" Target="file:///D:\WINDOWS\TEMP\USFreight97-93.xls" TargetMode="External"/></Relationships>
</file>

<file path=xl/externalLinks/_rels/externalLink3.xml.rels><?xml version="1.0" encoding="UTF-8" standalone="yes"?>
<Relationships xmlns="http://schemas.openxmlformats.org/package/2006/relationships"><Relationship Id="rId1" Type="http://schemas.openxmlformats.org/officeDocument/2006/relationships/externalLinkPath" Target="/Users/MeganM/Documents/eps-us/InputData/trans/BNVFE/BAU%20New%20Veh%20Fuel%20Economy.xlsx"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Rail shipments 93-97"/>
      <sheetName val="Waterborne Flows 93-97"/>
      <sheetName val="Air and vessel 93-97"/>
      <sheetName val="Figure 2 compare"/>
      <sheetName val="Factors Comparisons"/>
      <sheetName val="1997  Table 1a Modified"/>
      <sheetName val="Figure 1"/>
      <sheetName val="1993-97 Table 1  US Highlights"/>
      <sheetName val="93-97 US Freight Table 1"/>
      <sheetName val="93-97 US Freight Table 1 (b)"/>
      <sheetName val="93-97 Percents Tab 2&amp;3"/>
      <sheetName val="Integrated View 93-97"/>
      <sheetName val="Figure 3 modal shares"/>
      <sheetName val="1993-97 Percents"/>
      <sheetName val="BTS &amp; ORNL estimates"/>
      <sheetName val="Oil Pipeline (2)"/>
      <sheetName val="1997 Table 2"/>
      <sheetName val="Table 4 Distance"/>
      <sheetName val="Distance percent change"/>
      <sheetName val="Distance 93-97"/>
      <sheetName val="Distance Fig value per ton"/>
      <sheetName val="Distance Bar"/>
      <sheetName val="Table 5 Size 93-97"/>
      <sheetName val="Size percent change"/>
      <sheetName val="Size Fig value per ton"/>
      <sheetName val="Size Bar "/>
      <sheetName val="BTS Mode"/>
      <sheetName val="Ton-miles data"/>
      <sheetName val="Ton-miles figure"/>
      <sheetName val="table 3 commodities"/>
      <sheetName val="Commodities ranked by value"/>
      <sheetName val="Commod ranked by tons"/>
      <sheetName val="Commod ranked by ton-miles"/>
      <sheetName val="Commod ranked by miles per ton "/>
      <sheetName val="Commod ranked by val per ton"/>
    </sheetNames>
    <sheetDataSet>
      <sheetData sheetId="0"/>
      <sheetData sheetId="1"/>
      <sheetData sheetId="2"/>
      <sheetData sheetId="3"/>
      <sheetData sheetId="4"/>
      <sheetData sheetId="5"/>
      <sheetData sheetId="6"/>
      <sheetData sheetId="7"/>
      <sheetData sheetId="8"/>
      <sheetData sheetId="9"/>
      <sheetData sheetId="10"/>
      <sheetData sheetId="11"/>
      <sheetData sheetId="12"/>
      <sheetData sheetId="13"/>
      <sheetData sheetId="14"/>
      <sheetData sheetId="15"/>
      <sheetData sheetId="16"/>
      <sheetData sheetId="17"/>
      <sheetData sheetId="18"/>
      <sheetData sheetId="19"/>
      <sheetData sheetId="20"/>
      <sheetData sheetId="21" refreshError="1"/>
      <sheetData sheetId="22"/>
      <sheetData sheetId="23"/>
      <sheetData sheetId="24"/>
      <sheetData sheetId="25" refreshError="1"/>
      <sheetData sheetId="26"/>
      <sheetData sheetId="27"/>
      <sheetData sheetId="28"/>
      <sheetData sheetId="29"/>
      <sheetData sheetId="30"/>
      <sheetData sheetId="31"/>
      <sheetData sheetId="32"/>
      <sheetData sheetId="33"/>
      <sheetData sheetId="34"/>
    </sheetDataSet>
  </externalBook>
</externalLink>
</file>

<file path=xl/externalLinks/externalLink2.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Rail shipments 93-97"/>
      <sheetName val="Waterborne Flows 93-97"/>
      <sheetName val="Air and vessel 93-97"/>
      <sheetName val="Figure 2 compare"/>
      <sheetName val="Factors Comparisons"/>
      <sheetName val="1997  Table 1a Modified"/>
      <sheetName val="Figure 1"/>
      <sheetName val="1993-97 Table 1  US Highlights"/>
      <sheetName val="93-97 US Freight Table 1"/>
      <sheetName val="93-97 US Freight Table 1 (b)"/>
      <sheetName val="93-97 Percents Tab 2&amp;3"/>
      <sheetName val="Integrated View 93-97"/>
      <sheetName val="Figure 3 modal shares"/>
      <sheetName val="1993-97 Percents"/>
      <sheetName val="BTS &amp; ORNL estimates"/>
      <sheetName val="Oil Pipeline (2)"/>
      <sheetName val="1997 Table 2"/>
      <sheetName val="Table 4 Distance"/>
      <sheetName val="Distance percent change"/>
      <sheetName val="Distance 93-97"/>
      <sheetName val="Distance Fig value per ton"/>
      <sheetName val="Distance Bar"/>
      <sheetName val="Table 5 Size 93-97"/>
      <sheetName val="Size percent change"/>
      <sheetName val="Size Fig value per ton"/>
      <sheetName val="Size Bar "/>
      <sheetName val="BTS Mode"/>
      <sheetName val="Ton-miles data"/>
      <sheetName val="Ton-miles figure"/>
      <sheetName val="table 3 commodities"/>
      <sheetName val="Commodities ranked by value"/>
      <sheetName val="Commod ranked by tons"/>
      <sheetName val="Commod ranked by ton-miles"/>
      <sheetName val="Commod ranked by miles per ton "/>
      <sheetName val="Commod ranked by val per ton"/>
    </sheetNames>
    <sheetDataSet>
      <sheetData sheetId="0"/>
      <sheetData sheetId="1"/>
      <sheetData sheetId="2"/>
      <sheetData sheetId="3"/>
      <sheetData sheetId="4"/>
      <sheetData sheetId="5"/>
      <sheetData sheetId="6"/>
      <sheetData sheetId="7"/>
      <sheetData sheetId="8"/>
      <sheetData sheetId="9"/>
      <sheetData sheetId="10"/>
      <sheetData sheetId="11"/>
      <sheetData sheetId="12"/>
      <sheetData sheetId="13"/>
      <sheetData sheetId="14"/>
      <sheetData sheetId="15"/>
      <sheetData sheetId="16"/>
      <sheetData sheetId="17"/>
      <sheetData sheetId="18"/>
      <sheetData sheetId="19"/>
      <sheetData sheetId="20"/>
      <sheetData sheetId="21" refreshError="1"/>
      <sheetData sheetId="22"/>
      <sheetData sheetId="23"/>
      <sheetData sheetId="24"/>
      <sheetData sheetId="25" refreshError="1"/>
      <sheetData sheetId="26"/>
      <sheetData sheetId="27"/>
      <sheetData sheetId="28"/>
      <sheetData sheetId="29"/>
      <sheetData sheetId="30"/>
      <sheetData sheetId="31"/>
      <sheetData sheetId="32"/>
      <sheetData sheetId="33"/>
      <sheetData sheetId="34"/>
    </sheetDataSet>
  </externalBook>
</externalLink>
</file>

<file path=xl/externalLinks/externalLink3.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About"/>
      <sheetName val="AEO 7"/>
      <sheetName val="AEO 7 (2020)"/>
      <sheetName val="AEO 35"/>
      <sheetName val="AEO 36"/>
      <sheetName val="AEO 38"/>
      <sheetName val="AEO 40"/>
      <sheetName val="AEO 44"/>
      <sheetName val="AEO 47"/>
      <sheetName val="AEO 48"/>
      <sheetName val="AEO 49"/>
      <sheetName val="AEO 49 (2020)"/>
      <sheetName val="psgr LDVs"/>
      <sheetName val="NTS 1-40"/>
      <sheetName val="NRBS 40"/>
      <sheetName val="NAP F28"/>
      <sheetName val="SYFAFE-passenger"/>
      <sheetName val="SYFAFE-freight"/>
      <sheetName val="Calculations Etc"/>
      <sheetName val="BNVFE-LDVs-psgr"/>
      <sheetName val="BNVFE-LDVs-frgt"/>
      <sheetName val="BNVFE-HDVs-psgr"/>
      <sheetName val="BNVFE-HDVs-frgt"/>
      <sheetName val="BNVFE-aircraft-psgr"/>
      <sheetName val="BNVFE-aircraft-frgt"/>
      <sheetName val="BNVFE-rail-psgr"/>
      <sheetName val="BNVFE-rail-frgt"/>
      <sheetName val="BNVFE-ships-psgr"/>
      <sheetName val="BNVFE-ships-frgt"/>
      <sheetName val="BNVFE-motorbikes-psgr"/>
      <sheetName val="BNVFE-motorbikes-frgt"/>
      <sheetName val="BNVFE_data for BHNVFEAL"/>
    </sheetNames>
    <sheetDataSet>
      <sheetData sheetId="0">
        <row r="136">
          <cell r="B136">
            <v>2019</v>
          </cell>
        </row>
      </sheetData>
      <sheetData sheetId="1"/>
      <sheetData sheetId="2"/>
      <sheetData sheetId="3"/>
      <sheetData sheetId="4"/>
      <sheetData sheetId="5"/>
      <sheetData sheetId="6"/>
      <sheetData sheetId="7"/>
      <sheetData sheetId="8"/>
      <sheetData sheetId="9"/>
      <sheetData sheetId="10"/>
      <sheetData sheetId="11"/>
      <sheetData sheetId="12"/>
      <sheetData sheetId="13"/>
      <sheetData sheetId="14"/>
      <sheetData sheetId="15"/>
      <sheetData sheetId="16"/>
      <sheetData sheetId="17"/>
      <sheetData sheetId="18"/>
      <sheetData sheetId="19"/>
      <sheetData sheetId="20"/>
      <sheetData sheetId="21"/>
      <sheetData sheetId="22"/>
      <sheetData sheetId="23"/>
      <sheetData sheetId="24"/>
      <sheetData sheetId="25"/>
      <sheetData sheetId="26"/>
      <sheetData sheetId="27"/>
      <sheetData sheetId="28"/>
      <sheetData sheetId="29"/>
      <sheetData sheetId="30"/>
      <sheetData sheetId="31"/>
    </sheetDataSet>
  </externalBook>
</externalLink>
</file>

<file path=xl/theme/theme1.xml><?xml version="1.0" encoding="utf-8"?>
<a:theme xmlns:a="http://schemas.openxmlformats.org/drawingml/2006/main" name="Office Theme 2007 - 2010">
  <a:themeElements>
    <a:clrScheme name="Office 2007 - 2010">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2007 - 2010">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2007 - 2010">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2" Type="http://schemas.openxmlformats.org/officeDocument/2006/relationships/printerSettings" Target="../printerSettings/printerSettings1.bin"/><Relationship Id="rId1" Type="http://schemas.openxmlformats.org/officeDocument/2006/relationships/hyperlink" Target="https://www.epa.gov/ghgemissions/inventory-us-greenhouse-gas-emissions-and-sinks-1990-2020" TargetMode="Externa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B40"/>
  <sheetViews>
    <sheetView workbookViewId="0"/>
  </sheetViews>
  <sheetFormatPr defaultRowHeight="15"/>
  <cols>
    <col min="1" max="1" width="13.42578125" customWidth="1"/>
    <col min="2" max="2" width="107.42578125" customWidth="1"/>
  </cols>
  <sheetData>
    <row r="1" spans="1:2">
      <c r="A1" s="1" t="s">
        <v>134</v>
      </c>
    </row>
    <row r="3" spans="1:2">
      <c r="A3" s="1" t="s">
        <v>0</v>
      </c>
      <c r="B3" s="2" t="s">
        <v>122</v>
      </c>
    </row>
    <row r="4" spans="1:2">
      <c r="B4" t="s">
        <v>120</v>
      </c>
    </row>
    <row r="5" spans="1:2">
      <c r="B5" s="3" t="s">
        <v>3770</v>
      </c>
    </row>
    <row r="6" spans="1:2">
      <c r="B6" t="s">
        <v>3771</v>
      </c>
    </row>
    <row r="7" spans="1:2">
      <c r="B7" t="s">
        <v>3772</v>
      </c>
    </row>
    <row r="8" spans="1:2">
      <c r="B8" s="5" t="s">
        <v>275</v>
      </c>
    </row>
    <row r="9" spans="1:2">
      <c r="B9" t="s">
        <v>274</v>
      </c>
    </row>
    <row r="11" spans="1:2">
      <c r="B11" s="2" t="s">
        <v>1021</v>
      </c>
    </row>
    <row r="12" spans="1:2">
      <c r="B12" t="s">
        <v>1022</v>
      </c>
    </row>
    <row r="13" spans="1:2">
      <c r="B13" s="35">
        <v>2022</v>
      </c>
    </row>
    <row r="14" spans="1:2">
      <c r="B14" t="s">
        <v>1023</v>
      </c>
    </row>
    <row r="15" spans="1:2">
      <c r="B15" s="5" t="s">
        <v>1024</v>
      </c>
    </row>
    <row r="16" spans="1:2">
      <c r="B16" t="s">
        <v>1025</v>
      </c>
    </row>
    <row r="18" spans="1:1">
      <c r="A18" s="1" t="s">
        <v>109</v>
      </c>
    </row>
    <row r="19" spans="1:1">
      <c r="A19" t="s">
        <v>130</v>
      </c>
    </row>
    <row r="20" spans="1:1">
      <c r="A20" t="s">
        <v>131</v>
      </c>
    </row>
    <row r="21" spans="1:1">
      <c r="A21" t="s">
        <v>132</v>
      </c>
    </row>
    <row r="22" spans="1:1">
      <c r="A22" t="s">
        <v>276</v>
      </c>
    </row>
    <row r="23" spans="1:1">
      <c r="A23" t="s">
        <v>133</v>
      </c>
    </row>
    <row r="24" spans="1:1">
      <c r="A24" t="s">
        <v>277</v>
      </c>
    </row>
    <row r="26" spans="1:1">
      <c r="A26" t="s">
        <v>127</v>
      </c>
    </row>
    <row r="27" spans="1:1">
      <c r="A27" t="s">
        <v>128</v>
      </c>
    </row>
    <row r="28" spans="1:1">
      <c r="A28" t="s">
        <v>129</v>
      </c>
    </row>
    <row r="30" spans="1:1">
      <c r="A30" t="s">
        <v>278</v>
      </c>
    </row>
    <row r="31" spans="1:1">
      <c r="A31" t="s">
        <v>279</v>
      </c>
    </row>
    <row r="33" spans="1:1">
      <c r="A33" t="s">
        <v>280</v>
      </c>
    </row>
    <row r="34" spans="1:1">
      <c r="A34" t="s">
        <v>281</v>
      </c>
    </row>
    <row r="35" spans="1:1">
      <c r="A35" t="s">
        <v>282</v>
      </c>
    </row>
    <row r="36" spans="1:1">
      <c r="A36" t="s">
        <v>283</v>
      </c>
    </row>
    <row r="38" spans="1:1">
      <c r="A38" t="s">
        <v>1018</v>
      </c>
    </row>
    <row r="39" spans="1:1">
      <c r="A39" t="s">
        <v>1019</v>
      </c>
    </row>
    <row r="40" spans="1:1">
      <c r="A40" t="s">
        <v>1020</v>
      </c>
    </row>
  </sheetData>
  <hyperlinks>
    <hyperlink ref="B15" r:id="rId1" xr:uid="{31674276-EE75-45DE-90D8-844FE2EE3988}"/>
  </hyperlinks>
  <pageMargins left="0.7" right="0.7" top="0.75" bottom="0.75" header="0.3" footer="0.3"/>
  <pageSetup orientation="portrait" r:id="rId2"/>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35B9A10-58CC-4818-8BAF-FEBD95B70117}">
  <sheetPr>
    <tabColor theme="0" tint="-0.34998626667073579"/>
  </sheetPr>
  <dimension ref="A1"/>
  <sheetViews>
    <sheetView workbookViewId="0"/>
  </sheetViews>
  <sheetFormatPr defaultRowHeight="15"/>
  <sheetData/>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CA5ADC0-A334-4529-985A-9F8BD6507449}">
  <dimension ref="A1:G63"/>
  <sheetViews>
    <sheetView workbookViewId="0"/>
  </sheetViews>
  <sheetFormatPr defaultRowHeight="15"/>
  <cols>
    <col min="1" max="1" width="44.42578125" customWidth="1"/>
    <col min="2" max="2" width="12.5703125" customWidth="1"/>
  </cols>
  <sheetData>
    <row r="1" spans="1:7">
      <c r="A1" t="s">
        <v>2097</v>
      </c>
    </row>
    <row r="3" spans="1:7">
      <c r="A3" t="s">
        <v>2098</v>
      </c>
      <c r="B3">
        <v>2020</v>
      </c>
      <c r="C3">
        <v>2021</v>
      </c>
      <c r="G3" t="s">
        <v>2135</v>
      </c>
    </row>
    <row r="4" spans="1:7">
      <c r="A4" t="s">
        <v>2099</v>
      </c>
      <c r="B4">
        <v>937</v>
      </c>
      <c r="C4" s="58">
        <v>1029</v>
      </c>
      <c r="F4" t="s">
        <v>165</v>
      </c>
      <c r="G4">
        <f>SUM(C8,C15,C35,C41,C45)/SUM(B45,B41,B35,B15,B8)</f>
        <v>1.0416666666666667</v>
      </c>
    </row>
    <row r="5" spans="1:7">
      <c r="A5" t="s">
        <v>2100</v>
      </c>
      <c r="B5">
        <v>328</v>
      </c>
      <c r="C5">
        <v>361</v>
      </c>
    </row>
    <row r="6" spans="1:7">
      <c r="A6" t="s">
        <v>2101</v>
      </c>
      <c r="B6">
        <v>566</v>
      </c>
      <c r="C6">
        <v>620</v>
      </c>
    </row>
    <row r="7" spans="1:7">
      <c r="A7" t="s">
        <v>2102</v>
      </c>
      <c r="B7">
        <v>24</v>
      </c>
      <c r="C7">
        <v>27</v>
      </c>
    </row>
    <row r="8" spans="1:7">
      <c r="A8" s="8" t="s">
        <v>165</v>
      </c>
      <c r="B8">
        <v>3</v>
      </c>
      <c r="C8">
        <v>3</v>
      </c>
    </row>
    <row r="9" spans="1:7">
      <c r="A9" t="s">
        <v>163</v>
      </c>
      <c r="B9">
        <v>7</v>
      </c>
      <c r="C9">
        <v>7</v>
      </c>
    </row>
    <row r="10" spans="1:7">
      <c r="A10" t="s">
        <v>2103</v>
      </c>
      <c r="B10">
        <v>10</v>
      </c>
      <c r="C10">
        <v>11</v>
      </c>
    </row>
    <row r="11" spans="1:7">
      <c r="A11" t="s">
        <v>2104</v>
      </c>
      <c r="B11">
        <v>455</v>
      </c>
      <c r="C11">
        <v>488</v>
      </c>
    </row>
    <row r="12" spans="1:7">
      <c r="A12" t="s">
        <v>2100</v>
      </c>
      <c r="B12">
        <v>3</v>
      </c>
      <c r="C12">
        <v>3</v>
      </c>
    </row>
    <row r="13" spans="1:7">
      <c r="A13" t="s">
        <v>2101</v>
      </c>
      <c r="B13">
        <v>30</v>
      </c>
      <c r="C13">
        <v>33</v>
      </c>
    </row>
    <row r="14" spans="1:7">
      <c r="A14" t="s">
        <v>2102</v>
      </c>
      <c r="B14">
        <v>353</v>
      </c>
      <c r="C14">
        <v>380</v>
      </c>
    </row>
    <row r="15" spans="1:7">
      <c r="A15" s="8" t="s">
        <v>165</v>
      </c>
      <c r="B15">
        <v>20</v>
      </c>
      <c r="C15">
        <v>21</v>
      </c>
    </row>
    <row r="16" spans="1:7">
      <c r="A16" t="s">
        <v>178</v>
      </c>
      <c r="B16">
        <v>31</v>
      </c>
      <c r="C16">
        <v>32</v>
      </c>
    </row>
    <row r="17" spans="1:3">
      <c r="A17" t="s">
        <v>2103</v>
      </c>
      <c r="B17">
        <v>3</v>
      </c>
      <c r="C17">
        <v>3</v>
      </c>
    </row>
    <row r="18" spans="1:3">
      <c r="A18" t="s">
        <v>2105</v>
      </c>
      <c r="B18">
        <v>8</v>
      </c>
      <c r="C18">
        <v>8</v>
      </c>
    </row>
    <row r="19" spans="1:3">
      <c r="A19" t="s">
        <v>2106</v>
      </c>
      <c r="B19">
        <v>8</v>
      </c>
      <c r="C19">
        <v>7</v>
      </c>
    </row>
    <row r="20" spans="1:3">
      <c r="A20" t="s">
        <v>2107</v>
      </c>
      <c r="B20">
        <v>160</v>
      </c>
      <c r="C20">
        <v>203</v>
      </c>
    </row>
    <row r="21" spans="1:3">
      <c r="A21" t="s">
        <v>2108</v>
      </c>
      <c r="B21">
        <v>91</v>
      </c>
      <c r="C21">
        <v>119</v>
      </c>
    </row>
    <row r="22" spans="1:3">
      <c r="A22" t="s">
        <v>2109</v>
      </c>
      <c r="B22">
        <v>12</v>
      </c>
      <c r="C22">
        <v>13</v>
      </c>
    </row>
    <row r="23" spans="1:3">
      <c r="A23" t="s">
        <v>2110</v>
      </c>
      <c r="B23">
        <v>18</v>
      </c>
      <c r="C23">
        <v>21</v>
      </c>
    </row>
    <row r="24" spans="1:3">
      <c r="A24" t="s">
        <v>2106</v>
      </c>
      <c r="B24">
        <v>40</v>
      </c>
      <c r="C24">
        <v>51</v>
      </c>
    </row>
    <row r="25" spans="1:3">
      <c r="A25" t="s">
        <v>2111</v>
      </c>
      <c r="B25">
        <v>37</v>
      </c>
      <c r="C25">
        <v>48</v>
      </c>
    </row>
    <row r="26" spans="1:3">
      <c r="A26" t="s">
        <v>191</v>
      </c>
      <c r="B26">
        <v>1</v>
      </c>
      <c r="C26">
        <v>1</v>
      </c>
    </row>
    <row r="27" spans="1:3">
      <c r="A27" t="s">
        <v>2110</v>
      </c>
      <c r="B27">
        <v>1</v>
      </c>
      <c r="C27">
        <v>1</v>
      </c>
    </row>
    <row r="28" spans="1:3">
      <c r="A28" t="s">
        <v>185</v>
      </c>
      <c r="B28">
        <v>29</v>
      </c>
      <c r="C28">
        <v>46</v>
      </c>
    </row>
    <row r="29" spans="1:3">
      <c r="A29" t="s">
        <v>2112</v>
      </c>
      <c r="B29">
        <v>7</v>
      </c>
      <c r="C29">
        <v>24</v>
      </c>
    </row>
    <row r="30" spans="1:3">
      <c r="A30" t="s">
        <v>2106</v>
      </c>
      <c r="B30">
        <v>22</v>
      </c>
      <c r="C30">
        <v>22</v>
      </c>
    </row>
    <row r="31" spans="1:3">
      <c r="A31" t="s">
        <v>2113</v>
      </c>
      <c r="B31">
        <v>59</v>
      </c>
      <c r="C31">
        <v>65</v>
      </c>
    </row>
    <row r="32" spans="1:3">
      <c r="A32" t="s">
        <v>2100</v>
      </c>
      <c r="B32">
        <v>0</v>
      </c>
      <c r="C32">
        <v>0</v>
      </c>
    </row>
    <row r="33" spans="1:3">
      <c r="A33" t="s">
        <v>2101</v>
      </c>
      <c r="B33">
        <v>0</v>
      </c>
      <c r="C33">
        <v>0</v>
      </c>
    </row>
    <row r="34" spans="1:3">
      <c r="A34" t="s">
        <v>2114</v>
      </c>
      <c r="B34">
        <v>0</v>
      </c>
      <c r="C34">
        <v>0</v>
      </c>
    </row>
    <row r="35" spans="1:3">
      <c r="A35" s="8" t="s">
        <v>165</v>
      </c>
      <c r="B35">
        <v>1</v>
      </c>
      <c r="C35">
        <v>1</v>
      </c>
    </row>
    <row r="36" spans="1:3">
      <c r="A36" t="s">
        <v>2115</v>
      </c>
      <c r="B36">
        <v>58</v>
      </c>
      <c r="C36">
        <v>64</v>
      </c>
    </row>
    <row r="37" spans="1:3">
      <c r="A37" t="s">
        <v>2116</v>
      </c>
      <c r="B37">
        <v>0</v>
      </c>
      <c r="C37">
        <v>0</v>
      </c>
    </row>
    <row r="38" spans="1:3">
      <c r="A38" t="s">
        <v>2100</v>
      </c>
      <c r="B38">
        <v>0</v>
      </c>
      <c r="C38">
        <v>0</v>
      </c>
    </row>
    <row r="39" spans="1:3">
      <c r="A39" t="s">
        <v>2101</v>
      </c>
      <c r="B39">
        <v>0</v>
      </c>
      <c r="C39">
        <v>0</v>
      </c>
    </row>
    <row r="40" spans="1:3">
      <c r="A40" t="s">
        <v>2102</v>
      </c>
      <c r="B40">
        <v>0</v>
      </c>
      <c r="C40">
        <v>0</v>
      </c>
    </row>
    <row r="41" spans="1:3">
      <c r="A41" s="8" t="s">
        <v>165</v>
      </c>
      <c r="B41">
        <v>0</v>
      </c>
      <c r="C41">
        <v>0</v>
      </c>
    </row>
    <row r="42" spans="1:3">
      <c r="A42" t="s">
        <v>2117</v>
      </c>
      <c r="B42">
        <v>4</v>
      </c>
      <c r="C42">
        <v>5</v>
      </c>
    </row>
    <row r="43" spans="1:3">
      <c r="A43" t="s">
        <v>2100</v>
      </c>
      <c r="B43">
        <v>1</v>
      </c>
      <c r="C43">
        <v>2</v>
      </c>
    </row>
    <row r="44" spans="1:3">
      <c r="A44" t="s">
        <v>2101</v>
      </c>
      <c r="B44">
        <v>0</v>
      </c>
      <c r="C44">
        <v>1</v>
      </c>
    </row>
    <row r="45" spans="1:3">
      <c r="A45" s="8" t="s">
        <v>165</v>
      </c>
      <c r="B45">
        <v>0</v>
      </c>
      <c r="C45">
        <v>0</v>
      </c>
    </row>
    <row r="46" spans="1:3">
      <c r="A46" t="s">
        <v>178</v>
      </c>
      <c r="B46">
        <v>2</v>
      </c>
      <c r="C46">
        <v>2</v>
      </c>
    </row>
    <row r="47" spans="1:3">
      <c r="A47" t="s">
        <v>2118</v>
      </c>
      <c r="B47">
        <v>68.099999999999994</v>
      </c>
      <c r="C47">
        <v>75.400000000000006</v>
      </c>
    </row>
    <row r="48" spans="1:3">
      <c r="A48" t="s">
        <v>2119</v>
      </c>
      <c r="B48">
        <v>70</v>
      </c>
      <c r="C48">
        <v>80</v>
      </c>
    </row>
    <row r="49" spans="1:3">
      <c r="A49" t="s">
        <v>2120</v>
      </c>
      <c r="B49">
        <v>68.099999999999994</v>
      </c>
      <c r="C49">
        <v>75.400000000000006</v>
      </c>
    </row>
    <row r="50" spans="1:3">
      <c r="A50" t="s">
        <v>2121</v>
      </c>
      <c r="B50">
        <v>17.7</v>
      </c>
      <c r="C50">
        <v>16.100000000000001</v>
      </c>
    </row>
    <row r="51" spans="1:3">
      <c r="A51" t="s">
        <v>2122</v>
      </c>
    </row>
    <row r="52" spans="1:3">
      <c r="A52" t="s">
        <v>2123</v>
      </c>
    </row>
    <row r="53" spans="1:3">
      <c r="A53" t="s">
        <v>2124</v>
      </c>
    </row>
    <row r="54" spans="1:3">
      <c r="A54" t="s">
        <v>2125</v>
      </c>
    </row>
    <row r="55" spans="1:3">
      <c r="A55" t="s">
        <v>2126</v>
      </c>
    </row>
    <row r="56" spans="1:3">
      <c r="A56" t="s">
        <v>2127</v>
      </c>
    </row>
    <row r="57" spans="1:3">
      <c r="A57" t="s">
        <v>2128</v>
      </c>
    </row>
    <row r="58" spans="1:3">
      <c r="A58" t="s">
        <v>2129</v>
      </c>
    </row>
    <row r="59" spans="1:3">
      <c r="A59" t="s">
        <v>2130</v>
      </c>
    </row>
    <row r="60" spans="1:3">
      <c r="A60" t="s">
        <v>2131</v>
      </c>
    </row>
    <row r="61" spans="1:3">
      <c r="A61" t="s">
        <v>2132</v>
      </c>
    </row>
    <row r="62" spans="1:3">
      <c r="A62" t="s">
        <v>2133</v>
      </c>
    </row>
    <row r="63" spans="1:3">
      <c r="A63" t="s">
        <v>2134</v>
      </c>
    </row>
  </sheetData>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3691DD5-D5FA-40A6-A3DA-01D2A2E537E0}">
  <sheetPr>
    <tabColor theme="6" tint="0.79998168889431442"/>
  </sheetPr>
  <dimension ref="A1:AH2842"/>
  <sheetViews>
    <sheetView topLeftCell="B58" workbookViewId="0">
      <selection activeCell="D66" sqref="D66"/>
    </sheetView>
  </sheetViews>
  <sheetFormatPr defaultColWidth="8.7109375" defaultRowHeight="15"/>
  <cols>
    <col min="1" max="1" width="21.42578125" hidden="1" customWidth="1"/>
    <col min="2" max="2" width="46.7109375" customWidth="1"/>
    <col min="3" max="32" width="7.85546875" customWidth="1"/>
  </cols>
  <sheetData>
    <row r="1" spans="1:33" ht="15" customHeight="1" thickBot="1">
      <c r="A1" s="9"/>
      <c r="B1" s="37" t="s">
        <v>1026</v>
      </c>
      <c r="C1" s="38">
        <v>2022</v>
      </c>
      <c r="D1" s="38">
        <v>2023</v>
      </c>
      <c r="E1" s="38">
        <v>2024</v>
      </c>
      <c r="F1" s="38">
        <v>2025</v>
      </c>
      <c r="G1" s="38">
        <v>2026</v>
      </c>
      <c r="H1" s="38">
        <v>2027</v>
      </c>
      <c r="I1" s="38">
        <v>2028</v>
      </c>
      <c r="J1" s="38">
        <v>2029</v>
      </c>
      <c r="K1" s="38">
        <v>2030</v>
      </c>
      <c r="L1" s="38">
        <v>2031</v>
      </c>
      <c r="M1" s="38">
        <v>2032</v>
      </c>
      <c r="N1" s="38">
        <v>2033</v>
      </c>
      <c r="O1" s="38">
        <v>2034</v>
      </c>
      <c r="P1" s="38">
        <v>2035</v>
      </c>
      <c r="Q1" s="38">
        <v>2036</v>
      </c>
      <c r="R1" s="38">
        <v>2037</v>
      </c>
      <c r="S1" s="38">
        <v>2038</v>
      </c>
      <c r="T1" s="38">
        <v>2039</v>
      </c>
      <c r="U1" s="38">
        <v>2040</v>
      </c>
      <c r="V1" s="38">
        <v>2041</v>
      </c>
      <c r="W1" s="38">
        <v>2042</v>
      </c>
      <c r="X1" s="38">
        <v>2043</v>
      </c>
      <c r="Y1" s="38">
        <v>2044</v>
      </c>
      <c r="Z1" s="38">
        <v>2045</v>
      </c>
      <c r="AA1" s="38">
        <v>2046</v>
      </c>
      <c r="AB1" s="38">
        <v>2047</v>
      </c>
      <c r="AC1" s="38">
        <v>2048</v>
      </c>
      <c r="AD1" s="38">
        <v>2049</v>
      </c>
      <c r="AE1" s="38">
        <v>2050</v>
      </c>
      <c r="AF1" s="9"/>
      <c r="AG1" s="9"/>
    </row>
    <row r="2" spans="1:33" ht="15" customHeight="1" thickTop="1">
      <c r="A2" s="9"/>
      <c r="B2" s="9"/>
      <c r="C2" s="9"/>
      <c r="D2" s="9"/>
      <c r="E2" s="9"/>
      <c r="F2" s="9"/>
      <c r="G2" s="9"/>
      <c r="H2" s="9"/>
      <c r="I2" s="9"/>
      <c r="J2" s="9"/>
      <c r="K2" s="9"/>
      <c r="L2" s="9"/>
      <c r="M2" s="9"/>
      <c r="N2" s="9"/>
      <c r="O2" s="9"/>
      <c r="P2" s="9"/>
      <c r="Q2" s="9"/>
      <c r="R2" s="9"/>
      <c r="S2" s="9"/>
      <c r="T2" s="9"/>
      <c r="U2" s="9"/>
      <c r="V2" s="9"/>
      <c r="W2" s="9"/>
      <c r="X2" s="9"/>
      <c r="Y2" s="9"/>
      <c r="Z2" s="9"/>
      <c r="AA2" s="9"/>
      <c r="AB2" s="9"/>
      <c r="AC2" s="9"/>
      <c r="AD2" s="9"/>
      <c r="AE2" s="9"/>
      <c r="AF2" s="9"/>
      <c r="AG2" s="9"/>
    </row>
    <row r="3" spans="1:33" ht="15" customHeight="1">
      <c r="A3" s="9"/>
      <c r="B3" s="9"/>
      <c r="C3" s="55" t="s">
        <v>108</v>
      </c>
      <c r="D3" s="55" t="s">
        <v>1027</v>
      </c>
      <c r="E3" s="40"/>
      <c r="F3" s="40"/>
      <c r="G3" s="40"/>
      <c r="H3" s="9"/>
      <c r="I3" s="9"/>
      <c r="J3" s="9"/>
      <c r="K3" s="9"/>
      <c r="L3" s="9"/>
      <c r="M3" s="9"/>
      <c r="N3" s="9"/>
      <c r="O3" s="9"/>
      <c r="P3" s="9"/>
      <c r="Q3" s="9"/>
      <c r="R3" s="9"/>
      <c r="S3" s="9"/>
      <c r="T3" s="9"/>
      <c r="U3" s="9"/>
      <c r="V3" s="9"/>
      <c r="W3" s="9"/>
      <c r="X3" s="9"/>
      <c r="Y3" s="9"/>
      <c r="Z3" s="9"/>
      <c r="AA3" s="9"/>
      <c r="AB3" s="9"/>
      <c r="AC3" s="9"/>
      <c r="AD3" s="9"/>
      <c r="AE3" s="9"/>
      <c r="AF3" s="9"/>
      <c r="AG3" s="9"/>
    </row>
    <row r="4" spans="1:33" ht="15" customHeight="1">
      <c r="A4" s="9"/>
      <c r="B4" s="9"/>
      <c r="C4" s="55" t="s">
        <v>107</v>
      </c>
      <c r="D4" s="55" t="s">
        <v>1028</v>
      </c>
      <c r="E4" s="40"/>
      <c r="F4" s="40"/>
      <c r="G4" s="55" t="s">
        <v>287</v>
      </c>
      <c r="H4" s="9"/>
      <c r="I4" s="9"/>
      <c r="J4" s="9"/>
      <c r="K4" s="9"/>
      <c r="L4" s="9"/>
      <c r="M4" s="9"/>
      <c r="N4" s="9"/>
      <c r="O4" s="9"/>
      <c r="P4" s="9"/>
      <c r="Q4" s="9"/>
      <c r="R4" s="9"/>
      <c r="S4" s="9"/>
      <c r="T4" s="9"/>
      <c r="U4" s="9"/>
      <c r="V4" s="9"/>
      <c r="W4" s="9"/>
      <c r="X4" s="9"/>
      <c r="Y4" s="9"/>
      <c r="Z4" s="9"/>
      <c r="AA4" s="9"/>
      <c r="AB4" s="9"/>
      <c r="AC4" s="9"/>
      <c r="AD4" s="9"/>
      <c r="AE4" s="9"/>
      <c r="AF4" s="9"/>
      <c r="AG4" s="9"/>
    </row>
    <row r="5" spans="1:33" ht="15" customHeight="1">
      <c r="A5" s="9"/>
      <c r="B5" s="9"/>
      <c r="C5" s="55" t="s">
        <v>106</v>
      </c>
      <c r="D5" s="55" t="s">
        <v>1029</v>
      </c>
      <c r="E5" s="40"/>
      <c r="F5" s="40"/>
      <c r="G5" s="40"/>
      <c r="H5" s="9"/>
      <c r="I5" s="9"/>
      <c r="J5" s="9"/>
      <c r="K5" s="9"/>
      <c r="L5" s="9"/>
      <c r="M5" s="9"/>
      <c r="N5" s="9"/>
      <c r="O5" s="9"/>
      <c r="P5" s="9"/>
      <c r="Q5" s="9"/>
      <c r="R5" s="9"/>
      <c r="S5" s="9"/>
      <c r="T5" s="9"/>
      <c r="U5" s="9"/>
      <c r="V5" s="9"/>
      <c r="W5" s="9"/>
      <c r="X5" s="9"/>
      <c r="Y5" s="9"/>
      <c r="Z5" s="9"/>
      <c r="AA5" s="9"/>
      <c r="AB5" s="9"/>
      <c r="AC5" s="9"/>
      <c r="AD5" s="9"/>
      <c r="AE5" s="9"/>
      <c r="AF5" s="9"/>
      <c r="AG5" s="9"/>
    </row>
    <row r="6" spans="1:33" ht="15" customHeight="1">
      <c r="A6" s="9"/>
      <c r="B6" s="9"/>
      <c r="C6" s="55" t="s">
        <v>105</v>
      </c>
      <c r="D6" s="40"/>
      <c r="E6" s="55" t="s">
        <v>1030</v>
      </c>
      <c r="F6" s="40"/>
      <c r="G6" s="40"/>
      <c r="H6" s="9"/>
      <c r="I6" s="9"/>
      <c r="J6" s="9"/>
      <c r="K6" s="9"/>
      <c r="L6" s="9"/>
      <c r="M6" s="9"/>
      <c r="N6" s="9"/>
      <c r="O6" s="9"/>
      <c r="P6" s="9"/>
      <c r="Q6" s="9"/>
      <c r="R6" s="9"/>
      <c r="S6" s="9"/>
      <c r="T6" s="9"/>
      <c r="U6" s="9"/>
      <c r="V6" s="9"/>
      <c r="W6" s="9"/>
      <c r="X6" s="9"/>
      <c r="Y6" s="9"/>
      <c r="Z6" s="9"/>
      <c r="AA6" s="9"/>
      <c r="AB6" s="9"/>
      <c r="AC6" s="9"/>
      <c r="AD6" s="9"/>
      <c r="AE6" s="9"/>
      <c r="AF6" s="9"/>
      <c r="AG6" s="9"/>
    </row>
    <row r="7" spans="1:33">
      <c r="A7" s="9"/>
      <c r="B7" s="9"/>
      <c r="C7" s="9"/>
      <c r="D7" s="9"/>
      <c r="E7" s="9"/>
      <c r="F7" s="9"/>
      <c r="G7" s="9"/>
      <c r="H7" s="9"/>
      <c r="I7" s="9"/>
      <c r="J7" s="9"/>
      <c r="K7" s="9"/>
      <c r="L7" s="9"/>
      <c r="M7" s="9"/>
      <c r="N7" s="9"/>
      <c r="O7" s="9"/>
      <c r="P7" s="9"/>
      <c r="Q7" s="9"/>
      <c r="R7" s="9"/>
      <c r="S7" s="9"/>
      <c r="T7" s="9"/>
      <c r="U7" s="9"/>
      <c r="V7" s="9"/>
      <c r="W7" s="9"/>
      <c r="X7" s="9"/>
      <c r="Y7" s="9"/>
      <c r="Z7" s="9"/>
      <c r="AA7" s="9"/>
      <c r="AB7" s="9"/>
      <c r="AC7" s="9"/>
      <c r="AD7" s="9"/>
      <c r="AE7" s="9"/>
      <c r="AF7" s="9"/>
      <c r="AG7" s="9"/>
    </row>
    <row r="8" spans="1:33">
      <c r="A8" s="9"/>
      <c r="B8" s="9"/>
      <c r="C8" s="9"/>
      <c r="D8" s="9"/>
      <c r="E8" s="9"/>
      <c r="F8" s="9"/>
      <c r="G8" s="9"/>
      <c r="H8" s="9"/>
      <c r="I8" s="9"/>
      <c r="J8" s="9"/>
      <c r="K8" s="9"/>
      <c r="L8" s="9"/>
      <c r="M8" s="9"/>
      <c r="N8" s="9"/>
      <c r="O8" s="9"/>
      <c r="P8" s="9"/>
      <c r="Q8" s="9"/>
      <c r="R8" s="9"/>
      <c r="S8" s="9"/>
      <c r="T8" s="9"/>
      <c r="U8" s="9"/>
      <c r="V8" s="9"/>
      <c r="W8" s="9"/>
      <c r="X8" s="9"/>
      <c r="Y8" s="9"/>
      <c r="Z8" s="9"/>
      <c r="AA8" s="9"/>
      <c r="AB8" s="9"/>
      <c r="AC8" s="9"/>
      <c r="AD8" s="9"/>
      <c r="AE8" s="9"/>
      <c r="AF8" s="9"/>
      <c r="AG8" s="9"/>
    </row>
    <row r="9" spans="1:33">
      <c r="A9" s="9"/>
      <c r="B9" s="21"/>
      <c r="C9" s="21"/>
      <c r="D9" s="21"/>
      <c r="E9" s="21"/>
      <c r="F9" s="21"/>
      <c r="G9" s="21"/>
      <c r="H9" s="21"/>
      <c r="I9" s="21"/>
      <c r="J9" s="21"/>
      <c r="K9" s="21"/>
      <c r="L9" s="21"/>
      <c r="M9" s="21"/>
      <c r="N9" s="21"/>
      <c r="O9" s="21"/>
      <c r="P9" s="21"/>
      <c r="Q9" s="21"/>
      <c r="R9" s="21"/>
      <c r="S9" s="21"/>
      <c r="T9" s="21"/>
      <c r="U9" s="21"/>
      <c r="V9" s="21"/>
      <c r="W9" s="21"/>
      <c r="X9" s="21"/>
      <c r="Y9" s="21"/>
      <c r="Z9" s="21"/>
      <c r="AA9" s="21"/>
      <c r="AB9" s="21"/>
      <c r="AC9" s="21"/>
      <c r="AD9" s="21"/>
      <c r="AE9" s="21"/>
      <c r="AF9" s="21"/>
      <c r="AG9" s="21"/>
    </row>
    <row r="10" spans="1:33" ht="15" customHeight="1">
      <c r="A10" s="39" t="s">
        <v>104</v>
      </c>
      <c r="B10" s="41" t="s">
        <v>103</v>
      </c>
      <c r="C10" s="21"/>
      <c r="D10" s="21"/>
      <c r="E10" s="21"/>
      <c r="F10" s="21"/>
      <c r="G10" s="21"/>
      <c r="H10" s="21"/>
      <c r="I10" s="21"/>
      <c r="J10" s="21"/>
      <c r="K10" s="21"/>
      <c r="L10" s="21"/>
      <c r="M10" s="21"/>
      <c r="N10" s="21"/>
      <c r="O10" s="21"/>
      <c r="P10" s="21"/>
      <c r="Q10" s="21"/>
      <c r="R10" s="21"/>
      <c r="S10" s="21"/>
      <c r="T10" s="21"/>
      <c r="U10" s="21"/>
      <c r="V10" s="21"/>
      <c r="W10" s="21"/>
      <c r="X10" s="21"/>
      <c r="Y10" s="21"/>
      <c r="Z10" s="21"/>
      <c r="AA10" s="21"/>
      <c r="AB10" s="21"/>
      <c r="AC10" s="21"/>
      <c r="AD10" s="21"/>
      <c r="AE10" s="21"/>
      <c r="AF10" s="42" t="s">
        <v>290</v>
      </c>
      <c r="AG10" s="21"/>
    </row>
    <row r="11" spans="1:33" ht="15" customHeight="1">
      <c r="A11" s="9"/>
      <c r="B11" s="43"/>
      <c r="C11" s="21"/>
      <c r="D11" s="21"/>
      <c r="E11" s="21"/>
      <c r="F11" s="21"/>
      <c r="G11" s="21"/>
      <c r="H11" s="21"/>
      <c r="I11" s="21"/>
      <c r="J11" s="21"/>
      <c r="K11" s="21"/>
      <c r="L11" s="21"/>
      <c r="M11" s="21"/>
      <c r="N11" s="21"/>
      <c r="O11" s="21"/>
      <c r="P11" s="21"/>
      <c r="Q11" s="21"/>
      <c r="R11" s="21"/>
      <c r="S11" s="21"/>
      <c r="T11" s="21"/>
      <c r="U11" s="21"/>
      <c r="V11" s="21"/>
      <c r="W11" s="21"/>
      <c r="X11" s="21"/>
      <c r="Y11" s="21"/>
      <c r="Z11" s="21"/>
      <c r="AA11" s="21"/>
      <c r="AB11" s="21"/>
      <c r="AC11" s="21"/>
      <c r="AD11" s="21"/>
      <c r="AE11" s="21"/>
      <c r="AF11" s="42" t="s">
        <v>291</v>
      </c>
      <c r="AG11" s="21"/>
    </row>
    <row r="12" spans="1:33" ht="15" customHeight="1">
      <c r="A12" s="9"/>
      <c r="B12" s="43"/>
      <c r="C12" s="44"/>
      <c r="D12" s="44"/>
      <c r="E12" s="44"/>
      <c r="F12" s="44"/>
      <c r="G12" s="44"/>
      <c r="H12" s="44"/>
      <c r="I12" s="44"/>
      <c r="J12" s="44"/>
      <c r="K12" s="44"/>
      <c r="L12" s="44"/>
      <c r="M12" s="44"/>
      <c r="N12" s="44"/>
      <c r="O12" s="44"/>
      <c r="P12" s="44"/>
      <c r="Q12" s="44"/>
      <c r="R12" s="44"/>
      <c r="S12" s="44"/>
      <c r="T12" s="44"/>
      <c r="U12" s="44"/>
      <c r="V12" s="44"/>
      <c r="W12" s="44"/>
      <c r="X12" s="44"/>
      <c r="Y12" s="44"/>
      <c r="Z12" s="44"/>
      <c r="AA12" s="44"/>
      <c r="AB12" s="44"/>
      <c r="AC12" s="44"/>
      <c r="AD12" s="44"/>
      <c r="AE12" s="44"/>
      <c r="AF12" s="42" t="s">
        <v>292</v>
      </c>
      <c r="AG12" s="21"/>
    </row>
    <row r="13" spans="1:33" ht="15" customHeight="1" thickBot="1">
      <c r="A13" s="9"/>
      <c r="B13" s="45" t="s">
        <v>102</v>
      </c>
      <c r="C13" s="45">
        <v>2022</v>
      </c>
      <c r="D13" s="45">
        <v>2023</v>
      </c>
      <c r="E13" s="45">
        <v>2024</v>
      </c>
      <c r="F13" s="45">
        <v>2025</v>
      </c>
      <c r="G13" s="45">
        <v>2026</v>
      </c>
      <c r="H13" s="45">
        <v>2027</v>
      </c>
      <c r="I13" s="45">
        <v>2028</v>
      </c>
      <c r="J13" s="45">
        <v>2029</v>
      </c>
      <c r="K13" s="45">
        <v>2030</v>
      </c>
      <c r="L13" s="45">
        <v>2031</v>
      </c>
      <c r="M13" s="45">
        <v>2032</v>
      </c>
      <c r="N13" s="45">
        <v>2033</v>
      </c>
      <c r="O13" s="45">
        <v>2034</v>
      </c>
      <c r="P13" s="45">
        <v>2035</v>
      </c>
      <c r="Q13" s="45">
        <v>2036</v>
      </c>
      <c r="R13" s="45">
        <v>2037</v>
      </c>
      <c r="S13" s="45">
        <v>2038</v>
      </c>
      <c r="T13" s="45">
        <v>2039</v>
      </c>
      <c r="U13" s="45">
        <v>2040</v>
      </c>
      <c r="V13" s="45">
        <v>2041</v>
      </c>
      <c r="W13" s="45">
        <v>2042</v>
      </c>
      <c r="X13" s="45">
        <v>2043</v>
      </c>
      <c r="Y13" s="45">
        <v>2044</v>
      </c>
      <c r="Z13" s="45">
        <v>2045</v>
      </c>
      <c r="AA13" s="45">
        <v>2046</v>
      </c>
      <c r="AB13" s="45">
        <v>2047</v>
      </c>
      <c r="AC13" s="45">
        <v>2048</v>
      </c>
      <c r="AD13" s="45">
        <v>2049</v>
      </c>
      <c r="AE13" s="45">
        <v>2050</v>
      </c>
      <c r="AF13" s="46" t="s">
        <v>1031</v>
      </c>
      <c r="AG13" s="21"/>
    </row>
    <row r="14" spans="1:33" ht="15" customHeight="1" thickTop="1">
      <c r="A14" s="9"/>
      <c r="B14" s="21"/>
      <c r="C14" s="21"/>
      <c r="D14" s="21"/>
      <c r="E14" s="21"/>
      <c r="F14" s="21"/>
      <c r="G14" s="21"/>
      <c r="H14" s="21"/>
      <c r="I14" s="21"/>
      <c r="J14" s="21"/>
      <c r="K14" s="21"/>
      <c r="L14" s="21"/>
      <c r="M14" s="21"/>
      <c r="N14" s="21"/>
      <c r="O14" s="21"/>
      <c r="P14" s="21"/>
      <c r="Q14" s="21"/>
      <c r="R14" s="21"/>
      <c r="S14" s="21"/>
      <c r="T14" s="21"/>
      <c r="U14" s="21"/>
      <c r="V14" s="21"/>
      <c r="W14" s="21"/>
      <c r="X14" s="21"/>
      <c r="Y14" s="21"/>
      <c r="Z14" s="21"/>
      <c r="AA14" s="21"/>
      <c r="AB14" s="21"/>
      <c r="AC14" s="21"/>
      <c r="AD14" s="21"/>
      <c r="AE14" s="21"/>
      <c r="AF14" s="21"/>
      <c r="AG14" s="21"/>
    </row>
    <row r="15" spans="1:33" ht="15" customHeight="1">
      <c r="A15" s="9"/>
      <c r="B15" s="47" t="s">
        <v>101</v>
      </c>
      <c r="C15" s="21"/>
      <c r="D15" s="21"/>
      <c r="E15" s="21"/>
      <c r="F15" s="21"/>
      <c r="G15" s="21"/>
      <c r="H15" s="21"/>
      <c r="I15" s="21"/>
      <c r="J15" s="21"/>
      <c r="K15" s="21"/>
      <c r="L15" s="21"/>
      <c r="M15" s="21"/>
      <c r="N15" s="21"/>
      <c r="O15" s="21"/>
      <c r="P15" s="21"/>
      <c r="Q15" s="21"/>
      <c r="R15" s="21"/>
      <c r="S15" s="21"/>
      <c r="T15" s="21"/>
      <c r="U15" s="21"/>
      <c r="V15" s="21"/>
      <c r="W15" s="21"/>
      <c r="X15" s="21"/>
      <c r="Y15" s="21"/>
      <c r="Z15" s="21"/>
      <c r="AA15" s="21"/>
      <c r="AB15" s="21"/>
      <c r="AC15" s="21"/>
      <c r="AD15" s="21"/>
      <c r="AE15" s="21"/>
      <c r="AF15" s="21"/>
      <c r="AG15" s="21"/>
    </row>
    <row r="16" spans="1:33" ht="15" customHeight="1">
      <c r="A16" s="9"/>
      <c r="B16" s="47" t="s">
        <v>100</v>
      </c>
      <c r="C16" s="21"/>
      <c r="D16" s="21"/>
      <c r="E16" s="21"/>
      <c r="F16" s="21"/>
      <c r="G16" s="21"/>
      <c r="H16" s="21"/>
      <c r="I16" s="21"/>
      <c r="J16" s="21"/>
      <c r="K16" s="21"/>
      <c r="L16" s="21"/>
      <c r="M16" s="21"/>
      <c r="N16" s="21"/>
      <c r="O16" s="21"/>
      <c r="P16" s="21"/>
      <c r="Q16" s="21"/>
      <c r="R16" s="21"/>
      <c r="S16" s="21"/>
      <c r="T16" s="21"/>
      <c r="U16" s="21"/>
      <c r="V16" s="21"/>
      <c r="W16" s="21"/>
      <c r="X16" s="21"/>
      <c r="Y16" s="21"/>
      <c r="Z16" s="21"/>
      <c r="AA16" s="21"/>
      <c r="AB16" s="21"/>
      <c r="AC16" s="21"/>
      <c r="AD16" s="21"/>
      <c r="AE16" s="21"/>
      <c r="AF16" s="21"/>
      <c r="AG16" s="21"/>
    </row>
    <row r="17" spans="1:33" ht="15" customHeight="1">
      <c r="A17" s="9"/>
      <c r="B17" s="47" t="s">
        <v>99</v>
      </c>
      <c r="C17" s="21"/>
      <c r="D17" s="21"/>
      <c r="E17" s="21"/>
      <c r="F17" s="21"/>
      <c r="G17" s="21"/>
      <c r="H17" s="21"/>
      <c r="I17" s="21"/>
      <c r="J17" s="21"/>
      <c r="K17" s="21"/>
      <c r="L17" s="21"/>
      <c r="M17" s="21"/>
      <c r="N17" s="21"/>
      <c r="O17" s="21"/>
      <c r="P17" s="21"/>
      <c r="Q17" s="21"/>
      <c r="R17" s="21"/>
      <c r="S17" s="21"/>
      <c r="T17" s="21"/>
      <c r="U17" s="21"/>
      <c r="V17" s="21"/>
      <c r="W17" s="21"/>
      <c r="X17" s="21"/>
      <c r="Y17" s="21"/>
      <c r="Z17" s="21"/>
      <c r="AA17" s="21"/>
      <c r="AB17" s="21"/>
      <c r="AC17" s="21"/>
      <c r="AD17" s="21"/>
      <c r="AE17" s="21"/>
      <c r="AF17" s="21"/>
      <c r="AG17" s="21"/>
    </row>
    <row r="18" spans="1:33" ht="15" customHeight="1">
      <c r="A18" s="39" t="s">
        <v>98</v>
      </c>
      <c r="B18" s="48" t="s">
        <v>97</v>
      </c>
      <c r="C18" s="53">
        <v>2843.298096</v>
      </c>
      <c r="D18" s="53">
        <v>2901.3588869999999</v>
      </c>
      <c r="E18" s="53">
        <v>2922.5065920000002</v>
      </c>
      <c r="F18" s="53">
        <v>2933.360107</v>
      </c>
      <c r="G18" s="53">
        <v>2954.2380370000001</v>
      </c>
      <c r="H18" s="53">
        <v>2981.9343260000001</v>
      </c>
      <c r="I18" s="53">
        <v>3007.5581050000001</v>
      </c>
      <c r="J18" s="53">
        <v>3027.5729980000001</v>
      </c>
      <c r="K18" s="53">
        <v>3042.8432619999999</v>
      </c>
      <c r="L18" s="53">
        <v>3055.7746579999998</v>
      </c>
      <c r="M18" s="53">
        <v>3066.6516109999998</v>
      </c>
      <c r="N18" s="53">
        <v>3082.359375</v>
      </c>
      <c r="O18" s="53">
        <v>3102.4182129999999</v>
      </c>
      <c r="P18" s="53">
        <v>3120.7375489999999</v>
      </c>
      <c r="Q18" s="53">
        <v>3135.6208499999998</v>
      </c>
      <c r="R18" s="53">
        <v>3152.9177249999998</v>
      </c>
      <c r="S18" s="53">
        <v>3172.435547</v>
      </c>
      <c r="T18" s="53">
        <v>3192.100586</v>
      </c>
      <c r="U18" s="53">
        <v>3214.5629880000001</v>
      </c>
      <c r="V18" s="53">
        <v>3237.5805660000001</v>
      </c>
      <c r="W18" s="53">
        <v>3261.5847170000002</v>
      </c>
      <c r="X18" s="53">
        <v>3284.897461</v>
      </c>
      <c r="Y18" s="53">
        <v>3309.0390619999998</v>
      </c>
      <c r="Z18" s="53">
        <v>3334.7033689999998</v>
      </c>
      <c r="AA18" s="53">
        <v>3364.522461</v>
      </c>
      <c r="AB18" s="53">
        <v>3396.5351559999999</v>
      </c>
      <c r="AC18" s="53">
        <v>3429.5627439999998</v>
      </c>
      <c r="AD18" s="53">
        <v>3463.0249020000001</v>
      </c>
      <c r="AE18" s="53">
        <v>3499.5429690000001</v>
      </c>
      <c r="AF18" s="50">
        <v>7.4440000000000001E-3</v>
      </c>
      <c r="AG18" s="21"/>
    </row>
    <row r="19" spans="1:33" s="94" customFormat="1" ht="15" customHeight="1">
      <c r="A19" s="89" t="s">
        <v>96</v>
      </c>
      <c r="B19" s="90" t="s">
        <v>95</v>
      </c>
      <c r="C19" s="91">
        <v>102.214951</v>
      </c>
      <c r="D19" s="91">
        <v>103.34345999999999</v>
      </c>
      <c r="E19" s="91">
        <v>103.55378</v>
      </c>
      <c r="F19" s="91">
        <v>104.36998699999999</v>
      </c>
      <c r="G19" s="91">
        <v>105.656265</v>
      </c>
      <c r="H19" s="91">
        <v>107.002548</v>
      </c>
      <c r="I19" s="91">
        <v>108.204063</v>
      </c>
      <c r="J19" s="91">
        <v>109.329842</v>
      </c>
      <c r="K19" s="91">
        <v>110.214569</v>
      </c>
      <c r="L19" s="91">
        <v>111.063705</v>
      </c>
      <c r="M19" s="91">
        <v>112.175911</v>
      </c>
      <c r="N19" s="91">
        <v>113.26731100000001</v>
      </c>
      <c r="O19" s="91">
        <v>114.361328</v>
      </c>
      <c r="P19" s="91">
        <v>115.539856</v>
      </c>
      <c r="Q19" s="91">
        <v>116.693398</v>
      </c>
      <c r="R19" s="91">
        <v>117.934776</v>
      </c>
      <c r="S19" s="91">
        <v>119.26325199999999</v>
      </c>
      <c r="T19" s="91">
        <v>120.517143</v>
      </c>
      <c r="U19" s="91">
        <v>121.965698</v>
      </c>
      <c r="V19" s="91">
        <v>123.543205</v>
      </c>
      <c r="W19" s="91">
        <v>125.055435</v>
      </c>
      <c r="X19" s="91">
        <v>126.490196</v>
      </c>
      <c r="Y19" s="91">
        <v>127.831902</v>
      </c>
      <c r="Z19" s="91">
        <v>129.14802599999999</v>
      </c>
      <c r="AA19" s="91">
        <v>130.647919</v>
      </c>
      <c r="AB19" s="91">
        <v>132.25534099999999</v>
      </c>
      <c r="AC19" s="91">
        <v>133.71923799999999</v>
      </c>
      <c r="AD19" s="91">
        <v>135.16911300000001</v>
      </c>
      <c r="AE19" s="91">
        <v>137.065033</v>
      </c>
      <c r="AF19" s="92">
        <v>1.0533000000000001E-2</v>
      </c>
      <c r="AG19" s="93"/>
    </row>
    <row r="20" spans="1:33" ht="15" customHeight="1">
      <c r="A20" s="39" t="s">
        <v>94</v>
      </c>
      <c r="B20" s="48" t="s">
        <v>93</v>
      </c>
      <c r="C20" s="53">
        <v>321.95498700000002</v>
      </c>
      <c r="D20" s="53">
        <v>320.72061200000002</v>
      </c>
      <c r="E20" s="53">
        <v>321.15664700000002</v>
      </c>
      <c r="F20" s="53">
        <v>324.03918499999997</v>
      </c>
      <c r="G20" s="53">
        <v>328.45147700000001</v>
      </c>
      <c r="H20" s="53">
        <v>332.319275</v>
      </c>
      <c r="I20" s="53">
        <v>335.87875400000001</v>
      </c>
      <c r="J20" s="53">
        <v>338.62100199999998</v>
      </c>
      <c r="K20" s="53">
        <v>341.15325899999999</v>
      </c>
      <c r="L20" s="53">
        <v>344.16229199999998</v>
      </c>
      <c r="M20" s="53">
        <v>348.16583300000002</v>
      </c>
      <c r="N20" s="53">
        <v>351.54122899999999</v>
      </c>
      <c r="O20" s="53">
        <v>354.83010899999999</v>
      </c>
      <c r="P20" s="53">
        <v>358.344696</v>
      </c>
      <c r="Q20" s="53">
        <v>361.39355499999999</v>
      </c>
      <c r="R20" s="53">
        <v>364.92678799999999</v>
      </c>
      <c r="S20" s="53">
        <v>368.38064600000001</v>
      </c>
      <c r="T20" s="53">
        <v>371.81143200000002</v>
      </c>
      <c r="U20" s="53">
        <v>375.58807400000001</v>
      </c>
      <c r="V20" s="53">
        <v>379.58752399999997</v>
      </c>
      <c r="W20" s="53">
        <v>383.51464800000002</v>
      </c>
      <c r="X20" s="53">
        <v>387.20883199999997</v>
      </c>
      <c r="Y20" s="53">
        <v>390.63339200000001</v>
      </c>
      <c r="Z20" s="53">
        <v>393.83795199999997</v>
      </c>
      <c r="AA20" s="53">
        <v>397.54263300000002</v>
      </c>
      <c r="AB20" s="53">
        <v>401.35467499999999</v>
      </c>
      <c r="AC20" s="53">
        <v>404.65982100000002</v>
      </c>
      <c r="AD20" s="53">
        <v>408.22445699999997</v>
      </c>
      <c r="AE20" s="53">
        <v>413.08251999999999</v>
      </c>
      <c r="AF20" s="50">
        <v>8.9409999999999993E-3</v>
      </c>
      <c r="AG20" s="21"/>
    </row>
    <row r="21" spans="1:33" ht="15" customHeight="1">
      <c r="A21" s="9"/>
      <c r="B21" s="47" t="s">
        <v>139</v>
      </c>
      <c r="C21" s="21"/>
      <c r="D21" s="21"/>
      <c r="E21" s="21"/>
      <c r="F21" s="21"/>
      <c r="G21" s="21"/>
      <c r="H21" s="21"/>
      <c r="I21" s="21"/>
      <c r="J21" s="21"/>
      <c r="K21" s="21"/>
      <c r="L21" s="21"/>
      <c r="M21" s="21"/>
      <c r="N21" s="21"/>
      <c r="O21" s="21"/>
      <c r="P21" s="21"/>
      <c r="Q21" s="21"/>
      <c r="R21" s="21"/>
      <c r="S21" s="21"/>
      <c r="T21" s="21"/>
      <c r="U21" s="21"/>
      <c r="V21" s="21"/>
      <c r="W21" s="21"/>
      <c r="X21" s="21"/>
      <c r="Y21" s="21"/>
      <c r="Z21" s="21"/>
      <c r="AA21" s="21"/>
      <c r="AB21" s="21"/>
      <c r="AC21" s="21"/>
      <c r="AD21" s="21"/>
      <c r="AE21" s="21"/>
      <c r="AF21" s="21"/>
      <c r="AG21" s="21"/>
    </row>
    <row r="22" spans="1:33" ht="15" customHeight="1">
      <c r="A22" s="39" t="s">
        <v>135</v>
      </c>
      <c r="B22" s="48" t="s">
        <v>136</v>
      </c>
      <c r="C22" s="59">
        <v>175.473648</v>
      </c>
      <c r="D22" s="53">
        <v>186.883286</v>
      </c>
      <c r="E22" s="53">
        <v>193.369202</v>
      </c>
      <c r="F22" s="53">
        <v>197.39228800000001</v>
      </c>
      <c r="G22" s="53">
        <v>200.32751500000001</v>
      </c>
      <c r="H22" s="53">
        <v>202.52967799999999</v>
      </c>
      <c r="I22" s="53">
        <v>204.211411</v>
      </c>
      <c r="J22" s="53">
        <v>205.46838399999999</v>
      </c>
      <c r="K22" s="53">
        <v>206.39357000000001</v>
      </c>
      <c r="L22" s="53">
        <v>207.029404</v>
      </c>
      <c r="M22" s="53">
        <v>207.54084800000001</v>
      </c>
      <c r="N22" s="53">
        <v>207.99565100000001</v>
      </c>
      <c r="O22" s="53">
        <v>208.43975800000001</v>
      </c>
      <c r="P22" s="53">
        <v>208.79684399999999</v>
      </c>
      <c r="Q22" s="53">
        <v>209.10339400000001</v>
      </c>
      <c r="R22" s="53">
        <v>209.37013200000001</v>
      </c>
      <c r="S22" s="53">
        <v>209.49378999999999</v>
      </c>
      <c r="T22" s="53">
        <v>209.54415900000001</v>
      </c>
      <c r="U22" s="53">
        <v>209.54357899999999</v>
      </c>
      <c r="V22" s="53">
        <v>209.49118000000001</v>
      </c>
      <c r="W22" s="53">
        <v>209.41184999999999</v>
      </c>
      <c r="X22" s="53">
        <v>209.25843800000001</v>
      </c>
      <c r="Y22" s="53">
        <v>209.10913099999999</v>
      </c>
      <c r="Z22" s="53">
        <v>208.931015</v>
      </c>
      <c r="AA22" s="53">
        <v>208.81189000000001</v>
      </c>
      <c r="AB22" s="53">
        <v>208.60612499999999</v>
      </c>
      <c r="AC22" s="53">
        <v>208.41769400000001</v>
      </c>
      <c r="AD22" s="53">
        <v>208.192352</v>
      </c>
      <c r="AE22" s="53">
        <v>207.995926</v>
      </c>
      <c r="AF22" s="50">
        <v>6.0910000000000001E-3</v>
      </c>
      <c r="AG22" s="21"/>
    </row>
    <row r="23" spans="1:33" ht="15" customHeight="1">
      <c r="A23" s="39" t="s">
        <v>137</v>
      </c>
      <c r="B23" s="48" t="s">
        <v>138</v>
      </c>
      <c r="C23" s="53">
        <v>30.144946999999998</v>
      </c>
      <c r="D23" s="53">
        <v>32.030231000000001</v>
      </c>
      <c r="E23" s="53">
        <v>33.064109999999999</v>
      </c>
      <c r="F23" s="53">
        <v>33.706195999999998</v>
      </c>
      <c r="G23" s="53">
        <v>34.620327000000003</v>
      </c>
      <c r="H23" s="53">
        <v>35.443916000000002</v>
      </c>
      <c r="I23" s="53">
        <v>36.137473999999997</v>
      </c>
      <c r="J23" s="53">
        <v>36.650322000000003</v>
      </c>
      <c r="K23" s="53">
        <v>37.00806</v>
      </c>
      <c r="L23" s="53">
        <v>37.264552999999999</v>
      </c>
      <c r="M23" s="53">
        <v>37.633518000000002</v>
      </c>
      <c r="N23" s="53">
        <v>38.067889999999998</v>
      </c>
      <c r="O23" s="53">
        <v>38.564194000000001</v>
      </c>
      <c r="P23" s="53">
        <v>38.985652999999999</v>
      </c>
      <c r="Q23" s="53">
        <v>39.398944999999998</v>
      </c>
      <c r="R23" s="53">
        <v>39.809189000000003</v>
      </c>
      <c r="S23" s="53">
        <v>40.237045000000002</v>
      </c>
      <c r="T23" s="53">
        <v>40.652228999999998</v>
      </c>
      <c r="U23" s="53">
        <v>41.127974999999999</v>
      </c>
      <c r="V23" s="53">
        <v>41.567630999999999</v>
      </c>
      <c r="W23" s="53">
        <v>42.019573000000001</v>
      </c>
      <c r="X23" s="53">
        <v>42.407310000000003</v>
      </c>
      <c r="Y23" s="53">
        <v>42.842342000000002</v>
      </c>
      <c r="Z23" s="53">
        <v>43.266334999999998</v>
      </c>
      <c r="AA23" s="53">
        <v>43.867863</v>
      </c>
      <c r="AB23" s="53">
        <v>44.361511</v>
      </c>
      <c r="AC23" s="53">
        <v>44.905074999999997</v>
      </c>
      <c r="AD23" s="53">
        <v>45.395485000000001</v>
      </c>
      <c r="AE23" s="53">
        <v>46.002594000000002</v>
      </c>
      <c r="AF23" s="50">
        <v>1.521E-2</v>
      </c>
      <c r="AG23" s="21"/>
    </row>
    <row r="24" spans="1:33" ht="15" customHeight="1">
      <c r="A24" s="9"/>
      <c r="B24" s="47" t="s">
        <v>92</v>
      </c>
      <c r="C24" s="21"/>
      <c r="D24" s="21"/>
      <c r="E24" s="21"/>
      <c r="F24" s="21"/>
      <c r="G24" s="21"/>
      <c r="H24" s="21"/>
      <c r="I24" s="21"/>
      <c r="J24" s="21"/>
      <c r="K24" s="21"/>
      <c r="L24" s="21"/>
      <c r="M24" s="21"/>
      <c r="N24" s="21"/>
      <c r="O24" s="21"/>
      <c r="P24" s="21"/>
      <c r="Q24" s="21"/>
      <c r="R24" s="21"/>
      <c r="S24" s="21"/>
      <c r="T24" s="21"/>
      <c r="U24" s="21"/>
      <c r="V24" s="21"/>
      <c r="W24" s="21"/>
      <c r="X24" s="21"/>
      <c r="Y24" s="21"/>
      <c r="Z24" s="21"/>
      <c r="AA24" s="21"/>
      <c r="AB24" s="21"/>
      <c r="AC24" s="21"/>
      <c r="AD24" s="21"/>
      <c r="AE24" s="21"/>
      <c r="AF24" s="21"/>
      <c r="AG24" s="21"/>
    </row>
    <row r="25" spans="1:33" ht="15" customHeight="1">
      <c r="A25" s="39" t="s">
        <v>91</v>
      </c>
      <c r="B25" s="48" t="s">
        <v>90</v>
      </c>
      <c r="C25" s="59">
        <v>1173.034668</v>
      </c>
      <c r="D25" s="53">
        <v>1318.6945800000001</v>
      </c>
      <c r="E25" s="53">
        <v>1361.6110839999999</v>
      </c>
      <c r="F25" s="53">
        <v>1371.6551509999999</v>
      </c>
      <c r="G25" s="53">
        <v>1402.9279790000001</v>
      </c>
      <c r="H25" s="53">
        <v>1433.8398440000001</v>
      </c>
      <c r="I25" s="53">
        <v>1461.472168</v>
      </c>
      <c r="J25" s="53">
        <v>1484.8291019999999</v>
      </c>
      <c r="K25" s="53">
        <v>1504.2687989999999</v>
      </c>
      <c r="L25" s="53">
        <v>1524.7269289999999</v>
      </c>
      <c r="M25" s="53">
        <v>1552.256836</v>
      </c>
      <c r="N25" s="53">
        <v>1583.9248050000001</v>
      </c>
      <c r="O25" s="53">
        <v>1615.380249</v>
      </c>
      <c r="P25" s="53">
        <v>1647.3461910000001</v>
      </c>
      <c r="Q25" s="53">
        <v>1682.5896</v>
      </c>
      <c r="R25" s="53">
        <v>1721.046875</v>
      </c>
      <c r="S25" s="53">
        <v>1761.139038</v>
      </c>
      <c r="T25" s="53">
        <v>1801.9410399999999</v>
      </c>
      <c r="U25" s="53">
        <v>1848.0720209999999</v>
      </c>
      <c r="V25" s="53">
        <v>1894.2041019999999</v>
      </c>
      <c r="W25" s="53">
        <v>1941.463013</v>
      </c>
      <c r="X25" s="53">
        <v>1990.3642580000001</v>
      </c>
      <c r="Y25" s="53">
        <v>2038.4373780000001</v>
      </c>
      <c r="Z25" s="53">
        <v>2085.6875</v>
      </c>
      <c r="AA25" s="53">
        <v>2134.0048830000001</v>
      </c>
      <c r="AB25" s="53">
        <v>2185.8969729999999</v>
      </c>
      <c r="AC25" s="53">
        <v>2238.836182</v>
      </c>
      <c r="AD25" s="53">
        <v>2292.3554690000001</v>
      </c>
      <c r="AE25" s="53">
        <v>2350.2690429999998</v>
      </c>
      <c r="AF25" s="50">
        <v>2.513E-2</v>
      </c>
      <c r="AG25" s="21"/>
    </row>
    <row r="26" spans="1:33" ht="15" customHeight="1">
      <c r="A26" s="9"/>
      <c r="B26" s="47" t="s">
        <v>89</v>
      </c>
      <c r="C26" s="21"/>
      <c r="D26" s="21"/>
      <c r="E26" s="21"/>
      <c r="F26" s="21"/>
      <c r="G26" s="21"/>
      <c r="H26" s="21"/>
      <c r="I26" s="21"/>
      <c r="J26" s="21"/>
      <c r="K26" s="21"/>
      <c r="L26" s="21"/>
      <c r="M26" s="21"/>
      <c r="N26" s="21"/>
      <c r="O26" s="21"/>
      <c r="P26" s="21"/>
      <c r="Q26" s="21"/>
      <c r="R26" s="21"/>
      <c r="S26" s="21"/>
      <c r="T26" s="21"/>
      <c r="U26" s="21"/>
      <c r="V26" s="21"/>
      <c r="W26" s="21"/>
      <c r="X26" s="21"/>
      <c r="Y26" s="21"/>
      <c r="Z26" s="21"/>
      <c r="AA26" s="21"/>
      <c r="AB26" s="21"/>
      <c r="AC26" s="21"/>
      <c r="AD26" s="21"/>
      <c r="AE26" s="21"/>
      <c r="AF26" s="21"/>
      <c r="AG26" s="21"/>
    </row>
    <row r="27" spans="1:33" ht="15" customHeight="1">
      <c r="A27" s="39" t="s">
        <v>88</v>
      </c>
      <c r="B27" s="48" t="s">
        <v>47</v>
      </c>
      <c r="C27" s="53">
        <v>1620.4948730000001</v>
      </c>
      <c r="D27" s="53">
        <v>1600.1008300000001</v>
      </c>
      <c r="E27" s="53">
        <v>1666.9197999999999</v>
      </c>
      <c r="F27" s="53">
        <v>1628.408447</v>
      </c>
      <c r="G27" s="53">
        <v>1561.420654</v>
      </c>
      <c r="H27" s="53">
        <v>1509.649414</v>
      </c>
      <c r="I27" s="53">
        <v>1489.7312010000001</v>
      </c>
      <c r="J27" s="53">
        <v>1507.5151370000001</v>
      </c>
      <c r="K27" s="53">
        <v>1500.1649170000001</v>
      </c>
      <c r="L27" s="53">
        <v>1506.952393</v>
      </c>
      <c r="M27" s="53">
        <v>1522.1982419999999</v>
      </c>
      <c r="N27" s="53">
        <v>1534.73938</v>
      </c>
      <c r="O27" s="53">
        <v>1543.237427</v>
      </c>
      <c r="P27" s="53">
        <v>1554.590698</v>
      </c>
      <c r="Q27" s="53">
        <v>1557.5253909999999</v>
      </c>
      <c r="R27" s="53">
        <v>1562.481567</v>
      </c>
      <c r="S27" s="53">
        <v>1568.966064</v>
      </c>
      <c r="T27" s="53">
        <v>1568.3394780000001</v>
      </c>
      <c r="U27" s="53">
        <v>1571.777466</v>
      </c>
      <c r="V27" s="53">
        <v>1585.611206</v>
      </c>
      <c r="W27" s="53">
        <v>1597.3070070000001</v>
      </c>
      <c r="X27" s="53">
        <v>1600.190918</v>
      </c>
      <c r="Y27" s="53">
        <v>1601.832764</v>
      </c>
      <c r="Z27" s="53">
        <v>1602.998779</v>
      </c>
      <c r="AA27" s="53">
        <v>1608.1293949999999</v>
      </c>
      <c r="AB27" s="53">
        <v>1618.0823969999999</v>
      </c>
      <c r="AC27" s="53">
        <v>1630.8079829999999</v>
      </c>
      <c r="AD27" s="53">
        <v>1636.8905030000001</v>
      </c>
      <c r="AE27" s="53">
        <v>1649.469482</v>
      </c>
      <c r="AF27" s="50">
        <v>6.3299999999999999E-4</v>
      </c>
      <c r="AG27" s="21"/>
    </row>
    <row r="28" spans="1:33" ht="15" customHeight="1">
      <c r="A28" s="39" t="s">
        <v>87</v>
      </c>
      <c r="B28" s="48" t="s">
        <v>45</v>
      </c>
      <c r="C28" s="53">
        <v>444.898865</v>
      </c>
      <c r="D28" s="53">
        <v>450.42761200000001</v>
      </c>
      <c r="E28" s="53">
        <v>448.61004600000001</v>
      </c>
      <c r="F28" s="53">
        <v>446.74627700000002</v>
      </c>
      <c r="G28" s="53">
        <v>445.22772200000003</v>
      </c>
      <c r="H28" s="53">
        <v>442.84777800000001</v>
      </c>
      <c r="I28" s="53">
        <v>440.43005399999998</v>
      </c>
      <c r="J28" s="53">
        <v>437.02459700000003</v>
      </c>
      <c r="K28" s="53">
        <v>434.036407</v>
      </c>
      <c r="L28" s="53">
        <v>431.39211999999998</v>
      </c>
      <c r="M28" s="53">
        <v>429.99737499999998</v>
      </c>
      <c r="N28" s="53">
        <v>428.16067500000003</v>
      </c>
      <c r="O28" s="53">
        <v>426.27862499999998</v>
      </c>
      <c r="P28" s="53">
        <v>424.17816199999999</v>
      </c>
      <c r="Q28" s="53">
        <v>421.71697999999998</v>
      </c>
      <c r="R28" s="53">
        <v>419.81463600000001</v>
      </c>
      <c r="S28" s="53">
        <v>417.567047</v>
      </c>
      <c r="T28" s="53">
        <v>415.80767800000001</v>
      </c>
      <c r="U28" s="53">
        <v>414.04513500000002</v>
      </c>
      <c r="V28" s="53">
        <v>412.52209499999998</v>
      </c>
      <c r="W28" s="53">
        <v>411.24774200000002</v>
      </c>
      <c r="X28" s="53">
        <v>409.97735599999999</v>
      </c>
      <c r="Y28" s="53">
        <v>408.52224699999999</v>
      </c>
      <c r="Z28" s="53">
        <v>406.63034099999999</v>
      </c>
      <c r="AA28" s="53">
        <v>405.358521</v>
      </c>
      <c r="AB28" s="53">
        <v>403.865906</v>
      </c>
      <c r="AC28" s="53">
        <v>401.97906499999999</v>
      </c>
      <c r="AD28" s="53">
        <v>400.55664100000001</v>
      </c>
      <c r="AE28" s="53">
        <v>400.09832799999998</v>
      </c>
      <c r="AF28" s="50">
        <v>-3.7829999999999999E-3</v>
      </c>
      <c r="AG28" s="21"/>
    </row>
    <row r="29" spans="1:33" ht="15" customHeight="1">
      <c r="A29" s="9"/>
      <c r="B29" s="21"/>
      <c r="C29" s="21"/>
      <c r="D29" s="21"/>
      <c r="E29" s="21"/>
      <c r="F29" s="21"/>
      <c r="G29" s="21"/>
      <c r="H29" s="21"/>
      <c r="I29" s="21"/>
      <c r="J29" s="21"/>
      <c r="K29" s="21"/>
      <c r="L29" s="21"/>
      <c r="M29" s="21"/>
      <c r="N29" s="21"/>
      <c r="O29" s="21"/>
      <c r="P29" s="21"/>
      <c r="Q29" s="21"/>
      <c r="R29" s="21"/>
      <c r="S29" s="21"/>
      <c r="T29" s="21"/>
      <c r="U29" s="21"/>
      <c r="V29" s="21"/>
      <c r="W29" s="21"/>
      <c r="X29" s="21"/>
      <c r="Y29" s="21"/>
      <c r="Z29" s="21"/>
      <c r="AA29" s="21"/>
      <c r="AB29" s="21"/>
      <c r="AC29" s="21"/>
      <c r="AD29" s="21"/>
      <c r="AE29" s="21"/>
      <c r="AF29" s="21"/>
      <c r="AG29" s="21"/>
    </row>
    <row r="30" spans="1:33" ht="15" customHeight="1">
      <c r="A30" s="9"/>
      <c r="B30" s="47" t="s">
        <v>86</v>
      </c>
      <c r="C30" s="21"/>
      <c r="D30" s="21"/>
      <c r="E30" s="21"/>
      <c r="F30" s="21"/>
      <c r="G30" s="21"/>
      <c r="H30" s="21"/>
      <c r="I30" s="21"/>
      <c r="J30" s="21"/>
      <c r="K30" s="21"/>
      <c r="L30" s="21"/>
      <c r="M30" s="21"/>
      <c r="N30" s="21"/>
      <c r="O30" s="21"/>
      <c r="P30" s="21"/>
      <c r="Q30" s="21"/>
      <c r="R30" s="21"/>
      <c r="S30" s="21"/>
      <c r="T30" s="21"/>
      <c r="U30" s="21"/>
      <c r="V30" s="21"/>
      <c r="W30" s="21"/>
      <c r="X30" s="21"/>
      <c r="Y30" s="21"/>
      <c r="Z30" s="21"/>
      <c r="AA30" s="21"/>
      <c r="AB30" s="21"/>
      <c r="AC30" s="21"/>
      <c r="AD30" s="21"/>
      <c r="AE30" s="21"/>
      <c r="AF30" s="21"/>
      <c r="AG30" s="21"/>
    </row>
    <row r="31" spans="1:33">
      <c r="A31" s="9"/>
      <c r="B31" s="47" t="s">
        <v>85</v>
      </c>
      <c r="C31" s="21"/>
      <c r="D31" s="21"/>
      <c r="E31" s="21"/>
      <c r="F31" s="21"/>
      <c r="G31" s="21"/>
      <c r="H31" s="21"/>
      <c r="I31" s="21"/>
      <c r="J31" s="21"/>
      <c r="K31" s="21"/>
      <c r="L31" s="21"/>
      <c r="M31" s="21"/>
      <c r="N31" s="21"/>
      <c r="O31" s="21"/>
      <c r="P31" s="21"/>
      <c r="Q31" s="21"/>
      <c r="R31" s="21"/>
      <c r="S31" s="21"/>
      <c r="T31" s="21"/>
      <c r="U31" s="21"/>
      <c r="V31" s="21"/>
      <c r="W31" s="21"/>
      <c r="X31" s="21"/>
      <c r="Y31" s="21"/>
      <c r="Z31" s="21"/>
      <c r="AA31" s="21"/>
      <c r="AB31" s="21"/>
      <c r="AC31" s="21"/>
      <c r="AD31" s="21"/>
      <c r="AE31" s="21"/>
      <c r="AF31" s="21"/>
      <c r="AG31" s="21"/>
    </row>
    <row r="32" spans="1:33">
      <c r="A32" s="39" t="s">
        <v>84</v>
      </c>
      <c r="B32" s="48" t="s">
        <v>83</v>
      </c>
      <c r="C32" s="54">
        <v>35.855949000000003</v>
      </c>
      <c r="D32" s="54">
        <v>36.277985000000001</v>
      </c>
      <c r="E32" s="54">
        <v>39.337012999999999</v>
      </c>
      <c r="F32" s="54">
        <v>42.578201</v>
      </c>
      <c r="G32" s="54">
        <v>47.262627000000002</v>
      </c>
      <c r="H32" s="54">
        <v>47.227249</v>
      </c>
      <c r="I32" s="54">
        <v>47.18121</v>
      </c>
      <c r="J32" s="54">
        <v>47.168773999999999</v>
      </c>
      <c r="K32" s="54">
        <v>47.163848999999999</v>
      </c>
      <c r="L32" s="54">
        <v>47.152081000000003</v>
      </c>
      <c r="M32" s="54">
        <v>47.159278999999998</v>
      </c>
      <c r="N32" s="54">
        <v>47.152672000000003</v>
      </c>
      <c r="O32" s="54">
        <v>47.146118000000001</v>
      </c>
      <c r="P32" s="54">
        <v>47.131686999999999</v>
      </c>
      <c r="Q32" s="54">
        <v>47.138325000000002</v>
      </c>
      <c r="R32" s="54">
        <v>47.119869000000001</v>
      </c>
      <c r="S32" s="54">
        <v>47.100937000000002</v>
      </c>
      <c r="T32" s="54">
        <v>47.084251000000002</v>
      </c>
      <c r="U32" s="54">
        <v>47.059879000000002</v>
      </c>
      <c r="V32" s="54">
        <v>47.032314</v>
      </c>
      <c r="W32" s="54">
        <v>47.004074000000003</v>
      </c>
      <c r="X32" s="54">
        <v>46.960155</v>
      </c>
      <c r="Y32" s="54">
        <v>46.939563999999997</v>
      </c>
      <c r="Z32" s="54">
        <v>46.910690000000002</v>
      </c>
      <c r="AA32" s="54">
        <v>46.948238000000003</v>
      </c>
      <c r="AB32" s="54">
        <v>46.913113000000003</v>
      </c>
      <c r="AC32" s="54">
        <v>46.906829999999999</v>
      </c>
      <c r="AD32" s="54">
        <v>46.880138000000002</v>
      </c>
      <c r="AE32" s="54">
        <v>46.870857000000001</v>
      </c>
      <c r="AF32" s="50">
        <v>9.613E-3</v>
      </c>
      <c r="AG32" s="21"/>
    </row>
    <row r="33" spans="1:33">
      <c r="A33" s="39" t="s">
        <v>82</v>
      </c>
      <c r="B33" s="48" t="s">
        <v>81</v>
      </c>
      <c r="C33" s="54">
        <v>45.004654000000002</v>
      </c>
      <c r="D33" s="54">
        <v>45.471119000000002</v>
      </c>
      <c r="E33" s="54">
        <v>49.460312000000002</v>
      </c>
      <c r="F33" s="54">
        <v>53.789036000000003</v>
      </c>
      <c r="G33" s="54">
        <v>59.791530999999999</v>
      </c>
      <c r="H33" s="54">
        <v>59.803519999999999</v>
      </c>
      <c r="I33" s="54">
        <v>59.817413000000002</v>
      </c>
      <c r="J33" s="54">
        <v>59.819332000000003</v>
      </c>
      <c r="K33" s="54">
        <v>59.821598000000002</v>
      </c>
      <c r="L33" s="54">
        <v>59.822445000000002</v>
      </c>
      <c r="M33" s="54">
        <v>59.827472999999998</v>
      </c>
      <c r="N33" s="54">
        <v>59.828792999999997</v>
      </c>
      <c r="O33" s="54">
        <v>59.830779999999997</v>
      </c>
      <c r="P33" s="54">
        <v>59.831119999999999</v>
      </c>
      <c r="Q33" s="54">
        <v>59.842136000000004</v>
      </c>
      <c r="R33" s="54">
        <v>59.842136000000004</v>
      </c>
      <c r="S33" s="54">
        <v>59.842136000000004</v>
      </c>
      <c r="T33" s="54">
        <v>59.843197000000004</v>
      </c>
      <c r="U33" s="54">
        <v>59.843197000000004</v>
      </c>
      <c r="V33" s="54">
        <v>59.843231000000003</v>
      </c>
      <c r="W33" s="54">
        <v>59.845177</v>
      </c>
      <c r="X33" s="54">
        <v>59.845177</v>
      </c>
      <c r="Y33" s="54">
        <v>59.848227999999999</v>
      </c>
      <c r="Z33" s="54">
        <v>59.848227999999999</v>
      </c>
      <c r="AA33" s="54">
        <v>59.867775000000002</v>
      </c>
      <c r="AB33" s="54">
        <v>59.867775000000002</v>
      </c>
      <c r="AC33" s="54">
        <v>59.867775000000002</v>
      </c>
      <c r="AD33" s="54">
        <v>59.867775000000002</v>
      </c>
      <c r="AE33" s="54">
        <v>59.867775000000002</v>
      </c>
      <c r="AF33" s="50">
        <v>1.0244E-2</v>
      </c>
      <c r="AG33" s="21"/>
    </row>
    <row r="34" spans="1:33">
      <c r="A34" s="39" t="s">
        <v>80</v>
      </c>
      <c r="B34" s="48" t="s">
        <v>79</v>
      </c>
      <c r="C34" s="54">
        <v>32.047302000000002</v>
      </c>
      <c r="D34" s="54">
        <v>32.608868000000001</v>
      </c>
      <c r="E34" s="54">
        <v>35.403008</v>
      </c>
      <c r="F34" s="54">
        <v>38.46349</v>
      </c>
      <c r="G34" s="54">
        <v>42.755749000000002</v>
      </c>
      <c r="H34" s="54">
        <v>42.75658</v>
      </c>
      <c r="I34" s="54">
        <v>42.76173</v>
      </c>
      <c r="J34" s="54">
        <v>42.76173</v>
      </c>
      <c r="K34" s="54">
        <v>42.761840999999997</v>
      </c>
      <c r="L34" s="54">
        <v>42.762084999999999</v>
      </c>
      <c r="M34" s="54">
        <v>42.762169</v>
      </c>
      <c r="N34" s="54">
        <v>42.762360000000001</v>
      </c>
      <c r="O34" s="54">
        <v>42.762390000000003</v>
      </c>
      <c r="P34" s="54">
        <v>42.762520000000002</v>
      </c>
      <c r="Q34" s="54">
        <v>42.762554000000002</v>
      </c>
      <c r="R34" s="54">
        <v>42.762698999999998</v>
      </c>
      <c r="S34" s="54">
        <v>42.762756000000003</v>
      </c>
      <c r="T34" s="54">
        <v>42.762824999999999</v>
      </c>
      <c r="U34" s="54">
        <v>42.762897000000002</v>
      </c>
      <c r="V34" s="54">
        <v>42.762962000000002</v>
      </c>
      <c r="W34" s="54">
        <v>42.763016</v>
      </c>
      <c r="X34" s="54">
        <v>42.763103000000001</v>
      </c>
      <c r="Y34" s="54">
        <v>42.763103000000001</v>
      </c>
      <c r="Z34" s="54">
        <v>42.763184000000003</v>
      </c>
      <c r="AA34" s="54">
        <v>42.763184000000003</v>
      </c>
      <c r="AB34" s="54">
        <v>42.763294000000002</v>
      </c>
      <c r="AC34" s="54">
        <v>42.763294000000002</v>
      </c>
      <c r="AD34" s="54">
        <v>42.763393000000001</v>
      </c>
      <c r="AE34" s="54">
        <v>42.763393000000001</v>
      </c>
      <c r="AF34" s="50">
        <v>1.0356000000000001E-2</v>
      </c>
      <c r="AG34" s="21"/>
    </row>
    <row r="35" spans="1:33">
      <c r="A35" s="39" t="s">
        <v>78</v>
      </c>
      <c r="B35" s="48" t="s">
        <v>77</v>
      </c>
      <c r="C35" s="54">
        <v>41.802036000000001</v>
      </c>
      <c r="D35" s="54">
        <v>43.267200000000003</v>
      </c>
      <c r="E35" s="54">
        <v>44.448151000000003</v>
      </c>
      <c r="F35" s="54">
        <v>47.052714999999999</v>
      </c>
      <c r="G35" s="54">
        <v>48.571758000000003</v>
      </c>
      <c r="H35" s="54">
        <v>49.792529999999999</v>
      </c>
      <c r="I35" s="54">
        <v>52.281478999999997</v>
      </c>
      <c r="J35" s="54">
        <v>53.248958999999999</v>
      </c>
      <c r="K35" s="54">
        <v>53.962006000000002</v>
      </c>
      <c r="L35" s="54">
        <v>54.332034999999998</v>
      </c>
      <c r="M35" s="54">
        <v>54.872646000000003</v>
      </c>
      <c r="N35" s="54">
        <v>55.329352999999998</v>
      </c>
      <c r="O35" s="54">
        <v>55.771633000000001</v>
      </c>
      <c r="P35" s="54">
        <v>56.242725</v>
      </c>
      <c r="Q35" s="54">
        <v>56.632603000000003</v>
      </c>
      <c r="R35" s="54">
        <v>56.856194000000002</v>
      </c>
      <c r="S35" s="54">
        <v>57.030456999999998</v>
      </c>
      <c r="T35" s="54">
        <v>57.310715000000002</v>
      </c>
      <c r="U35" s="54">
        <v>57.240420999999998</v>
      </c>
      <c r="V35" s="54">
        <v>57.306023000000003</v>
      </c>
      <c r="W35" s="54">
        <v>57.371867999999999</v>
      </c>
      <c r="X35" s="54">
        <v>57.326743999999998</v>
      </c>
      <c r="Y35" s="54">
        <v>57.237999000000002</v>
      </c>
      <c r="Z35" s="54">
        <v>57.125121999999998</v>
      </c>
      <c r="AA35" s="54">
        <v>57.475963999999998</v>
      </c>
      <c r="AB35" s="54">
        <v>57.327747000000002</v>
      </c>
      <c r="AC35" s="54">
        <v>57.273457000000001</v>
      </c>
      <c r="AD35" s="54">
        <v>57.524818000000003</v>
      </c>
      <c r="AE35" s="54">
        <v>57.479156000000003</v>
      </c>
      <c r="AF35" s="50">
        <v>1.1439E-2</v>
      </c>
      <c r="AG35" s="21"/>
    </row>
    <row r="36" spans="1:33">
      <c r="A36" s="39" t="s">
        <v>76</v>
      </c>
      <c r="B36" s="48" t="s">
        <v>75</v>
      </c>
      <c r="C36" s="54">
        <v>56.582644999999999</v>
      </c>
      <c r="D36" s="54">
        <v>58.322226999999998</v>
      </c>
      <c r="E36" s="54">
        <v>59.783313999999997</v>
      </c>
      <c r="F36" s="54">
        <v>64.222374000000002</v>
      </c>
      <c r="G36" s="54">
        <v>65.997482000000005</v>
      </c>
      <c r="H36" s="54">
        <v>68.148635999999996</v>
      </c>
      <c r="I36" s="54">
        <v>72.759444999999999</v>
      </c>
      <c r="J36" s="54">
        <v>74.876166999999995</v>
      </c>
      <c r="K36" s="54">
        <v>76.446303999999998</v>
      </c>
      <c r="L36" s="54">
        <v>77.157302999999999</v>
      </c>
      <c r="M36" s="54">
        <v>78.145363000000003</v>
      </c>
      <c r="N36" s="54">
        <v>78.735664</v>
      </c>
      <c r="O36" s="54">
        <v>79.269256999999996</v>
      </c>
      <c r="P36" s="54">
        <v>79.864814999999993</v>
      </c>
      <c r="Q36" s="54">
        <v>80.311751999999998</v>
      </c>
      <c r="R36" s="54">
        <v>80.510566999999995</v>
      </c>
      <c r="S36" s="54">
        <v>80.643073999999999</v>
      </c>
      <c r="T36" s="54">
        <v>81.042243999999997</v>
      </c>
      <c r="U36" s="54">
        <v>80.790893999999994</v>
      </c>
      <c r="V36" s="54">
        <v>80.999863000000005</v>
      </c>
      <c r="W36" s="54">
        <v>81.213393999999994</v>
      </c>
      <c r="X36" s="54">
        <v>81.251564000000002</v>
      </c>
      <c r="Y36" s="54">
        <v>81.126784999999998</v>
      </c>
      <c r="Z36" s="54">
        <v>80.963654000000005</v>
      </c>
      <c r="AA36" s="54">
        <v>81.962256999999994</v>
      </c>
      <c r="AB36" s="54">
        <v>81.685669000000004</v>
      </c>
      <c r="AC36" s="54">
        <v>81.574020000000004</v>
      </c>
      <c r="AD36" s="54">
        <v>82.338425000000001</v>
      </c>
      <c r="AE36" s="54">
        <v>82.243483999999995</v>
      </c>
      <c r="AF36" s="50">
        <v>1.3446E-2</v>
      </c>
      <c r="AG36" s="21"/>
    </row>
    <row r="37" spans="1:33">
      <c r="A37" s="39" t="s">
        <v>74</v>
      </c>
      <c r="B37" s="48" t="s">
        <v>73</v>
      </c>
      <c r="C37" s="54">
        <v>36.263930999999999</v>
      </c>
      <c r="D37" s="54">
        <v>37.832123000000003</v>
      </c>
      <c r="E37" s="54">
        <v>39.014805000000003</v>
      </c>
      <c r="F37" s="54">
        <v>41.375152999999997</v>
      </c>
      <c r="G37" s="54">
        <v>42.876761999999999</v>
      </c>
      <c r="H37" s="54">
        <v>43.911583</v>
      </c>
      <c r="I37" s="54">
        <v>45.953789</v>
      </c>
      <c r="J37" s="54">
        <v>46.678477999999998</v>
      </c>
      <c r="K37" s="54">
        <v>47.207011999999999</v>
      </c>
      <c r="L37" s="54">
        <v>47.518374999999999</v>
      </c>
      <c r="M37" s="54">
        <v>47.939487</v>
      </c>
      <c r="N37" s="54">
        <v>48.362620999999997</v>
      </c>
      <c r="O37" s="54">
        <v>48.779860999999997</v>
      </c>
      <c r="P37" s="54">
        <v>49.233046999999999</v>
      </c>
      <c r="Q37" s="54">
        <v>49.585566999999998</v>
      </c>
      <c r="R37" s="54">
        <v>49.838344999999997</v>
      </c>
      <c r="S37" s="54">
        <v>50.048076999999999</v>
      </c>
      <c r="T37" s="54">
        <v>50.325744999999998</v>
      </c>
      <c r="U37" s="54">
        <v>50.338009</v>
      </c>
      <c r="V37" s="54">
        <v>50.426777000000001</v>
      </c>
      <c r="W37" s="54">
        <v>50.517310999999999</v>
      </c>
      <c r="X37" s="54">
        <v>50.542614</v>
      </c>
      <c r="Y37" s="54">
        <v>50.50412</v>
      </c>
      <c r="Z37" s="54">
        <v>50.459384999999997</v>
      </c>
      <c r="AA37" s="54">
        <v>50.618049999999997</v>
      </c>
      <c r="AB37" s="54">
        <v>50.565734999999997</v>
      </c>
      <c r="AC37" s="54">
        <v>50.535651999999999</v>
      </c>
      <c r="AD37" s="54">
        <v>50.739390999999998</v>
      </c>
      <c r="AE37" s="54">
        <v>50.721836000000003</v>
      </c>
      <c r="AF37" s="50">
        <v>1.2055E-2</v>
      </c>
      <c r="AG37" s="21"/>
    </row>
    <row r="38" spans="1:33">
      <c r="A38" s="39" t="s">
        <v>72</v>
      </c>
      <c r="B38" s="48" t="s">
        <v>71</v>
      </c>
      <c r="C38" s="54">
        <v>37.621077999999997</v>
      </c>
      <c r="D38" s="54">
        <v>38.382415999999999</v>
      </c>
      <c r="E38" s="54">
        <v>39.075671999999997</v>
      </c>
      <c r="F38" s="54">
        <v>40.794502000000001</v>
      </c>
      <c r="G38" s="54">
        <v>41.684994000000003</v>
      </c>
      <c r="H38" s="54">
        <v>42.387779000000002</v>
      </c>
      <c r="I38" s="54">
        <v>43.992404999999998</v>
      </c>
      <c r="J38" s="54">
        <v>44.482399000000001</v>
      </c>
      <c r="K38" s="54">
        <v>44.828845999999999</v>
      </c>
      <c r="L38" s="54">
        <v>45.012852000000002</v>
      </c>
      <c r="M38" s="54">
        <v>45.295108999999997</v>
      </c>
      <c r="N38" s="54">
        <v>45.549660000000003</v>
      </c>
      <c r="O38" s="54">
        <v>45.800465000000003</v>
      </c>
      <c r="P38" s="54">
        <v>46.072913999999997</v>
      </c>
      <c r="Q38" s="54">
        <v>46.308185999999999</v>
      </c>
      <c r="R38" s="54">
        <v>46.454895</v>
      </c>
      <c r="S38" s="54">
        <v>46.573441000000003</v>
      </c>
      <c r="T38" s="54">
        <v>46.763412000000002</v>
      </c>
      <c r="U38" s="54">
        <v>46.743324000000001</v>
      </c>
      <c r="V38" s="54">
        <v>46.781216000000001</v>
      </c>
      <c r="W38" s="54">
        <v>46.812752000000003</v>
      </c>
      <c r="X38" s="54">
        <v>46.781078000000001</v>
      </c>
      <c r="Y38" s="54">
        <v>46.720787000000001</v>
      </c>
      <c r="Z38" s="54">
        <v>46.649310999999997</v>
      </c>
      <c r="AA38" s="54">
        <v>46.812587999999998</v>
      </c>
      <c r="AB38" s="54">
        <v>46.721981</v>
      </c>
      <c r="AC38" s="54">
        <v>46.686661000000001</v>
      </c>
      <c r="AD38" s="54">
        <v>46.844208000000002</v>
      </c>
      <c r="AE38" s="54">
        <v>46.809134999999998</v>
      </c>
      <c r="AF38" s="50">
        <v>7.835E-3</v>
      </c>
      <c r="AG38" s="21"/>
    </row>
    <row r="39" spans="1:33">
      <c r="A39" s="39" t="s">
        <v>70</v>
      </c>
      <c r="B39" s="48" t="s">
        <v>69</v>
      </c>
      <c r="C39" s="54">
        <v>49.658656999999998</v>
      </c>
      <c r="D39" s="54">
        <v>50.63982</v>
      </c>
      <c r="E39" s="54">
        <v>51.418788999999997</v>
      </c>
      <c r="F39" s="54">
        <v>54.041266999999998</v>
      </c>
      <c r="G39" s="54">
        <v>54.808311000000003</v>
      </c>
      <c r="H39" s="54">
        <v>55.812793999999997</v>
      </c>
      <c r="I39" s="54">
        <v>58.414130999999998</v>
      </c>
      <c r="J39" s="54">
        <v>59.295653999999999</v>
      </c>
      <c r="K39" s="54">
        <v>59.885936999999998</v>
      </c>
      <c r="L39" s="54">
        <v>60.128425999999997</v>
      </c>
      <c r="M39" s="54">
        <v>60.482559000000002</v>
      </c>
      <c r="N39" s="54">
        <v>60.696911</v>
      </c>
      <c r="O39" s="54">
        <v>60.896141</v>
      </c>
      <c r="P39" s="54">
        <v>61.139969000000001</v>
      </c>
      <c r="Q39" s="54">
        <v>61.342109999999998</v>
      </c>
      <c r="R39" s="54">
        <v>61.456459000000002</v>
      </c>
      <c r="S39" s="54">
        <v>61.545490000000001</v>
      </c>
      <c r="T39" s="54">
        <v>61.791069</v>
      </c>
      <c r="U39" s="54">
        <v>61.720492999999998</v>
      </c>
      <c r="V39" s="54">
        <v>61.820892000000001</v>
      </c>
      <c r="W39" s="54">
        <v>61.909644999999998</v>
      </c>
      <c r="X39" s="54">
        <v>61.923454</v>
      </c>
      <c r="Y39" s="54">
        <v>61.848678999999997</v>
      </c>
      <c r="Z39" s="54">
        <v>61.762374999999999</v>
      </c>
      <c r="AA39" s="54">
        <v>62.120818999999997</v>
      </c>
      <c r="AB39" s="54">
        <v>61.989952000000002</v>
      </c>
      <c r="AC39" s="54">
        <v>61.932670999999999</v>
      </c>
      <c r="AD39" s="54">
        <v>62.331699</v>
      </c>
      <c r="AE39" s="54">
        <v>62.272804000000001</v>
      </c>
      <c r="AF39" s="50">
        <v>8.1169999999999992E-3</v>
      </c>
      <c r="AG39" s="21"/>
    </row>
    <row r="40" spans="1:33">
      <c r="A40" s="39" t="s">
        <v>68</v>
      </c>
      <c r="B40" s="48" t="s">
        <v>67</v>
      </c>
      <c r="C40" s="54">
        <v>32.951321</v>
      </c>
      <c r="D40" s="54">
        <v>33.825710000000001</v>
      </c>
      <c r="E40" s="54">
        <v>34.570250999999999</v>
      </c>
      <c r="F40" s="54">
        <v>36.235542000000002</v>
      </c>
      <c r="G40" s="54">
        <v>37.203814999999999</v>
      </c>
      <c r="H40" s="54">
        <v>37.859802000000002</v>
      </c>
      <c r="I40" s="54">
        <v>39.251300999999998</v>
      </c>
      <c r="J40" s="54">
        <v>39.654640000000001</v>
      </c>
      <c r="K40" s="54">
        <v>39.942870999999997</v>
      </c>
      <c r="L40" s="54">
        <v>40.123778999999999</v>
      </c>
      <c r="M40" s="54">
        <v>40.372107999999997</v>
      </c>
      <c r="N40" s="54">
        <v>40.635685000000002</v>
      </c>
      <c r="O40" s="54">
        <v>40.898228000000003</v>
      </c>
      <c r="P40" s="54">
        <v>41.187041999999998</v>
      </c>
      <c r="Q40" s="54">
        <v>41.415565000000001</v>
      </c>
      <c r="R40" s="54">
        <v>41.589336000000003</v>
      </c>
      <c r="S40" s="54">
        <v>41.735809000000003</v>
      </c>
      <c r="T40" s="54">
        <v>41.930031</v>
      </c>
      <c r="U40" s="54">
        <v>41.954326999999999</v>
      </c>
      <c r="V40" s="54">
        <v>42.014381</v>
      </c>
      <c r="W40" s="54">
        <v>42.070942000000002</v>
      </c>
      <c r="X40" s="54">
        <v>42.089371</v>
      </c>
      <c r="Y40" s="54">
        <v>42.062252000000001</v>
      </c>
      <c r="Z40" s="54">
        <v>42.034523</v>
      </c>
      <c r="AA40" s="54">
        <v>42.106945000000003</v>
      </c>
      <c r="AB40" s="54">
        <v>42.074627</v>
      </c>
      <c r="AC40" s="54">
        <v>42.053328999999998</v>
      </c>
      <c r="AD40" s="54">
        <v>42.192115999999999</v>
      </c>
      <c r="AE40" s="54">
        <v>42.175429999999999</v>
      </c>
      <c r="AF40" s="50">
        <v>8.8529999999999998E-3</v>
      </c>
      <c r="AG40" s="21"/>
    </row>
    <row r="41" spans="1:33">
      <c r="A41" s="39" t="s">
        <v>66</v>
      </c>
      <c r="B41" s="48" t="s">
        <v>65</v>
      </c>
      <c r="C41" s="54">
        <v>30.687853</v>
      </c>
      <c r="D41" s="54">
        <v>31.308468000000001</v>
      </c>
      <c r="E41" s="54">
        <v>31.873774999999998</v>
      </c>
      <c r="F41" s="54">
        <v>33.275241999999999</v>
      </c>
      <c r="G41" s="54">
        <v>34.001517999999997</v>
      </c>
      <c r="H41" s="54">
        <v>34.574638</v>
      </c>
      <c r="I41" s="54">
        <v>35.883228000000003</v>
      </c>
      <c r="J41" s="54">
        <v>36.282809999999998</v>
      </c>
      <c r="K41" s="54">
        <v>36.565350000000002</v>
      </c>
      <c r="L41" s="54">
        <v>36.715401</v>
      </c>
      <c r="M41" s="54">
        <v>36.945652000000003</v>
      </c>
      <c r="N41" s="54">
        <v>37.153278</v>
      </c>
      <c r="O41" s="54">
        <v>37.357868000000003</v>
      </c>
      <c r="P41" s="54">
        <v>37.580081999999997</v>
      </c>
      <c r="Q41" s="54">
        <v>37.772025999999997</v>
      </c>
      <c r="R41" s="54">
        <v>37.891651000000003</v>
      </c>
      <c r="S41" s="54">
        <v>37.988308000000004</v>
      </c>
      <c r="T41" s="54">
        <v>38.143211000000001</v>
      </c>
      <c r="U41" s="54">
        <v>38.126759</v>
      </c>
      <c r="V41" s="54">
        <v>38.157573999999997</v>
      </c>
      <c r="W41" s="54">
        <v>38.183200999999997</v>
      </c>
      <c r="X41" s="54">
        <v>38.157218999999998</v>
      </c>
      <c r="Y41" s="54">
        <v>38.107975000000003</v>
      </c>
      <c r="Z41" s="54">
        <v>38.049587000000002</v>
      </c>
      <c r="AA41" s="54">
        <v>38.182837999999997</v>
      </c>
      <c r="AB41" s="54">
        <v>38.108822000000004</v>
      </c>
      <c r="AC41" s="54">
        <v>38.080002</v>
      </c>
      <c r="AD41" s="54">
        <v>38.208388999999997</v>
      </c>
      <c r="AE41" s="54">
        <v>38.179749000000001</v>
      </c>
      <c r="AF41" s="50">
        <v>7.8320000000000004E-3</v>
      </c>
      <c r="AG41" s="21"/>
    </row>
    <row r="42" spans="1:33">
      <c r="A42" s="39" t="s">
        <v>64</v>
      </c>
      <c r="B42" s="48" t="s">
        <v>63</v>
      </c>
      <c r="C42" s="54">
        <v>40.552002000000002</v>
      </c>
      <c r="D42" s="54">
        <v>41.353237</v>
      </c>
      <c r="E42" s="54">
        <v>41.989353000000001</v>
      </c>
      <c r="F42" s="54">
        <v>44.130909000000003</v>
      </c>
      <c r="G42" s="54">
        <v>44.757289999999998</v>
      </c>
      <c r="H42" s="54">
        <v>45.577564000000002</v>
      </c>
      <c r="I42" s="54">
        <v>47.701855000000002</v>
      </c>
      <c r="J42" s="54">
        <v>48.421719000000003</v>
      </c>
      <c r="K42" s="54">
        <v>48.903754999999997</v>
      </c>
      <c r="L42" s="54">
        <v>49.101771999999997</v>
      </c>
      <c r="M42" s="54">
        <v>49.390965000000001</v>
      </c>
      <c r="N42" s="54">
        <v>49.566006000000002</v>
      </c>
      <c r="O42" s="54">
        <v>49.728703000000003</v>
      </c>
      <c r="P42" s="54">
        <v>49.927813999999998</v>
      </c>
      <c r="Q42" s="54">
        <v>50.092888000000002</v>
      </c>
      <c r="R42" s="54">
        <v>50.186264000000001</v>
      </c>
      <c r="S42" s="54">
        <v>50.258968000000003</v>
      </c>
      <c r="T42" s="54">
        <v>50.459515000000003</v>
      </c>
      <c r="U42" s="54">
        <v>50.401878000000004</v>
      </c>
      <c r="V42" s="54">
        <v>50.483868000000001</v>
      </c>
      <c r="W42" s="54">
        <v>50.556342999999998</v>
      </c>
      <c r="X42" s="54">
        <v>50.567619000000001</v>
      </c>
      <c r="Y42" s="54">
        <v>50.506557000000001</v>
      </c>
      <c r="Z42" s="54">
        <v>50.436081000000001</v>
      </c>
      <c r="AA42" s="54">
        <v>50.728789999999996</v>
      </c>
      <c r="AB42" s="54">
        <v>50.621924999999997</v>
      </c>
      <c r="AC42" s="54">
        <v>50.575145999999997</v>
      </c>
      <c r="AD42" s="54">
        <v>50.901001000000001</v>
      </c>
      <c r="AE42" s="54">
        <v>50.852905</v>
      </c>
      <c r="AF42" s="50">
        <v>8.1169999999999992E-3</v>
      </c>
      <c r="AG42" s="21"/>
    </row>
    <row r="43" spans="1:33">
      <c r="A43" s="39" t="s">
        <v>62</v>
      </c>
      <c r="B43" s="48" t="s">
        <v>61</v>
      </c>
      <c r="C43" s="54">
        <v>26.867122999999999</v>
      </c>
      <c r="D43" s="54">
        <v>27.580062999999999</v>
      </c>
      <c r="E43" s="54">
        <v>28.18713</v>
      </c>
      <c r="F43" s="54">
        <v>29.544938999999999</v>
      </c>
      <c r="G43" s="54">
        <v>30.334429</v>
      </c>
      <c r="H43" s="54">
        <v>30.869291</v>
      </c>
      <c r="I43" s="54">
        <v>32.003860000000003</v>
      </c>
      <c r="J43" s="54">
        <v>32.332729</v>
      </c>
      <c r="K43" s="54">
        <v>32.567737999999999</v>
      </c>
      <c r="L43" s="54">
        <v>32.715243999999998</v>
      </c>
      <c r="M43" s="54">
        <v>32.917721</v>
      </c>
      <c r="N43" s="54">
        <v>33.132629000000001</v>
      </c>
      <c r="O43" s="54">
        <v>33.346694999999997</v>
      </c>
      <c r="P43" s="54">
        <v>33.582183999999998</v>
      </c>
      <c r="Q43" s="54">
        <v>33.768512999999999</v>
      </c>
      <c r="R43" s="54">
        <v>33.910198000000001</v>
      </c>
      <c r="S43" s="54">
        <v>34.029625000000003</v>
      </c>
      <c r="T43" s="54">
        <v>34.187984</v>
      </c>
      <c r="U43" s="54">
        <v>34.207794</v>
      </c>
      <c r="V43" s="54">
        <v>34.25676</v>
      </c>
      <c r="W43" s="54">
        <v>34.302878999999997</v>
      </c>
      <c r="X43" s="54">
        <v>34.317905000000003</v>
      </c>
      <c r="Y43" s="54">
        <v>34.295791999999999</v>
      </c>
      <c r="Z43" s="54">
        <v>34.273186000000003</v>
      </c>
      <c r="AA43" s="54">
        <v>34.332233000000002</v>
      </c>
      <c r="AB43" s="54">
        <v>34.305881999999997</v>
      </c>
      <c r="AC43" s="54">
        <v>34.288516999999999</v>
      </c>
      <c r="AD43" s="54">
        <v>34.401679999999999</v>
      </c>
      <c r="AE43" s="54">
        <v>34.388072999999999</v>
      </c>
      <c r="AF43" s="50">
        <v>8.8529999999999998E-3</v>
      </c>
      <c r="AG43" s="21"/>
    </row>
    <row r="44" spans="1:33">
      <c r="A44" s="39" t="s">
        <v>60</v>
      </c>
      <c r="B44" s="48" t="s">
        <v>59</v>
      </c>
      <c r="C44" s="54">
        <v>24.416388999999999</v>
      </c>
      <c r="D44" s="54">
        <v>24.836956000000001</v>
      </c>
      <c r="E44" s="54">
        <v>25.286928</v>
      </c>
      <c r="F44" s="54">
        <v>25.785551000000002</v>
      </c>
      <c r="G44" s="54">
        <v>26.309719000000001</v>
      </c>
      <c r="H44" s="54">
        <v>26.853071</v>
      </c>
      <c r="I44" s="54">
        <v>27.439551999999999</v>
      </c>
      <c r="J44" s="54">
        <v>28.039261</v>
      </c>
      <c r="K44" s="54">
        <v>28.645572999999999</v>
      </c>
      <c r="L44" s="54">
        <v>29.223606</v>
      </c>
      <c r="M44" s="54">
        <v>29.795773000000001</v>
      </c>
      <c r="N44" s="54">
        <v>30.329742</v>
      </c>
      <c r="O44" s="54">
        <v>30.858115999999999</v>
      </c>
      <c r="P44" s="54">
        <v>31.383734</v>
      </c>
      <c r="Q44" s="54">
        <v>31.896933000000001</v>
      </c>
      <c r="R44" s="54">
        <v>32.386234000000002</v>
      </c>
      <c r="S44" s="54">
        <v>32.857269000000002</v>
      </c>
      <c r="T44" s="54">
        <v>33.317824999999999</v>
      </c>
      <c r="U44" s="54">
        <v>33.744926</v>
      </c>
      <c r="V44" s="54">
        <v>34.150565999999998</v>
      </c>
      <c r="W44" s="54">
        <v>34.526347999999999</v>
      </c>
      <c r="X44" s="54">
        <v>34.855293000000003</v>
      </c>
      <c r="Y44" s="54">
        <v>35.133709000000003</v>
      </c>
      <c r="Z44" s="54">
        <v>35.376598000000001</v>
      </c>
      <c r="AA44" s="54">
        <v>35.587673000000002</v>
      </c>
      <c r="AB44" s="54">
        <v>35.763168</v>
      </c>
      <c r="AC44" s="54">
        <v>35.911662999999997</v>
      </c>
      <c r="AD44" s="54">
        <v>36.041504000000003</v>
      </c>
      <c r="AE44" s="54">
        <v>36.145099999999999</v>
      </c>
      <c r="AF44" s="50">
        <v>1.4109E-2</v>
      </c>
      <c r="AG44" s="21"/>
    </row>
    <row r="45" spans="1:33">
      <c r="A45" s="39" t="s">
        <v>58</v>
      </c>
      <c r="B45" s="48" t="s">
        <v>57</v>
      </c>
      <c r="C45" s="54">
        <v>15.821263</v>
      </c>
      <c r="D45" s="54">
        <v>16.131247999999999</v>
      </c>
      <c r="E45" s="54">
        <v>16.678804</v>
      </c>
      <c r="F45" s="54">
        <v>17.193453000000002</v>
      </c>
      <c r="G45" s="54">
        <v>17.382670999999998</v>
      </c>
      <c r="H45" s="54">
        <v>17.655719999999999</v>
      </c>
      <c r="I45" s="54">
        <v>17.641428000000001</v>
      </c>
      <c r="J45" s="54">
        <v>17.714843999999999</v>
      </c>
      <c r="K45" s="54">
        <v>17.746100999999999</v>
      </c>
      <c r="L45" s="54">
        <v>17.752108</v>
      </c>
      <c r="M45" s="54">
        <v>17.726762999999998</v>
      </c>
      <c r="N45" s="54">
        <v>17.703925999999999</v>
      </c>
      <c r="O45" s="54">
        <v>17.685976</v>
      </c>
      <c r="P45" s="54">
        <v>17.669809000000001</v>
      </c>
      <c r="Q45" s="54">
        <v>17.656127999999999</v>
      </c>
      <c r="R45" s="54">
        <v>17.644224000000001</v>
      </c>
      <c r="S45" s="54">
        <v>17.635103000000001</v>
      </c>
      <c r="T45" s="54">
        <v>17.627134000000002</v>
      </c>
      <c r="U45" s="54">
        <v>17.621216</v>
      </c>
      <c r="V45" s="54">
        <v>17.615825999999998</v>
      </c>
      <c r="W45" s="54">
        <v>17.612106000000001</v>
      </c>
      <c r="X45" s="54">
        <v>17.608646</v>
      </c>
      <c r="Y45" s="54">
        <v>17.607035</v>
      </c>
      <c r="Z45" s="54">
        <v>17.606117000000001</v>
      </c>
      <c r="AA45" s="54">
        <v>17.607099999999999</v>
      </c>
      <c r="AB45" s="54">
        <v>17.455801000000001</v>
      </c>
      <c r="AC45" s="54">
        <v>17.469227</v>
      </c>
      <c r="AD45" s="54">
        <v>17.484673999999998</v>
      </c>
      <c r="AE45" s="54">
        <v>17.514999</v>
      </c>
      <c r="AF45" s="50">
        <v>3.6389999999999999E-3</v>
      </c>
      <c r="AG45" s="21"/>
    </row>
    <row r="46" spans="1:33">
      <c r="A46" s="39" t="s">
        <v>56</v>
      </c>
      <c r="B46" s="48" t="s">
        <v>55</v>
      </c>
      <c r="C46" s="54">
        <v>13.428094</v>
      </c>
      <c r="D46" s="54">
        <v>13.70518</v>
      </c>
      <c r="E46" s="54">
        <v>13.988607999999999</v>
      </c>
      <c r="F46" s="54">
        <v>14.298017</v>
      </c>
      <c r="G46" s="54">
        <v>14.623931000000001</v>
      </c>
      <c r="H46" s="54">
        <v>14.947717000000001</v>
      </c>
      <c r="I46" s="54">
        <v>15.224836</v>
      </c>
      <c r="J46" s="54">
        <v>15.477124999999999</v>
      </c>
      <c r="K46" s="54">
        <v>15.708449999999999</v>
      </c>
      <c r="L46" s="54">
        <v>15.906402999999999</v>
      </c>
      <c r="M46" s="54">
        <v>16.084123999999999</v>
      </c>
      <c r="N46" s="54">
        <v>16.239180000000001</v>
      </c>
      <c r="O46" s="54">
        <v>16.374127999999999</v>
      </c>
      <c r="P46" s="54">
        <v>16.504307000000001</v>
      </c>
      <c r="Q46" s="54">
        <v>16.623000999999999</v>
      </c>
      <c r="R46" s="54">
        <v>16.732641000000001</v>
      </c>
      <c r="S46" s="54">
        <v>16.834803000000001</v>
      </c>
      <c r="T46" s="54">
        <v>16.930444999999999</v>
      </c>
      <c r="U46" s="54">
        <v>17.012526000000001</v>
      </c>
      <c r="V46" s="54">
        <v>17.084282000000002</v>
      </c>
      <c r="W46" s="54">
        <v>17.141766000000001</v>
      </c>
      <c r="X46" s="54">
        <v>17.21096</v>
      </c>
      <c r="Y46" s="54">
        <v>17.279800000000002</v>
      </c>
      <c r="Z46" s="54">
        <v>17.324511999999999</v>
      </c>
      <c r="AA46" s="54">
        <v>17.374506</v>
      </c>
      <c r="AB46" s="54">
        <v>17.402925</v>
      </c>
      <c r="AC46" s="54">
        <v>17.441884999999999</v>
      </c>
      <c r="AD46" s="54">
        <v>17.468942999999999</v>
      </c>
      <c r="AE46" s="54">
        <v>17.502464</v>
      </c>
      <c r="AF46" s="50">
        <v>9.5090000000000001E-3</v>
      </c>
      <c r="AG46" s="21"/>
    </row>
    <row r="47" spans="1:33">
      <c r="A47" s="39" t="s">
        <v>54</v>
      </c>
      <c r="B47" s="48" t="s">
        <v>53</v>
      </c>
      <c r="C47" s="54">
        <v>7.4724060000000003</v>
      </c>
      <c r="D47" s="54">
        <v>7.5785289999999996</v>
      </c>
      <c r="E47" s="54">
        <v>7.7053229999999999</v>
      </c>
      <c r="F47" s="54">
        <v>7.8485899999999997</v>
      </c>
      <c r="G47" s="54">
        <v>8.002383</v>
      </c>
      <c r="H47" s="54">
        <v>8.1636769999999999</v>
      </c>
      <c r="I47" s="54">
        <v>8.3212849999999996</v>
      </c>
      <c r="J47" s="54">
        <v>8.4797550000000008</v>
      </c>
      <c r="K47" s="54">
        <v>8.6382940000000001</v>
      </c>
      <c r="L47" s="54">
        <v>8.7959300000000002</v>
      </c>
      <c r="M47" s="54">
        <v>8.9485489999999999</v>
      </c>
      <c r="N47" s="54">
        <v>9.0909969999999998</v>
      </c>
      <c r="O47" s="54">
        <v>9.2225160000000006</v>
      </c>
      <c r="P47" s="54">
        <v>9.3430680000000006</v>
      </c>
      <c r="Q47" s="54">
        <v>9.4533149999999999</v>
      </c>
      <c r="R47" s="54">
        <v>9.5530629999999999</v>
      </c>
      <c r="S47" s="54">
        <v>9.6434440000000006</v>
      </c>
      <c r="T47" s="54">
        <v>9.7267100000000006</v>
      </c>
      <c r="U47" s="54">
        <v>9.8045930000000006</v>
      </c>
      <c r="V47" s="54">
        <v>9.8772749999999991</v>
      </c>
      <c r="W47" s="54">
        <v>9.9424309999999991</v>
      </c>
      <c r="X47" s="54">
        <v>10.001567</v>
      </c>
      <c r="Y47" s="54">
        <v>10.055840999999999</v>
      </c>
      <c r="Z47" s="54">
        <v>10.108454</v>
      </c>
      <c r="AA47" s="54">
        <v>10.161227999999999</v>
      </c>
      <c r="AB47" s="54">
        <v>10.213310999999999</v>
      </c>
      <c r="AC47" s="54">
        <v>10.263764</v>
      </c>
      <c r="AD47" s="54">
        <v>10.314513</v>
      </c>
      <c r="AE47" s="54">
        <v>10.365861000000001</v>
      </c>
      <c r="AF47" s="50">
        <v>1.1757999999999999E-2</v>
      </c>
      <c r="AG47" s="21"/>
    </row>
    <row r="48" spans="1:33">
      <c r="A48" s="9"/>
      <c r="B48" s="47" t="s">
        <v>52</v>
      </c>
      <c r="C48" s="21"/>
      <c r="D48" s="21"/>
      <c r="E48" s="21"/>
      <c r="F48" s="21"/>
      <c r="G48" s="21"/>
      <c r="H48" s="21"/>
      <c r="I48" s="21"/>
      <c r="J48" s="21"/>
      <c r="K48" s="21"/>
      <c r="L48" s="21"/>
      <c r="M48" s="21"/>
      <c r="N48" s="21"/>
      <c r="O48" s="21"/>
      <c r="P48" s="21"/>
      <c r="Q48" s="21"/>
      <c r="R48" s="21"/>
      <c r="S48" s="21"/>
      <c r="T48" s="21"/>
      <c r="U48" s="21"/>
      <c r="V48" s="21"/>
      <c r="W48" s="21"/>
      <c r="X48" s="21"/>
      <c r="Y48" s="21"/>
      <c r="Z48" s="21"/>
      <c r="AA48" s="21"/>
      <c r="AB48" s="21"/>
      <c r="AC48" s="21"/>
      <c r="AD48" s="21"/>
      <c r="AE48" s="21"/>
      <c r="AF48" s="21"/>
      <c r="AG48" s="21"/>
    </row>
    <row r="49" spans="1:33">
      <c r="A49" s="39" t="s">
        <v>51</v>
      </c>
      <c r="B49" s="48" t="s">
        <v>50</v>
      </c>
      <c r="C49" s="54">
        <v>72.717087000000006</v>
      </c>
      <c r="D49" s="54">
        <v>73.091971999999998</v>
      </c>
      <c r="E49" s="54">
        <v>73.492531</v>
      </c>
      <c r="F49" s="54">
        <v>74.018456</v>
      </c>
      <c r="G49" s="54">
        <v>74.683121</v>
      </c>
      <c r="H49" s="54">
        <v>75.131766999999996</v>
      </c>
      <c r="I49" s="54">
        <v>75.592140000000001</v>
      </c>
      <c r="J49" s="54">
        <v>76.024017000000001</v>
      </c>
      <c r="K49" s="54">
        <v>76.492362999999997</v>
      </c>
      <c r="L49" s="54">
        <v>77.014213999999996</v>
      </c>
      <c r="M49" s="54">
        <v>77.600960000000001</v>
      </c>
      <c r="N49" s="54">
        <v>78.266677999999999</v>
      </c>
      <c r="O49" s="54">
        <v>78.981505999999996</v>
      </c>
      <c r="P49" s="54">
        <v>79.730591000000004</v>
      </c>
      <c r="Q49" s="54">
        <v>80.489220000000003</v>
      </c>
      <c r="R49" s="54">
        <v>81.260979000000006</v>
      </c>
      <c r="S49" s="54">
        <v>82.048454000000007</v>
      </c>
      <c r="T49" s="54">
        <v>82.814575000000005</v>
      </c>
      <c r="U49" s="54">
        <v>83.594772000000006</v>
      </c>
      <c r="V49" s="54">
        <v>84.382309000000006</v>
      </c>
      <c r="W49" s="54">
        <v>85.171204000000003</v>
      </c>
      <c r="X49" s="54">
        <v>85.974022000000005</v>
      </c>
      <c r="Y49" s="54">
        <v>86.764037999999999</v>
      </c>
      <c r="Z49" s="54">
        <v>87.549926999999997</v>
      </c>
      <c r="AA49" s="54">
        <v>88.321090999999996</v>
      </c>
      <c r="AB49" s="54">
        <v>89.091155999999998</v>
      </c>
      <c r="AC49" s="54">
        <v>89.849761999999998</v>
      </c>
      <c r="AD49" s="54">
        <v>90.593376000000006</v>
      </c>
      <c r="AE49" s="54">
        <v>91.328147999999999</v>
      </c>
      <c r="AF49" s="50">
        <v>8.1720000000000004E-3</v>
      </c>
      <c r="AG49" s="21"/>
    </row>
    <row r="50" spans="1:33" ht="15" customHeight="1">
      <c r="A50" s="9"/>
      <c r="B50" s="47" t="s">
        <v>49</v>
      </c>
      <c r="C50" s="21"/>
      <c r="D50" s="21"/>
      <c r="E50" s="21"/>
      <c r="F50" s="21"/>
      <c r="G50" s="21"/>
      <c r="H50" s="21"/>
      <c r="I50" s="21"/>
      <c r="J50" s="21"/>
      <c r="K50" s="21"/>
      <c r="L50" s="21"/>
      <c r="M50" s="21"/>
      <c r="N50" s="21"/>
      <c r="O50" s="21"/>
      <c r="P50" s="21"/>
      <c r="Q50" s="21"/>
      <c r="R50" s="21"/>
      <c r="S50" s="21"/>
      <c r="T50" s="21"/>
      <c r="U50" s="21"/>
      <c r="V50" s="21"/>
      <c r="W50" s="21"/>
      <c r="X50" s="21"/>
      <c r="Y50" s="21"/>
      <c r="Z50" s="21"/>
      <c r="AA50" s="21"/>
      <c r="AB50" s="21"/>
      <c r="AC50" s="21"/>
      <c r="AD50" s="21"/>
      <c r="AE50" s="21"/>
      <c r="AF50" s="21"/>
      <c r="AG50" s="21"/>
    </row>
    <row r="51" spans="1:33" ht="15" customHeight="1">
      <c r="A51" s="39" t="s">
        <v>48</v>
      </c>
      <c r="B51" s="48" t="s">
        <v>47</v>
      </c>
      <c r="C51" s="54">
        <v>3.3663400000000001</v>
      </c>
      <c r="D51" s="54">
        <v>3.3698929999999998</v>
      </c>
      <c r="E51" s="54">
        <v>3.3734500000000001</v>
      </c>
      <c r="F51" s="54">
        <v>3.3770099999999998</v>
      </c>
      <c r="G51" s="54">
        <v>3.3805740000000002</v>
      </c>
      <c r="H51" s="54">
        <v>3.3841420000000002</v>
      </c>
      <c r="I51" s="54">
        <v>3.3877130000000002</v>
      </c>
      <c r="J51" s="54">
        <v>3.391289</v>
      </c>
      <c r="K51" s="54">
        <v>3.3948680000000002</v>
      </c>
      <c r="L51" s="54">
        <v>3.3984510000000001</v>
      </c>
      <c r="M51" s="54">
        <v>3.402037</v>
      </c>
      <c r="N51" s="54">
        <v>3.4056280000000001</v>
      </c>
      <c r="O51" s="54">
        <v>3.4092220000000002</v>
      </c>
      <c r="P51" s="54">
        <v>3.41282</v>
      </c>
      <c r="Q51" s="54">
        <v>3.4164219999999998</v>
      </c>
      <c r="R51" s="54">
        <v>3.4200270000000002</v>
      </c>
      <c r="S51" s="54">
        <v>3.4236369999999998</v>
      </c>
      <c r="T51" s="54">
        <v>3.4272499999999999</v>
      </c>
      <c r="U51" s="54">
        <v>3.4308670000000001</v>
      </c>
      <c r="V51" s="54">
        <v>3.434488</v>
      </c>
      <c r="W51" s="54">
        <v>3.438113</v>
      </c>
      <c r="X51" s="54">
        <v>3.4417409999999999</v>
      </c>
      <c r="Y51" s="54">
        <v>3.445373</v>
      </c>
      <c r="Z51" s="54">
        <v>3.4490099999999999</v>
      </c>
      <c r="AA51" s="54">
        <v>3.4526490000000001</v>
      </c>
      <c r="AB51" s="54">
        <v>3.4562930000000001</v>
      </c>
      <c r="AC51" s="54">
        <v>3.4599410000000002</v>
      </c>
      <c r="AD51" s="54">
        <v>3.4635929999999999</v>
      </c>
      <c r="AE51" s="54">
        <v>3.4672480000000001</v>
      </c>
      <c r="AF51" s="50">
        <v>1.0549999999999999E-3</v>
      </c>
      <c r="AG51" s="21"/>
    </row>
    <row r="52" spans="1:33" ht="15" customHeight="1">
      <c r="A52" s="39" t="s">
        <v>46</v>
      </c>
      <c r="B52" s="48" t="s">
        <v>45</v>
      </c>
      <c r="C52" s="54">
        <v>4.8202259999999999</v>
      </c>
      <c r="D52" s="54">
        <v>4.8389660000000001</v>
      </c>
      <c r="E52" s="54">
        <v>4.8577789999999998</v>
      </c>
      <c r="F52" s="54">
        <v>4.876665</v>
      </c>
      <c r="G52" s="54">
        <v>4.8956239999999998</v>
      </c>
      <c r="H52" s="54">
        <v>4.9146570000000001</v>
      </c>
      <c r="I52" s="54">
        <v>4.933764</v>
      </c>
      <c r="J52" s="54">
        <v>4.9529449999999997</v>
      </c>
      <c r="K52" s="54">
        <v>4.9722</v>
      </c>
      <c r="L52" s="54">
        <v>4.9915310000000002</v>
      </c>
      <c r="M52" s="54">
        <v>5.0109370000000002</v>
      </c>
      <c r="N52" s="54">
        <v>5.0304180000000001</v>
      </c>
      <c r="O52" s="54">
        <v>5.0499749999999999</v>
      </c>
      <c r="P52" s="54">
        <v>5.0696079999999997</v>
      </c>
      <c r="Q52" s="54">
        <v>5.0893170000000003</v>
      </c>
      <c r="R52" s="54">
        <v>5.1091030000000002</v>
      </c>
      <c r="S52" s="54">
        <v>5.1289660000000001</v>
      </c>
      <c r="T52" s="54">
        <v>5.1489060000000002</v>
      </c>
      <c r="U52" s="54">
        <v>5.1689230000000004</v>
      </c>
      <c r="V52" s="54">
        <v>5.189019</v>
      </c>
      <c r="W52" s="54">
        <v>5.2091919999999998</v>
      </c>
      <c r="X52" s="54">
        <v>5.2294450000000001</v>
      </c>
      <c r="Y52" s="54">
        <v>5.2497749999999996</v>
      </c>
      <c r="Z52" s="54">
        <v>5.2701849999999997</v>
      </c>
      <c r="AA52" s="54">
        <v>5.2906740000000001</v>
      </c>
      <c r="AB52" s="54">
        <v>5.3112430000000002</v>
      </c>
      <c r="AC52" s="54">
        <v>5.3318919999999999</v>
      </c>
      <c r="AD52" s="54">
        <v>5.3526210000000001</v>
      </c>
      <c r="AE52" s="54">
        <v>5.3734299999999999</v>
      </c>
      <c r="AF52" s="50">
        <v>3.888E-3</v>
      </c>
      <c r="AG52" s="21"/>
    </row>
    <row r="53" spans="1:33" ht="15" customHeight="1">
      <c r="A53" s="9"/>
      <c r="B53" s="21"/>
      <c r="C53" s="21"/>
      <c r="D53" s="21"/>
      <c r="E53" s="21"/>
      <c r="F53" s="21"/>
      <c r="G53" s="21"/>
      <c r="H53" s="21"/>
      <c r="I53" s="21"/>
      <c r="J53" s="21"/>
      <c r="K53" s="21"/>
      <c r="L53" s="21"/>
      <c r="M53" s="21"/>
      <c r="N53" s="21"/>
      <c r="O53" s="21"/>
      <c r="P53" s="21"/>
      <c r="Q53" s="21"/>
      <c r="R53" s="21"/>
      <c r="S53" s="21"/>
      <c r="T53" s="21"/>
      <c r="U53" s="21"/>
      <c r="V53" s="21"/>
      <c r="W53" s="21"/>
      <c r="X53" s="21"/>
      <c r="Y53" s="21"/>
      <c r="Z53" s="21"/>
      <c r="AA53" s="21"/>
      <c r="AB53" s="21"/>
      <c r="AC53" s="21"/>
      <c r="AD53" s="21"/>
      <c r="AE53" s="21"/>
      <c r="AF53" s="21"/>
      <c r="AG53" s="21"/>
    </row>
    <row r="54" spans="1:33" ht="15" customHeight="1">
      <c r="A54" s="9"/>
      <c r="B54" s="47" t="s">
        <v>44</v>
      </c>
      <c r="C54" s="21"/>
      <c r="D54" s="21">
        <f>D65/$C$65</f>
        <v>1.0732693784233525</v>
      </c>
      <c r="E54" s="21">
        <f t="shared" ref="E54:AE54" si="0">E65/$C$65</f>
        <v>1.0886236231664816</v>
      </c>
      <c r="F54" s="21">
        <f t="shared" si="0"/>
        <v>1.0907315092578584</v>
      </c>
      <c r="G54" s="21">
        <f t="shared" si="0"/>
        <v>1.1045701310970997</v>
      </c>
      <c r="H54" s="21">
        <f t="shared" si="0"/>
        <v>1.1182453453822023</v>
      </c>
      <c r="I54" s="21">
        <f t="shared" si="0"/>
        <v>1.1290648521054598</v>
      </c>
      <c r="J54" s="21">
        <f t="shared" si="0"/>
        <v>1.1371124957542578</v>
      </c>
      <c r="K54" s="21">
        <f t="shared" si="0"/>
        <v>1.1427604031385667</v>
      </c>
      <c r="L54" s="21">
        <f t="shared" si="0"/>
        <v>1.1484136622986663</v>
      </c>
      <c r="M54" s="21">
        <f t="shared" si="0"/>
        <v>1.1573882335143897</v>
      </c>
      <c r="N54" s="21">
        <f t="shared" si="0"/>
        <v>1.1668469620466331</v>
      </c>
      <c r="O54" s="21">
        <f t="shared" si="0"/>
        <v>1.1753937479841643</v>
      </c>
      <c r="P54" s="21">
        <f t="shared" si="0"/>
        <v>1.1855696144723433</v>
      </c>
      <c r="Q54" s="21">
        <f t="shared" si="0"/>
        <v>1.1987353397021843</v>
      </c>
      <c r="R54" s="21">
        <f t="shared" si="0"/>
        <v>1.2144588569748622</v>
      </c>
      <c r="S54" s="21">
        <f t="shared" si="0"/>
        <v>1.2309697988588586</v>
      </c>
      <c r="T54" s="21">
        <f t="shared" si="0"/>
        <v>1.2482082254653191</v>
      </c>
      <c r="U54" s="21">
        <f t="shared" si="0"/>
        <v>1.268243846884981</v>
      </c>
      <c r="V54" s="21">
        <f t="shared" si="0"/>
        <v>1.2874242545333108</v>
      </c>
      <c r="W54" s="21">
        <f t="shared" si="0"/>
        <v>1.3069386129909719</v>
      </c>
      <c r="X54" s="21">
        <f t="shared" si="0"/>
        <v>1.3267498166124827</v>
      </c>
      <c r="Y54" s="21">
        <f t="shared" si="0"/>
        <v>1.3465103567565098</v>
      </c>
      <c r="Z54" s="21">
        <f t="shared" si="0"/>
        <v>1.3657442821627452</v>
      </c>
      <c r="AA54" s="21">
        <f t="shared" si="0"/>
        <v>1.384480849205511</v>
      </c>
      <c r="AB54" s="21">
        <f t="shared" si="0"/>
        <v>1.4045692748129732</v>
      </c>
      <c r="AC54" s="21">
        <f t="shared" si="0"/>
        <v>1.4248582136200552</v>
      </c>
      <c r="AD54" s="21">
        <f t="shared" si="0"/>
        <v>1.4448549454689723</v>
      </c>
      <c r="AE54" s="21">
        <f t="shared" si="0"/>
        <v>1.4671565087583593</v>
      </c>
      <c r="AF54" s="21"/>
      <c r="AG54" s="21"/>
    </row>
    <row r="55" spans="1:33" ht="15" customHeight="1">
      <c r="A55" s="9"/>
      <c r="B55" s="47" t="s">
        <v>43</v>
      </c>
      <c r="C55" s="21"/>
      <c r="D55" s="21"/>
      <c r="E55" s="21"/>
      <c r="F55" s="21"/>
      <c r="G55" s="21"/>
      <c r="H55" s="21"/>
      <c r="I55" s="21"/>
      <c r="J55" s="21"/>
      <c r="K55" s="21"/>
      <c r="L55" s="21"/>
      <c r="M55" s="21"/>
      <c r="N55" s="21"/>
      <c r="O55" s="21"/>
      <c r="P55" s="21"/>
      <c r="Q55" s="21"/>
      <c r="R55" s="21"/>
      <c r="S55" s="21"/>
      <c r="T55" s="21"/>
      <c r="U55" s="21"/>
      <c r="V55" s="21"/>
      <c r="W55" s="21"/>
      <c r="X55" s="21"/>
      <c r="Y55" s="21"/>
      <c r="Z55" s="21"/>
      <c r="AA55" s="21"/>
      <c r="AB55" s="21"/>
      <c r="AC55" s="21"/>
      <c r="AD55" s="21"/>
      <c r="AE55" s="21"/>
      <c r="AF55" s="21"/>
      <c r="AG55" s="21"/>
    </row>
    <row r="56" spans="1:33" ht="15" customHeight="1">
      <c r="A56" s="39" t="s">
        <v>42</v>
      </c>
      <c r="B56" s="48" t="s">
        <v>26</v>
      </c>
      <c r="C56" s="49">
        <v>14.541973</v>
      </c>
      <c r="D56" s="49">
        <v>14.586114</v>
      </c>
      <c r="E56" s="49">
        <v>14.429691999999999</v>
      </c>
      <c r="F56" s="49">
        <v>14.201924999999999</v>
      </c>
      <c r="G56" s="49">
        <v>14.016909</v>
      </c>
      <c r="H56" s="49">
        <v>13.860763</v>
      </c>
      <c r="I56" s="49">
        <v>13.679087000000001</v>
      </c>
      <c r="J56" s="49">
        <v>13.473832</v>
      </c>
      <c r="K56" s="49">
        <v>13.253083</v>
      </c>
      <c r="L56" s="49">
        <v>13.044086</v>
      </c>
      <c r="M56" s="49">
        <v>12.836978</v>
      </c>
      <c r="N56" s="49">
        <v>12.674039</v>
      </c>
      <c r="O56" s="49">
        <v>12.534656</v>
      </c>
      <c r="P56" s="49">
        <v>12.394664000000001</v>
      </c>
      <c r="Q56" s="49">
        <v>12.251548</v>
      </c>
      <c r="R56" s="49">
        <v>12.130822</v>
      </c>
      <c r="S56" s="49">
        <v>12.028416</v>
      </c>
      <c r="T56" s="49">
        <v>11.933923</v>
      </c>
      <c r="U56" s="49">
        <v>11.864001</v>
      </c>
      <c r="V56" s="49">
        <v>11.805396</v>
      </c>
      <c r="W56" s="49">
        <v>11.762741999999999</v>
      </c>
      <c r="X56" s="49">
        <v>11.733644</v>
      </c>
      <c r="Y56" s="49">
        <v>11.725387</v>
      </c>
      <c r="Z56" s="49">
        <v>11.735775</v>
      </c>
      <c r="AA56" s="49">
        <v>11.770763000000001</v>
      </c>
      <c r="AB56" s="49">
        <v>11.824349</v>
      </c>
      <c r="AC56" s="49">
        <v>11.889715000000001</v>
      </c>
      <c r="AD56" s="49">
        <v>11.962910000000001</v>
      </c>
      <c r="AE56" s="49">
        <v>12.054455000000001</v>
      </c>
      <c r="AF56" s="50">
        <v>-6.6779999999999999E-3</v>
      </c>
      <c r="AG56" s="21"/>
    </row>
    <row r="57" spans="1:33" ht="15" customHeight="1">
      <c r="A57" s="39" t="s">
        <v>41</v>
      </c>
      <c r="B57" s="48" t="s">
        <v>24</v>
      </c>
      <c r="C57" s="49">
        <v>0.95150299999999999</v>
      </c>
      <c r="D57" s="49">
        <v>0.94255800000000001</v>
      </c>
      <c r="E57" s="49">
        <v>0.92534000000000005</v>
      </c>
      <c r="F57" s="49">
        <v>0.91245200000000004</v>
      </c>
      <c r="G57" s="49">
        <v>0.903111</v>
      </c>
      <c r="H57" s="49">
        <v>0.89480700000000002</v>
      </c>
      <c r="I57" s="49">
        <v>0.88838499999999998</v>
      </c>
      <c r="J57" s="49">
        <v>0.88299499999999997</v>
      </c>
      <c r="K57" s="49">
        <v>0.87703299999999995</v>
      </c>
      <c r="L57" s="49">
        <v>0.87279099999999998</v>
      </c>
      <c r="M57" s="49">
        <v>0.87179099999999998</v>
      </c>
      <c r="N57" s="49">
        <v>0.87186799999999998</v>
      </c>
      <c r="O57" s="49">
        <v>0.87303399999999998</v>
      </c>
      <c r="P57" s="49">
        <v>0.87507400000000002</v>
      </c>
      <c r="Q57" s="49">
        <v>0.87749999999999995</v>
      </c>
      <c r="R57" s="49">
        <v>0.881023</v>
      </c>
      <c r="S57" s="49">
        <v>0.88554100000000002</v>
      </c>
      <c r="T57" s="49">
        <v>0.88979600000000003</v>
      </c>
      <c r="U57" s="49">
        <v>0.896146</v>
      </c>
      <c r="V57" s="49">
        <v>0.90392399999999995</v>
      </c>
      <c r="W57" s="49">
        <v>0.91192099999999998</v>
      </c>
      <c r="X57" s="49">
        <v>0.91867500000000002</v>
      </c>
      <c r="Y57" s="49">
        <v>0.92472100000000002</v>
      </c>
      <c r="Z57" s="49">
        <v>0.93183000000000005</v>
      </c>
      <c r="AA57" s="49">
        <v>0.93994</v>
      </c>
      <c r="AB57" s="49">
        <v>0.94994999999999996</v>
      </c>
      <c r="AC57" s="49">
        <v>0.95831999999999995</v>
      </c>
      <c r="AD57" s="49">
        <v>0.96721000000000001</v>
      </c>
      <c r="AE57" s="49">
        <v>0.97889800000000005</v>
      </c>
      <c r="AF57" s="50">
        <v>1.0139999999999999E-3</v>
      </c>
      <c r="AG57" s="21"/>
    </row>
    <row r="58" spans="1:33" ht="15" customHeight="1">
      <c r="A58" s="39" t="s">
        <v>40</v>
      </c>
      <c r="B58" s="48" t="s">
        <v>22</v>
      </c>
      <c r="C58" s="49">
        <v>0.21216299999999999</v>
      </c>
      <c r="D58" s="49">
        <v>0.22231200000000001</v>
      </c>
      <c r="E58" s="49">
        <v>0.22695699999999999</v>
      </c>
      <c r="F58" s="49">
        <v>0.22801299999999999</v>
      </c>
      <c r="G58" s="49">
        <v>0.228798</v>
      </c>
      <c r="H58" s="49">
        <v>0.229238</v>
      </c>
      <c r="I58" s="49">
        <v>0.229403</v>
      </c>
      <c r="J58" s="49">
        <v>0.229156</v>
      </c>
      <c r="K58" s="49">
        <v>0.228548</v>
      </c>
      <c r="L58" s="49">
        <v>0.22755600000000001</v>
      </c>
      <c r="M58" s="49">
        <v>0.22653000000000001</v>
      </c>
      <c r="N58" s="49">
        <v>0.22600500000000001</v>
      </c>
      <c r="O58" s="49">
        <v>0.22533600000000001</v>
      </c>
      <c r="P58" s="49">
        <v>0.22447300000000001</v>
      </c>
      <c r="Q58" s="49">
        <v>0.223496</v>
      </c>
      <c r="R58" s="49">
        <v>0.22194</v>
      </c>
      <c r="S58" s="49">
        <v>0.22057599999999999</v>
      </c>
      <c r="T58" s="49">
        <v>0.21909899999999999</v>
      </c>
      <c r="U58" s="49">
        <v>0.2175</v>
      </c>
      <c r="V58" s="49">
        <v>0.215784</v>
      </c>
      <c r="W58" s="49">
        <v>0.214032</v>
      </c>
      <c r="X58" s="49">
        <v>0.21201700000000001</v>
      </c>
      <c r="Y58" s="49">
        <v>0.21015400000000001</v>
      </c>
      <c r="Z58" s="49">
        <v>0.20821500000000001</v>
      </c>
      <c r="AA58" s="49">
        <v>0.206535</v>
      </c>
      <c r="AB58" s="49">
        <v>0.20446300000000001</v>
      </c>
      <c r="AC58" s="49">
        <v>0.20246</v>
      </c>
      <c r="AD58" s="49">
        <v>0.20028199999999999</v>
      </c>
      <c r="AE58" s="49">
        <v>0.198183</v>
      </c>
      <c r="AF58" s="50">
        <v>-2.4320000000000001E-3</v>
      </c>
      <c r="AG58" s="21"/>
    </row>
    <row r="59" spans="1:33" ht="15" customHeight="1">
      <c r="A59" s="39" t="s">
        <v>39</v>
      </c>
      <c r="B59" s="48" t="s">
        <v>20</v>
      </c>
      <c r="C59" s="49">
        <v>5.9211260000000001</v>
      </c>
      <c r="D59" s="49">
        <v>5.8150050000000002</v>
      </c>
      <c r="E59" s="49">
        <v>5.7261790000000001</v>
      </c>
      <c r="F59" s="49">
        <v>5.6708869999999996</v>
      </c>
      <c r="G59" s="49">
        <v>5.6364150000000004</v>
      </c>
      <c r="H59" s="49">
        <v>5.5889559999999996</v>
      </c>
      <c r="I59" s="49">
        <v>5.5406930000000001</v>
      </c>
      <c r="J59" s="49">
        <v>5.4803899999999999</v>
      </c>
      <c r="K59" s="49">
        <v>5.4188489999999998</v>
      </c>
      <c r="L59" s="49">
        <v>5.3674910000000002</v>
      </c>
      <c r="M59" s="49">
        <v>5.3360620000000001</v>
      </c>
      <c r="N59" s="49">
        <v>5.3021260000000003</v>
      </c>
      <c r="O59" s="49">
        <v>5.2741230000000003</v>
      </c>
      <c r="P59" s="49">
        <v>5.25631</v>
      </c>
      <c r="Q59" s="49">
        <v>5.2378020000000003</v>
      </c>
      <c r="R59" s="49">
        <v>5.2322259999999998</v>
      </c>
      <c r="S59" s="49">
        <v>5.2306210000000002</v>
      </c>
      <c r="T59" s="49">
        <v>5.2322899999999999</v>
      </c>
      <c r="U59" s="49">
        <v>5.2416010000000002</v>
      </c>
      <c r="V59" s="49">
        <v>5.2565660000000003</v>
      </c>
      <c r="W59" s="49">
        <v>5.2744609999999996</v>
      </c>
      <c r="X59" s="49">
        <v>5.2923179999999999</v>
      </c>
      <c r="Y59" s="49">
        <v>5.3090260000000002</v>
      </c>
      <c r="Z59" s="49">
        <v>5.323563</v>
      </c>
      <c r="AA59" s="49">
        <v>5.3446429999999996</v>
      </c>
      <c r="AB59" s="49">
        <v>5.367305</v>
      </c>
      <c r="AC59" s="49">
        <v>5.3838540000000004</v>
      </c>
      <c r="AD59" s="49">
        <v>5.4034690000000003</v>
      </c>
      <c r="AE59" s="49">
        <v>5.43954</v>
      </c>
      <c r="AF59" s="50">
        <v>-3.0249999999999999E-3</v>
      </c>
      <c r="AG59" s="21"/>
    </row>
    <row r="60" spans="1:33" ht="15" customHeight="1">
      <c r="A60" s="39" t="s">
        <v>38</v>
      </c>
      <c r="B60" s="48" t="s">
        <v>18</v>
      </c>
      <c r="C60" s="49">
        <v>4.3913000000000001E-2</v>
      </c>
      <c r="D60" s="49">
        <v>4.5564E-2</v>
      </c>
      <c r="E60" s="49">
        <v>4.6540999999999999E-2</v>
      </c>
      <c r="F60" s="49">
        <v>4.7204999999999997E-2</v>
      </c>
      <c r="G60" s="49">
        <v>4.7899999999999998E-2</v>
      </c>
      <c r="H60" s="49">
        <v>4.8571000000000003E-2</v>
      </c>
      <c r="I60" s="49">
        <v>4.9133000000000003E-2</v>
      </c>
      <c r="J60" s="49">
        <v>4.9707000000000001E-2</v>
      </c>
      <c r="K60" s="49">
        <v>5.015E-2</v>
      </c>
      <c r="L60" s="49">
        <v>5.0598999999999998E-2</v>
      </c>
      <c r="M60" s="49">
        <v>5.1139999999999998E-2</v>
      </c>
      <c r="N60" s="49">
        <v>5.1727000000000002E-2</v>
      </c>
      <c r="O60" s="49">
        <v>5.2368999999999999E-2</v>
      </c>
      <c r="P60" s="49">
        <v>5.2923999999999999E-2</v>
      </c>
      <c r="Q60" s="49">
        <v>5.3456999999999998E-2</v>
      </c>
      <c r="R60" s="49">
        <v>5.3973E-2</v>
      </c>
      <c r="S60" s="49">
        <v>5.4510000000000003E-2</v>
      </c>
      <c r="T60" s="49">
        <v>5.5034E-2</v>
      </c>
      <c r="U60" s="49">
        <v>5.5627000000000003E-2</v>
      </c>
      <c r="V60" s="49">
        <v>5.6181000000000002E-2</v>
      </c>
      <c r="W60" s="49">
        <v>5.6753999999999999E-2</v>
      </c>
      <c r="X60" s="49">
        <v>5.7258000000000003E-2</v>
      </c>
      <c r="Y60" s="49">
        <v>5.7815999999999999E-2</v>
      </c>
      <c r="Z60" s="49">
        <v>5.8367000000000002E-2</v>
      </c>
      <c r="AA60" s="49">
        <v>5.9116000000000002E-2</v>
      </c>
      <c r="AB60" s="49">
        <v>5.9750999999999999E-2</v>
      </c>
      <c r="AC60" s="49">
        <v>6.0444999999999999E-2</v>
      </c>
      <c r="AD60" s="49">
        <v>6.1081000000000003E-2</v>
      </c>
      <c r="AE60" s="49">
        <v>6.1848E-2</v>
      </c>
      <c r="AF60" s="50">
        <v>1.2305999999999999E-2</v>
      </c>
      <c r="AG60" s="21"/>
    </row>
    <row r="61" spans="1:33" ht="15" customHeight="1">
      <c r="A61" s="39" t="s">
        <v>37</v>
      </c>
      <c r="B61" s="48" t="s">
        <v>16</v>
      </c>
      <c r="C61" s="49">
        <v>0.48138199999999998</v>
      </c>
      <c r="D61" s="49">
        <v>0.47482200000000002</v>
      </c>
      <c r="E61" s="49">
        <v>0.49412899999999998</v>
      </c>
      <c r="F61" s="49">
        <v>0.48220400000000002</v>
      </c>
      <c r="G61" s="49">
        <v>0.46188000000000001</v>
      </c>
      <c r="H61" s="49">
        <v>0.44609500000000002</v>
      </c>
      <c r="I61" s="49">
        <v>0.439745</v>
      </c>
      <c r="J61" s="49">
        <v>0.44452599999999998</v>
      </c>
      <c r="K61" s="49">
        <v>0.44189200000000001</v>
      </c>
      <c r="L61" s="49">
        <v>0.44342300000000001</v>
      </c>
      <c r="M61" s="49">
        <v>0.44743699999999997</v>
      </c>
      <c r="N61" s="49">
        <v>0.45064799999999999</v>
      </c>
      <c r="O61" s="49">
        <v>0.45266600000000001</v>
      </c>
      <c r="P61" s="49">
        <v>0.455515</v>
      </c>
      <c r="Q61" s="49">
        <v>0.45589400000000002</v>
      </c>
      <c r="R61" s="49">
        <v>0.45686199999999999</v>
      </c>
      <c r="S61" s="49">
        <v>0.45827499999999999</v>
      </c>
      <c r="T61" s="49">
        <v>0.45760899999999999</v>
      </c>
      <c r="U61" s="49">
        <v>0.45812799999999998</v>
      </c>
      <c r="V61" s="49">
        <v>0.461673</v>
      </c>
      <c r="W61" s="49">
        <v>0.464588</v>
      </c>
      <c r="X61" s="49">
        <v>0.46493699999999999</v>
      </c>
      <c r="Y61" s="49">
        <v>0.46492299999999998</v>
      </c>
      <c r="Z61" s="49">
        <v>0.46477099999999999</v>
      </c>
      <c r="AA61" s="49">
        <v>0.46576699999999999</v>
      </c>
      <c r="AB61" s="49">
        <v>0.46815499999999999</v>
      </c>
      <c r="AC61" s="49">
        <v>0.47133999999999998</v>
      </c>
      <c r="AD61" s="49">
        <v>0.47259899999999999</v>
      </c>
      <c r="AE61" s="49">
        <v>0.47572900000000001</v>
      </c>
      <c r="AF61" s="50">
        <v>-4.2200000000000001E-4</v>
      </c>
      <c r="AG61" s="21"/>
    </row>
    <row r="62" spans="1:33" ht="15" customHeight="1">
      <c r="A62" s="39" t="s">
        <v>36</v>
      </c>
      <c r="B62" s="48" t="s">
        <v>14</v>
      </c>
      <c r="C62" s="49">
        <v>9.8239000000000007E-2</v>
      </c>
      <c r="D62" s="49">
        <v>9.8920999999999995E-2</v>
      </c>
      <c r="E62" s="49">
        <v>9.8114999999999994E-2</v>
      </c>
      <c r="F62" s="49">
        <v>9.7346000000000002E-2</v>
      </c>
      <c r="G62" s="49">
        <v>9.6685999999999994E-2</v>
      </c>
      <c r="H62" s="49">
        <v>9.5823000000000005E-2</v>
      </c>
      <c r="I62" s="49">
        <v>9.4964999999999994E-2</v>
      </c>
      <c r="J62" s="49">
        <v>9.3891000000000002E-2</v>
      </c>
      <c r="K62" s="49">
        <v>9.2919000000000002E-2</v>
      </c>
      <c r="L62" s="49">
        <v>9.2030000000000001E-2</v>
      </c>
      <c r="M62" s="49">
        <v>9.1400999999999996E-2</v>
      </c>
      <c r="N62" s="49">
        <v>9.0674000000000005E-2</v>
      </c>
      <c r="O62" s="49">
        <v>8.9934E-2</v>
      </c>
      <c r="P62" s="49">
        <v>8.9168999999999998E-2</v>
      </c>
      <c r="Q62" s="49">
        <v>8.8332999999999995E-2</v>
      </c>
      <c r="R62" s="49">
        <v>8.7614999999999998E-2</v>
      </c>
      <c r="S62" s="49">
        <v>8.6832999999999994E-2</v>
      </c>
      <c r="T62" s="49">
        <v>8.6156999999999997E-2</v>
      </c>
      <c r="U62" s="49">
        <v>8.5473999999999994E-2</v>
      </c>
      <c r="V62" s="49">
        <v>8.4846000000000005E-2</v>
      </c>
      <c r="W62" s="49">
        <v>8.4274000000000002E-2</v>
      </c>
      <c r="X62" s="49">
        <v>8.3705000000000002E-2</v>
      </c>
      <c r="Y62" s="49">
        <v>8.3102999999999996E-2</v>
      </c>
      <c r="Z62" s="49">
        <v>8.2418000000000005E-2</v>
      </c>
      <c r="AA62" s="49">
        <v>8.1855999999999998E-2</v>
      </c>
      <c r="AB62" s="49">
        <v>8.1249000000000002E-2</v>
      </c>
      <c r="AC62" s="49">
        <v>8.0573000000000006E-2</v>
      </c>
      <c r="AD62" s="49">
        <v>7.9990000000000006E-2</v>
      </c>
      <c r="AE62" s="49">
        <v>7.9592999999999997E-2</v>
      </c>
      <c r="AF62" s="50">
        <v>-7.489E-3</v>
      </c>
      <c r="AG62" s="21"/>
    </row>
    <row r="63" spans="1:33" ht="15" customHeight="1">
      <c r="A63" s="39" t="s">
        <v>35</v>
      </c>
      <c r="B63" s="48" t="s">
        <v>12</v>
      </c>
      <c r="C63" s="49">
        <v>0.93502799999999997</v>
      </c>
      <c r="D63" s="49">
        <v>0.88183</v>
      </c>
      <c r="E63" s="49">
        <v>0.87772700000000003</v>
      </c>
      <c r="F63" s="49">
        <v>0.87860400000000005</v>
      </c>
      <c r="G63" s="49">
        <v>0.87124999999999997</v>
      </c>
      <c r="H63" s="49">
        <v>0.86844900000000003</v>
      </c>
      <c r="I63" s="49">
        <v>0.86268900000000004</v>
      </c>
      <c r="J63" s="49">
        <v>0.85914199999999996</v>
      </c>
      <c r="K63" s="49">
        <v>0.85663400000000001</v>
      </c>
      <c r="L63" s="49">
        <v>0.85713600000000001</v>
      </c>
      <c r="M63" s="49">
        <v>0.857437</v>
      </c>
      <c r="N63" s="49">
        <v>0.85799999999999998</v>
      </c>
      <c r="O63" s="49">
        <v>0.85775999999999997</v>
      </c>
      <c r="P63" s="49">
        <v>0.85821800000000004</v>
      </c>
      <c r="Q63" s="49">
        <v>0.85754699999999995</v>
      </c>
      <c r="R63" s="49">
        <v>0.85761399999999999</v>
      </c>
      <c r="S63" s="49">
        <v>0.85763500000000004</v>
      </c>
      <c r="T63" s="49">
        <v>0.85734999999999995</v>
      </c>
      <c r="U63" s="49">
        <v>0.85724500000000003</v>
      </c>
      <c r="V63" s="49">
        <v>0.85730099999999998</v>
      </c>
      <c r="W63" s="49">
        <v>0.85782999999999998</v>
      </c>
      <c r="X63" s="49">
        <v>0.85782000000000003</v>
      </c>
      <c r="Y63" s="49">
        <v>0.85804800000000003</v>
      </c>
      <c r="Z63" s="49">
        <v>0.85806800000000005</v>
      </c>
      <c r="AA63" s="49">
        <v>0.86063299999999998</v>
      </c>
      <c r="AB63" s="49">
        <v>0.86092400000000002</v>
      </c>
      <c r="AC63" s="49">
        <v>0.85983399999999999</v>
      </c>
      <c r="AD63" s="49">
        <v>0.85912200000000005</v>
      </c>
      <c r="AE63" s="49">
        <v>0.85809500000000005</v>
      </c>
      <c r="AF63" s="50">
        <v>-3.0620000000000001E-3</v>
      </c>
      <c r="AG63" s="21"/>
    </row>
    <row r="64" spans="1:33" ht="15" customHeight="1">
      <c r="A64" s="39" t="s">
        <v>34</v>
      </c>
      <c r="B64" s="48" t="s">
        <v>10</v>
      </c>
      <c r="C64" s="49">
        <v>0.20283699999999999</v>
      </c>
      <c r="D64" s="49">
        <v>0.19916300000000001</v>
      </c>
      <c r="E64" s="49">
        <v>0.19580500000000001</v>
      </c>
      <c r="F64" s="49">
        <v>0.19373699999999999</v>
      </c>
      <c r="G64" s="49">
        <v>0.19281300000000001</v>
      </c>
      <c r="H64" s="49">
        <v>0.19189700000000001</v>
      </c>
      <c r="I64" s="49">
        <v>0.19073399999999999</v>
      </c>
      <c r="J64" s="49">
        <v>0.18920999999999999</v>
      </c>
      <c r="K64" s="49">
        <v>0.18740399999999999</v>
      </c>
      <c r="L64" s="49">
        <v>0.18567700000000001</v>
      </c>
      <c r="M64" s="49">
        <v>0.18446699999999999</v>
      </c>
      <c r="N64" s="49">
        <v>0.18361</v>
      </c>
      <c r="O64" s="49">
        <v>0.182778</v>
      </c>
      <c r="P64" s="49">
        <v>0.18199799999999999</v>
      </c>
      <c r="Q64" s="49">
        <v>0.18145</v>
      </c>
      <c r="R64" s="49">
        <v>0.18110599999999999</v>
      </c>
      <c r="S64" s="49">
        <v>0.18074599999999999</v>
      </c>
      <c r="T64" s="49">
        <v>0.18038299999999999</v>
      </c>
      <c r="U64" s="49">
        <v>0.18029500000000001</v>
      </c>
      <c r="V64" s="49">
        <v>0.18016099999999999</v>
      </c>
      <c r="W64" s="49">
        <v>0.17998800000000001</v>
      </c>
      <c r="X64" s="49">
        <v>0.179814</v>
      </c>
      <c r="Y64" s="49">
        <v>0.17955699999999999</v>
      </c>
      <c r="Z64" s="49">
        <v>0.17924399999999999</v>
      </c>
      <c r="AA64" s="49">
        <v>0.17895</v>
      </c>
      <c r="AB64" s="49">
        <v>0.178728</v>
      </c>
      <c r="AC64" s="49">
        <v>0.17849100000000001</v>
      </c>
      <c r="AD64" s="49">
        <v>0.178228</v>
      </c>
      <c r="AE64" s="49">
        <v>0.17815600000000001</v>
      </c>
      <c r="AF64" s="50">
        <v>-4.6230000000000004E-3</v>
      </c>
      <c r="AG64" s="21"/>
    </row>
    <row r="65" spans="1:33" s="8" customFormat="1" ht="15" customHeight="1">
      <c r="A65" s="101" t="s">
        <v>33</v>
      </c>
      <c r="B65" s="102" t="s">
        <v>8</v>
      </c>
      <c r="C65" s="103">
        <v>2.8028080000000002</v>
      </c>
      <c r="D65" s="103">
        <v>3.008168</v>
      </c>
      <c r="E65" s="103">
        <v>3.0512030000000001</v>
      </c>
      <c r="F65" s="103">
        <v>3.0571109999999999</v>
      </c>
      <c r="G65" s="103">
        <v>3.095898</v>
      </c>
      <c r="H65" s="103">
        <v>3.1342270000000001</v>
      </c>
      <c r="I65" s="103">
        <v>3.164552</v>
      </c>
      <c r="J65" s="103">
        <v>3.1871079999999998</v>
      </c>
      <c r="K65" s="103">
        <v>3.2029380000000001</v>
      </c>
      <c r="L65" s="103">
        <v>3.2187830000000002</v>
      </c>
      <c r="M65" s="103">
        <v>3.2439369999999998</v>
      </c>
      <c r="N65" s="103">
        <v>3.270448</v>
      </c>
      <c r="O65" s="103">
        <v>3.294403</v>
      </c>
      <c r="P65" s="103">
        <v>3.322924</v>
      </c>
      <c r="Q65" s="103">
        <v>3.3598249999999998</v>
      </c>
      <c r="R65" s="103">
        <v>3.4038949999999999</v>
      </c>
      <c r="S65" s="103">
        <v>3.4501719999999998</v>
      </c>
      <c r="T65" s="103">
        <v>3.498488</v>
      </c>
      <c r="U65" s="103">
        <v>3.5546440000000001</v>
      </c>
      <c r="V65" s="103">
        <v>3.608403</v>
      </c>
      <c r="W65" s="103">
        <v>3.6630980000000002</v>
      </c>
      <c r="X65" s="103">
        <v>3.7186249999999998</v>
      </c>
      <c r="Y65" s="103">
        <v>3.7740100000000001</v>
      </c>
      <c r="Z65" s="103">
        <v>3.8279190000000001</v>
      </c>
      <c r="AA65" s="103">
        <v>3.8804340000000002</v>
      </c>
      <c r="AB65" s="103">
        <v>3.9367380000000001</v>
      </c>
      <c r="AC65" s="103">
        <v>3.9936039999999999</v>
      </c>
      <c r="AD65" s="103">
        <v>4.0496509999999999</v>
      </c>
      <c r="AE65" s="103">
        <v>4.112158</v>
      </c>
      <c r="AF65" s="104">
        <v>1.3783999999999999E-2</v>
      </c>
      <c r="AG65" s="105"/>
    </row>
    <row r="66" spans="1:33" ht="15" customHeight="1">
      <c r="A66" s="39"/>
      <c r="B66" s="48"/>
      <c r="C66" s="49"/>
      <c r="D66" s="81"/>
      <c r="E66" s="49"/>
      <c r="F66" s="49"/>
      <c r="G66" s="49"/>
      <c r="H66" s="49"/>
      <c r="I66" s="49"/>
      <c r="J66" s="49"/>
      <c r="K66" s="49"/>
      <c r="L66" s="49"/>
      <c r="M66" s="49"/>
      <c r="N66" s="49"/>
      <c r="O66" s="49"/>
      <c r="P66" s="49"/>
      <c r="Q66" s="49"/>
      <c r="R66" s="49"/>
      <c r="S66" s="49"/>
      <c r="T66" s="49"/>
      <c r="U66" s="49"/>
      <c r="V66" s="49"/>
      <c r="W66" s="49"/>
      <c r="X66" s="49"/>
      <c r="Y66" s="49"/>
      <c r="Z66" s="49"/>
      <c r="AA66" s="49"/>
      <c r="AB66" s="49"/>
      <c r="AC66" s="49"/>
      <c r="AD66" s="49"/>
      <c r="AE66" s="49"/>
      <c r="AF66" s="49"/>
      <c r="AG66" s="21"/>
    </row>
    <row r="67" spans="1:33">
      <c r="A67" s="39" t="s">
        <v>32</v>
      </c>
      <c r="B67" s="48" t="s">
        <v>6</v>
      </c>
      <c r="C67" s="49">
        <v>0.43083199999999999</v>
      </c>
      <c r="D67" s="49">
        <v>0.43313099999999999</v>
      </c>
      <c r="E67" s="49">
        <v>0.43396800000000002</v>
      </c>
      <c r="F67" s="49">
        <v>0.43462800000000001</v>
      </c>
      <c r="G67" s="49">
        <v>0.43516199999999999</v>
      </c>
      <c r="H67" s="49">
        <v>0.43594699999999997</v>
      </c>
      <c r="I67" s="49">
        <v>0.43650600000000001</v>
      </c>
      <c r="J67" s="49">
        <v>0.43695099999999998</v>
      </c>
      <c r="K67" s="49">
        <v>0.437332</v>
      </c>
      <c r="L67" s="49">
        <v>0.43757600000000002</v>
      </c>
      <c r="M67" s="49">
        <v>0.43774400000000002</v>
      </c>
      <c r="N67" s="49">
        <v>0.43782700000000002</v>
      </c>
      <c r="O67" s="49">
        <v>0.43785800000000002</v>
      </c>
      <c r="P67" s="49">
        <v>0.43787900000000002</v>
      </c>
      <c r="Q67" s="49">
        <v>0.438004</v>
      </c>
      <c r="R67" s="49">
        <v>0.43820300000000001</v>
      </c>
      <c r="S67" s="49">
        <v>0.43841200000000002</v>
      </c>
      <c r="T67" s="49">
        <v>0.43863099999999999</v>
      </c>
      <c r="U67" s="49">
        <v>0.43885800000000003</v>
      </c>
      <c r="V67" s="49">
        <v>0.43909300000000001</v>
      </c>
      <c r="W67" s="49">
        <v>0.43933499999999998</v>
      </c>
      <c r="X67" s="49">
        <v>0.43958399999999997</v>
      </c>
      <c r="Y67" s="49">
        <v>0.43983899999999998</v>
      </c>
      <c r="Z67" s="49">
        <v>0.44009900000000002</v>
      </c>
      <c r="AA67" s="49">
        <v>0.44036399999999998</v>
      </c>
      <c r="AB67" s="49">
        <v>0.440633</v>
      </c>
      <c r="AC67" s="49">
        <v>0.44090699999999999</v>
      </c>
      <c r="AD67" s="49">
        <v>0.44118400000000002</v>
      </c>
      <c r="AE67" s="49">
        <v>0.441465</v>
      </c>
      <c r="AF67" s="50">
        <v>8.7100000000000003E-4</v>
      </c>
      <c r="AG67" s="21"/>
    </row>
    <row r="68" spans="1:33" ht="15" customHeight="1">
      <c r="A68" s="39" t="s">
        <v>31</v>
      </c>
      <c r="B68" s="48" t="s">
        <v>4</v>
      </c>
      <c r="C68" s="49">
        <v>0.125945</v>
      </c>
      <c r="D68" s="49">
        <v>0.12592500000000001</v>
      </c>
      <c r="E68" s="49">
        <v>0.12601200000000001</v>
      </c>
      <c r="F68" s="49">
        <v>0.12605</v>
      </c>
      <c r="G68" s="49">
        <v>0.126114</v>
      </c>
      <c r="H68" s="49">
        <v>0.12598400000000001</v>
      </c>
      <c r="I68" s="49">
        <v>0.12585299999999999</v>
      </c>
      <c r="J68" s="49">
        <v>0.12575500000000001</v>
      </c>
      <c r="K68" s="49">
        <v>0.12565200000000001</v>
      </c>
      <c r="L68" s="49">
        <v>0.12554599999999999</v>
      </c>
      <c r="M68" s="49">
        <v>0.12543899999999999</v>
      </c>
      <c r="N68" s="49">
        <v>0.12533</v>
      </c>
      <c r="O68" s="49">
        <v>0.12525</v>
      </c>
      <c r="P68" s="49">
        <v>0.125225</v>
      </c>
      <c r="Q68" s="49">
        <v>0.12525500000000001</v>
      </c>
      <c r="R68" s="49">
        <v>0.12531800000000001</v>
      </c>
      <c r="S68" s="49">
        <v>0.125412</v>
      </c>
      <c r="T68" s="49">
        <v>0.125527</v>
      </c>
      <c r="U68" s="49">
        <v>0.125667</v>
      </c>
      <c r="V68" s="49">
        <v>0.12579699999999999</v>
      </c>
      <c r="W68" s="49">
        <v>0.12592500000000001</v>
      </c>
      <c r="X68" s="49">
        <v>0.12604599999999999</v>
      </c>
      <c r="Y68" s="49">
        <v>0.126166</v>
      </c>
      <c r="Z68" s="49">
        <v>0.12631999999999999</v>
      </c>
      <c r="AA68" s="49">
        <v>0.12649199999999999</v>
      </c>
      <c r="AB68" s="49">
        <v>0.126661</v>
      </c>
      <c r="AC68" s="49">
        <v>0.12681100000000001</v>
      </c>
      <c r="AD68" s="49">
        <v>0.126974</v>
      </c>
      <c r="AE68" s="49">
        <v>0.12715899999999999</v>
      </c>
      <c r="AF68" s="50">
        <v>3.4200000000000002E-4</v>
      </c>
      <c r="AG68" s="21"/>
    </row>
    <row r="69" spans="1:33" ht="15" customHeight="1">
      <c r="A69" s="39" t="s">
        <v>30</v>
      </c>
      <c r="B69" s="48" t="s">
        <v>140</v>
      </c>
      <c r="C69" s="49">
        <v>0.90573199999999998</v>
      </c>
      <c r="D69" s="49">
        <v>0.82054300000000002</v>
      </c>
      <c r="E69" s="49">
        <v>0.76098200000000005</v>
      </c>
      <c r="F69" s="49">
        <v>0.72675199999999995</v>
      </c>
      <c r="G69" s="49">
        <v>0.69584999999999997</v>
      </c>
      <c r="H69" s="49">
        <v>0.65398500000000004</v>
      </c>
      <c r="I69" s="49">
        <v>0.61392800000000003</v>
      </c>
      <c r="J69" s="49">
        <v>0.61203300000000005</v>
      </c>
      <c r="K69" s="49">
        <v>0.61031599999999997</v>
      </c>
      <c r="L69" s="49">
        <v>0.61189700000000002</v>
      </c>
      <c r="M69" s="49">
        <v>0.61776399999999998</v>
      </c>
      <c r="N69" s="49">
        <v>0.62628499999999998</v>
      </c>
      <c r="O69" s="49">
        <v>0.63076699999999997</v>
      </c>
      <c r="P69" s="49">
        <v>0.63347699999999996</v>
      </c>
      <c r="Q69" s="49">
        <v>0.63400299999999998</v>
      </c>
      <c r="R69" s="49">
        <v>0.63296799999999998</v>
      </c>
      <c r="S69" s="49">
        <v>0.63783100000000004</v>
      </c>
      <c r="T69" s="49">
        <v>0.63666800000000001</v>
      </c>
      <c r="U69" s="49">
        <v>0.64580700000000002</v>
      </c>
      <c r="V69" s="49">
        <v>0.65242699999999998</v>
      </c>
      <c r="W69" s="49">
        <v>0.65816600000000003</v>
      </c>
      <c r="X69" s="49">
        <v>0.66099399999999997</v>
      </c>
      <c r="Y69" s="49">
        <v>0.66509499999999999</v>
      </c>
      <c r="Z69" s="49">
        <v>0.66920299999999999</v>
      </c>
      <c r="AA69" s="49">
        <v>0.67453399999999997</v>
      </c>
      <c r="AB69" s="49">
        <v>0.68213500000000005</v>
      </c>
      <c r="AC69" s="49">
        <v>0.68949099999999997</v>
      </c>
      <c r="AD69" s="49">
        <v>0.691882</v>
      </c>
      <c r="AE69" s="49">
        <v>0.69677699999999998</v>
      </c>
      <c r="AF69" s="50">
        <v>-9.3229999999999997E-3</v>
      </c>
      <c r="AG69" s="21"/>
    </row>
    <row r="70" spans="1:33" ht="15" customHeight="1">
      <c r="A70" s="39" t="s">
        <v>1032</v>
      </c>
      <c r="B70" s="48" t="s">
        <v>1033</v>
      </c>
      <c r="C70" s="49">
        <v>0.33252300000000001</v>
      </c>
      <c r="D70" s="49">
        <v>0.377971</v>
      </c>
      <c r="E70" s="49">
        <v>0.38400499999999999</v>
      </c>
      <c r="F70" s="49">
        <v>0.40878300000000001</v>
      </c>
      <c r="G70" s="49">
        <v>0.44626100000000002</v>
      </c>
      <c r="H70" s="49">
        <v>0.47717300000000001</v>
      </c>
      <c r="I70" s="49">
        <v>0.50361</v>
      </c>
      <c r="J70" s="49">
        <v>0.52757100000000001</v>
      </c>
      <c r="K70" s="49">
        <v>0.57796899999999996</v>
      </c>
      <c r="L70" s="49">
        <v>0.62836700000000001</v>
      </c>
      <c r="M70" s="49">
        <v>0.68000400000000005</v>
      </c>
      <c r="N70" s="49">
        <v>0.72916400000000003</v>
      </c>
      <c r="O70" s="49">
        <v>0.77116200000000001</v>
      </c>
      <c r="P70" s="49">
        <v>0.79636099999999999</v>
      </c>
      <c r="Q70" s="49">
        <v>0.81439899999999998</v>
      </c>
      <c r="R70" s="49">
        <v>0.82996000000000003</v>
      </c>
      <c r="S70" s="49">
        <v>0.83835999999999999</v>
      </c>
      <c r="T70" s="49">
        <v>0.83835999999999999</v>
      </c>
      <c r="U70" s="49">
        <v>0.83959799999999996</v>
      </c>
      <c r="V70" s="49">
        <v>0.83835999999999999</v>
      </c>
      <c r="W70" s="49">
        <v>0.83835999999999999</v>
      </c>
      <c r="X70" s="49">
        <v>0.83835999999999999</v>
      </c>
      <c r="Y70" s="49">
        <v>0.83959799999999996</v>
      </c>
      <c r="Z70" s="49">
        <v>0.83835999999999999</v>
      </c>
      <c r="AA70" s="49">
        <v>0.83835999999999999</v>
      </c>
      <c r="AB70" s="49">
        <v>0.83835999999999999</v>
      </c>
      <c r="AC70" s="49">
        <v>0.83959799999999996</v>
      </c>
      <c r="AD70" s="49">
        <v>0.83835999999999999</v>
      </c>
      <c r="AE70" s="49">
        <v>0.83835999999999999</v>
      </c>
      <c r="AF70" s="50">
        <v>3.3577999999999997E-2</v>
      </c>
      <c r="AG70" s="21"/>
    </row>
    <row r="71" spans="1:33" ht="15" customHeight="1">
      <c r="A71" s="39" t="s">
        <v>29</v>
      </c>
      <c r="B71" s="47" t="s">
        <v>1</v>
      </c>
      <c r="C71" s="51">
        <v>27.986006</v>
      </c>
      <c r="D71" s="51">
        <v>28.032028</v>
      </c>
      <c r="E71" s="51">
        <v>27.776655000000002</v>
      </c>
      <c r="F71" s="51">
        <v>27.465699999999998</v>
      </c>
      <c r="G71" s="51">
        <v>27.255044999999999</v>
      </c>
      <c r="H71" s="51">
        <v>27.051918000000001</v>
      </c>
      <c r="I71" s="51">
        <v>26.819282999999999</v>
      </c>
      <c r="J71" s="51">
        <v>26.592269999999999</v>
      </c>
      <c r="K71" s="51">
        <v>26.360721999999999</v>
      </c>
      <c r="L71" s="51">
        <v>26.162958</v>
      </c>
      <c r="M71" s="51">
        <v>26.008129</v>
      </c>
      <c r="N71" s="51">
        <v>25.897749000000001</v>
      </c>
      <c r="O71" s="51">
        <v>25.802094</v>
      </c>
      <c r="P71" s="51">
        <v>25.704211999999998</v>
      </c>
      <c r="Q71" s="51">
        <v>25.598514999999999</v>
      </c>
      <c r="R71" s="51">
        <v>25.533525000000001</v>
      </c>
      <c r="S71" s="51">
        <v>25.493338000000001</v>
      </c>
      <c r="T71" s="51">
        <v>25.449311999999999</v>
      </c>
      <c r="U71" s="51">
        <v>25.46059</v>
      </c>
      <c r="V71" s="51">
        <v>25.485914000000001</v>
      </c>
      <c r="W71" s="51">
        <v>25.531475</v>
      </c>
      <c r="X71" s="51">
        <v>25.583796</v>
      </c>
      <c r="Y71" s="51">
        <v>25.657437999999999</v>
      </c>
      <c r="Z71" s="51">
        <v>25.744152</v>
      </c>
      <c r="AA71" s="51">
        <v>25.868386999999998</v>
      </c>
      <c r="AB71" s="51">
        <v>26.019403000000001</v>
      </c>
      <c r="AC71" s="51">
        <v>26.175443999999999</v>
      </c>
      <c r="AD71" s="51">
        <v>26.332941000000002</v>
      </c>
      <c r="AE71" s="51">
        <v>26.540414999999999</v>
      </c>
      <c r="AF71" s="52">
        <v>-1.892E-3</v>
      </c>
      <c r="AG71" s="21"/>
    </row>
    <row r="72" spans="1:33" ht="15" customHeight="1">
      <c r="A72" s="9"/>
      <c r="B72" s="21"/>
      <c r="C72" s="21"/>
      <c r="D72" s="21"/>
      <c r="E72" s="21"/>
      <c r="F72" s="21"/>
      <c r="G72" s="21"/>
      <c r="H72" s="21"/>
      <c r="I72" s="21"/>
      <c r="J72" s="21"/>
      <c r="K72" s="21"/>
      <c r="L72" s="21"/>
      <c r="M72" s="21"/>
      <c r="N72" s="21"/>
      <c r="O72" s="21"/>
      <c r="P72" s="21"/>
      <c r="Q72" s="21"/>
      <c r="R72" s="21"/>
      <c r="S72" s="21"/>
      <c r="T72" s="21"/>
      <c r="U72" s="21"/>
      <c r="V72" s="21"/>
      <c r="W72" s="21"/>
      <c r="X72" s="21"/>
      <c r="Y72" s="21"/>
      <c r="Z72" s="21"/>
      <c r="AA72" s="21"/>
      <c r="AB72" s="21"/>
      <c r="AC72" s="21"/>
      <c r="AD72" s="21"/>
      <c r="AE72" s="21"/>
      <c r="AF72" s="21"/>
      <c r="AG72" s="21"/>
    </row>
    <row r="73" spans="1:33" ht="15" customHeight="1">
      <c r="A73" s="9"/>
      <c r="B73" s="47" t="s">
        <v>28</v>
      </c>
      <c r="C73" s="21"/>
      <c r="D73" s="21"/>
      <c r="E73" s="21"/>
      <c r="F73" s="21"/>
      <c r="G73" s="21"/>
      <c r="H73" s="21"/>
      <c r="I73" s="21"/>
      <c r="J73" s="21"/>
      <c r="K73" s="21"/>
      <c r="L73" s="21"/>
      <c r="M73" s="21"/>
      <c r="N73" s="21"/>
      <c r="O73" s="21"/>
      <c r="P73" s="21"/>
      <c r="Q73" s="21"/>
      <c r="R73" s="21"/>
      <c r="S73" s="21"/>
      <c r="T73" s="21"/>
      <c r="U73" s="21"/>
      <c r="V73" s="21"/>
      <c r="W73" s="21"/>
      <c r="X73" s="21"/>
      <c r="Y73" s="21"/>
      <c r="Z73" s="21"/>
      <c r="AA73" s="21"/>
      <c r="AB73" s="21"/>
      <c r="AC73" s="21"/>
      <c r="AD73" s="21"/>
      <c r="AE73" s="21"/>
      <c r="AF73" s="21"/>
      <c r="AG73" s="21"/>
    </row>
    <row r="74" spans="1:33">
      <c r="A74" s="39" t="s">
        <v>27</v>
      </c>
      <c r="B74" s="48" t="s">
        <v>26</v>
      </c>
      <c r="C74" s="49">
        <v>7.8874019999999998</v>
      </c>
      <c r="D74" s="49">
        <v>7.9122269999999997</v>
      </c>
      <c r="E74" s="49">
        <v>7.8274340000000002</v>
      </c>
      <c r="F74" s="49">
        <v>7.7041750000000002</v>
      </c>
      <c r="G74" s="49">
        <v>7.6036460000000003</v>
      </c>
      <c r="H74" s="49">
        <v>7.5184980000000001</v>
      </c>
      <c r="I74" s="49">
        <v>7.419035</v>
      </c>
      <c r="J74" s="49">
        <v>7.3065249999999997</v>
      </c>
      <c r="K74" s="49">
        <v>7.1853569999999998</v>
      </c>
      <c r="L74" s="49">
        <v>7.0706910000000001</v>
      </c>
      <c r="M74" s="49">
        <v>6.9570160000000003</v>
      </c>
      <c r="N74" s="49">
        <v>6.8672800000000001</v>
      </c>
      <c r="O74" s="49">
        <v>6.7902670000000001</v>
      </c>
      <c r="P74" s="49">
        <v>6.712955</v>
      </c>
      <c r="Q74" s="49">
        <v>6.6337719999999996</v>
      </c>
      <c r="R74" s="49">
        <v>6.566808</v>
      </c>
      <c r="S74" s="49">
        <v>6.509881</v>
      </c>
      <c r="T74" s="49">
        <v>6.457382</v>
      </c>
      <c r="U74" s="49">
        <v>6.4183839999999996</v>
      </c>
      <c r="V74" s="49">
        <v>6.3855760000000004</v>
      </c>
      <c r="W74" s="49">
        <v>6.3615849999999998</v>
      </c>
      <c r="X74" s="49">
        <v>6.3450730000000002</v>
      </c>
      <c r="Y74" s="49">
        <v>6.3401059999999996</v>
      </c>
      <c r="Z74" s="49">
        <v>6.3454620000000004</v>
      </c>
      <c r="AA74" s="49">
        <v>6.3641899999999998</v>
      </c>
      <c r="AB74" s="49">
        <v>6.3931519999999997</v>
      </c>
      <c r="AC74" s="49">
        <v>6.428598</v>
      </c>
      <c r="AD74" s="49">
        <v>6.4683789999999997</v>
      </c>
      <c r="AE74" s="49">
        <v>6.5181990000000001</v>
      </c>
      <c r="AF74" s="50">
        <v>-6.7860000000000004E-3</v>
      </c>
      <c r="AG74" s="21"/>
    </row>
    <row r="75" spans="1:33" ht="15" customHeight="1">
      <c r="A75" s="39" t="s">
        <v>25</v>
      </c>
      <c r="B75" s="48" t="s">
        <v>24</v>
      </c>
      <c r="C75" s="49">
        <v>0.496809</v>
      </c>
      <c r="D75" s="49">
        <v>0.49219299999999999</v>
      </c>
      <c r="E75" s="49">
        <v>0.48331400000000002</v>
      </c>
      <c r="F75" s="49">
        <v>0.47684199999999999</v>
      </c>
      <c r="G75" s="49">
        <v>0.472221</v>
      </c>
      <c r="H75" s="49">
        <v>0.46793200000000001</v>
      </c>
      <c r="I75" s="49">
        <v>0.46471200000000001</v>
      </c>
      <c r="J75" s="49">
        <v>0.46205299999999999</v>
      </c>
      <c r="K75" s="49">
        <v>0.45911099999999999</v>
      </c>
      <c r="L75" s="49">
        <v>0.45708399999999999</v>
      </c>
      <c r="M75" s="49">
        <v>0.45675399999999999</v>
      </c>
      <c r="N75" s="49">
        <v>0.45698899999999998</v>
      </c>
      <c r="O75" s="49">
        <v>0.457814</v>
      </c>
      <c r="P75" s="49">
        <v>0.45909100000000003</v>
      </c>
      <c r="Q75" s="49">
        <v>0.46056399999999997</v>
      </c>
      <c r="R75" s="49">
        <v>0.462619</v>
      </c>
      <c r="S75" s="49">
        <v>0.46518900000000002</v>
      </c>
      <c r="T75" s="49">
        <v>0.46762300000000001</v>
      </c>
      <c r="U75" s="49">
        <v>0.47117599999999998</v>
      </c>
      <c r="V75" s="49">
        <v>0.47543600000000003</v>
      </c>
      <c r="W75" s="49">
        <v>0.47985299999999997</v>
      </c>
      <c r="X75" s="49">
        <v>0.48379299999999997</v>
      </c>
      <c r="Y75" s="49">
        <v>0.48735400000000001</v>
      </c>
      <c r="Z75" s="49">
        <v>0.49135299999999998</v>
      </c>
      <c r="AA75" s="49">
        <v>0.49600300000000003</v>
      </c>
      <c r="AB75" s="49">
        <v>0.50156500000000004</v>
      </c>
      <c r="AC75" s="49">
        <v>0.50649100000000002</v>
      </c>
      <c r="AD75" s="49">
        <v>0.51146199999999997</v>
      </c>
      <c r="AE75" s="49">
        <v>0.51798100000000002</v>
      </c>
      <c r="AF75" s="50">
        <v>1.4920000000000001E-3</v>
      </c>
      <c r="AG75" s="21"/>
    </row>
    <row r="76" spans="1:33" ht="15" customHeight="1">
      <c r="A76" s="39" t="s">
        <v>23</v>
      </c>
      <c r="B76" s="48" t="s">
        <v>22</v>
      </c>
      <c r="C76" s="49">
        <v>0.105213</v>
      </c>
      <c r="D76" s="49">
        <v>0.11029600000000001</v>
      </c>
      <c r="E76" s="49">
        <v>0.11259</v>
      </c>
      <c r="F76" s="49">
        <v>0.113083</v>
      </c>
      <c r="G76" s="49">
        <v>0.113492</v>
      </c>
      <c r="H76" s="49">
        <v>0.113737</v>
      </c>
      <c r="I76" s="49">
        <v>0.113843</v>
      </c>
      <c r="J76" s="49">
        <v>0.113729</v>
      </c>
      <c r="K76" s="49">
        <v>0.11343399999999999</v>
      </c>
      <c r="L76" s="49">
        <v>0.112917</v>
      </c>
      <c r="M76" s="49">
        <v>0.112403</v>
      </c>
      <c r="N76" s="49">
        <v>0.11212900000000001</v>
      </c>
      <c r="O76" s="49">
        <v>0.111806</v>
      </c>
      <c r="P76" s="49">
        <v>0.11138099999999999</v>
      </c>
      <c r="Q76" s="49">
        <v>0.110915</v>
      </c>
      <c r="R76" s="49">
        <v>0.110151</v>
      </c>
      <c r="S76" s="49">
        <v>0.109477</v>
      </c>
      <c r="T76" s="49">
        <v>0.108762</v>
      </c>
      <c r="U76" s="49">
        <v>0.107969</v>
      </c>
      <c r="V76" s="49">
        <v>0.107129</v>
      </c>
      <c r="W76" s="49">
        <v>0.10628799999999999</v>
      </c>
      <c r="X76" s="49">
        <v>0.105307</v>
      </c>
      <c r="Y76" s="49">
        <v>0.104391</v>
      </c>
      <c r="Z76" s="49">
        <v>0.103434</v>
      </c>
      <c r="AA76" s="49">
        <v>0.102605</v>
      </c>
      <c r="AB76" s="49">
        <v>0.101578</v>
      </c>
      <c r="AC76" s="49">
        <v>0.10058599999999999</v>
      </c>
      <c r="AD76" s="49">
        <v>9.9506999999999998E-2</v>
      </c>
      <c r="AE76" s="49">
        <v>9.8460000000000006E-2</v>
      </c>
      <c r="AF76" s="50">
        <v>-2.366E-3</v>
      </c>
      <c r="AG76" s="21"/>
    </row>
    <row r="77" spans="1:33" ht="15" customHeight="1">
      <c r="A77" s="39" t="s">
        <v>21</v>
      </c>
      <c r="B77" s="48" t="s">
        <v>20</v>
      </c>
      <c r="C77" s="49">
        <v>2.850965</v>
      </c>
      <c r="D77" s="49">
        <v>2.8004340000000001</v>
      </c>
      <c r="E77" s="49">
        <v>2.7581639999999998</v>
      </c>
      <c r="F77" s="49">
        <v>2.7321939999999998</v>
      </c>
      <c r="G77" s="49">
        <v>2.7161360000000001</v>
      </c>
      <c r="H77" s="49">
        <v>2.6936719999999998</v>
      </c>
      <c r="I77" s="49">
        <v>2.6712570000000002</v>
      </c>
      <c r="J77" s="49">
        <v>2.6429619999999998</v>
      </c>
      <c r="K77" s="49">
        <v>2.6141770000000002</v>
      </c>
      <c r="L77" s="49">
        <v>2.5901740000000002</v>
      </c>
      <c r="M77" s="49">
        <v>2.5759319999999999</v>
      </c>
      <c r="N77" s="49">
        <v>2.560368</v>
      </c>
      <c r="O77" s="49">
        <v>2.5477449999999999</v>
      </c>
      <c r="P77" s="49">
        <v>2.5398450000000001</v>
      </c>
      <c r="Q77" s="49">
        <v>2.5316429999999999</v>
      </c>
      <c r="R77" s="49">
        <v>2.5296340000000002</v>
      </c>
      <c r="S77" s="49">
        <v>2.5295000000000001</v>
      </c>
      <c r="T77" s="49">
        <v>2.5309710000000001</v>
      </c>
      <c r="U77" s="49">
        <v>2.536117</v>
      </c>
      <c r="V77" s="49">
        <v>2.5440339999999999</v>
      </c>
      <c r="W77" s="49">
        <v>2.553331</v>
      </c>
      <c r="X77" s="49">
        <v>2.5625979999999999</v>
      </c>
      <c r="Y77" s="49">
        <v>2.571348</v>
      </c>
      <c r="Z77" s="49">
        <v>2.5790220000000001</v>
      </c>
      <c r="AA77" s="49">
        <v>2.5899839999999998</v>
      </c>
      <c r="AB77" s="49">
        <v>2.6017070000000002</v>
      </c>
      <c r="AC77" s="49">
        <v>2.6103890000000001</v>
      </c>
      <c r="AD77" s="49">
        <v>2.6206119999999999</v>
      </c>
      <c r="AE77" s="49">
        <v>2.6388850000000001</v>
      </c>
      <c r="AF77" s="50">
        <v>-2.7569999999999999E-3</v>
      </c>
      <c r="AG77" s="21"/>
    </row>
    <row r="78" spans="1:33" ht="15" customHeight="1">
      <c r="A78" s="39" t="s">
        <v>19</v>
      </c>
      <c r="B78" s="48" t="s">
        <v>18</v>
      </c>
      <c r="C78" s="49">
        <v>2.0781000000000001E-2</v>
      </c>
      <c r="D78" s="49">
        <v>2.1562999999999999E-2</v>
      </c>
      <c r="E78" s="49">
        <v>2.2024999999999999E-2</v>
      </c>
      <c r="F78" s="49">
        <v>2.2339999999999999E-2</v>
      </c>
      <c r="G78" s="49">
        <v>2.2668000000000001E-2</v>
      </c>
      <c r="H78" s="49">
        <v>2.2984000000000001E-2</v>
      </c>
      <c r="I78" s="49">
        <v>2.3251000000000001E-2</v>
      </c>
      <c r="J78" s="49">
        <v>2.3522999999999999E-2</v>
      </c>
      <c r="K78" s="49">
        <v>2.3733000000000001E-2</v>
      </c>
      <c r="L78" s="49">
        <v>2.3945000000000001E-2</v>
      </c>
      <c r="M78" s="49">
        <v>2.4201E-2</v>
      </c>
      <c r="N78" s="49">
        <v>2.4479000000000001E-2</v>
      </c>
      <c r="O78" s="49">
        <v>2.4782999999999999E-2</v>
      </c>
      <c r="P78" s="49">
        <v>2.5045000000000001E-2</v>
      </c>
      <c r="Q78" s="49">
        <v>2.5298000000000001E-2</v>
      </c>
      <c r="R78" s="49">
        <v>2.5541999999999999E-2</v>
      </c>
      <c r="S78" s="49">
        <v>2.5795999999999999E-2</v>
      </c>
      <c r="T78" s="49">
        <v>2.6044000000000001E-2</v>
      </c>
      <c r="U78" s="49">
        <v>2.6325000000000001E-2</v>
      </c>
      <c r="V78" s="49">
        <v>2.6587E-2</v>
      </c>
      <c r="W78" s="49">
        <v>2.6858E-2</v>
      </c>
      <c r="X78" s="49">
        <v>2.7097E-2</v>
      </c>
      <c r="Y78" s="49">
        <v>2.7361E-2</v>
      </c>
      <c r="Z78" s="49">
        <v>2.7622000000000001E-2</v>
      </c>
      <c r="AA78" s="49">
        <v>2.7976999999999998E-2</v>
      </c>
      <c r="AB78" s="49">
        <v>2.8278000000000001E-2</v>
      </c>
      <c r="AC78" s="49">
        <v>2.8604999999999998E-2</v>
      </c>
      <c r="AD78" s="49">
        <v>2.8906000000000001E-2</v>
      </c>
      <c r="AE78" s="49">
        <v>2.9270000000000001E-2</v>
      </c>
      <c r="AF78" s="50">
        <v>1.2307999999999999E-2</v>
      </c>
      <c r="AG78" s="21"/>
    </row>
    <row r="79" spans="1:33" ht="15" customHeight="1">
      <c r="A79" s="39" t="s">
        <v>17</v>
      </c>
      <c r="B79" s="48" t="s">
        <v>16</v>
      </c>
      <c r="C79" s="49">
        <v>0.22834699999999999</v>
      </c>
      <c r="D79" s="49">
        <v>0.22523399999999999</v>
      </c>
      <c r="E79" s="49">
        <v>0.234373</v>
      </c>
      <c r="F79" s="49">
        <v>0.228717</v>
      </c>
      <c r="G79" s="49">
        <v>0.21906</v>
      </c>
      <c r="H79" s="49">
        <v>0.21154500000000001</v>
      </c>
      <c r="I79" s="49">
        <v>0.208541</v>
      </c>
      <c r="J79" s="49">
        <v>0.21080599999999999</v>
      </c>
      <c r="K79" s="49">
        <v>0.209559</v>
      </c>
      <c r="L79" s="49">
        <v>0.21027599999999999</v>
      </c>
      <c r="M79" s="49">
        <v>0.21217800000000001</v>
      </c>
      <c r="N79" s="49">
        <v>0.21369199999999999</v>
      </c>
      <c r="O79" s="49">
        <v>0.21465000000000001</v>
      </c>
      <c r="P79" s="49">
        <v>0.21598899999999999</v>
      </c>
      <c r="Q79" s="49">
        <v>0.216165</v>
      </c>
      <c r="R79" s="49">
        <v>0.216616</v>
      </c>
      <c r="S79" s="49">
        <v>0.21728</v>
      </c>
      <c r="T79" s="49">
        <v>0.21695600000000001</v>
      </c>
      <c r="U79" s="49">
        <v>0.217194</v>
      </c>
      <c r="V79" s="49">
        <v>0.218865</v>
      </c>
      <c r="W79" s="49">
        <v>0.22023400000000001</v>
      </c>
      <c r="X79" s="49">
        <v>0.220387</v>
      </c>
      <c r="Y79" s="49">
        <v>0.22037000000000001</v>
      </c>
      <c r="Z79" s="49">
        <v>0.22028300000000001</v>
      </c>
      <c r="AA79" s="49">
        <v>0.220747</v>
      </c>
      <c r="AB79" s="49">
        <v>0.22186600000000001</v>
      </c>
      <c r="AC79" s="49">
        <v>0.223355</v>
      </c>
      <c r="AD79" s="49">
        <v>0.223935</v>
      </c>
      <c r="AE79" s="49">
        <v>0.225407</v>
      </c>
      <c r="AF79" s="50">
        <v>-4.6299999999999998E-4</v>
      </c>
      <c r="AG79" s="21"/>
    </row>
    <row r="80" spans="1:33">
      <c r="A80" s="39" t="s">
        <v>15</v>
      </c>
      <c r="B80" s="48" t="s">
        <v>14</v>
      </c>
      <c r="C80" s="49">
        <v>4.6526999999999999E-2</v>
      </c>
      <c r="D80" s="49">
        <v>4.6852999999999999E-2</v>
      </c>
      <c r="E80" s="49">
        <v>4.6469999999999997E-2</v>
      </c>
      <c r="F80" s="49">
        <v>4.6109999999999998E-2</v>
      </c>
      <c r="G80" s="49">
        <v>4.5796000000000003E-2</v>
      </c>
      <c r="H80" s="49">
        <v>4.5385000000000002E-2</v>
      </c>
      <c r="I80" s="49">
        <v>4.4983000000000002E-2</v>
      </c>
      <c r="J80" s="49">
        <v>4.4476000000000002E-2</v>
      </c>
      <c r="K80" s="49">
        <v>4.4019999999999997E-2</v>
      </c>
      <c r="L80" s="49">
        <v>4.36E-2</v>
      </c>
      <c r="M80" s="49">
        <v>4.3305999999999997E-2</v>
      </c>
      <c r="N80" s="49">
        <v>4.2963000000000001E-2</v>
      </c>
      <c r="O80" s="49">
        <v>4.2617000000000002E-2</v>
      </c>
      <c r="P80" s="49">
        <v>4.2256000000000002E-2</v>
      </c>
      <c r="Q80" s="49">
        <v>4.1862999999999997E-2</v>
      </c>
      <c r="R80" s="49">
        <v>4.1524999999999999E-2</v>
      </c>
      <c r="S80" s="49">
        <v>4.1158E-2</v>
      </c>
      <c r="T80" s="49">
        <v>4.0840000000000001E-2</v>
      </c>
      <c r="U80" s="49">
        <v>4.0518999999999999E-2</v>
      </c>
      <c r="V80" s="49">
        <v>4.0222000000000001E-2</v>
      </c>
      <c r="W80" s="49">
        <v>3.9949999999999999E-2</v>
      </c>
      <c r="X80" s="49">
        <v>3.9681000000000001E-2</v>
      </c>
      <c r="Y80" s="49">
        <v>3.9394999999999999E-2</v>
      </c>
      <c r="Z80" s="49">
        <v>3.9070000000000001E-2</v>
      </c>
      <c r="AA80" s="49">
        <v>3.8804999999999999E-2</v>
      </c>
      <c r="AB80" s="49">
        <v>3.8517000000000003E-2</v>
      </c>
      <c r="AC80" s="49">
        <v>3.8196000000000001E-2</v>
      </c>
      <c r="AD80" s="49">
        <v>3.7919000000000001E-2</v>
      </c>
      <c r="AE80" s="49">
        <v>3.7732000000000002E-2</v>
      </c>
      <c r="AF80" s="50">
        <v>-7.4549999999999998E-3</v>
      </c>
      <c r="AG80" s="21"/>
    </row>
    <row r="81" spans="1:34" ht="15" customHeight="1">
      <c r="A81" s="39" t="s">
        <v>13</v>
      </c>
      <c r="B81" s="48" t="s">
        <v>12</v>
      </c>
      <c r="C81" s="49">
        <v>0.41703200000000001</v>
      </c>
      <c r="D81" s="49">
        <v>0.39771000000000001</v>
      </c>
      <c r="E81" s="49">
        <v>0.396229</v>
      </c>
      <c r="F81" s="49">
        <v>0.39661299999999999</v>
      </c>
      <c r="G81" s="49">
        <v>0.39397500000000002</v>
      </c>
      <c r="H81" s="49">
        <v>0.39299699999999999</v>
      </c>
      <c r="I81" s="49">
        <v>0.39095600000000003</v>
      </c>
      <c r="J81" s="49">
        <v>0.38970900000000003</v>
      </c>
      <c r="K81" s="49">
        <v>0.388847</v>
      </c>
      <c r="L81" s="49">
        <v>0.389075</v>
      </c>
      <c r="M81" s="49">
        <v>0.38924700000000001</v>
      </c>
      <c r="N81" s="49">
        <v>0.38950699999999999</v>
      </c>
      <c r="O81" s="49">
        <v>0.38948100000000002</v>
      </c>
      <c r="P81" s="49">
        <v>0.38969799999999999</v>
      </c>
      <c r="Q81" s="49">
        <v>0.38950499999999999</v>
      </c>
      <c r="R81" s="49">
        <v>0.389575</v>
      </c>
      <c r="S81" s="49">
        <v>0.38963399999999998</v>
      </c>
      <c r="T81" s="49">
        <v>0.38958100000000001</v>
      </c>
      <c r="U81" s="49">
        <v>0.38959700000000003</v>
      </c>
      <c r="V81" s="49">
        <v>0.38967000000000002</v>
      </c>
      <c r="W81" s="49">
        <v>0.38991700000000001</v>
      </c>
      <c r="X81" s="49">
        <v>0.38996900000000001</v>
      </c>
      <c r="Y81" s="49">
        <v>0.39011299999999999</v>
      </c>
      <c r="Z81" s="49">
        <v>0.39017800000000002</v>
      </c>
      <c r="AA81" s="49">
        <v>0.391183</v>
      </c>
      <c r="AB81" s="49">
        <v>0.391349</v>
      </c>
      <c r="AC81" s="49">
        <v>0.39100600000000002</v>
      </c>
      <c r="AD81" s="49">
        <v>0.39079999999999998</v>
      </c>
      <c r="AE81" s="49">
        <v>0.39048899999999998</v>
      </c>
      <c r="AF81" s="50">
        <v>-2.346E-3</v>
      </c>
      <c r="AG81" s="21"/>
    </row>
    <row r="82" spans="1:34">
      <c r="A82" s="39" t="s">
        <v>11</v>
      </c>
      <c r="B82" s="48" t="s">
        <v>10</v>
      </c>
      <c r="C82" s="49">
        <v>0.11000600000000001</v>
      </c>
      <c r="D82" s="49">
        <v>0.108038</v>
      </c>
      <c r="E82" s="49">
        <v>0.106242</v>
      </c>
      <c r="F82" s="49">
        <v>0.105144</v>
      </c>
      <c r="G82" s="49">
        <v>0.104667</v>
      </c>
      <c r="H82" s="49">
        <v>0.104195</v>
      </c>
      <c r="I82" s="49">
        <v>0.103587</v>
      </c>
      <c r="J82" s="49">
        <v>0.102784</v>
      </c>
      <c r="K82" s="49">
        <v>0.101827</v>
      </c>
      <c r="L82" s="49">
        <v>0.100913</v>
      </c>
      <c r="M82" s="49">
        <v>0.10027899999999999</v>
      </c>
      <c r="N82" s="49">
        <v>9.9837999999999996E-2</v>
      </c>
      <c r="O82" s="49">
        <v>9.9408999999999997E-2</v>
      </c>
      <c r="P82" s="49">
        <v>9.9009E-2</v>
      </c>
      <c r="Q82" s="49">
        <v>9.8730999999999999E-2</v>
      </c>
      <c r="R82" s="49">
        <v>9.8563999999999999E-2</v>
      </c>
      <c r="S82" s="49">
        <v>9.8387000000000002E-2</v>
      </c>
      <c r="T82" s="49">
        <v>9.8209000000000005E-2</v>
      </c>
      <c r="U82" s="49">
        <v>9.8181000000000004E-2</v>
      </c>
      <c r="V82" s="49">
        <v>9.8125000000000004E-2</v>
      </c>
      <c r="W82" s="49">
        <v>9.8048999999999997E-2</v>
      </c>
      <c r="X82" s="49">
        <v>9.7971000000000003E-2</v>
      </c>
      <c r="Y82" s="49">
        <v>9.7849000000000005E-2</v>
      </c>
      <c r="Z82" s="49">
        <v>9.7695000000000004E-2</v>
      </c>
      <c r="AA82" s="49">
        <v>9.7552E-2</v>
      </c>
      <c r="AB82" s="49">
        <v>9.7448000000000007E-2</v>
      </c>
      <c r="AC82" s="49">
        <v>9.7337000000000007E-2</v>
      </c>
      <c r="AD82" s="49">
        <v>9.7211000000000006E-2</v>
      </c>
      <c r="AE82" s="49">
        <v>9.7187999999999997E-2</v>
      </c>
      <c r="AF82" s="50">
        <v>-4.4149999999999997E-3</v>
      </c>
      <c r="AG82" s="21"/>
      <c r="AH82" s="9"/>
    </row>
    <row r="83" spans="1:34" ht="15" customHeight="1">
      <c r="A83" s="39" t="s">
        <v>9</v>
      </c>
      <c r="B83" s="48" t="s">
        <v>8</v>
      </c>
      <c r="C83" s="49">
        <v>1.355634</v>
      </c>
      <c r="D83" s="49">
        <v>1.4548650000000001</v>
      </c>
      <c r="E83" s="49">
        <v>1.475662</v>
      </c>
      <c r="F83" s="49">
        <v>1.4785189999999999</v>
      </c>
      <c r="G83" s="49">
        <v>1.497263</v>
      </c>
      <c r="H83" s="49">
        <v>1.5157860000000001</v>
      </c>
      <c r="I83" s="49">
        <v>1.5304420000000001</v>
      </c>
      <c r="J83" s="49">
        <v>1.541344</v>
      </c>
      <c r="K83" s="49">
        <v>1.5489949999999999</v>
      </c>
      <c r="L83" s="49">
        <v>1.556654</v>
      </c>
      <c r="M83" s="49">
        <v>1.568811</v>
      </c>
      <c r="N83" s="49">
        <v>1.5816239999999999</v>
      </c>
      <c r="O83" s="49">
        <v>1.593202</v>
      </c>
      <c r="P83" s="49">
        <v>1.606986</v>
      </c>
      <c r="Q83" s="49">
        <v>1.624819</v>
      </c>
      <c r="R83" s="49">
        <v>1.6461159999999999</v>
      </c>
      <c r="S83" s="49">
        <v>1.668479</v>
      </c>
      <c r="T83" s="49">
        <v>1.6918280000000001</v>
      </c>
      <c r="U83" s="49">
        <v>1.7189650000000001</v>
      </c>
      <c r="V83" s="49">
        <v>1.7449429999999999</v>
      </c>
      <c r="W83" s="49">
        <v>1.7713730000000001</v>
      </c>
      <c r="X83" s="49">
        <v>1.798206</v>
      </c>
      <c r="Y83" s="49">
        <v>1.82497</v>
      </c>
      <c r="Z83" s="49">
        <v>1.851021</v>
      </c>
      <c r="AA83" s="49">
        <v>1.876398</v>
      </c>
      <c r="AB83" s="49">
        <v>1.9036059999999999</v>
      </c>
      <c r="AC83" s="49">
        <v>1.9310860000000001</v>
      </c>
      <c r="AD83" s="49">
        <v>1.95817</v>
      </c>
      <c r="AE83" s="49">
        <v>1.988375</v>
      </c>
      <c r="AF83" s="50">
        <v>1.3774E-2</v>
      </c>
      <c r="AG83" s="21"/>
      <c r="AH83" s="9"/>
    </row>
    <row r="84" spans="1:34" ht="15" customHeight="1">
      <c r="A84" s="39" t="s">
        <v>7</v>
      </c>
      <c r="B84" s="48" t="s">
        <v>6</v>
      </c>
      <c r="C84" s="49">
        <v>0.20732500000000001</v>
      </c>
      <c r="D84" s="49">
        <v>0.20843100000000001</v>
      </c>
      <c r="E84" s="49">
        <v>0.20882999999999999</v>
      </c>
      <c r="F84" s="49">
        <v>0.209148</v>
      </c>
      <c r="G84" s="49">
        <v>0.209402</v>
      </c>
      <c r="H84" s="49">
        <v>0.20977399999999999</v>
      </c>
      <c r="I84" s="49">
        <v>0.21004500000000001</v>
      </c>
      <c r="J84" s="49">
        <v>0.210259</v>
      </c>
      <c r="K84" s="49">
        <v>0.21044299999999999</v>
      </c>
      <c r="L84" s="49">
        <v>0.21056</v>
      </c>
      <c r="M84" s="49">
        <v>0.21064099999999999</v>
      </c>
      <c r="N84" s="49">
        <v>0.21068000000000001</v>
      </c>
      <c r="O84" s="49">
        <v>0.210697</v>
      </c>
      <c r="P84" s="49">
        <v>0.210706</v>
      </c>
      <c r="Q84" s="49">
        <v>0.21076600000000001</v>
      </c>
      <c r="R84" s="49">
        <v>0.21086199999999999</v>
      </c>
      <c r="S84" s="49">
        <v>0.21096400000000001</v>
      </c>
      <c r="T84" s="49">
        <v>0.21106900000000001</v>
      </c>
      <c r="U84" s="49">
        <v>0.21117900000000001</v>
      </c>
      <c r="V84" s="49">
        <v>0.21129200000000001</v>
      </c>
      <c r="W84" s="49">
        <v>0.21140900000000001</v>
      </c>
      <c r="X84" s="49">
        <v>0.21152899999999999</v>
      </c>
      <c r="Y84" s="49">
        <v>0.21165200000000001</v>
      </c>
      <c r="Z84" s="49">
        <v>0.21177699999999999</v>
      </c>
      <c r="AA84" s="49">
        <v>0.21190600000000001</v>
      </c>
      <c r="AB84" s="49">
        <v>0.212036</v>
      </c>
      <c r="AC84" s="49">
        <v>0.21216699999999999</v>
      </c>
      <c r="AD84" s="49">
        <v>0.21229999999999999</v>
      </c>
      <c r="AE84" s="49">
        <v>0.21243699999999999</v>
      </c>
      <c r="AF84" s="50">
        <v>8.7000000000000001E-4</v>
      </c>
      <c r="AG84" s="21"/>
      <c r="AH84" s="9"/>
    </row>
    <row r="85" spans="1:34" ht="15" customHeight="1">
      <c r="A85" s="39" t="s">
        <v>5</v>
      </c>
      <c r="B85" s="48" t="s">
        <v>4</v>
      </c>
      <c r="C85" s="49">
        <v>5.9492000000000003E-2</v>
      </c>
      <c r="D85" s="49">
        <v>5.9483000000000001E-2</v>
      </c>
      <c r="E85" s="49">
        <v>5.9524000000000001E-2</v>
      </c>
      <c r="F85" s="49">
        <v>5.9541999999999998E-2</v>
      </c>
      <c r="G85" s="49">
        <v>5.9572E-2</v>
      </c>
      <c r="H85" s="49">
        <v>5.9511000000000001E-2</v>
      </c>
      <c r="I85" s="49">
        <v>5.9449000000000002E-2</v>
      </c>
      <c r="J85" s="49">
        <v>5.9402999999999997E-2</v>
      </c>
      <c r="K85" s="49">
        <v>5.9353999999999997E-2</v>
      </c>
      <c r="L85" s="49">
        <v>5.9304000000000003E-2</v>
      </c>
      <c r="M85" s="49">
        <v>5.9253E-2</v>
      </c>
      <c r="N85" s="49">
        <v>5.9201999999999998E-2</v>
      </c>
      <c r="O85" s="49">
        <v>5.9164000000000001E-2</v>
      </c>
      <c r="P85" s="49">
        <v>5.9152000000000003E-2</v>
      </c>
      <c r="Q85" s="49">
        <v>5.9166000000000003E-2</v>
      </c>
      <c r="R85" s="49">
        <v>5.9195999999999999E-2</v>
      </c>
      <c r="S85" s="49">
        <v>5.9240000000000001E-2</v>
      </c>
      <c r="T85" s="49">
        <v>5.9295E-2</v>
      </c>
      <c r="U85" s="49">
        <v>5.9360999999999997E-2</v>
      </c>
      <c r="V85" s="49">
        <v>5.9422000000000003E-2</v>
      </c>
      <c r="W85" s="49">
        <v>5.9483000000000001E-2</v>
      </c>
      <c r="X85" s="49">
        <v>5.9540000000000003E-2</v>
      </c>
      <c r="Y85" s="49">
        <v>5.9596999999999997E-2</v>
      </c>
      <c r="Z85" s="49">
        <v>5.9669E-2</v>
      </c>
      <c r="AA85" s="49">
        <v>5.9750999999999999E-2</v>
      </c>
      <c r="AB85" s="49">
        <v>5.9830000000000001E-2</v>
      </c>
      <c r="AC85" s="49">
        <v>5.9901000000000003E-2</v>
      </c>
      <c r="AD85" s="49">
        <v>5.9977999999999997E-2</v>
      </c>
      <c r="AE85" s="49">
        <v>6.0066000000000001E-2</v>
      </c>
      <c r="AF85" s="50">
        <v>3.4200000000000002E-4</v>
      </c>
      <c r="AG85" s="21"/>
      <c r="AH85" s="9"/>
    </row>
    <row r="86" spans="1:34" ht="15" customHeight="1">
      <c r="A86" s="39" t="s">
        <v>3</v>
      </c>
      <c r="B86" s="48" t="s">
        <v>140</v>
      </c>
      <c r="C86" s="49">
        <v>0.427838</v>
      </c>
      <c r="D86" s="49">
        <v>0.38759700000000002</v>
      </c>
      <c r="E86" s="49">
        <v>0.35946299999999998</v>
      </c>
      <c r="F86" s="49">
        <v>0.34329399999999999</v>
      </c>
      <c r="G86" s="49">
        <v>0.32869599999999999</v>
      </c>
      <c r="H86" s="49">
        <v>0.308921</v>
      </c>
      <c r="I86" s="49">
        <v>0.28999900000000001</v>
      </c>
      <c r="J86" s="49">
        <v>0.28910400000000003</v>
      </c>
      <c r="K86" s="49">
        <v>0.28829300000000002</v>
      </c>
      <c r="L86" s="49">
        <v>0.28903899999999999</v>
      </c>
      <c r="M86" s="49">
        <v>0.29181099999999999</v>
      </c>
      <c r="N86" s="49">
        <v>0.29583599999999999</v>
      </c>
      <c r="O86" s="49">
        <v>0.29795300000000002</v>
      </c>
      <c r="P86" s="49">
        <v>0.29923300000000003</v>
      </c>
      <c r="Q86" s="49">
        <v>0.29948200000000003</v>
      </c>
      <c r="R86" s="49">
        <v>0.29899300000000001</v>
      </c>
      <c r="S86" s="49">
        <v>0.30129</v>
      </c>
      <c r="T86" s="49">
        <v>0.30074099999999998</v>
      </c>
      <c r="U86" s="49">
        <v>0.305058</v>
      </c>
      <c r="V86" s="49">
        <v>0.30818499999999999</v>
      </c>
      <c r="W86" s="49">
        <v>0.31089600000000001</v>
      </c>
      <c r="X86" s="49">
        <v>0.31223099999999998</v>
      </c>
      <c r="Y86" s="49">
        <v>0.314168</v>
      </c>
      <c r="Z86" s="49">
        <v>0.31610899999999997</v>
      </c>
      <c r="AA86" s="49">
        <v>0.31862699999999999</v>
      </c>
      <c r="AB86" s="49">
        <v>0.322218</v>
      </c>
      <c r="AC86" s="49">
        <v>0.32569199999999998</v>
      </c>
      <c r="AD86" s="49">
        <v>0.326822</v>
      </c>
      <c r="AE86" s="49">
        <v>0.32913399999999998</v>
      </c>
      <c r="AF86" s="50">
        <v>-9.3229999999999997E-3</v>
      </c>
      <c r="AG86" s="21"/>
      <c r="AH86" s="9"/>
    </row>
    <row r="87" spans="1:34" ht="15" customHeight="1">
      <c r="A87" s="39" t="s">
        <v>1034</v>
      </c>
      <c r="B87" s="48" t="s">
        <v>1033</v>
      </c>
      <c r="C87" s="49">
        <v>0.15707299999999999</v>
      </c>
      <c r="D87" s="49">
        <v>0.17854100000000001</v>
      </c>
      <c r="E87" s="49">
        <v>0.181391</v>
      </c>
      <c r="F87" s="49">
        <v>0.19309499999999999</v>
      </c>
      <c r="G87" s="49">
        <v>0.21079899999999999</v>
      </c>
      <c r="H87" s="49">
        <v>0.22539999999999999</v>
      </c>
      <c r="I87" s="49">
        <v>0.23788899999999999</v>
      </c>
      <c r="J87" s="49">
        <v>0.24920700000000001</v>
      </c>
      <c r="K87" s="49">
        <v>0.27301300000000001</v>
      </c>
      <c r="L87" s="49">
        <v>0.29681999999999997</v>
      </c>
      <c r="M87" s="49">
        <v>0.32121100000000002</v>
      </c>
      <c r="N87" s="49">
        <v>0.34443299999999999</v>
      </c>
      <c r="O87" s="49">
        <v>0.36427100000000001</v>
      </c>
      <c r="P87" s="49">
        <v>0.37617400000000001</v>
      </c>
      <c r="Q87" s="49">
        <v>0.38469500000000001</v>
      </c>
      <c r="R87" s="49">
        <v>0.39204499999999998</v>
      </c>
      <c r="S87" s="49">
        <v>0.396013</v>
      </c>
      <c r="T87" s="49">
        <v>0.396013</v>
      </c>
      <c r="U87" s="49">
        <v>0.39659800000000001</v>
      </c>
      <c r="V87" s="49">
        <v>0.396013</v>
      </c>
      <c r="W87" s="49">
        <v>0.396013</v>
      </c>
      <c r="X87" s="49">
        <v>0.396013</v>
      </c>
      <c r="Y87" s="49">
        <v>0.39659800000000001</v>
      </c>
      <c r="Z87" s="49">
        <v>0.396013</v>
      </c>
      <c r="AA87" s="49">
        <v>0.396013</v>
      </c>
      <c r="AB87" s="49">
        <v>0.396013</v>
      </c>
      <c r="AC87" s="49">
        <v>0.39659800000000001</v>
      </c>
      <c r="AD87" s="49">
        <v>0.396013</v>
      </c>
      <c r="AE87" s="49">
        <v>0.396013</v>
      </c>
      <c r="AF87" s="50">
        <v>3.3577999999999997E-2</v>
      </c>
      <c r="AG87" s="21"/>
      <c r="AH87" s="9"/>
    </row>
    <row r="88" spans="1:34" ht="15" customHeight="1">
      <c r="A88" s="39" t="s">
        <v>2</v>
      </c>
      <c r="B88" s="47" t="s">
        <v>1</v>
      </c>
      <c r="C88" s="51">
        <v>14.370443</v>
      </c>
      <c r="D88" s="51">
        <v>14.403465000000001</v>
      </c>
      <c r="E88" s="51">
        <v>14.271711</v>
      </c>
      <c r="F88" s="51">
        <v>14.108815</v>
      </c>
      <c r="G88" s="51">
        <v>13.997396</v>
      </c>
      <c r="H88" s="51">
        <v>13.890337000000001</v>
      </c>
      <c r="I88" s="51">
        <v>13.767988000000001</v>
      </c>
      <c r="J88" s="51">
        <v>13.645885</v>
      </c>
      <c r="K88" s="51">
        <v>13.520163999999999</v>
      </c>
      <c r="L88" s="51">
        <v>13.411051</v>
      </c>
      <c r="M88" s="51">
        <v>13.323045</v>
      </c>
      <c r="N88" s="51">
        <v>13.25902</v>
      </c>
      <c r="O88" s="51">
        <v>13.203858</v>
      </c>
      <c r="P88" s="51">
        <v>13.147519000000001</v>
      </c>
      <c r="Q88" s="51">
        <v>13.087383000000001</v>
      </c>
      <c r="R88" s="51">
        <v>13.048246000000001</v>
      </c>
      <c r="S88" s="51">
        <v>13.022289000000001</v>
      </c>
      <c r="T88" s="51">
        <v>12.995312</v>
      </c>
      <c r="U88" s="51">
        <v>12.996620999999999</v>
      </c>
      <c r="V88" s="51">
        <v>13.0055</v>
      </c>
      <c r="W88" s="51">
        <v>13.025238999999999</v>
      </c>
      <c r="X88" s="51">
        <v>13.049395000000001</v>
      </c>
      <c r="Y88" s="51">
        <v>13.085273000000001</v>
      </c>
      <c r="Z88" s="51">
        <v>13.128707</v>
      </c>
      <c r="AA88" s="51">
        <v>13.191739999999999</v>
      </c>
      <c r="AB88" s="51">
        <v>13.269163000000001</v>
      </c>
      <c r="AC88" s="51">
        <v>13.350009</v>
      </c>
      <c r="AD88" s="51">
        <v>13.432016000000001</v>
      </c>
      <c r="AE88" s="51">
        <v>13.539635000000001</v>
      </c>
      <c r="AF88" s="52">
        <v>-2.1250000000000002E-3</v>
      </c>
      <c r="AG88" s="21"/>
      <c r="AH88" s="9"/>
    </row>
    <row r="89" spans="1:34" ht="15" customHeight="1" thickBot="1">
      <c r="A89" s="9"/>
      <c r="B89" s="21"/>
      <c r="C89" s="21"/>
      <c r="D89" s="21"/>
      <c r="E89" s="21"/>
      <c r="F89" s="21"/>
      <c r="G89" s="21"/>
      <c r="H89" s="21"/>
      <c r="I89" s="21"/>
      <c r="J89" s="21"/>
      <c r="K89" s="21"/>
      <c r="L89" s="21"/>
      <c r="M89" s="21"/>
      <c r="N89" s="21"/>
      <c r="O89" s="21"/>
      <c r="P89" s="21"/>
      <c r="Q89" s="21"/>
      <c r="R89" s="21"/>
      <c r="S89" s="21"/>
      <c r="T89" s="21"/>
      <c r="U89" s="21"/>
      <c r="V89" s="21"/>
      <c r="W89" s="21"/>
      <c r="X89" s="21"/>
      <c r="Y89" s="21"/>
      <c r="Z89" s="21"/>
      <c r="AA89" s="21"/>
      <c r="AB89" s="21"/>
      <c r="AC89" s="21"/>
      <c r="AD89" s="21"/>
      <c r="AE89" s="21"/>
      <c r="AF89" s="21"/>
      <c r="AG89" s="21"/>
      <c r="AH89" s="9"/>
    </row>
    <row r="90" spans="1:34" ht="15" customHeight="1">
      <c r="A90" s="9"/>
      <c r="B90" s="80" t="s">
        <v>1035</v>
      </c>
      <c r="C90" s="36"/>
      <c r="D90" s="36"/>
      <c r="E90" s="36"/>
      <c r="F90" s="36"/>
      <c r="G90" s="36"/>
      <c r="H90" s="36"/>
      <c r="I90" s="36"/>
      <c r="J90" s="36"/>
      <c r="K90" s="36"/>
      <c r="L90" s="36"/>
      <c r="M90" s="36"/>
      <c r="N90" s="36"/>
      <c r="O90" s="36"/>
      <c r="P90" s="36"/>
      <c r="Q90" s="36"/>
      <c r="R90" s="36"/>
      <c r="S90" s="36"/>
      <c r="T90" s="36"/>
      <c r="U90" s="36"/>
      <c r="V90" s="36"/>
      <c r="W90" s="36"/>
      <c r="X90" s="36"/>
      <c r="Y90" s="36"/>
      <c r="Z90" s="36"/>
      <c r="AA90" s="36"/>
      <c r="AB90" s="36"/>
      <c r="AC90" s="36"/>
      <c r="AD90" s="36"/>
      <c r="AE90" s="36"/>
      <c r="AF90" s="36"/>
      <c r="AG90" s="36"/>
      <c r="AH90" s="36"/>
    </row>
    <row r="91" spans="1:34" ht="15" customHeight="1">
      <c r="A91" s="9"/>
      <c r="B91" s="21" t="s">
        <v>152</v>
      </c>
      <c r="C91" s="21"/>
      <c r="D91" s="21"/>
      <c r="E91" s="21"/>
      <c r="F91" s="21"/>
      <c r="G91" s="21"/>
      <c r="H91" s="21"/>
      <c r="I91" s="21"/>
      <c r="J91" s="21"/>
      <c r="K91" s="21"/>
      <c r="L91" s="21"/>
      <c r="M91" s="21"/>
      <c r="N91" s="21"/>
      <c r="O91" s="21"/>
      <c r="P91" s="21"/>
      <c r="Q91" s="21"/>
      <c r="R91" s="21"/>
      <c r="S91" s="21"/>
      <c r="T91" s="21"/>
      <c r="U91" s="21"/>
      <c r="V91" s="21"/>
      <c r="W91" s="21"/>
      <c r="X91" s="21"/>
      <c r="Y91" s="21"/>
      <c r="Z91" s="21"/>
      <c r="AA91" s="21"/>
      <c r="AB91" s="21"/>
      <c r="AC91" s="21"/>
      <c r="AD91" s="21"/>
      <c r="AE91" s="21"/>
      <c r="AF91" s="21"/>
      <c r="AG91" s="21"/>
      <c r="AH91" s="9"/>
    </row>
    <row r="92" spans="1:34" ht="15" customHeight="1">
      <c r="A92" s="9"/>
      <c r="B92" s="21" t="s">
        <v>153</v>
      </c>
      <c r="C92" s="21"/>
      <c r="D92" s="21"/>
      <c r="E92" s="21"/>
      <c r="F92" s="21"/>
      <c r="G92" s="21"/>
      <c r="H92" s="21"/>
      <c r="I92" s="21"/>
      <c r="J92" s="21"/>
      <c r="K92" s="21"/>
      <c r="L92" s="21"/>
      <c r="M92" s="21"/>
      <c r="N92" s="21"/>
      <c r="O92" s="21"/>
      <c r="P92" s="21"/>
      <c r="Q92" s="21"/>
      <c r="R92" s="21"/>
      <c r="S92" s="21"/>
      <c r="T92" s="21"/>
      <c r="U92" s="21"/>
      <c r="V92" s="21"/>
      <c r="W92" s="21"/>
      <c r="X92" s="21"/>
      <c r="Y92" s="21"/>
      <c r="Z92" s="21"/>
      <c r="AA92" s="21"/>
      <c r="AB92" s="21"/>
      <c r="AC92" s="21"/>
      <c r="AD92" s="21"/>
      <c r="AE92" s="21"/>
      <c r="AF92" s="21"/>
      <c r="AG92" s="21"/>
      <c r="AH92" s="9"/>
    </row>
    <row r="93" spans="1:34">
      <c r="A93" s="9"/>
      <c r="B93" s="21" t="s">
        <v>1036</v>
      </c>
      <c r="C93" s="21"/>
      <c r="D93" s="21"/>
      <c r="E93" s="21"/>
      <c r="F93" s="21"/>
      <c r="G93" s="21"/>
      <c r="H93" s="21"/>
      <c r="I93" s="21"/>
      <c r="J93" s="21"/>
      <c r="K93" s="21"/>
      <c r="L93" s="21"/>
      <c r="M93" s="21"/>
      <c r="N93" s="21"/>
      <c r="O93" s="21"/>
      <c r="P93" s="21"/>
      <c r="Q93" s="21"/>
      <c r="R93" s="21"/>
      <c r="S93" s="21"/>
      <c r="T93" s="21"/>
      <c r="U93" s="21"/>
      <c r="V93" s="21"/>
      <c r="W93" s="21"/>
      <c r="X93" s="21"/>
      <c r="Y93" s="21"/>
      <c r="Z93" s="21"/>
      <c r="AA93" s="21"/>
      <c r="AB93" s="21"/>
      <c r="AC93" s="21"/>
      <c r="AD93" s="21"/>
      <c r="AE93" s="21"/>
      <c r="AF93" s="21"/>
      <c r="AG93" s="21"/>
      <c r="AH93" s="9"/>
    </row>
    <row r="94" spans="1:34" ht="15" customHeight="1">
      <c r="A94" s="9"/>
      <c r="B94" s="21" t="s">
        <v>154</v>
      </c>
      <c r="C94" s="21"/>
      <c r="D94" s="21"/>
      <c r="E94" s="21"/>
      <c r="F94" s="21"/>
      <c r="G94" s="21"/>
      <c r="H94" s="21"/>
      <c r="I94" s="21"/>
      <c r="J94" s="21"/>
      <c r="K94" s="21"/>
      <c r="L94" s="21"/>
      <c r="M94" s="21"/>
      <c r="N94" s="21"/>
      <c r="O94" s="21"/>
      <c r="P94" s="21"/>
      <c r="Q94" s="21"/>
      <c r="R94" s="21"/>
      <c r="S94" s="21"/>
      <c r="T94" s="21"/>
      <c r="U94" s="21"/>
      <c r="V94" s="21"/>
      <c r="W94" s="21"/>
      <c r="X94" s="21"/>
      <c r="Y94" s="21"/>
      <c r="Z94" s="21"/>
      <c r="AA94" s="21"/>
      <c r="AB94" s="21"/>
      <c r="AC94" s="21"/>
      <c r="AD94" s="21"/>
      <c r="AE94" s="21"/>
      <c r="AF94" s="21"/>
      <c r="AG94" s="21"/>
      <c r="AH94" s="9"/>
    </row>
    <row r="95" spans="1:34" ht="15" customHeight="1">
      <c r="A95" s="9"/>
      <c r="B95" s="21" t="s">
        <v>155</v>
      </c>
      <c r="C95" s="21"/>
      <c r="D95" s="21"/>
      <c r="E95" s="21"/>
      <c r="F95" s="21"/>
      <c r="G95" s="21"/>
      <c r="H95" s="21"/>
      <c r="I95" s="21"/>
      <c r="J95" s="21"/>
      <c r="K95" s="21"/>
      <c r="L95" s="21"/>
      <c r="M95" s="21"/>
      <c r="N95" s="21"/>
      <c r="O95" s="21"/>
      <c r="P95" s="21"/>
      <c r="Q95" s="21"/>
      <c r="R95" s="21"/>
      <c r="S95" s="21"/>
      <c r="T95" s="21"/>
      <c r="U95" s="21"/>
      <c r="V95" s="21"/>
      <c r="W95" s="21"/>
      <c r="X95" s="21"/>
      <c r="Y95" s="21"/>
      <c r="Z95" s="21"/>
      <c r="AA95" s="21"/>
      <c r="AB95" s="21"/>
      <c r="AC95" s="21"/>
      <c r="AD95" s="21"/>
      <c r="AE95" s="21"/>
      <c r="AF95" s="21"/>
      <c r="AG95" s="21"/>
      <c r="AH95" s="9"/>
    </row>
    <row r="96" spans="1:34" ht="15" customHeight="1">
      <c r="A96" s="9"/>
      <c r="B96" s="21" t="s">
        <v>1037</v>
      </c>
      <c r="C96" s="21"/>
      <c r="D96" s="21"/>
      <c r="E96" s="21"/>
      <c r="F96" s="21"/>
      <c r="G96" s="21"/>
      <c r="H96" s="21"/>
      <c r="I96" s="21"/>
      <c r="J96" s="21"/>
      <c r="K96" s="21"/>
      <c r="L96" s="21"/>
      <c r="M96" s="21"/>
      <c r="N96" s="21"/>
      <c r="O96" s="21"/>
      <c r="P96" s="21"/>
      <c r="Q96" s="21"/>
      <c r="R96" s="21"/>
      <c r="S96" s="21"/>
      <c r="T96" s="21"/>
      <c r="U96" s="21"/>
      <c r="V96" s="21"/>
      <c r="W96" s="21"/>
      <c r="X96" s="21"/>
      <c r="Y96" s="21"/>
      <c r="Z96" s="21"/>
      <c r="AA96" s="21"/>
      <c r="AB96" s="21"/>
      <c r="AC96" s="21"/>
      <c r="AD96" s="21"/>
      <c r="AE96" s="21"/>
      <c r="AF96" s="21"/>
      <c r="AG96" s="21"/>
      <c r="AH96" s="9"/>
    </row>
    <row r="97" spans="1:34" ht="15" customHeight="1">
      <c r="A97" s="9"/>
      <c r="B97" s="21" t="s">
        <v>156</v>
      </c>
      <c r="C97" s="21"/>
      <c r="D97" s="21"/>
      <c r="E97" s="21"/>
      <c r="F97" s="21"/>
      <c r="G97" s="21"/>
      <c r="H97" s="21"/>
      <c r="I97" s="21"/>
      <c r="J97" s="21"/>
      <c r="K97" s="21"/>
      <c r="L97" s="21"/>
      <c r="M97" s="21"/>
      <c r="N97" s="21"/>
      <c r="O97" s="21"/>
      <c r="P97" s="21"/>
      <c r="Q97" s="21"/>
      <c r="R97" s="21"/>
      <c r="S97" s="21"/>
      <c r="T97" s="21"/>
      <c r="U97" s="21"/>
      <c r="V97" s="21"/>
      <c r="W97" s="21"/>
      <c r="X97" s="21"/>
      <c r="Y97" s="21"/>
      <c r="Z97" s="21"/>
      <c r="AA97" s="21"/>
      <c r="AB97" s="21"/>
      <c r="AC97" s="21"/>
      <c r="AD97" s="21"/>
      <c r="AE97" s="21"/>
      <c r="AF97" s="21"/>
      <c r="AG97" s="21"/>
      <c r="AH97" s="9"/>
    </row>
    <row r="98" spans="1:34" ht="15" customHeight="1">
      <c r="B98" s="21" t="s">
        <v>157</v>
      </c>
      <c r="C98" s="21"/>
      <c r="D98" s="21"/>
      <c r="E98" s="21"/>
      <c r="F98" s="21"/>
      <c r="G98" s="21"/>
      <c r="H98" s="21"/>
      <c r="I98" s="21"/>
      <c r="J98" s="21"/>
      <c r="K98" s="21"/>
      <c r="L98" s="21"/>
      <c r="M98" s="21"/>
      <c r="N98" s="21"/>
      <c r="O98" s="21"/>
      <c r="P98" s="21"/>
      <c r="Q98" s="21"/>
      <c r="R98" s="21"/>
      <c r="S98" s="21"/>
      <c r="T98" s="21"/>
      <c r="U98" s="21"/>
      <c r="V98" s="21"/>
      <c r="W98" s="21"/>
      <c r="X98" s="21"/>
      <c r="Y98" s="21"/>
      <c r="Z98" s="21"/>
      <c r="AA98" s="21"/>
      <c r="AB98" s="21"/>
      <c r="AC98" s="21"/>
      <c r="AD98" s="21"/>
      <c r="AE98" s="21"/>
      <c r="AF98" s="21"/>
      <c r="AG98" s="21"/>
    </row>
    <row r="99" spans="1:34" ht="15" customHeight="1">
      <c r="B99" s="21" t="s">
        <v>158</v>
      </c>
      <c r="C99" s="21"/>
      <c r="D99" s="21"/>
      <c r="E99" s="21"/>
      <c r="F99" s="21"/>
      <c r="G99" s="21"/>
      <c r="H99" s="21"/>
      <c r="I99" s="21"/>
      <c r="J99" s="21"/>
      <c r="K99" s="21"/>
      <c r="L99" s="21"/>
      <c r="M99" s="21"/>
      <c r="N99" s="21"/>
      <c r="O99" s="21"/>
      <c r="P99" s="21"/>
      <c r="Q99" s="21"/>
      <c r="R99" s="21"/>
      <c r="S99" s="21"/>
      <c r="T99" s="21"/>
      <c r="U99" s="21"/>
      <c r="V99" s="21"/>
      <c r="W99" s="21"/>
      <c r="X99" s="21"/>
      <c r="Y99" s="21"/>
      <c r="Z99" s="21"/>
      <c r="AA99" s="21"/>
      <c r="AB99" s="21"/>
      <c r="AC99" s="21"/>
      <c r="AD99" s="21"/>
      <c r="AE99" s="21"/>
      <c r="AF99" s="21"/>
      <c r="AG99" s="21"/>
    </row>
    <row r="100" spans="1:34" ht="15" customHeight="1">
      <c r="B100" s="21" t="s">
        <v>1038</v>
      </c>
      <c r="C100" s="21"/>
      <c r="D100" s="21"/>
      <c r="E100" s="21"/>
      <c r="F100" s="21"/>
      <c r="G100" s="21"/>
      <c r="H100" s="21"/>
      <c r="I100" s="21"/>
      <c r="J100" s="21"/>
      <c r="K100" s="21"/>
      <c r="L100" s="21"/>
      <c r="M100" s="21"/>
      <c r="N100" s="21"/>
      <c r="O100" s="21"/>
      <c r="P100" s="21"/>
      <c r="Q100" s="21"/>
      <c r="R100" s="21"/>
      <c r="S100" s="21"/>
      <c r="T100" s="21"/>
      <c r="U100" s="21"/>
      <c r="V100" s="21"/>
      <c r="W100" s="21"/>
      <c r="X100" s="21"/>
      <c r="Y100" s="21"/>
      <c r="Z100" s="21"/>
      <c r="AA100" s="21"/>
      <c r="AB100" s="21"/>
      <c r="AC100" s="21"/>
      <c r="AD100" s="21"/>
      <c r="AE100" s="21"/>
      <c r="AF100" s="21"/>
      <c r="AG100" s="21"/>
    </row>
    <row r="101" spans="1:34" ht="15" customHeight="1">
      <c r="B101" s="21" t="s">
        <v>1039</v>
      </c>
      <c r="C101" s="21"/>
      <c r="D101" s="21"/>
      <c r="E101" s="21"/>
      <c r="F101" s="21"/>
      <c r="G101" s="21"/>
      <c r="H101" s="21"/>
      <c r="I101" s="21"/>
      <c r="J101" s="21"/>
      <c r="K101" s="21"/>
      <c r="L101" s="21"/>
      <c r="M101" s="21"/>
      <c r="N101" s="21"/>
      <c r="O101" s="21"/>
      <c r="P101" s="21"/>
      <c r="Q101" s="21"/>
      <c r="R101" s="21"/>
      <c r="S101" s="21"/>
      <c r="T101" s="21"/>
      <c r="U101" s="21"/>
      <c r="V101" s="21"/>
      <c r="W101" s="21"/>
      <c r="X101" s="21"/>
      <c r="Y101" s="21"/>
      <c r="Z101" s="21"/>
      <c r="AA101" s="21"/>
      <c r="AB101" s="21"/>
      <c r="AC101" s="21"/>
      <c r="AD101" s="21"/>
      <c r="AE101" s="21"/>
      <c r="AF101" s="21"/>
      <c r="AG101" s="21"/>
    </row>
    <row r="102" spans="1:34">
      <c r="B102" s="21"/>
      <c r="C102" s="21"/>
      <c r="D102" s="21"/>
      <c r="E102" s="21"/>
      <c r="F102" s="21"/>
      <c r="G102" s="21"/>
      <c r="H102" s="21"/>
      <c r="I102" s="21"/>
      <c r="J102" s="21"/>
      <c r="K102" s="21"/>
      <c r="L102" s="21"/>
      <c r="M102" s="21"/>
      <c r="N102" s="21"/>
      <c r="O102" s="21"/>
      <c r="P102" s="21"/>
      <c r="Q102" s="21"/>
      <c r="R102" s="21"/>
      <c r="S102" s="21"/>
      <c r="T102" s="21"/>
      <c r="U102" s="21"/>
      <c r="V102" s="21"/>
      <c r="W102" s="21"/>
      <c r="X102" s="21"/>
      <c r="Y102" s="21"/>
      <c r="Z102" s="21"/>
      <c r="AA102" s="21"/>
      <c r="AB102" s="21"/>
      <c r="AC102" s="21"/>
      <c r="AD102" s="21"/>
      <c r="AE102" s="21"/>
      <c r="AF102" s="21"/>
      <c r="AG102" s="21"/>
    </row>
    <row r="103" spans="1:34">
      <c r="B103" s="21"/>
      <c r="C103" s="21"/>
      <c r="D103" s="21"/>
      <c r="E103" s="21"/>
      <c r="F103" s="21"/>
      <c r="G103" s="21"/>
      <c r="H103" s="21"/>
      <c r="I103" s="21"/>
      <c r="J103" s="21"/>
      <c r="K103" s="21"/>
      <c r="L103" s="21"/>
      <c r="M103" s="21"/>
      <c r="N103" s="21"/>
      <c r="O103" s="21"/>
      <c r="P103" s="21"/>
      <c r="Q103" s="21"/>
      <c r="R103" s="21"/>
      <c r="S103" s="21"/>
      <c r="T103" s="21"/>
      <c r="U103" s="21"/>
      <c r="V103" s="21"/>
      <c r="W103" s="21"/>
      <c r="X103" s="21"/>
      <c r="Y103" s="21"/>
      <c r="Z103" s="21"/>
      <c r="AA103" s="21"/>
      <c r="AB103" s="21"/>
      <c r="AC103" s="21"/>
      <c r="AD103" s="21"/>
      <c r="AE103" s="21"/>
      <c r="AF103" s="21"/>
      <c r="AG103" s="21"/>
    </row>
    <row r="104" spans="1:34" ht="15" customHeight="1">
      <c r="B104" s="21"/>
      <c r="C104" s="21"/>
      <c r="D104" s="21"/>
      <c r="E104" s="21"/>
      <c r="F104" s="21"/>
      <c r="G104" s="21"/>
      <c r="H104" s="21"/>
      <c r="I104" s="21"/>
      <c r="J104" s="21"/>
      <c r="K104" s="21"/>
      <c r="L104" s="21"/>
      <c r="M104" s="21"/>
      <c r="N104" s="21"/>
      <c r="O104" s="21"/>
      <c r="P104" s="21"/>
      <c r="Q104" s="21"/>
      <c r="R104" s="21"/>
      <c r="S104" s="21"/>
      <c r="T104" s="21"/>
      <c r="U104" s="21"/>
      <c r="V104" s="21"/>
      <c r="W104" s="21"/>
      <c r="X104" s="21"/>
      <c r="Y104" s="21"/>
      <c r="Z104" s="21"/>
      <c r="AA104" s="21"/>
      <c r="AB104" s="21"/>
      <c r="AC104" s="21"/>
      <c r="AD104" s="21"/>
      <c r="AE104" s="21"/>
      <c r="AF104" s="21"/>
      <c r="AG104" s="21"/>
    </row>
    <row r="105" spans="1:34" ht="15" customHeight="1">
      <c r="B105" s="21"/>
      <c r="C105" s="21"/>
      <c r="D105" s="21"/>
      <c r="E105" s="21"/>
      <c r="F105" s="21"/>
      <c r="G105" s="21"/>
      <c r="H105" s="21"/>
      <c r="I105" s="21"/>
      <c r="J105" s="21"/>
      <c r="K105" s="21"/>
      <c r="L105" s="21"/>
      <c r="M105" s="21"/>
      <c r="N105" s="21"/>
      <c r="O105" s="21"/>
      <c r="P105" s="21"/>
      <c r="Q105" s="21"/>
      <c r="R105" s="21"/>
      <c r="S105" s="21"/>
      <c r="T105" s="21"/>
      <c r="U105" s="21"/>
      <c r="V105" s="21"/>
      <c r="W105" s="21"/>
      <c r="X105" s="21"/>
      <c r="Y105" s="21"/>
      <c r="Z105" s="21"/>
      <c r="AA105" s="21"/>
      <c r="AB105" s="21"/>
      <c r="AC105" s="21"/>
      <c r="AD105" s="21"/>
      <c r="AE105" s="21"/>
      <c r="AF105" s="21"/>
      <c r="AG105" s="21"/>
    </row>
    <row r="106" spans="1:34" ht="15" customHeight="1">
      <c r="B106" s="21"/>
      <c r="C106" s="21"/>
      <c r="D106" s="21"/>
      <c r="E106" s="21"/>
      <c r="F106" s="21"/>
      <c r="G106" s="21"/>
      <c r="H106" s="21"/>
      <c r="I106" s="21"/>
      <c r="J106" s="21"/>
      <c r="K106" s="21"/>
      <c r="L106" s="21"/>
      <c r="M106" s="21"/>
      <c r="N106" s="21"/>
      <c r="O106" s="21"/>
      <c r="P106" s="21"/>
      <c r="Q106" s="21"/>
      <c r="R106" s="21"/>
      <c r="S106" s="21"/>
      <c r="T106" s="21"/>
      <c r="U106" s="21"/>
      <c r="V106" s="21"/>
      <c r="W106" s="21"/>
      <c r="X106" s="21"/>
      <c r="Y106" s="21"/>
      <c r="Z106" s="21"/>
      <c r="AA106" s="21"/>
      <c r="AB106" s="21"/>
      <c r="AC106" s="21"/>
      <c r="AD106" s="21"/>
      <c r="AE106" s="21"/>
      <c r="AF106" s="21"/>
      <c r="AG106" s="21"/>
    </row>
    <row r="107" spans="1:34" ht="15" customHeight="1">
      <c r="B107" s="21"/>
      <c r="C107" s="21"/>
      <c r="D107" s="21"/>
      <c r="E107" s="21"/>
      <c r="F107" s="21"/>
      <c r="G107" s="21"/>
      <c r="H107" s="21"/>
      <c r="I107" s="21"/>
      <c r="J107" s="21"/>
      <c r="K107" s="21"/>
      <c r="L107" s="21"/>
      <c r="M107" s="21"/>
      <c r="N107" s="21"/>
      <c r="O107" s="21"/>
      <c r="P107" s="21"/>
      <c r="Q107" s="21"/>
      <c r="R107" s="21"/>
      <c r="S107" s="21"/>
      <c r="T107" s="21"/>
      <c r="U107" s="21"/>
      <c r="V107" s="21"/>
      <c r="W107" s="21"/>
      <c r="X107" s="21"/>
      <c r="Y107" s="21"/>
      <c r="Z107" s="21"/>
      <c r="AA107" s="21"/>
      <c r="AB107" s="21"/>
      <c r="AC107" s="21"/>
      <c r="AD107" s="21"/>
      <c r="AE107" s="21"/>
      <c r="AF107" s="21"/>
      <c r="AG107" s="21"/>
    </row>
    <row r="108" spans="1:34" ht="15" customHeight="1">
      <c r="B108" s="21"/>
      <c r="C108" s="21"/>
      <c r="D108" s="21"/>
      <c r="E108" s="21"/>
      <c r="F108" s="21"/>
      <c r="G108" s="21"/>
      <c r="H108" s="21"/>
      <c r="I108" s="21"/>
      <c r="J108" s="21"/>
      <c r="K108" s="21"/>
      <c r="L108" s="21"/>
      <c r="M108" s="21"/>
      <c r="N108" s="21"/>
      <c r="O108" s="21"/>
      <c r="P108" s="21"/>
      <c r="Q108" s="21"/>
      <c r="R108" s="21"/>
      <c r="S108" s="21"/>
      <c r="T108" s="21"/>
      <c r="U108" s="21"/>
      <c r="V108" s="21"/>
      <c r="W108" s="21"/>
      <c r="X108" s="21"/>
      <c r="Y108" s="21"/>
      <c r="Z108" s="21"/>
      <c r="AA108" s="21"/>
      <c r="AB108" s="21"/>
      <c r="AC108" s="21"/>
      <c r="AD108" s="21"/>
      <c r="AE108" s="21"/>
      <c r="AF108" s="21"/>
      <c r="AG108" s="21"/>
    </row>
    <row r="109" spans="1:34" ht="15" customHeight="1">
      <c r="B109" s="21"/>
      <c r="C109" s="21"/>
      <c r="D109" s="21"/>
      <c r="E109" s="21"/>
      <c r="F109" s="21"/>
      <c r="G109" s="21"/>
      <c r="H109" s="21"/>
      <c r="I109" s="21"/>
      <c r="J109" s="21"/>
      <c r="K109" s="21"/>
      <c r="L109" s="21"/>
      <c r="M109" s="21"/>
      <c r="N109" s="21"/>
      <c r="O109" s="21"/>
      <c r="P109" s="21"/>
      <c r="Q109" s="21"/>
      <c r="R109" s="21"/>
      <c r="S109" s="21"/>
      <c r="T109" s="21"/>
      <c r="U109" s="21"/>
      <c r="V109" s="21"/>
      <c r="W109" s="21"/>
      <c r="X109" s="21"/>
      <c r="Y109" s="21"/>
      <c r="Z109" s="21"/>
      <c r="AA109" s="21"/>
      <c r="AB109" s="21"/>
      <c r="AC109" s="21"/>
      <c r="AD109" s="21"/>
      <c r="AE109" s="21"/>
      <c r="AF109" s="21"/>
      <c r="AG109" s="21"/>
    </row>
    <row r="110" spans="1:34" ht="15" customHeight="1">
      <c r="B110" s="21"/>
      <c r="C110" s="21"/>
      <c r="D110" s="21"/>
      <c r="E110" s="21"/>
      <c r="F110" s="21"/>
      <c r="G110" s="21"/>
      <c r="H110" s="21"/>
      <c r="I110" s="21"/>
      <c r="J110" s="21"/>
      <c r="K110" s="21"/>
      <c r="L110" s="21"/>
      <c r="M110" s="21"/>
      <c r="N110" s="21"/>
      <c r="O110" s="21"/>
      <c r="P110" s="21"/>
      <c r="Q110" s="21"/>
      <c r="R110" s="21"/>
      <c r="S110" s="21"/>
      <c r="T110" s="21"/>
      <c r="U110" s="21"/>
      <c r="V110" s="21"/>
      <c r="W110" s="21"/>
      <c r="X110" s="21"/>
      <c r="Y110" s="21"/>
      <c r="Z110" s="21"/>
      <c r="AA110" s="21"/>
      <c r="AB110" s="21"/>
      <c r="AC110" s="21"/>
      <c r="AD110" s="21"/>
      <c r="AE110" s="21"/>
      <c r="AF110" s="21"/>
      <c r="AG110" s="21"/>
    </row>
    <row r="111" spans="1:34" ht="15" customHeight="1">
      <c r="B111" s="21"/>
      <c r="C111" s="21"/>
      <c r="D111" s="21"/>
      <c r="E111" s="21"/>
      <c r="F111" s="21"/>
      <c r="G111" s="21"/>
      <c r="H111" s="21"/>
      <c r="I111" s="21"/>
      <c r="J111" s="21"/>
      <c r="K111" s="21"/>
      <c r="L111" s="21"/>
      <c r="M111" s="21"/>
      <c r="N111" s="21"/>
      <c r="O111" s="21"/>
      <c r="P111" s="21"/>
      <c r="Q111" s="21"/>
      <c r="R111" s="21"/>
      <c r="S111" s="21"/>
      <c r="T111" s="21"/>
      <c r="U111" s="21"/>
      <c r="V111" s="21"/>
      <c r="W111" s="21"/>
      <c r="X111" s="21"/>
      <c r="Y111" s="21"/>
      <c r="Z111" s="21"/>
      <c r="AA111" s="21"/>
      <c r="AB111" s="21"/>
      <c r="AC111" s="21"/>
      <c r="AD111" s="21"/>
      <c r="AE111" s="21"/>
      <c r="AF111" s="21"/>
      <c r="AG111" s="21"/>
    </row>
    <row r="112" spans="1:34" ht="15" customHeight="1">
      <c r="B112" s="21"/>
      <c r="C112" s="21"/>
      <c r="D112" s="21"/>
      <c r="E112" s="21"/>
      <c r="F112" s="21"/>
      <c r="G112" s="21"/>
      <c r="H112" s="21"/>
      <c r="I112" s="21"/>
      <c r="J112" s="21"/>
      <c r="K112" s="21"/>
      <c r="L112" s="21"/>
      <c r="M112" s="21"/>
      <c r="N112" s="21"/>
      <c r="O112" s="21"/>
      <c r="P112" s="21"/>
      <c r="Q112" s="21"/>
      <c r="R112" s="21"/>
      <c r="S112" s="21"/>
      <c r="T112" s="21"/>
      <c r="U112" s="21"/>
      <c r="V112" s="21"/>
      <c r="W112" s="21"/>
      <c r="X112" s="21"/>
      <c r="Y112" s="21"/>
      <c r="Z112" s="21"/>
      <c r="AA112" s="21"/>
      <c r="AB112" s="21"/>
      <c r="AC112" s="21"/>
      <c r="AD112" s="21"/>
      <c r="AE112" s="21"/>
      <c r="AF112" s="21"/>
      <c r="AG112" s="21"/>
    </row>
    <row r="113" spans="2:33" ht="15" customHeight="1">
      <c r="B113" s="21"/>
      <c r="C113" s="21"/>
      <c r="D113" s="21"/>
      <c r="E113" s="21"/>
      <c r="F113" s="21"/>
      <c r="G113" s="21"/>
      <c r="H113" s="21"/>
      <c r="I113" s="21"/>
      <c r="J113" s="21"/>
      <c r="K113" s="21"/>
      <c r="L113" s="21"/>
      <c r="M113" s="21"/>
      <c r="N113" s="21"/>
      <c r="O113" s="21"/>
      <c r="P113" s="21"/>
      <c r="Q113" s="21"/>
      <c r="R113" s="21"/>
      <c r="S113" s="21"/>
      <c r="T113" s="21"/>
      <c r="U113" s="21"/>
      <c r="V113" s="21"/>
      <c r="W113" s="21"/>
      <c r="X113" s="21"/>
      <c r="Y113" s="21"/>
      <c r="Z113" s="21"/>
      <c r="AA113" s="21"/>
      <c r="AB113" s="21"/>
      <c r="AC113" s="21"/>
      <c r="AD113" s="21"/>
      <c r="AE113" s="21"/>
      <c r="AF113" s="21"/>
      <c r="AG113" s="21"/>
    </row>
    <row r="114" spans="2:33" ht="15" customHeight="1">
      <c r="B114" s="21"/>
      <c r="C114" s="21"/>
      <c r="D114" s="21"/>
      <c r="E114" s="21"/>
      <c r="F114" s="21"/>
      <c r="G114" s="21"/>
      <c r="H114" s="21"/>
      <c r="I114" s="21"/>
      <c r="J114" s="21"/>
      <c r="K114" s="21"/>
      <c r="L114" s="21"/>
      <c r="M114" s="21"/>
      <c r="N114" s="21"/>
      <c r="O114" s="21"/>
      <c r="P114" s="21"/>
      <c r="Q114" s="21"/>
      <c r="R114" s="21"/>
      <c r="S114" s="21"/>
      <c r="T114" s="21"/>
      <c r="U114" s="21"/>
      <c r="V114" s="21"/>
      <c r="W114" s="21"/>
      <c r="X114" s="21"/>
      <c r="Y114" s="21"/>
      <c r="Z114" s="21"/>
      <c r="AA114" s="21"/>
      <c r="AB114" s="21"/>
      <c r="AC114" s="21"/>
      <c r="AD114" s="21"/>
      <c r="AE114" s="21"/>
      <c r="AF114" s="21"/>
      <c r="AG114" s="21"/>
    </row>
    <row r="115" spans="2:33" ht="15" customHeight="1">
      <c r="B115" s="21"/>
      <c r="C115" s="21"/>
      <c r="D115" s="21"/>
      <c r="E115" s="21"/>
      <c r="F115" s="21"/>
      <c r="G115" s="21"/>
      <c r="H115" s="21"/>
      <c r="I115" s="21"/>
      <c r="J115" s="21"/>
      <c r="K115" s="21"/>
      <c r="L115" s="21"/>
      <c r="M115" s="21"/>
      <c r="N115" s="21"/>
      <c r="O115" s="21"/>
      <c r="P115" s="21"/>
      <c r="Q115" s="21"/>
      <c r="R115" s="21"/>
      <c r="S115" s="21"/>
      <c r="T115" s="21"/>
      <c r="U115" s="21"/>
      <c r="V115" s="21"/>
      <c r="W115" s="21"/>
      <c r="X115" s="21"/>
      <c r="Y115" s="21"/>
      <c r="Z115" s="21"/>
      <c r="AA115" s="21"/>
      <c r="AB115" s="21"/>
      <c r="AC115" s="21"/>
      <c r="AD115" s="21"/>
      <c r="AE115" s="21"/>
      <c r="AF115" s="21"/>
      <c r="AG115" s="21"/>
    </row>
    <row r="116" spans="2:33" ht="15" customHeight="1">
      <c r="B116" s="21"/>
      <c r="C116" s="21"/>
      <c r="D116" s="21"/>
      <c r="E116" s="21"/>
      <c r="F116" s="21"/>
      <c r="G116" s="21"/>
      <c r="H116" s="21"/>
      <c r="I116" s="21"/>
      <c r="J116" s="21"/>
      <c r="K116" s="21"/>
      <c r="L116" s="21"/>
      <c r="M116" s="21"/>
      <c r="N116" s="21"/>
      <c r="O116" s="21"/>
      <c r="P116" s="21"/>
      <c r="Q116" s="21"/>
      <c r="R116" s="21"/>
      <c r="S116" s="21"/>
      <c r="T116" s="21"/>
      <c r="U116" s="21"/>
      <c r="V116" s="21"/>
      <c r="W116" s="21"/>
      <c r="X116" s="21"/>
      <c r="Y116" s="21"/>
      <c r="Z116" s="21"/>
      <c r="AA116" s="21"/>
      <c r="AB116" s="21"/>
      <c r="AC116" s="21"/>
      <c r="AD116" s="21"/>
      <c r="AE116" s="21"/>
      <c r="AF116" s="21"/>
      <c r="AG116" s="21"/>
    </row>
    <row r="117" spans="2:33" ht="15" customHeight="1">
      <c r="B117" s="21"/>
      <c r="C117" s="21"/>
      <c r="D117" s="21"/>
      <c r="E117" s="21"/>
      <c r="F117" s="21"/>
      <c r="G117" s="21"/>
      <c r="H117" s="21"/>
      <c r="I117" s="21"/>
      <c r="J117" s="21"/>
      <c r="K117" s="21"/>
      <c r="L117" s="21"/>
      <c r="M117" s="21"/>
      <c r="N117" s="21"/>
      <c r="O117" s="21"/>
      <c r="P117" s="21"/>
      <c r="Q117" s="21"/>
      <c r="R117" s="21"/>
      <c r="S117" s="21"/>
      <c r="T117" s="21"/>
      <c r="U117" s="21"/>
      <c r="V117" s="21"/>
      <c r="W117" s="21"/>
      <c r="X117" s="21"/>
      <c r="Y117" s="21"/>
      <c r="Z117" s="21"/>
      <c r="AA117" s="21"/>
      <c r="AB117" s="21"/>
      <c r="AC117" s="21"/>
      <c r="AD117" s="21"/>
      <c r="AE117" s="21"/>
      <c r="AF117" s="21"/>
      <c r="AG117" s="21"/>
    </row>
    <row r="118" spans="2:33" ht="15" customHeight="1">
      <c r="B118" s="21"/>
      <c r="C118" s="21"/>
      <c r="D118" s="21"/>
      <c r="E118" s="21"/>
      <c r="F118" s="21"/>
      <c r="G118" s="21"/>
      <c r="H118" s="21"/>
      <c r="I118" s="21"/>
      <c r="J118" s="21"/>
      <c r="K118" s="21"/>
      <c r="L118" s="21"/>
      <c r="M118" s="21"/>
      <c r="N118" s="21"/>
      <c r="O118" s="21"/>
      <c r="P118" s="21"/>
      <c r="Q118" s="21"/>
      <c r="R118" s="21"/>
      <c r="S118" s="21"/>
      <c r="T118" s="21"/>
      <c r="U118" s="21"/>
      <c r="V118" s="21"/>
      <c r="W118" s="21"/>
      <c r="X118" s="21"/>
      <c r="Y118" s="21"/>
      <c r="Z118" s="21"/>
      <c r="AA118" s="21"/>
      <c r="AB118" s="21"/>
      <c r="AC118" s="21"/>
      <c r="AD118" s="21"/>
      <c r="AE118" s="21"/>
      <c r="AF118" s="21"/>
      <c r="AG118" s="21"/>
    </row>
    <row r="119" spans="2:33" ht="15" customHeight="1">
      <c r="B119" s="21"/>
      <c r="C119" s="21"/>
      <c r="D119" s="21"/>
      <c r="E119" s="21"/>
      <c r="F119" s="21"/>
      <c r="G119" s="21"/>
      <c r="H119" s="21"/>
      <c r="I119" s="21"/>
      <c r="J119" s="21"/>
      <c r="K119" s="21"/>
      <c r="L119" s="21"/>
      <c r="M119" s="21"/>
      <c r="N119" s="21"/>
      <c r="O119" s="21"/>
      <c r="P119" s="21"/>
      <c r="Q119" s="21"/>
      <c r="R119" s="21"/>
      <c r="S119" s="21"/>
      <c r="T119" s="21"/>
      <c r="U119" s="21"/>
      <c r="V119" s="21"/>
      <c r="W119" s="21"/>
      <c r="X119" s="21"/>
      <c r="Y119" s="21"/>
      <c r="Z119" s="21"/>
      <c r="AA119" s="21"/>
      <c r="AB119" s="21"/>
      <c r="AC119" s="21"/>
      <c r="AD119" s="21"/>
      <c r="AE119" s="21"/>
      <c r="AF119" s="21"/>
      <c r="AG119" s="21"/>
    </row>
    <row r="120" spans="2:33" ht="15" customHeight="1">
      <c r="B120" s="21"/>
      <c r="C120" s="21"/>
      <c r="D120" s="21"/>
      <c r="E120" s="21"/>
      <c r="F120" s="21"/>
      <c r="G120" s="21"/>
      <c r="H120" s="21"/>
      <c r="I120" s="21"/>
      <c r="J120" s="21"/>
      <c r="K120" s="21"/>
      <c r="L120" s="21"/>
      <c r="M120" s="21"/>
      <c r="N120" s="21"/>
      <c r="O120" s="21"/>
      <c r="P120" s="21"/>
      <c r="Q120" s="21"/>
      <c r="R120" s="21"/>
      <c r="S120" s="21"/>
      <c r="T120" s="21"/>
      <c r="U120" s="21"/>
      <c r="V120" s="21"/>
      <c r="W120" s="21"/>
      <c r="X120" s="21"/>
      <c r="Y120" s="21"/>
      <c r="Z120" s="21"/>
      <c r="AA120" s="21"/>
      <c r="AB120" s="21"/>
      <c r="AC120" s="21"/>
      <c r="AD120" s="21"/>
      <c r="AE120" s="21"/>
      <c r="AF120" s="21"/>
      <c r="AG120" s="21"/>
    </row>
    <row r="121" spans="2:33" ht="15" customHeight="1">
      <c r="B121" s="21"/>
      <c r="C121" s="21"/>
      <c r="D121" s="21"/>
      <c r="E121" s="21"/>
      <c r="F121" s="21"/>
      <c r="G121" s="21"/>
      <c r="H121" s="21"/>
      <c r="I121" s="21"/>
      <c r="J121" s="21"/>
      <c r="K121" s="21"/>
      <c r="L121" s="21"/>
      <c r="M121" s="21"/>
      <c r="N121" s="21"/>
      <c r="O121" s="21"/>
      <c r="P121" s="21"/>
      <c r="Q121" s="21"/>
      <c r="R121" s="21"/>
      <c r="S121" s="21"/>
      <c r="T121" s="21"/>
      <c r="U121" s="21"/>
      <c r="V121" s="21"/>
      <c r="W121" s="21"/>
      <c r="X121" s="21"/>
      <c r="Y121" s="21"/>
      <c r="Z121" s="21"/>
      <c r="AA121" s="21"/>
      <c r="AB121" s="21"/>
      <c r="AC121" s="21"/>
      <c r="AD121" s="21"/>
      <c r="AE121" s="21"/>
      <c r="AF121" s="21"/>
      <c r="AG121" s="21"/>
    </row>
    <row r="122" spans="2:33" ht="15" customHeight="1">
      <c r="B122" s="21"/>
      <c r="C122" s="21"/>
      <c r="D122" s="21"/>
      <c r="E122" s="21"/>
      <c r="F122" s="21"/>
      <c r="G122" s="21"/>
      <c r="H122" s="21"/>
      <c r="I122" s="21"/>
      <c r="J122" s="21"/>
      <c r="K122" s="21"/>
      <c r="L122" s="21"/>
      <c r="M122" s="21"/>
      <c r="N122" s="21"/>
      <c r="O122" s="21"/>
      <c r="P122" s="21"/>
      <c r="Q122" s="21"/>
      <c r="R122" s="21"/>
      <c r="S122" s="21"/>
      <c r="T122" s="21"/>
      <c r="U122" s="21"/>
      <c r="V122" s="21"/>
      <c r="W122" s="21"/>
      <c r="X122" s="21"/>
      <c r="Y122" s="21"/>
      <c r="Z122" s="21"/>
      <c r="AA122" s="21"/>
      <c r="AB122" s="21"/>
      <c r="AC122" s="21"/>
      <c r="AD122" s="21"/>
      <c r="AE122" s="21"/>
      <c r="AF122" s="21"/>
      <c r="AG122" s="21"/>
    </row>
    <row r="123" spans="2:33" ht="15" customHeight="1">
      <c r="B123" s="21"/>
      <c r="C123" s="21"/>
      <c r="D123" s="21"/>
      <c r="E123" s="21"/>
      <c r="F123" s="21"/>
      <c r="G123" s="21"/>
      <c r="H123" s="21"/>
      <c r="I123" s="21"/>
      <c r="J123" s="21"/>
      <c r="K123" s="21"/>
      <c r="L123" s="21"/>
      <c r="M123" s="21"/>
      <c r="N123" s="21"/>
      <c r="O123" s="21"/>
      <c r="P123" s="21"/>
      <c r="Q123" s="21"/>
      <c r="R123" s="21"/>
      <c r="S123" s="21"/>
      <c r="T123" s="21"/>
      <c r="U123" s="21"/>
      <c r="V123" s="21"/>
      <c r="W123" s="21"/>
      <c r="X123" s="21"/>
      <c r="Y123" s="21"/>
      <c r="Z123" s="21"/>
      <c r="AA123" s="21"/>
      <c r="AB123" s="21"/>
      <c r="AC123" s="21"/>
      <c r="AD123" s="21"/>
      <c r="AE123" s="21"/>
      <c r="AF123" s="21"/>
      <c r="AG123" s="21"/>
    </row>
    <row r="124" spans="2:33" ht="15" customHeight="1">
      <c r="B124" s="21"/>
      <c r="C124" s="21"/>
      <c r="D124" s="21"/>
      <c r="E124" s="21"/>
      <c r="F124" s="21"/>
      <c r="G124" s="21"/>
      <c r="H124" s="21"/>
      <c r="I124" s="21"/>
      <c r="J124" s="21"/>
      <c r="K124" s="21"/>
      <c r="L124" s="21"/>
      <c r="M124" s="21"/>
      <c r="N124" s="21"/>
      <c r="O124" s="21"/>
      <c r="P124" s="21"/>
      <c r="Q124" s="21"/>
      <c r="R124" s="21"/>
      <c r="S124" s="21"/>
      <c r="T124" s="21"/>
      <c r="U124" s="21"/>
      <c r="V124" s="21"/>
      <c r="W124" s="21"/>
      <c r="X124" s="21"/>
      <c r="Y124" s="21"/>
      <c r="Z124" s="21"/>
      <c r="AA124" s="21"/>
      <c r="AB124" s="21"/>
      <c r="AC124" s="21"/>
      <c r="AD124" s="21"/>
      <c r="AE124" s="21"/>
      <c r="AF124" s="21"/>
      <c r="AG124" s="21"/>
    </row>
    <row r="125" spans="2:33" ht="15" customHeight="1">
      <c r="B125" s="21"/>
      <c r="C125" s="21"/>
      <c r="D125" s="21"/>
      <c r="E125" s="21"/>
      <c r="F125" s="21"/>
      <c r="G125" s="21"/>
      <c r="H125" s="21"/>
      <c r="I125" s="21"/>
      <c r="J125" s="21"/>
      <c r="K125" s="21"/>
      <c r="L125" s="21"/>
      <c r="M125" s="21"/>
      <c r="N125" s="21"/>
      <c r="O125" s="21"/>
      <c r="P125" s="21"/>
      <c r="Q125" s="21"/>
      <c r="R125" s="21"/>
      <c r="S125" s="21"/>
      <c r="T125" s="21"/>
      <c r="U125" s="21"/>
      <c r="V125" s="21"/>
      <c r="W125" s="21"/>
      <c r="X125" s="21"/>
      <c r="Y125" s="21"/>
      <c r="Z125" s="21"/>
      <c r="AA125" s="21"/>
      <c r="AB125" s="21"/>
      <c r="AC125" s="21"/>
      <c r="AD125" s="21"/>
      <c r="AE125" s="21"/>
      <c r="AF125" s="21"/>
      <c r="AG125" s="21"/>
    </row>
    <row r="126" spans="2:33" ht="15" customHeight="1">
      <c r="B126" s="21"/>
      <c r="C126" s="21"/>
      <c r="D126" s="21"/>
      <c r="E126" s="21"/>
      <c r="F126" s="21"/>
      <c r="G126" s="21"/>
      <c r="H126" s="21"/>
      <c r="I126" s="21"/>
      <c r="J126" s="21"/>
      <c r="K126" s="21"/>
      <c r="L126" s="21"/>
      <c r="M126" s="21"/>
      <c r="N126" s="21"/>
      <c r="O126" s="21"/>
      <c r="P126" s="21"/>
      <c r="Q126" s="21"/>
      <c r="R126" s="21"/>
      <c r="S126" s="21"/>
      <c r="T126" s="21"/>
      <c r="U126" s="21"/>
      <c r="V126" s="21"/>
      <c r="W126" s="21"/>
      <c r="X126" s="21"/>
      <c r="Y126" s="21"/>
      <c r="Z126" s="21"/>
      <c r="AA126" s="21"/>
      <c r="AB126" s="21"/>
      <c r="AC126" s="21"/>
      <c r="AD126" s="21"/>
      <c r="AE126" s="21"/>
      <c r="AF126" s="21"/>
      <c r="AG126" s="21"/>
    </row>
    <row r="127" spans="2:33" ht="15" customHeight="1">
      <c r="B127" s="21"/>
      <c r="C127" s="21"/>
      <c r="D127" s="21"/>
      <c r="E127" s="21"/>
      <c r="F127" s="21"/>
      <c r="G127" s="21"/>
      <c r="H127" s="21"/>
      <c r="I127" s="21"/>
      <c r="J127" s="21"/>
      <c r="K127" s="21"/>
      <c r="L127" s="21"/>
      <c r="M127" s="21"/>
      <c r="N127" s="21"/>
      <c r="O127" s="21"/>
      <c r="P127" s="21"/>
      <c r="Q127" s="21"/>
      <c r="R127" s="21"/>
      <c r="S127" s="21"/>
      <c r="T127" s="21"/>
      <c r="U127" s="21"/>
      <c r="V127" s="21"/>
      <c r="W127" s="21"/>
      <c r="X127" s="21"/>
      <c r="Y127" s="21"/>
      <c r="Z127" s="21"/>
      <c r="AA127" s="21"/>
      <c r="AB127" s="21"/>
      <c r="AC127" s="21"/>
      <c r="AD127" s="21"/>
      <c r="AE127" s="21"/>
      <c r="AF127" s="21"/>
      <c r="AG127" s="21"/>
    </row>
    <row r="128" spans="2:33" ht="15" customHeight="1">
      <c r="B128" s="21"/>
      <c r="C128" s="21"/>
      <c r="D128" s="21"/>
      <c r="E128" s="21"/>
      <c r="F128" s="21"/>
      <c r="G128" s="21"/>
      <c r="H128" s="21"/>
      <c r="I128" s="21"/>
      <c r="J128" s="21"/>
      <c r="K128" s="21"/>
      <c r="L128" s="21"/>
      <c r="M128" s="21"/>
      <c r="N128" s="21"/>
      <c r="O128" s="21"/>
      <c r="P128" s="21"/>
      <c r="Q128" s="21"/>
      <c r="R128" s="21"/>
      <c r="S128" s="21"/>
      <c r="T128" s="21"/>
      <c r="U128" s="21"/>
      <c r="V128" s="21"/>
      <c r="W128" s="21"/>
      <c r="X128" s="21"/>
      <c r="Y128" s="21"/>
      <c r="Z128" s="21"/>
      <c r="AA128" s="21"/>
      <c r="AB128" s="21"/>
      <c r="AC128" s="21"/>
      <c r="AD128" s="21"/>
      <c r="AE128" s="21"/>
      <c r="AF128" s="21"/>
      <c r="AG128" s="21"/>
    </row>
    <row r="129" spans="2:33" ht="15" customHeight="1">
      <c r="B129" s="21"/>
      <c r="C129" s="21"/>
      <c r="D129" s="21"/>
      <c r="E129" s="21"/>
      <c r="F129" s="21"/>
      <c r="G129" s="21"/>
      <c r="H129" s="21"/>
      <c r="I129" s="21"/>
      <c r="J129" s="21"/>
      <c r="K129" s="21"/>
      <c r="L129" s="21"/>
      <c r="M129" s="21"/>
      <c r="N129" s="21"/>
      <c r="O129" s="21"/>
      <c r="P129" s="21"/>
      <c r="Q129" s="21"/>
      <c r="R129" s="21"/>
      <c r="S129" s="21"/>
      <c r="T129" s="21"/>
      <c r="U129" s="21"/>
      <c r="V129" s="21"/>
      <c r="W129" s="21"/>
      <c r="X129" s="21"/>
      <c r="Y129" s="21"/>
      <c r="Z129" s="21"/>
      <c r="AA129" s="21"/>
      <c r="AB129" s="21"/>
      <c r="AC129" s="21"/>
      <c r="AD129" s="21"/>
      <c r="AE129" s="21"/>
      <c r="AF129" s="21"/>
      <c r="AG129" s="21"/>
    </row>
    <row r="130" spans="2:33" ht="15" customHeight="1">
      <c r="B130" s="21"/>
      <c r="C130" s="21"/>
      <c r="D130" s="21"/>
      <c r="E130" s="21"/>
      <c r="F130" s="21"/>
      <c r="G130" s="21"/>
      <c r="H130" s="21"/>
      <c r="I130" s="21"/>
      <c r="J130" s="21"/>
      <c r="K130" s="21"/>
      <c r="L130" s="21"/>
      <c r="M130" s="21"/>
      <c r="N130" s="21"/>
      <c r="O130" s="21"/>
      <c r="P130" s="21"/>
      <c r="Q130" s="21"/>
      <c r="R130" s="21"/>
      <c r="S130" s="21"/>
      <c r="T130" s="21"/>
      <c r="U130" s="21"/>
      <c r="V130" s="21"/>
      <c r="W130" s="21"/>
      <c r="X130" s="21"/>
      <c r="Y130" s="21"/>
      <c r="Z130" s="21"/>
      <c r="AA130" s="21"/>
      <c r="AB130" s="21"/>
      <c r="AC130" s="21"/>
      <c r="AD130" s="21"/>
      <c r="AE130" s="21"/>
      <c r="AF130" s="21"/>
      <c r="AG130" s="21"/>
    </row>
    <row r="131" spans="2:33" ht="15" customHeight="1">
      <c r="B131" s="21"/>
      <c r="C131" s="21"/>
      <c r="D131" s="21"/>
      <c r="E131" s="21"/>
      <c r="F131" s="21"/>
      <c r="G131" s="21"/>
      <c r="H131" s="21"/>
      <c r="I131" s="21"/>
      <c r="J131" s="21"/>
      <c r="K131" s="21"/>
      <c r="L131" s="21"/>
      <c r="M131" s="21"/>
      <c r="N131" s="21"/>
      <c r="O131" s="21"/>
      <c r="P131" s="21"/>
      <c r="Q131" s="21"/>
      <c r="R131" s="21"/>
      <c r="S131" s="21"/>
      <c r="T131" s="21"/>
      <c r="U131" s="21"/>
      <c r="V131" s="21"/>
      <c r="W131" s="21"/>
      <c r="X131" s="21"/>
      <c r="Y131" s="21"/>
      <c r="Z131" s="21"/>
      <c r="AA131" s="21"/>
      <c r="AB131" s="21"/>
      <c r="AC131" s="21"/>
      <c r="AD131" s="21"/>
      <c r="AE131" s="21"/>
      <c r="AF131" s="21"/>
      <c r="AG131" s="21"/>
    </row>
    <row r="132" spans="2:33" ht="15" customHeight="1">
      <c r="B132" s="21"/>
      <c r="C132" s="21"/>
      <c r="D132" s="21"/>
      <c r="E132" s="21"/>
      <c r="F132" s="21"/>
      <c r="G132" s="21"/>
      <c r="H132" s="21"/>
      <c r="I132" s="21"/>
      <c r="J132" s="21"/>
      <c r="K132" s="21"/>
      <c r="L132" s="21"/>
      <c r="M132" s="21"/>
      <c r="N132" s="21"/>
      <c r="O132" s="21"/>
      <c r="P132" s="21"/>
      <c r="Q132" s="21"/>
      <c r="R132" s="21"/>
      <c r="S132" s="21"/>
      <c r="T132" s="21"/>
      <c r="U132" s="21"/>
      <c r="V132" s="21"/>
      <c r="W132" s="21"/>
      <c r="X132" s="21"/>
      <c r="Y132" s="21"/>
      <c r="Z132" s="21"/>
      <c r="AA132" s="21"/>
      <c r="AB132" s="21"/>
      <c r="AC132" s="21"/>
      <c r="AD132" s="21"/>
      <c r="AE132" s="21"/>
      <c r="AF132" s="21"/>
      <c r="AG132" s="21"/>
    </row>
    <row r="133" spans="2:33" ht="15" customHeight="1">
      <c r="B133" s="21"/>
      <c r="C133" s="21"/>
      <c r="D133" s="21"/>
      <c r="E133" s="21"/>
      <c r="F133" s="21"/>
      <c r="G133" s="21"/>
      <c r="H133" s="21"/>
      <c r="I133" s="21"/>
      <c r="J133" s="21"/>
      <c r="K133" s="21"/>
      <c r="L133" s="21"/>
      <c r="M133" s="21"/>
      <c r="N133" s="21"/>
      <c r="O133" s="21"/>
      <c r="P133" s="21"/>
      <c r="Q133" s="21"/>
      <c r="R133" s="21"/>
      <c r="S133" s="21"/>
      <c r="T133" s="21"/>
      <c r="U133" s="21"/>
      <c r="V133" s="21"/>
      <c r="W133" s="21"/>
      <c r="X133" s="21"/>
      <c r="Y133" s="21"/>
      <c r="Z133" s="21"/>
      <c r="AA133" s="21"/>
      <c r="AB133" s="21"/>
      <c r="AC133" s="21"/>
      <c r="AD133" s="21"/>
      <c r="AE133" s="21"/>
      <c r="AF133" s="21"/>
      <c r="AG133" s="21"/>
    </row>
    <row r="134" spans="2:33" ht="15" customHeight="1">
      <c r="B134" s="21"/>
      <c r="C134" s="21"/>
      <c r="D134" s="21"/>
      <c r="E134" s="21"/>
      <c r="F134" s="21"/>
      <c r="G134" s="21"/>
      <c r="H134" s="21"/>
      <c r="I134" s="21"/>
      <c r="J134" s="21"/>
      <c r="K134" s="21"/>
      <c r="L134" s="21"/>
      <c r="M134" s="21"/>
      <c r="N134" s="21"/>
      <c r="O134" s="21"/>
      <c r="P134" s="21"/>
      <c r="Q134" s="21"/>
      <c r="R134" s="21"/>
      <c r="S134" s="21"/>
      <c r="T134" s="21"/>
      <c r="U134" s="21"/>
      <c r="V134" s="21"/>
      <c r="W134" s="21"/>
      <c r="X134" s="21"/>
      <c r="Y134" s="21"/>
      <c r="Z134" s="21"/>
      <c r="AA134" s="21"/>
      <c r="AB134" s="21"/>
      <c r="AC134" s="21"/>
      <c r="AD134" s="21"/>
      <c r="AE134" s="21"/>
      <c r="AF134" s="21"/>
      <c r="AG134" s="21"/>
    </row>
    <row r="135" spans="2:33" ht="15" customHeight="1">
      <c r="B135" s="21"/>
      <c r="C135" s="21"/>
      <c r="D135" s="21"/>
      <c r="E135" s="21"/>
      <c r="F135" s="21"/>
      <c r="G135" s="21"/>
      <c r="H135" s="21"/>
      <c r="I135" s="21"/>
      <c r="J135" s="21"/>
      <c r="K135" s="21"/>
      <c r="L135" s="21"/>
      <c r="M135" s="21"/>
      <c r="N135" s="21"/>
      <c r="O135" s="21"/>
      <c r="P135" s="21"/>
      <c r="Q135" s="21"/>
      <c r="R135" s="21"/>
      <c r="S135" s="21"/>
      <c r="T135" s="21"/>
      <c r="U135" s="21"/>
      <c r="V135" s="21"/>
      <c r="W135" s="21"/>
      <c r="X135" s="21"/>
      <c r="Y135" s="21"/>
      <c r="Z135" s="21"/>
      <c r="AA135" s="21"/>
      <c r="AB135" s="21"/>
      <c r="AC135" s="21"/>
      <c r="AD135" s="21"/>
      <c r="AE135" s="21"/>
      <c r="AF135" s="21"/>
      <c r="AG135" s="21"/>
    </row>
    <row r="136" spans="2:33" ht="15" customHeight="1">
      <c r="B136" s="21"/>
      <c r="C136" s="21"/>
      <c r="D136" s="21"/>
      <c r="E136" s="21"/>
      <c r="F136" s="21"/>
      <c r="G136" s="21"/>
      <c r="H136" s="21"/>
      <c r="I136" s="21"/>
      <c r="J136" s="21"/>
      <c r="K136" s="21"/>
      <c r="L136" s="21"/>
      <c r="M136" s="21"/>
      <c r="N136" s="21"/>
      <c r="O136" s="21"/>
      <c r="P136" s="21"/>
      <c r="Q136" s="21"/>
      <c r="R136" s="21"/>
      <c r="S136" s="21"/>
      <c r="T136" s="21"/>
      <c r="U136" s="21"/>
      <c r="V136" s="21"/>
      <c r="W136" s="21"/>
      <c r="X136" s="21"/>
      <c r="Y136" s="21"/>
      <c r="Z136" s="21"/>
      <c r="AA136" s="21"/>
      <c r="AB136" s="21"/>
      <c r="AC136" s="21"/>
      <c r="AD136" s="21"/>
      <c r="AE136" s="21"/>
      <c r="AF136" s="21"/>
      <c r="AG136" s="21"/>
    </row>
    <row r="137" spans="2:33" ht="15" customHeight="1">
      <c r="B137" s="21"/>
      <c r="C137" s="21"/>
      <c r="D137" s="21"/>
      <c r="E137" s="21"/>
      <c r="F137" s="21"/>
      <c r="G137" s="21"/>
      <c r="H137" s="21"/>
      <c r="I137" s="21"/>
      <c r="J137" s="21"/>
      <c r="K137" s="21"/>
      <c r="L137" s="21"/>
      <c r="M137" s="21"/>
      <c r="N137" s="21"/>
      <c r="O137" s="21"/>
      <c r="P137" s="21"/>
      <c r="Q137" s="21"/>
      <c r="R137" s="21"/>
      <c r="S137" s="21"/>
      <c r="T137" s="21"/>
      <c r="U137" s="21"/>
      <c r="V137" s="21"/>
      <c r="W137" s="21"/>
      <c r="X137" s="21"/>
      <c r="Y137" s="21"/>
      <c r="Z137" s="21"/>
      <c r="AA137" s="21"/>
      <c r="AB137" s="21"/>
      <c r="AC137" s="21"/>
      <c r="AD137" s="21"/>
      <c r="AE137" s="21"/>
      <c r="AF137" s="21"/>
      <c r="AG137" s="21"/>
    </row>
    <row r="138" spans="2:33" ht="15" customHeight="1">
      <c r="B138" s="21"/>
      <c r="C138" s="21"/>
      <c r="D138" s="21"/>
      <c r="E138" s="21"/>
      <c r="F138" s="21"/>
      <c r="G138" s="21"/>
      <c r="H138" s="21"/>
      <c r="I138" s="21"/>
      <c r="J138" s="21"/>
      <c r="K138" s="21"/>
      <c r="L138" s="21"/>
      <c r="M138" s="21"/>
      <c r="N138" s="21"/>
      <c r="O138" s="21"/>
      <c r="P138" s="21"/>
      <c r="Q138" s="21"/>
      <c r="R138" s="21"/>
      <c r="S138" s="21"/>
      <c r="T138" s="21"/>
      <c r="U138" s="21"/>
      <c r="V138" s="21"/>
      <c r="W138" s="21"/>
      <c r="X138" s="21"/>
      <c r="Y138" s="21"/>
      <c r="Z138" s="21"/>
      <c r="AA138" s="21"/>
      <c r="AB138" s="21"/>
      <c r="AC138" s="21"/>
      <c r="AD138" s="21"/>
      <c r="AE138" s="21"/>
      <c r="AF138" s="21"/>
      <c r="AG138" s="21"/>
    </row>
    <row r="139" spans="2:33" ht="15" customHeight="1">
      <c r="B139" s="21"/>
      <c r="C139" s="21"/>
      <c r="D139" s="21"/>
      <c r="E139" s="21"/>
      <c r="F139" s="21"/>
      <c r="G139" s="21"/>
      <c r="H139" s="21"/>
      <c r="I139" s="21"/>
      <c r="J139" s="21"/>
      <c r="K139" s="21"/>
      <c r="L139" s="21"/>
      <c r="M139" s="21"/>
      <c r="N139" s="21"/>
      <c r="O139" s="21"/>
      <c r="P139" s="21"/>
      <c r="Q139" s="21"/>
      <c r="R139" s="21"/>
      <c r="S139" s="21"/>
      <c r="T139" s="21"/>
      <c r="U139" s="21"/>
      <c r="V139" s="21"/>
      <c r="W139" s="21"/>
      <c r="X139" s="21"/>
      <c r="Y139" s="21"/>
      <c r="Z139" s="21"/>
      <c r="AA139" s="21"/>
      <c r="AB139" s="21"/>
      <c r="AC139" s="21"/>
      <c r="AD139" s="21"/>
      <c r="AE139" s="21"/>
      <c r="AF139" s="21"/>
      <c r="AG139" s="21"/>
    </row>
    <row r="140" spans="2:33" ht="15" customHeight="1">
      <c r="B140" s="21"/>
      <c r="C140" s="21"/>
      <c r="D140" s="21"/>
      <c r="E140" s="21"/>
      <c r="F140" s="21"/>
      <c r="G140" s="21"/>
      <c r="H140" s="21"/>
      <c r="I140" s="21"/>
      <c r="J140" s="21"/>
      <c r="K140" s="21"/>
      <c r="L140" s="21"/>
      <c r="M140" s="21"/>
      <c r="N140" s="21"/>
      <c r="O140" s="21"/>
      <c r="P140" s="21"/>
      <c r="Q140" s="21"/>
      <c r="R140" s="21"/>
      <c r="S140" s="21"/>
      <c r="T140" s="21"/>
      <c r="U140" s="21"/>
      <c r="V140" s="21"/>
      <c r="W140" s="21"/>
      <c r="X140" s="21"/>
      <c r="Y140" s="21"/>
      <c r="Z140" s="21"/>
      <c r="AA140" s="21"/>
      <c r="AB140" s="21"/>
      <c r="AC140" s="21"/>
      <c r="AD140" s="21"/>
      <c r="AE140" s="21"/>
      <c r="AF140" s="21"/>
      <c r="AG140" s="21"/>
    </row>
    <row r="141" spans="2:33" ht="15" customHeight="1">
      <c r="B141" s="21"/>
      <c r="C141" s="21"/>
      <c r="D141" s="21"/>
      <c r="E141" s="21"/>
      <c r="F141" s="21"/>
      <c r="G141" s="21"/>
      <c r="H141" s="21"/>
      <c r="I141" s="21"/>
      <c r="J141" s="21"/>
      <c r="K141" s="21"/>
      <c r="L141" s="21"/>
      <c r="M141" s="21"/>
      <c r="N141" s="21"/>
      <c r="O141" s="21"/>
      <c r="P141" s="21"/>
      <c r="Q141" s="21"/>
      <c r="R141" s="21"/>
      <c r="S141" s="21"/>
      <c r="T141" s="21"/>
      <c r="U141" s="21"/>
      <c r="V141" s="21"/>
      <c r="W141" s="21"/>
      <c r="X141" s="21"/>
      <c r="Y141" s="21"/>
      <c r="Z141" s="21"/>
      <c r="AA141" s="21"/>
      <c r="AB141" s="21"/>
      <c r="AC141" s="21"/>
      <c r="AD141" s="21"/>
      <c r="AE141" s="21"/>
      <c r="AF141" s="21"/>
      <c r="AG141" s="21"/>
    </row>
    <row r="142" spans="2:33">
      <c r="B142" s="21"/>
      <c r="C142" s="21"/>
      <c r="D142" s="21"/>
      <c r="E142" s="21"/>
      <c r="F142" s="21"/>
      <c r="G142" s="21"/>
      <c r="H142" s="21"/>
      <c r="I142" s="21"/>
      <c r="J142" s="21"/>
      <c r="K142" s="21"/>
      <c r="L142" s="21"/>
      <c r="M142" s="21"/>
      <c r="N142" s="21"/>
      <c r="O142" s="21"/>
      <c r="P142" s="21"/>
      <c r="Q142" s="21"/>
      <c r="R142" s="21"/>
      <c r="S142" s="21"/>
      <c r="T142" s="21"/>
      <c r="U142" s="21"/>
      <c r="V142" s="21"/>
      <c r="W142" s="21"/>
      <c r="X142" s="21"/>
      <c r="Y142" s="21"/>
      <c r="Z142" s="21"/>
      <c r="AA142" s="21"/>
      <c r="AB142" s="21"/>
      <c r="AC142" s="21"/>
      <c r="AD142" s="21"/>
      <c r="AE142" s="21"/>
      <c r="AF142" s="21"/>
      <c r="AG142" s="21"/>
    </row>
    <row r="143" spans="2:33">
      <c r="B143" s="21"/>
      <c r="C143" s="21"/>
      <c r="D143" s="21"/>
      <c r="E143" s="21"/>
      <c r="F143" s="21"/>
      <c r="G143" s="21"/>
      <c r="H143" s="21"/>
      <c r="I143" s="21"/>
      <c r="J143" s="21"/>
      <c r="K143" s="21"/>
      <c r="L143" s="21"/>
      <c r="M143" s="21"/>
      <c r="N143" s="21"/>
      <c r="O143" s="21"/>
      <c r="P143" s="21"/>
      <c r="Q143" s="21"/>
      <c r="R143" s="21"/>
      <c r="S143" s="21"/>
      <c r="T143" s="21"/>
      <c r="U143" s="21"/>
      <c r="V143" s="21"/>
      <c r="W143" s="21"/>
      <c r="X143" s="21"/>
      <c r="Y143" s="21"/>
      <c r="Z143" s="21"/>
      <c r="AA143" s="21"/>
      <c r="AB143" s="21"/>
      <c r="AC143" s="21"/>
      <c r="AD143" s="21"/>
      <c r="AE143" s="21"/>
      <c r="AF143" s="21"/>
      <c r="AG143" s="21"/>
    </row>
    <row r="144" spans="2:33">
      <c r="B144" s="21"/>
      <c r="C144" s="21"/>
      <c r="D144" s="21"/>
      <c r="E144" s="21"/>
      <c r="F144" s="21"/>
      <c r="G144" s="21"/>
      <c r="H144" s="21"/>
      <c r="I144" s="21"/>
      <c r="J144" s="21"/>
      <c r="K144" s="21"/>
      <c r="L144" s="21"/>
      <c r="M144" s="21"/>
      <c r="N144" s="21"/>
      <c r="O144" s="21"/>
      <c r="P144" s="21"/>
      <c r="Q144" s="21"/>
      <c r="R144" s="21"/>
      <c r="S144" s="21"/>
      <c r="T144" s="21"/>
      <c r="U144" s="21"/>
      <c r="V144" s="21"/>
      <c r="W144" s="21"/>
      <c r="X144" s="21"/>
      <c r="Y144" s="21"/>
      <c r="Z144" s="21"/>
      <c r="AA144" s="21"/>
      <c r="AB144" s="21"/>
      <c r="AC144" s="21"/>
      <c r="AD144" s="21"/>
      <c r="AE144" s="21"/>
      <c r="AF144" s="21"/>
      <c r="AG144" s="21"/>
    </row>
    <row r="145" spans="2:33">
      <c r="B145" s="21"/>
      <c r="C145" s="21"/>
      <c r="D145" s="21"/>
      <c r="E145" s="21"/>
      <c r="F145" s="21"/>
      <c r="G145" s="21"/>
      <c r="H145" s="21"/>
      <c r="I145" s="21"/>
      <c r="J145" s="21"/>
      <c r="K145" s="21"/>
      <c r="L145" s="21"/>
      <c r="M145" s="21"/>
      <c r="N145" s="21"/>
      <c r="O145" s="21"/>
      <c r="P145" s="21"/>
      <c r="Q145" s="21"/>
      <c r="R145" s="21"/>
      <c r="S145" s="21"/>
      <c r="T145" s="21"/>
      <c r="U145" s="21"/>
      <c r="V145" s="21"/>
      <c r="W145" s="21"/>
      <c r="X145" s="21"/>
      <c r="Y145" s="21"/>
      <c r="Z145" s="21"/>
      <c r="AA145" s="21"/>
      <c r="AB145" s="21"/>
      <c r="AC145" s="21"/>
      <c r="AD145" s="21"/>
      <c r="AE145" s="21"/>
      <c r="AF145" s="21"/>
      <c r="AG145" s="21"/>
    </row>
    <row r="146" spans="2:33">
      <c r="B146" s="21"/>
      <c r="C146" s="21"/>
      <c r="D146" s="21"/>
      <c r="E146" s="21"/>
      <c r="F146" s="21"/>
      <c r="G146" s="21"/>
      <c r="H146" s="21"/>
      <c r="I146" s="21"/>
      <c r="J146" s="21"/>
      <c r="K146" s="21"/>
      <c r="L146" s="21"/>
      <c r="M146" s="21"/>
      <c r="N146" s="21"/>
      <c r="O146" s="21"/>
      <c r="P146" s="21"/>
      <c r="Q146" s="21"/>
      <c r="R146" s="21"/>
      <c r="S146" s="21"/>
      <c r="T146" s="21"/>
      <c r="U146" s="21"/>
      <c r="V146" s="21"/>
      <c r="W146" s="21"/>
      <c r="X146" s="21"/>
      <c r="Y146" s="21"/>
      <c r="Z146" s="21"/>
      <c r="AA146" s="21"/>
      <c r="AB146" s="21"/>
      <c r="AC146" s="21"/>
      <c r="AD146" s="21"/>
      <c r="AE146" s="21"/>
      <c r="AF146" s="21"/>
      <c r="AG146" s="21"/>
    </row>
    <row r="147" spans="2:33">
      <c r="B147" s="21"/>
      <c r="C147" s="21"/>
      <c r="D147" s="21"/>
      <c r="E147" s="21"/>
      <c r="F147" s="21"/>
      <c r="G147" s="21"/>
      <c r="H147" s="21"/>
      <c r="I147" s="21"/>
      <c r="J147" s="21"/>
      <c r="K147" s="21"/>
      <c r="L147" s="21"/>
      <c r="M147" s="21"/>
      <c r="N147" s="21"/>
      <c r="O147" s="21"/>
      <c r="P147" s="21"/>
      <c r="Q147" s="21"/>
      <c r="R147" s="21"/>
      <c r="S147" s="21"/>
      <c r="T147" s="21"/>
      <c r="U147" s="21"/>
      <c r="V147" s="21"/>
      <c r="W147" s="21"/>
      <c r="X147" s="21"/>
      <c r="Y147" s="21"/>
      <c r="Z147" s="21"/>
      <c r="AA147" s="21"/>
      <c r="AB147" s="21"/>
      <c r="AC147" s="21"/>
      <c r="AD147" s="21"/>
      <c r="AE147" s="21"/>
      <c r="AF147" s="21"/>
      <c r="AG147" s="21"/>
    </row>
    <row r="148" spans="2:33">
      <c r="B148" s="21"/>
      <c r="C148" s="21"/>
      <c r="D148" s="21"/>
      <c r="E148" s="21"/>
      <c r="F148" s="21"/>
      <c r="G148" s="21"/>
      <c r="H148" s="21"/>
      <c r="I148" s="21"/>
      <c r="J148" s="21"/>
      <c r="K148" s="21"/>
      <c r="L148" s="21"/>
      <c r="M148" s="21"/>
      <c r="N148" s="21"/>
      <c r="O148" s="21"/>
      <c r="P148" s="21"/>
      <c r="Q148" s="21"/>
      <c r="R148" s="21"/>
      <c r="S148" s="21"/>
      <c r="T148" s="21"/>
      <c r="U148" s="21"/>
      <c r="V148" s="21"/>
      <c r="W148" s="21"/>
      <c r="X148" s="21"/>
      <c r="Y148" s="21"/>
      <c r="Z148" s="21"/>
      <c r="AA148" s="21"/>
      <c r="AB148" s="21"/>
      <c r="AC148" s="21"/>
      <c r="AD148" s="21"/>
      <c r="AE148" s="21"/>
      <c r="AF148" s="21"/>
      <c r="AG148" s="21"/>
    </row>
    <row r="149" spans="2:33">
      <c r="B149" s="21"/>
      <c r="C149" s="21"/>
      <c r="D149" s="21"/>
      <c r="E149" s="21"/>
      <c r="F149" s="21"/>
      <c r="G149" s="21"/>
      <c r="H149" s="21"/>
      <c r="I149" s="21"/>
      <c r="J149" s="21"/>
      <c r="K149" s="21"/>
      <c r="L149" s="21"/>
      <c r="M149" s="21"/>
      <c r="N149" s="21"/>
      <c r="O149" s="21"/>
      <c r="P149" s="21"/>
      <c r="Q149" s="21"/>
      <c r="R149" s="21"/>
      <c r="S149" s="21"/>
      <c r="T149" s="21"/>
      <c r="U149" s="21"/>
      <c r="V149" s="21"/>
      <c r="W149" s="21"/>
      <c r="X149" s="21"/>
      <c r="Y149" s="21"/>
      <c r="Z149" s="21"/>
      <c r="AA149" s="21"/>
      <c r="AB149" s="21"/>
      <c r="AC149" s="21"/>
      <c r="AD149" s="21"/>
      <c r="AE149" s="21"/>
      <c r="AF149" s="21"/>
      <c r="AG149" s="21"/>
    </row>
    <row r="150" spans="2:33">
      <c r="B150" s="21"/>
      <c r="C150" s="21"/>
      <c r="D150" s="21"/>
      <c r="E150" s="21"/>
      <c r="F150" s="21"/>
      <c r="G150" s="21"/>
      <c r="H150" s="21"/>
      <c r="I150" s="21"/>
      <c r="J150" s="21"/>
      <c r="K150" s="21"/>
      <c r="L150" s="21"/>
      <c r="M150" s="21"/>
      <c r="N150" s="21"/>
      <c r="O150" s="21"/>
      <c r="P150" s="21"/>
      <c r="Q150" s="21"/>
      <c r="R150" s="21"/>
      <c r="S150" s="21"/>
      <c r="T150" s="21"/>
      <c r="U150" s="21"/>
      <c r="V150" s="21"/>
      <c r="W150" s="21"/>
      <c r="X150" s="21"/>
      <c r="Y150" s="21"/>
      <c r="Z150" s="21"/>
      <c r="AA150" s="21"/>
      <c r="AB150" s="21"/>
      <c r="AC150" s="21"/>
      <c r="AD150" s="21"/>
      <c r="AE150" s="21"/>
      <c r="AF150" s="21"/>
      <c r="AG150" s="21"/>
    </row>
    <row r="151" spans="2:33" ht="15" customHeight="1">
      <c r="B151" s="21"/>
      <c r="C151" s="21"/>
      <c r="D151" s="21"/>
      <c r="E151" s="21"/>
      <c r="F151" s="21"/>
      <c r="G151" s="21"/>
      <c r="H151" s="21"/>
      <c r="I151" s="21"/>
      <c r="J151" s="21"/>
      <c r="K151" s="21"/>
      <c r="L151" s="21"/>
      <c r="M151" s="21"/>
      <c r="N151" s="21"/>
      <c r="O151" s="21"/>
      <c r="P151" s="21"/>
      <c r="Q151" s="21"/>
      <c r="R151" s="21"/>
      <c r="S151" s="21"/>
      <c r="T151" s="21"/>
      <c r="U151" s="21"/>
      <c r="V151" s="21"/>
      <c r="W151" s="21"/>
      <c r="X151" s="21"/>
      <c r="Y151" s="21"/>
      <c r="Z151" s="21"/>
      <c r="AA151" s="21"/>
      <c r="AB151" s="21"/>
      <c r="AC151" s="21"/>
      <c r="AD151" s="21"/>
      <c r="AE151" s="21"/>
      <c r="AF151" s="21"/>
      <c r="AG151" s="21"/>
    </row>
    <row r="152" spans="2:33" ht="15" customHeight="1">
      <c r="B152" s="21"/>
      <c r="C152" s="21"/>
      <c r="D152" s="21"/>
      <c r="E152" s="21"/>
      <c r="F152" s="21"/>
      <c r="G152" s="21"/>
      <c r="H152" s="21"/>
      <c r="I152" s="21"/>
      <c r="J152" s="21"/>
      <c r="K152" s="21"/>
      <c r="L152" s="21"/>
      <c r="M152" s="21"/>
      <c r="N152" s="21"/>
      <c r="O152" s="21"/>
      <c r="P152" s="21"/>
      <c r="Q152" s="21"/>
      <c r="R152" s="21"/>
      <c r="S152" s="21"/>
      <c r="T152" s="21"/>
      <c r="U152" s="21"/>
      <c r="V152" s="21"/>
      <c r="W152" s="21"/>
      <c r="X152" s="21"/>
      <c r="Y152" s="21"/>
      <c r="Z152" s="21"/>
      <c r="AA152" s="21"/>
      <c r="AB152" s="21"/>
      <c r="AC152" s="21"/>
      <c r="AD152" s="21"/>
      <c r="AE152" s="21"/>
      <c r="AF152" s="21"/>
      <c r="AG152" s="21"/>
    </row>
    <row r="153" spans="2:33" ht="15" customHeight="1">
      <c r="B153" s="21"/>
      <c r="C153" s="21"/>
      <c r="D153" s="21"/>
      <c r="E153" s="21"/>
      <c r="F153" s="21"/>
      <c r="G153" s="21"/>
      <c r="H153" s="21"/>
      <c r="I153" s="21"/>
      <c r="J153" s="21"/>
      <c r="K153" s="21"/>
      <c r="L153" s="21"/>
      <c r="M153" s="21"/>
      <c r="N153" s="21"/>
      <c r="O153" s="21"/>
      <c r="P153" s="21"/>
      <c r="Q153" s="21"/>
      <c r="R153" s="21"/>
      <c r="S153" s="21"/>
      <c r="T153" s="21"/>
      <c r="U153" s="21"/>
      <c r="V153" s="21"/>
      <c r="W153" s="21"/>
      <c r="X153" s="21"/>
      <c r="Y153" s="21"/>
      <c r="Z153" s="21"/>
      <c r="AA153" s="21"/>
      <c r="AB153" s="21"/>
      <c r="AC153" s="21"/>
      <c r="AD153" s="21"/>
      <c r="AE153" s="21"/>
      <c r="AF153" s="21"/>
      <c r="AG153" s="21"/>
    </row>
    <row r="154" spans="2:33" ht="15" customHeight="1">
      <c r="B154" s="21"/>
      <c r="C154" s="21"/>
      <c r="D154" s="21"/>
      <c r="E154" s="21"/>
      <c r="F154" s="21"/>
      <c r="G154" s="21"/>
      <c r="H154" s="21"/>
      <c r="I154" s="21"/>
      <c r="J154" s="21"/>
      <c r="K154" s="21"/>
      <c r="L154" s="21"/>
      <c r="M154" s="21"/>
      <c r="N154" s="21"/>
      <c r="O154" s="21"/>
      <c r="P154" s="21"/>
      <c r="Q154" s="21"/>
      <c r="R154" s="21"/>
      <c r="S154" s="21"/>
      <c r="T154" s="21"/>
      <c r="U154" s="21"/>
      <c r="V154" s="21"/>
      <c r="W154" s="21"/>
      <c r="X154" s="21"/>
      <c r="Y154" s="21"/>
      <c r="Z154" s="21"/>
      <c r="AA154" s="21"/>
      <c r="AB154" s="21"/>
      <c r="AC154" s="21"/>
      <c r="AD154" s="21"/>
      <c r="AE154" s="21"/>
      <c r="AF154" s="21"/>
      <c r="AG154" s="21"/>
    </row>
    <row r="155" spans="2:33" ht="15" customHeight="1">
      <c r="B155" s="21"/>
      <c r="C155" s="21"/>
      <c r="D155" s="21"/>
      <c r="E155" s="21"/>
      <c r="F155" s="21"/>
      <c r="G155" s="21"/>
      <c r="H155" s="21"/>
      <c r="I155" s="21"/>
      <c r="J155" s="21"/>
      <c r="K155" s="21"/>
      <c r="L155" s="21"/>
      <c r="M155" s="21"/>
      <c r="N155" s="21"/>
      <c r="O155" s="21"/>
      <c r="P155" s="21"/>
      <c r="Q155" s="21"/>
      <c r="R155" s="21"/>
      <c r="S155" s="21"/>
      <c r="T155" s="21"/>
      <c r="U155" s="21"/>
      <c r="V155" s="21"/>
      <c r="W155" s="21"/>
      <c r="X155" s="21"/>
      <c r="Y155" s="21"/>
      <c r="Z155" s="21"/>
      <c r="AA155" s="21"/>
      <c r="AB155" s="21"/>
      <c r="AC155" s="21"/>
      <c r="AD155" s="21"/>
      <c r="AE155" s="21"/>
      <c r="AF155" s="21"/>
      <c r="AG155" s="21"/>
    </row>
    <row r="156" spans="2:33" ht="15" customHeight="1">
      <c r="B156" s="21"/>
      <c r="C156" s="21"/>
      <c r="D156" s="21"/>
      <c r="E156" s="21"/>
      <c r="F156" s="21"/>
      <c r="G156" s="21"/>
      <c r="H156" s="21"/>
      <c r="I156" s="21"/>
      <c r="J156" s="21"/>
      <c r="K156" s="21"/>
      <c r="L156" s="21"/>
      <c r="M156" s="21"/>
      <c r="N156" s="21"/>
      <c r="O156" s="21"/>
      <c r="P156" s="21"/>
      <c r="Q156" s="21"/>
      <c r="R156" s="21"/>
      <c r="S156" s="21"/>
      <c r="T156" s="21"/>
      <c r="U156" s="21"/>
      <c r="V156" s="21"/>
      <c r="W156" s="21"/>
      <c r="X156" s="21"/>
      <c r="Y156" s="21"/>
      <c r="Z156" s="21"/>
      <c r="AA156" s="21"/>
      <c r="AB156" s="21"/>
      <c r="AC156" s="21"/>
      <c r="AD156" s="21"/>
      <c r="AE156" s="21"/>
      <c r="AF156" s="21"/>
      <c r="AG156" s="21"/>
    </row>
    <row r="157" spans="2:33" ht="15" customHeight="1">
      <c r="B157" s="21"/>
      <c r="C157" s="21"/>
      <c r="D157" s="21"/>
      <c r="E157" s="21"/>
      <c r="F157" s="21"/>
      <c r="G157" s="21"/>
      <c r="H157" s="21"/>
      <c r="I157" s="21"/>
      <c r="J157" s="21"/>
      <c r="K157" s="21"/>
      <c r="L157" s="21"/>
      <c r="M157" s="21"/>
      <c r="N157" s="21"/>
      <c r="O157" s="21"/>
      <c r="P157" s="21"/>
      <c r="Q157" s="21"/>
      <c r="R157" s="21"/>
      <c r="S157" s="21"/>
      <c r="T157" s="21"/>
      <c r="U157" s="21"/>
      <c r="V157" s="21"/>
      <c r="W157" s="21"/>
      <c r="X157" s="21"/>
      <c r="Y157" s="21"/>
      <c r="Z157" s="21"/>
      <c r="AA157" s="21"/>
      <c r="AB157" s="21"/>
      <c r="AC157" s="21"/>
      <c r="AD157" s="21"/>
      <c r="AE157" s="21"/>
      <c r="AF157" s="21"/>
      <c r="AG157" s="21"/>
    </row>
    <row r="158" spans="2:33" ht="15" customHeight="1">
      <c r="B158" s="21"/>
      <c r="C158" s="21"/>
      <c r="D158" s="21"/>
      <c r="E158" s="21"/>
      <c r="F158" s="21"/>
      <c r="G158" s="21"/>
      <c r="H158" s="21"/>
      <c r="I158" s="21"/>
      <c r="J158" s="21"/>
      <c r="K158" s="21"/>
      <c r="L158" s="21"/>
      <c r="M158" s="21"/>
      <c r="N158" s="21"/>
      <c r="O158" s="21"/>
      <c r="P158" s="21"/>
      <c r="Q158" s="21"/>
      <c r="R158" s="21"/>
      <c r="S158" s="21"/>
      <c r="T158" s="21"/>
      <c r="U158" s="21"/>
      <c r="V158" s="21"/>
      <c r="W158" s="21"/>
      <c r="X158" s="21"/>
      <c r="Y158" s="21"/>
      <c r="Z158" s="21"/>
      <c r="AA158" s="21"/>
      <c r="AB158" s="21"/>
      <c r="AC158" s="21"/>
      <c r="AD158" s="21"/>
      <c r="AE158" s="21"/>
      <c r="AF158" s="21"/>
      <c r="AG158" s="21"/>
    </row>
    <row r="159" spans="2:33" ht="15" customHeight="1">
      <c r="B159" s="21"/>
      <c r="C159" s="21"/>
      <c r="D159" s="21"/>
      <c r="E159" s="21"/>
      <c r="F159" s="21"/>
      <c r="G159" s="21"/>
      <c r="H159" s="21"/>
      <c r="I159" s="21"/>
      <c r="J159" s="21"/>
      <c r="K159" s="21"/>
      <c r="L159" s="21"/>
      <c r="M159" s="21"/>
      <c r="N159" s="21"/>
      <c r="O159" s="21"/>
      <c r="P159" s="21"/>
      <c r="Q159" s="21"/>
      <c r="R159" s="21"/>
      <c r="S159" s="21"/>
      <c r="T159" s="21"/>
      <c r="U159" s="21"/>
      <c r="V159" s="21"/>
      <c r="W159" s="21"/>
      <c r="X159" s="21"/>
      <c r="Y159" s="21"/>
      <c r="Z159" s="21"/>
      <c r="AA159" s="21"/>
      <c r="AB159" s="21"/>
      <c r="AC159" s="21"/>
      <c r="AD159" s="21"/>
      <c r="AE159" s="21"/>
      <c r="AF159" s="21"/>
      <c r="AG159" s="21"/>
    </row>
    <row r="160" spans="2:33" ht="15" customHeight="1">
      <c r="B160" s="21"/>
      <c r="C160" s="21"/>
      <c r="D160" s="21"/>
      <c r="E160" s="21"/>
      <c r="F160" s="21"/>
      <c r="G160" s="21"/>
      <c r="H160" s="21"/>
      <c r="I160" s="21"/>
      <c r="J160" s="21"/>
      <c r="K160" s="21"/>
      <c r="L160" s="21"/>
      <c r="M160" s="21"/>
      <c r="N160" s="21"/>
      <c r="O160" s="21"/>
      <c r="P160" s="21"/>
      <c r="Q160" s="21"/>
      <c r="R160" s="21"/>
      <c r="S160" s="21"/>
      <c r="T160" s="21"/>
      <c r="U160" s="21"/>
      <c r="V160" s="21"/>
      <c r="W160" s="21"/>
      <c r="X160" s="21"/>
      <c r="Y160" s="21"/>
      <c r="Z160" s="21"/>
      <c r="AA160" s="21"/>
      <c r="AB160" s="21"/>
      <c r="AC160" s="21"/>
      <c r="AD160" s="21"/>
      <c r="AE160" s="21"/>
      <c r="AF160" s="21"/>
      <c r="AG160" s="21"/>
    </row>
    <row r="161" ht="15" customHeight="1"/>
    <row r="162" ht="15" customHeight="1"/>
    <row r="163" ht="15" customHeight="1"/>
    <row r="164" ht="15" customHeight="1"/>
    <row r="165" ht="15" customHeight="1"/>
    <row r="167" ht="15" customHeight="1"/>
    <row r="168" ht="15" customHeight="1"/>
    <row r="169" ht="15" customHeight="1"/>
    <row r="170" ht="15" customHeight="1"/>
    <row r="171" ht="15" customHeight="1"/>
    <row r="172" ht="15" customHeight="1"/>
    <row r="173" ht="15" customHeight="1"/>
    <row r="174" ht="15" customHeight="1"/>
    <row r="175" ht="15" customHeight="1"/>
    <row r="176" ht="15" customHeight="1"/>
    <row r="177" ht="15" customHeight="1"/>
    <row r="178" ht="15" customHeight="1"/>
    <row r="179" ht="15" customHeight="1"/>
    <row r="180" ht="15" customHeight="1"/>
    <row r="182" ht="15" customHeight="1"/>
    <row r="183" ht="15" customHeight="1"/>
    <row r="184" ht="15" customHeight="1"/>
    <row r="185" ht="15" customHeight="1"/>
    <row r="186" ht="15" customHeight="1"/>
    <row r="187" ht="15" customHeight="1"/>
    <row r="188" ht="15" customHeight="1"/>
    <row r="189" ht="15" customHeight="1"/>
    <row r="190" ht="15" customHeight="1"/>
    <row r="191" ht="15" customHeight="1"/>
    <row r="192" ht="15" customHeight="1"/>
    <row r="193" ht="15" customHeight="1"/>
    <row r="194" ht="15" customHeight="1"/>
    <row r="195" ht="15" customHeight="1"/>
    <row r="196" ht="15" customHeight="1"/>
    <row r="197" ht="15" customHeight="1"/>
    <row r="198" ht="15" customHeight="1"/>
    <row r="199" ht="15" customHeight="1"/>
    <row r="200" ht="15" customHeight="1"/>
    <row r="201" ht="15" customHeight="1"/>
    <row r="202" ht="15" customHeight="1"/>
    <row r="203" ht="15" customHeight="1"/>
    <row r="204" ht="15" customHeight="1"/>
    <row r="205" ht="15" customHeight="1"/>
    <row r="208" ht="15" customHeight="1"/>
    <row r="209" ht="15" customHeight="1"/>
    <row r="210" ht="15" customHeight="1"/>
    <row r="211" ht="15" customHeight="1"/>
    <row r="212" ht="15" customHeight="1"/>
    <row r="213" ht="15" customHeight="1"/>
    <row r="214" ht="15" customHeight="1"/>
    <row r="215" ht="15" customHeight="1"/>
    <row r="216" ht="15" customHeight="1"/>
    <row r="217" ht="15" customHeight="1"/>
    <row r="218" ht="15" customHeight="1"/>
    <row r="219" ht="15" customHeight="1"/>
    <row r="220" ht="15" customHeight="1"/>
    <row r="221" ht="15" customHeight="1"/>
    <row r="222" ht="15" customHeight="1"/>
    <row r="223" ht="15" customHeight="1"/>
    <row r="225" ht="15" customHeight="1"/>
    <row r="226" ht="15" customHeight="1"/>
    <row r="228" ht="15" customHeight="1"/>
    <row r="229" ht="15" customHeight="1"/>
    <row r="230" ht="15" customHeight="1"/>
    <row r="231" ht="15" customHeight="1"/>
    <row r="232" ht="15" customHeight="1"/>
    <row r="233" ht="15" customHeight="1"/>
    <row r="234" ht="15" customHeight="1"/>
    <row r="235" ht="15" customHeight="1"/>
    <row r="236" ht="15" customHeight="1"/>
    <row r="237" ht="15" customHeight="1"/>
    <row r="238" ht="15" customHeight="1"/>
    <row r="239" ht="15" customHeight="1"/>
    <row r="240" ht="15" customHeight="1"/>
    <row r="241" ht="15" customHeight="1"/>
    <row r="242" ht="15" customHeight="1"/>
    <row r="243" ht="15" customHeight="1"/>
    <row r="244" ht="15" customHeight="1"/>
    <row r="245" ht="15" customHeight="1"/>
    <row r="246" ht="15" customHeight="1"/>
    <row r="247" ht="15" customHeight="1"/>
    <row r="248" ht="15" customHeight="1"/>
    <row r="249" ht="15" customHeight="1"/>
    <row r="250" ht="15" customHeight="1"/>
    <row r="251" ht="15" customHeight="1"/>
    <row r="252" ht="15" customHeight="1"/>
    <row r="253" ht="15" customHeight="1"/>
    <row r="254" ht="15" customHeight="1"/>
    <row r="255" ht="15" customHeight="1"/>
    <row r="256" ht="15" customHeight="1"/>
    <row r="259" ht="15" customHeight="1"/>
    <row r="260" ht="15" customHeight="1"/>
    <row r="261" ht="15" customHeight="1"/>
    <row r="262" ht="15" customHeight="1"/>
    <row r="263" ht="15" customHeight="1"/>
    <row r="264" ht="15" customHeight="1"/>
    <row r="265" ht="15" customHeight="1"/>
    <row r="266" ht="15" customHeight="1"/>
    <row r="267" ht="15" customHeight="1"/>
    <row r="268" ht="15" customHeight="1"/>
    <row r="269" ht="15" customHeight="1"/>
    <row r="271" ht="15" customHeight="1"/>
    <row r="272" ht="15" customHeight="1"/>
    <row r="273" ht="15" customHeight="1"/>
    <row r="274" ht="15" customHeight="1"/>
    <row r="275" ht="15" customHeight="1"/>
    <row r="276" ht="15" customHeight="1"/>
    <row r="277" ht="15" customHeight="1"/>
    <row r="278" ht="15" customHeight="1"/>
    <row r="279" ht="15" customHeight="1"/>
    <row r="280" ht="15" customHeight="1"/>
    <row r="281" ht="15" customHeight="1"/>
    <row r="282" ht="15" customHeight="1"/>
    <row r="283" ht="15" customHeight="1"/>
    <row r="284" ht="15" customHeight="1"/>
    <row r="285" ht="15" customHeight="1"/>
    <row r="286" ht="15" customHeight="1"/>
    <row r="287" ht="15" customHeight="1"/>
    <row r="288" ht="15" customHeight="1"/>
    <row r="289" ht="15" customHeight="1"/>
    <row r="290" ht="15" customHeight="1"/>
    <row r="291" ht="15" customHeight="1"/>
    <row r="292" ht="15" customHeight="1"/>
    <row r="293" ht="15" customHeight="1"/>
    <row r="294" ht="15" customHeight="1"/>
    <row r="295" ht="15" customHeight="1"/>
    <row r="296" ht="15" customHeight="1"/>
    <row r="297" ht="15" customHeight="1"/>
    <row r="298" ht="15" customHeight="1"/>
    <row r="299" ht="15" customHeight="1"/>
    <row r="301" ht="15" customHeight="1"/>
    <row r="302" ht="15" customHeight="1"/>
    <row r="303" ht="15" customHeight="1"/>
    <row r="304" ht="15" customHeight="1"/>
    <row r="305" spans="2:32" ht="15" customHeight="1"/>
    <row r="306" spans="2:32" ht="15" customHeight="1"/>
    <row r="307" spans="2:32" ht="15" customHeight="1"/>
    <row r="308" spans="2:32" ht="15" customHeight="1">
      <c r="B308" s="9"/>
      <c r="C308" s="9"/>
      <c r="D308" s="9"/>
      <c r="E308" s="9"/>
      <c r="F308" s="9"/>
      <c r="G308" s="9"/>
      <c r="H308" s="9"/>
      <c r="I308" s="9"/>
      <c r="J308" s="9"/>
      <c r="K308" s="9"/>
      <c r="L308" s="9"/>
      <c r="M308" s="9"/>
      <c r="N308" s="9"/>
      <c r="O308" s="9"/>
      <c r="P308" s="9"/>
      <c r="Q308" s="9"/>
      <c r="R308" s="9"/>
      <c r="S308" s="9"/>
      <c r="T308" s="9"/>
      <c r="U308" s="9"/>
      <c r="V308" s="9"/>
      <c r="W308" s="9"/>
      <c r="X308" s="9"/>
      <c r="Y308" s="9"/>
      <c r="Z308" s="9"/>
      <c r="AA308" s="9"/>
      <c r="AB308" s="9"/>
      <c r="AC308" s="9"/>
      <c r="AD308" s="9"/>
      <c r="AE308" s="9"/>
      <c r="AF308" s="9"/>
    </row>
    <row r="309" spans="2:32" ht="15" customHeight="1">
      <c r="B309" s="9"/>
      <c r="C309" s="9"/>
      <c r="D309" s="9"/>
      <c r="E309" s="9"/>
      <c r="F309" s="9"/>
      <c r="G309" s="9"/>
      <c r="H309" s="9"/>
      <c r="I309" s="9"/>
      <c r="J309" s="9"/>
      <c r="K309" s="9"/>
      <c r="L309" s="9"/>
      <c r="M309" s="9"/>
      <c r="N309" s="9"/>
      <c r="O309" s="9"/>
      <c r="P309" s="9"/>
      <c r="Q309" s="9"/>
      <c r="R309" s="9"/>
      <c r="S309" s="9"/>
      <c r="T309" s="9"/>
      <c r="U309" s="9"/>
      <c r="V309" s="9"/>
      <c r="W309" s="9"/>
      <c r="X309" s="9"/>
      <c r="Y309" s="9"/>
      <c r="Z309" s="9"/>
      <c r="AA309" s="9"/>
      <c r="AB309" s="9"/>
      <c r="AC309" s="9"/>
      <c r="AD309" s="9"/>
      <c r="AE309" s="9"/>
      <c r="AF309" s="9"/>
    </row>
    <row r="310" spans="2:32" ht="15" customHeight="1"/>
    <row r="311" spans="2:32" ht="15" customHeight="1"/>
    <row r="312" spans="2:32" ht="15" customHeight="1"/>
    <row r="313" spans="2:32" ht="15" customHeight="1"/>
    <row r="314" spans="2:32" ht="15" customHeight="1"/>
    <row r="315" spans="2:32" ht="15" customHeight="1"/>
    <row r="316" spans="2:32" ht="15" customHeight="1"/>
    <row r="317" spans="2:32" ht="15" customHeight="1"/>
    <row r="318" spans="2:32" ht="15" customHeight="1"/>
    <row r="319" spans="2:32" ht="15" customHeight="1"/>
    <row r="320" spans="2:32" ht="15" customHeight="1"/>
    <row r="321" ht="15" customHeight="1"/>
    <row r="322" ht="15" customHeight="1"/>
    <row r="323" ht="15" customHeight="1"/>
    <row r="324" ht="15" customHeight="1"/>
    <row r="325" ht="15" customHeight="1"/>
    <row r="326" ht="15" customHeight="1"/>
    <row r="327" ht="15" customHeight="1"/>
    <row r="328" ht="15" customHeight="1"/>
    <row r="329" ht="15" customHeight="1"/>
    <row r="330" ht="15" customHeight="1"/>
    <row r="331" ht="15" customHeight="1"/>
    <row r="332" ht="15" customHeight="1"/>
    <row r="333" ht="15" customHeight="1"/>
    <row r="334" ht="15" customHeight="1"/>
    <row r="335" ht="15" customHeight="1"/>
    <row r="336" ht="15" customHeight="1"/>
    <row r="337" ht="15" customHeight="1"/>
    <row r="338" ht="15" customHeight="1"/>
    <row r="339" ht="15" customHeight="1"/>
    <row r="340" ht="15" customHeight="1"/>
    <row r="341" ht="15" customHeight="1"/>
    <row r="342" ht="15" customHeight="1"/>
    <row r="343" ht="15" customHeight="1"/>
    <row r="344" ht="15" customHeight="1"/>
    <row r="345" ht="15" customHeight="1"/>
    <row r="346" ht="15" customHeight="1"/>
    <row r="376" ht="15" customHeight="1"/>
    <row r="377" ht="15" customHeight="1"/>
    <row r="378" ht="15" customHeight="1"/>
    <row r="379" ht="15" customHeight="1"/>
    <row r="380" ht="15" customHeight="1"/>
    <row r="381" ht="15" customHeight="1"/>
    <row r="382" ht="15" customHeight="1"/>
    <row r="383" ht="15" customHeight="1"/>
    <row r="384" ht="15" customHeight="1"/>
    <row r="385" ht="15" customHeight="1"/>
    <row r="387" ht="15" customHeight="1"/>
    <row r="388" ht="15" customHeight="1"/>
    <row r="389" ht="15" customHeight="1"/>
    <row r="390" ht="15" customHeight="1"/>
    <row r="391" ht="15" customHeight="1"/>
    <row r="392" ht="15" customHeight="1"/>
    <row r="394" ht="15" customHeight="1"/>
    <row r="395" ht="15" customHeight="1"/>
    <row r="396" ht="15" customHeight="1"/>
    <row r="397" ht="15" customHeight="1"/>
    <row r="398" ht="15" customHeight="1"/>
    <row r="399" ht="15" customHeight="1"/>
    <row r="400" ht="15" customHeight="1"/>
    <row r="401" ht="15" customHeight="1"/>
    <row r="402" ht="15" customHeight="1"/>
    <row r="404" ht="15" customHeight="1"/>
    <row r="405" ht="15" customHeight="1"/>
    <row r="406" ht="15" customHeight="1"/>
    <row r="407" ht="15" customHeight="1"/>
    <row r="408" ht="15" customHeight="1"/>
    <row r="409" ht="15" customHeight="1"/>
    <row r="410" ht="15" customHeight="1"/>
    <row r="411" ht="15" customHeight="1"/>
    <row r="412" ht="15" customHeight="1"/>
    <row r="414" ht="15" customHeight="1"/>
    <row r="415" ht="15" customHeight="1"/>
    <row r="416" ht="15" customHeight="1"/>
    <row r="417" ht="15" customHeight="1"/>
    <row r="418" ht="15" customHeight="1"/>
    <row r="419" ht="15" customHeight="1"/>
    <row r="422" ht="15" customHeight="1"/>
    <row r="423" ht="15" customHeight="1"/>
    <row r="424" ht="15" customHeight="1"/>
    <row r="425" ht="15" customHeight="1"/>
    <row r="426" ht="15" customHeight="1"/>
    <row r="427" ht="15" customHeight="1"/>
    <row r="428" ht="15" customHeight="1"/>
    <row r="429" ht="15" customHeight="1"/>
    <row r="430" ht="15" customHeight="1"/>
    <row r="431" ht="15" customHeight="1"/>
    <row r="432" ht="15" customHeight="1"/>
    <row r="433" ht="15" customHeight="1"/>
    <row r="435" ht="15" customHeight="1"/>
    <row r="436" ht="15" customHeight="1"/>
    <row r="437" ht="15" customHeight="1"/>
    <row r="438" ht="15" customHeight="1"/>
    <row r="439" ht="15" customHeight="1"/>
    <row r="440" ht="15" customHeight="1"/>
    <row r="441" ht="15" customHeight="1"/>
    <row r="442" ht="15" customHeight="1"/>
    <row r="443" ht="15" customHeight="1"/>
    <row r="446" ht="15" customHeight="1"/>
    <row r="447" ht="15" customHeight="1"/>
    <row r="448" ht="15" customHeight="1"/>
    <row r="449" ht="15" customHeight="1"/>
    <row r="450" ht="15" customHeight="1"/>
    <row r="451" ht="15" customHeight="1"/>
    <row r="453" ht="15" customHeight="1"/>
    <row r="454" ht="15" customHeight="1"/>
    <row r="455" ht="15" customHeight="1"/>
    <row r="456" ht="15" customHeight="1"/>
    <row r="457" ht="15" customHeight="1"/>
    <row r="458" ht="15" customHeight="1"/>
    <row r="460" ht="15" customHeight="1"/>
    <row r="461" ht="15" customHeight="1"/>
    <row r="462" ht="15" customHeight="1"/>
    <row r="463" ht="15" customHeight="1"/>
    <row r="464" ht="15" customHeight="1"/>
    <row r="465" ht="15" customHeight="1"/>
    <row r="466" ht="15" customHeight="1"/>
    <row r="467" ht="15" customHeight="1"/>
    <row r="468" ht="15" customHeight="1"/>
    <row r="471" ht="15" customHeight="1"/>
    <row r="472" ht="15" customHeight="1"/>
    <row r="473" ht="15" customHeight="1"/>
    <row r="474" ht="15" customHeight="1"/>
    <row r="475" ht="15" customHeight="1"/>
    <row r="476" ht="15" customHeight="1"/>
    <row r="477" ht="15" customHeight="1"/>
    <row r="478" ht="15" customHeight="1"/>
    <row r="479" ht="15" customHeight="1"/>
    <row r="481" ht="15" customHeight="1"/>
    <row r="482" ht="15" customHeight="1"/>
    <row r="483" ht="15" customHeight="1"/>
    <row r="484" ht="15" customHeight="1"/>
    <row r="485" ht="15" customHeight="1"/>
    <row r="486" ht="15" customHeight="1"/>
    <row r="488" ht="15" customHeight="1"/>
    <row r="489" ht="15" customHeight="1"/>
    <row r="490" ht="15" customHeight="1"/>
    <row r="491" ht="15" customHeight="1"/>
    <row r="492" ht="15" customHeight="1"/>
    <row r="493" ht="15" customHeight="1"/>
    <row r="494" ht="15" customHeight="1"/>
    <row r="495" ht="15" customHeight="1"/>
    <row r="496" ht="15" customHeight="1"/>
    <row r="497" spans="2:32" ht="15" customHeight="1"/>
    <row r="498" spans="2:32" ht="15" customHeight="1"/>
    <row r="499" spans="2:32" ht="15" customHeight="1"/>
    <row r="500" spans="2:32">
      <c r="B500" s="9"/>
      <c r="C500" s="9"/>
      <c r="D500" s="9"/>
      <c r="E500" s="9"/>
      <c r="F500" s="9"/>
      <c r="G500" s="9"/>
      <c r="H500" s="9"/>
      <c r="I500" s="9"/>
      <c r="J500" s="9"/>
      <c r="K500" s="9"/>
      <c r="L500" s="9"/>
      <c r="M500" s="9"/>
      <c r="N500" s="9"/>
      <c r="O500" s="9"/>
      <c r="P500" s="9"/>
      <c r="Q500" s="9"/>
      <c r="R500" s="9"/>
      <c r="S500" s="9"/>
      <c r="T500" s="9"/>
      <c r="U500" s="9"/>
      <c r="V500" s="9"/>
      <c r="W500" s="9"/>
      <c r="X500" s="9"/>
      <c r="Y500" s="9"/>
      <c r="Z500" s="9"/>
      <c r="AA500" s="9"/>
      <c r="AB500" s="9"/>
      <c r="AC500" s="9"/>
      <c r="AD500" s="9"/>
      <c r="AE500" s="9"/>
      <c r="AF500" s="9"/>
    </row>
    <row r="501" spans="2:32" ht="15" customHeight="1"/>
    <row r="502" spans="2:32" ht="15" customHeight="1"/>
    <row r="503" spans="2:32" ht="15" customHeight="1"/>
    <row r="504" spans="2:32" ht="15" customHeight="1"/>
    <row r="505" spans="2:32" ht="15" customHeight="1"/>
    <row r="506" spans="2:32" ht="15" customHeight="1"/>
    <row r="507" spans="2:32" ht="15" customHeight="1"/>
    <row r="508" spans="2:32" ht="15" customHeight="1"/>
    <row r="509" spans="2:32" ht="15" customHeight="1"/>
    <row r="510" spans="2:32">
      <c r="B510" s="9"/>
      <c r="C510" s="9"/>
      <c r="D510" s="9"/>
      <c r="E510" s="9"/>
      <c r="F510" s="9"/>
      <c r="G510" s="9"/>
      <c r="H510" s="9"/>
      <c r="I510" s="9"/>
      <c r="J510" s="9"/>
      <c r="K510" s="9"/>
      <c r="L510" s="9"/>
      <c r="M510" s="9"/>
      <c r="N510" s="9"/>
      <c r="O510" s="9"/>
      <c r="P510" s="9"/>
      <c r="Q510" s="9"/>
      <c r="R510" s="9"/>
      <c r="S510" s="9"/>
      <c r="T510" s="9"/>
      <c r="U510" s="9"/>
      <c r="V510" s="9"/>
      <c r="W510" s="9"/>
      <c r="X510" s="9"/>
      <c r="Y510" s="9"/>
      <c r="Z510" s="9"/>
      <c r="AA510" s="9"/>
      <c r="AB510" s="9"/>
      <c r="AC510" s="9"/>
      <c r="AD510" s="9"/>
      <c r="AE510" s="9"/>
      <c r="AF510" s="9"/>
    </row>
    <row r="511" spans="2:32" ht="15" customHeight="1">
      <c r="B511" s="9"/>
      <c r="C511" s="9"/>
      <c r="D511" s="9"/>
      <c r="E511" s="9"/>
      <c r="F511" s="9"/>
      <c r="G511" s="9"/>
      <c r="H511" s="9"/>
      <c r="I511" s="9"/>
      <c r="J511" s="9"/>
      <c r="K511" s="9"/>
      <c r="L511" s="9"/>
      <c r="M511" s="9"/>
      <c r="N511" s="9"/>
      <c r="O511" s="9"/>
      <c r="P511" s="9"/>
      <c r="Q511" s="9"/>
      <c r="R511" s="9"/>
      <c r="S511" s="9"/>
      <c r="T511" s="9"/>
      <c r="U511" s="9"/>
      <c r="V511" s="9"/>
      <c r="W511" s="9"/>
      <c r="X511" s="9"/>
      <c r="Y511" s="9"/>
      <c r="Z511" s="9"/>
      <c r="AA511" s="9"/>
      <c r="AB511" s="9"/>
      <c r="AC511" s="9"/>
      <c r="AD511" s="9"/>
      <c r="AE511" s="9"/>
      <c r="AF511" s="9"/>
    </row>
    <row r="512" spans="2:32" ht="15" customHeight="1">
      <c r="B512" s="9"/>
      <c r="C512" s="9"/>
      <c r="D512" s="9"/>
      <c r="E512" s="9"/>
      <c r="F512" s="9"/>
      <c r="G512" s="9"/>
      <c r="H512" s="9"/>
      <c r="I512" s="9"/>
      <c r="J512" s="9"/>
      <c r="K512" s="9"/>
      <c r="L512" s="9"/>
      <c r="M512" s="9"/>
      <c r="N512" s="9"/>
      <c r="O512" s="9"/>
      <c r="P512" s="9"/>
      <c r="Q512" s="9"/>
      <c r="R512" s="9"/>
      <c r="S512" s="9"/>
      <c r="T512" s="9"/>
      <c r="U512" s="9"/>
      <c r="V512" s="9"/>
      <c r="W512" s="9"/>
      <c r="X512" s="9"/>
      <c r="Y512" s="9"/>
      <c r="Z512" s="9"/>
      <c r="AA512" s="9"/>
      <c r="AB512" s="9"/>
      <c r="AC512" s="9"/>
      <c r="AD512" s="9"/>
      <c r="AE512" s="9"/>
      <c r="AF512" s="9"/>
    </row>
    <row r="513" ht="15" customHeight="1"/>
    <row r="514" ht="15" customHeight="1"/>
    <row r="515" ht="15" customHeight="1"/>
    <row r="516" ht="15" customHeight="1"/>
    <row r="517" ht="15" customHeight="1"/>
    <row r="518" ht="15" customHeight="1"/>
    <row r="519" ht="15" customHeight="1"/>
    <row r="520" ht="15" customHeight="1"/>
    <row r="521" ht="15" customHeight="1"/>
    <row r="522" ht="15" customHeight="1"/>
    <row r="523" ht="15" customHeight="1"/>
    <row r="524" ht="15" customHeight="1"/>
    <row r="525" ht="15" customHeight="1"/>
    <row r="526" ht="15" customHeight="1"/>
    <row r="576" ht="15" customHeight="1"/>
    <row r="577" ht="15" customHeight="1"/>
    <row r="578" ht="15" customHeight="1"/>
    <row r="579" ht="15" customHeight="1"/>
    <row r="580" ht="15" customHeight="1"/>
    <row r="581" ht="15" customHeight="1"/>
    <row r="582" ht="15" customHeight="1"/>
    <row r="583" ht="15" customHeight="1"/>
    <row r="584" ht="15" customHeight="1"/>
    <row r="585" ht="15" customHeight="1"/>
    <row r="586" ht="15" customHeight="1"/>
    <row r="588" ht="15" customHeight="1"/>
    <row r="590" ht="15" customHeight="1"/>
    <row r="591" ht="15" customHeight="1"/>
    <row r="592" ht="15" customHeight="1"/>
    <row r="593" ht="15" customHeight="1"/>
    <row r="594" ht="15" customHeight="1"/>
    <row r="595" ht="15" customHeight="1"/>
    <row r="596" ht="15" customHeight="1"/>
    <row r="598" ht="15" customHeight="1"/>
    <row r="599" ht="15" customHeight="1"/>
    <row r="600" ht="15" customHeight="1"/>
    <row r="601" ht="15" customHeight="1"/>
    <row r="602" ht="15" customHeight="1"/>
    <row r="603" ht="15" customHeight="1"/>
    <row r="604" ht="15" customHeight="1"/>
    <row r="605" ht="15" customHeight="1"/>
    <row r="606" ht="15" customHeight="1"/>
    <row r="607" ht="15" customHeight="1"/>
    <row r="608" ht="15" customHeight="1"/>
    <row r="609" ht="15" customHeight="1"/>
    <row r="610" ht="15" customHeight="1"/>
    <row r="611" ht="15" customHeight="1"/>
    <row r="612" ht="15" customHeight="1"/>
    <row r="613" ht="15" customHeight="1"/>
    <row r="614" ht="15" customHeight="1"/>
    <row r="615" ht="15" customHeight="1"/>
    <row r="616" ht="15" customHeight="1"/>
    <row r="618" ht="15" customHeight="1"/>
    <row r="619" ht="15" customHeight="1"/>
    <row r="620" ht="15" customHeight="1"/>
    <row r="621" ht="15" customHeight="1"/>
    <row r="622" ht="15" customHeight="1"/>
    <row r="623" ht="15" customHeight="1"/>
    <row r="624" ht="15" customHeight="1"/>
    <row r="625" ht="15" customHeight="1"/>
    <row r="627" ht="15" customHeight="1"/>
    <row r="628" ht="15" customHeight="1"/>
    <row r="629" ht="15" customHeight="1"/>
    <row r="630" ht="15" customHeight="1"/>
    <row r="631" ht="15" customHeight="1"/>
    <row r="633" ht="15" customHeight="1"/>
    <row r="634" ht="15" customHeight="1"/>
    <row r="635" ht="15" customHeight="1"/>
    <row r="636" ht="15" customHeight="1"/>
    <row r="637" ht="15" customHeight="1"/>
    <row r="638" ht="15" customHeight="1"/>
    <row r="640" ht="15" customHeight="1"/>
    <row r="642" ht="15" customHeight="1"/>
    <row r="643" ht="15" customHeight="1"/>
    <row r="644" ht="15" customHeight="1"/>
    <row r="645" ht="15" customHeight="1"/>
    <row r="646" ht="15" customHeight="1"/>
    <row r="647" ht="15" customHeight="1"/>
    <row r="648" ht="15" customHeight="1"/>
    <row r="649" ht="15" customHeight="1"/>
    <row r="650" ht="15" customHeight="1"/>
    <row r="651" ht="15" customHeight="1"/>
    <row r="652" ht="15" customHeight="1"/>
    <row r="653" ht="15" customHeight="1"/>
    <row r="654" ht="15" customHeight="1"/>
    <row r="655" ht="15" customHeight="1"/>
    <row r="656" ht="15" customHeight="1"/>
    <row r="657" ht="15" customHeight="1"/>
    <row r="658" ht="15" customHeight="1"/>
    <row r="659" ht="15" customHeight="1"/>
    <row r="661" ht="15" customHeight="1"/>
    <row r="663" ht="15" customHeight="1"/>
    <row r="664" ht="15" customHeight="1"/>
    <row r="665" ht="15" customHeight="1"/>
    <row r="666" ht="15" customHeight="1"/>
    <row r="667" ht="15" customHeight="1"/>
    <row r="668" ht="15" customHeight="1"/>
    <row r="669" ht="15" customHeight="1"/>
    <row r="670" ht="15" customHeight="1"/>
    <row r="671" ht="15" customHeight="1"/>
    <row r="672" ht="15" customHeight="1"/>
    <row r="673" ht="15" customHeight="1"/>
    <row r="674" ht="15" customHeight="1"/>
    <row r="675" ht="15" customHeight="1"/>
    <row r="676" ht="15" customHeight="1"/>
    <row r="677" ht="15" customHeight="1"/>
    <row r="678" ht="15" customHeight="1"/>
    <row r="679" ht="15" customHeight="1"/>
    <row r="680" ht="15" customHeight="1"/>
    <row r="682" ht="15" customHeight="1"/>
    <row r="683" ht="15" customHeight="1"/>
    <row r="684" ht="15" customHeight="1"/>
    <row r="685" ht="15" customHeight="1"/>
    <row r="686" ht="15" customHeight="1"/>
    <row r="687" ht="15" customHeight="1"/>
    <row r="689" ht="15" customHeight="1"/>
    <row r="690" ht="15" customHeight="1"/>
    <row r="691" ht="15" customHeight="1"/>
    <row r="692" ht="15" customHeight="1"/>
    <row r="693" ht="15" customHeight="1"/>
    <row r="694" ht="15" customHeight="1"/>
    <row r="695" ht="15" customHeight="1"/>
    <row r="696" ht="15" customHeight="1"/>
    <row r="697" ht="15" customHeight="1"/>
    <row r="698" ht="15" customHeight="1"/>
    <row r="699" ht="15" customHeight="1"/>
    <row r="701" ht="15" customHeight="1"/>
    <row r="702" ht="15" customHeight="1"/>
    <row r="703" ht="15" customHeight="1"/>
    <row r="704" ht="15" customHeight="1"/>
    <row r="705" spans="2:32" ht="15" customHeight="1"/>
    <row r="706" spans="2:32" ht="15" customHeight="1"/>
    <row r="707" spans="2:32" ht="15" customHeight="1"/>
    <row r="708" spans="2:32" ht="15" customHeight="1"/>
    <row r="709" spans="2:32" ht="15" customHeight="1"/>
    <row r="710" spans="2:32" ht="15" customHeight="1"/>
    <row r="711" spans="2:32" ht="15" customHeight="1"/>
    <row r="712" spans="2:32" ht="15" customHeight="1">
      <c r="B712" s="9"/>
      <c r="C712" s="9"/>
      <c r="D712" s="9"/>
      <c r="E712" s="9"/>
      <c r="F712" s="9"/>
      <c r="G712" s="9"/>
      <c r="H712" s="9"/>
      <c r="I712" s="9"/>
      <c r="J712" s="9"/>
      <c r="K712" s="9"/>
      <c r="L712" s="9"/>
      <c r="M712" s="9"/>
      <c r="N712" s="9"/>
      <c r="O712" s="9"/>
      <c r="P712" s="9"/>
      <c r="Q712" s="9"/>
      <c r="R712" s="9"/>
      <c r="S712" s="9"/>
      <c r="T712" s="9"/>
      <c r="U712" s="9"/>
      <c r="V712" s="9"/>
      <c r="W712" s="9"/>
      <c r="X712" s="9"/>
      <c r="Y712" s="9"/>
      <c r="Z712" s="9"/>
      <c r="AA712" s="9"/>
      <c r="AB712" s="9"/>
      <c r="AC712" s="9"/>
      <c r="AD712" s="9"/>
      <c r="AE712" s="9"/>
      <c r="AF712" s="9"/>
    </row>
    <row r="713" spans="2:32" ht="15" customHeight="1">
      <c r="B713" s="9"/>
      <c r="C713" s="9"/>
      <c r="D713" s="9"/>
      <c r="E713" s="9"/>
      <c r="F713" s="9"/>
      <c r="G713" s="9"/>
      <c r="H713" s="9"/>
      <c r="I713" s="9"/>
      <c r="J713" s="9"/>
      <c r="K713" s="9"/>
      <c r="L713" s="9"/>
      <c r="M713" s="9"/>
      <c r="N713" s="9"/>
      <c r="O713" s="9"/>
      <c r="P713" s="9"/>
      <c r="Q713" s="9"/>
      <c r="R713" s="9"/>
      <c r="S713" s="9"/>
      <c r="T713" s="9"/>
      <c r="U713" s="9"/>
      <c r="V713" s="9"/>
      <c r="W713" s="9"/>
      <c r="X713" s="9"/>
      <c r="Y713" s="9"/>
      <c r="Z713" s="9"/>
      <c r="AA713" s="9"/>
      <c r="AB713" s="9"/>
      <c r="AC713" s="9"/>
      <c r="AD713" s="9"/>
      <c r="AE713" s="9"/>
      <c r="AF713" s="9"/>
    </row>
    <row r="714" spans="2:32" ht="15" customHeight="1"/>
    <row r="715" spans="2:32" ht="15" customHeight="1"/>
    <row r="716" spans="2:32" ht="15" customHeight="1"/>
    <row r="717" spans="2:32" ht="15" customHeight="1"/>
    <row r="718" spans="2:32" ht="15" customHeight="1"/>
    <row r="719" spans="2:32" ht="15" customHeight="1"/>
    <row r="720" spans="2:32" ht="15" customHeight="1"/>
    <row r="721" ht="15" customHeight="1"/>
    <row r="722" ht="15" customHeight="1"/>
    <row r="723" ht="15" customHeight="1"/>
    <row r="724" ht="15" customHeight="1"/>
    <row r="725" ht="15" customHeight="1"/>
    <row r="726" ht="15" customHeight="1"/>
    <row r="727" ht="15" customHeight="1"/>
    <row r="728" ht="15" customHeight="1"/>
    <row r="729" ht="15" customHeight="1"/>
    <row r="730" ht="15" customHeight="1"/>
    <row r="731" ht="15" customHeight="1"/>
    <row r="732" ht="15" customHeight="1"/>
    <row r="733" ht="15" customHeight="1"/>
    <row r="776" ht="15" customHeight="1"/>
    <row r="777" ht="15" customHeight="1"/>
    <row r="778" ht="15" customHeight="1"/>
    <row r="779" ht="15" customHeight="1"/>
    <row r="780" ht="15" customHeight="1"/>
    <row r="781" ht="15" customHeight="1"/>
    <row r="783" ht="15" customHeight="1"/>
    <row r="784" ht="15" customHeight="1"/>
    <row r="785" ht="15" customHeight="1"/>
    <row r="786" ht="15" customHeight="1"/>
    <row r="788" ht="15" customHeight="1"/>
    <row r="789" ht="15" customHeight="1"/>
    <row r="790" ht="15" customHeight="1"/>
    <row r="791" ht="15" customHeight="1"/>
    <row r="793" ht="15" customHeight="1"/>
    <row r="794" ht="15" customHeight="1"/>
    <row r="795" ht="15" customHeight="1"/>
    <row r="796" ht="15" customHeight="1"/>
    <row r="797" ht="15" customHeight="1"/>
    <row r="798" ht="15" customHeight="1"/>
    <row r="799" ht="15" customHeight="1"/>
    <row r="800" ht="15" customHeight="1"/>
    <row r="801" ht="15" customHeight="1"/>
    <row r="802" ht="15" customHeight="1"/>
    <row r="803" ht="15" customHeight="1"/>
    <row r="804" ht="15" customHeight="1"/>
    <row r="805" ht="15" customHeight="1"/>
    <row r="806" ht="15" customHeight="1"/>
    <row r="807" ht="15" customHeight="1"/>
    <row r="809" ht="15" customHeight="1"/>
    <row r="810" ht="15" customHeight="1"/>
    <row r="811" ht="15" customHeight="1"/>
    <row r="812" ht="15" customHeight="1"/>
    <row r="813" ht="15" customHeight="1"/>
    <row r="814" ht="15" customHeight="1"/>
    <row r="815" ht="15" customHeight="1"/>
    <row r="817" ht="15" customHeight="1"/>
    <row r="818" ht="15" customHeight="1"/>
    <row r="819" ht="15" customHeight="1"/>
    <row r="820" ht="15" customHeight="1"/>
    <row r="821" ht="15" customHeight="1"/>
    <row r="823" ht="15" customHeight="1"/>
    <row r="824" ht="15" customHeight="1"/>
    <row r="826" ht="15" customHeight="1"/>
    <row r="827" ht="15" customHeight="1"/>
    <row r="828" ht="15" customHeight="1"/>
    <row r="829" ht="15" customHeight="1"/>
    <row r="830" ht="15" customHeight="1"/>
    <row r="831" ht="15" customHeight="1"/>
    <row r="832" ht="15" customHeight="1"/>
    <row r="833" ht="15" customHeight="1"/>
    <row r="834" ht="15" customHeight="1"/>
    <row r="835" ht="15" customHeight="1"/>
    <row r="836" ht="15" customHeight="1"/>
    <row r="837" ht="15" customHeight="1"/>
    <row r="838" ht="15" customHeight="1"/>
    <row r="839" ht="15" customHeight="1"/>
    <row r="841" ht="15" customHeight="1"/>
    <row r="843" ht="15" customHeight="1"/>
    <row r="844" ht="15" customHeight="1"/>
    <row r="845" ht="15" customHeight="1"/>
    <row r="846" ht="15" customHeight="1"/>
    <row r="847" ht="15" customHeight="1"/>
    <row r="848" ht="15" customHeight="1"/>
    <row r="849" ht="15" customHeight="1"/>
    <row r="850" ht="15" customHeight="1"/>
    <row r="851" ht="15" customHeight="1"/>
    <row r="852" ht="15" customHeight="1"/>
    <row r="853" ht="15" customHeight="1"/>
    <row r="854" ht="15" customHeight="1"/>
    <row r="855" ht="15" customHeight="1"/>
    <row r="856" ht="15" customHeight="1"/>
    <row r="858" ht="15" customHeight="1"/>
    <row r="859" ht="15" customHeight="1"/>
    <row r="860" ht="15" customHeight="1"/>
    <row r="861" ht="15" customHeight="1"/>
    <row r="862" ht="15" customHeight="1"/>
    <row r="864" ht="15" customHeight="1"/>
    <row r="865" ht="15" customHeight="1"/>
    <row r="866" ht="15" customHeight="1"/>
    <row r="867" ht="15" customHeight="1"/>
    <row r="868" ht="15" customHeight="1"/>
    <row r="869" ht="15" customHeight="1"/>
    <row r="870" ht="15" customHeight="1"/>
    <row r="871" ht="15" customHeight="1"/>
    <row r="872" ht="15" customHeight="1"/>
    <row r="873" ht="15" customHeight="1"/>
    <row r="874" ht="15" customHeight="1"/>
    <row r="876" ht="15" customHeight="1"/>
    <row r="877" ht="15" customHeight="1"/>
    <row r="878" ht="15" customHeight="1"/>
    <row r="879" ht="15" customHeight="1"/>
    <row r="880" ht="15" customHeight="1"/>
    <row r="881" spans="2:32" ht="15" customHeight="1"/>
    <row r="882" spans="2:32" ht="15" customHeight="1"/>
    <row r="883" spans="2:32" ht="15" customHeight="1"/>
    <row r="884" spans="2:32" ht="15" customHeight="1"/>
    <row r="885" spans="2:32" ht="15" customHeight="1"/>
    <row r="886" spans="2:32" ht="15" customHeight="1"/>
    <row r="887" spans="2:32" ht="15" customHeight="1">
      <c r="B887" s="9"/>
      <c r="C887" s="9"/>
      <c r="D887" s="9"/>
      <c r="E887" s="9"/>
      <c r="F887" s="9"/>
      <c r="G887" s="9"/>
      <c r="H887" s="9"/>
      <c r="I887" s="9"/>
      <c r="J887" s="9"/>
      <c r="K887" s="9"/>
      <c r="L887" s="9"/>
      <c r="M887" s="9"/>
      <c r="N887" s="9"/>
      <c r="O887" s="9"/>
      <c r="P887" s="9"/>
      <c r="Q887" s="9"/>
      <c r="R887" s="9"/>
      <c r="S887" s="9"/>
      <c r="T887" s="9"/>
      <c r="U887" s="9"/>
      <c r="V887" s="9"/>
      <c r="W887" s="9"/>
      <c r="X887" s="9"/>
      <c r="Y887" s="9"/>
      <c r="Z887" s="9"/>
      <c r="AA887" s="9"/>
      <c r="AB887" s="9"/>
      <c r="AC887" s="9"/>
      <c r="AD887" s="9"/>
      <c r="AE887" s="9"/>
      <c r="AF887" s="9"/>
    </row>
    <row r="888" spans="2:32" ht="15" customHeight="1">
      <c r="B888" s="9"/>
      <c r="C888" s="9"/>
      <c r="D888" s="9"/>
      <c r="E888" s="9"/>
      <c r="F888" s="9"/>
      <c r="G888" s="9"/>
      <c r="H888" s="9"/>
      <c r="I888" s="9"/>
      <c r="J888" s="9"/>
      <c r="K888" s="9"/>
      <c r="L888" s="9"/>
      <c r="M888" s="9"/>
      <c r="N888" s="9"/>
      <c r="O888" s="9"/>
      <c r="P888" s="9"/>
      <c r="Q888" s="9"/>
      <c r="R888" s="9"/>
      <c r="S888" s="9"/>
      <c r="T888" s="9"/>
      <c r="U888" s="9"/>
      <c r="V888" s="9"/>
      <c r="W888" s="9"/>
      <c r="X888" s="9"/>
      <c r="Y888" s="9"/>
      <c r="Z888" s="9"/>
      <c r="AA888" s="9"/>
      <c r="AB888" s="9"/>
      <c r="AC888" s="9"/>
      <c r="AD888" s="9"/>
      <c r="AE888" s="9"/>
      <c r="AF888" s="9"/>
    </row>
    <row r="889" spans="2:32" ht="15" customHeight="1"/>
    <row r="890" spans="2:32" ht="15" customHeight="1"/>
    <row r="891" spans="2:32" ht="15" customHeight="1"/>
    <row r="892" spans="2:32" ht="15" customHeight="1"/>
    <row r="893" spans="2:32" ht="15" customHeight="1"/>
    <row r="894" spans="2:32" ht="15" customHeight="1"/>
    <row r="895" spans="2:32" ht="15" customHeight="1"/>
    <row r="896" spans="2:32" ht="15" customHeight="1"/>
    <row r="897" ht="15" customHeight="1"/>
    <row r="898" ht="15" customHeight="1"/>
    <row r="899" ht="15" customHeight="1"/>
    <row r="900" ht="15" customHeight="1"/>
    <row r="901" ht="15" customHeight="1"/>
    <row r="902" ht="15" customHeight="1"/>
    <row r="903" ht="15" customHeight="1"/>
    <row r="904" ht="15" customHeight="1"/>
    <row r="905" ht="15" customHeight="1"/>
    <row r="906" ht="15" customHeight="1"/>
    <row r="951" ht="15" customHeight="1"/>
    <row r="952" ht="15" customHeight="1"/>
    <row r="953" ht="15" customHeight="1"/>
    <row r="954" ht="15" customHeight="1"/>
    <row r="955" ht="15" customHeight="1"/>
    <row r="956" ht="15" customHeight="1"/>
    <row r="957" ht="15" customHeight="1"/>
    <row r="958" ht="15" customHeight="1"/>
    <row r="959" ht="15" customHeight="1"/>
    <row r="960" ht="15" customHeight="1"/>
    <row r="962" ht="15" customHeight="1"/>
    <row r="963" ht="15" customHeight="1"/>
    <row r="964" ht="15" customHeight="1"/>
    <row r="965" ht="15" customHeight="1"/>
    <row r="966" ht="15" customHeight="1"/>
    <row r="967" ht="15" customHeight="1"/>
    <row r="968" ht="15" customHeight="1"/>
    <row r="969" ht="15" customHeight="1"/>
    <row r="970" ht="15" customHeight="1"/>
    <row r="971" ht="15" customHeight="1"/>
    <row r="972" ht="15" customHeight="1"/>
    <row r="973" ht="15" customHeight="1"/>
    <row r="974" ht="15" customHeight="1"/>
    <row r="975" ht="15" customHeight="1"/>
    <row r="976" ht="15" customHeight="1"/>
    <row r="977" ht="15" customHeight="1"/>
    <row r="978" ht="15" customHeight="1"/>
    <row r="979" ht="15" customHeight="1"/>
    <row r="980" ht="15" customHeight="1"/>
    <row r="981" ht="15" customHeight="1"/>
    <row r="982" ht="15" customHeight="1"/>
    <row r="983" ht="15" customHeight="1"/>
    <row r="984" ht="15" customHeight="1"/>
    <row r="985" ht="15" customHeight="1"/>
    <row r="986" ht="15" customHeight="1"/>
    <row r="989" ht="15" customHeight="1"/>
    <row r="990" ht="15" customHeight="1"/>
    <row r="991" ht="15" customHeight="1"/>
    <row r="992" ht="15" customHeight="1"/>
    <row r="993" ht="15" customHeight="1"/>
    <row r="994" ht="15" customHeight="1"/>
    <row r="995" ht="15" customHeight="1"/>
    <row r="996" ht="15" customHeight="1"/>
    <row r="997" ht="15" customHeight="1"/>
    <row r="998" ht="15" customHeight="1"/>
    <row r="999" ht="15" customHeight="1"/>
    <row r="1000" ht="15" customHeight="1"/>
    <row r="1001" ht="15" customHeight="1"/>
    <row r="1002" ht="15" customHeight="1"/>
    <row r="1003" ht="15" customHeight="1"/>
    <row r="1004" ht="15" customHeight="1"/>
    <row r="1005" ht="15" customHeight="1"/>
    <row r="1006" ht="15" customHeight="1"/>
    <row r="1007" ht="15" customHeight="1"/>
    <row r="1008" ht="15" customHeight="1"/>
    <row r="1009" ht="15" customHeight="1"/>
    <row r="1010" ht="15" customHeight="1"/>
    <row r="1011" ht="15" customHeight="1"/>
    <row r="1012" ht="15" customHeight="1"/>
    <row r="1013" ht="15" customHeight="1"/>
    <row r="1014" ht="15" customHeight="1"/>
    <row r="1017" ht="15" customHeight="1"/>
    <row r="1018" ht="15" customHeight="1"/>
    <row r="1019" ht="15" customHeight="1"/>
    <row r="1020" ht="15" customHeight="1"/>
    <row r="1021" ht="15" customHeight="1"/>
    <row r="1022" ht="15" customHeight="1"/>
    <row r="1023" ht="15" customHeight="1"/>
    <row r="1024" ht="15" customHeight="1"/>
    <row r="1025" ht="15" customHeight="1"/>
    <row r="1026" ht="15" customHeight="1"/>
    <row r="1027" ht="15" customHeight="1"/>
    <row r="1028" ht="15" customHeight="1"/>
    <row r="1029" ht="15" customHeight="1"/>
    <row r="1030" ht="15" customHeight="1"/>
    <row r="1031" ht="15" customHeight="1"/>
    <row r="1032" ht="15" customHeight="1"/>
    <row r="1033" ht="15" customHeight="1"/>
    <row r="1034" ht="15" customHeight="1"/>
    <row r="1035" ht="15" customHeight="1"/>
    <row r="1036" ht="15" customHeight="1"/>
    <row r="1038" ht="15" customHeight="1"/>
    <row r="1039" ht="15" customHeight="1"/>
    <row r="1040" ht="15" customHeight="1"/>
    <row r="1041" ht="15" customHeight="1"/>
    <row r="1042" ht="15" customHeight="1"/>
    <row r="1043" ht="15" customHeight="1"/>
    <row r="1044" ht="15" customHeight="1"/>
    <row r="1045" ht="15" customHeight="1"/>
    <row r="1046" ht="15" customHeight="1"/>
    <row r="1047" ht="15" customHeight="1"/>
    <row r="1048" ht="15" customHeight="1"/>
    <row r="1049" ht="15" customHeight="1"/>
    <row r="1050" ht="15" customHeight="1"/>
    <row r="1051" ht="15" customHeight="1"/>
    <row r="1052" ht="15" customHeight="1"/>
    <row r="1053" ht="15" customHeight="1"/>
    <row r="1054" ht="15" customHeight="1"/>
    <row r="1055" ht="15" customHeight="1"/>
    <row r="1056" ht="15" customHeight="1"/>
    <row r="1057" ht="15" customHeight="1"/>
    <row r="1058" ht="15" customHeight="1"/>
    <row r="1059" ht="15" customHeight="1"/>
    <row r="1060" ht="15" customHeight="1"/>
    <row r="1061" ht="15" customHeight="1"/>
    <row r="1062" ht="15" customHeight="1"/>
    <row r="1063" ht="15" customHeight="1"/>
    <row r="1064" ht="15" customHeight="1"/>
    <row r="1065" ht="15" customHeight="1"/>
    <row r="1067" ht="15" customHeight="1"/>
    <row r="1068" ht="15" customHeight="1"/>
    <row r="1069" ht="15" customHeight="1"/>
    <row r="1070" ht="15" customHeight="1"/>
    <row r="1071" ht="15" customHeight="1"/>
    <row r="1072" ht="15" customHeight="1"/>
    <row r="1073" ht="15" customHeight="1"/>
    <row r="1074" ht="15" customHeight="1"/>
    <row r="1075" ht="15" customHeight="1"/>
    <row r="1076" ht="15" customHeight="1"/>
    <row r="1077" ht="15" customHeight="1"/>
    <row r="1078" ht="15" customHeight="1"/>
    <row r="1079" ht="15" customHeight="1"/>
    <row r="1080" ht="15" customHeight="1"/>
    <row r="1081" ht="15" customHeight="1"/>
    <row r="1082" ht="15" customHeight="1"/>
    <row r="1083" ht="15" customHeight="1"/>
    <row r="1084" ht="15" customHeight="1"/>
    <row r="1085" ht="15" customHeight="1"/>
    <row r="1086" ht="15" customHeight="1"/>
    <row r="1087" ht="15" customHeight="1"/>
    <row r="1088" ht="15" customHeight="1"/>
    <row r="1089" spans="2:32" ht="15" customHeight="1"/>
    <row r="1090" spans="2:32" ht="15" customHeight="1"/>
    <row r="1091" spans="2:32" ht="15" customHeight="1"/>
    <row r="1092" spans="2:32" ht="15" customHeight="1"/>
    <row r="1093" spans="2:32" ht="15" customHeight="1"/>
    <row r="1094" spans="2:32" ht="15" customHeight="1"/>
    <row r="1095" spans="2:32" ht="15" customHeight="1"/>
    <row r="1097" spans="2:32" ht="15" customHeight="1">
      <c r="B1097" s="9"/>
      <c r="C1097" s="9"/>
      <c r="D1097" s="9"/>
      <c r="E1097" s="9"/>
      <c r="F1097" s="9"/>
      <c r="G1097" s="9"/>
      <c r="H1097" s="9"/>
      <c r="I1097" s="9"/>
      <c r="J1097" s="9"/>
      <c r="K1097" s="9"/>
      <c r="L1097" s="9"/>
      <c r="M1097" s="9"/>
      <c r="N1097" s="9"/>
      <c r="O1097" s="9"/>
      <c r="P1097" s="9"/>
      <c r="Q1097" s="9"/>
      <c r="R1097" s="9"/>
      <c r="S1097" s="9"/>
      <c r="T1097" s="9"/>
      <c r="U1097" s="9"/>
      <c r="V1097" s="9"/>
      <c r="W1097" s="9"/>
      <c r="X1097" s="9"/>
      <c r="Y1097" s="9"/>
      <c r="Z1097" s="9"/>
      <c r="AA1097" s="9"/>
      <c r="AB1097" s="9"/>
      <c r="AC1097" s="9"/>
      <c r="AD1097" s="9"/>
      <c r="AE1097" s="9"/>
      <c r="AF1097" s="9"/>
    </row>
    <row r="1098" spans="2:32" ht="15" customHeight="1"/>
    <row r="1099" spans="2:32" ht="15" customHeight="1"/>
    <row r="1100" spans="2:32" ht="15" customHeight="1"/>
    <row r="1101" spans="2:32" ht="15" customHeight="1">
      <c r="B1101" s="9"/>
      <c r="C1101" s="9"/>
      <c r="D1101" s="9"/>
      <c r="E1101" s="9"/>
      <c r="F1101" s="9"/>
      <c r="G1101" s="9"/>
      <c r="H1101" s="9"/>
      <c r="I1101" s="9"/>
      <c r="J1101" s="9"/>
      <c r="K1101" s="9"/>
      <c r="L1101" s="9"/>
      <c r="M1101" s="9"/>
      <c r="N1101" s="9"/>
      <c r="O1101" s="9"/>
      <c r="P1101" s="9"/>
      <c r="Q1101" s="9"/>
      <c r="R1101" s="9"/>
      <c r="S1101" s="9"/>
      <c r="T1101" s="9"/>
      <c r="U1101" s="9"/>
      <c r="V1101" s="9"/>
      <c r="W1101" s="9"/>
      <c r="X1101" s="9"/>
      <c r="Y1101" s="9"/>
      <c r="Z1101" s="9"/>
      <c r="AA1101" s="9"/>
      <c r="AB1101" s="9"/>
      <c r="AC1101" s="9"/>
      <c r="AD1101" s="9"/>
      <c r="AE1101" s="9"/>
      <c r="AF1101" s="9"/>
    </row>
    <row r="1102" spans="2:32" ht="15" customHeight="1">
      <c r="B1102" s="9"/>
      <c r="C1102" s="9"/>
      <c r="D1102" s="9"/>
      <c r="E1102" s="9"/>
      <c r="F1102" s="9"/>
      <c r="G1102" s="9"/>
      <c r="H1102" s="9"/>
      <c r="I1102" s="9"/>
      <c r="J1102" s="9"/>
      <c r="K1102" s="9"/>
      <c r="L1102" s="9"/>
      <c r="M1102" s="9"/>
      <c r="N1102" s="9"/>
      <c r="O1102" s="9"/>
      <c r="P1102" s="9"/>
      <c r="Q1102" s="9"/>
      <c r="R1102" s="9"/>
      <c r="S1102" s="9"/>
      <c r="T1102" s="9"/>
      <c r="U1102" s="9"/>
      <c r="V1102" s="9"/>
      <c r="W1102" s="9"/>
      <c r="X1102" s="9"/>
      <c r="Y1102" s="9"/>
      <c r="Z1102" s="9"/>
      <c r="AA1102" s="9"/>
      <c r="AB1102" s="9"/>
      <c r="AC1102" s="9"/>
      <c r="AD1102" s="9"/>
      <c r="AE1102" s="9"/>
      <c r="AF1102" s="9"/>
    </row>
    <row r="1103" spans="2:32" ht="15" customHeight="1"/>
    <row r="1104" spans="2:32" ht="15" customHeight="1"/>
    <row r="1105" ht="15" customHeight="1"/>
    <row r="1106" ht="15" customHeight="1"/>
    <row r="1107" ht="15" customHeight="1"/>
    <row r="1108" ht="15" customHeight="1"/>
    <row r="1109" ht="15" customHeight="1"/>
    <row r="1110" ht="15" customHeight="1"/>
    <row r="1111" ht="15" customHeight="1"/>
    <row r="1112" ht="15" customHeight="1"/>
    <row r="1151" ht="15" customHeight="1"/>
    <row r="1152" ht="15" customHeight="1"/>
    <row r="1153" ht="15" customHeight="1"/>
    <row r="1154" ht="15" customHeight="1"/>
    <row r="1155" ht="15" customHeight="1"/>
    <row r="1156" ht="15" customHeight="1"/>
    <row r="1157" ht="15" customHeight="1"/>
    <row r="1158" ht="15" customHeight="1"/>
    <row r="1159" ht="15" customHeight="1"/>
    <row r="1160" ht="15" customHeight="1"/>
    <row r="1161" ht="15" customHeight="1"/>
    <row r="1162" ht="15" customHeight="1"/>
    <row r="1163" ht="15" customHeight="1"/>
    <row r="1164" ht="15" customHeight="1"/>
    <row r="1165" ht="15" customHeight="1"/>
    <row r="1166" ht="15" customHeight="1"/>
    <row r="1167" ht="15" customHeight="1"/>
    <row r="1168" ht="15" customHeight="1"/>
    <row r="1169" ht="15" customHeight="1"/>
    <row r="1171" ht="15" customHeight="1"/>
    <row r="1172" ht="15" customHeight="1"/>
    <row r="1173" ht="15" customHeight="1"/>
    <row r="1174" ht="15" customHeight="1"/>
    <row r="1175" ht="15" customHeight="1"/>
    <row r="1176" ht="15" customHeight="1"/>
    <row r="1177" ht="15" customHeight="1"/>
    <row r="1178" ht="15" customHeight="1"/>
    <row r="1179" ht="15" customHeight="1"/>
    <row r="1180" ht="15" customHeight="1"/>
    <row r="1181" ht="15" customHeight="1"/>
    <row r="1182" ht="15" customHeight="1"/>
    <row r="1183" ht="15" customHeight="1"/>
    <row r="1184" ht="15" customHeight="1"/>
    <row r="1185" ht="15" customHeight="1"/>
    <row r="1186" ht="15" customHeight="1"/>
    <row r="1187" ht="15" customHeight="1"/>
    <row r="1188" ht="15" customHeight="1"/>
    <row r="1189" ht="15" customHeight="1"/>
    <row r="1190" ht="15" customHeight="1"/>
    <row r="1191" ht="15" customHeight="1"/>
    <row r="1192" ht="15" customHeight="1"/>
    <row r="1193" ht="15" customHeight="1"/>
    <row r="1195" ht="15" customHeight="1"/>
    <row r="1196" ht="15" customHeight="1"/>
    <row r="1197" ht="15" customHeight="1"/>
    <row r="1198" ht="15" customHeight="1"/>
    <row r="1199" ht="15" customHeight="1"/>
    <row r="1200" ht="15" customHeight="1"/>
    <row r="1201" ht="15" customHeight="1"/>
    <row r="1202" ht="15" customHeight="1"/>
    <row r="1203" ht="15" customHeight="1"/>
    <row r="1204" ht="15" customHeight="1"/>
    <row r="1205" ht="15" customHeight="1"/>
    <row r="1206" ht="15" customHeight="1"/>
    <row r="1207" ht="15" customHeight="1"/>
    <row r="1208" ht="15" customHeight="1"/>
    <row r="1209" ht="15" customHeight="1"/>
    <row r="1210" ht="15" customHeight="1"/>
    <row r="1212" ht="15" customHeight="1"/>
    <row r="1213" ht="15" customHeight="1"/>
    <row r="1214" ht="15" customHeight="1"/>
    <row r="1215" ht="15" customHeight="1"/>
    <row r="1216" ht="15" customHeight="1"/>
    <row r="1217" spans="2:32" ht="15" customHeight="1"/>
    <row r="1218" spans="2:32" ht="15" customHeight="1"/>
    <row r="1219" spans="2:32" ht="15" customHeight="1"/>
    <row r="1220" spans="2:32" ht="15" customHeight="1"/>
    <row r="1221" spans="2:32" ht="15" customHeight="1"/>
    <row r="1222" spans="2:32" ht="15" customHeight="1"/>
    <row r="1223" spans="2:32" ht="15" customHeight="1"/>
    <row r="1224" spans="2:32" ht="15" customHeight="1"/>
    <row r="1225" spans="2:32" ht="15" customHeight="1"/>
    <row r="1226" spans="2:32" ht="15" customHeight="1"/>
    <row r="1227" spans="2:32" ht="15" customHeight="1"/>
    <row r="1228" spans="2:32" ht="15" customHeight="1"/>
    <row r="1229" spans="2:32" ht="15" customHeight="1">
      <c r="B1229" s="9"/>
      <c r="C1229" s="9"/>
      <c r="D1229" s="9"/>
      <c r="E1229" s="9"/>
      <c r="F1229" s="9"/>
      <c r="G1229" s="9"/>
      <c r="H1229" s="9"/>
      <c r="I1229" s="9"/>
      <c r="J1229" s="9"/>
      <c r="K1229" s="9"/>
      <c r="L1229" s="9"/>
      <c r="M1229" s="9"/>
      <c r="N1229" s="9"/>
      <c r="O1229" s="9"/>
      <c r="P1229" s="9"/>
      <c r="Q1229" s="9"/>
      <c r="R1229" s="9"/>
      <c r="S1229" s="9"/>
      <c r="T1229" s="9"/>
      <c r="U1229" s="9"/>
      <c r="V1229" s="9"/>
      <c r="W1229" s="9"/>
      <c r="X1229" s="9"/>
      <c r="Y1229" s="9"/>
      <c r="Z1229" s="9"/>
      <c r="AA1229" s="9"/>
      <c r="AB1229" s="9"/>
      <c r="AC1229" s="9"/>
      <c r="AD1229" s="9"/>
      <c r="AE1229" s="9"/>
      <c r="AF1229" s="9"/>
    </row>
    <row r="1230" spans="2:32" ht="15" customHeight="1">
      <c r="B1230" s="9"/>
      <c r="C1230" s="9"/>
      <c r="D1230" s="9"/>
      <c r="E1230" s="9"/>
      <c r="F1230" s="9"/>
      <c r="G1230" s="9"/>
      <c r="H1230" s="9"/>
      <c r="I1230" s="9"/>
      <c r="J1230" s="9"/>
      <c r="K1230" s="9"/>
      <c r="L1230" s="9"/>
      <c r="M1230" s="9"/>
      <c r="N1230" s="9"/>
      <c r="O1230" s="9"/>
      <c r="P1230" s="9"/>
      <c r="Q1230" s="9"/>
      <c r="R1230" s="9"/>
      <c r="S1230" s="9"/>
      <c r="T1230" s="9"/>
      <c r="U1230" s="9"/>
      <c r="V1230" s="9"/>
      <c r="W1230" s="9"/>
      <c r="X1230" s="9"/>
      <c r="Y1230" s="9"/>
      <c r="Z1230" s="9"/>
      <c r="AA1230" s="9"/>
      <c r="AB1230" s="9"/>
      <c r="AC1230" s="9"/>
      <c r="AD1230" s="9"/>
      <c r="AE1230" s="9"/>
      <c r="AF1230" s="9"/>
    </row>
    <row r="1231" spans="2:32" ht="15" customHeight="1"/>
    <row r="1232" spans="2:32" ht="15" customHeight="1"/>
    <row r="1233" ht="15" customHeight="1"/>
    <row r="1234" ht="15" customHeight="1"/>
    <row r="1235" ht="15" customHeight="1"/>
    <row r="1236" ht="15" customHeight="1"/>
    <row r="1237" ht="15" customHeight="1"/>
    <row r="1238" ht="15" customHeight="1"/>
    <row r="1301" ht="15" customHeight="1"/>
    <row r="1302" ht="15" customHeight="1"/>
    <row r="1303" ht="15" customHeight="1"/>
    <row r="1304" ht="15" customHeight="1"/>
    <row r="1305" ht="15" customHeight="1"/>
    <row r="1306" ht="15" customHeight="1"/>
    <row r="1308" ht="15" customHeight="1"/>
    <row r="1309" ht="15" customHeight="1"/>
    <row r="1310" ht="15" customHeight="1"/>
    <row r="1311" ht="15" customHeight="1"/>
    <row r="1312" ht="15" customHeight="1"/>
    <row r="1313" ht="15" customHeight="1"/>
    <row r="1314" ht="15" customHeight="1"/>
    <row r="1315" ht="15" customHeight="1"/>
    <row r="1316" ht="15" customHeight="1"/>
    <row r="1317" ht="15" customHeight="1"/>
    <row r="1318" ht="15" customHeight="1"/>
    <row r="1319" ht="15" customHeight="1"/>
    <row r="1320" ht="15" customHeight="1"/>
    <row r="1321" ht="15" customHeight="1"/>
    <row r="1322" ht="15" customHeight="1"/>
    <row r="1323" ht="15" customHeight="1"/>
    <row r="1324" ht="15" customHeight="1"/>
    <row r="1325" ht="15" customHeight="1"/>
    <row r="1326" ht="15" customHeight="1"/>
    <row r="1328" ht="15" customHeight="1"/>
    <row r="1330" ht="15" customHeight="1"/>
    <row r="1331" ht="15" customHeight="1"/>
    <row r="1332" ht="15" customHeight="1"/>
    <row r="1333" ht="15" customHeight="1"/>
    <row r="1334" ht="15" customHeight="1"/>
    <row r="1335" ht="15" customHeight="1"/>
    <row r="1336" ht="15" customHeight="1"/>
    <row r="1337" ht="15" customHeight="1"/>
    <row r="1338" ht="15" customHeight="1"/>
    <row r="1339" ht="15" customHeight="1"/>
    <row r="1341" ht="15" customHeight="1"/>
    <row r="1342" ht="15" customHeight="1"/>
    <row r="1343" ht="15" customHeight="1"/>
    <row r="1344" ht="15" customHeight="1"/>
    <row r="1345" ht="15" customHeight="1"/>
    <row r="1346" ht="15" customHeight="1"/>
    <row r="1347" ht="15" customHeight="1"/>
    <row r="1348" ht="15" customHeight="1"/>
    <row r="1349" ht="15" customHeight="1"/>
    <row r="1351" ht="15" customHeight="1"/>
    <row r="1353" ht="15" customHeight="1"/>
    <row r="1354" ht="15" customHeight="1"/>
    <row r="1355" ht="15" customHeight="1"/>
    <row r="1356" ht="15" customHeight="1"/>
    <row r="1357" ht="15" customHeight="1"/>
    <row r="1358" ht="15" customHeight="1"/>
    <row r="1359" ht="15" customHeight="1"/>
    <row r="1360" ht="15" customHeight="1"/>
    <row r="1362" ht="15" customHeight="1"/>
    <row r="1363" ht="15" customHeight="1"/>
    <row r="1364" ht="15" customHeight="1"/>
    <row r="1365" ht="15" customHeight="1"/>
    <row r="1366" ht="15" customHeight="1"/>
    <row r="1367" ht="15" customHeight="1"/>
    <row r="1368" ht="15" customHeight="1"/>
    <row r="1369" ht="15" customHeight="1"/>
    <row r="1370" ht="15" customHeight="1"/>
    <row r="1371" ht="15" customHeight="1"/>
    <row r="1372" ht="15" customHeight="1"/>
    <row r="1373" ht="15" customHeight="1"/>
    <row r="1374" ht="15" customHeight="1"/>
    <row r="1376" ht="15" customHeight="1"/>
    <row r="1377" spans="2:32" ht="15" customHeight="1"/>
    <row r="1378" spans="2:32" ht="15" customHeight="1"/>
    <row r="1379" spans="2:32" ht="15" customHeight="1"/>
    <row r="1380" spans="2:32" ht="15" customHeight="1"/>
    <row r="1381" spans="2:32" ht="15" customHeight="1"/>
    <row r="1382" spans="2:32" ht="15" customHeight="1"/>
    <row r="1383" spans="2:32" ht="15" customHeight="1"/>
    <row r="1384" spans="2:32" ht="15" customHeight="1"/>
    <row r="1385" spans="2:32">
      <c r="B1385" s="9"/>
      <c r="C1385" s="9"/>
      <c r="D1385" s="9"/>
      <c r="E1385" s="9"/>
      <c r="F1385" s="9"/>
      <c r="G1385" s="9"/>
      <c r="H1385" s="9"/>
      <c r="I1385" s="9"/>
      <c r="J1385" s="9"/>
      <c r="K1385" s="9"/>
      <c r="L1385" s="9"/>
      <c r="M1385" s="9"/>
      <c r="N1385" s="9"/>
      <c r="O1385" s="9"/>
      <c r="P1385" s="9"/>
      <c r="Q1385" s="9"/>
      <c r="R1385" s="9"/>
      <c r="S1385" s="9"/>
      <c r="T1385" s="9"/>
      <c r="U1385" s="9"/>
      <c r="V1385" s="9"/>
      <c r="W1385" s="9"/>
      <c r="X1385" s="9"/>
      <c r="Y1385" s="9"/>
      <c r="Z1385" s="9"/>
      <c r="AA1385" s="9"/>
      <c r="AB1385" s="9"/>
      <c r="AC1385" s="9"/>
      <c r="AD1385" s="9"/>
      <c r="AE1385" s="9"/>
      <c r="AF1385" s="9"/>
    </row>
    <row r="1386" spans="2:32" ht="15" customHeight="1"/>
    <row r="1387" spans="2:32" ht="15" customHeight="1"/>
    <row r="1388" spans="2:32" ht="15" customHeight="1"/>
    <row r="1389" spans="2:32" ht="15" customHeight="1"/>
    <row r="1390" spans="2:32" ht="15" customHeight="1">
      <c r="B1390" s="9"/>
      <c r="C1390" s="9"/>
      <c r="D1390" s="9"/>
      <c r="E1390" s="9"/>
      <c r="F1390" s="9"/>
      <c r="G1390" s="9"/>
      <c r="H1390" s="9"/>
      <c r="I1390" s="9"/>
      <c r="J1390" s="9"/>
      <c r="K1390" s="9"/>
      <c r="L1390" s="9"/>
      <c r="M1390" s="9"/>
      <c r="N1390" s="9"/>
      <c r="O1390" s="9"/>
      <c r="P1390" s="9"/>
      <c r="Q1390" s="9"/>
      <c r="R1390" s="9"/>
      <c r="S1390" s="9"/>
      <c r="T1390" s="9"/>
      <c r="U1390" s="9"/>
      <c r="V1390" s="9"/>
      <c r="W1390" s="9"/>
      <c r="X1390" s="9"/>
      <c r="Y1390" s="9"/>
      <c r="Z1390" s="9"/>
      <c r="AA1390" s="9"/>
      <c r="AB1390" s="9"/>
      <c r="AC1390" s="9"/>
      <c r="AD1390" s="9"/>
      <c r="AE1390" s="9"/>
      <c r="AF1390" s="9"/>
    </row>
    <row r="1391" spans="2:32" ht="15" customHeight="1">
      <c r="B1391" s="9"/>
      <c r="C1391" s="9"/>
      <c r="D1391" s="9"/>
      <c r="E1391" s="9"/>
      <c r="F1391" s="9"/>
      <c r="G1391" s="9"/>
      <c r="H1391" s="9"/>
      <c r="I1391" s="9"/>
      <c r="J1391" s="9"/>
      <c r="K1391" s="9"/>
      <c r="L1391" s="9"/>
      <c r="M1391" s="9"/>
      <c r="N1391" s="9"/>
      <c r="O1391" s="9"/>
      <c r="P1391" s="9"/>
      <c r="Q1391" s="9"/>
      <c r="R1391" s="9"/>
      <c r="S1391" s="9"/>
      <c r="T1391" s="9"/>
      <c r="U1391" s="9"/>
      <c r="V1391" s="9"/>
      <c r="W1391" s="9"/>
      <c r="X1391" s="9"/>
      <c r="Y1391" s="9"/>
      <c r="Z1391" s="9"/>
      <c r="AA1391" s="9"/>
      <c r="AB1391" s="9"/>
      <c r="AC1391" s="9"/>
      <c r="AD1391" s="9"/>
      <c r="AE1391" s="9"/>
      <c r="AF1391" s="9"/>
    </row>
    <row r="1392" spans="2:32" ht="15" customHeight="1"/>
    <row r="1393" ht="15" customHeight="1"/>
    <row r="1394" ht="15" customHeight="1"/>
    <row r="1395" ht="15" customHeight="1"/>
    <row r="1396" ht="15" customHeight="1"/>
    <row r="1397" ht="15" customHeight="1"/>
    <row r="1398" ht="15" customHeight="1"/>
    <row r="1399" ht="15" customHeight="1"/>
    <row r="1400" ht="15" customHeight="1"/>
    <row r="1401" ht="15" customHeight="1"/>
    <row r="1402" ht="15" customHeight="1"/>
    <row r="1403" ht="15" customHeight="1"/>
    <row r="1404" ht="15" customHeight="1"/>
    <row r="1405" ht="15" customHeight="1"/>
    <row r="1406" ht="15" customHeight="1"/>
    <row r="1407" ht="15" customHeight="1"/>
    <row r="1408" ht="15" customHeight="1"/>
    <row r="1409" ht="15" customHeight="1"/>
    <row r="1410" ht="15" customHeight="1"/>
    <row r="1411" ht="15" customHeight="1"/>
    <row r="1426" ht="15" customHeight="1"/>
    <row r="1427" ht="15" customHeight="1"/>
    <row r="1428" ht="15" customHeight="1"/>
    <row r="1429" ht="15" customHeight="1"/>
    <row r="1430" ht="15" customHeight="1"/>
    <row r="1431" ht="15" customHeight="1"/>
    <row r="1432" ht="15" customHeight="1"/>
    <row r="1433" ht="15" customHeight="1"/>
    <row r="1434" ht="15" customHeight="1"/>
    <row r="1435" ht="15" customHeight="1"/>
    <row r="1436" ht="15" customHeight="1"/>
    <row r="1437" ht="15" customHeight="1"/>
    <row r="1438" ht="15" customHeight="1"/>
    <row r="1439" ht="15" customHeight="1"/>
    <row r="1440" ht="15" customHeight="1"/>
    <row r="1441" ht="15" customHeight="1"/>
    <row r="1442" ht="15" customHeight="1"/>
    <row r="1443" ht="15" customHeight="1"/>
    <row r="1444" ht="15" customHeight="1"/>
    <row r="1445" ht="15" customHeight="1"/>
    <row r="1446" ht="15" customHeight="1"/>
    <row r="1447" ht="15" customHeight="1"/>
    <row r="1448" ht="15" customHeight="1"/>
    <row r="1449" ht="15" customHeight="1"/>
    <row r="1450" ht="15" customHeight="1"/>
    <row r="1452" ht="15" customHeight="1"/>
    <row r="1453" ht="15" customHeight="1"/>
    <row r="1454" ht="15" customHeight="1"/>
    <row r="1455" ht="15" customHeight="1"/>
    <row r="1456" ht="15" customHeight="1"/>
    <row r="1457" ht="15" customHeight="1"/>
    <row r="1458" ht="15" customHeight="1"/>
    <row r="1459" ht="15" customHeight="1"/>
    <row r="1460" ht="15" customHeight="1"/>
    <row r="1461" ht="15" customHeight="1"/>
    <row r="1462" ht="15" customHeight="1"/>
    <row r="1463" ht="15" customHeight="1"/>
    <row r="1464" ht="15" customHeight="1"/>
    <row r="1465" ht="15" customHeight="1"/>
    <row r="1466" ht="15" customHeight="1"/>
    <row r="1467" ht="15" customHeight="1"/>
    <row r="1468" ht="15" customHeight="1"/>
    <row r="1469" ht="15" customHeight="1"/>
    <row r="1470" ht="15" customHeight="1"/>
    <row r="1471" ht="15" customHeight="1"/>
    <row r="1472" ht="15" customHeight="1"/>
    <row r="1473" ht="15" customHeight="1"/>
    <row r="1474" ht="15" customHeight="1"/>
    <row r="1475" ht="15" customHeight="1"/>
    <row r="1476" ht="15" customHeight="1"/>
    <row r="1478" ht="15" customHeight="1"/>
    <row r="1479" ht="15" customHeight="1"/>
    <row r="1480" ht="15" customHeight="1"/>
    <row r="1481" ht="15" customHeight="1"/>
    <row r="1482" ht="15" customHeight="1"/>
    <row r="1483" ht="15" customHeight="1"/>
    <row r="1484" ht="15" customHeight="1"/>
    <row r="1485" ht="15" customHeight="1"/>
    <row r="1486" ht="15" customHeight="1"/>
    <row r="1487" ht="15" customHeight="1"/>
    <row r="1488" ht="15" customHeight="1"/>
    <row r="1490" spans="2:32" ht="15" customHeight="1"/>
    <row r="1491" spans="2:32">
      <c r="B1491" s="9"/>
      <c r="C1491" s="9"/>
      <c r="D1491" s="9"/>
      <c r="E1491" s="9"/>
      <c r="F1491" s="9"/>
      <c r="G1491" s="9"/>
      <c r="H1491" s="9"/>
      <c r="I1491" s="9"/>
      <c r="J1491" s="9"/>
      <c r="K1491" s="9"/>
      <c r="L1491" s="9"/>
      <c r="M1491" s="9"/>
      <c r="N1491" s="9"/>
      <c r="O1491" s="9"/>
      <c r="P1491" s="9"/>
      <c r="Q1491" s="9"/>
      <c r="R1491" s="9"/>
      <c r="S1491" s="9"/>
      <c r="T1491" s="9"/>
      <c r="U1491" s="9"/>
      <c r="V1491" s="9"/>
      <c r="W1491" s="9"/>
      <c r="X1491" s="9"/>
      <c r="Y1491" s="9"/>
      <c r="Z1491" s="9"/>
      <c r="AA1491" s="9"/>
      <c r="AB1491" s="9"/>
      <c r="AC1491" s="9"/>
      <c r="AD1491" s="9"/>
      <c r="AE1491" s="9"/>
      <c r="AF1491" s="9"/>
    </row>
    <row r="1492" spans="2:32" ht="15" customHeight="1"/>
    <row r="1493" spans="2:32" ht="15" customHeight="1"/>
    <row r="1494" spans="2:32" ht="15" customHeight="1"/>
    <row r="1495" spans="2:32" ht="15" customHeight="1"/>
    <row r="1496" spans="2:32" ht="15" customHeight="1"/>
    <row r="1497" spans="2:32" ht="15" customHeight="1"/>
    <row r="1498" spans="2:32" ht="15" customHeight="1"/>
    <row r="1499" spans="2:32" ht="15" customHeight="1"/>
    <row r="1500" spans="2:32">
      <c r="B1500" s="9"/>
      <c r="C1500" s="9"/>
      <c r="D1500" s="9"/>
      <c r="E1500" s="9"/>
      <c r="F1500" s="9"/>
      <c r="G1500" s="9"/>
      <c r="H1500" s="9"/>
      <c r="I1500" s="9"/>
      <c r="J1500" s="9"/>
      <c r="K1500" s="9"/>
      <c r="L1500" s="9"/>
      <c r="M1500" s="9"/>
      <c r="N1500" s="9"/>
      <c r="O1500" s="9"/>
      <c r="P1500" s="9"/>
      <c r="Q1500" s="9"/>
      <c r="R1500" s="9"/>
      <c r="S1500" s="9"/>
      <c r="T1500" s="9"/>
      <c r="U1500" s="9"/>
      <c r="V1500" s="9"/>
      <c r="W1500" s="9"/>
      <c r="X1500" s="9"/>
      <c r="Y1500" s="9"/>
      <c r="Z1500" s="9"/>
      <c r="AA1500" s="9"/>
      <c r="AB1500" s="9"/>
      <c r="AC1500" s="9"/>
      <c r="AD1500" s="9"/>
      <c r="AE1500" s="9"/>
      <c r="AF1500" s="9"/>
    </row>
    <row r="1501" spans="2:32" ht="15" customHeight="1"/>
    <row r="1502" spans="2:32" ht="15" customHeight="1">
      <c r="B1502" s="9"/>
      <c r="C1502" s="9"/>
      <c r="D1502" s="9"/>
      <c r="E1502" s="9"/>
      <c r="F1502" s="9"/>
      <c r="G1502" s="9"/>
      <c r="H1502" s="9"/>
      <c r="I1502" s="9"/>
      <c r="J1502" s="9"/>
      <c r="K1502" s="9"/>
      <c r="L1502" s="9"/>
      <c r="M1502" s="9"/>
      <c r="N1502" s="9"/>
      <c r="O1502" s="9"/>
      <c r="P1502" s="9"/>
      <c r="Q1502" s="9"/>
      <c r="R1502" s="9"/>
      <c r="S1502" s="9"/>
      <c r="T1502" s="9"/>
      <c r="U1502" s="9"/>
      <c r="V1502" s="9"/>
      <c r="W1502" s="9"/>
      <c r="X1502" s="9"/>
      <c r="Y1502" s="9"/>
      <c r="Z1502" s="9"/>
      <c r="AA1502" s="9"/>
      <c r="AB1502" s="9"/>
      <c r="AC1502" s="9"/>
      <c r="AD1502" s="9"/>
      <c r="AE1502" s="9"/>
      <c r="AF1502" s="9"/>
    </row>
    <row r="1503" spans="2:32" ht="15" customHeight="1">
      <c r="B1503" s="9"/>
      <c r="C1503" s="9"/>
      <c r="D1503" s="9"/>
      <c r="E1503" s="9"/>
      <c r="F1503" s="9"/>
      <c r="G1503" s="9"/>
      <c r="H1503" s="9"/>
      <c r="I1503" s="9"/>
      <c r="J1503" s="9"/>
      <c r="K1503" s="9"/>
      <c r="L1503" s="9"/>
      <c r="M1503" s="9"/>
      <c r="N1503" s="9"/>
      <c r="O1503" s="9"/>
      <c r="P1503" s="9"/>
      <c r="Q1503" s="9"/>
      <c r="R1503" s="9"/>
      <c r="S1503" s="9"/>
      <c r="T1503" s="9"/>
      <c r="U1503" s="9"/>
      <c r="V1503" s="9"/>
      <c r="W1503" s="9"/>
      <c r="X1503" s="9"/>
      <c r="Y1503" s="9"/>
      <c r="Z1503" s="9"/>
      <c r="AA1503" s="9"/>
      <c r="AB1503" s="9"/>
      <c r="AC1503" s="9"/>
      <c r="AD1503" s="9"/>
      <c r="AE1503" s="9"/>
      <c r="AF1503" s="9"/>
    </row>
    <row r="1504" spans="2:32" ht="15" customHeight="1"/>
    <row r="1505" ht="15" customHeight="1"/>
    <row r="1506" ht="15" customHeight="1"/>
    <row r="1507" ht="15" customHeight="1"/>
    <row r="1508" ht="15" customHeight="1"/>
    <row r="1509" ht="15" customHeight="1"/>
    <row r="1510" ht="15" customHeight="1"/>
    <row r="1511" ht="15" customHeight="1"/>
    <row r="1512" ht="15" customHeight="1"/>
    <row r="1513" ht="15" customHeight="1"/>
    <row r="1514" ht="15" customHeight="1"/>
    <row r="1515" ht="15" customHeight="1"/>
    <row r="1516" ht="15" customHeight="1"/>
    <row r="1517" ht="15" customHeight="1"/>
    <row r="1518" ht="15" customHeight="1"/>
    <row r="1519" ht="15" customHeight="1"/>
    <row r="1520" ht="15" customHeight="1"/>
    <row r="1521" ht="15" customHeight="1"/>
    <row r="1522" ht="15" customHeight="1"/>
    <row r="1523" ht="15" customHeight="1"/>
    <row r="1524" ht="15" customHeight="1"/>
    <row r="1525" ht="15" customHeight="1"/>
    <row r="1526" ht="15" customHeight="1"/>
    <row r="1527" ht="15" customHeight="1"/>
    <row r="1576" ht="15" customHeight="1"/>
    <row r="1577" ht="15" customHeight="1"/>
    <row r="1578" ht="15" customHeight="1"/>
    <row r="1579" ht="15" customHeight="1"/>
    <row r="1580" ht="15" customHeight="1"/>
    <row r="1581" ht="15" customHeight="1"/>
    <row r="1583" ht="15" customHeight="1"/>
    <row r="1584" ht="15" customHeight="1"/>
    <row r="1585" ht="15" customHeight="1"/>
    <row r="1586" ht="15" customHeight="1"/>
    <row r="1588" ht="15" customHeight="1"/>
    <row r="1589" ht="15" customHeight="1"/>
    <row r="1590" ht="15" customHeight="1"/>
    <row r="1591" ht="15" customHeight="1"/>
    <row r="1593" ht="15" customHeight="1"/>
    <row r="1595" ht="15" customHeight="1"/>
    <row r="1596" ht="15" customHeight="1"/>
    <row r="1597" ht="15" customHeight="1"/>
    <row r="1598" ht="15" customHeight="1"/>
    <row r="1600" ht="15" customHeight="1"/>
    <row r="1601" spans="2:32" ht="15" customHeight="1"/>
    <row r="1602" spans="2:32" ht="15" customHeight="1"/>
    <row r="1603" spans="2:32" ht="15" customHeight="1"/>
    <row r="1604" spans="2:32" ht="15" customHeight="1">
      <c r="B1604" s="9"/>
      <c r="C1604" s="9"/>
      <c r="D1604" s="9"/>
      <c r="E1604" s="9"/>
      <c r="F1604" s="9"/>
      <c r="G1604" s="9"/>
      <c r="H1604" s="9"/>
      <c r="I1604" s="9"/>
      <c r="J1604" s="9"/>
      <c r="K1604" s="9"/>
      <c r="L1604" s="9"/>
      <c r="M1604" s="9"/>
      <c r="N1604" s="9"/>
      <c r="O1604" s="9"/>
      <c r="P1604" s="9"/>
      <c r="Q1604" s="9"/>
      <c r="R1604" s="9"/>
      <c r="S1604" s="9"/>
      <c r="T1604" s="9"/>
      <c r="U1604" s="9"/>
      <c r="V1604" s="9"/>
      <c r="W1604" s="9"/>
      <c r="X1604" s="9"/>
      <c r="Y1604" s="9"/>
      <c r="Z1604" s="9"/>
      <c r="AA1604" s="9"/>
      <c r="AB1604" s="9"/>
      <c r="AC1604" s="9"/>
      <c r="AD1604" s="9"/>
      <c r="AE1604" s="9"/>
      <c r="AF1604" s="9"/>
    </row>
    <row r="1605" spans="2:32" ht="15" customHeight="1">
      <c r="B1605" s="9"/>
      <c r="C1605" s="9"/>
      <c r="D1605" s="9"/>
      <c r="E1605" s="9"/>
      <c r="F1605" s="9"/>
      <c r="G1605" s="9"/>
      <c r="H1605" s="9"/>
      <c r="I1605" s="9"/>
      <c r="J1605" s="9"/>
      <c r="K1605" s="9"/>
      <c r="L1605" s="9"/>
      <c r="M1605" s="9"/>
      <c r="N1605" s="9"/>
      <c r="O1605" s="9"/>
      <c r="P1605" s="9"/>
      <c r="Q1605" s="9"/>
      <c r="R1605" s="9"/>
      <c r="S1605" s="9"/>
      <c r="T1605" s="9"/>
      <c r="U1605" s="9"/>
      <c r="V1605" s="9"/>
      <c r="W1605" s="9"/>
      <c r="X1605" s="9"/>
      <c r="Y1605" s="9"/>
      <c r="Z1605" s="9"/>
      <c r="AA1605" s="9"/>
      <c r="AB1605" s="9"/>
      <c r="AC1605" s="9"/>
      <c r="AD1605" s="9"/>
      <c r="AE1605" s="9"/>
      <c r="AF1605" s="9"/>
    </row>
    <row r="1606" spans="2:32" ht="15" customHeight="1"/>
    <row r="1607" spans="2:32" ht="15" customHeight="1"/>
    <row r="1608" spans="2:32" ht="15" customHeight="1"/>
    <row r="1609" spans="2:32" ht="15" customHeight="1"/>
    <row r="1610" spans="2:32" ht="15" customHeight="1"/>
    <row r="1611" spans="2:32" ht="15" customHeight="1"/>
    <row r="1613" spans="2:32">
      <c r="B1613" s="9"/>
      <c r="C1613" s="9"/>
      <c r="D1613" s="9"/>
      <c r="E1613" s="9"/>
      <c r="F1613" s="9"/>
      <c r="G1613" s="9"/>
      <c r="H1613" s="9"/>
      <c r="I1613" s="9"/>
      <c r="J1613" s="9"/>
      <c r="K1613" s="9"/>
      <c r="L1613" s="9"/>
      <c r="M1613" s="9"/>
      <c r="N1613" s="9"/>
      <c r="O1613" s="9"/>
      <c r="P1613" s="9"/>
      <c r="Q1613" s="9"/>
      <c r="R1613" s="9"/>
      <c r="S1613" s="9"/>
      <c r="T1613" s="9"/>
      <c r="U1613" s="9"/>
      <c r="V1613" s="9"/>
      <c r="W1613" s="9"/>
      <c r="X1613" s="9"/>
      <c r="Y1613" s="9"/>
      <c r="Z1613" s="9"/>
      <c r="AA1613" s="9"/>
      <c r="AB1613" s="9"/>
      <c r="AC1613" s="9"/>
      <c r="AD1613" s="9"/>
      <c r="AE1613" s="9"/>
      <c r="AF1613" s="9"/>
    </row>
    <row r="1614" spans="2:32">
      <c r="B1614" s="9"/>
      <c r="C1614" s="9"/>
      <c r="D1614" s="9"/>
      <c r="E1614" s="9"/>
      <c r="F1614" s="9"/>
      <c r="G1614" s="9"/>
      <c r="H1614" s="9"/>
      <c r="I1614" s="9"/>
      <c r="J1614" s="9"/>
      <c r="K1614" s="9"/>
      <c r="L1614" s="9"/>
      <c r="M1614" s="9"/>
      <c r="N1614" s="9"/>
      <c r="O1614" s="9"/>
      <c r="P1614" s="9"/>
      <c r="Q1614" s="9"/>
      <c r="R1614" s="9"/>
      <c r="S1614" s="9"/>
      <c r="T1614" s="9"/>
      <c r="U1614" s="9"/>
      <c r="V1614" s="9"/>
      <c r="W1614" s="9"/>
      <c r="X1614" s="9"/>
      <c r="Y1614" s="9"/>
      <c r="Z1614" s="9"/>
      <c r="AA1614" s="9"/>
      <c r="AB1614" s="9"/>
      <c r="AC1614" s="9"/>
      <c r="AD1614" s="9"/>
      <c r="AE1614" s="9"/>
      <c r="AF1614" s="9"/>
    </row>
    <row r="1615" spans="2:32">
      <c r="B1615" s="9"/>
      <c r="C1615" s="9"/>
      <c r="D1615" s="9"/>
      <c r="E1615" s="9"/>
      <c r="F1615" s="9"/>
      <c r="G1615" s="9"/>
      <c r="H1615" s="9"/>
      <c r="I1615" s="9"/>
      <c r="J1615" s="9"/>
      <c r="K1615" s="9"/>
      <c r="L1615" s="9"/>
      <c r="M1615" s="9"/>
      <c r="N1615" s="9"/>
      <c r="O1615" s="9"/>
      <c r="P1615" s="9"/>
      <c r="Q1615" s="9"/>
      <c r="R1615" s="9"/>
      <c r="S1615" s="9"/>
      <c r="T1615" s="9"/>
      <c r="U1615" s="9"/>
      <c r="V1615" s="9"/>
      <c r="W1615" s="9"/>
      <c r="X1615" s="9"/>
      <c r="Y1615" s="9"/>
      <c r="Z1615" s="9"/>
      <c r="AA1615" s="9"/>
      <c r="AB1615" s="9"/>
      <c r="AC1615" s="9"/>
      <c r="AD1615" s="9"/>
      <c r="AE1615" s="9"/>
      <c r="AF1615" s="9"/>
    </row>
    <row r="1616" spans="2:32">
      <c r="B1616" s="9"/>
      <c r="C1616" s="9"/>
      <c r="D1616" s="9"/>
      <c r="E1616" s="9"/>
      <c r="F1616" s="9"/>
      <c r="G1616" s="9"/>
      <c r="H1616" s="9"/>
      <c r="I1616" s="9"/>
      <c r="J1616" s="9"/>
      <c r="K1616" s="9"/>
      <c r="L1616" s="9"/>
      <c r="M1616" s="9"/>
      <c r="N1616" s="9"/>
      <c r="O1616" s="9"/>
      <c r="P1616" s="9"/>
      <c r="Q1616" s="9"/>
      <c r="R1616" s="9"/>
      <c r="S1616" s="9"/>
      <c r="T1616" s="9"/>
      <c r="U1616" s="9"/>
      <c r="V1616" s="9"/>
      <c r="W1616" s="9"/>
      <c r="X1616" s="9"/>
      <c r="Y1616" s="9"/>
      <c r="Z1616" s="9"/>
      <c r="AA1616" s="9"/>
      <c r="AB1616" s="9"/>
      <c r="AC1616" s="9"/>
      <c r="AD1616" s="9"/>
      <c r="AE1616" s="9"/>
      <c r="AF1616" s="9"/>
    </row>
    <row r="1617" spans="2:32">
      <c r="B1617" s="9"/>
      <c r="C1617" s="9"/>
      <c r="D1617" s="9"/>
      <c r="E1617" s="9"/>
      <c r="F1617" s="9"/>
      <c r="G1617" s="9"/>
      <c r="H1617" s="9"/>
      <c r="I1617" s="9"/>
      <c r="J1617" s="9"/>
      <c r="K1617" s="9"/>
      <c r="L1617" s="9"/>
      <c r="M1617" s="9"/>
      <c r="N1617" s="9"/>
      <c r="O1617" s="9"/>
      <c r="P1617" s="9"/>
      <c r="Q1617" s="9"/>
      <c r="R1617" s="9"/>
      <c r="S1617" s="9"/>
      <c r="T1617" s="9"/>
      <c r="U1617" s="9"/>
      <c r="V1617" s="9"/>
      <c r="W1617" s="9"/>
      <c r="X1617" s="9"/>
      <c r="Y1617" s="9"/>
      <c r="Z1617" s="9"/>
      <c r="AA1617" s="9"/>
      <c r="AB1617" s="9"/>
      <c r="AC1617" s="9"/>
      <c r="AD1617" s="9"/>
      <c r="AE1617" s="9"/>
      <c r="AF1617" s="9"/>
    </row>
    <row r="1626" spans="2:32" ht="15" customHeight="1"/>
    <row r="1627" spans="2:32" ht="15" customHeight="1"/>
    <row r="1628" spans="2:32" ht="15" customHeight="1"/>
    <row r="1629" spans="2:32" ht="15" customHeight="1"/>
    <row r="1630" spans="2:32" ht="15" customHeight="1"/>
    <row r="1631" spans="2:32" ht="15" customHeight="1"/>
    <row r="1632" spans="2:32" ht="15" customHeight="1"/>
    <row r="1633" ht="15" customHeight="1"/>
    <row r="1634" ht="15" customHeight="1"/>
    <row r="1635" ht="15" customHeight="1"/>
    <row r="1636" ht="15" customHeight="1"/>
    <row r="1637" ht="15" customHeight="1"/>
    <row r="1638" ht="15" customHeight="1"/>
    <row r="1639" ht="15" customHeight="1"/>
    <row r="1641" ht="15" customHeight="1"/>
    <row r="1642" ht="15" customHeight="1"/>
    <row r="1643" ht="15" customHeight="1"/>
    <row r="1644" ht="15" customHeight="1"/>
    <row r="1645" ht="15" customHeight="1"/>
    <row r="1646" ht="15" customHeight="1"/>
    <row r="1647" ht="15" customHeight="1"/>
    <row r="1648" ht="15" customHeight="1"/>
    <row r="1649" ht="15" customHeight="1"/>
    <row r="1650" ht="15" customHeight="1"/>
    <row r="1651" ht="15" customHeight="1"/>
    <row r="1652" ht="15" customHeight="1"/>
    <row r="1653" ht="15" customHeight="1"/>
    <row r="1654" ht="15" customHeight="1"/>
    <row r="1655" ht="15" customHeight="1"/>
    <row r="1656" ht="15" customHeight="1"/>
    <row r="1657" ht="15" customHeight="1"/>
    <row r="1658" ht="15" customHeight="1"/>
    <row r="1659" ht="15" customHeight="1"/>
    <row r="1660" ht="15" customHeight="1"/>
    <row r="1661" ht="15" customHeight="1"/>
    <row r="1662" ht="15" customHeight="1"/>
    <row r="1663" ht="15" customHeight="1"/>
    <row r="1664" ht="15" customHeight="1"/>
    <row r="1666" ht="15" customHeight="1"/>
    <row r="1669" ht="15" customHeight="1"/>
    <row r="1670" ht="15" customHeight="1"/>
    <row r="1671" ht="15" customHeight="1"/>
    <row r="1672" ht="15" customHeight="1"/>
    <row r="1673" ht="15" customHeight="1"/>
    <row r="1674" ht="15" customHeight="1"/>
    <row r="1675" ht="15" customHeight="1"/>
    <row r="1676" ht="15" customHeight="1"/>
    <row r="1677" ht="15" customHeight="1"/>
    <row r="1678" ht="15" customHeight="1"/>
    <row r="1679" ht="15" customHeight="1"/>
    <row r="1680" ht="15" customHeight="1"/>
    <row r="1681" ht="15" customHeight="1"/>
    <row r="1682" ht="15" customHeight="1"/>
    <row r="1683" ht="15" customHeight="1"/>
    <row r="1684" ht="15" customHeight="1"/>
    <row r="1685" ht="15" customHeight="1"/>
    <row r="1687" ht="15" customHeight="1"/>
    <row r="1689" ht="15" customHeight="1"/>
    <row r="1690" ht="15" customHeight="1"/>
    <row r="1691" ht="15" customHeight="1"/>
    <row r="1692" ht="15" customHeight="1"/>
    <row r="1693" ht="15" customHeight="1"/>
    <row r="1694" ht="15" customHeight="1"/>
    <row r="1695" ht="15" customHeight="1"/>
    <row r="1696" ht="15" customHeight="1"/>
    <row r="1698" spans="2:32" ht="15" customHeight="1">
      <c r="B1698" s="9"/>
      <c r="C1698" s="9"/>
      <c r="D1698" s="9"/>
      <c r="E1698" s="9"/>
      <c r="F1698" s="9"/>
      <c r="G1698" s="9"/>
      <c r="H1698" s="9"/>
      <c r="I1698" s="9"/>
      <c r="J1698" s="9"/>
      <c r="K1698" s="9"/>
      <c r="L1698" s="9"/>
      <c r="M1698" s="9"/>
      <c r="N1698" s="9"/>
      <c r="O1698" s="9"/>
      <c r="P1698" s="9"/>
      <c r="Q1698" s="9"/>
      <c r="R1698" s="9"/>
      <c r="S1698" s="9"/>
      <c r="T1698" s="9"/>
      <c r="U1698" s="9"/>
      <c r="V1698" s="9"/>
      <c r="W1698" s="9"/>
      <c r="X1698" s="9"/>
      <c r="Y1698" s="9"/>
      <c r="Z1698" s="9"/>
      <c r="AA1698" s="9"/>
      <c r="AB1698" s="9"/>
      <c r="AC1698" s="9"/>
      <c r="AD1698" s="9"/>
      <c r="AE1698" s="9"/>
      <c r="AF1698" s="9"/>
    </row>
    <row r="1699" spans="2:32" ht="15" customHeight="1">
      <c r="B1699" s="9"/>
      <c r="C1699" s="9"/>
      <c r="D1699" s="9"/>
      <c r="E1699" s="9"/>
      <c r="F1699" s="9"/>
      <c r="G1699" s="9"/>
      <c r="H1699" s="9"/>
      <c r="I1699" s="9"/>
      <c r="J1699" s="9"/>
      <c r="K1699" s="9"/>
      <c r="L1699" s="9"/>
      <c r="M1699" s="9"/>
      <c r="N1699" s="9"/>
      <c r="O1699" s="9"/>
      <c r="P1699" s="9"/>
      <c r="Q1699" s="9"/>
      <c r="R1699" s="9"/>
      <c r="S1699" s="9"/>
      <c r="T1699" s="9"/>
      <c r="U1699" s="9"/>
      <c r="V1699" s="9"/>
      <c r="W1699" s="9"/>
      <c r="X1699" s="9"/>
      <c r="Y1699" s="9"/>
      <c r="Z1699" s="9"/>
      <c r="AA1699" s="9"/>
      <c r="AB1699" s="9"/>
      <c r="AC1699" s="9"/>
      <c r="AD1699" s="9"/>
      <c r="AE1699" s="9"/>
      <c r="AF1699" s="9"/>
    </row>
    <row r="1700" spans="2:32" ht="15" customHeight="1">
      <c r="B1700" s="9"/>
      <c r="C1700" s="9"/>
      <c r="D1700" s="9"/>
      <c r="E1700" s="9"/>
      <c r="F1700" s="9"/>
      <c r="G1700" s="9"/>
      <c r="H1700" s="9"/>
      <c r="I1700" s="9"/>
      <c r="J1700" s="9"/>
      <c r="K1700" s="9"/>
      <c r="L1700" s="9"/>
      <c r="M1700" s="9"/>
      <c r="N1700" s="9"/>
      <c r="O1700" s="9"/>
      <c r="P1700" s="9"/>
      <c r="Q1700" s="9"/>
      <c r="R1700" s="9"/>
      <c r="S1700" s="9"/>
      <c r="T1700" s="9"/>
      <c r="U1700" s="9"/>
      <c r="V1700" s="9"/>
      <c r="W1700" s="9"/>
      <c r="X1700" s="9"/>
      <c r="Y1700" s="9"/>
      <c r="Z1700" s="9"/>
      <c r="AA1700" s="9"/>
      <c r="AB1700" s="9"/>
      <c r="AC1700" s="9"/>
      <c r="AD1700" s="9"/>
      <c r="AE1700" s="9"/>
      <c r="AF1700" s="9"/>
    </row>
    <row r="1701" spans="2:32" ht="15" customHeight="1"/>
    <row r="1702" spans="2:32" ht="15" customHeight="1"/>
    <row r="1703" spans="2:32" ht="15" customHeight="1"/>
    <row r="1704" spans="2:32" ht="15" customHeight="1"/>
    <row r="1705" spans="2:32" ht="15" customHeight="1"/>
    <row r="1706" spans="2:32" ht="15" customHeight="1"/>
    <row r="1707" spans="2:32" ht="15" customHeight="1"/>
    <row r="1708" spans="2:32" ht="15" customHeight="1"/>
    <row r="1709" spans="2:32" ht="15" customHeight="1"/>
    <row r="1710" spans="2:32" ht="15" customHeight="1"/>
    <row r="1711" spans="2:32" ht="15" customHeight="1"/>
    <row r="1712" spans="2:32" ht="15" customHeight="1"/>
    <row r="1713" ht="15" customHeight="1"/>
    <row r="1714" ht="15" customHeight="1"/>
    <row r="1715" ht="15" customHeight="1"/>
    <row r="1716" ht="15" customHeight="1"/>
    <row r="1717" ht="15" customHeight="1"/>
    <row r="1718" ht="15" customHeight="1"/>
    <row r="1719" ht="15" customHeight="1"/>
    <row r="1720" ht="15" customHeight="1"/>
    <row r="1721" ht="15" customHeight="1"/>
    <row r="1722" ht="15" customHeight="1"/>
    <row r="1723" ht="15" customHeight="1"/>
    <row r="1724" ht="15" customHeight="1"/>
    <row r="1725" ht="15" customHeight="1"/>
    <row r="1726" ht="15" customHeight="1"/>
    <row r="1727" ht="15" customHeight="1"/>
    <row r="1851" ht="15" customHeight="1"/>
    <row r="1852" ht="15" customHeight="1"/>
    <row r="1853" ht="15" customHeight="1"/>
    <row r="1854" ht="15" customHeight="1"/>
    <row r="1855" ht="15" customHeight="1"/>
    <row r="1856" ht="15" customHeight="1"/>
    <row r="1857" ht="15" customHeight="1"/>
    <row r="1858" ht="15" customHeight="1"/>
    <row r="1859" ht="15" customHeight="1"/>
    <row r="1860" ht="15" customHeight="1"/>
    <row r="1862" ht="15" customHeight="1"/>
    <row r="1864" ht="15" customHeight="1"/>
    <row r="1865" ht="15" customHeight="1"/>
    <row r="1866" ht="15" customHeight="1"/>
    <row r="1868" ht="15" customHeight="1"/>
    <row r="1869" ht="15" customHeight="1"/>
    <row r="1870" ht="15" customHeight="1"/>
    <row r="1871" ht="15" customHeight="1"/>
    <row r="1873" ht="15" customHeight="1"/>
    <row r="1874" ht="15" customHeight="1"/>
    <row r="1875" ht="15" customHeight="1"/>
    <row r="1876" ht="15" customHeight="1"/>
    <row r="1877" ht="15" customHeight="1"/>
    <row r="1879" ht="15" customHeight="1"/>
    <row r="1880" ht="15" customHeight="1"/>
    <row r="1881" ht="15" customHeight="1"/>
    <row r="1882" ht="15" customHeight="1"/>
    <row r="1883" ht="15" customHeight="1"/>
    <row r="1884" ht="15" customHeight="1"/>
    <row r="1885" ht="15" customHeight="1"/>
    <row r="1886" ht="15" customHeight="1"/>
    <row r="1887" ht="15" customHeight="1"/>
    <row r="1889" ht="15" customHeight="1"/>
    <row r="1890" ht="15" customHeight="1"/>
    <row r="1891" ht="15" customHeight="1"/>
    <row r="1892" ht="15" customHeight="1"/>
    <row r="1894" ht="15" customHeight="1"/>
    <row r="1895" ht="15" customHeight="1"/>
    <row r="1896" ht="15" customHeight="1"/>
    <row r="1897" ht="15" customHeight="1"/>
    <row r="1898" ht="15" customHeight="1"/>
    <row r="1899" ht="15" customHeight="1"/>
    <row r="1900" ht="15" customHeight="1"/>
    <row r="1901" ht="15" customHeight="1"/>
    <row r="1904" ht="15" customHeight="1"/>
    <row r="1905" ht="15" customHeight="1"/>
    <row r="1906" ht="15" customHeight="1"/>
    <row r="1907" ht="15" customHeight="1"/>
    <row r="1908" ht="15" customHeight="1"/>
    <row r="1910" ht="15" customHeight="1"/>
    <row r="1911" ht="15" customHeight="1"/>
    <row r="1912" ht="15" customHeight="1"/>
    <row r="1913" ht="15" customHeight="1"/>
    <row r="1914" ht="15" customHeight="1"/>
    <row r="1916" ht="15" customHeight="1"/>
    <row r="1917" ht="15" customHeight="1"/>
    <row r="1918" ht="15" customHeight="1"/>
    <row r="1920" ht="15" customHeight="1"/>
    <row r="1921" ht="15" customHeight="1"/>
    <row r="1922" ht="15" customHeight="1"/>
    <row r="1923" ht="15" customHeight="1"/>
    <row r="1925" ht="15" customHeight="1"/>
    <row r="1926" ht="15" customHeight="1"/>
    <row r="1927" ht="15" customHeight="1"/>
    <row r="1928" ht="15" customHeight="1"/>
    <row r="1929" ht="15" customHeight="1"/>
    <row r="1930" ht="15" customHeight="1"/>
    <row r="1931" ht="15" customHeight="1"/>
    <row r="1932" ht="15" customHeight="1"/>
    <row r="1934" ht="15" customHeight="1"/>
    <row r="1935" ht="15" customHeight="1"/>
    <row r="1936" ht="15" customHeight="1"/>
    <row r="1938" spans="2:32" ht="15" customHeight="1"/>
    <row r="1939" spans="2:32" ht="15" customHeight="1"/>
    <row r="1940" spans="2:32" ht="15" customHeight="1"/>
    <row r="1941" spans="2:32" ht="15" customHeight="1"/>
    <row r="1942" spans="2:32" ht="15" customHeight="1"/>
    <row r="1943" spans="2:32" ht="15" customHeight="1"/>
    <row r="1944" spans="2:32" ht="15" customHeight="1"/>
    <row r="1945" spans="2:32" ht="15" customHeight="1">
      <c r="B1945" s="9"/>
      <c r="C1945" s="9"/>
      <c r="D1945" s="9"/>
      <c r="E1945" s="9"/>
      <c r="F1945" s="9"/>
      <c r="G1945" s="9"/>
      <c r="H1945" s="9"/>
      <c r="I1945" s="9"/>
      <c r="J1945" s="9"/>
      <c r="K1945" s="9"/>
      <c r="L1945" s="9"/>
      <c r="M1945" s="9"/>
      <c r="N1945" s="9"/>
      <c r="O1945" s="9"/>
      <c r="P1945" s="9"/>
      <c r="Q1945" s="9"/>
      <c r="R1945" s="9"/>
      <c r="S1945" s="9"/>
      <c r="T1945" s="9"/>
      <c r="U1945" s="9"/>
      <c r="V1945" s="9"/>
      <c r="W1945" s="9"/>
      <c r="X1945" s="9"/>
      <c r="Y1945" s="9"/>
      <c r="Z1945" s="9"/>
      <c r="AA1945" s="9"/>
      <c r="AB1945" s="9"/>
      <c r="AC1945" s="9"/>
      <c r="AD1945" s="9"/>
      <c r="AE1945" s="9"/>
      <c r="AF1945" s="9"/>
    </row>
    <row r="1946" spans="2:32" ht="15" customHeight="1">
      <c r="B1946" s="9"/>
      <c r="C1946" s="9"/>
      <c r="D1946" s="9"/>
      <c r="E1946" s="9"/>
      <c r="F1946" s="9"/>
      <c r="G1946" s="9"/>
      <c r="H1946" s="9"/>
      <c r="I1946" s="9"/>
      <c r="J1946" s="9"/>
      <c r="K1946" s="9"/>
      <c r="L1946" s="9"/>
      <c r="M1946" s="9"/>
      <c r="N1946" s="9"/>
      <c r="O1946" s="9"/>
      <c r="P1946" s="9"/>
      <c r="Q1946" s="9"/>
      <c r="R1946" s="9"/>
      <c r="S1946" s="9"/>
      <c r="T1946" s="9"/>
      <c r="U1946" s="9"/>
      <c r="V1946" s="9"/>
      <c r="W1946" s="9"/>
      <c r="X1946" s="9"/>
      <c r="Y1946" s="9"/>
      <c r="Z1946" s="9"/>
      <c r="AA1946" s="9"/>
      <c r="AB1946" s="9"/>
      <c r="AC1946" s="9"/>
      <c r="AD1946" s="9"/>
      <c r="AE1946" s="9"/>
      <c r="AF1946" s="9"/>
    </row>
    <row r="1947" spans="2:32" ht="15" customHeight="1"/>
    <row r="1948" spans="2:32" ht="15" customHeight="1"/>
    <row r="1949" spans="2:32" ht="15" customHeight="1"/>
    <row r="1950" spans="2:32" ht="15" customHeight="1"/>
    <row r="1951" spans="2:32" ht="15" customHeight="1"/>
    <row r="1952" spans="2:32" ht="15" customHeight="1"/>
    <row r="1953" ht="15" customHeight="1"/>
    <row r="1954" ht="15" customHeight="1"/>
    <row r="1955" ht="15" customHeight="1"/>
    <row r="1956" ht="15" customHeight="1"/>
    <row r="1976" ht="15" customHeight="1"/>
    <row r="1977" ht="15" customHeight="1"/>
    <row r="1978" ht="15" customHeight="1"/>
    <row r="1979" ht="15" customHeight="1"/>
    <row r="1980" ht="15" customHeight="1"/>
    <row r="1981" ht="15" customHeight="1"/>
    <row r="1982" ht="15" customHeight="1"/>
    <row r="1983" ht="15" customHeight="1"/>
    <row r="1985" ht="15" customHeight="1"/>
    <row r="1986" ht="15" customHeight="1"/>
    <row r="1987" ht="15" customHeight="1"/>
    <row r="1989" ht="15" customHeight="1"/>
    <row r="1991" ht="15" customHeight="1"/>
    <row r="1992" ht="15" customHeight="1"/>
    <row r="1993" ht="15" customHeight="1"/>
    <row r="1994" ht="15" customHeight="1"/>
    <row r="1995" ht="15" customHeight="1"/>
    <row r="1996" ht="15" customHeight="1"/>
    <row r="1997" ht="15" customHeight="1"/>
    <row r="1998" ht="15" customHeight="1"/>
    <row r="1999" ht="15" customHeight="1"/>
    <row r="2000" ht="15" customHeight="1"/>
    <row r="2001" ht="15" customHeight="1"/>
    <row r="2002" ht="15" customHeight="1"/>
    <row r="2003" ht="15" customHeight="1"/>
    <row r="2005" ht="15" customHeight="1"/>
    <row r="2007" ht="15" customHeight="1"/>
    <row r="2009" ht="15" customHeight="1"/>
    <row r="2010" ht="15" customHeight="1"/>
    <row r="2012" ht="15" customHeight="1"/>
    <row r="2013" ht="15" customHeight="1"/>
    <row r="2014" ht="15" customHeight="1"/>
    <row r="2015" ht="15" customHeight="1"/>
    <row r="2016" ht="15" customHeight="1"/>
    <row r="2017" spans="2:32" ht="15" customHeight="1"/>
    <row r="2018" spans="2:32" ht="15" customHeight="1"/>
    <row r="2019" spans="2:32" ht="15" customHeight="1"/>
    <row r="2020" spans="2:32" ht="15" customHeight="1"/>
    <row r="2021" spans="2:32" ht="15" customHeight="1"/>
    <row r="2022" spans="2:32">
      <c r="B2022" s="9"/>
      <c r="C2022" s="9"/>
      <c r="D2022" s="9"/>
      <c r="E2022" s="9"/>
      <c r="F2022" s="9"/>
      <c r="G2022" s="9"/>
      <c r="H2022" s="9"/>
      <c r="I2022" s="9"/>
      <c r="J2022" s="9"/>
      <c r="K2022" s="9"/>
      <c r="L2022" s="9"/>
      <c r="M2022" s="9"/>
      <c r="N2022" s="9"/>
      <c r="O2022" s="9"/>
      <c r="P2022" s="9"/>
      <c r="Q2022" s="9"/>
      <c r="R2022" s="9"/>
      <c r="S2022" s="9"/>
      <c r="T2022" s="9"/>
      <c r="U2022" s="9"/>
      <c r="V2022" s="9"/>
      <c r="W2022" s="9"/>
      <c r="X2022" s="9"/>
      <c r="Y2022" s="9"/>
      <c r="Z2022" s="9"/>
      <c r="AA2022" s="9"/>
      <c r="AB2022" s="9"/>
      <c r="AC2022" s="9"/>
      <c r="AD2022" s="9"/>
      <c r="AE2022" s="9"/>
      <c r="AF2022" s="9"/>
    </row>
    <row r="2023" spans="2:32" ht="15" customHeight="1"/>
    <row r="2024" spans="2:32" ht="15" customHeight="1"/>
    <row r="2025" spans="2:32" ht="15" customHeight="1"/>
    <row r="2026" spans="2:32" ht="15" customHeight="1"/>
    <row r="2027" spans="2:32" ht="15" customHeight="1"/>
    <row r="2028" spans="2:32" ht="15" customHeight="1"/>
    <row r="2029" spans="2:32" ht="15" customHeight="1"/>
    <row r="2030" spans="2:32" ht="15" customHeight="1"/>
    <row r="2031" spans="2:32" ht="15" customHeight="1">
      <c r="B2031" s="9"/>
      <c r="C2031" s="9"/>
      <c r="D2031" s="9"/>
      <c r="E2031" s="9"/>
      <c r="F2031" s="9"/>
      <c r="G2031" s="9"/>
      <c r="H2031" s="9"/>
      <c r="I2031" s="9"/>
      <c r="J2031" s="9"/>
      <c r="K2031" s="9"/>
      <c r="L2031" s="9"/>
      <c r="M2031" s="9"/>
      <c r="N2031" s="9"/>
      <c r="O2031" s="9"/>
      <c r="P2031" s="9"/>
      <c r="Q2031" s="9"/>
      <c r="R2031" s="9"/>
      <c r="S2031" s="9"/>
      <c r="T2031" s="9"/>
      <c r="U2031" s="9"/>
      <c r="V2031" s="9"/>
      <c r="W2031" s="9"/>
      <c r="X2031" s="9"/>
      <c r="Y2031" s="9"/>
      <c r="Z2031" s="9"/>
      <c r="AA2031" s="9"/>
      <c r="AB2031" s="9"/>
      <c r="AC2031" s="9"/>
      <c r="AD2031" s="9"/>
      <c r="AE2031" s="9"/>
      <c r="AF2031" s="9"/>
    </row>
    <row r="2032" spans="2:32" ht="15" customHeight="1">
      <c r="B2032" s="9"/>
      <c r="C2032" s="9"/>
      <c r="D2032" s="9"/>
      <c r="E2032" s="9"/>
      <c r="F2032" s="9"/>
      <c r="G2032" s="9"/>
      <c r="H2032" s="9"/>
      <c r="I2032" s="9"/>
      <c r="J2032" s="9"/>
      <c r="K2032" s="9"/>
      <c r="L2032" s="9"/>
      <c r="M2032" s="9"/>
      <c r="N2032" s="9"/>
      <c r="O2032" s="9"/>
      <c r="P2032" s="9"/>
      <c r="Q2032" s="9"/>
      <c r="R2032" s="9"/>
      <c r="S2032" s="9"/>
      <c r="T2032" s="9"/>
      <c r="U2032" s="9"/>
      <c r="V2032" s="9"/>
      <c r="W2032" s="9"/>
      <c r="X2032" s="9"/>
      <c r="Y2032" s="9"/>
      <c r="Z2032" s="9"/>
      <c r="AA2032" s="9"/>
      <c r="AB2032" s="9"/>
      <c r="AC2032" s="9"/>
      <c r="AD2032" s="9"/>
      <c r="AE2032" s="9"/>
      <c r="AF2032" s="9"/>
    </row>
    <row r="2033" ht="15" customHeight="1"/>
    <row r="2034" ht="15" customHeight="1"/>
    <row r="2035" ht="15" customHeight="1"/>
    <row r="2036" ht="15" customHeight="1"/>
    <row r="2037" ht="15" customHeight="1"/>
    <row r="2038" ht="15" customHeight="1"/>
    <row r="2039" ht="15" customHeight="1"/>
    <row r="2040" ht="15" customHeight="1"/>
    <row r="2041" ht="15" customHeight="1"/>
    <row r="2042" ht="15" customHeight="1"/>
    <row r="2043" ht="15" customHeight="1"/>
    <row r="2044" ht="15" customHeight="1"/>
    <row r="2045" ht="15" customHeight="1"/>
    <row r="2046" ht="15" customHeight="1"/>
    <row r="2047" ht="15" customHeight="1"/>
    <row r="2048" ht="15" customHeight="1"/>
    <row r="2049" ht="15" customHeight="1"/>
    <row r="2050" ht="15" customHeight="1"/>
    <row r="2051" ht="15" customHeight="1"/>
    <row r="2052" ht="15" customHeight="1"/>
    <row r="2053" ht="15" customHeight="1"/>
    <row r="2054" ht="15" customHeight="1"/>
    <row r="2101" ht="15" customHeight="1"/>
    <row r="2102" ht="15" customHeight="1"/>
    <row r="2103" ht="15" customHeight="1"/>
    <row r="2104" ht="15" customHeight="1"/>
    <row r="2105" ht="15" customHeight="1"/>
    <row r="2106" ht="15" customHeight="1"/>
    <row r="2108" ht="15" customHeight="1"/>
    <row r="2109" ht="15" customHeight="1"/>
    <row r="2111" ht="15" customHeight="1"/>
    <row r="2112" ht="15" customHeight="1"/>
    <row r="2113" ht="15" customHeight="1"/>
    <row r="2114" ht="15" customHeight="1"/>
    <row r="2115" ht="15" customHeight="1"/>
    <row r="2116" ht="15" customHeight="1"/>
    <row r="2117" ht="15" customHeight="1"/>
    <row r="2118" ht="15" customHeight="1"/>
    <row r="2119" ht="15" customHeight="1"/>
    <row r="2120" ht="15" customHeight="1"/>
    <row r="2121" ht="15" customHeight="1"/>
    <row r="2122" ht="15" customHeight="1"/>
    <row r="2123" ht="15" customHeight="1"/>
    <row r="2125" ht="15" customHeight="1"/>
    <row r="2126" ht="15" customHeight="1"/>
    <row r="2127" ht="15" customHeight="1"/>
    <row r="2128" ht="15" customHeight="1"/>
    <row r="2129" ht="15" customHeight="1"/>
    <row r="2130" ht="15" customHeight="1"/>
    <row r="2132" ht="15" customHeight="1"/>
    <row r="2134" ht="15" customHeight="1"/>
    <row r="2135" ht="15" customHeight="1"/>
    <row r="2137" ht="15" customHeight="1"/>
    <row r="2138" ht="15" customHeight="1"/>
    <row r="2139" ht="15" customHeight="1"/>
    <row r="2140" ht="15" customHeight="1"/>
    <row r="2141" ht="15" customHeight="1"/>
    <row r="2142" ht="15" customHeight="1"/>
    <row r="2143" ht="15" customHeight="1"/>
    <row r="2144" ht="15" customHeight="1"/>
    <row r="2145" spans="2:32" ht="15" customHeight="1"/>
    <row r="2146" spans="2:32" ht="15" customHeight="1"/>
    <row r="2147" spans="2:32" ht="15" customHeight="1"/>
    <row r="2148" spans="2:32">
      <c r="B2148" s="9"/>
      <c r="C2148" s="9"/>
      <c r="D2148" s="9"/>
      <c r="E2148" s="9"/>
      <c r="F2148" s="9"/>
      <c r="G2148" s="9"/>
      <c r="H2148" s="9"/>
      <c r="I2148" s="9"/>
      <c r="J2148" s="9"/>
      <c r="K2148" s="9"/>
      <c r="L2148" s="9"/>
      <c r="M2148" s="9"/>
      <c r="N2148" s="9"/>
      <c r="O2148" s="9"/>
      <c r="P2148" s="9"/>
      <c r="Q2148" s="9"/>
      <c r="R2148" s="9"/>
      <c r="S2148" s="9"/>
      <c r="T2148" s="9"/>
      <c r="U2148" s="9"/>
      <c r="V2148" s="9"/>
      <c r="W2148" s="9"/>
      <c r="X2148" s="9"/>
      <c r="Y2148" s="9"/>
      <c r="Z2148" s="9"/>
      <c r="AA2148" s="9"/>
      <c r="AB2148" s="9"/>
      <c r="AC2148" s="9"/>
      <c r="AD2148" s="9"/>
      <c r="AE2148" s="9"/>
      <c r="AF2148" s="9"/>
    </row>
    <row r="2149" spans="2:32" ht="15" customHeight="1"/>
    <row r="2150" spans="2:32">
      <c r="B2150" s="9"/>
      <c r="C2150" s="9"/>
      <c r="D2150" s="9"/>
      <c r="E2150" s="9"/>
      <c r="F2150" s="9"/>
      <c r="G2150" s="9"/>
      <c r="H2150" s="9"/>
      <c r="I2150" s="9"/>
      <c r="J2150" s="9"/>
      <c r="K2150" s="9"/>
      <c r="L2150" s="9"/>
      <c r="M2150" s="9"/>
      <c r="N2150" s="9"/>
      <c r="O2150" s="9"/>
      <c r="P2150" s="9"/>
      <c r="Q2150" s="9"/>
      <c r="R2150" s="9"/>
      <c r="S2150" s="9"/>
      <c r="T2150" s="9"/>
      <c r="U2150" s="9"/>
      <c r="V2150" s="9"/>
      <c r="W2150" s="9"/>
      <c r="X2150" s="9"/>
      <c r="Y2150" s="9"/>
      <c r="Z2150" s="9"/>
      <c r="AA2150" s="9"/>
      <c r="AB2150" s="9"/>
      <c r="AC2150" s="9"/>
      <c r="AD2150" s="9"/>
      <c r="AE2150" s="9"/>
      <c r="AF2150" s="9"/>
    </row>
    <row r="2151" spans="2:32">
      <c r="B2151" s="9"/>
      <c r="C2151" s="9"/>
      <c r="D2151" s="9"/>
      <c r="E2151" s="9"/>
      <c r="F2151" s="9"/>
      <c r="G2151" s="9"/>
      <c r="H2151" s="9"/>
      <c r="I2151" s="9"/>
      <c r="J2151" s="9"/>
      <c r="K2151" s="9"/>
      <c r="L2151" s="9"/>
      <c r="M2151" s="9"/>
      <c r="N2151" s="9"/>
      <c r="O2151" s="9"/>
      <c r="P2151" s="9"/>
      <c r="Q2151" s="9"/>
      <c r="R2151" s="9"/>
      <c r="S2151" s="9"/>
      <c r="T2151" s="9"/>
      <c r="U2151" s="9"/>
      <c r="V2151" s="9"/>
      <c r="W2151" s="9"/>
      <c r="X2151" s="9"/>
      <c r="Y2151" s="9"/>
      <c r="Z2151" s="9"/>
      <c r="AA2151" s="9"/>
      <c r="AB2151" s="9"/>
      <c r="AC2151" s="9"/>
      <c r="AD2151" s="9"/>
      <c r="AE2151" s="9"/>
      <c r="AF2151" s="9"/>
    </row>
    <row r="2152" spans="2:32" ht="15" customHeight="1"/>
    <row r="2153" spans="2:32" ht="15" customHeight="1">
      <c r="B2153" s="9"/>
      <c r="C2153" s="9"/>
      <c r="D2153" s="9"/>
      <c r="E2153" s="9"/>
      <c r="F2153" s="9"/>
      <c r="G2153" s="9"/>
      <c r="H2153" s="9"/>
      <c r="I2153" s="9"/>
      <c r="J2153" s="9"/>
      <c r="K2153" s="9"/>
      <c r="L2153" s="9"/>
      <c r="M2153" s="9"/>
      <c r="N2153" s="9"/>
      <c r="O2153" s="9"/>
      <c r="P2153" s="9"/>
      <c r="Q2153" s="9"/>
      <c r="R2153" s="9"/>
      <c r="S2153" s="9"/>
      <c r="T2153" s="9"/>
      <c r="U2153" s="9"/>
      <c r="V2153" s="9"/>
      <c r="W2153" s="9"/>
      <c r="X2153" s="9"/>
      <c r="Y2153" s="9"/>
      <c r="Z2153" s="9"/>
      <c r="AA2153" s="9"/>
      <c r="AB2153" s="9"/>
      <c r="AC2153" s="9"/>
      <c r="AD2153" s="9"/>
      <c r="AE2153" s="9"/>
      <c r="AF2153" s="9"/>
    </row>
    <row r="2154" spans="2:32" ht="15" customHeight="1">
      <c r="B2154" s="9"/>
      <c r="C2154" s="9"/>
      <c r="D2154" s="9"/>
      <c r="E2154" s="9"/>
      <c r="F2154" s="9"/>
      <c r="G2154" s="9"/>
      <c r="H2154" s="9"/>
      <c r="I2154" s="9"/>
      <c r="J2154" s="9"/>
      <c r="K2154" s="9"/>
      <c r="L2154" s="9"/>
      <c r="M2154" s="9"/>
      <c r="N2154" s="9"/>
      <c r="O2154" s="9"/>
      <c r="P2154" s="9"/>
      <c r="Q2154" s="9"/>
      <c r="R2154" s="9"/>
      <c r="S2154" s="9"/>
      <c r="T2154" s="9"/>
      <c r="U2154" s="9"/>
      <c r="V2154" s="9"/>
      <c r="W2154" s="9"/>
      <c r="X2154" s="9"/>
      <c r="Y2154" s="9"/>
      <c r="Z2154" s="9"/>
      <c r="AA2154" s="9"/>
      <c r="AB2154" s="9"/>
      <c r="AC2154" s="9"/>
      <c r="AD2154" s="9"/>
      <c r="AE2154" s="9"/>
      <c r="AF2154" s="9"/>
    </row>
    <row r="2155" spans="2:32" ht="15" customHeight="1"/>
    <row r="2156" spans="2:32" ht="15" customHeight="1"/>
    <row r="2157" spans="2:32" ht="15" customHeight="1"/>
    <row r="2158" spans="2:32" ht="15" customHeight="1"/>
    <row r="2159" spans="2:32" ht="15" customHeight="1"/>
    <row r="2160" spans="2:32" ht="15" customHeight="1"/>
    <row r="2161" ht="15" customHeight="1"/>
    <row r="2162" ht="15" customHeight="1"/>
    <row r="2163" ht="15" customHeight="1"/>
    <row r="2251" ht="15" customHeight="1"/>
    <row r="2252" ht="15" customHeight="1"/>
    <row r="2253" ht="15" customHeight="1"/>
    <row r="2254" ht="15" customHeight="1"/>
    <row r="2255" ht="15" customHeight="1"/>
    <row r="2256" ht="15" customHeight="1"/>
    <row r="2257" ht="15" customHeight="1"/>
    <row r="2258" ht="15" customHeight="1"/>
    <row r="2259" ht="15" customHeight="1"/>
    <row r="2261" ht="15" customHeight="1"/>
    <row r="2262" ht="15" customHeight="1"/>
    <row r="2263" ht="15" customHeight="1"/>
    <row r="2265" ht="15" customHeight="1"/>
    <row r="2267" ht="15" customHeight="1"/>
    <row r="2268" ht="15" customHeight="1"/>
    <row r="2269" ht="15" customHeight="1"/>
    <row r="2270" ht="15" customHeight="1"/>
    <row r="2272" ht="15" customHeight="1"/>
    <row r="2274" ht="15" customHeight="1"/>
    <row r="2275" ht="15" customHeight="1"/>
    <row r="2276" ht="15" customHeight="1"/>
    <row r="2277" ht="15" customHeight="1"/>
    <row r="2278" ht="15" customHeight="1"/>
    <row r="2279" ht="15" customHeight="1"/>
    <row r="2280" ht="15" customHeight="1"/>
    <row r="2281" ht="15" customHeight="1"/>
    <row r="2283" ht="15" customHeight="1"/>
    <row r="2285" ht="15" customHeight="1"/>
    <row r="2286" ht="15" customHeight="1"/>
    <row r="2287" ht="15" customHeight="1"/>
    <row r="2289" ht="15" customHeight="1"/>
    <row r="2290" ht="15" customHeight="1"/>
    <row r="2291" ht="15" customHeight="1"/>
    <row r="2292" ht="15" customHeight="1"/>
    <row r="2293" ht="15" customHeight="1"/>
    <row r="2294" ht="15" customHeight="1"/>
    <row r="2295" ht="15" customHeight="1"/>
    <row r="2296" ht="15" customHeight="1"/>
    <row r="2297" ht="15" customHeight="1"/>
    <row r="2298" ht="15" customHeight="1"/>
    <row r="2299" ht="15" customHeight="1"/>
    <row r="2302" ht="15" customHeight="1"/>
    <row r="2303" ht="15" customHeight="1"/>
    <row r="2304" ht="15" customHeight="1"/>
    <row r="2306" spans="2:32" ht="15" customHeight="1"/>
    <row r="2307" spans="2:32" ht="15" customHeight="1"/>
    <row r="2308" spans="2:32" ht="15" customHeight="1"/>
    <row r="2309" spans="2:32" ht="15" customHeight="1"/>
    <row r="2310" spans="2:32" ht="15" customHeight="1"/>
    <row r="2311" spans="2:32" ht="15" customHeight="1"/>
    <row r="2312" spans="2:32" ht="15" customHeight="1"/>
    <row r="2313" spans="2:32" ht="15" customHeight="1"/>
    <row r="2314" spans="2:32" ht="15" customHeight="1"/>
    <row r="2315" spans="2:32" ht="15" customHeight="1"/>
    <row r="2316" spans="2:32" ht="15" customHeight="1"/>
    <row r="2317" spans="2:32" ht="15" customHeight="1">
      <c r="B2317" s="9"/>
      <c r="C2317" s="9"/>
      <c r="D2317" s="9"/>
      <c r="E2317" s="9"/>
      <c r="F2317" s="9"/>
      <c r="G2317" s="9"/>
      <c r="H2317" s="9"/>
      <c r="I2317" s="9"/>
      <c r="J2317" s="9"/>
      <c r="K2317" s="9"/>
      <c r="L2317" s="9"/>
      <c r="M2317" s="9"/>
      <c r="N2317" s="9"/>
      <c r="O2317" s="9"/>
      <c r="P2317" s="9"/>
      <c r="Q2317" s="9"/>
      <c r="R2317" s="9"/>
      <c r="S2317" s="9"/>
      <c r="T2317" s="9"/>
      <c r="U2317" s="9"/>
      <c r="V2317" s="9"/>
      <c r="W2317" s="9"/>
      <c r="X2317" s="9"/>
      <c r="Y2317" s="9"/>
      <c r="Z2317" s="9"/>
      <c r="AA2317" s="9"/>
      <c r="AB2317" s="9"/>
      <c r="AC2317" s="9"/>
      <c r="AD2317" s="9"/>
      <c r="AE2317" s="9"/>
      <c r="AF2317" s="9"/>
    </row>
    <row r="2318" spans="2:32" ht="15" customHeight="1">
      <c r="B2318" s="9"/>
      <c r="C2318" s="9"/>
      <c r="D2318" s="9"/>
      <c r="E2318" s="9"/>
      <c r="F2318" s="9"/>
      <c r="G2318" s="9"/>
      <c r="H2318" s="9"/>
      <c r="I2318" s="9"/>
      <c r="J2318" s="9"/>
      <c r="K2318" s="9"/>
      <c r="L2318" s="9"/>
      <c r="M2318" s="9"/>
      <c r="N2318" s="9"/>
      <c r="O2318" s="9"/>
      <c r="P2318" s="9"/>
      <c r="Q2318" s="9"/>
      <c r="R2318" s="9"/>
      <c r="S2318" s="9"/>
      <c r="T2318" s="9"/>
      <c r="U2318" s="9"/>
      <c r="V2318" s="9"/>
      <c r="W2318" s="9"/>
      <c r="X2318" s="9"/>
      <c r="Y2318" s="9"/>
      <c r="Z2318" s="9"/>
      <c r="AA2318" s="9"/>
      <c r="AB2318" s="9"/>
      <c r="AC2318" s="9"/>
      <c r="AD2318" s="9"/>
      <c r="AE2318" s="9"/>
      <c r="AF2318" s="9"/>
    </row>
    <row r="2319" spans="2:32" ht="15" customHeight="1"/>
    <row r="2320" spans="2:32" ht="15" customHeight="1"/>
    <row r="2321" ht="15" customHeight="1"/>
    <row r="2322" ht="15" customHeight="1"/>
    <row r="2323" ht="15" customHeight="1"/>
    <row r="2324" ht="15" customHeight="1"/>
    <row r="2325" ht="15" customHeight="1"/>
    <row r="2326" ht="15" customHeight="1"/>
    <row r="2327" ht="15" customHeight="1"/>
    <row r="2328" ht="15" customHeight="1"/>
    <row r="2329" ht="15" customHeight="1"/>
    <row r="2330" ht="15" customHeight="1"/>
    <row r="2331" ht="15" customHeight="1"/>
    <row r="2332" ht="15" customHeight="1"/>
    <row r="2333" ht="15" customHeight="1"/>
    <row r="2334" ht="15" customHeight="1"/>
    <row r="2335" ht="15" customHeight="1"/>
    <row r="2351" ht="15" customHeight="1"/>
    <row r="2352" ht="15" customHeight="1"/>
    <row r="2353" ht="15" customHeight="1"/>
    <row r="2354" ht="15" customHeight="1"/>
    <row r="2355" ht="15" customHeight="1"/>
    <row r="2356" ht="15" customHeight="1"/>
    <row r="2357" ht="15" customHeight="1"/>
    <row r="2358" ht="15" customHeight="1"/>
    <row r="2359" ht="15" customHeight="1"/>
    <row r="2360" ht="15" customHeight="1"/>
    <row r="2361" ht="15" customHeight="1"/>
    <row r="2362" ht="15" customHeight="1"/>
    <row r="2363" ht="15" customHeight="1"/>
    <row r="2364" ht="15" customHeight="1"/>
    <row r="2365" ht="15" customHeight="1"/>
    <row r="2366" ht="15" customHeight="1"/>
    <row r="2368" ht="15" customHeight="1"/>
    <row r="2369" ht="15" customHeight="1"/>
    <row r="2370" ht="15" customHeight="1"/>
    <row r="2371" ht="15" customHeight="1"/>
    <row r="2372" ht="15" customHeight="1"/>
    <row r="2373" ht="15" customHeight="1"/>
    <row r="2374" ht="15" customHeight="1"/>
    <row r="2375" ht="15" customHeight="1"/>
    <row r="2376" ht="15" customHeight="1"/>
    <row r="2377" ht="15" customHeight="1"/>
    <row r="2378" ht="15" customHeight="1"/>
    <row r="2379" ht="15" customHeight="1"/>
    <row r="2381" ht="15" customHeight="1"/>
    <row r="2382" ht="15" customHeight="1"/>
    <row r="2383" ht="15" customHeight="1"/>
    <row r="2384" ht="15" customHeight="1"/>
    <row r="2385" ht="15" customHeight="1"/>
    <row r="2386" ht="15" customHeight="1"/>
    <row r="2387" ht="15" customHeight="1"/>
    <row r="2388" ht="15" customHeight="1"/>
    <row r="2389" ht="15" customHeight="1"/>
    <row r="2391" ht="15" customHeight="1"/>
    <row r="2392" ht="15" customHeight="1"/>
    <row r="2393" ht="15" customHeight="1"/>
    <row r="2394" ht="15" customHeight="1"/>
    <row r="2395" ht="15" customHeight="1"/>
    <row r="2396" ht="15" customHeight="1"/>
    <row r="2397" ht="15" customHeight="1"/>
    <row r="2398" ht="15" customHeight="1"/>
    <row r="2401" ht="15" customHeight="1"/>
    <row r="2402" ht="15" customHeight="1"/>
    <row r="2403" ht="15" customHeight="1"/>
    <row r="2404" ht="15" customHeight="1"/>
    <row r="2405" ht="15" customHeight="1"/>
    <row r="2406" ht="15" customHeight="1"/>
    <row r="2407" ht="15" customHeight="1"/>
    <row r="2408" ht="15" customHeight="1"/>
    <row r="2409" ht="15" customHeight="1"/>
    <row r="2411" ht="15" customHeight="1"/>
    <row r="2412" ht="15" customHeight="1"/>
    <row r="2413" ht="15" customHeight="1"/>
    <row r="2414" ht="15" customHeight="1"/>
    <row r="2415" ht="15" customHeight="1"/>
    <row r="2416" ht="15" customHeight="1"/>
    <row r="2417" spans="2:32" ht="15" customHeight="1"/>
    <row r="2418" spans="2:32" ht="15" customHeight="1"/>
    <row r="2419" spans="2:32" ht="15" customHeight="1">
      <c r="B2419" s="9"/>
      <c r="C2419" s="9"/>
      <c r="D2419" s="9"/>
      <c r="E2419" s="9"/>
      <c r="F2419" s="9"/>
      <c r="G2419" s="9"/>
      <c r="H2419" s="9"/>
      <c r="I2419" s="9"/>
      <c r="J2419" s="9"/>
      <c r="K2419" s="9"/>
      <c r="L2419" s="9"/>
      <c r="M2419" s="9"/>
      <c r="N2419" s="9"/>
      <c r="O2419" s="9"/>
      <c r="P2419" s="9"/>
      <c r="Q2419" s="9"/>
      <c r="R2419" s="9"/>
      <c r="S2419" s="9"/>
      <c r="T2419" s="9"/>
      <c r="U2419" s="9"/>
      <c r="V2419" s="9"/>
      <c r="W2419" s="9"/>
      <c r="X2419" s="9"/>
      <c r="Y2419" s="9"/>
      <c r="Z2419" s="9"/>
      <c r="AA2419" s="9"/>
      <c r="AB2419" s="9"/>
      <c r="AC2419" s="9"/>
      <c r="AD2419" s="9"/>
      <c r="AE2419" s="9"/>
      <c r="AF2419" s="9"/>
    </row>
    <row r="2420" spans="2:32" ht="15" customHeight="1">
      <c r="B2420" s="9"/>
      <c r="C2420" s="9"/>
      <c r="D2420" s="9"/>
      <c r="E2420" s="9"/>
      <c r="F2420" s="9"/>
      <c r="G2420" s="9"/>
      <c r="H2420" s="9"/>
      <c r="I2420" s="9"/>
      <c r="J2420" s="9"/>
      <c r="K2420" s="9"/>
      <c r="L2420" s="9"/>
      <c r="M2420" s="9"/>
      <c r="N2420" s="9"/>
      <c r="O2420" s="9"/>
      <c r="P2420" s="9"/>
      <c r="Q2420" s="9"/>
      <c r="R2420" s="9"/>
      <c r="S2420" s="9"/>
      <c r="T2420" s="9"/>
      <c r="U2420" s="9"/>
      <c r="V2420" s="9"/>
      <c r="W2420" s="9"/>
      <c r="X2420" s="9"/>
      <c r="Y2420" s="9"/>
      <c r="Z2420" s="9"/>
      <c r="AA2420" s="9"/>
      <c r="AB2420" s="9"/>
      <c r="AC2420" s="9"/>
      <c r="AD2420" s="9"/>
      <c r="AE2420" s="9"/>
      <c r="AF2420" s="9"/>
    </row>
    <row r="2421" spans="2:32" ht="15" customHeight="1"/>
    <row r="2422" spans="2:32" ht="15" customHeight="1"/>
    <row r="2423" spans="2:32" ht="15" customHeight="1"/>
    <row r="2424" spans="2:32" ht="15" customHeight="1"/>
    <row r="2425" spans="2:32" ht="15" customHeight="1"/>
    <row r="2426" spans="2:32" ht="15" customHeight="1"/>
    <row r="2427" spans="2:32" ht="15" customHeight="1"/>
    <row r="2428" spans="2:32" ht="15" customHeight="1"/>
    <row r="2429" spans="2:32" ht="15" customHeight="1"/>
    <row r="2430" spans="2:32" ht="15" customHeight="1"/>
    <row r="2431" spans="2:32" ht="15" customHeight="1"/>
    <row r="2432" spans="2:32" ht="15" customHeight="1"/>
    <row r="2433" ht="15" customHeight="1"/>
    <row r="2434" ht="15" customHeight="1"/>
    <row r="2435" ht="15" customHeight="1"/>
    <row r="2436" ht="15" customHeight="1"/>
    <row r="2437" ht="15" customHeight="1"/>
    <row r="2438" ht="15" customHeight="1"/>
    <row r="2451" ht="15" customHeight="1"/>
    <row r="2452" ht="15" customHeight="1"/>
    <row r="2453" ht="15" customHeight="1"/>
    <row r="2454" ht="15" customHeight="1"/>
    <row r="2455" ht="15" customHeight="1"/>
    <row r="2456" ht="15" customHeight="1"/>
    <row r="2458" ht="15" customHeight="1"/>
    <row r="2460" ht="15" customHeight="1"/>
    <row r="2462" ht="15" customHeight="1"/>
    <row r="2463" ht="15" customHeight="1"/>
    <row r="2464" ht="15" customHeight="1"/>
    <row r="2465" ht="15" customHeight="1"/>
    <row r="2466" ht="15" customHeight="1"/>
    <row r="2468" ht="15" customHeight="1"/>
    <row r="2469" ht="15" customHeight="1"/>
    <row r="2470" ht="15" customHeight="1"/>
    <row r="2471" ht="15" customHeight="1"/>
    <row r="2472" ht="15" customHeight="1"/>
    <row r="2473" ht="15" customHeight="1"/>
    <row r="2474" ht="15" customHeight="1"/>
    <row r="2476" ht="15" customHeight="1"/>
    <row r="2477" ht="15" customHeight="1"/>
    <row r="2478" ht="15" customHeight="1"/>
    <row r="2479" ht="15" customHeight="1"/>
    <row r="2480" ht="15" customHeight="1"/>
    <row r="2481" ht="15" customHeight="1"/>
    <row r="2482" ht="15" customHeight="1"/>
    <row r="2483" ht="15" customHeight="1"/>
    <row r="2484" ht="15" customHeight="1"/>
    <row r="2485" ht="15" customHeight="1"/>
    <row r="2487" ht="15" customHeight="1"/>
    <row r="2489" ht="15" customHeight="1"/>
    <row r="2490" ht="15" customHeight="1"/>
    <row r="2491" ht="15" customHeight="1"/>
    <row r="2492" ht="15" customHeight="1"/>
    <row r="2493" ht="15" customHeight="1"/>
    <row r="2496" ht="15" customHeight="1"/>
    <row r="2497" spans="2:32" ht="15" customHeight="1"/>
    <row r="2498" spans="2:32">
      <c r="B2498" s="9"/>
      <c r="C2498" s="9"/>
      <c r="D2498" s="9"/>
      <c r="E2498" s="9"/>
      <c r="F2498" s="9"/>
      <c r="G2498" s="9"/>
      <c r="H2498" s="9"/>
      <c r="I2498" s="9"/>
      <c r="J2498" s="9"/>
      <c r="K2498" s="9"/>
      <c r="L2498" s="9"/>
      <c r="M2498" s="9"/>
      <c r="N2498" s="9"/>
      <c r="O2498" s="9"/>
      <c r="P2498" s="9"/>
      <c r="Q2498" s="9"/>
      <c r="R2498" s="9"/>
      <c r="S2498" s="9"/>
      <c r="T2498" s="9"/>
      <c r="U2498" s="9"/>
      <c r="V2498" s="9"/>
      <c r="W2498" s="9"/>
      <c r="X2498" s="9"/>
      <c r="Y2498" s="9"/>
      <c r="Z2498" s="9"/>
      <c r="AA2498" s="9"/>
      <c r="AB2498" s="9"/>
      <c r="AC2498" s="9"/>
      <c r="AD2498" s="9"/>
      <c r="AE2498" s="9"/>
      <c r="AF2498" s="9"/>
    </row>
    <row r="2499" spans="2:32" ht="15" customHeight="1"/>
    <row r="2500" spans="2:32" ht="15" customHeight="1"/>
    <row r="2501" spans="2:32" ht="15" customHeight="1"/>
    <row r="2502" spans="2:32" ht="15" customHeight="1"/>
    <row r="2503" spans="2:32" ht="15" customHeight="1"/>
    <row r="2504" spans="2:32">
      <c r="B2504" s="9"/>
      <c r="C2504" s="9"/>
      <c r="D2504" s="9"/>
      <c r="E2504" s="9"/>
      <c r="F2504" s="9"/>
      <c r="G2504" s="9"/>
      <c r="H2504" s="9"/>
      <c r="I2504" s="9"/>
      <c r="J2504" s="9"/>
      <c r="K2504" s="9"/>
      <c r="L2504" s="9"/>
      <c r="M2504" s="9"/>
      <c r="N2504" s="9"/>
      <c r="O2504" s="9"/>
      <c r="P2504" s="9"/>
      <c r="Q2504" s="9"/>
      <c r="R2504" s="9"/>
      <c r="S2504" s="9"/>
      <c r="T2504" s="9"/>
      <c r="U2504" s="9"/>
      <c r="V2504" s="9"/>
      <c r="W2504" s="9"/>
      <c r="X2504" s="9"/>
      <c r="Y2504" s="9"/>
      <c r="Z2504" s="9"/>
      <c r="AA2504" s="9"/>
      <c r="AB2504" s="9"/>
      <c r="AC2504" s="9"/>
      <c r="AD2504" s="9"/>
      <c r="AE2504" s="9"/>
      <c r="AF2504" s="9"/>
    </row>
    <row r="2505" spans="2:32" ht="15" customHeight="1"/>
    <row r="2506" spans="2:32" ht="15" customHeight="1"/>
    <row r="2507" spans="2:32" ht="15" customHeight="1"/>
    <row r="2508" spans="2:32" ht="15" customHeight="1"/>
    <row r="2509" spans="2:32" ht="15" customHeight="1">
      <c r="B2509" s="9"/>
      <c r="C2509" s="9"/>
      <c r="D2509" s="9"/>
      <c r="E2509" s="9"/>
      <c r="F2509" s="9"/>
      <c r="G2509" s="9"/>
      <c r="H2509" s="9"/>
      <c r="I2509" s="9"/>
      <c r="J2509" s="9"/>
      <c r="K2509" s="9"/>
      <c r="L2509" s="9"/>
      <c r="M2509" s="9"/>
      <c r="N2509" s="9"/>
      <c r="O2509" s="9"/>
      <c r="P2509" s="9"/>
      <c r="Q2509" s="9"/>
      <c r="R2509" s="9"/>
      <c r="S2509" s="9"/>
      <c r="T2509" s="9"/>
      <c r="U2509" s="9"/>
      <c r="V2509" s="9"/>
      <c r="W2509" s="9"/>
      <c r="X2509" s="9"/>
      <c r="Y2509" s="9"/>
      <c r="Z2509" s="9"/>
      <c r="AA2509" s="9"/>
      <c r="AB2509" s="9"/>
      <c r="AC2509" s="9"/>
      <c r="AD2509" s="9"/>
      <c r="AE2509" s="9"/>
      <c r="AF2509" s="9"/>
    </row>
    <row r="2510" spans="2:32" ht="15" customHeight="1">
      <c r="B2510" s="9"/>
      <c r="C2510" s="9"/>
      <c r="D2510" s="9"/>
      <c r="E2510" s="9"/>
      <c r="F2510" s="9"/>
      <c r="G2510" s="9"/>
      <c r="H2510" s="9"/>
      <c r="I2510" s="9"/>
      <c r="J2510" s="9"/>
      <c r="K2510" s="9"/>
      <c r="L2510" s="9"/>
      <c r="M2510" s="9"/>
      <c r="N2510" s="9"/>
      <c r="O2510" s="9"/>
      <c r="P2510" s="9"/>
      <c r="Q2510" s="9"/>
      <c r="R2510" s="9"/>
      <c r="S2510" s="9"/>
      <c r="T2510" s="9"/>
      <c r="U2510" s="9"/>
      <c r="V2510" s="9"/>
      <c r="W2510" s="9"/>
      <c r="X2510" s="9"/>
      <c r="Y2510" s="9"/>
      <c r="Z2510" s="9"/>
      <c r="AA2510" s="9"/>
      <c r="AB2510" s="9"/>
      <c r="AC2510" s="9"/>
      <c r="AD2510" s="9"/>
      <c r="AE2510" s="9"/>
      <c r="AF2510" s="9"/>
    </row>
    <row r="2511" spans="2:32" ht="15" customHeight="1"/>
    <row r="2512" spans="2:32" ht="15" customHeight="1"/>
    <row r="2513" ht="15" customHeight="1"/>
    <row r="2514" ht="15" customHeight="1"/>
    <row r="2515" ht="15" customHeight="1"/>
    <row r="2516" ht="15" customHeight="1"/>
    <row r="2517" ht="15" customHeight="1"/>
    <row r="2518" ht="15" customHeight="1"/>
    <row r="2519" ht="15" customHeight="1"/>
    <row r="2520" ht="15" customHeight="1"/>
    <row r="2521" ht="15" customHeight="1"/>
    <row r="2522" ht="15" customHeight="1"/>
    <row r="2523" ht="15" customHeight="1"/>
    <row r="2524" ht="15" customHeight="1"/>
    <row r="2525" ht="15" customHeight="1"/>
    <row r="2526" ht="15" customHeight="1"/>
    <row r="2527" ht="15" customHeight="1"/>
    <row r="2528" ht="15" customHeight="1"/>
    <row r="2529" ht="15" customHeight="1"/>
    <row r="2530" ht="15" customHeight="1"/>
    <row r="2551" ht="15" customHeight="1"/>
    <row r="2552" ht="15" customHeight="1"/>
    <row r="2553" ht="15" customHeight="1"/>
    <row r="2554" ht="15" customHeight="1"/>
    <row r="2555" ht="15" customHeight="1"/>
    <row r="2556" ht="15" customHeight="1"/>
    <row r="2557" ht="15" customHeight="1"/>
    <row r="2558" ht="15" customHeight="1"/>
    <row r="2559" ht="15" customHeight="1"/>
    <row r="2560" ht="15" customHeight="1"/>
    <row r="2562" ht="15" customHeight="1"/>
    <row r="2563" ht="15" customHeight="1"/>
    <row r="2564" ht="15" customHeight="1"/>
    <row r="2565" ht="15" customHeight="1"/>
    <row r="2566" ht="15" customHeight="1"/>
    <row r="2567" ht="15" customHeight="1"/>
    <row r="2569" ht="15" customHeight="1"/>
    <row r="2570" ht="15" customHeight="1"/>
    <row r="2571" ht="15" customHeight="1"/>
    <row r="2572" ht="15" customHeight="1"/>
    <row r="2573" ht="15" customHeight="1"/>
    <row r="2574" ht="15" customHeight="1"/>
    <row r="2576" ht="15" customHeight="1"/>
    <row r="2577" ht="15" customHeight="1"/>
    <row r="2578" ht="15" customHeight="1"/>
    <row r="2579" ht="15" customHeight="1"/>
    <row r="2580" ht="15" customHeight="1"/>
    <row r="2582" ht="15" customHeight="1"/>
    <row r="2583" ht="15" customHeight="1"/>
    <row r="2584" ht="15" customHeight="1"/>
    <row r="2585" ht="15" customHeight="1"/>
    <row r="2586" ht="15" customHeight="1"/>
    <row r="2587" ht="15" customHeight="1"/>
    <row r="2589" ht="15" customHeight="1"/>
    <row r="2590" ht="15" customHeight="1"/>
    <row r="2591" ht="15" customHeight="1"/>
    <row r="2592" ht="15" customHeight="1"/>
    <row r="2593" spans="2:32" ht="15" customHeight="1"/>
    <row r="2594" spans="2:32" ht="15" customHeight="1"/>
    <row r="2595" spans="2:32">
      <c r="B2595" s="9"/>
      <c r="C2595" s="9"/>
      <c r="D2595" s="9"/>
      <c r="E2595" s="9"/>
      <c r="F2595" s="9"/>
      <c r="G2595" s="9"/>
      <c r="H2595" s="9"/>
      <c r="I2595" s="9"/>
      <c r="J2595" s="9"/>
      <c r="K2595" s="9"/>
      <c r="L2595" s="9"/>
      <c r="M2595" s="9"/>
      <c r="N2595" s="9"/>
      <c r="O2595" s="9"/>
      <c r="P2595" s="9"/>
      <c r="Q2595" s="9"/>
      <c r="R2595" s="9"/>
      <c r="S2595" s="9"/>
      <c r="T2595" s="9"/>
      <c r="U2595" s="9"/>
      <c r="V2595" s="9"/>
      <c r="W2595" s="9"/>
      <c r="X2595" s="9"/>
      <c r="Y2595" s="9"/>
      <c r="Z2595" s="9"/>
      <c r="AA2595" s="9"/>
      <c r="AB2595" s="9"/>
      <c r="AC2595" s="9"/>
      <c r="AD2595" s="9"/>
      <c r="AE2595" s="9"/>
      <c r="AF2595" s="9"/>
    </row>
    <row r="2596" spans="2:32" ht="15" customHeight="1"/>
    <row r="2597" spans="2:32" ht="15" customHeight="1"/>
    <row r="2598" spans="2:32" ht="15" customHeight="1">
      <c r="B2598" s="9"/>
      <c r="C2598" s="9"/>
      <c r="D2598" s="9"/>
      <c r="E2598" s="9"/>
      <c r="F2598" s="9"/>
      <c r="G2598" s="9"/>
      <c r="H2598" s="9"/>
      <c r="I2598" s="9"/>
      <c r="J2598" s="9"/>
      <c r="K2598" s="9"/>
      <c r="L2598" s="9"/>
      <c r="M2598" s="9"/>
      <c r="N2598" s="9"/>
      <c r="O2598" s="9"/>
      <c r="P2598" s="9"/>
      <c r="Q2598" s="9"/>
      <c r="R2598" s="9"/>
      <c r="S2598" s="9"/>
      <c r="T2598" s="9"/>
      <c r="U2598" s="9"/>
      <c r="V2598" s="9"/>
      <c r="W2598" s="9"/>
      <c r="X2598" s="9"/>
      <c r="Y2598" s="9"/>
      <c r="Z2598" s="9"/>
      <c r="AA2598" s="9"/>
      <c r="AB2598" s="9"/>
      <c r="AC2598" s="9"/>
      <c r="AD2598" s="9"/>
      <c r="AE2598" s="9"/>
      <c r="AF2598" s="9"/>
    </row>
    <row r="2599" spans="2:32" ht="15" customHeight="1">
      <c r="B2599" s="9"/>
      <c r="C2599" s="9"/>
      <c r="D2599" s="9"/>
      <c r="E2599" s="9"/>
      <c r="F2599" s="9"/>
      <c r="G2599" s="9"/>
      <c r="H2599" s="9"/>
      <c r="I2599" s="9"/>
      <c r="J2599" s="9"/>
      <c r="K2599" s="9"/>
      <c r="L2599" s="9"/>
      <c r="M2599" s="9"/>
      <c r="N2599" s="9"/>
      <c r="O2599" s="9"/>
      <c r="P2599" s="9"/>
      <c r="Q2599" s="9"/>
      <c r="R2599" s="9"/>
      <c r="S2599" s="9"/>
      <c r="T2599" s="9"/>
      <c r="U2599" s="9"/>
      <c r="V2599" s="9"/>
      <c r="W2599" s="9"/>
      <c r="X2599" s="9"/>
      <c r="Y2599" s="9"/>
      <c r="Z2599" s="9"/>
      <c r="AA2599" s="9"/>
      <c r="AB2599" s="9"/>
      <c r="AC2599" s="9"/>
      <c r="AD2599" s="9"/>
      <c r="AE2599" s="9"/>
      <c r="AF2599" s="9"/>
    </row>
    <row r="2600" spans="2:32" ht="15" customHeight="1"/>
    <row r="2601" spans="2:32" ht="15" customHeight="1"/>
    <row r="2602" spans="2:32" ht="15" customHeight="1"/>
    <row r="2603" spans="2:32" ht="15" customHeight="1"/>
    <row r="2604" spans="2:32" ht="15" customHeight="1"/>
    <row r="2605" spans="2:32" ht="15" customHeight="1"/>
    <row r="2606" spans="2:32" ht="15" customHeight="1"/>
    <row r="2607" spans="2:32" ht="15" customHeight="1"/>
    <row r="2608" spans="2:32" ht="15" customHeight="1"/>
    <row r="2609" ht="15" customHeight="1"/>
    <row r="2610" ht="15" customHeight="1"/>
    <row r="2611" ht="15" customHeight="1"/>
    <row r="2612" ht="15" customHeight="1"/>
    <row r="2613" ht="15" customHeight="1"/>
    <row r="2614" ht="15" customHeight="1"/>
    <row r="2615" ht="15" customHeight="1"/>
    <row r="2616" ht="15" customHeight="1"/>
    <row r="2626" ht="15" customHeight="1"/>
    <row r="2627" ht="15" customHeight="1"/>
    <row r="2628" ht="15" customHeight="1"/>
    <row r="2629" ht="15" customHeight="1"/>
    <row r="2630" ht="15" customHeight="1"/>
    <row r="2631" ht="15" customHeight="1"/>
    <row r="2632" ht="15" customHeight="1"/>
    <row r="2633" ht="15" customHeight="1"/>
    <row r="2634" ht="15" customHeight="1"/>
    <row r="2635" ht="15" customHeight="1"/>
    <row r="2636" ht="15" customHeight="1"/>
    <row r="2637" ht="15" customHeight="1"/>
    <row r="2638" ht="15" customHeight="1"/>
    <row r="2639" ht="15" customHeight="1"/>
    <row r="2640" ht="15" customHeight="1"/>
    <row r="2641" ht="15" customHeight="1"/>
    <row r="2642" ht="15" customHeight="1"/>
    <row r="2643" ht="15" customHeight="1"/>
    <row r="2644" ht="15" customHeight="1"/>
    <row r="2645" ht="15" customHeight="1"/>
    <row r="2646" ht="15" customHeight="1"/>
    <row r="2647" ht="15" customHeight="1"/>
    <row r="2649" ht="15" customHeight="1"/>
    <row r="2650" ht="15" customHeight="1"/>
    <row r="2651" ht="15" customHeight="1"/>
    <row r="2652" ht="15" customHeight="1"/>
    <row r="2653" ht="15" customHeight="1"/>
    <row r="2654" ht="15" customHeight="1"/>
    <row r="2655" ht="15" customHeight="1"/>
    <row r="2656" ht="15" customHeight="1"/>
    <row r="2657" ht="15" customHeight="1"/>
    <row r="2658" ht="15" customHeight="1"/>
    <row r="2659" ht="15" customHeight="1"/>
    <row r="2660" ht="15" customHeight="1"/>
    <row r="2663" ht="15" customHeight="1"/>
    <row r="2664" ht="15" customHeight="1"/>
    <row r="2665" ht="15" customHeight="1"/>
    <row r="2666" ht="15" customHeight="1"/>
    <row r="2667" ht="15" customHeight="1"/>
    <row r="2668" ht="15" customHeight="1"/>
    <row r="2669" ht="15" customHeight="1"/>
    <row r="2670" ht="15" customHeight="1"/>
    <row r="2671" ht="15" customHeight="1"/>
    <row r="2672" ht="15" customHeight="1"/>
    <row r="2673" ht="15" customHeight="1"/>
    <row r="2674" ht="15" customHeight="1"/>
    <row r="2675" ht="15" customHeight="1"/>
    <row r="2676" ht="15" customHeight="1"/>
    <row r="2677" ht="15" customHeight="1"/>
    <row r="2678" ht="15" customHeight="1"/>
    <row r="2679" ht="15" customHeight="1"/>
    <row r="2680" ht="15" customHeight="1"/>
    <row r="2681" ht="15" customHeight="1"/>
    <row r="2682" ht="15" customHeight="1"/>
    <row r="2683" ht="15" customHeight="1"/>
    <row r="2684" ht="15" customHeight="1"/>
    <row r="2685" ht="15" customHeight="1"/>
    <row r="2686" ht="15" customHeight="1"/>
    <row r="2687" ht="15" customHeight="1"/>
    <row r="2688" ht="15" customHeight="1"/>
    <row r="2690" ht="15" customHeight="1"/>
    <row r="2691" ht="15" customHeight="1"/>
    <row r="2692" ht="15" customHeight="1"/>
    <row r="2693" ht="15" customHeight="1"/>
    <row r="2694" ht="15" customHeight="1"/>
    <row r="2695" ht="15" customHeight="1"/>
    <row r="2696" ht="15" customHeight="1"/>
    <row r="2697" ht="15" customHeight="1"/>
    <row r="2698" ht="15" customHeight="1"/>
    <row r="2699" ht="15" customHeight="1"/>
    <row r="2700" ht="15" customHeight="1"/>
    <row r="2701" ht="15" customHeight="1"/>
    <row r="2702" ht="15" customHeight="1"/>
    <row r="2703" ht="15" customHeight="1"/>
    <row r="2704" ht="15" customHeight="1"/>
    <row r="2705" spans="2:32" ht="15" customHeight="1"/>
    <row r="2706" spans="2:32">
      <c r="B2706" s="9"/>
      <c r="C2706" s="9"/>
      <c r="D2706" s="9"/>
      <c r="E2706" s="9"/>
      <c r="F2706" s="9"/>
      <c r="G2706" s="9"/>
      <c r="H2706" s="9"/>
      <c r="I2706" s="9"/>
      <c r="J2706" s="9"/>
      <c r="K2706" s="9"/>
      <c r="L2706" s="9"/>
      <c r="M2706" s="9"/>
      <c r="N2706" s="9"/>
      <c r="O2706" s="9"/>
      <c r="P2706" s="9"/>
      <c r="Q2706" s="9"/>
      <c r="R2706" s="9"/>
      <c r="S2706" s="9"/>
      <c r="T2706" s="9"/>
      <c r="U2706" s="9"/>
      <c r="V2706" s="9"/>
      <c r="W2706" s="9"/>
      <c r="X2706" s="9"/>
      <c r="Y2706" s="9"/>
      <c r="Z2706" s="9"/>
      <c r="AA2706" s="9"/>
      <c r="AB2706" s="9"/>
      <c r="AC2706" s="9"/>
      <c r="AD2706" s="9"/>
      <c r="AE2706" s="9"/>
      <c r="AF2706" s="9"/>
    </row>
    <row r="2707" spans="2:32">
      <c r="B2707" s="9"/>
      <c r="C2707" s="9"/>
      <c r="D2707" s="9"/>
      <c r="E2707" s="9"/>
      <c r="F2707" s="9"/>
      <c r="G2707" s="9"/>
      <c r="H2707" s="9"/>
      <c r="I2707" s="9"/>
      <c r="J2707" s="9"/>
      <c r="K2707" s="9"/>
      <c r="L2707" s="9"/>
      <c r="M2707" s="9"/>
      <c r="N2707" s="9"/>
      <c r="O2707" s="9"/>
      <c r="P2707" s="9"/>
      <c r="Q2707" s="9"/>
      <c r="R2707" s="9"/>
      <c r="S2707" s="9"/>
      <c r="T2707" s="9"/>
      <c r="U2707" s="9"/>
      <c r="V2707" s="9"/>
      <c r="W2707" s="9"/>
      <c r="X2707" s="9"/>
      <c r="Y2707" s="9"/>
      <c r="Z2707" s="9"/>
      <c r="AA2707" s="9"/>
      <c r="AB2707" s="9"/>
      <c r="AC2707" s="9"/>
      <c r="AD2707" s="9"/>
      <c r="AE2707" s="9"/>
      <c r="AF2707" s="9"/>
    </row>
    <row r="2708" spans="2:32" ht="15" customHeight="1"/>
    <row r="2709" spans="2:32" ht="15" customHeight="1"/>
    <row r="2710" spans="2:32" ht="15" customHeight="1"/>
    <row r="2711" spans="2:32" ht="15" customHeight="1"/>
    <row r="2712" spans="2:32" ht="15" customHeight="1"/>
    <row r="2713" spans="2:32" ht="15" customHeight="1"/>
    <row r="2714" spans="2:32" ht="15" customHeight="1"/>
    <row r="2715" spans="2:32" ht="15" customHeight="1"/>
    <row r="2716" spans="2:32" ht="15" customHeight="1"/>
    <row r="2717" spans="2:32" ht="15" customHeight="1"/>
    <row r="2718" spans="2:32" ht="15" customHeight="1"/>
    <row r="2719" spans="2:32" ht="15" customHeight="1">
      <c r="B2719" s="9"/>
      <c r="C2719" s="9"/>
      <c r="D2719" s="9"/>
      <c r="E2719" s="9"/>
      <c r="F2719" s="9"/>
      <c r="G2719" s="9"/>
      <c r="H2719" s="9"/>
      <c r="I2719" s="9"/>
      <c r="J2719" s="9"/>
      <c r="K2719" s="9"/>
      <c r="L2719" s="9"/>
      <c r="M2719" s="9"/>
      <c r="N2719" s="9"/>
      <c r="O2719" s="9"/>
      <c r="P2719" s="9"/>
      <c r="Q2719" s="9"/>
      <c r="R2719" s="9"/>
      <c r="S2719" s="9"/>
      <c r="T2719" s="9"/>
      <c r="U2719" s="9"/>
      <c r="V2719" s="9"/>
      <c r="W2719" s="9"/>
      <c r="X2719" s="9"/>
      <c r="Y2719" s="9"/>
      <c r="Z2719" s="9"/>
      <c r="AA2719" s="9"/>
      <c r="AB2719" s="9"/>
      <c r="AC2719" s="9"/>
      <c r="AD2719" s="9"/>
      <c r="AE2719" s="9"/>
      <c r="AF2719" s="9"/>
    </row>
    <row r="2720" spans="2:32" ht="15" customHeight="1">
      <c r="B2720" s="9"/>
      <c r="C2720" s="9"/>
      <c r="D2720" s="9"/>
      <c r="E2720" s="9"/>
      <c r="F2720" s="9"/>
      <c r="G2720" s="9"/>
      <c r="H2720" s="9"/>
      <c r="I2720" s="9"/>
      <c r="J2720" s="9"/>
      <c r="K2720" s="9"/>
      <c r="L2720" s="9"/>
      <c r="M2720" s="9"/>
      <c r="N2720" s="9"/>
      <c r="O2720" s="9"/>
      <c r="P2720" s="9"/>
      <c r="Q2720" s="9"/>
      <c r="R2720" s="9"/>
      <c r="S2720" s="9"/>
      <c r="T2720" s="9"/>
      <c r="U2720" s="9"/>
      <c r="V2720" s="9"/>
      <c r="W2720" s="9"/>
      <c r="X2720" s="9"/>
      <c r="Y2720" s="9"/>
      <c r="Z2720" s="9"/>
      <c r="AA2720" s="9"/>
      <c r="AB2720" s="9"/>
      <c r="AC2720" s="9"/>
      <c r="AD2720" s="9"/>
      <c r="AE2720" s="9"/>
      <c r="AF2720" s="9"/>
    </row>
    <row r="2721" ht="15" customHeight="1"/>
    <row r="2722" ht="15" customHeight="1"/>
    <row r="2723" ht="15" customHeight="1"/>
    <row r="2724" ht="15" customHeight="1"/>
    <row r="2725" ht="15" customHeight="1"/>
    <row r="2726" ht="15" customHeight="1"/>
    <row r="2727" ht="15" customHeight="1"/>
    <row r="2728" ht="15" customHeight="1"/>
    <row r="2729" ht="15" customHeight="1"/>
    <row r="2730" ht="15" customHeight="1"/>
    <row r="2731" ht="15" customHeight="1"/>
    <row r="2732" ht="15" customHeight="1"/>
    <row r="2733" ht="15" customHeight="1"/>
    <row r="2734" ht="15" customHeight="1"/>
    <row r="2735" ht="15" customHeight="1"/>
    <row r="2736" ht="15" customHeight="1"/>
    <row r="2737" ht="15" customHeight="1"/>
    <row r="2738" ht="15" customHeight="1"/>
    <row r="2739" ht="15" customHeight="1"/>
    <row r="2740" ht="15" customHeight="1"/>
    <row r="2741" ht="15" customHeight="1"/>
    <row r="2742" ht="15" customHeight="1"/>
    <row r="2743" ht="15" customHeight="1"/>
    <row r="2744" ht="15" customHeight="1"/>
    <row r="2776" ht="15" customHeight="1"/>
    <row r="2777" ht="15" customHeight="1"/>
    <row r="2778" ht="15" customHeight="1"/>
    <row r="2779" ht="15" customHeight="1"/>
    <row r="2780" ht="15" customHeight="1"/>
    <row r="2781" ht="15" customHeight="1"/>
    <row r="2782" ht="15" customHeight="1"/>
    <row r="2783" ht="15" customHeight="1"/>
    <row r="2784" ht="15" customHeight="1"/>
    <row r="2785" ht="15" customHeight="1"/>
    <row r="2786" ht="15" customHeight="1"/>
    <row r="2787" ht="15" customHeight="1"/>
    <row r="2789" ht="15" customHeight="1"/>
    <row r="2790" ht="15" customHeight="1"/>
    <row r="2791" ht="15" customHeight="1"/>
    <row r="2792" ht="15" customHeight="1"/>
    <row r="2794" ht="15" customHeight="1"/>
    <row r="2795" ht="15" customHeight="1"/>
    <row r="2796" ht="15" customHeight="1"/>
    <row r="2797" ht="15" customHeight="1"/>
    <row r="2798" ht="15" customHeight="1"/>
    <row r="2799" ht="15" customHeight="1"/>
    <row r="2800" ht="15" customHeight="1"/>
    <row r="2801" ht="15" customHeight="1"/>
    <row r="2802" ht="15" customHeight="1"/>
    <row r="2803" ht="15" customHeight="1"/>
    <row r="2805" ht="15" customHeight="1"/>
    <row r="2806" ht="15" customHeight="1"/>
    <row r="2807" ht="15" customHeight="1"/>
    <row r="2808" ht="15" customHeight="1"/>
    <row r="2810" ht="15" customHeight="1"/>
    <row r="2811" ht="15" customHeight="1"/>
    <row r="2812" ht="15" customHeight="1"/>
    <row r="2813" ht="15" customHeight="1"/>
    <row r="2814" ht="15" customHeight="1"/>
    <row r="2815" ht="15" customHeight="1"/>
    <row r="2816" ht="15" customHeight="1"/>
    <row r="2817" ht="15" customHeight="1"/>
    <row r="2819" ht="15" customHeight="1"/>
    <row r="2820" ht="15" customHeight="1"/>
    <row r="2821" ht="15" customHeight="1"/>
    <row r="2822" ht="15" customHeight="1"/>
    <row r="2823" ht="15" customHeight="1"/>
    <row r="2824" ht="15" customHeight="1"/>
    <row r="2826" ht="15" customHeight="1"/>
    <row r="2827" ht="15" customHeight="1"/>
    <row r="2828" ht="15" customHeight="1"/>
    <row r="2829" ht="15" customHeight="1"/>
    <row r="2832" ht="15" customHeight="1"/>
    <row r="2833" spans="2:32" ht="15" customHeight="1"/>
    <row r="2834" spans="2:32" ht="15" customHeight="1"/>
    <row r="2835" spans="2:32" ht="15" customHeight="1"/>
    <row r="2836" spans="2:32" ht="15" customHeight="1"/>
    <row r="2837" spans="2:32" ht="15" customHeight="1">
      <c r="B2837" s="9"/>
      <c r="C2837" s="9"/>
      <c r="D2837" s="9"/>
      <c r="E2837" s="9"/>
      <c r="F2837" s="9"/>
      <c r="G2837" s="9"/>
      <c r="H2837" s="9"/>
      <c r="I2837" s="9"/>
      <c r="J2837" s="9"/>
      <c r="K2837" s="9"/>
      <c r="L2837" s="9"/>
      <c r="M2837" s="9"/>
      <c r="N2837" s="9"/>
      <c r="O2837" s="9"/>
      <c r="P2837" s="9"/>
      <c r="Q2837" s="9"/>
      <c r="R2837" s="9"/>
      <c r="S2837" s="9"/>
      <c r="T2837" s="9"/>
      <c r="U2837" s="9"/>
      <c r="V2837" s="9"/>
      <c r="W2837" s="9"/>
      <c r="X2837" s="9"/>
      <c r="Y2837" s="9"/>
      <c r="Z2837" s="9"/>
      <c r="AA2837" s="9"/>
      <c r="AB2837" s="9"/>
      <c r="AC2837" s="9"/>
      <c r="AD2837" s="9"/>
      <c r="AE2837" s="9"/>
      <c r="AF2837" s="9"/>
    </row>
    <row r="2838" spans="2:32" ht="15" customHeight="1">
      <c r="B2838" s="9"/>
      <c r="C2838" s="9"/>
      <c r="D2838" s="9"/>
      <c r="E2838" s="9"/>
      <c r="F2838" s="9"/>
      <c r="G2838" s="9"/>
      <c r="H2838" s="9"/>
      <c r="I2838" s="9"/>
      <c r="J2838" s="9"/>
      <c r="K2838" s="9"/>
      <c r="L2838" s="9"/>
      <c r="M2838" s="9"/>
      <c r="N2838" s="9"/>
      <c r="O2838" s="9"/>
      <c r="P2838" s="9"/>
      <c r="Q2838" s="9"/>
      <c r="R2838" s="9"/>
      <c r="S2838" s="9"/>
      <c r="T2838" s="9"/>
      <c r="U2838" s="9"/>
      <c r="V2838" s="9"/>
      <c r="W2838" s="9"/>
      <c r="X2838" s="9"/>
      <c r="Y2838" s="9"/>
      <c r="Z2838" s="9"/>
      <c r="AA2838" s="9"/>
      <c r="AB2838" s="9"/>
      <c r="AC2838" s="9"/>
      <c r="AD2838" s="9"/>
      <c r="AE2838" s="9"/>
      <c r="AF2838" s="9"/>
    </row>
    <row r="2839" spans="2:32" ht="15" customHeight="1"/>
    <row r="2840" spans="2:32" ht="15" customHeight="1"/>
    <row r="2841" spans="2:32" ht="15" customHeight="1"/>
    <row r="2842" spans="2:32" ht="15" customHeight="1"/>
  </sheetData>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447ED3B-66F0-405A-B3A0-59BB0155690B}">
  <sheetPr>
    <tabColor theme="6" tint="0.79998168889431442"/>
  </sheetPr>
  <dimension ref="A1:AI61"/>
  <sheetViews>
    <sheetView workbookViewId="0"/>
  </sheetViews>
  <sheetFormatPr defaultRowHeight="15"/>
  <cols>
    <col min="1" max="1" width="55.28515625" customWidth="1"/>
  </cols>
  <sheetData>
    <row r="1" spans="1:35">
      <c r="A1" t="s">
        <v>197</v>
      </c>
    </row>
    <row r="2" spans="1:35">
      <c r="A2" t="s">
        <v>1040</v>
      </c>
    </row>
    <row r="3" spans="1:35">
      <c r="A3" t="s">
        <v>1041</v>
      </c>
    </row>
    <row r="4" spans="1:35">
      <c r="A4" t="s">
        <v>146</v>
      </c>
    </row>
    <row r="5" spans="1:35">
      <c r="B5" t="s">
        <v>198</v>
      </c>
      <c r="C5" t="s">
        <v>199</v>
      </c>
      <c r="D5" t="s">
        <v>200</v>
      </c>
      <c r="E5">
        <v>2021</v>
      </c>
      <c r="F5">
        <v>2022</v>
      </c>
      <c r="G5">
        <v>2023</v>
      </c>
      <c r="H5">
        <v>2024</v>
      </c>
      <c r="I5">
        <v>2025</v>
      </c>
      <c r="J5">
        <v>2026</v>
      </c>
      <c r="K5">
        <v>2027</v>
      </c>
      <c r="L5">
        <v>2028</v>
      </c>
      <c r="M5">
        <v>2029</v>
      </c>
      <c r="N5">
        <v>2030</v>
      </c>
      <c r="O5">
        <v>2031</v>
      </c>
      <c r="P5">
        <v>2032</v>
      </c>
      <c r="Q5">
        <v>2033</v>
      </c>
      <c r="R5">
        <v>2034</v>
      </c>
      <c r="S5">
        <v>2035</v>
      </c>
      <c r="T5">
        <v>2036</v>
      </c>
      <c r="U5">
        <v>2037</v>
      </c>
      <c r="V5">
        <v>2038</v>
      </c>
      <c r="W5">
        <v>2039</v>
      </c>
      <c r="X5">
        <v>2040</v>
      </c>
      <c r="Y5">
        <v>2041</v>
      </c>
      <c r="Z5">
        <v>2042</v>
      </c>
      <c r="AA5">
        <v>2043</v>
      </c>
      <c r="AB5">
        <v>2044</v>
      </c>
      <c r="AC5">
        <v>2045</v>
      </c>
      <c r="AD5">
        <v>2046</v>
      </c>
      <c r="AE5">
        <v>2047</v>
      </c>
      <c r="AF5">
        <v>2048</v>
      </c>
      <c r="AG5">
        <v>2049</v>
      </c>
      <c r="AH5">
        <v>2050</v>
      </c>
      <c r="AI5" t="s">
        <v>1042</v>
      </c>
    </row>
    <row r="6" spans="1:35">
      <c r="A6" t="s">
        <v>44</v>
      </c>
    </row>
    <row r="7" spans="1:35">
      <c r="A7" t="s">
        <v>159</v>
      </c>
    </row>
    <row r="8" spans="1:35">
      <c r="A8" t="s">
        <v>160</v>
      </c>
      <c r="B8" t="s">
        <v>1043</v>
      </c>
      <c r="C8" t="s">
        <v>1044</v>
      </c>
      <c r="D8" t="s">
        <v>201</v>
      </c>
      <c r="F8">
        <v>14447.607421999999</v>
      </c>
      <c r="G8">
        <v>14313.319336</v>
      </c>
      <c r="H8">
        <v>14066.552734000001</v>
      </c>
      <c r="I8">
        <v>13778.573242</v>
      </c>
      <c r="J8">
        <v>13556.407227</v>
      </c>
      <c r="K8">
        <v>13380.132812</v>
      </c>
      <c r="L8">
        <v>13196.650390999999</v>
      </c>
      <c r="M8">
        <v>12994.242188</v>
      </c>
      <c r="N8">
        <v>12784.722656</v>
      </c>
      <c r="O8">
        <v>12592.303711</v>
      </c>
      <c r="P8">
        <v>12399.879883</v>
      </c>
      <c r="Q8">
        <v>12240.421875</v>
      </c>
      <c r="R8">
        <v>12080.273438</v>
      </c>
      <c r="S8">
        <v>11903.265625</v>
      </c>
      <c r="T8">
        <v>11716.102539</v>
      </c>
      <c r="U8">
        <v>11552.862305000001</v>
      </c>
      <c r="V8">
        <v>11414.745117</v>
      </c>
      <c r="W8">
        <v>11288.351562</v>
      </c>
      <c r="X8">
        <v>11182.738281</v>
      </c>
      <c r="Y8">
        <v>11082.567383</v>
      </c>
      <c r="Z8">
        <v>10999.316406</v>
      </c>
      <c r="AA8">
        <v>10931.280273</v>
      </c>
      <c r="AB8">
        <v>10885.708008</v>
      </c>
      <c r="AC8">
        <v>10860.390625</v>
      </c>
      <c r="AD8">
        <v>10859.199219</v>
      </c>
      <c r="AE8">
        <v>10884.042969</v>
      </c>
      <c r="AF8">
        <v>10923.398438</v>
      </c>
      <c r="AG8">
        <v>10975.913086</v>
      </c>
      <c r="AH8">
        <v>11046.507812</v>
      </c>
      <c r="AI8" s="22">
        <v>-0.01</v>
      </c>
    </row>
    <row r="9" spans="1:35">
      <c r="A9" t="s">
        <v>161</v>
      </c>
      <c r="B9" t="s">
        <v>1045</v>
      </c>
      <c r="C9" t="s">
        <v>1046</v>
      </c>
      <c r="D9" t="s">
        <v>201</v>
      </c>
      <c r="F9">
        <v>5617.2177730000003</v>
      </c>
      <c r="G9">
        <v>5428.5034180000002</v>
      </c>
      <c r="H9">
        <v>5191.189453</v>
      </c>
      <c r="I9">
        <v>4935.9736329999996</v>
      </c>
      <c r="J9">
        <v>4705.1977539999998</v>
      </c>
      <c r="K9">
        <v>4491.0893550000001</v>
      </c>
      <c r="L9">
        <v>4278.0898440000001</v>
      </c>
      <c r="M9">
        <v>4059.8388669999999</v>
      </c>
      <c r="N9">
        <v>3845.0900879999999</v>
      </c>
      <c r="O9">
        <v>3641.443115</v>
      </c>
      <c r="P9">
        <v>3447.7126459999999</v>
      </c>
      <c r="Q9">
        <v>3273.7714839999999</v>
      </c>
      <c r="R9">
        <v>3114.6992190000001</v>
      </c>
      <c r="S9">
        <v>2960.594482</v>
      </c>
      <c r="T9">
        <v>2817.6606449999999</v>
      </c>
      <c r="U9">
        <v>2695.3596189999998</v>
      </c>
      <c r="V9">
        <v>2595.155518</v>
      </c>
      <c r="W9">
        <v>2508.0722660000001</v>
      </c>
      <c r="X9">
        <v>2435.8085940000001</v>
      </c>
      <c r="Y9">
        <v>2374.1186520000001</v>
      </c>
      <c r="Z9">
        <v>2325.4736330000001</v>
      </c>
      <c r="AA9">
        <v>2285.9282229999999</v>
      </c>
      <c r="AB9">
        <v>2253.4345699999999</v>
      </c>
      <c r="AC9">
        <v>2228.44751</v>
      </c>
      <c r="AD9">
        <v>2209.461182</v>
      </c>
      <c r="AE9">
        <v>2197.0107419999999</v>
      </c>
      <c r="AF9">
        <v>2187.7121579999998</v>
      </c>
      <c r="AG9">
        <v>2180.7695309999999</v>
      </c>
      <c r="AH9">
        <v>2177.6904300000001</v>
      </c>
      <c r="AI9" s="22">
        <v>-3.3000000000000002E-2</v>
      </c>
    </row>
    <row r="10" spans="1:35">
      <c r="A10" t="s">
        <v>162</v>
      </c>
      <c r="B10" t="s">
        <v>1047</v>
      </c>
      <c r="C10" t="s">
        <v>1048</v>
      </c>
      <c r="D10" t="s">
        <v>201</v>
      </c>
      <c r="F10">
        <v>8814.2333980000003</v>
      </c>
      <c r="G10">
        <v>8869.2011719999991</v>
      </c>
      <c r="H10">
        <v>8860.4306639999995</v>
      </c>
      <c r="I10">
        <v>8828.4013670000004</v>
      </c>
      <c r="J10">
        <v>8837.6757809999999</v>
      </c>
      <c r="K10">
        <v>8876.1259769999997</v>
      </c>
      <c r="L10">
        <v>8906.2558590000008</v>
      </c>
      <c r="M10">
        <v>8922.7275389999995</v>
      </c>
      <c r="N10">
        <v>8928.5761719999991</v>
      </c>
      <c r="O10">
        <v>8940.390625</v>
      </c>
      <c r="P10">
        <v>8942.2568360000005</v>
      </c>
      <c r="Q10">
        <v>8957.2431639999995</v>
      </c>
      <c r="R10">
        <v>8956.6259769999997</v>
      </c>
      <c r="S10">
        <v>8934.1679690000001</v>
      </c>
      <c r="T10">
        <v>8890.3535159999992</v>
      </c>
      <c r="U10">
        <v>8849.7675780000009</v>
      </c>
      <c r="V10">
        <v>8812.1445309999999</v>
      </c>
      <c r="W10">
        <v>8773.0849610000005</v>
      </c>
      <c r="X10">
        <v>8739.9443360000005</v>
      </c>
      <c r="Y10">
        <v>8701.6416019999997</v>
      </c>
      <c r="Z10">
        <v>8667.1738280000009</v>
      </c>
      <c r="AA10">
        <v>8638.796875</v>
      </c>
      <c r="AB10">
        <v>8625.8105469999991</v>
      </c>
      <c r="AC10">
        <v>8625.5507809999999</v>
      </c>
      <c r="AD10">
        <v>8643.3994139999995</v>
      </c>
      <c r="AE10">
        <v>8680.7285159999992</v>
      </c>
      <c r="AF10">
        <v>8729.4082030000009</v>
      </c>
      <c r="AG10">
        <v>8788.8837889999995</v>
      </c>
      <c r="AH10">
        <v>8862.5654300000006</v>
      </c>
      <c r="AI10" s="22">
        <v>0</v>
      </c>
    </row>
    <row r="11" spans="1:35">
      <c r="A11" t="s">
        <v>163</v>
      </c>
      <c r="B11" t="s">
        <v>1049</v>
      </c>
      <c r="C11" t="s">
        <v>1050</v>
      </c>
      <c r="D11" t="s">
        <v>201</v>
      </c>
      <c r="F11">
        <v>16.156637</v>
      </c>
      <c r="G11">
        <v>15.614727</v>
      </c>
      <c r="H11">
        <v>14.932316999999999</v>
      </c>
      <c r="I11">
        <v>14.198518</v>
      </c>
      <c r="J11">
        <v>13.534452999999999</v>
      </c>
      <c r="K11">
        <v>12.917832000000001</v>
      </c>
      <c r="L11">
        <v>12.305018</v>
      </c>
      <c r="M11">
        <v>11.676231</v>
      </c>
      <c r="N11">
        <v>11.057055999999999</v>
      </c>
      <c r="O11">
        <v>10.469415</v>
      </c>
      <c r="P11">
        <v>9.9105530000000002</v>
      </c>
      <c r="Q11">
        <v>9.4076260000000005</v>
      </c>
      <c r="R11">
        <v>8.9483379999999997</v>
      </c>
      <c r="S11">
        <v>8.502955</v>
      </c>
      <c r="T11">
        <v>8.0892909999999993</v>
      </c>
      <c r="U11">
        <v>7.7350440000000003</v>
      </c>
      <c r="V11">
        <v>7.4453899999999997</v>
      </c>
      <c r="W11">
        <v>7.1939979999999997</v>
      </c>
      <c r="X11">
        <v>6.9856109999999996</v>
      </c>
      <c r="Y11">
        <v>6.807957</v>
      </c>
      <c r="Z11">
        <v>6.668526</v>
      </c>
      <c r="AA11">
        <v>6.5555320000000004</v>
      </c>
      <c r="AB11">
        <v>6.4628009999999998</v>
      </c>
      <c r="AC11">
        <v>6.3921140000000003</v>
      </c>
      <c r="AD11">
        <v>6.3387270000000004</v>
      </c>
      <c r="AE11">
        <v>6.3040330000000004</v>
      </c>
      <c r="AF11">
        <v>6.2782900000000001</v>
      </c>
      <c r="AG11">
        <v>6.2593569999999996</v>
      </c>
      <c r="AH11">
        <v>6.2514649999999996</v>
      </c>
      <c r="AI11" s="22">
        <v>-3.3000000000000002E-2</v>
      </c>
    </row>
    <row r="12" spans="1:35">
      <c r="A12" t="s">
        <v>164</v>
      </c>
      <c r="B12" t="s">
        <v>1051</v>
      </c>
      <c r="C12" t="s">
        <v>1052</v>
      </c>
      <c r="D12" t="s">
        <v>201</v>
      </c>
      <c r="F12">
        <v>950.06707800000004</v>
      </c>
      <c r="G12">
        <v>927.43151899999998</v>
      </c>
      <c r="H12">
        <v>901.69171100000005</v>
      </c>
      <c r="I12">
        <v>884.45953399999996</v>
      </c>
      <c r="J12">
        <v>871.48339799999997</v>
      </c>
      <c r="K12">
        <v>859.32513400000005</v>
      </c>
      <c r="L12">
        <v>849.26849400000003</v>
      </c>
      <c r="M12">
        <v>840.25915499999996</v>
      </c>
      <c r="N12">
        <v>831.36639400000001</v>
      </c>
      <c r="O12">
        <v>824.56054700000004</v>
      </c>
      <c r="P12">
        <v>821.34234600000002</v>
      </c>
      <c r="Q12">
        <v>818.52441399999998</v>
      </c>
      <c r="R12">
        <v>814.83673099999999</v>
      </c>
      <c r="S12">
        <v>811.95385699999997</v>
      </c>
      <c r="T12">
        <v>809.40844700000002</v>
      </c>
      <c r="U12">
        <v>808.91735800000004</v>
      </c>
      <c r="V12">
        <v>809.92602499999998</v>
      </c>
      <c r="W12">
        <v>810.87994400000002</v>
      </c>
      <c r="X12">
        <v>813.33953899999995</v>
      </c>
      <c r="Y12">
        <v>816.35626200000002</v>
      </c>
      <c r="Z12">
        <v>820.26946999999996</v>
      </c>
      <c r="AA12">
        <v>823.41033900000002</v>
      </c>
      <c r="AB12">
        <v>826.18591300000003</v>
      </c>
      <c r="AC12">
        <v>830.09173599999997</v>
      </c>
      <c r="AD12">
        <v>834.68682899999999</v>
      </c>
      <c r="AE12">
        <v>839.99987799999997</v>
      </c>
      <c r="AF12">
        <v>844.45477300000005</v>
      </c>
      <c r="AG12">
        <v>850.153503</v>
      </c>
      <c r="AH12">
        <v>857.44146699999999</v>
      </c>
      <c r="AI12" s="22">
        <v>-4.0000000000000001E-3</v>
      </c>
    </row>
    <row r="13" spans="1:35">
      <c r="A13" t="s">
        <v>165</v>
      </c>
      <c r="B13" t="s">
        <v>1053</v>
      </c>
      <c r="C13" t="s">
        <v>1054</v>
      </c>
      <c r="D13" t="s">
        <v>201</v>
      </c>
      <c r="F13">
        <v>211.79267899999999</v>
      </c>
      <c r="G13">
        <v>221.35264599999999</v>
      </c>
      <c r="H13">
        <v>226.360748</v>
      </c>
      <c r="I13">
        <v>226.85597200000001</v>
      </c>
      <c r="J13">
        <v>227.17091400000001</v>
      </c>
      <c r="K13">
        <v>227.42456100000001</v>
      </c>
      <c r="L13">
        <v>227.351181</v>
      </c>
      <c r="M13">
        <v>226.97782900000001</v>
      </c>
      <c r="N13">
        <v>226.290436</v>
      </c>
      <c r="O13">
        <v>225.171143</v>
      </c>
      <c r="P13">
        <v>224.09106399999999</v>
      </c>
      <c r="Q13">
        <v>223.555252</v>
      </c>
      <c r="R13">
        <v>222.82238799999999</v>
      </c>
      <c r="S13">
        <v>221.78663599999999</v>
      </c>
      <c r="T13">
        <v>220.55602999999999</v>
      </c>
      <c r="U13">
        <v>219.32922400000001</v>
      </c>
      <c r="V13">
        <v>217.81092799999999</v>
      </c>
      <c r="W13">
        <v>215.70451399999999</v>
      </c>
      <c r="X13">
        <v>213.86698899999999</v>
      </c>
      <c r="Y13">
        <v>212.02500900000001</v>
      </c>
      <c r="Z13">
        <v>210.17111199999999</v>
      </c>
      <c r="AA13">
        <v>208.09629799999999</v>
      </c>
      <c r="AB13">
        <v>205.94572400000001</v>
      </c>
      <c r="AC13">
        <v>203.864014</v>
      </c>
      <c r="AD13">
        <v>201.65756200000001</v>
      </c>
      <c r="AE13">
        <v>199.53419500000001</v>
      </c>
      <c r="AF13">
        <v>197.40910299999999</v>
      </c>
      <c r="AG13">
        <v>194.99052399999999</v>
      </c>
      <c r="AH13">
        <v>192.72607400000001</v>
      </c>
      <c r="AI13" s="22">
        <v>-3.0000000000000001E-3</v>
      </c>
    </row>
    <row r="14" spans="1:35">
      <c r="A14" t="s">
        <v>166</v>
      </c>
      <c r="B14" t="s">
        <v>1055</v>
      </c>
      <c r="C14" t="s">
        <v>1056</v>
      </c>
      <c r="D14" t="s">
        <v>201</v>
      </c>
      <c r="F14">
        <v>91.866462999999996</v>
      </c>
      <c r="G14">
        <v>95.047843999999998</v>
      </c>
      <c r="H14">
        <v>98.100082</v>
      </c>
      <c r="I14">
        <v>98.297370999999998</v>
      </c>
      <c r="J14">
        <v>99.015793000000002</v>
      </c>
      <c r="K14">
        <v>99.818306000000007</v>
      </c>
      <c r="L14">
        <v>100.435158</v>
      </c>
      <c r="M14">
        <v>100.902916</v>
      </c>
      <c r="N14">
        <v>101.160149</v>
      </c>
      <c r="O14">
        <v>101.078728</v>
      </c>
      <c r="P14">
        <v>101.03228</v>
      </c>
      <c r="Q14">
        <v>100.937263</v>
      </c>
      <c r="R14">
        <v>100.906296</v>
      </c>
      <c r="S14">
        <v>100.527382</v>
      </c>
      <c r="T14">
        <v>99.915215000000003</v>
      </c>
      <c r="U14">
        <v>99.245552000000004</v>
      </c>
      <c r="V14">
        <v>98.604225</v>
      </c>
      <c r="W14">
        <v>97.455551</v>
      </c>
      <c r="X14">
        <v>96.610405</v>
      </c>
      <c r="Y14">
        <v>95.781234999999995</v>
      </c>
      <c r="Z14">
        <v>95.010138999999995</v>
      </c>
      <c r="AA14">
        <v>94.064087000000001</v>
      </c>
      <c r="AB14">
        <v>93.072463999999997</v>
      </c>
      <c r="AC14">
        <v>92.183280999999994</v>
      </c>
      <c r="AD14">
        <v>91.261589000000001</v>
      </c>
      <c r="AE14">
        <v>90.434334000000007</v>
      </c>
      <c r="AF14">
        <v>89.623856000000004</v>
      </c>
      <c r="AG14">
        <v>88.543518000000006</v>
      </c>
      <c r="AH14">
        <v>87.624701999999999</v>
      </c>
      <c r="AI14" s="22">
        <v>-2E-3</v>
      </c>
    </row>
    <row r="15" spans="1:35">
      <c r="A15" t="s">
        <v>167</v>
      </c>
      <c r="B15" t="s">
        <v>1057</v>
      </c>
      <c r="C15" t="s">
        <v>1058</v>
      </c>
      <c r="D15" t="s">
        <v>201</v>
      </c>
      <c r="F15">
        <v>26.104420000000001</v>
      </c>
      <c r="G15">
        <v>27.958748</v>
      </c>
      <c r="H15">
        <v>29.360862999999998</v>
      </c>
      <c r="I15">
        <v>30.404257000000001</v>
      </c>
      <c r="J15">
        <v>31.176168000000001</v>
      </c>
      <c r="K15">
        <v>31.735724999999999</v>
      </c>
      <c r="L15">
        <v>32.137633999999998</v>
      </c>
      <c r="M15">
        <v>32.421238000000002</v>
      </c>
      <c r="N15">
        <v>32.616638000000002</v>
      </c>
      <c r="O15">
        <v>32.746367999999997</v>
      </c>
      <c r="P15">
        <v>32.823729999999998</v>
      </c>
      <c r="Q15">
        <v>32.850150999999997</v>
      </c>
      <c r="R15">
        <v>32.831726000000003</v>
      </c>
      <c r="S15">
        <v>32.779494999999997</v>
      </c>
      <c r="T15">
        <v>32.700462000000002</v>
      </c>
      <c r="U15">
        <v>32.598652000000001</v>
      </c>
      <c r="V15">
        <v>32.498699000000002</v>
      </c>
      <c r="W15">
        <v>32.391376000000001</v>
      </c>
      <c r="X15">
        <v>32.277873999999997</v>
      </c>
      <c r="Y15">
        <v>32.156567000000003</v>
      </c>
      <c r="Z15">
        <v>32.032176999999997</v>
      </c>
      <c r="AA15">
        <v>31.905846</v>
      </c>
      <c r="AB15">
        <v>31.778054999999998</v>
      </c>
      <c r="AC15">
        <v>31.647835000000001</v>
      </c>
      <c r="AD15">
        <v>31.517433</v>
      </c>
      <c r="AE15">
        <v>31.386583000000002</v>
      </c>
      <c r="AF15">
        <v>31.254867999999998</v>
      </c>
      <c r="AG15">
        <v>31.125091999999999</v>
      </c>
      <c r="AH15">
        <v>30.995487000000001</v>
      </c>
      <c r="AI15" s="22">
        <v>6.0000000000000001E-3</v>
      </c>
    </row>
    <row r="16" spans="1:35">
      <c r="A16" t="s">
        <v>168</v>
      </c>
      <c r="B16" t="s">
        <v>1059</v>
      </c>
      <c r="C16" t="s">
        <v>1060</v>
      </c>
      <c r="D16" t="s">
        <v>201</v>
      </c>
      <c r="F16">
        <v>93.821793</v>
      </c>
      <c r="G16">
        <v>98.346069</v>
      </c>
      <c r="H16">
        <v>98.899811</v>
      </c>
      <c r="I16">
        <v>98.154319999999998</v>
      </c>
      <c r="J16">
        <v>96.978966</v>
      </c>
      <c r="K16">
        <v>95.870536999999999</v>
      </c>
      <c r="L16">
        <v>94.778396999999998</v>
      </c>
      <c r="M16">
        <v>93.653671000000003</v>
      </c>
      <c r="N16">
        <v>92.513656999999995</v>
      </c>
      <c r="O16">
        <v>91.346046000000001</v>
      </c>
      <c r="P16">
        <v>90.235045999999997</v>
      </c>
      <c r="Q16">
        <v>89.767821999999995</v>
      </c>
      <c r="R16">
        <v>89.084404000000006</v>
      </c>
      <c r="S16">
        <v>88.479789999999994</v>
      </c>
      <c r="T16">
        <v>87.940360999999996</v>
      </c>
      <c r="U16">
        <v>87.485000999999997</v>
      </c>
      <c r="V16">
        <v>86.707999999999998</v>
      </c>
      <c r="W16">
        <v>85.857574</v>
      </c>
      <c r="X16">
        <v>84.978706000000003</v>
      </c>
      <c r="Y16">
        <v>84.087226999999999</v>
      </c>
      <c r="Z16">
        <v>83.128783999999996</v>
      </c>
      <c r="AA16">
        <v>82.126366000000004</v>
      </c>
      <c r="AB16">
        <v>81.095184000000003</v>
      </c>
      <c r="AC16">
        <v>80.032905999999997</v>
      </c>
      <c r="AD16">
        <v>78.878570999999994</v>
      </c>
      <c r="AE16">
        <v>77.713295000000002</v>
      </c>
      <c r="AF16">
        <v>76.530395999999996</v>
      </c>
      <c r="AG16">
        <v>75.321915000000004</v>
      </c>
      <c r="AH16">
        <v>74.105903999999995</v>
      </c>
      <c r="AI16" s="22">
        <v>-8.0000000000000002E-3</v>
      </c>
    </row>
    <row r="17" spans="1:35">
      <c r="A17" t="s">
        <v>169</v>
      </c>
      <c r="B17" t="s">
        <v>1061</v>
      </c>
      <c r="C17" t="s">
        <v>1062</v>
      </c>
      <c r="D17" t="s">
        <v>201</v>
      </c>
      <c r="F17">
        <v>5921.6064450000003</v>
      </c>
      <c r="G17">
        <v>5758.8461909999996</v>
      </c>
      <c r="H17">
        <v>5615.3227539999998</v>
      </c>
      <c r="I17">
        <v>5522.4594729999999</v>
      </c>
      <c r="J17">
        <v>5456.8017579999996</v>
      </c>
      <c r="K17">
        <v>5375.783203</v>
      </c>
      <c r="L17">
        <v>5295.0048829999996</v>
      </c>
      <c r="M17">
        <v>5208.1630859999996</v>
      </c>
      <c r="N17">
        <v>5129.4189450000003</v>
      </c>
      <c r="O17">
        <v>5059.7778319999998</v>
      </c>
      <c r="P17">
        <v>5009.6132809999999</v>
      </c>
      <c r="Q17">
        <v>4957.8959960000002</v>
      </c>
      <c r="R17">
        <v>4903.5463870000003</v>
      </c>
      <c r="S17">
        <v>4860.4370120000003</v>
      </c>
      <c r="T17">
        <v>4815.5263670000004</v>
      </c>
      <c r="U17">
        <v>4791.6870120000003</v>
      </c>
      <c r="V17">
        <v>4773.9067379999997</v>
      </c>
      <c r="W17">
        <v>4755.3203119999998</v>
      </c>
      <c r="X17">
        <v>4745.1215819999998</v>
      </c>
      <c r="Y17">
        <v>4736.1166990000002</v>
      </c>
      <c r="Z17">
        <v>4733.9057620000003</v>
      </c>
      <c r="AA17">
        <v>4732.7148440000001</v>
      </c>
      <c r="AB17">
        <v>4731.6547849999997</v>
      </c>
      <c r="AC17">
        <v>4729.873047</v>
      </c>
      <c r="AD17">
        <v>4730.2021480000003</v>
      </c>
      <c r="AE17">
        <v>4729.4658200000003</v>
      </c>
      <c r="AF17">
        <v>4727.9716799999997</v>
      </c>
      <c r="AG17">
        <v>4734.9438479999999</v>
      </c>
      <c r="AH17">
        <v>4747.1035160000001</v>
      </c>
      <c r="AI17" s="22">
        <v>-8.0000000000000002E-3</v>
      </c>
    </row>
    <row r="18" spans="1:35">
      <c r="A18" t="s">
        <v>170</v>
      </c>
      <c r="B18" t="s">
        <v>1063</v>
      </c>
      <c r="C18" t="s">
        <v>1064</v>
      </c>
      <c r="D18" t="s">
        <v>201</v>
      </c>
      <c r="F18">
        <v>748.63781700000004</v>
      </c>
      <c r="G18">
        <v>732.18176300000005</v>
      </c>
      <c r="H18">
        <v>720.222351</v>
      </c>
      <c r="I18">
        <v>712.26513699999998</v>
      </c>
      <c r="J18">
        <v>704.63708499999996</v>
      </c>
      <c r="K18">
        <v>693.10375999999997</v>
      </c>
      <c r="L18">
        <v>681.51898200000005</v>
      </c>
      <c r="M18">
        <v>670.97247300000004</v>
      </c>
      <c r="N18">
        <v>664.23034700000005</v>
      </c>
      <c r="O18">
        <v>660.79870600000004</v>
      </c>
      <c r="P18">
        <v>661.24517800000001</v>
      </c>
      <c r="Q18">
        <v>662.369507</v>
      </c>
      <c r="R18">
        <v>663.70324700000003</v>
      </c>
      <c r="S18">
        <v>666.36852999999996</v>
      </c>
      <c r="T18">
        <v>668.24157700000001</v>
      </c>
      <c r="U18">
        <v>672.17394999999999</v>
      </c>
      <c r="V18">
        <v>676.03515600000003</v>
      </c>
      <c r="W18">
        <v>679.41424600000005</v>
      </c>
      <c r="X18">
        <v>684.28772000000004</v>
      </c>
      <c r="Y18">
        <v>690.63830600000006</v>
      </c>
      <c r="Z18">
        <v>698.07110599999999</v>
      </c>
      <c r="AA18">
        <v>705.62060499999995</v>
      </c>
      <c r="AB18">
        <v>713.18573000000004</v>
      </c>
      <c r="AC18">
        <v>721.23553500000003</v>
      </c>
      <c r="AD18">
        <v>730.61541699999998</v>
      </c>
      <c r="AE18">
        <v>740.51544200000001</v>
      </c>
      <c r="AF18">
        <v>750.55602999999996</v>
      </c>
      <c r="AG18">
        <v>761.51873799999998</v>
      </c>
      <c r="AH18">
        <v>773.14770499999997</v>
      </c>
      <c r="AI18" s="22">
        <v>1E-3</v>
      </c>
    </row>
    <row r="19" spans="1:35">
      <c r="A19" t="s">
        <v>171</v>
      </c>
      <c r="B19" t="s">
        <v>1065</v>
      </c>
      <c r="C19" t="s">
        <v>1066</v>
      </c>
      <c r="D19" t="s">
        <v>201</v>
      </c>
      <c r="F19">
        <v>969.94122300000004</v>
      </c>
      <c r="G19">
        <v>940.81146200000001</v>
      </c>
      <c r="H19">
        <v>917.15948500000002</v>
      </c>
      <c r="I19">
        <v>901.62676999999996</v>
      </c>
      <c r="J19">
        <v>890.98638900000003</v>
      </c>
      <c r="K19">
        <v>878.49054000000001</v>
      </c>
      <c r="L19">
        <v>867.02569600000004</v>
      </c>
      <c r="M19">
        <v>854.45898399999999</v>
      </c>
      <c r="N19">
        <v>843.13281199999994</v>
      </c>
      <c r="O19">
        <v>833.16595500000005</v>
      </c>
      <c r="P19">
        <v>827.27282700000001</v>
      </c>
      <c r="Q19">
        <v>820.74212599999998</v>
      </c>
      <c r="R19">
        <v>813.97699</v>
      </c>
      <c r="S19">
        <v>809.44824200000005</v>
      </c>
      <c r="T19">
        <v>804.86688200000003</v>
      </c>
      <c r="U19">
        <v>804.27398700000003</v>
      </c>
      <c r="V19">
        <v>803.65295400000002</v>
      </c>
      <c r="W19">
        <v>803.74804700000004</v>
      </c>
      <c r="X19">
        <v>804.90454099999999</v>
      </c>
      <c r="Y19">
        <v>806.42034899999999</v>
      </c>
      <c r="Z19">
        <v>809.15716599999996</v>
      </c>
      <c r="AA19">
        <v>813.02770999999996</v>
      </c>
      <c r="AB19">
        <v>817.48461899999995</v>
      </c>
      <c r="AC19">
        <v>821.82110599999999</v>
      </c>
      <c r="AD19">
        <v>826.55474900000002</v>
      </c>
      <c r="AE19">
        <v>831.33819600000004</v>
      </c>
      <c r="AF19">
        <v>836.18957499999999</v>
      </c>
      <c r="AG19">
        <v>842.79058799999996</v>
      </c>
      <c r="AH19">
        <v>850.25329599999998</v>
      </c>
      <c r="AI19" s="22">
        <v>-5.0000000000000001E-3</v>
      </c>
    </row>
    <row r="20" spans="1:35">
      <c r="A20" t="s">
        <v>1067</v>
      </c>
      <c r="B20" t="s">
        <v>1068</v>
      </c>
      <c r="C20" t="s">
        <v>1069</v>
      </c>
      <c r="D20" t="s">
        <v>201</v>
      </c>
      <c r="F20">
        <v>4203.0278319999998</v>
      </c>
      <c r="G20">
        <v>4085.8527829999998</v>
      </c>
      <c r="H20">
        <v>3977.9411620000001</v>
      </c>
      <c r="I20">
        <v>3908.5668949999999</v>
      </c>
      <c r="J20">
        <v>3861.1782229999999</v>
      </c>
      <c r="K20">
        <v>3804.1892090000001</v>
      </c>
      <c r="L20">
        <v>3746.4604490000002</v>
      </c>
      <c r="M20">
        <v>3682.7316890000002</v>
      </c>
      <c r="N20">
        <v>3622.055664</v>
      </c>
      <c r="O20">
        <v>3565.8127439999998</v>
      </c>
      <c r="P20">
        <v>3521.0952149999998</v>
      </c>
      <c r="Q20">
        <v>3474.7841800000001</v>
      </c>
      <c r="R20">
        <v>3425.8664549999999</v>
      </c>
      <c r="S20">
        <v>3384.6206050000001</v>
      </c>
      <c r="T20">
        <v>3342.4177249999998</v>
      </c>
      <c r="U20">
        <v>3315.2387699999999</v>
      </c>
      <c r="V20">
        <v>3294.2185060000002</v>
      </c>
      <c r="W20">
        <v>3272.158203</v>
      </c>
      <c r="X20">
        <v>3255.9291990000002</v>
      </c>
      <c r="Y20">
        <v>3239.0583499999998</v>
      </c>
      <c r="Z20">
        <v>3226.6767580000001</v>
      </c>
      <c r="AA20">
        <v>3214.0668949999999</v>
      </c>
      <c r="AB20">
        <v>3200.9846189999998</v>
      </c>
      <c r="AC20">
        <v>3186.8171390000002</v>
      </c>
      <c r="AD20">
        <v>3173.031982</v>
      </c>
      <c r="AE20">
        <v>3157.6123050000001</v>
      </c>
      <c r="AF20">
        <v>3141.226318</v>
      </c>
      <c r="AG20">
        <v>3130.6345209999999</v>
      </c>
      <c r="AH20">
        <v>3123.703125</v>
      </c>
      <c r="AI20" s="22">
        <v>-1.0999999999999999E-2</v>
      </c>
    </row>
    <row r="21" spans="1:35">
      <c r="A21" t="s">
        <v>172</v>
      </c>
    </row>
    <row r="22" spans="1:35">
      <c r="A22" t="s">
        <v>173</v>
      </c>
      <c r="B22" t="s">
        <v>1070</v>
      </c>
      <c r="C22" t="s">
        <v>1071</v>
      </c>
      <c r="D22" t="s">
        <v>201</v>
      </c>
      <c r="F22">
        <v>2795.655029</v>
      </c>
      <c r="G22">
        <v>2985.946289</v>
      </c>
      <c r="H22">
        <v>3004.0117190000001</v>
      </c>
      <c r="I22">
        <v>2994.3767090000001</v>
      </c>
      <c r="J22">
        <v>3010.1215820000002</v>
      </c>
      <c r="K22">
        <v>3024.310547</v>
      </c>
      <c r="L22">
        <v>3036.461914</v>
      </c>
      <c r="M22">
        <v>3042.4677729999999</v>
      </c>
      <c r="N22">
        <v>3043.4104000000002</v>
      </c>
      <c r="O22">
        <v>3046.782471</v>
      </c>
      <c r="P22">
        <v>3061.0747070000002</v>
      </c>
      <c r="Q22">
        <v>3070.6218260000001</v>
      </c>
      <c r="R22">
        <v>3069.8415530000002</v>
      </c>
      <c r="S22">
        <v>3072.1235350000002</v>
      </c>
      <c r="T22">
        <v>3082.9067380000001</v>
      </c>
      <c r="U22">
        <v>3102.0864259999998</v>
      </c>
      <c r="V22">
        <v>3127.588135</v>
      </c>
      <c r="W22">
        <v>3157.076904</v>
      </c>
      <c r="X22">
        <v>3191.8100589999999</v>
      </c>
      <c r="Y22">
        <v>3222.9575199999999</v>
      </c>
      <c r="Z22">
        <v>3255.5627439999998</v>
      </c>
      <c r="AA22">
        <v>3288.5258789999998</v>
      </c>
      <c r="AB22">
        <v>3323.1064449999999</v>
      </c>
      <c r="AC22">
        <v>3357.5683589999999</v>
      </c>
      <c r="AD22">
        <v>3392.8244629999999</v>
      </c>
      <c r="AE22">
        <v>3430.6352539999998</v>
      </c>
      <c r="AF22">
        <v>3471.3813479999999</v>
      </c>
      <c r="AG22">
        <v>3513.5590820000002</v>
      </c>
      <c r="AH22">
        <v>3560.3764649999998</v>
      </c>
      <c r="AI22" s="22">
        <v>8.9999999999999993E-3</v>
      </c>
    </row>
    <row r="23" spans="1:35">
      <c r="A23" t="s">
        <v>174</v>
      </c>
      <c r="B23" t="s">
        <v>1072</v>
      </c>
      <c r="C23" t="s">
        <v>1073</v>
      </c>
      <c r="D23" t="s">
        <v>201</v>
      </c>
      <c r="F23">
        <v>154.480209</v>
      </c>
      <c r="G23">
        <v>163.53123500000001</v>
      </c>
      <c r="H23">
        <v>164.38275100000001</v>
      </c>
      <c r="I23">
        <v>163.916977</v>
      </c>
      <c r="J23">
        <v>164.66076699999999</v>
      </c>
      <c r="K23">
        <v>165.33139</v>
      </c>
      <c r="L23">
        <v>165.905991</v>
      </c>
      <c r="M23">
        <v>166.18859900000001</v>
      </c>
      <c r="N23">
        <v>166.23085</v>
      </c>
      <c r="O23">
        <v>166.389084</v>
      </c>
      <c r="P23">
        <v>167.06776400000001</v>
      </c>
      <c r="Q23">
        <v>167.52093500000001</v>
      </c>
      <c r="R23">
        <v>167.48246800000001</v>
      </c>
      <c r="S23">
        <v>167.58998099999999</v>
      </c>
      <c r="T23">
        <v>168.10247799999999</v>
      </c>
      <c r="U23">
        <v>169.01503</v>
      </c>
      <c r="V23">
        <v>170.22898900000001</v>
      </c>
      <c r="W23">
        <v>171.632507</v>
      </c>
      <c r="X23">
        <v>173.28613300000001</v>
      </c>
      <c r="Y23">
        <v>174.76892100000001</v>
      </c>
      <c r="Z23">
        <v>176.32135</v>
      </c>
      <c r="AA23">
        <v>177.89068599999999</v>
      </c>
      <c r="AB23">
        <v>179.53720100000001</v>
      </c>
      <c r="AC23">
        <v>181.178146</v>
      </c>
      <c r="AD23">
        <v>182.856964</v>
      </c>
      <c r="AE23">
        <v>184.65737899999999</v>
      </c>
      <c r="AF23">
        <v>186.59747300000001</v>
      </c>
      <c r="AG23">
        <v>188.605942</v>
      </c>
      <c r="AH23">
        <v>190.835114</v>
      </c>
      <c r="AI23" s="22">
        <v>8.0000000000000002E-3</v>
      </c>
    </row>
    <row r="24" spans="1:35">
      <c r="A24" t="s">
        <v>203</v>
      </c>
      <c r="B24" t="s">
        <v>1074</v>
      </c>
      <c r="C24" t="s">
        <v>1075</v>
      </c>
      <c r="D24" t="s">
        <v>201</v>
      </c>
      <c r="F24">
        <v>1525.0932620000001</v>
      </c>
      <c r="G24">
        <v>1567.8680420000001</v>
      </c>
      <c r="H24">
        <v>1526.7360839999999</v>
      </c>
      <c r="I24">
        <v>1508.541504</v>
      </c>
      <c r="J24">
        <v>1515.349121</v>
      </c>
      <c r="K24">
        <v>1520.4882809999999</v>
      </c>
      <c r="L24">
        <v>1524.98938</v>
      </c>
      <c r="M24">
        <v>1525.926025</v>
      </c>
      <c r="N24">
        <v>1523.0429690000001</v>
      </c>
      <c r="O24">
        <v>1521.2917480000001</v>
      </c>
      <c r="P24">
        <v>1525.9873050000001</v>
      </c>
      <c r="Q24">
        <v>1531.2928469999999</v>
      </c>
      <c r="R24">
        <v>1530.815918</v>
      </c>
      <c r="S24">
        <v>1529.8126219999999</v>
      </c>
      <c r="T24">
        <v>1532.0532229999999</v>
      </c>
      <c r="U24">
        <v>1538.0153809999999</v>
      </c>
      <c r="V24">
        <v>1547.7210689999999</v>
      </c>
      <c r="W24">
        <v>1559.256592</v>
      </c>
      <c r="X24">
        <v>1573.825317</v>
      </c>
      <c r="Y24">
        <v>1586.3063959999999</v>
      </c>
      <c r="Z24">
        <v>1599.5791019999999</v>
      </c>
      <c r="AA24">
        <v>1613.908447</v>
      </c>
      <c r="AB24">
        <v>1628.809814</v>
      </c>
      <c r="AC24">
        <v>1643.376831</v>
      </c>
      <c r="AD24">
        <v>1658.938232</v>
      </c>
      <c r="AE24">
        <v>1676.1137699999999</v>
      </c>
      <c r="AF24">
        <v>1694.779663</v>
      </c>
      <c r="AG24">
        <v>1714.7982179999999</v>
      </c>
      <c r="AH24">
        <v>1736.7991939999999</v>
      </c>
      <c r="AI24" s="22">
        <v>5.0000000000000001E-3</v>
      </c>
    </row>
    <row r="25" spans="1:35">
      <c r="A25" t="s">
        <v>204</v>
      </c>
      <c r="B25" t="s">
        <v>1076</v>
      </c>
      <c r="C25" t="s">
        <v>1077</v>
      </c>
      <c r="D25" t="s">
        <v>201</v>
      </c>
      <c r="F25">
        <v>585.55181900000002</v>
      </c>
      <c r="G25">
        <v>750.91198699999995</v>
      </c>
      <c r="H25">
        <v>819.919983</v>
      </c>
      <c r="I25">
        <v>830.230591</v>
      </c>
      <c r="J25">
        <v>837.06994599999996</v>
      </c>
      <c r="K25">
        <v>843.648865</v>
      </c>
      <c r="L25">
        <v>849.23260500000004</v>
      </c>
      <c r="M25">
        <v>853.01031499999999</v>
      </c>
      <c r="N25">
        <v>855.76171899999997</v>
      </c>
      <c r="O25">
        <v>859.20422399999995</v>
      </c>
      <c r="P25">
        <v>865.41162099999997</v>
      </c>
      <c r="Q25">
        <v>868.69140600000003</v>
      </c>
      <c r="R25">
        <v>869.10211200000003</v>
      </c>
      <c r="S25">
        <v>871.32574499999998</v>
      </c>
      <c r="T25">
        <v>876.51696800000002</v>
      </c>
      <c r="U25">
        <v>884.41485599999999</v>
      </c>
      <c r="V25">
        <v>893.89855999999997</v>
      </c>
      <c r="W25">
        <v>904.61901899999998</v>
      </c>
      <c r="X25">
        <v>916.72100799999998</v>
      </c>
      <c r="Y25">
        <v>927.89562999999998</v>
      </c>
      <c r="Z25">
        <v>939.45696999999996</v>
      </c>
      <c r="AA25">
        <v>950.67779499999995</v>
      </c>
      <c r="AB25">
        <v>962.48809800000004</v>
      </c>
      <c r="AC25">
        <v>974.37261999999998</v>
      </c>
      <c r="AD25">
        <v>986.22100799999998</v>
      </c>
      <c r="AE25">
        <v>998.68841599999996</v>
      </c>
      <c r="AF25">
        <v>1012.037231</v>
      </c>
      <c r="AG25">
        <v>1025.5076899999999</v>
      </c>
      <c r="AH25">
        <v>1040.55603</v>
      </c>
      <c r="AI25" s="22">
        <v>2.1000000000000001E-2</v>
      </c>
    </row>
    <row r="26" spans="1:35">
      <c r="A26" t="s">
        <v>205</v>
      </c>
      <c r="B26" t="s">
        <v>1078</v>
      </c>
      <c r="C26" t="s">
        <v>1079</v>
      </c>
      <c r="D26" t="s">
        <v>201</v>
      </c>
      <c r="F26">
        <v>530.52978499999995</v>
      </c>
      <c r="G26">
        <v>503.63491800000003</v>
      </c>
      <c r="H26">
        <v>492.97289999999998</v>
      </c>
      <c r="I26">
        <v>491.68774400000001</v>
      </c>
      <c r="J26">
        <v>493.04165599999999</v>
      </c>
      <c r="K26">
        <v>494.84197999999998</v>
      </c>
      <c r="L26">
        <v>496.33401500000002</v>
      </c>
      <c r="M26">
        <v>497.34268200000002</v>
      </c>
      <c r="N26">
        <v>498.37484699999999</v>
      </c>
      <c r="O26">
        <v>499.89736900000003</v>
      </c>
      <c r="P26">
        <v>502.60791</v>
      </c>
      <c r="Q26">
        <v>503.11676</v>
      </c>
      <c r="R26">
        <v>502.44113199999998</v>
      </c>
      <c r="S26">
        <v>503.39532500000001</v>
      </c>
      <c r="T26">
        <v>506.23397799999998</v>
      </c>
      <c r="U26">
        <v>510.641052</v>
      </c>
      <c r="V26">
        <v>515.73944100000006</v>
      </c>
      <c r="W26">
        <v>521.56854199999998</v>
      </c>
      <c r="X26">
        <v>527.97747800000002</v>
      </c>
      <c r="Y26">
        <v>533.98669400000006</v>
      </c>
      <c r="Z26">
        <v>540.20526099999995</v>
      </c>
      <c r="AA26">
        <v>546.04901099999995</v>
      </c>
      <c r="AB26">
        <v>552.27117899999996</v>
      </c>
      <c r="AC26">
        <v>558.64074700000003</v>
      </c>
      <c r="AD26">
        <v>564.80841099999998</v>
      </c>
      <c r="AE26">
        <v>571.17590299999995</v>
      </c>
      <c r="AF26">
        <v>577.96679700000004</v>
      </c>
      <c r="AG26">
        <v>584.64727800000003</v>
      </c>
      <c r="AH26">
        <v>592.18615699999998</v>
      </c>
      <c r="AI26" s="22">
        <v>4.0000000000000001E-3</v>
      </c>
    </row>
    <row r="27" spans="1:35">
      <c r="A27" t="s">
        <v>175</v>
      </c>
      <c r="B27" t="s">
        <v>1080</v>
      </c>
      <c r="C27" t="s">
        <v>1081</v>
      </c>
      <c r="D27" t="s">
        <v>201</v>
      </c>
      <c r="F27">
        <v>1234.088135</v>
      </c>
      <c r="G27">
        <v>1173.2438959999999</v>
      </c>
      <c r="H27">
        <v>1163.399048</v>
      </c>
      <c r="I27">
        <v>1161.1793210000001</v>
      </c>
      <c r="J27">
        <v>1150.975586</v>
      </c>
      <c r="K27">
        <v>1146.247437</v>
      </c>
      <c r="L27">
        <v>1136.9453120000001</v>
      </c>
      <c r="M27">
        <v>1130.1513669999999</v>
      </c>
      <c r="N27">
        <v>1124.275024</v>
      </c>
      <c r="O27">
        <v>1121.1164550000001</v>
      </c>
      <c r="P27">
        <v>1118.7803960000001</v>
      </c>
      <c r="Q27">
        <v>1116.8857419999999</v>
      </c>
      <c r="R27">
        <v>1114.0074460000001</v>
      </c>
      <c r="S27">
        <v>1111.151611</v>
      </c>
      <c r="T27">
        <v>1107.9022219999999</v>
      </c>
      <c r="U27">
        <v>1105.9880370000001</v>
      </c>
      <c r="V27">
        <v>1104.0131839999999</v>
      </c>
      <c r="W27">
        <v>1102.27124</v>
      </c>
      <c r="X27">
        <v>1101.5563959999999</v>
      </c>
      <c r="Y27">
        <v>1099.544922</v>
      </c>
      <c r="Z27">
        <v>1097.713745</v>
      </c>
      <c r="AA27">
        <v>1096.149414</v>
      </c>
      <c r="AB27">
        <v>1094.751953</v>
      </c>
      <c r="AC27">
        <v>1093.028564</v>
      </c>
      <c r="AD27">
        <v>1091.962158</v>
      </c>
      <c r="AE27">
        <v>1090.536499</v>
      </c>
      <c r="AF27">
        <v>1087.4643550000001</v>
      </c>
      <c r="AG27">
        <v>1086.8054199999999</v>
      </c>
      <c r="AH27">
        <v>1085.915283</v>
      </c>
      <c r="AI27" s="22">
        <v>-5.0000000000000001E-3</v>
      </c>
    </row>
    <row r="28" spans="1:35">
      <c r="A28" t="s">
        <v>176</v>
      </c>
      <c r="B28" t="s">
        <v>1082</v>
      </c>
      <c r="C28" t="s">
        <v>1083</v>
      </c>
      <c r="D28" t="s">
        <v>201</v>
      </c>
      <c r="F28">
        <v>1033.165405</v>
      </c>
      <c r="G28">
        <v>979.89202899999998</v>
      </c>
      <c r="H28">
        <v>974.51336700000002</v>
      </c>
      <c r="I28">
        <v>975.08941700000003</v>
      </c>
      <c r="J28">
        <v>966.546021</v>
      </c>
      <c r="K28">
        <v>963.49517800000001</v>
      </c>
      <c r="L28">
        <v>955.84588599999995</v>
      </c>
      <c r="M28">
        <v>950.93066399999998</v>
      </c>
      <c r="N28">
        <v>947.14837599999998</v>
      </c>
      <c r="O28">
        <v>945.89868200000001</v>
      </c>
      <c r="P28">
        <v>944.85516399999995</v>
      </c>
      <c r="Q28">
        <v>944.14190699999995</v>
      </c>
      <c r="R28">
        <v>942.78301999999996</v>
      </c>
      <c r="S28">
        <v>941.41467299999999</v>
      </c>
      <c r="T28">
        <v>939.39831500000003</v>
      </c>
      <c r="U28">
        <v>938.39746100000002</v>
      </c>
      <c r="V28">
        <v>937.14086899999995</v>
      </c>
      <c r="W28">
        <v>936.03857400000004</v>
      </c>
      <c r="X28">
        <v>935.76641800000004</v>
      </c>
      <c r="Y28">
        <v>934.27673300000004</v>
      </c>
      <c r="Z28">
        <v>932.92230199999995</v>
      </c>
      <c r="AA28">
        <v>931.82714799999997</v>
      </c>
      <c r="AB28">
        <v>930.86364700000001</v>
      </c>
      <c r="AC28">
        <v>929.62719700000002</v>
      </c>
      <c r="AD28">
        <v>929.00006099999996</v>
      </c>
      <c r="AE28">
        <v>927.93945299999996</v>
      </c>
      <c r="AF28">
        <v>925.19561799999997</v>
      </c>
      <c r="AG28">
        <v>924.64996299999996</v>
      </c>
      <c r="AH28">
        <v>923.808899</v>
      </c>
      <c r="AI28" s="22">
        <v>-4.0000000000000001E-3</v>
      </c>
    </row>
    <row r="29" spans="1:35">
      <c r="A29" t="s">
        <v>150</v>
      </c>
      <c r="B29" t="s">
        <v>1084</v>
      </c>
      <c r="C29" t="s">
        <v>1085</v>
      </c>
      <c r="D29" t="s">
        <v>201</v>
      </c>
      <c r="F29">
        <v>98.239388000000005</v>
      </c>
      <c r="G29">
        <v>98.555594999999997</v>
      </c>
      <c r="H29">
        <v>96.731917999999993</v>
      </c>
      <c r="I29">
        <v>95.436927999999995</v>
      </c>
      <c r="J29">
        <v>94.347915999999998</v>
      </c>
      <c r="K29">
        <v>93.10463</v>
      </c>
      <c r="L29">
        <v>91.875465000000005</v>
      </c>
      <c r="M29">
        <v>90.529846000000006</v>
      </c>
      <c r="N29">
        <v>89.324959000000007</v>
      </c>
      <c r="O29">
        <v>88.201453999999998</v>
      </c>
      <c r="P29">
        <v>87.334311999999997</v>
      </c>
      <c r="Q29">
        <v>86.465857999999997</v>
      </c>
      <c r="R29">
        <v>85.351685000000003</v>
      </c>
      <c r="S29">
        <v>84.240737999999993</v>
      </c>
      <c r="T29">
        <v>83.043732000000006</v>
      </c>
      <c r="U29">
        <v>82.109359999999995</v>
      </c>
      <c r="V29">
        <v>81.163605000000004</v>
      </c>
      <c r="W29">
        <v>80.212753000000006</v>
      </c>
      <c r="X29">
        <v>79.316063</v>
      </c>
      <c r="Y29">
        <v>78.387878000000001</v>
      </c>
      <c r="Z29">
        <v>77.573982000000001</v>
      </c>
      <c r="AA29">
        <v>76.789490000000001</v>
      </c>
      <c r="AB29">
        <v>75.995895000000004</v>
      </c>
      <c r="AC29">
        <v>75.232376000000002</v>
      </c>
      <c r="AD29">
        <v>74.504272</v>
      </c>
      <c r="AE29">
        <v>73.715118000000004</v>
      </c>
      <c r="AF29">
        <v>72.897345999999999</v>
      </c>
      <c r="AG29">
        <v>72.268508999999995</v>
      </c>
      <c r="AH29">
        <v>71.703384</v>
      </c>
      <c r="AI29" s="22">
        <v>-1.0999999999999999E-2</v>
      </c>
    </row>
    <row r="30" spans="1:35">
      <c r="A30" t="s">
        <v>151</v>
      </c>
      <c r="B30" t="s">
        <v>1086</v>
      </c>
      <c r="C30" t="s">
        <v>1087</v>
      </c>
      <c r="D30" t="s">
        <v>201</v>
      </c>
      <c r="F30">
        <v>934.92602499999998</v>
      </c>
      <c r="G30">
        <v>881.33642599999996</v>
      </c>
      <c r="H30">
        <v>877.78143299999999</v>
      </c>
      <c r="I30">
        <v>879.652466</v>
      </c>
      <c r="J30">
        <v>872.19812000000002</v>
      </c>
      <c r="K30">
        <v>870.39056400000004</v>
      </c>
      <c r="L30">
        <v>863.97039800000005</v>
      </c>
      <c r="M30">
        <v>860.40081799999996</v>
      </c>
      <c r="N30">
        <v>857.82342500000004</v>
      </c>
      <c r="O30">
        <v>857.69720500000005</v>
      </c>
      <c r="P30">
        <v>857.52087400000005</v>
      </c>
      <c r="Q30">
        <v>857.67602499999998</v>
      </c>
      <c r="R30">
        <v>857.43133499999999</v>
      </c>
      <c r="S30">
        <v>857.17394999999999</v>
      </c>
      <c r="T30">
        <v>856.35455300000001</v>
      </c>
      <c r="U30">
        <v>856.28808600000002</v>
      </c>
      <c r="V30">
        <v>855.97729500000003</v>
      </c>
      <c r="W30">
        <v>855.82580600000006</v>
      </c>
      <c r="X30">
        <v>856.450378</v>
      </c>
      <c r="Y30">
        <v>855.88885500000004</v>
      </c>
      <c r="Z30">
        <v>855.34832800000004</v>
      </c>
      <c r="AA30">
        <v>855.03765899999996</v>
      </c>
      <c r="AB30">
        <v>854.86773700000003</v>
      </c>
      <c r="AC30">
        <v>854.39483600000005</v>
      </c>
      <c r="AD30">
        <v>854.49578899999995</v>
      </c>
      <c r="AE30">
        <v>854.22436500000003</v>
      </c>
      <c r="AF30">
        <v>852.29827899999998</v>
      </c>
      <c r="AG30">
        <v>852.38147000000004</v>
      </c>
      <c r="AH30">
        <v>852.10553000000004</v>
      </c>
      <c r="AI30" s="22">
        <v>-3.0000000000000001E-3</v>
      </c>
    </row>
    <row r="31" spans="1:35">
      <c r="A31" t="s">
        <v>177</v>
      </c>
      <c r="B31" t="s">
        <v>1088</v>
      </c>
      <c r="C31" t="s">
        <v>1089</v>
      </c>
      <c r="D31" t="s">
        <v>201</v>
      </c>
      <c r="F31">
        <v>200.92266799999999</v>
      </c>
      <c r="G31">
        <v>193.35183699999999</v>
      </c>
      <c r="H31">
        <v>188.88559000000001</v>
      </c>
      <c r="I31">
        <v>186.08981299999999</v>
      </c>
      <c r="J31">
        <v>184.42950400000001</v>
      </c>
      <c r="K31">
        <v>182.75225800000001</v>
      </c>
      <c r="L31">
        <v>181.09939600000001</v>
      </c>
      <c r="M31">
        <v>179.22065699999999</v>
      </c>
      <c r="N31">
        <v>177.12664799999999</v>
      </c>
      <c r="O31">
        <v>175.21778900000001</v>
      </c>
      <c r="P31">
        <v>173.92523199999999</v>
      </c>
      <c r="Q31">
        <v>172.74378999999999</v>
      </c>
      <c r="R31">
        <v>171.224457</v>
      </c>
      <c r="S31">
        <v>169.736954</v>
      </c>
      <c r="T31">
        <v>168.50386</v>
      </c>
      <c r="U31">
        <v>167.59060700000001</v>
      </c>
      <c r="V31">
        <v>166.872299</v>
      </c>
      <c r="W31">
        <v>166.23266599999999</v>
      </c>
      <c r="X31">
        <v>165.79002399999999</v>
      </c>
      <c r="Y31">
        <v>165.26821899999999</v>
      </c>
      <c r="Z31">
        <v>164.79155</v>
      </c>
      <c r="AA31">
        <v>164.32226600000001</v>
      </c>
      <c r="AB31">
        <v>163.888306</v>
      </c>
      <c r="AC31">
        <v>163.40126000000001</v>
      </c>
      <c r="AD31">
        <v>162.96211199999999</v>
      </c>
      <c r="AE31">
        <v>162.59707599999999</v>
      </c>
      <c r="AF31">
        <v>162.268677</v>
      </c>
      <c r="AG31">
        <v>162.15545700000001</v>
      </c>
      <c r="AH31">
        <v>162.10635400000001</v>
      </c>
      <c r="AI31" s="22">
        <v>-8.0000000000000002E-3</v>
      </c>
    </row>
    <row r="32" spans="1:35">
      <c r="A32" t="s">
        <v>178</v>
      </c>
      <c r="B32" t="s">
        <v>1090</v>
      </c>
      <c r="C32" t="s">
        <v>1091</v>
      </c>
      <c r="D32" t="s">
        <v>201</v>
      </c>
      <c r="F32">
        <v>523.72045900000001</v>
      </c>
      <c r="G32">
        <v>519.93841599999996</v>
      </c>
      <c r="H32">
        <v>533.38995399999999</v>
      </c>
      <c r="I32">
        <v>512.54736300000002</v>
      </c>
      <c r="J32">
        <v>490.27654999999999</v>
      </c>
      <c r="K32">
        <v>470.94931000000003</v>
      </c>
      <c r="L32">
        <v>478.15292399999998</v>
      </c>
      <c r="M32">
        <v>471.11038200000002</v>
      </c>
      <c r="N32">
        <v>465.75012199999998</v>
      </c>
      <c r="O32">
        <v>466.06607100000002</v>
      </c>
      <c r="P32">
        <v>469.51413000000002</v>
      </c>
      <c r="Q32">
        <v>472.41146900000001</v>
      </c>
      <c r="R32">
        <v>470.37924199999998</v>
      </c>
      <c r="S32">
        <v>470.10488900000001</v>
      </c>
      <c r="T32">
        <v>467.416809</v>
      </c>
      <c r="U32">
        <v>467.62039199999998</v>
      </c>
      <c r="V32">
        <v>469.03002900000001</v>
      </c>
      <c r="W32">
        <v>467.46713299999999</v>
      </c>
      <c r="X32">
        <v>469.23397799999998</v>
      </c>
      <c r="Y32">
        <v>470.34136999999998</v>
      </c>
      <c r="Z32">
        <v>471.45013399999999</v>
      </c>
      <c r="AA32">
        <v>471.40566999999999</v>
      </c>
      <c r="AB32">
        <v>469.35632299999997</v>
      </c>
      <c r="AC32">
        <v>469.03152499999999</v>
      </c>
      <c r="AD32">
        <v>469.47219799999999</v>
      </c>
      <c r="AE32">
        <v>470.77539100000001</v>
      </c>
      <c r="AF32">
        <v>472.10351600000001</v>
      </c>
      <c r="AG32">
        <v>473.252411</v>
      </c>
      <c r="AH32">
        <v>475.92453</v>
      </c>
      <c r="AI32" s="22">
        <v>-3.0000000000000001E-3</v>
      </c>
    </row>
    <row r="33" spans="1:35">
      <c r="A33" t="s">
        <v>176</v>
      </c>
      <c r="B33" t="s">
        <v>1092</v>
      </c>
      <c r="C33" t="s">
        <v>1093</v>
      </c>
      <c r="D33" t="s">
        <v>201</v>
      </c>
      <c r="F33">
        <v>480.014252</v>
      </c>
      <c r="G33">
        <v>475.06915300000003</v>
      </c>
      <c r="H33">
        <v>487.58801299999999</v>
      </c>
      <c r="I33">
        <v>466.25399800000002</v>
      </c>
      <c r="J33">
        <v>443.44238300000001</v>
      </c>
      <c r="K33">
        <v>423.669464</v>
      </c>
      <c r="L33">
        <v>430.49002100000001</v>
      </c>
      <c r="M33">
        <v>423.11758400000002</v>
      </c>
      <c r="N33">
        <v>417.39361600000001</v>
      </c>
      <c r="O33">
        <v>417.42453</v>
      </c>
      <c r="P33">
        <v>420.523865</v>
      </c>
      <c r="Q33">
        <v>423.08718900000002</v>
      </c>
      <c r="R33">
        <v>420.76303100000001</v>
      </c>
      <c r="S33">
        <v>420.27957199999997</v>
      </c>
      <c r="T33">
        <v>417.419556</v>
      </c>
      <c r="U33">
        <v>417.43130500000001</v>
      </c>
      <c r="V33">
        <v>418.61416600000001</v>
      </c>
      <c r="W33">
        <v>416.69549599999999</v>
      </c>
      <c r="X33">
        <v>418.10549900000001</v>
      </c>
      <c r="Y33">
        <v>418.83862299999998</v>
      </c>
      <c r="Z33">
        <v>419.51144399999998</v>
      </c>
      <c r="AA33">
        <v>419.10952800000001</v>
      </c>
      <c r="AB33">
        <v>416.69879200000003</v>
      </c>
      <c r="AC33">
        <v>415.93130500000001</v>
      </c>
      <c r="AD33">
        <v>415.897583</v>
      </c>
      <c r="AE33">
        <v>416.65377799999999</v>
      </c>
      <c r="AF33">
        <v>417.404785</v>
      </c>
      <c r="AG33">
        <v>417.98327599999999</v>
      </c>
      <c r="AH33">
        <v>420.001282</v>
      </c>
      <c r="AI33" s="22">
        <v>-5.0000000000000001E-3</v>
      </c>
    </row>
    <row r="34" spans="1:35">
      <c r="A34" t="s">
        <v>179</v>
      </c>
      <c r="B34" t="s">
        <v>1094</v>
      </c>
      <c r="C34" t="s">
        <v>1095</v>
      </c>
      <c r="D34" t="s">
        <v>201</v>
      </c>
      <c r="F34">
        <v>43.706237999999999</v>
      </c>
      <c r="G34">
        <v>44.869281999999998</v>
      </c>
      <c r="H34">
        <v>45.801918000000001</v>
      </c>
      <c r="I34">
        <v>46.293396000000001</v>
      </c>
      <c r="J34">
        <v>46.834175000000002</v>
      </c>
      <c r="K34">
        <v>47.279850000000003</v>
      </c>
      <c r="L34">
        <v>47.662909999999997</v>
      </c>
      <c r="M34">
        <v>47.992789999999999</v>
      </c>
      <c r="N34">
        <v>48.356518000000001</v>
      </c>
      <c r="O34">
        <v>48.641548</v>
      </c>
      <c r="P34">
        <v>48.990273000000002</v>
      </c>
      <c r="Q34">
        <v>49.324283999999999</v>
      </c>
      <c r="R34">
        <v>49.616211</v>
      </c>
      <c r="S34">
        <v>49.825310000000002</v>
      </c>
      <c r="T34">
        <v>49.997238000000003</v>
      </c>
      <c r="U34">
        <v>50.189087000000001</v>
      </c>
      <c r="V34">
        <v>50.415855000000001</v>
      </c>
      <c r="W34">
        <v>50.771625999999998</v>
      </c>
      <c r="X34">
        <v>51.128483000000003</v>
      </c>
      <c r="Y34">
        <v>51.502738999999998</v>
      </c>
      <c r="Z34">
        <v>51.938693999999998</v>
      </c>
      <c r="AA34">
        <v>52.296149999999997</v>
      </c>
      <c r="AB34">
        <v>52.657524000000002</v>
      </c>
      <c r="AC34">
        <v>53.100223999999997</v>
      </c>
      <c r="AD34">
        <v>53.574618999999998</v>
      </c>
      <c r="AE34">
        <v>54.121613000000004</v>
      </c>
      <c r="AF34">
        <v>54.698737999999999</v>
      </c>
      <c r="AG34">
        <v>55.269134999999999</v>
      </c>
      <c r="AH34">
        <v>55.923248000000001</v>
      </c>
      <c r="AI34" s="22">
        <v>8.9999999999999993E-3</v>
      </c>
    </row>
    <row r="35" spans="1:35">
      <c r="A35" t="s">
        <v>167</v>
      </c>
      <c r="B35" t="s">
        <v>1096</v>
      </c>
      <c r="C35" t="s">
        <v>1097</v>
      </c>
      <c r="D35" t="s">
        <v>201</v>
      </c>
      <c r="F35">
        <v>7.5938879999999997</v>
      </c>
      <c r="G35">
        <v>8.2630470000000003</v>
      </c>
      <c r="H35">
        <v>8.7919619999999998</v>
      </c>
      <c r="I35">
        <v>9.2096029999999995</v>
      </c>
      <c r="J35">
        <v>9.5422510000000003</v>
      </c>
      <c r="K35">
        <v>9.8099410000000002</v>
      </c>
      <c r="L35">
        <v>10.02899</v>
      </c>
      <c r="M35">
        <v>10.211987000000001</v>
      </c>
      <c r="N35">
        <v>10.368161000000001</v>
      </c>
      <c r="O35">
        <v>10.503344</v>
      </c>
      <c r="P35">
        <v>10.620272999999999</v>
      </c>
      <c r="Q35">
        <v>10.720643000000001</v>
      </c>
      <c r="R35">
        <v>10.807645000000001</v>
      </c>
      <c r="S35">
        <v>10.883571999999999</v>
      </c>
      <c r="T35">
        <v>10.949845</v>
      </c>
      <c r="U35">
        <v>11.007377999999999</v>
      </c>
      <c r="V35">
        <v>11.064802</v>
      </c>
      <c r="W35">
        <v>11.119361</v>
      </c>
      <c r="X35">
        <v>11.170999999999999</v>
      </c>
      <c r="Y35">
        <v>11.220095000000001</v>
      </c>
      <c r="Z35">
        <v>11.267810000000001</v>
      </c>
      <c r="AA35">
        <v>11.314655</v>
      </c>
      <c r="AB35">
        <v>11.360689000000001</v>
      </c>
      <c r="AC35">
        <v>11.405897</v>
      </c>
      <c r="AD35">
        <v>11.450664</v>
      </c>
      <c r="AE35">
        <v>11.494776</v>
      </c>
      <c r="AF35">
        <v>11.538198</v>
      </c>
      <c r="AG35">
        <v>11.581163999999999</v>
      </c>
      <c r="AH35">
        <v>11.623652</v>
      </c>
      <c r="AI35" s="22">
        <v>1.4999999999999999E-2</v>
      </c>
    </row>
    <row r="36" spans="1:35">
      <c r="A36" t="s">
        <v>166</v>
      </c>
      <c r="B36" t="s">
        <v>1098</v>
      </c>
      <c r="C36" t="s">
        <v>1099</v>
      </c>
      <c r="D36" t="s">
        <v>201</v>
      </c>
      <c r="F36">
        <v>16.936598</v>
      </c>
      <c r="G36">
        <v>17.052160000000001</v>
      </c>
      <c r="H36">
        <v>17.163343000000001</v>
      </c>
      <c r="I36">
        <v>17.108516999999999</v>
      </c>
      <c r="J36">
        <v>17.156970999999999</v>
      </c>
      <c r="K36">
        <v>17.218192999999999</v>
      </c>
      <c r="L36">
        <v>17.293527999999998</v>
      </c>
      <c r="M36">
        <v>17.372610000000002</v>
      </c>
      <c r="N36">
        <v>17.426532999999999</v>
      </c>
      <c r="O36">
        <v>17.461701999999999</v>
      </c>
      <c r="P36">
        <v>17.548985999999999</v>
      </c>
      <c r="Q36">
        <v>17.645508</v>
      </c>
      <c r="R36">
        <v>17.733782000000001</v>
      </c>
      <c r="S36">
        <v>17.787050000000001</v>
      </c>
      <c r="T36">
        <v>17.832616999999999</v>
      </c>
      <c r="U36">
        <v>17.896051</v>
      </c>
      <c r="V36">
        <v>17.980246999999999</v>
      </c>
      <c r="W36">
        <v>18.065006</v>
      </c>
      <c r="X36">
        <v>18.145489000000001</v>
      </c>
      <c r="Y36">
        <v>18.261627000000001</v>
      </c>
      <c r="Z36">
        <v>18.414162000000001</v>
      </c>
      <c r="AA36">
        <v>18.525410000000001</v>
      </c>
      <c r="AB36">
        <v>18.636206000000001</v>
      </c>
      <c r="AC36">
        <v>18.767868</v>
      </c>
      <c r="AD36">
        <v>18.906137000000001</v>
      </c>
      <c r="AE36">
        <v>19.084285999999999</v>
      </c>
      <c r="AF36">
        <v>19.280042999999999</v>
      </c>
      <c r="AG36">
        <v>19.455190999999999</v>
      </c>
      <c r="AH36">
        <v>19.687010000000001</v>
      </c>
      <c r="AI36" s="22">
        <v>5.0000000000000001E-3</v>
      </c>
    </row>
    <row r="37" spans="1:35">
      <c r="A37" t="s">
        <v>180</v>
      </c>
      <c r="B37" t="s">
        <v>1100</v>
      </c>
      <c r="C37" t="s">
        <v>1101</v>
      </c>
      <c r="D37" t="s">
        <v>201</v>
      </c>
      <c r="F37">
        <v>19.175753</v>
      </c>
      <c r="G37">
        <v>19.554075000000001</v>
      </c>
      <c r="H37">
        <v>19.846613000000001</v>
      </c>
      <c r="I37">
        <v>19.975276999999998</v>
      </c>
      <c r="J37">
        <v>20.134955999999999</v>
      </c>
      <c r="K37">
        <v>20.251716999999999</v>
      </c>
      <c r="L37">
        <v>20.340392999999999</v>
      </c>
      <c r="M37">
        <v>20.408192</v>
      </c>
      <c r="N37">
        <v>20.561827000000001</v>
      </c>
      <c r="O37">
        <v>20.676501999999999</v>
      </c>
      <c r="P37">
        <v>20.821014000000002</v>
      </c>
      <c r="Q37">
        <v>20.958134000000001</v>
      </c>
      <c r="R37">
        <v>21.074787000000001</v>
      </c>
      <c r="S37">
        <v>21.154689999999999</v>
      </c>
      <c r="T37">
        <v>21.214779</v>
      </c>
      <c r="U37">
        <v>21.28566</v>
      </c>
      <c r="V37">
        <v>21.370804</v>
      </c>
      <c r="W37">
        <v>21.587259</v>
      </c>
      <c r="X37">
        <v>21.811993000000001</v>
      </c>
      <c r="Y37">
        <v>22.021018999999999</v>
      </c>
      <c r="Z37">
        <v>22.256723000000001</v>
      </c>
      <c r="AA37">
        <v>22.456087</v>
      </c>
      <c r="AB37">
        <v>22.660629</v>
      </c>
      <c r="AC37">
        <v>22.926456000000002</v>
      </c>
      <c r="AD37">
        <v>23.217818999999999</v>
      </c>
      <c r="AE37">
        <v>23.542549000000001</v>
      </c>
      <c r="AF37">
        <v>23.880496999999998</v>
      </c>
      <c r="AG37">
        <v>24.232780000000002</v>
      </c>
      <c r="AH37">
        <v>24.612587000000001</v>
      </c>
      <c r="AI37" s="22">
        <v>8.9999999999999993E-3</v>
      </c>
    </row>
    <row r="38" spans="1:35">
      <c r="A38" t="s">
        <v>181</v>
      </c>
      <c r="B38" t="s">
        <v>1102</v>
      </c>
      <c r="C38" t="s">
        <v>1103</v>
      </c>
      <c r="D38" t="s">
        <v>201</v>
      </c>
      <c r="F38">
        <v>125.899567</v>
      </c>
      <c r="G38">
        <v>125.37957</v>
      </c>
      <c r="H38">
        <v>125.029449</v>
      </c>
      <c r="I38">
        <v>124.801453</v>
      </c>
      <c r="J38">
        <v>124.69525899999999</v>
      </c>
      <c r="K38">
        <v>124.384125</v>
      </c>
      <c r="L38">
        <v>124.116241</v>
      </c>
      <c r="M38">
        <v>123.91597</v>
      </c>
      <c r="N38">
        <v>123.706886</v>
      </c>
      <c r="O38">
        <v>123.50303599999999</v>
      </c>
      <c r="P38">
        <v>123.399162</v>
      </c>
      <c r="Q38">
        <v>123.350677</v>
      </c>
      <c r="R38">
        <v>123.229088</v>
      </c>
      <c r="S38">
        <v>123.060562</v>
      </c>
      <c r="T38">
        <v>122.913391</v>
      </c>
      <c r="U38">
        <v>122.84301000000001</v>
      </c>
      <c r="V38">
        <v>122.868729</v>
      </c>
      <c r="W38">
        <v>122.974594</v>
      </c>
      <c r="X38">
        <v>123.115875</v>
      </c>
      <c r="Y38">
        <v>123.245796</v>
      </c>
      <c r="Z38">
        <v>123.376953</v>
      </c>
      <c r="AA38">
        <v>123.487793</v>
      </c>
      <c r="AB38">
        <v>123.561241</v>
      </c>
      <c r="AC38">
        <v>123.627106</v>
      </c>
      <c r="AD38">
        <v>123.712143</v>
      </c>
      <c r="AE38">
        <v>123.813293</v>
      </c>
      <c r="AF38">
        <v>123.925461</v>
      </c>
      <c r="AG38">
        <v>124.036011</v>
      </c>
      <c r="AH38">
        <v>124.148155</v>
      </c>
      <c r="AI38" s="22">
        <v>-1E-3</v>
      </c>
    </row>
    <row r="39" spans="1:35">
      <c r="A39" t="s">
        <v>182</v>
      </c>
      <c r="B39" t="s">
        <v>1104</v>
      </c>
      <c r="C39" t="s">
        <v>1105</v>
      </c>
      <c r="D39" t="s">
        <v>201</v>
      </c>
      <c r="F39">
        <v>905.84051499999998</v>
      </c>
      <c r="G39">
        <v>818.09411599999999</v>
      </c>
      <c r="H39">
        <v>750.09661900000003</v>
      </c>
      <c r="I39">
        <v>710.96716300000003</v>
      </c>
      <c r="J39">
        <v>683.21826199999998</v>
      </c>
      <c r="K39">
        <v>644.43926999999996</v>
      </c>
      <c r="L39">
        <v>605.86267099999998</v>
      </c>
      <c r="M39">
        <v>601.30419900000004</v>
      </c>
      <c r="N39">
        <v>598.79797399999995</v>
      </c>
      <c r="O39">
        <v>601.64556900000002</v>
      </c>
      <c r="P39">
        <v>607.49902299999997</v>
      </c>
      <c r="Q39">
        <v>616.87213099999997</v>
      </c>
      <c r="R39">
        <v>619.33136000000002</v>
      </c>
      <c r="S39">
        <v>618.89520300000004</v>
      </c>
      <c r="T39">
        <v>614.86352499999998</v>
      </c>
      <c r="U39">
        <v>616.29345699999999</v>
      </c>
      <c r="V39">
        <v>618.09863299999995</v>
      </c>
      <c r="W39">
        <v>620.82605000000001</v>
      </c>
      <c r="X39">
        <v>630.065247</v>
      </c>
      <c r="Y39">
        <v>633.584656</v>
      </c>
      <c r="Z39">
        <v>638.84863299999995</v>
      </c>
      <c r="AA39">
        <v>640.74737500000003</v>
      </c>
      <c r="AB39">
        <v>649.03729199999998</v>
      </c>
      <c r="AC39">
        <v>651.38903800000003</v>
      </c>
      <c r="AD39">
        <v>659.87823500000002</v>
      </c>
      <c r="AE39">
        <v>665.15924099999995</v>
      </c>
      <c r="AF39">
        <v>671.01440400000001</v>
      </c>
      <c r="AG39">
        <v>672.52191200000004</v>
      </c>
      <c r="AH39">
        <v>679.09362799999997</v>
      </c>
      <c r="AI39" s="22">
        <v>-0.01</v>
      </c>
    </row>
    <row r="40" spans="1:35">
      <c r="A40" t="s">
        <v>1106</v>
      </c>
      <c r="B40" t="s">
        <v>1107</v>
      </c>
      <c r="C40" t="s">
        <v>1108</v>
      </c>
      <c r="D40" t="s">
        <v>201</v>
      </c>
      <c r="F40">
        <v>332.52310199999999</v>
      </c>
      <c r="G40">
        <v>377.97052000000002</v>
      </c>
      <c r="H40">
        <v>384.00460800000002</v>
      </c>
      <c r="I40">
        <v>408.78292800000003</v>
      </c>
      <c r="J40">
        <v>446.260651</v>
      </c>
      <c r="K40">
        <v>477.17263800000001</v>
      </c>
      <c r="L40">
        <v>503.61007699999999</v>
      </c>
      <c r="M40">
        <v>527.57086200000003</v>
      </c>
      <c r="N40">
        <v>577.96905500000003</v>
      </c>
      <c r="O40">
        <v>628.36724900000002</v>
      </c>
      <c r="P40">
        <v>680.00372300000004</v>
      </c>
      <c r="Q40">
        <v>729.163635</v>
      </c>
      <c r="R40">
        <v>779.56182899999999</v>
      </c>
      <c r="S40">
        <v>813.16064500000005</v>
      </c>
      <c r="T40">
        <v>831.19830300000001</v>
      </c>
      <c r="U40">
        <v>846.75939900000003</v>
      </c>
      <c r="V40">
        <v>863.55883800000004</v>
      </c>
      <c r="W40">
        <v>871.95855700000004</v>
      </c>
      <c r="X40">
        <v>873.19683799999996</v>
      </c>
      <c r="Y40">
        <v>871.95855700000004</v>
      </c>
      <c r="Z40">
        <v>871.95855700000004</v>
      </c>
      <c r="AA40">
        <v>871.95855700000004</v>
      </c>
      <c r="AB40">
        <v>873.19683799999996</v>
      </c>
      <c r="AC40">
        <v>871.95855700000004</v>
      </c>
      <c r="AD40">
        <v>871.95855700000004</v>
      </c>
      <c r="AE40">
        <v>871.95855700000004</v>
      </c>
      <c r="AF40">
        <v>873.19683799999996</v>
      </c>
      <c r="AG40">
        <v>871.95855700000004</v>
      </c>
      <c r="AH40">
        <v>871.95855700000004</v>
      </c>
      <c r="AI40" s="22">
        <v>3.5000000000000003E-2</v>
      </c>
    </row>
    <row r="41" spans="1:35">
      <c r="A41" t="s">
        <v>183</v>
      </c>
      <c r="B41" t="s">
        <v>1109</v>
      </c>
      <c r="C41" t="s">
        <v>1110</v>
      </c>
      <c r="D41" t="s">
        <v>201</v>
      </c>
      <c r="F41">
        <v>431.00711100000001</v>
      </c>
      <c r="G41">
        <v>433.70452899999998</v>
      </c>
      <c r="H41">
        <v>434.85916099999997</v>
      </c>
      <c r="I41">
        <v>435.85296599999998</v>
      </c>
      <c r="J41">
        <v>436.71343999999999</v>
      </c>
      <c r="K41">
        <v>437.80352800000003</v>
      </c>
      <c r="L41">
        <v>439.04785199999998</v>
      </c>
      <c r="M41">
        <v>440.32238799999999</v>
      </c>
      <c r="N41">
        <v>441.57388300000002</v>
      </c>
      <c r="O41">
        <v>442.73297100000002</v>
      </c>
      <c r="P41">
        <v>443.867188</v>
      </c>
      <c r="Q41">
        <v>444.95523100000003</v>
      </c>
      <c r="R41">
        <v>446.03662100000003</v>
      </c>
      <c r="S41">
        <v>447.15206899999998</v>
      </c>
      <c r="T41">
        <v>448.41485599999999</v>
      </c>
      <c r="U41">
        <v>449.81106599999998</v>
      </c>
      <c r="V41">
        <v>451.25476099999997</v>
      </c>
      <c r="W41">
        <v>452.74456800000002</v>
      </c>
      <c r="X41">
        <v>454.27905299999998</v>
      </c>
      <c r="Y41">
        <v>455.853363</v>
      </c>
      <c r="Z41">
        <v>457.46035799999999</v>
      </c>
      <c r="AA41">
        <v>459.09814499999999</v>
      </c>
      <c r="AB41">
        <v>460.76711999999998</v>
      </c>
      <c r="AC41">
        <v>462.46490499999999</v>
      </c>
      <c r="AD41">
        <v>464.17974900000002</v>
      </c>
      <c r="AE41">
        <v>465.90911899999998</v>
      </c>
      <c r="AF41">
        <v>467.65033</v>
      </c>
      <c r="AG41">
        <v>469.40213</v>
      </c>
      <c r="AH41">
        <v>471.16201799999999</v>
      </c>
      <c r="AI41" s="22">
        <v>3.0000000000000001E-3</v>
      </c>
    </row>
    <row r="42" spans="1:35">
      <c r="A42" t="s">
        <v>184</v>
      </c>
      <c r="B42" t="s">
        <v>1111</v>
      </c>
      <c r="C42" t="s">
        <v>1112</v>
      </c>
      <c r="D42" t="s">
        <v>201</v>
      </c>
      <c r="F42">
        <v>334.58492999999999</v>
      </c>
      <c r="G42">
        <v>336.67889400000001</v>
      </c>
      <c r="H42">
        <v>337.57522599999999</v>
      </c>
      <c r="I42">
        <v>338.34670999999997</v>
      </c>
      <c r="J42">
        <v>339.014679</v>
      </c>
      <c r="K42">
        <v>339.86090100000001</v>
      </c>
      <c r="L42">
        <v>340.826843</v>
      </c>
      <c r="M42">
        <v>341.81625400000001</v>
      </c>
      <c r="N42">
        <v>342.787781</v>
      </c>
      <c r="O42">
        <v>343.68756100000002</v>
      </c>
      <c r="P42">
        <v>344.56802399999998</v>
      </c>
      <c r="Q42">
        <v>345.41265900000002</v>
      </c>
      <c r="R42">
        <v>346.25213600000001</v>
      </c>
      <c r="S42">
        <v>347.118042</v>
      </c>
      <c r="T42">
        <v>348.09832799999998</v>
      </c>
      <c r="U42">
        <v>349.18218999999999</v>
      </c>
      <c r="V42">
        <v>350.30291699999998</v>
      </c>
      <c r="W42">
        <v>351.45941199999999</v>
      </c>
      <c r="X42">
        <v>352.65063500000002</v>
      </c>
      <c r="Y42">
        <v>353.87274200000002</v>
      </c>
      <c r="Z42">
        <v>355.12023900000003</v>
      </c>
      <c r="AA42">
        <v>356.39163200000002</v>
      </c>
      <c r="AB42">
        <v>357.68722500000001</v>
      </c>
      <c r="AC42">
        <v>359.00518799999998</v>
      </c>
      <c r="AD42">
        <v>360.33642600000002</v>
      </c>
      <c r="AE42">
        <v>361.67889400000001</v>
      </c>
      <c r="AF42">
        <v>363.03057899999999</v>
      </c>
      <c r="AG42">
        <v>364.39047199999999</v>
      </c>
      <c r="AH42">
        <v>365.75665300000003</v>
      </c>
      <c r="AI42" s="22">
        <v>3.0000000000000001E-3</v>
      </c>
    </row>
    <row r="43" spans="1:35">
      <c r="A43" t="s">
        <v>185</v>
      </c>
      <c r="B43" t="s">
        <v>1113</v>
      </c>
      <c r="C43" t="s">
        <v>1114</v>
      </c>
      <c r="D43" t="s">
        <v>201</v>
      </c>
      <c r="F43">
        <v>0</v>
      </c>
      <c r="G43">
        <v>0</v>
      </c>
      <c r="H43">
        <v>0</v>
      </c>
      <c r="I43">
        <v>0</v>
      </c>
      <c r="J43">
        <v>0</v>
      </c>
      <c r="K43">
        <v>0</v>
      </c>
      <c r="L43">
        <v>0</v>
      </c>
      <c r="M43">
        <v>0</v>
      </c>
      <c r="N43">
        <v>0</v>
      </c>
      <c r="O43">
        <v>0</v>
      </c>
      <c r="P43">
        <v>0</v>
      </c>
      <c r="Q43">
        <v>0</v>
      </c>
      <c r="R43">
        <v>0</v>
      </c>
      <c r="S43">
        <v>0</v>
      </c>
      <c r="T43">
        <v>0</v>
      </c>
      <c r="U43">
        <v>0</v>
      </c>
      <c r="V43">
        <v>0</v>
      </c>
      <c r="W43">
        <v>0</v>
      </c>
      <c r="X43">
        <v>0</v>
      </c>
      <c r="Y43">
        <v>0</v>
      </c>
      <c r="Z43">
        <v>0</v>
      </c>
      <c r="AA43">
        <v>0</v>
      </c>
      <c r="AB43">
        <v>0</v>
      </c>
      <c r="AC43">
        <v>0</v>
      </c>
      <c r="AD43">
        <v>0</v>
      </c>
      <c r="AE43">
        <v>0</v>
      </c>
      <c r="AF43">
        <v>0</v>
      </c>
      <c r="AG43">
        <v>0</v>
      </c>
      <c r="AH43">
        <v>0</v>
      </c>
      <c r="AI43" t="s">
        <v>111</v>
      </c>
    </row>
    <row r="44" spans="1:35">
      <c r="A44" t="s">
        <v>186</v>
      </c>
      <c r="B44" t="s">
        <v>1115</v>
      </c>
      <c r="C44" t="s">
        <v>1116</v>
      </c>
      <c r="D44" t="s">
        <v>201</v>
      </c>
      <c r="F44">
        <v>96.422173000000001</v>
      </c>
      <c r="G44">
        <v>97.025620000000004</v>
      </c>
      <c r="H44">
        <v>97.283935999999997</v>
      </c>
      <c r="I44">
        <v>97.506255999999993</v>
      </c>
      <c r="J44">
        <v>97.698752999999996</v>
      </c>
      <c r="K44">
        <v>97.942611999999997</v>
      </c>
      <c r="L44">
        <v>98.220993000000007</v>
      </c>
      <c r="M44">
        <v>98.506125999999995</v>
      </c>
      <c r="N44">
        <v>98.786102</v>
      </c>
      <c r="O44">
        <v>99.045417999999998</v>
      </c>
      <c r="P44">
        <v>99.299164000000005</v>
      </c>
      <c r="Q44">
        <v>99.542572000000007</v>
      </c>
      <c r="R44">
        <v>99.784499999999994</v>
      </c>
      <c r="S44">
        <v>100.03402699999999</v>
      </c>
      <c r="T44">
        <v>100.31652800000001</v>
      </c>
      <c r="U44">
        <v>100.62887600000001</v>
      </c>
      <c r="V44">
        <v>100.951851</v>
      </c>
      <c r="W44">
        <v>101.285149</v>
      </c>
      <c r="X44">
        <v>101.628433</v>
      </c>
      <c r="Y44">
        <v>101.98062899999999</v>
      </c>
      <c r="Z44">
        <v>102.340126</v>
      </c>
      <c r="AA44">
        <v>102.70652800000001</v>
      </c>
      <c r="AB44">
        <v>103.07989499999999</v>
      </c>
      <c r="AC44">
        <v>103.45970199999999</v>
      </c>
      <c r="AD44">
        <v>103.843338</v>
      </c>
      <c r="AE44">
        <v>104.230225</v>
      </c>
      <c r="AF44">
        <v>104.619766</v>
      </c>
      <c r="AG44">
        <v>105.011658</v>
      </c>
      <c r="AH44">
        <v>105.405365</v>
      </c>
      <c r="AI44" s="22">
        <v>3.0000000000000001E-3</v>
      </c>
    </row>
    <row r="45" spans="1:35">
      <c r="A45" t="s">
        <v>141</v>
      </c>
      <c r="B45" t="s">
        <v>1117</v>
      </c>
      <c r="C45" t="s">
        <v>1118</v>
      </c>
      <c r="D45" t="s">
        <v>201</v>
      </c>
      <c r="F45">
        <v>27547.285156000002</v>
      </c>
      <c r="G45">
        <v>27277.255859000001</v>
      </c>
      <c r="H45">
        <v>26820.712890999999</v>
      </c>
      <c r="I45">
        <v>26352.072265999999</v>
      </c>
      <c r="J45">
        <v>26007.863281000002</v>
      </c>
      <c r="K45">
        <v>25690.798827999999</v>
      </c>
      <c r="L45">
        <v>25388.861327999999</v>
      </c>
      <c r="M45">
        <v>25078.917968999998</v>
      </c>
      <c r="N45">
        <v>24769.314452999999</v>
      </c>
      <c r="O45">
        <v>24503.662109000001</v>
      </c>
      <c r="P45">
        <v>24279.060547000001</v>
      </c>
      <c r="Q45">
        <v>24085.496093999998</v>
      </c>
      <c r="R45">
        <v>23864.304688</v>
      </c>
      <c r="S45">
        <v>23639.931640999999</v>
      </c>
      <c r="T45">
        <v>23406.007812</v>
      </c>
      <c r="U45">
        <v>23237.439452999999</v>
      </c>
      <c r="V45">
        <v>23109.242188</v>
      </c>
      <c r="W45">
        <v>22993.617188</v>
      </c>
      <c r="X45">
        <v>22925.126952999999</v>
      </c>
      <c r="Y45">
        <v>22852.591797000001</v>
      </c>
      <c r="Z45">
        <v>22808.074218999998</v>
      </c>
      <c r="AA45">
        <v>22774.916015999999</v>
      </c>
      <c r="AB45">
        <v>22770.072265999999</v>
      </c>
      <c r="AC45">
        <v>22781.328125</v>
      </c>
      <c r="AD45">
        <v>22827.777343999998</v>
      </c>
      <c r="AE45">
        <v>22899.871093999998</v>
      </c>
      <c r="AF45">
        <v>22986.773438</v>
      </c>
      <c r="AG45">
        <v>23095.576172000001</v>
      </c>
      <c r="AH45">
        <v>23240.400390999999</v>
      </c>
      <c r="AI45" s="22">
        <v>-6.0000000000000001E-3</v>
      </c>
    </row>
    <row r="46" spans="1:35">
      <c r="A46" t="s">
        <v>142</v>
      </c>
    </row>
    <row r="47" spans="1:35">
      <c r="A47" t="s">
        <v>187</v>
      </c>
      <c r="B47" t="s">
        <v>1119</v>
      </c>
      <c r="C47" t="s">
        <v>1120</v>
      </c>
      <c r="D47" t="s">
        <v>201</v>
      </c>
      <c r="F47">
        <v>15781.978515999999</v>
      </c>
      <c r="G47">
        <v>15607.137694999999</v>
      </c>
      <c r="H47">
        <v>15323.565430000001</v>
      </c>
      <c r="I47">
        <v>15006.644531</v>
      </c>
      <c r="J47">
        <v>14758.341796999999</v>
      </c>
      <c r="K47">
        <v>14548.008789</v>
      </c>
      <c r="L47">
        <v>14329.139648</v>
      </c>
      <c r="M47">
        <v>14088.546875</v>
      </c>
      <c r="N47">
        <v>13839.788086</v>
      </c>
      <c r="O47">
        <v>13612.479492</v>
      </c>
      <c r="P47">
        <v>13390.807617</v>
      </c>
      <c r="Q47">
        <v>13201.375977</v>
      </c>
      <c r="R47">
        <v>13009.751953000001</v>
      </c>
      <c r="S47">
        <v>12803.894531</v>
      </c>
      <c r="T47">
        <v>12588.889648</v>
      </c>
      <c r="U47">
        <v>12401.971680000001</v>
      </c>
      <c r="V47">
        <v>12241.091796999999</v>
      </c>
      <c r="W47">
        <v>12092.940430000001</v>
      </c>
      <c r="X47">
        <v>11968.771484000001</v>
      </c>
      <c r="Y47">
        <v>11852.905273</v>
      </c>
      <c r="Z47">
        <v>11756.801758</v>
      </c>
      <c r="AA47">
        <v>11675.911133</v>
      </c>
      <c r="AB47">
        <v>11619.558594</v>
      </c>
      <c r="AC47">
        <v>11585.367188</v>
      </c>
      <c r="AD47">
        <v>11577.258789</v>
      </c>
      <c r="AE47">
        <v>11595.715819999999</v>
      </c>
      <c r="AF47">
        <v>11628.708984000001</v>
      </c>
      <c r="AG47">
        <v>11677.589844</v>
      </c>
      <c r="AH47">
        <v>11746.348633</v>
      </c>
      <c r="AI47" s="22">
        <v>-0.01</v>
      </c>
    </row>
    <row r="48" spans="1:35">
      <c r="A48" t="s">
        <v>188</v>
      </c>
      <c r="B48" t="s">
        <v>1121</v>
      </c>
      <c r="C48" t="s">
        <v>1122</v>
      </c>
      <c r="D48" t="s">
        <v>201</v>
      </c>
      <c r="F48">
        <v>33.203460999999997</v>
      </c>
      <c r="G48">
        <v>33.230068000000003</v>
      </c>
      <c r="H48">
        <v>32.263480999999999</v>
      </c>
      <c r="I48">
        <v>32.096657</v>
      </c>
      <c r="J48">
        <v>31.314240000000002</v>
      </c>
      <c r="K48">
        <v>30.515791</v>
      </c>
      <c r="L48">
        <v>29.796001</v>
      </c>
      <c r="M48">
        <v>28.773320999999999</v>
      </c>
      <c r="N48">
        <v>27.672865000000002</v>
      </c>
      <c r="O48">
        <v>26.703862999999998</v>
      </c>
      <c r="P48">
        <v>25.745459</v>
      </c>
      <c r="Q48">
        <v>24.876587000000001</v>
      </c>
      <c r="R48">
        <v>24.054621000000001</v>
      </c>
      <c r="S48">
        <v>23.312283000000001</v>
      </c>
      <c r="T48">
        <v>22.633776000000001</v>
      </c>
      <c r="U48">
        <v>22.107336</v>
      </c>
      <c r="V48">
        <v>21.794820999999999</v>
      </c>
      <c r="W48">
        <v>21.635255999999998</v>
      </c>
      <c r="X48">
        <v>21.652248</v>
      </c>
      <c r="Y48">
        <v>21.670206</v>
      </c>
      <c r="Z48">
        <v>21.712429</v>
      </c>
      <c r="AA48">
        <v>21.862431000000001</v>
      </c>
      <c r="AB48">
        <v>22.094992000000001</v>
      </c>
      <c r="AC48">
        <v>22.321005</v>
      </c>
      <c r="AD48">
        <v>22.601568</v>
      </c>
      <c r="AE48">
        <v>22.903946000000001</v>
      </c>
      <c r="AF48">
        <v>23.215596999999999</v>
      </c>
      <c r="AG48">
        <v>23.636827</v>
      </c>
      <c r="AH48">
        <v>24.057039</v>
      </c>
      <c r="AI48" s="22">
        <v>-1.0999999999999999E-2</v>
      </c>
    </row>
    <row r="49" spans="1:35">
      <c r="A49" t="s">
        <v>189</v>
      </c>
      <c r="B49" t="s">
        <v>1123</v>
      </c>
      <c r="C49" t="s">
        <v>1124</v>
      </c>
      <c r="D49" t="s">
        <v>201</v>
      </c>
      <c r="F49">
        <v>6704.4780270000001</v>
      </c>
      <c r="G49">
        <v>6641.2285160000001</v>
      </c>
      <c r="H49">
        <v>6507.2739259999998</v>
      </c>
      <c r="I49">
        <v>6389.3334960000002</v>
      </c>
      <c r="J49">
        <v>6300.5087890000004</v>
      </c>
      <c r="K49">
        <v>6204.4648440000001</v>
      </c>
      <c r="L49">
        <v>6139.4448240000002</v>
      </c>
      <c r="M49">
        <v>6049.7617190000001</v>
      </c>
      <c r="N49">
        <v>5967.9492190000001</v>
      </c>
      <c r="O49">
        <v>5897.3232420000004</v>
      </c>
      <c r="P49">
        <v>5846.7612300000001</v>
      </c>
      <c r="Q49">
        <v>5794.6494140000004</v>
      </c>
      <c r="R49">
        <v>5733.7749020000001</v>
      </c>
      <c r="S49">
        <v>5682.794922</v>
      </c>
      <c r="T49">
        <v>5627.4497069999998</v>
      </c>
      <c r="U49">
        <v>5592.6704099999997</v>
      </c>
      <c r="V49">
        <v>5566.0898440000001</v>
      </c>
      <c r="W49">
        <v>5534.8872069999998</v>
      </c>
      <c r="X49">
        <v>5516.1049800000001</v>
      </c>
      <c r="Y49">
        <v>5495.767578</v>
      </c>
      <c r="Z49">
        <v>5480.3081050000001</v>
      </c>
      <c r="AA49">
        <v>5464.3818359999996</v>
      </c>
      <c r="AB49">
        <v>5445.0039059999999</v>
      </c>
      <c r="AC49">
        <v>5426.388672</v>
      </c>
      <c r="AD49">
        <v>5409.7729490000002</v>
      </c>
      <c r="AE49">
        <v>5391.5439450000003</v>
      </c>
      <c r="AF49">
        <v>5373.1655270000001</v>
      </c>
      <c r="AG49">
        <v>5359.6879879999997</v>
      </c>
      <c r="AH49">
        <v>5353.3916019999997</v>
      </c>
      <c r="AI49" s="22">
        <v>-8.0000000000000002E-3</v>
      </c>
    </row>
    <row r="50" spans="1:35">
      <c r="A50" t="s">
        <v>190</v>
      </c>
      <c r="B50" t="s">
        <v>1125</v>
      </c>
      <c r="C50" t="s">
        <v>1126</v>
      </c>
      <c r="D50" t="s">
        <v>201</v>
      </c>
      <c r="F50">
        <v>3107.8186040000001</v>
      </c>
      <c r="G50">
        <v>3300.2145999999998</v>
      </c>
      <c r="H50">
        <v>3319.185547</v>
      </c>
      <c r="I50">
        <v>3310.3291020000001</v>
      </c>
      <c r="J50">
        <v>3326.748047</v>
      </c>
      <c r="K50">
        <v>3341.788818</v>
      </c>
      <c r="L50">
        <v>3354.9106449999999</v>
      </c>
      <c r="M50">
        <v>3361.9091800000001</v>
      </c>
      <c r="N50">
        <v>3363.8264159999999</v>
      </c>
      <c r="O50">
        <v>3368.1003420000002</v>
      </c>
      <c r="P50">
        <v>3383.2751459999999</v>
      </c>
      <c r="Q50">
        <v>3393.6684570000002</v>
      </c>
      <c r="R50">
        <v>3393.7292480000001</v>
      </c>
      <c r="S50">
        <v>3396.8784179999998</v>
      </c>
      <c r="T50">
        <v>3408.642578</v>
      </c>
      <c r="U50">
        <v>3428.9067380000001</v>
      </c>
      <c r="V50">
        <v>3455.5297850000002</v>
      </c>
      <c r="W50">
        <v>3486.1757809999999</v>
      </c>
      <c r="X50">
        <v>3522.100586</v>
      </c>
      <c r="Y50">
        <v>3554.4704590000001</v>
      </c>
      <c r="Z50">
        <v>3588.3232419999999</v>
      </c>
      <c r="AA50">
        <v>3622.5583499999998</v>
      </c>
      <c r="AB50">
        <v>3658.4345699999999</v>
      </c>
      <c r="AC50">
        <v>3694.2145999999998</v>
      </c>
      <c r="AD50">
        <v>3730.8022460000002</v>
      </c>
      <c r="AE50">
        <v>3769.9558109999998</v>
      </c>
      <c r="AF50">
        <v>3812.0532229999999</v>
      </c>
      <c r="AG50">
        <v>3855.5913089999999</v>
      </c>
      <c r="AH50">
        <v>3903.7746579999998</v>
      </c>
      <c r="AI50" s="22">
        <v>8.0000000000000002E-3</v>
      </c>
    </row>
    <row r="51" spans="1:35">
      <c r="A51" t="s">
        <v>185</v>
      </c>
      <c r="B51" t="s">
        <v>1127</v>
      </c>
      <c r="C51" t="s">
        <v>1128</v>
      </c>
      <c r="D51" t="s">
        <v>201</v>
      </c>
      <c r="F51">
        <v>687.54095500000005</v>
      </c>
      <c r="G51">
        <v>534.06658900000002</v>
      </c>
      <c r="H51">
        <v>523.28320299999996</v>
      </c>
      <c r="I51">
        <v>527.48327600000005</v>
      </c>
      <c r="J51">
        <v>504.60025000000002</v>
      </c>
      <c r="K51">
        <v>498.15963699999998</v>
      </c>
      <c r="L51">
        <v>478.73602299999999</v>
      </c>
      <c r="M51">
        <v>467.51080300000001</v>
      </c>
      <c r="N51">
        <v>459.09939600000001</v>
      </c>
      <c r="O51">
        <v>457.60861199999999</v>
      </c>
      <c r="P51">
        <v>455.80740400000002</v>
      </c>
      <c r="Q51">
        <v>455.02813700000002</v>
      </c>
      <c r="R51">
        <v>453.21978799999999</v>
      </c>
      <c r="S51">
        <v>451.31939699999998</v>
      </c>
      <c r="T51">
        <v>447.886414</v>
      </c>
      <c r="U51">
        <v>446.59118699999999</v>
      </c>
      <c r="V51">
        <v>444.524719</v>
      </c>
      <c r="W51">
        <v>442.69528200000002</v>
      </c>
      <c r="X51">
        <v>443.20181300000002</v>
      </c>
      <c r="Y51">
        <v>440.411224</v>
      </c>
      <c r="Z51">
        <v>437.5</v>
      </c>
      <c r="AA51">
        <v>435.14239500000002</v>
      </c>
      <c r="AB51">
        <v>433.06466699999999</v>
      </c>
      <c r="AC51">
        <v>430.13955700000002</v>
      </c>
      <c r="AD51">
        <v>428.80432100000002</v>
      </c>
      <c r="AE51">
        <v>426.51617399999998</v>
      </c>
      <c r="AF51">
        <v>419.48242199999999</v>
      </c>
      <c r="AG51">
        <v>418.070831</v>
      </c>
      <c r="AH51">
        <v>415.685272</v>
      </c>
      <c r="AI51" s="22">
        <v>-1.7999999999999999E-2</v>
      </c>
    </row>
    <row r="52" spans="1:35">
      <c r="A52" t="s">
        <v>191</v>
      </c>
      <c r="B52" t="s">
        <v>1129</v>
      </c>
      <c r="C52" t="s">
        <v>1130</v>
      </c>
      <c r="D52" t="s">
        <v>201</v>
      </c>
      <c r="F52">
        <v>22.421617999999999</v>
      </c>
      <c r="G52">
        <v>22.410634999999999</v>
      </c>
      <c r="H52">
        <v>22.401547999999998</v>
      </c>
      <c r="I52">
        <v>22.394031999999999</v>
      </c>
      <c r="J52">
        <v>22.387812</v>
      </c>
      <c r="K52">
        <v>22.382666</v>
      </c>
      <c r="L52">
        <v>22.378406999999999</v>
      </c>
      <c r="M52">
        <v>22.374884000000002</v>
      </c>
      <c r="N52">
        <v>22.371969</v>
      </c>
      <c r="O52">
        <v>22.369558000000001</v>
      </c>
      <c r="P52">
        <v>22.367563000000001</v>
      </c>
      <c r="Q52">
        <v>22.365911000000001</v>
      </c>
      <c r="R52">
        <v>22.364546000000001</v>
      </c>
      <c r="S52">
        <v>22.363416999999998</v>
      </c>
      <c r="T52">
        <v>22.362480000000001</v>
      </c>
      <c r="U52">
        <v>22.361708</v>
      </c>
      <c r="V52">
        <v>22.361066999999998</v>
      </c>
      <c r="W52">
        <v>22.360537999999998</v>
      </c>
      <c r="X52">
        <v>22.360099999999999</v>
      </c>
      <c r="Y52">
        <v>22.359736999999999</v>
      </c>
      <c r="Z52">
        <v>22.359438000000001</v>
      </c>
      <c r="AA52">
        <v>22.359190000000002</v>
      </c>
      <c r="AB52">
        <v>22.358984</v>
      </c>
      <c r="AC52">
        <v>22.358813999999999</v>
      </c>
      <c r="AD52">
        <v>22.358673</v>
      </c>
      <c r="AE52">
        <v>22.358557000000001</v>
      </c>
      <c r="AF52">
        <v>22.358460999999998</v>
      </c>
      <c r="AG52">
        <v>22.358381000000001</v>
      </c>
      <c r="AH52">
        <v>22.358315000000001</v>
      </c>
      <c r="AI52" s="22">
        <v>0</v>
      </c>
    </row>
    <row r="53" spans="1:35">
      <c r="A53" t="s">
        <v>192</v>
      </c>
      <c r="B53" t="s">
        <v>1131</v>
      </c>
      <c r="C53" t="s">
        <v>1132</v>
      </c>
      <c r="D53" t="s">
        <v>201</v>
      </c>
      <c r="F53">
        <v>11.098148</v>
      </c>
      <c r="G53">
        <v>11.638881</v>
      </c>
      <c r="H53">
        <v>11.734691</v>
      </c>
      <c r="I53">
        <v>11.841097</v>
      </c>
      <c r="J53">
        <v>11.937113999999999</v>
      </c>
      <c r="K53">
        <v>12.024255999999999</v>
      </c>
      <c r="L53">
        <v>11.830360000000001</v>
      </c>
      <c r="M53">
        <v>11.89204</v>
      </c>
      <c r="N53">
        <v>11.967136</v>
      </c>
      <c r="O53">
        <v>12.037926000000001</v>
      </c>
      <c r="P53">
        <v>12.127772</v>
      </c>
      <c r="Q53">
        <v>12.238341999999999</v>
      </c>
      <c r="R53">
        <v>12.364704</v>
      </c>
      <c r="S53">
        <v>12.498858</v>
      </c>
      <c r="T53">
        <v>12.645001000000001</v>
      </c>
      <c r="U53">
        <v>12.827757</v>
      </c>
      <c r="V53">
        <v>13.023097999999999</v>
      </c>
      <c r="W53">
        <v>13.234344</v>
      </c>
      <c r="X53">
        <v>13.484800999999999</v>
      </c>
      <c r="Y53">
        <v>13.770166</v>
      </c>
      <c r="Z53">
        <v>14.090672</v>
      </c>
      <c r="AA53">
        <v>14.439</v>
      </c>
      <c r="AB53">
        <v>14.813559</v>
      </c>
      <c r="AC53">
        <v>15.22081</v>
      </c>
      <c r="AD53">
        <v>15.666567000000001</v>
      </c>
      <c r="AE53">
        <v>16.145886999999998</v>
      </c>
      <c r="AF53">
        <v>16.648540000000001</v>
      </c>
      <c r="AG53">
        <v>17.167376000000001</v>
      </c>
      <c r="AH53">
        <v>17.720831</v>
      </c>
      <c r="AI53" s="22">
        <v>1.7000000000000001E-2</v>
      </c>
    </row>
    <row r="54" spans="1:35">
      <c r="A54" t="s">
        <v>181</v>
      </c>
      <c r="B54" t="s">
        <v>1133</v>
      </c>
      <c r="C54" t="s">
        <v>1134</v>
      </c>
      <c r="D54" t="s">
        <v>201</v>
      </c>
      <c r="F54">
        <v>125.899567</v>
      </c>
      <c r="G54">
        <v>125.37957</v>
      </c>
      <c r="H54">
        <v>125.029449</v>
      </c>
      <c r="I54">
        <v>124.801453</v>
      </c>
      <c r="J54">
        <v>124.69525899999999</v>
      </c>
      <c r="K54">
        <v>124.384125</v>
      </c>
      <c r="L54">
        <v>124.116241</v>
      </c>
      <c r="M54">
        <v>123.91597</v>
      </c>
      <c r="N54">
        <v>123.706886</v>
      </c>
      <c r="O54">
        <v>123.50303599999999</v>
      </c>
      <c r="P54">
        <v>123.399162</v>
      </c>
      <c r="Q54">
        <v>123.350677</v>
      </c>
      <c r="R54">
        <v>123.229088</v>
      </c>
      <c r="S54">
        <v>123.060562</v>
      </c>
      <c r="T54">
        <v>122.913391</v>
      </c>
      <c r="U54">
        <v>122.84301000000001</v>
      </c>
      <c r="V54">
        <v>122.868729</v>
      </c>
      <c r="W54">
        <v>122.974594</v>
      </c>
      <c r="X54">
        <v>123.115875</v>
      </c>
      <c r="Y54">
        <v>123.245796</v>
      </c>
      <c r="Z54">
        <v>123.376953</v>
      </c>
      <c r="AA54">
        <v>123.487793</v>
      </c>
      <c r="AB54">
        <v>123.561241</v>
      </c>
      <c r="AC54">
        <v>123.627106</v>
      </c>
      <c r="AD54">
        <v>123.712143</v>
      </c>
      <c r="AE54">
        <v>123.813293</v>
      </c>
      <c r="AF54">
        <v>123.925461</v>
      </c>
      <c r="AG54">
        <v>124.036011</v>
      </c>
      <c r="AH54">
        <v>124.148155</v>
      </c>
      <c r="AI54" s="22">
        <v>-1E-3</v>
      </c>
    </row>
    <row r="55" spans="1:35">
      <c r="A55" t="s">
        <v>193</v>
      </c>
      <c r="B55" t="s">
        <v>1135</v>
      </c>
      <c r="C55" t="s">
        <v>1136</v>
      </c>
      <c r="D55" t="s">
        <v>201</v>
      </c>
      <c r="F55">
        <v>26474.439452999999</v>
      </c>
      <c r="G55">
        <v>26275.306640999999</v>
      </c>
      <c r="H55">
        <v>25864.738281000002</v>
      </c>
      <c r="I55">
        <v>25424.923827999999</v>
      </c>
      <c r="J55">
        <v>25080.535156000002</v>
      </c>
      <c r="K55">
        <v>24781.728515999999</v>
      </c>
      <c r="L55">
        <v>24490.353515999999</v>
      </c>
      <c r="M55">
        <v>24154.6875</v>
      </c>
      <c r="N55">
        <v>23816.382812</v>
      </c>
      <c r="O55">
        <v>23520.125</v>
      </c>
      <c r="P55">
        <v>23260.289062</v>
      </c>
      <c r="Q55">
        <v>23027.552734000001</v>
      </c>
      <c r="R55">
        <v>22772.490234000001</v>
      </c>
      <c r="S55">
        <v>22516.123047000001</v>
      </c>
      <c r="T55">
        <v>22253.423827999999</v>
      </c>
      <c r="U55">
        <v>22050.28125</v>
      </c>
      <c r="V55">
        <v>21887.285156000002</v>
      </c>
      <c r="W55">
        <v>21736.904297000001</v>
      </c>
      <c r="X55">
        <v>21630.789062</v>
      </c>
      <c r="Y55">
        <v>21524.599609000001</v>
      </c>
      <c r="Z55">
        <v>21444.472656000002</v>
      </c>
      <c r="AA55">
        <v>21380.144531000002</v>
      </c>
      <c r="AB55">
        <v>21338.890625</v>
      </c>
      <c r="AC55">
        <v>21319.636718999998</v>
      </c>
      <c r="AD55">
        <v>21330.978515999999</v>
      </c>
      <c r="AE55">
        <v>21368.953125</v>
      </c>
      <c r="AF55">
        <v>21419.558593999998</v>
      </c>
      <c r="AG55">
        <v>21498.136718999998</v>
      </c>
      <c r="AH55">
        <v>21607.484375</v>
      </c>
      <c r="AI55" s="22">
        <v>-7.0000000000000001E-3</v>
      </c>
    </row>
    <row r="56" spans="1:35">
      <c r="A56" t="s">
        <v>194</v>
      </c>
      <c r="B56" t="s">
        <v>1137</v>
      </c>
      <c r="C56" t="s">
        <v>1138</v>
      </c>
      <c r="D56" t="s">
        <v>201</v>
      </c>
      <c r="F56">
        <v>57.428192000000003</v>
      </c>
      <c r="G56">
        <v>67.812027</v>
      </c>
      <c r="H56">
        <v>80.637009000000006</v>
      </c>
      <c r="I56">
        <v>94.973990999999998</v>
      </c>
      <c r="J56">
        <v>112.106033</v>
      </c>
      <c r="K56">
        <v>132.39259300000001</v>
      </c>
      <c r="L56">
        <v>155.63859600000001</v>
      </c>
      <c r="M56">
        <v>182.34169</v>
      </c>
      <c r="N56">
        <v>212.164154</v>
      </c>
      <c r="O56">
        <v>239.845001</v>
      </c>
      <c r="P56">
        <v>268.92163099999999</v>
      </c>
      <c r="Q56">
        <v>298.28753699999999</v>
      </c>
      <c r="R56">
        <v>328.235229</v>
      </c>
      <c r="S56">
        <v>357.42300399999999</v>
      </c>
      <c r="T56">
        <v>385.22830199999999</v>
      </c>
      <c r="U56">
        <v>412.47155800000002</v>
      </c>
      <c r="V56">
        <v>439.05050699999998</v>
      </c>
      <c r="W56">
        <v>464.62539700000002</v>
      </c>
      <c r="X56">
        <v>488.581299</v>
      </c>
      <c r="Y56">
        <v>511.21435500000001</v>
      </c>
      <c r="Z56">
        <v>532.63305700000001</v>
      </c>
      <c r="AA56">
        <v>552.37249799999995</v>
      </c>
      <c r="AB56">
        <v>570.93585199999995</v>
      </c>
      <c r="AC56">
        <v>587.90716599999996</v>
      </c>
      <c r="AD56">
        <v>603.93145800000002</v>
      </c>
      <c r="AE56">
        <v>619.66760299999999</v>
      </c>
      <c r="AF56">
        <v>635.07214399999998</v>
      </c>
      <c r="AG56">
        <v>649.73669400000006</v>
      </c>
      <c r="AH56">
        <v>663.96758999999997</v>
      </c>
      <c r="AI56" s="22">
        <v>9.0999999999999998E-2</v>
      </c>
    </row>
    <row r="57" spans="1:35">
      <c r="A57" t="s">
        <v>195</v>
      </c>
      <c r="B57" t="s">
        <v>1139</v>
      </c>
      <c r="C57" t="s">
        <v>1140</v>
      </c>
      <c r="D57" t="s">
        <v>201</v>
      </c>
      <c r="F57">
        <v>107.505577</v>
      </c>
      <c r="G57">
        <v>113.84777800000001</v>
      </c>
      <c r="H57">
        <v>122.752182</v>
      </c>
      <c r="I57">
        <v>118.38056899999999</v>
      </c>
      <c r="J57">
        <v>128.863663</v>
      </c>
      <c r="K57">
        <v>128.79482999999999</v>
      </c>
      <c r="L57">
        <v>133.25419600000001</v>
      </c>
      <c r="M57">
        <v>136.540436</v>
      </c>
      <c r="N57">
        <v>137.63580300000001</v>
      </c>
      <c r="O57">
        <v>137.40774500000001</v>
      </c>
      <c r="P57">
        <v>137.39987199999999</v>
      </c>
      <c r="Q57">
        <v>137.52301</v>
      </c>
      <c r="R57">
        <v>138.70100400000001</v>
      </c>
      <c r="S57">
        <v>141.654236</v>
      </c>
      <c r="T57">
        <v>146.39292900000001</v>
      </c>
      <c r="U57">
        <v>152.01370199999999</v>
      </c>
      <c r="V57">
        <v>158.15837099999999</v>
      </c>
      <c r="W57">
        <v>164.34667999999999</v>
      </c>
      <c r="X57">
        <v>168.489655</v>
      </c>
      <c r="Y57">
        <v>175.71121199999999</v>
      </c>
      <c r="Z57">
        <v>184.33961500000001</v>
      </c>
      <c r="AA57">
        <v>193.912994</v>
      </c>
      <c r="AB57">
        <v>203.51492300000001</v>
      </c>
      <c r="AC57">
        <v>214.54742400000001</v>
      </c>
      <c r="AD57">
        <v>225.16784699999999</v>
      </c>
      <c r="AE57">
        <v>238.10320999999999</v>
      </c>
      <c r="AF57">
        <v>253.38540599999999</v>
      </c>
      <c r="AG57">
        <v>267.18725599999999</v>
      </c>
      <c r="AH57">
        <v>281.74203499999999</v>
      </c>
      <c r="AI57" s="22">
        <v>3.5000000000000003E-2</v>
      </c>
    </row>
    <row r="58" spans="1:35">
      <c r="A58" t="s">
        <v>196</v>
      </c>
      <c r="B58" t="s">
        <v>1141</v>
      </c>
      <c r="C58" t="s">
        <v>1142</v>
      </c>
      <c r="D58" t="s">
        <v>201</v>
      </c>
      <c r="F58">
        <v>0.44304500000000002</v>
      </c>
      <c r="G58">
        <v>0.52097800000000005</v>
      </c>
      <c r="H58">
        <v>0.58653200000000005</v>
      </c>
      <c r="I58">
        <v>0.64358099999999996</v>
      </c>
      <c r="J58">
        <v>0.70382699999999998</v>
      </c>
      <c r="K58">
        <v>0.76070499999999996</v>
      </c>
      <c r="L58">
        <v>0.82146399999999997</v>
      </c>
      <c r="M58">
        <v>0.878104</v>
      </c>
      <c r="N58">
        <v>0.938114</v>
      </c>
      <c r="O58">
        <v>0.99819199999999997</v>
      </c>
      <c r="P58">
        <v>1.0574220000000001</v>
      </c>
      <c r="Q58">
        <v>1.1148070000000001</v>
      </c>
      <c r="R58">
        <v>1.1702570000000001</v>
      </c>
      <c r="S58">
        <v>1.221687</v>
      </c>
      <c r="T58">
        <v>1.266926</v>
      </c>
      <c r="U58">
        <v>1.310114</v>
      </c>
      <c r="V58">
        <v>1.3480730000000001</v>
      </c>
      <c r="W58">
        <v>1.380917</v>
      </c>
      <c r="X58">
        <v>1.4054770000000001</v>
      </c>
      <c r="Y58">
        <v>1.422318</v>
      </c>
      <c r="Z58">
        <v>1.439282</v>
      </c>
      <c r="AA58">
        <v>1.4485170000000001</v>
      </c>
      <c r="AB58">
        <v>1.4535089999999999</v>
      </c>
      <c r="AC58">
        <v>1.4530829999999999</v>
      </c>
      <c r="AD58">
        <v>1.4517659999999999</v>
      </c>
      <c r="AE58">
        <v>1.44834</v>
      </c>
      <c r="AF58">
        <v>1.4429700000000001</v>
      </c>
      <c r="AG58">
        <v>1.4353549999999999</v>
      </c>
      <c r="AH58">
        <v>1.425951</v>
      </c>
      <c r="AI58" s="22">
        <v>4.2999999999999997E-2</v>
      </c>
    </row>
    <row r="59" spans="1:35">
      <c r="A59" t="s">
        <v>182</v>
      </c>
      <c r="B59" t="s">
        <v>1143</v>
      </c>
      <c r="C59" t="s">
        <v>1105</v>
      </c>
      <c r="D59" t="s">
        <v>201</v>
      </c>
      <c r="F59">
        <v>905.84051499999998</v>
      </c>
      <c r="G59">
        <v>818.09411599999999</v>
      </c>
      <c r="H59">
        <v>750.09661900000003</v>
      </c>
      <c r="I59">
        <v>710.96716300000003</v>
      </c>
      <c r="J59">
        <v>683.21826199999998</v>
      </c>
      <c r="K59">
        <v>644.43926999999996</v>
      </c>
      <c r="L59">
        <v>605.86267099999998</v>
      </c>
      <c r="M59">
        <v>601.30419900000004</v>
      </c>
      <c r="N59">
        <v>598.79797399999995</v>
      </c>
      <c r="O59">
        <v>601.64556900000002</v>
      </c>
      <c r="P59">
        <v>607.49902299999997</v>
      </c>
      <c r="Q59">
        <v>616.87213099999997</v>
      </c>
      <c r="R59">
        <v>619.33136000000002</v>
      </c>
      <c r="S59">
        <v>618.89520300000004</v>
      </c>
      <c r="T59">
        <v>614.86352499999998</v>
      </c>
      <c r="U59">
        <v>616.29345699999999</v>
      </c>
      <c r="V59">
        <v>618.09863299999995</v>
      </c>
      <c r="W59">
        <v>620.82605000000001</v>
      </c>
      <c r="X59">
        <v>630.065247</v>
      </c>
      <c r="Y59">
        <v>633.584656</v>
      </c>
      <c r="Z59">
        <v>638.84863299999995</v>
      </c>
      <c r="AA59">
        <v>640.74737500000003</v>
      </c>
      <c r="AB59">
        <v>649.03729199999998</v>
      </c>
      <c r="AC59">
        <v>651.38903800000003</v>
      </c>
      <c r="AD59">
        <v>659.87823500000002</v>
      </c>
      <c r="AE59">
        <v>665.15924099999995</v>
      </c>
      <c r="AF59">
        <v>671.01440400000001</v>
      </c>
      <c r="AG59">
        <v>672.52191200000004</v>
      </c>
      <c r="AH59">
        <v>679.09362799999997</v>
      </c>
      <c r="AI59" s="22">
        <v>-0.01</v>
      </c>
    </row>
    <row r="60" spans="1:35">
      <c r="A60" t="s">
        <v>1106</v>
      </c>
      <c r="B60" t="s">
        <v>1144</v>
      </c>
      <c r="C60" t="s">
        <v>1108</v>
      </c>
      <c r="D60" t="s">
        <v>201</v>
      </c>
      <c r="F60">
        <v>332.52310199999999</v>
      </c>
      <c r="G60">
        <v>377.97052000000002</v>
      </c>
      <c r="H60">
        <v>384.00460800000002</v>
      </c>
      <c r="I60">
        <v>408.78292800000003</v>
      </c>
      <c r="J60">
        <v>446.260651</v>
      </c>
      <c r="K60">
        <v>477.17263800000001</v>
      </c>
      <c r="L60">
        <v>503.61007699999999</v>
      </c>
      <c r="M60">
        <v>527.57086200000003</v>
      </c>
      <c r="N60">
        <v>577.96905500000003</v>
      </c>
      <c r="O60">
        <v>628.36724900000002</v>
      </c>
      <c r="P60">
        <v>680.00372300000004</v>
      </c>
      <c r="Q60">
        <v>729.163635</v>
      </c>
      <c r="R60">
        <v>779.56182899999999</v>
      </c>
      <c r="S60">
        <v>813.16064500000005</v>
      </c>
      <c r="T60">
        <v>831.19830300000001</v>
      </c>
      <c r="U60">
        <v>846.75939900000003</v>
      </c>
      <c r="V60">
        <v>863.55883800000004</v>
      </c>
      <c r="W60">
        <v>871.95855700000004</v>
      </c>
      <c r="X60">
        <v>873.19683799999996</v>
      </c>
      <c r="Y60">
        <v>871.95855700000004</v>
      </c>
      <c r="Z60">
        <v>871.95855700000004</v>
      </c>
      <c r="AA60">
        <v>871.95855700000004</v>
      </c>
      <c r="AB60">
        <v>873.19683799999996</v>
      </c>
      <c r="AC60">
        <v>871.95855700000004</v>
      </c>
      <c r="AD60">
        <v>871.95855700000004</v>
      </c>
      <c r="AE60">
        <v>871.95855700000004</v>
      </c>
      <c r="AF60">
        <v>873.19683799999996</v>
      </c>
      <c r="AG60">
        <v>871.95855700000004</v>
      </c>
      <c r="AH60">
        <v>871.95855700000004</v>
      </c>
      <c r="AI60" s="22">
        <v>3.5000000000000003E-2</v>
      </c>
    </row>
    <row r="61" spans="1:35">
      <c r="A61" t="s">
        <v>143</v>
      </c>
      <c r="B61" t="s">
        <v>1145</v>
      </c>
      <c r="C61" t="s">
        <v>1146</v>
      </c>
      <c r="D61" t="s">
        <v>201</v>
      </c>
      <c r="F61">
        <v>27878.179688</v>
      </c>
      <c r="G61">
        <v>27653.552734000001</v>
      </c>
      <c r="H61">
        <v>27202.8125</v>
      </c>
      <c r="I61">
        <v>26758.673827999999</v>
      </c>
      <c r="J61">
        <v>26451.685547000001</v>
      </c>
      <c r="K61">
        <v>26165.287109000001</v>
      </c>
      <c r="L61">
        <v>25889.541015999999</v>
      </c>
      <c r="M61">
        <v>25603.324218999998</v>
      </c>
      <c r="N61">
        <v>25343.888672000001</v>
      </c>
      <c r="O61">
        <v>25128.390625</v>
      </c>
      <c r="P61">
        <v>24955.171875</v>
      </c>
      <c r="Q61">
        <v>24810.515625</v>
      </c>
      <c r="R61">
        <v>24639.490234000001</v>
      </c>
      <c r="S61">
        <v>24448.478515999999</v>
      </c>
      <c r="T61">
        <v>24232.375</v>
      </c>
      <c r="U61">
        <v>24079.128906000002</v>
      </c>
      <c r="V61">
        <v>23967.498047000001</v>
      </c>
      <c r="W61">
        <v>23860.042968999998</v>
      </c>
      <c r="X61">
        <v>23792.529297000001</v>
      </c>
      <c r="Y61">
        <v>23718.490234000001</v>
      </c>
      <c r="Z61">
        <v>23673.691406000002</v>
      </c>
      <c r="AA61">
        <v>23640.585938</v>
      </c>
      <c r="AB61">
        <v>23637.029297000001</v>
      </c>
      <c r="AC61">
        <v>23646.890625</v>
      </c>
      <c r="AD61">
        <v>23693.367188</v>
      </c>
      <c r="AE61">
        <v>23765.292968999998</v>
      </c>
      <c r="AF61">
        <v>23853.669922000001</v>
      </c>
      <c r="AG61">
        <v>23960.976562</v>
      </c>
      <c r="AH61">
        <v>24105.671875</v>
      </c>
      <c r="AI61" s="22">
        <v>-5.0000000000000001E-3</v>
      </c>
    </row>
  </sheetData>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E2A35B5-55A5-489A-B65B-FBF4AFAFE325}">
  <sheetPr>
    <tabColor theme="6" tint="0.79998168889431442"/>
  </sheetPr>
  <dimension ref="A1:AF4402"/>
  <sheetViews>
    <sheetView topLeftCell="B1" workbookViewId="0"/>
  </sheetViews>
  <sheetFormatPr defaultColWidth="8.7109375" defaultRowHeight="15"/>
  <cols>
    <col min="1" max="1" width="21.42578125" hidden="1" customWidth="1"/>
    <col min="2" max="2" width="46.7109375" customWidth="1"/>
  </cols>
  <sheetData>
    <row r="1" spans="1:32" ht="15" customHeight="1">
      <c r="B1" s="12" t="s">
        <v>284</v>
      </c>
    </row>
    <row r="2" spans="1:32" ht="15" customHeight="1">
      <c r="C2" s="25"/>
      <c r="D2" s="13"/>
      <c r="E2" s="6"/>
      <c r="F2" s="6"/>
      <c r="G2" s="6"/>
    </row>
    <row r="3" spans="1:32" ht="15" customHeight="1">
      <c r="C3" s="25"/>
      <c r="D3" s="25"/>
      <c r="E3" s="6"/>
      <c r="F3" s="6"/>
      <c r="G3" s="25"/>
    </row>
    <row r="4" spans="1:32" ht="15" customHeight="1">
      <c r="C4" s="25"/>
      <c r="D4" s="25"/>
      <c r="E4" s="6"/>
      <c r="F4" s="6"/>
      <c r="G4" s="6"/>
    </row>
    <row r="5" spans="1:32" ht="15" customHeight="1">
      <c r="C5" s="25"/>
      <c r="D5" s="6"/>
      <c r="E5" s="25"/>
      <c r="F5" s="6"/>
      <c r="G5" s="6"/>
    </row>
    <row r="7" spans="1:32" ht="12" customHeight="1"/>
    <row r="8" spans="1:32" ht="12" customHeight="1"/>
    <row r="9" spans="1:32" ht="12" customHeight="1"/>
    <row r="10" spans="1:32" ht="15" customHeight="1">
      <c r="A10" s="7" t="s">
        <v>294</v>
      </c>
      <c r="B10" s="14" t="s">
        <v>295</v>
      </c>
      <c r="AF10" s="23" t="s">
        <v>290</v>
      </c>
    </row>
    <row r="11" spans="1:32" ht="15" customHeight="1">
      <c r="B11" s="12" t="s">
        <v>296</v>
      </c>
      <c r="AF11" s="23" t="s">
        <v>291</v>
      </c>
    </row>
    <row r="12" spans="1:32" ht="15" customHeight="1">
      <c r="B12" s="12"/>
      <c r="C12" s="3"/>
      <c r="D12" s="3"/>
      <c r="E12" s="3"/>
      <c r="F12" s="3"/>
      <c r="G12" s="3"/>
      <c r="H12" s="3"/>
      <c r="I12" s="3"/>
      <c r="J12" s="3"/>
      <c r="K12" s="3"/>
      <c r="L12" s="3"/>
      <c r="M12" s="3"/>
      <c r="N12" s="3"/>
      <c r="O12" s="3"/>
      <c r="P12" s="3"/>
      <c r="Q12" s="3"/>
      <c r="R12" s="3"/>
      <c r="S12" s="3"/>
      <c r="T12" s="3"/>
      <c r="U12" s="3"/>
      <c r="V12" s="3"/>
      <c r="W12" s="3"/>
      <c r="X12" s="3"/>
      <c r="Y12" s="3"/>
      <c r="Z12" s="3"/>
      <c r="AA12" s="3"/>
      <c r="AB12" s="3"/>
      <c r="AC12" s="3"/>
      <c r="AD12" s="3"/>
      <c r="AE12" s="3"/>
      <c r="AF12" s="23" t="s">
        <v>292</v>
      </c>
    </row>
    <row r="13" spans="1:32" ht="15" customHeight="1" thickBot="1">
      <c r="B13" s="10" t="s">
        <v>297</v>
      </c>
      <c r="C13" s="10">
        <v>2022</v>
      </c>
      <c r="D13" s="10">
        <v>2023</v>
      </c>
      <c r="E13" s="10">
        <v>2024</v>
      </c>
      <c r="F13" s="10">
        <v>2025</v>
      </c>
      <c r="G13" s="10">
        <v>2026</v>
      </c>
      <c r="H13" s="10">
        <v>2027</v>
      </c>
      <c r="I13" s="10">
        <v>2028</v>
      </c>
      <c r="J13" s="10">
        <v>2029</v>
      </c>
      <c r="K13" s="10">
        <v>2030</v>
      </c>
      <c r="L13" s="10">
        <v>2031</v>
      </c>
      <c r="M13" s="10">
        <v>2032</v>
      </c>
      <c r="N13" s="10">
        <v>2033</v>
      </c>
      <c r="O13" s="10">
        <v>2034</v>
      </c>
      <c r="P13" s="10">
        <v>2035</v>
      </c>
      <c r="Q13" s="10">
        <v>2036</v>
      </c>
      <c r="R13" s="10">
        <v>2037</v>
      </c>
      <c r="S13" s="10">
        <v>2038</v>
      </c>
      <c r="T13" s="10">
        <v>2039</v>
      </c>
      <c r="U13" s="10">
        <v>2040</v>
      </c>
      <c r="V13" s="10">
        <v>2041</v>
      </c>
      <c r="W13" s="10">
        <v>2042</v>
      </c>
      <c r="X13" s="10">
        <v>2043</v>
      </c>
      <c r="Y13" s="10">
        <v>2044</v>
      </c>
      <c r="Z13" s="10">
        <v>2045</v>
      </c>
      <c r="AA13" s="10">
        <v>2046</v>
      </c>
      <c r="AB13" s="10">
        <v>2047</v>
      </c>
      <c r="AC13" s="10">
        <v>2048</v>
      </c>
      <c r="AD13" s="10">
        <v>2049</v>
      </c>
      <c r="AE13" s="10">
        <v>2050</v>
      </c>
      <c r="AF13" s="26" t="s">
        <v>293</v>
      </c>
    </row>
    <row r="14" spans="1:32" ht="15" customHeight="1" thickTop="1">
      <c r="AF14" s="27"/>
    </row>
    <row r="15" spans="1:32" ht="15" customHeight="1">
      <c r="B15" s="15" t="s">
        <v>44</v>
      </c>
    </row>
    <row r="16" spans="1:32" ht="15" customHeight="1">
      <c r="B16" s="15" t="s">
        <v>298</v>
      </c>
    </row>
    <row r="17" spans="1:32" ht="15" customHeight="1">
      <c r="A17" s="7" t="s">
        <v>299</v>
      </c>
      <c r="B17" s="16" t="s">
        <v>300</v>
      </c>
      <c r="C17" s="17">
        <f>'AEO 2023 Table 35 Raw'!F8</f>
        <v>14447.607421999999</v>
      </c>
      <c r="D17" s="17">
        <f>'AEO 2023 Table 35 Raw'!G8</f>
        <v>14313.319336</v>
      </c>
      <c r="E17" s="17">
        <f>'AEO 2023 Table 35 Raw'!H8</f>
        <v>14066.552734000001</v>
      </c>
      <c r="F17" s="17">
        <f>'AEO 2023 Table 35 Raw'!I8</f>
        <v>13778.573242</v>
      </c>
      <c r="G17" s="17">
        <f>'AEO 2023 Table 35 Raw'!J8</f>
        <v>13556.407227</v>
      </c>
      <c r="H17" s="17">
        <f>'AEO 2023 Table 35 Raw'!K8</f>
        <v>13380.132812</v>
      </c>
      <c r="I17" s="17">
        <f>'AEO 2023 Table 35 Raw'!L8</f>
        <v>13196.650390999999</v>
      </c>
      <c r="J17" s="17">
        <f>'AEO 2023 Table 35 Raw'!M8</f>
        <v>12994.242188</v>
      </c>
      <c r="K17" s="17">
        <f>'AEO 2023 Table 35 Raw'!N8</f>
        <v>12784.722656</v>
      </c>
      <c r="L17" s="17">
        <f>'AEO 2023 Table 35 Raw'!O8</f>
        <v>12592.303711</v>
      </c>
      <c r="M17" s="17">
        <f>'AEO 2023 Table 35 Raw'!P8</f>
        <v>12399.879883</v>
      </c>
      <c r="N17" s="17">
        <f>'AEO 2023 Table 35 Raw'!Q8</f>
        <v>12240.421875</v>
      </c>
      <c r="O17" s="17">
        <f>'AEO 2023 Table 35 Raw'!R8</f>
        <v>12080.273438</v>
      </c>
      <c r="P17" s="17">
        <f>'AEO 2023 Table 35 Raw'!S8</f>
        <v>11903.265625</v>
      </c>
      <c r="Q17" s="17">
        <f>'AEO 2023 Table 35 Raw'!T8</f>
        <v>11716.102539</v>
      </c>
      <c r="R17" s="17">
        <f>'AEO 2023 Table 35 Raw'!U8</f>
        <v>11552.862305000001</v>
      </c>
      <c r="S17" s="17">
        <f>'AEO 2023 Table 35 Raw'!V8</f>
        <v>11414.745117</v>
      </c>
      <c r="T17" s="17">
        <f>'AEO 2023 Table 35 Raw'!W8</f>
        <v>11288.351562</v>
      </c>
      <c r="U17" s="17">
        <f>'AEO 2023 Table 35 Raw'!X8</f>
        <v>11182.738281</v>
      </c>
      <c r="V17" s="17">
        <f>'AEO 2023 Table 35 Raw'!Y8</f>
        <v>11082.567383</v>
      </c>
      <c r="W17" s="17">
        <f>'AEO 2023 Table 35 Raw'!Z8</f>
        <v>10999.316406</v>
      </c>
      <c r="X17" s="17">
        <f>'AEO 2023 Table 35 Raw'!AA8</f>
        <v>10931.280273</v>
      </c>
      <c r="Y17" s="17">
        <f>'AEO 2023 Table 35 Raw'!AB8</f>
        <v>10885.708008</v>
      </c>
      <c r="Z17" s="17">
        <f>'AEO 2023 Table 35 Raw'!AC8</f>
        <v>10860.390625</v>
      </c>
      <c r="AA17" s="17">
        <f>'AEO 2023 Table 35 Raw'!AD8</f>
        <v>10859.199219</v>
      </c>
      <c r="AB17" s="17">
        <f>'AEO 2023 Table 35 Raw'!AE8</f>
        <v>10884.042969</v>
      </c>
      <c r="AC17" s="17">
        <f>'AEO 2023 Table 35 Raw'!AF8</f>
        <v>10923.398438</v>
      </c>
      <c r="AD17" s="17">
        <f>'AEO 2023 Table 35 Raw'!AG8</f>
        <v>10975.913086</v>
      </c>
      <c r="AE17" s="17">
        <f>'AEO 2023 Table 35 Raw'!AH8</f>
        <v>11046.507812</v>
      </c>
      <c r="AF17" s="30">
        <f>'AEO 2023 Table 35 Raw'!AI8</f>
        <v>-0.01</v>
      </c>
    </row>
    <row r="18" spans="1:32" ht="15" customHeight="1">
      <c r="A18" s="7" t="s">
        <v>301</v>
      </c>
      <c r="B18" s="16" t="s">
        <v>302</v>
      </c>
      <c r="C18" s="17">
        <f>'AEO 2023 Table 35 Raw'!F9</f>
        <v>5617.2177730000003</v>
      </c>
      <c r="D18" s="17">
        <f>'AEO 2023 Table 35 Raw'!G9</f>
        <v>5428.5034180000002</v>
      </c>
      <c r="E18" s="17">
        <f>'AEO 2023 Table 35 Raw'!H9</f>
        <v>5191.189453</v>
      </c>
      <c r="F18" s="17">
        <f>'AEO 2023 Table 35 Raw'!I9</f>
        <v>4935.9736329999996</v>
      </c>
      <c r="G18" s="17">
        <f>'AEO 2023 Table 35 Raw'!J9</f>
        <v>4705.1977539999998</v>
      </c>
      <c r="H18" s="17">
        <f>'AEO 2023 Table 35 Raw'!K9</f>
        <v>4491.0893550000001</v>
      </c>
      <c r="I18" s="17">
        <f>'AEO 2023 Table 35 Raw'!L9</f>
        <v>4278.0898440000001</v>
      </c>
      <c r="J18" s="17">
        <f>'AEO 2023 Table 35 Raw'!M9</f>
        <v>4059.8388669999999</v>
      </c>
      <c r="K18" s="17">
        <f>'AEO 2023 Table 35 Raw'!N9</f>
        <v>3845.0900879999999</v>
      </c>
      <c r="L18" s="17">
        <f>'AEO 2023 Table 35 Raw'!O9</f>
        <v>3641.443115</v>
      </c>
      <c r="M18" s="17">
        <f>'AEO 2023 Table 35 Raw'!P9</f>
        <v>3447.7126459999999</v>
      </c>
      <c r="N18" s="17">
        <f>'AEO 2023 Table 35 Raw'!Q9</f>
        <v>3273.7714839999999</v>
      </c>
      <c r="O18" s="17">
        <f>'AEO 2023 Table 35 Raw'!R9</f>
        <v>3114.6992190000001</v>
      </c>
      <c r="P18" s="17">
        <f>'AEO 2023 Table 35 Raw'!S9</f>
        <v>2960.594482</v>
      </c>
      <c r="Q18" s="17">
        <f>'AEO 2023 Table 35 Raw'!T9</f>
        <v>2817.6606449999999</v>
      </c>
      <c r="R18" s="17">
        <f>'AEO 2023 Table 35 Raw'!U9</f>
        <v>2695.3596189999998</v>
      </c>
      <c r="S18" s="17">
        <f>'AEO 2023 Table 35 Raw'!V9</f>
        <v>2595.155518</v>
      </c>
      <c r="T18" s="17">
        <f>'AEO 2023 Table 35 Raw'!W9</f>
        <v>2508.0722660000001</v>
      </c>
      <c r="U18" s="17">
        <f>'AEO 2023 Table 35 Raw'!X9</f>
        <v>2435.8085940000001</v>
      </c>
      <c r="V18" s="17">
        <f>'AEO 2023 Table 35 Raw'!Y9</f>
        <v>2374.1186520000001</v>
      </c>
      <c r="W18" s="17">
        <f>'AEO 2023 Table 35 Raw'!Z9</f>
        <v>2325.4736330000001</v>
      </c>
      <c r="X18" s="17">
        <f>'AEO 2023 Table 35 Raw'!AA9</f>
        <v>2285.9282229999999</v>
      </c>
      <c r="Y18" s="17">
        <f>'AEO 2023 Table 35 Raw'!AB9</f>
        <v>2253.4345699999999</v>
      </c>
      <c r="Z18" s="17">
        <f>'AEO 2023 Table 35 Raw'!AC9</f>
        <v>2228.44751</v>
      </c>
      <c r="AA18" s="17">
        <f>'AEO 2023 Table 35 Raw'!AD9</f>
        <v>2209.461182</v>
      </c>
      <c r="AB18" s="17">
        <f>'AEO 2023 Table 35 Raw'!AE9</f>
        <v>2197.0107419999999</v>
      </c>
      <c r="AC18" s="17">
        <f>'AEO 2023 Table 35 Raw'!AF9</f>
        <v>2187.7121579999998</v>
      </c>
      <c r="AD18" s="17">
        <f>'AEO 2023 Table 35 Raw'!AG9</f>
        <v>2180.7695309999999</v>
      </c>
      <c r="AE18" s="17">
        <f>'AEO 2023 Table 35 Raw'!AH9</f>
        <v>2177.6904300000001</v>
      </c>
      <c r="AF18" s="30">
        <f>'AEO 2023 Table 35 Raw'!AI9</f>
        <v>-3.3000000000000002E-2</v>
      </c>
    </row>
    <row r="19" spans="1:32" s="88" customFormat="1" ht="15" customHeight="1">
      <c r="A19" s="84" t="s">
        <v>303</v>
      </c>
      <c r="B19" s="85" t="s">
        <v>304</v>
      </c>
      <c r="C19" s="86">
        <f>'AEO 2023 Table 35 Raw'!F10</f>
        <v>8814.2333980000003</v>
      </c>
      <c r="D19" s="86">
        <f>'AEO 2023 Table 35 Raw'!G10</f>
        <v>8869.2011719999991</v>
      </c>
      <c r="E19" s="86">
        <f>'AEO 2023 Table 35 Raw'!H10</f>
        <v>8860.4306639999995</v>
      </c>
      <c r="F19" s="86">
        <f>'AEO 2023 Table 35 Raw'!I10</f>
        <v>8828.4013670000004</v>
      </c>
      <c r="G19" s="86">
        <f>'AEO 2023 Table 35 Raw'!J10</f>
        <v>8837.6757809999999</v>
      </c>
      <c r="H19" s="86">
        <f>'AEO 2023 Table 35 Raw'!K10</f>
        <v>8876.1259769999997</v>
      </c>
      <c r="I19" s="86">
        <f>'AEO 2023 Table 35 Raw'!L10</f>
        <v>8906.2558590000008</v>
      </c>
      <c r="J19" s="86">
        <f>'AEO 2023 Table 35 Raw'!M10</f>
        <v>8922.7275389999995</v>
      </c>
      <c r="K19" s="86">
        <f>'AEO 2023 Table 35 Raw'!N10</f>
        <v>8928.5761719999991</v>
      </c>
      <c r="L19" s="86">
        <f>'AEO 2023 Table 35 Raw'!O10</f>
        <v>8940.390625</v>
      </c>
      <c r="M19" s="86">
        <f>'AEO 2023 Table 35 Raw'!P10</f>
        <v>8942.2568360000005</v>
      </c>
      <c r="N19" s="86">
        <f>'AEO 2023 Table 35 Raw'!Q10</f>
        <v>8957.2431639999995</v>
      </c>
      <c r="O19" s="86">
        <f>'AEO 2023 Table 35 Raw'!R10</f>
        <v>8956.6259769999997</v>
      </c>
      <c r="P19" s="86">
        <f>'AEO 2023 Table 35 Raw'!S10</f>
        <v>8934.1679690000001</v>
      </c>
      <c r="Q19" s="86">
        <f>'AEO 2023 Table 35 Raw'!T10</f>
        <v>8890.3535159999992</v>
      </c>
      <c r="R19" s="86">
        <f>'AEO 2023 Table 35 Raw'!U10</f>
        <v>8849.7675780000009</v>
      </c>
      <c r="S19" s="86">
        <f>'AEO 2023 Table 35 Raw'!V10</f>
        <v>8812.1445309999999</v>
      </c>
      <c r="T19" s="86">
        <f>'AEO 2023 Table 35 Raw'!W10</f>
        <v>8773.0849610000005</v>
      </c>
      <c r="U19" s="86">
        <f>'AEO 2023 Table 35 Raw'!X10</f>
        <v>8739.9443360000005</v>
      </c>
      <c r="V19" s="86">
        <f>'AEO 2023 Table 35 Raw'!Y10</f>
        <v>8701.6416019999997</v>
      </c>
      <c r="W19" s="86">
        <f>'AEO 2023 Table 35 Raw'!Z10</f>
        <v>8667.1738280000009</v>
      </c>
      <c r="X19" s="86">
        <f>'AEO 2023 Table 35 Raw'!AA10</f>
        <v>8638.796875</v>
      </c>
      <c r="Y19" s="86">
        <f>'AEO 2023 Table 35 Raw'!AB10</f>
        <v>8625.8105469999991</v>
      </c>
      <c r="Z19" s="86">
        <f>'AEO 2023 Table 35 Raw'!AC10</f>
        <v>8625.5507809999999</v>
      </c>
      <c r="AA19" s="86">
        <f>'AEO 2023 Table 35 Raw'!AD10</f>
        <v>8643.3994139999995</v>
      </c>
      <c r="AB19" s="86">
        <f>'AEO 2023 Table 35 Raw'!AE10</f>
        <v>8680.7285159999992</v>
      </c>
      <c r="AC19" s="86">
        <f>'AEO 2023 Table 35 Raw'!AF10</f>
        <v>8729.4082030000009</v>
      </c>
      <c r="AD19" s="86">
        <f>'AEO 2023 Table 35 Raw'!AG10</f>
        <v>8788.8837889999995</v>
      </c>
      <c r="AE19" s="86">
        <f>'AEO 2023 Table 35 Raw'!AH10</f>
        <v>8862.5654300000006</v>
      </c>
      <c r="AF19" s="87">
        <f>'AEO 2023 Table 35 Raw'!AI10</f>
        <v>0</v>
      </c>
    </row>
    <row r="20" spans="1:32" ht="15" customHeight="1">
      <c r="A20" s="7" t="s">
        <v>305</v>
      </c>
      <c r="B20" s="16" t="s">
        <v>306</v>
      </c>
      <c r="C20" s="17">
        <f>'AEO 2023 Table 35 Raw'!F11</f>
        <v>16.156637</v>
      </c>
      <c r="D20" s="17">
        <f>'AEO 2023 Table 35 Raw'!G11</f>
        <v>15.614727</v>
      </c>
      <c r="E20" s="17">
        <f>'AEO 2023 Table 35 Raw'!H11</f>
        <v>14.932316999999999</v>
      </c>
      <c r="F20" s="17">
        <f>'AEO 2023 Table 35 Raw'!I11</f>
        <v>14.198518</v>
      </c>
      <c r="G20" s="17">
        <f>'AEO 2023 Table 35 Raw'!J11</f>
        <v>13.534452999999999</v>
      </c>
      <c r="H20" s="17">
        <f>'AEO 2023 Table 35 Raw'!K11</f>
        <v>12.917832000000001</v>
      </c>
      <c r="I20" s="17">
        <f>'AEO 2023 Table 35 Raw'!L11</f>
        <v>12.305018</v>
      </c>
      <c r="J20" s="17">
        <f>'AEO 2023 Table 35 Raw'!M11</f>
        <v>11.676231</v>
      </c>
      <c r="K20" s="17">
        <f>'AEO 2023 Table 35 Raw'!N11</f>
        <v>11.057055999999999</v>
      </c>
      <c r="L20" s="17">
        <f>'AEO 2023 Table 35 Raw'!O11</f>
        <v>10.469415</v>
      </c>
      <c r="M20" s="17">
        <f>'AEO 2023 Table 35 Raw'!P11</f>
        <v>9.9105530000000002</v>
      </c>
      <c r="N20" s="17">
        <f>'AEO 2023 Table 35 Raw'!Q11</f>
        <v>9.4076260000000005</v>
      </c>
      <c r="O20" s="17">
        <f>'AEO 2023 Table 35 Raw'!R11</f>
        <v>8.9483379999999997</v>
      </c>
      <c r="P20" s="17">
        <f>'AEO 2023 Table 35 Raw'!S11</f>
        <v>8.502955</v>
      </c>
      <c r="Q20" s="17">
        <f>'AEO 2023 Table 35 Raw'!T11</f>
        <v>8.0892909999999993</v>
      </c>
      <c r="R20" s="17">
        <f>'AEO 2023 Table 35 Raw'!U11</f>
        <v>7.7350440000000003</v>
      </c>
      <c r="S20" s="17">
        <f>'AEO 2023 Table 35 Raw'!V11</f>
        <v>7.4453899999999997</v>
      </c>
      <c r="T20" s="17">
        <f>'AEO 2023 Table 35 Raw'!W11</f>
        <v>7.1939979999999997</v>
      </c>
      <c r="U20" s="17">
        <f>'AEO 2023 Table 35 Raw'!X11</f>
        <v>6.9856109999999996</v>
      </c>
      <c r="V20" s="17">
        <f>'AEO 2023 Table 35 Raw'!Y11</f>
        <v>6.807957</v>
      </c>
      <c r="W20" s="17">
        <f>'AEO 2023 Table 35 Raw'!Z11</f>
        <v>6.668526</v>
      </c>
      <c r="X20" s="17">
        <f>'AEO 2023 Table 35 Raw'!AA11</f>
        <v>6.5555320000000004</v>
      </c>
      <c r="Y20" s="17">
        <f>'AEO 2023 Table 35 Raw'!AB11</f>
        <v>6.4628009999999998</v>
      </c>
      <c r="Z20" s="17">
        <f>'AEO 2023 Table 35 Raw'!AC11</f>
        <v>6.3921140000000003</v>
      </c>
      <c r="AA20" s="17">
        <f>'AEO 2023 Table 35 Raw'!AD11</f>
        <v>6.3387270000000004</v>
      </c>
      <c r="AB20" s="17">
        <f>'AEO 2023 Table 35 Raw'!AE11</f>
        <v>6.3040330000000004</v>
      </c>
      <c r="AC20" s="17">
        <f>'AEO 2023 Table 35 Raw'!AF11</f>
        <v>6.2782900000000001</v>
      </c>
      <c r="AD20" s="17">
        <f>'AEO 2023 Table 35 Raw'!AG11</f>
        <v>6.2593569999999996</v>
      </c>
      <c r="AE20" s="17">
        <f>'AEO 2023 Table 35 Raw'!AH11</f>
        <v>6.2514649999999996</v>
      </c>
      <c r="AF20" s="30">
        <f>'AEO 2023 Table 35 Raw'!AI11</f>
        <v>-3.3000000000000002E-2</v>
      </c>
    </row>
    <row r="21" spans="1:32" ht="15" customHeight="1">
      <c r="A21" s="7" t="s">
        <v>307</v>
      </c>
      <c r="B21" s="16" t="s">
        <v>308</v>
      </c>
      <c r="C21" s="17">
        <f>'AEO 2023 Table 35 Raw'!F12</f>
        <v>950.06707800000004</v>
      </c>
      <c r="D21" s="17">
        <f>'AEO 2023 Table 35 Raw'!G12</f>
        <v>927.43151899999998</v>
      </c>
      <c r="E21" s="17">
        <f>'AEO 2023 Table 35 Raw'!H12</f>
        <v>901.69171100000005</v>
      </c>
      <c r="F21" s="17">
        <f>'AEO 2023 Table 35 Raw'!I12</f>
        <v>884.45953399999996</v>
      </c>
      <c r="G21" s="17">
        <f>'AEO 2023 Table 35 Raw'!J12</f>
        <v>871.48339799999997</v>
      </c>
      <c r="H21" s="17">
        <f>'AEO 2023 Table 35 Raw'!K12</f>
        <v>859.32513400000005</v>
      </c>
      <c r="I21" s="17">
        <f>'AEO 2023 Table 35 Raw'!L12</f>
        <v>849.26849400000003</v>
      </c>
      <c r="J21" s="17">
        <f>'AEO 2023 Table 35 Raw'!M12</f>
        <v>840.25915499999996</v>
      </c>
      <c r="K21" s="17">
        <f>'AEO 2023 Table 35 Raw'!N12</f>
        <v>831.36639400000001</v>
      </c>
      <c r="L21" s="17">
        <f>'AEO 2023 Table 35 Raw'!O12</f>
        <v>824.56054700000004</v>
      </c>
      <c r="M21" s="17">
        <f>'AEO 2023 Table 35 Raw'!P12</f>
        <v>821.34234600000002</v>
      </c>
      <c r="N21" s="17">
        <f>'AEO 2023 Table 35 Raw'!Q12</f>
        <v>818.52441399999998</v>
      </c>
      <c r="O21" s="17">
        <f>'AEO 2023 Table 35 Raw'!R12</f>
        <v>814.83673099999999</v>
      </c>
      <c r="P21" s="17">
        <f>'AEO 2023 Table 35 Raw'!S12</f>
        <v>811.95385699999997</v>
      </c>
      <c r="Q21" s="17">
        <f>'AEO 2023 Table 35 Raw'!T12</f>
        <v>809.40844700000002</v>
      </c>
      <c r="R21" s="17">
        <f>'AEO 2023 Table 35 Raw'!U12</f>
        <v>808.91735800000004</v>
      </c>
      <c r="S21" s="17">
        <f>'AEO 2023 Table 35 Raw'!V12</f>
        <v>809.92602499999998</v>
      </c>
      <c r="T21" s="17">
        <f>'AEO 2023 Table 35 Raw'!W12</f>
        <v>810.87994400000002</v>
      </c>
      <c r="U21" s="17">
        <f>'AEO 2023 Table 35 Raw'!X12</f>
        <v>813.33953899999995</v>
      </c>
      <c r="V21" s="17">
        <f>'AEO 2023 Table 35 Raw'!Y12</f>
        <v>816.35626200000002</v>
      </c>
      <c r="W21" s="17">
        <f>'AEO 2023 Table 35 Raw'!Z12</f>
        <v>820.26946999999996</v>
      </c>
      <c r="X21" s="17">
        <f>'AEO 2023 Table 35 Raw'!AA12</f>
        <v>823.41033900000002</v>
      </c>
      <c r="Y21" s="17">
        <f>'AEO 2023 Table 35 Raw'!AB12</f>
        <v>826.18591300000003</v>
      </c>
      <c r="Z21" s="17">
        <f>'AEO 2023 Table 35 Raw'!AC12</f>
        <v>830.09173599999997</v>
      </c>
      <c r="AA21" s="17">
        <f>'AEO 2023 Table 35 Raw'!AD12</f>
        <v>834.68682899999999</v>
      </c>
      <c r="AB21" s="17">
        <f>'AEO 2023 Table 35 Raw'!AE12</f>
        <v>839.99987799999997</v>
      </c>
      <c r="AC21" s="17">
        <f>'AEO 2023 Table 35 Raw'!AF12</f>
        <v>844.45477300000005</v>
      </c>
      <c r="AD21" s="17">
        <f>'AEO 2023 Table 35 Raw'!AG12</f>
        <v>850.153503</v>
      </c>
      <c r="AE21" s="17">
        <f>'AEO 2023 Table 35 Raw'!AH12</f>
        <v>857.44146699999999</v>
      </c>
      <c r="AF21" s="30">
        <f>'AEO 2023 Table 35 Raw'!AI12</f>
        <v>-4.0000000000000001E-3</v>
      </c>
    </row>
    <row r="22" spans="1:32" ht="15" customHeight="1">
      <c r="A22" s="7" t="s">
        <v>309</v>
      </c>
      <c r="B22" s="16" t="s">
        <v>310</v>
      </c>
      <c r="C22" s="17">
        <f>'AEO 2023 Table 35 Raw'!F13</f>
        <v>211.79267899999999</v>
      </c>
      <c r="D22" s="17">
        <f>'AEO 2023 Table 35 Raw'!G13</f>
        <v>221.35264599999999</v>
      </c>
      <c r="E22" s="17">
        <f>'AEO 2023 Table 35 Raw'!H13</f>
        <v>226.360748</v>
      </c>
      <c r="F22" s="17">
        <f>'AEO 2023 Table 35 Raw'!I13</f>
        <v>226.85597200000001</v>
      </c>
      <c r="G22" s="17">
        <f>'AEO 2023 Table 35 Raw'!J13</f>
        <v>227.17091400000001</v>
      </c>
      <c r="H22" s="17">
        <f>'AEO 2023 Table 35 Raw'!K13</f>
        <v>227.42456100000001</v>
      </c>
      <c r="I22" s="17">
        <f>'AEO 2023 Table 35 Raw'!L13</f>
        <v>227.351181</v>
      </c>
      <c r="J22" s="17">
        <f>'AEO 2023 Table 35 Raw'!M13</f>
        <v>226.97782900000001</v>
      </c>
      <c r="K22" s="17">
        <f>'AEO 2023 Table 35 Raw'!N13</f>
        <v>226.290436</v>
      </c>
      <c r="L22" s="17">
        <f>'AEO 2023 Table 35 Raw'!O13</f>
        <v>225.171143</v>
      </c>
      <c r="M22" s="17">
        <f>'AEO 2023 Table 35 Raw'!P13</f>
        <v>224.09106399999999</v>
      </c>
      <c r="N22" s="17">
        <f>'AEO 2023 Table 35 Raw'!Q13</f>
        <v>223.555252</v>
      </c>
      <c r="O22" s="17">
        <f>'AEO 2023 Table 35 Raw'!R13</f>
        <v>222.82238799999999</v>
      </c>
      <c r="P22" s="17">
        <f>'AEO 2023 Table 35 Raw'!S13</f>
        <v>221.78663599999999</v>
      </c>
      <c r="Q22" s="17">
        <f>'AEO 2023 Table 35 Raw'!T13</f>
        <v>220.55602999999999</v>
      </c>
      <c r="R22" s="17">
        <f>'AEO 2023 Table 35 Raw'!U13</f>
        <v>219.32922400000001</v>
      </c>
      <c r="S22" s="17">
        <f>'AEO 2023 Table 35 Raw'!V13</f>
        <v>217.81092799999999</v>
      </c>
      <c r="T22" s="17">
        <f>'AEO 2023 Table 35 Raw'!W13</f>
        <v>215.70451399999999</v>
      </c>
      <c r="U22" s="17">
        <f>'AEO 2023 Table 35 Raw'!X13</f>
        <v>213.86698899999999</v>
      </c>
      <c r="V22" s="17">
        <f>'AEO 2023 Table 35 Raw'!Y13</f>
        <v>212.02500900000001</v>
      </c>
      <c r="W22" s="17">
        <f>'AEO 2023 Table 35 Raw'!Z13</f>
        <v>210.17111199999999</v>
      </c>
      <c r="X22" s="17">
        <f>'AEO 2023 Table 35 Raw'!AA13</f>
        <v>208.09629799999999</v>
      </c>
      <c r="Y22" s="17">
        <f>'AEO 2023 Table 35 Raw'!AB13</f>
        <v>205.94572400000001</v>
      </c>
      <c r="Z22" s="17">
        <f>'AEO 2023 Table 35 Raw'!AC13</f>
        <v>203.864014</v>
      </c>
      <c r="AA22" s="17">
        <f>'AEO 2023 Table 35 Raw'!AD13</f>
        <v>201.65756200000001</v>
      </c>
      <c r="AB22" s="17">
        <f>'AEO 2023 Table 35 Raw'!AE13</f>
        <v>199.53419500000001</v>
      </c>
      <c r="AC22" s="17">
        <f>'AEO 2023 Table 35 Raw'!AF13</f>
        <v>197.40910299999999</v>
      </c>
      <c r="AD22" s="17">
        <f>'AEO 2023 Table 35 Raw'!AG13</f>
        <v>194.99052399999999</v>
      </c>
      <c r="AE22" s="17">
        <f>'AEO 2023 Table 35 Raw'!AH13</f>
        <v>192.72607400000001</v>
      </c>
      <c r="AF22" s="30">
        <f>'AEO 2023 Table 35 Raw'!AI13</f>
        <v>-3.0000000000000001E-3</v>
      </c>
    </row>
    <row r="23" spans="1:32" ht="15" customHeight="1">
      <c r="A23" s="7" t="s">
        <v>311</v>
      </c>
      <c r="B23" s="16" t="s">
        <v>312</v>
      </c>
      <c r="C23" s="17">
        <f>'AEO 2023 Table 35 Raw'!F14</f>
        <v>91.866462999999996</v>
      </c>
      <c r="D23" s="17">
        <f>'AEO 2023 Table 35 Raw'!G14</f>
        <v>95.047843999999998</v>
      </c>
      <c r="E23" s="17">
        <f>'AEO 2023 Table 35 Raw'!H14</f>
        <v>98.100082</v>
      </c>
      <c r="F23" s="17">
        <f>'AEO 2023 Table 35 Raw'!I14</f>
        <v>98.297370999999998</v>
      </c>
      <c r="G23" s="17">
        <f>'AEO 2023 Table 35 Raw'!J14</f>
        <v>99.015793000000002</v>
      </c>
      <c r="H23" s="17">
        <f>'AEO 2023 Table 35 Raw'!K14</f>
        <v>99.818306000000007</v>
      </c>
      <c r="I23" s="17">
        <f>'AEO 2023 Table 35 Raw'!L14</f>
        <v>100.435158</v>
      </c>
      <c r="J23" s="17">
        <f>'AEO 2023 Table 35 Raw'!M14</f>
        <v>100.902916</v>
      </c>
      <c r="K23" s="17">
        <f>'AEO 2023 Table 35 Raw'!N14</f>
        <v>101.160149</v>
      </c>
      <c r="L23" s="17">
        <f>'AEO 2023 Table 35 Raw'!O14</f>
        <v>101.078728</v>
      </c>
      <c r="M23" s="17">
        <f>'AEO 2023 Table 35 Raw'!P14</f>
        <v>101.03228</v>
      </c>
      <c r="N23" s="17">
        <f>'AEO 2023 Table 35 Raw'!Q14</f>
        <v>100.937263</v>
      </c>
      <c r="O23" s="17">
        <f>'AEO 2023 Table 35 Raw'!R14</f>
        <v>100.906296</v>
      </c>
      <c r="P23" s="17">
        <f>'AEO 2023 Table 35 Raw'!S14</f>
        <v>100.527382</v>
      </c>
      <c r="Q23" s="17">
        <f>'AEO 2023 Table 35 Raw'!T14</f>
        <v>99.915215000000003</v>
      </c>
      <c r="R23" s="17">
        <f>'AEO 2023 Table 35 Raw'!U14</f>
        <v>99.245552000000004</v>
      </c>
      <c r="S23" s="17">
        <f>'AEO 2023 Table 35 Raw'!V14</f>
        <v>98.604225</v>
      </c>
      <c r="T23" s="17">
        <f>'AEO 2023 Table 35 Raw'!W14</f>
        <v>97.455551</v>
      </c>
      <c r="U23" s="17">
        <f>'AEO 2023 Table 35 Raw'!X14</f>
        <v>96.610405</v>
      </c>
      <c r="V23" s="17">
        <f>'AEO 2023 Table 35 Raw'!Y14</f>
        <v>95.781234999999995</v>
      </c>
      <c r="W23" s="17">
        <f>'AEO 2023 Table 35 Raw'!Z14</f>
        <v>95.010138999999995</v>
      </c>
      <c r="X23" s="17">
        <f>'AEO 2023 Table 35 Raw'!AA14</f>
        <v>94.064087000000001</v>
      </c>
      <c r="Y23" s="17">
        <f>'AEO 2023 Table 35 Raw'!AB14</f>
        <v>93.072463999999997</v>
      </c>
      <c r="Z23" s="17">
        <f>'AEO 2023 Table 35 Raw'!AC14</f>
        <v>92.183280999999994</v>
      </c>
      <c r="AA23" s="17">
        <f>'AEO 2023 Table 35 Raw'!AD14</f>
        <v>91.261589000000001</v>
      </c>
      <c r="AB23" s="17">
        <f>'AEO 2023 Table 35 Raw'!AE14</f>
        <v>90.434334000000007</v>
      </c>
      <c r="AC23" s="17">
        <f>'AEO 2023 Table 35 Raw'!AF14</f>
        <v>89.623856000000004</v>
      </c>
      <c r="AD23" s="17">
        <f>'AEO 2023 Table 35 Raw'!AG14</f>
        <v>88.543518000000006</v>
      </c>
      <c r="AE23" s="17">
        <f>'AEO 2023 Table 35 Raw'!AH14</f>
        <v>87.624701999999999</v>
      </c>
      <c r="AF23" s="30">
        <f>'AEO 2023 Table 35 Raw'!AI14</f>
        <v>-2E-3</v>
      </c>
    </row>
    <row r="24" spans="1:32" ht="15" customHeight="1">
      <c r="A24" s="7" t="s">
        <v>313</v>
      </c>
      <c r="B24" s="16" t="s">
        <v>314</v>
      </c>
      <c r="C24" s="17">
        <f>'AEO 2023 Table 35 Raw'!F15</f>
        <v>26.104420000000001</v>
      </c>
      <c r="D24" s="17">
        <f>'AEO 2023 Table 35 Raw'!G15</f>
        <v>27.958748</v>
      </c>
      <c r="E24" s="17">
        <f>'AEO 2023 Table 35 Raw'!H15</f>
        <v>29.360862999999998</v>
      </c>
      <c r="F24" s="17">
        <f>'AEO 2023 Table 35 Raw'!I15</f>
        <v>30.404257000000001</v>
      </c>
      <c r="G24" s="17">
        <f>'AEO 2023 Table 35 Raw'!J15</f>
        <v>31.176168000000001</v>
      </c>
      <c r="H24" s="17">
        <f>'AEO 2023 Table 35 Raw'!K15</f>
        <v>31.735724999999999</v>
      </c>
      <c r="I24" s="17">
        <f>'AEO 2023 Table 35 Raw'!L15</f>
        <v>32.137633999999998</v>
      </c>
      <c r="J24" s="17">
        <f>'AEO 2023 Table 35 Raw'!M15</f>
        <v>32.421238000000002</v>
      </c>
      <c r="K24" s="17">
        <f>'AEO 2023 Table 35 Raw'!N15</f>
        <v>32.616638000000002</v>
      </c>
      <c r="L24" s="17">
        <f>'AEO 2023 Table 35 Raw'!O15</f>
        <v>32.746367999999997</v>
      </c>
      <c r="M24" s="17">
        <f>'AEO 2023 Table 35 Raw'!P15</f>
        <v>32.823729999999998</v>
      </c>
      <c r="N24" s="17">
        <f>'AEO 2023 Table 35 Raw'!Q15</f>
        <v>32.850150999999997</v>
      </c>
      <c r="O24" s="17">
        <f>'AEO 2023 Table 35 Raw'!R15</f>
        <v>32.831726000000003</v>
      </c>
      <c r="P24" s="17">
        <f>'AEO 2023 Table 35 Raw'!S15</f>
        <v>32.779494999999997</v>
      </c>
      <c r="Q24" s="17">
        <f>'AEO 2023 Table 35 Raw'!T15</f>
        <v>32.700462000000002</v>
      </c>
      <c r="R24" s="17">
        <f>'AEO 2023 Table 35 Raw'!U15</f>
        <v>32.598652000000001</v>
      </c>
      <c r="S24" s="17">
        <f>'AEO 2023 Table 35 Raw'!V15</f>
        <v>32.498699000000002</v>
      </c>
      <c r="T24" s="17">
        <f>'AEO 2023 Table 35 Raw'!W15</f>
        <v>32.391376000000001</v>
      </c>
      <c r="U24" s="17">
        <f>'AEO 2023 Table 35 Raw'!X15</f>
        <v>32.277873999999997</v>
      </c>
      <c r="V24" s="17">
        <f>'AEO 2023 Table 35 Raw'!Y15</f>
        <v>32.156567000000003</v>
      </c>
      <c r="W24" s="17">
        <f>'AEO 2023 Table 35 Raw'!Z15</f>
        <v>32.032176999999997</v>
      </c>
      <c r="X24" s="17">
        <f>'AEO 2023 Table 35 Raw'!AA15</f>
        <v>31.905846</v>
      </c>
      <c r="Y24" s="17">
        <f>'AEO 2023 Table 35 Raw'!AB15</f>
        <v>31.778054999999998</v>
      </c>
      <c r="Z24" s="17">
        <f>'AEO 2023 Table 35 Raw'!AC15</f>
        <v>31.647835000000001</v>
      </c>
      <c r="AA24" s="17">
        <f>'AEO 2023 Table 35 Raw'!AD15</f>
        <v>31.517433</v>
      </c>
      <c r="AB24" s="17">
        <f>'AEO 2023 Table 35 Raw'!AE15</f>
        <v>31.386583000000002</v>
      </c>
      <c r="AC24" s="17">
        <f>'AEO 2023 Table 35 Raw'!AF15</f>
        <v>31.254867999999998</v>
      </c>
      <c r="AD24" s="17">
        <f>'AEO 2023 Table 35 Raw'!AG15</f>
        <v>31.125091999999999</v>
      </c>
      <c r="AE24" s="17">
        <f>'AEO 2023 Table 35 Raw'!AH15</f>
        <v>30.995487000000001</v>
      </c>
      <c r="AF24" s="30">
        <f>'AEO 2023 Table 35 Raw'!AI15</f>
        <v>6.0000000000000001E-3</v>
      </c>
    </row>
    <row r="25" spans="1:32" ht="15" customHeight="1">
      <c r="A25" s="7" t="s">
        <v>315</v>
      </c>
      <c r="B25" s="16" t="s">
        <v>316</v>
      </c>
      <c r="C25" s="17">
        <f>'AEO 2023 Table 35 Raw'!F16</f>
        <v>93.821793</v>
      </c>
      <c r="D25" s="17">
        <f>'AEO 2023 Table 35 Raw'!G16</f>
        <v>98.346069</v>
      </c>
      <c r="E25" s="17">
        <f>'AEO 2023 Table 35 Raw'!H16</f>
        <v>98.899811</v>
      </c>
      <c r="F25" s="17">
        <f>'AEO 2023 Table 35 Raw'!I16</f>
        <v>98.154319999999998</v>
      </c>
      <c r="G25" s="17">
        <f>'AEO 2023 Table 35 Raw'!J16</f>
        <v>96.978966</v>
      </c>
      <c r="H25" s="17">
        <f>'AEO 2023 Table 35 Raw'!K16</f>
        <v>95.870536999999999</v>
      </c>
      <c r="I25" s="17">
        <f>'AEO 2023 Table 35 Raw'!L16</f>
        <v>94.778396999999998</v>
      </c>
      <c r="J25" s="17">
        <f>'AEO 2023 Table 35 Raw'!M16</f>
        <v>93.653671000000003</v>
      </c>
      <c r="K25" s="17">
        <f>'AEO 2023 Table 35 Raw'!N16</f>
        <v>92.513656999999995</v>
      </c>
      <c r="L25" s="17">
        <f>'AEO 2023 Table 35 Raw'!O16</f>
        <v>91.346046000000001</v>
      </c>
      <c r="M25" s="17">
        <f>'AEO 2023 Table 35 Raw'!P16</f>
        <v>90.235045999999997</v>
      </c>
      <c r="N25" s="17">
        <f>'AEO 2023 Table 35 Raw'!Q16</f>
        <v>89.767821999999995</v>
      </c>
      <c r="O25" s="17">
        <f>'AEO 2023 Table 35 Raw'!R16</f>
        <v>89.084404000000006</v>
      </c>
      <c r="P25" s="17">
        <f>'AEO 2023 Table 35 Raw'!S16</f>
        <v>88.479789999999994</v>
      </c>
      <c r="Q25" s="17">
        <f>'AEO 2023 Table 35 Raw'!T16</f>
        <v>87.940360999999996</v>
      </c>
      <c r="R25" s="17">
        <f>'AEO 2023 Table 35 Raw'!U16</f>
        <v>87.485000999999997</v>
      </c>
      <c r="S25" s="17">
        <f>'AEO 2023 Table 35 Raw'!V16</f>
        <v>86.707999999999998</v>
      </c>
      <c r="T25" s="17">
        <f>'AEO 2023 Table 35 Raw'!W16</f>
        <v>85.857574</v>
      </c>
      <c r="U25" s="17">
        <f>'AEO 2023 Table 35 Raw'!X16</f>
        <v>84.978706000000003</v>
      </c>
      <c r="V25" s="17">
        <f>'AEO 2023 Table 35 Raw'!Y16</f>
        <v>84.087226999999999</v>
      </c>
      <c r="W25" s="17">
        <f>'AEO 2023 Table 35 Raw'!Z16</f>
        <v>83.128783999999996</v>
      </c>
      <c r="X25" s="17">
        <f>'AEO 2023 Table 35 Raw'!AA16</f>
        <v>82.126366000000004</v>
      </c>
      <c r="Y25" s="17">
        <f>'AEO 2023 Table 35 Raw'!AB16</f>
        <v>81.095184000000003</v>
      </c>
      <c r="Z25" s="17">
        <f>'AEO 2023 Table 35 Raw'!AC16</f>
        <v>80.032905999999997</v>
      </c>
      <c r="AA25" s="17">
        <f>'AEO 2023 Table 35 Raw'!AD16</f>
        <v>78.878570999999994</v>
      </c>
      <c r="AB25" s="17">
        <f>'AEO 2023 Table 35 Raw'!AE16</f>
        <v>77.713295000000002</v>
      </c>
      <c r="AC25" s="17">
        <f>'AEO 2023 Table 35 Raw'!AF16</f>
        <v>76.530395999999996</v>
      </c>
      <c r="AD25" s="17">
        <f>'AEO 2023 Table 35 Raw'!AG16</f>
        <v>75.321915000000004</v>
      </c>
      <c r="AE25" s="17">
        <f>'AEO 2023 Table 35 Raw'!AH16</f>
        <v>74.105903999999995</v>
      </c>
      <c r="AF25" s="30">
        <f>'AEO 2023 Table 35 Raw'!AI16</f>
        <v>-8.0000000000000002E-3</v>
      </c>
    </row>
    <row r="26" spans="1:32" ht="15" customHeight="1">
      <c r="A26" s="7" t="s">
        <v>317</v>
      </c>
      <c r="B26" s="16" t="s">
        <v>318</v>
      </c>
      <c r="C26" s="17">
        <f>'AEO 2023 Table 35 Raw'!F17</f>
        <v>5921.6064450000003</v>
      </c>
      <c r="D26" s="17">
        <f>'AEO 2023 Table 35 Raw'!G17</f>
        <v>5758.8461909999996</v>
      </c>
      <c r="E26" s="17">
        <f>'AEO 2023 Table 35 Raw'!H17</f>
        <v>5615.3227539999998</v>
      </c>
      <c r="F26" s="17">
        <f>'AEO 2023 Table 35 Raw'!I17</f>
        <v>5522.4594729999999</v>
      </c>
      <c r="G26" s="17">
        <f>'AEO 2023 Table 35 Raw'!J17</f>
        <v>5456.8017579999996</v>
      </c>
      <c r="H26" s="17">
        <f>'AEO 2023 Table 35 Raw'!K17</f>
        <v>5375.783203</v>
      </c>
      <c r="I26" s="17">
        <f>'AEO 2023 Table 35 Raw'!L17</f>
        <v>5295.0048829999996</v>
      </c>
      <c r="J26" s="17">
        <f>'AEO 2023 Table 35 Raw'!M17</f>
        <v>5208.1630859999996</v>
      </c>
      <c r="K26" s="17">
        <f>'AEO 2023 Table 35 Raw'!N17</f>
        <v>5129.4189450000003</v>
      </c>
      <c r="L26" s="17">
        <f>'AEO 2023 Table 35 Raw'!O17</f>
        <v>5059.7778319999998</v>
      </c>
      <c r="M26" s="17">
        <f>'AEO 2023 Table 35 Raw'!P17</f>
        <v>5009.6132809999999</v>
      </c>
      <c r="N26" s="17">
        <f>'AEO 2023 Table 35 Raw'!Q17</f>
        <v>4957.8959960000002</v>
      </c>
      <c r="O26" s="17">
        <f>'AEO 2023 Table 35 Raw'!R17</f>
        <v>4903.5463870000003</v>
      </c>
      <c r="P26" s="17">
        <f>'AEO 2023 Table 35 Raw'!S17</f>
        <v>4860.4370120000003</v>
      </c>
      <c r="Q26" s="17">
        <f>'AEO 2023 Table 35 Raw'!T17</f>
        <v>4815.5263670000004</v>
      </c>
      <c r="R26" s="17">
        <f>'AEO 2023 Table 35 Raw'!U17</f>
        <v>4791.6870120000003</v>
      </c>
      <c r="S26" s="17">
        <f>'AEO 2023 Table 35 Raw'!V17</f>
        <v>4773.9067379999997</v>
      </c>
      <c r="T26" s="17">
        <f>'AEO 2023 Table 35 Raw'!W17</f>
        <v>4755.3203119999998</v>
      </c>
      <c r="U26" s="17">
        <f>'AEO 2023 Table 35 Raw'!X17</f>
        <v>4745.1215819999998</v>
      </c>
      <c r="V26" s="17">
        <f>'AEO 2023 Table 35 Raw'!Y17</f>
        <v>4736.1166990000002</v>
      </c>
      <c r="W26" s="17">
        <f>'AEO 2023 Table 35 Raw'!Z17</f>
        <v>4733.9057620000003</v>
      </c>
      <c r="X26" s="17">
        <f>'AEO 2023 Table 35 Raw'!AA17</f>
        <v>4732.7148440000001</v>
      </c>
      <c r="Y26" s="17">
        <f>'AEO 2023 Table 35 Raw'!AB17</f>
        <v>4731.6547849999997</v>
      </c>
      <c r="Z26" s="17">
        <f>'AEO 2023 Table 35 Raw'!AC17</f>
        <v>4729.873047</v>
      </c>
      <c r="AA26" s="17">
        <f>'AEO 2023 Table 35 Raw'!AD17</f>
        <v>4730.2021480000003</v>
      </c>
      <c r="AB26" s="17">
        <f>'AEO 2023 Table 35 Raw'!AE17</f>
        <v>4729.4658200000003</v>
      </c>
      <c r="AC26" s="17">
        <f>'AEO 2023 Table 35 Raw'!AF17</f>
        <v>4727.9716799999997</v>
      </c>
      <c r="AD26" s="17">
        <f>'AEO 2023 Table 35 Raw'!AG17</f>
        <v>4734.9438479999999</v>
      </c>
      <c r="AE26" s="17">
        <f>'AEO 2023 Table 35 Raw'!AH17</f>
        <v>4747.1035160000001</v>
      </c>
      <c r="AF26" s="30">
        <f>'AEO 2023 Table 35 Raw'!AI17</f>
        <v>-8.0000000000000002E-3</v>
      </c>
    </row>
    <row r="27" spans="1:32" ht="15" customHeight="1">
      <c r="A27" s="7" t="s">
        <v>319</v>
      </c>
      <c r="B27" s="16" t="s">
        <v>320</v>
      </c>
      <c r="C27" s="17">
        <f>'AEO 2023 Table 35 Raw'!F18</f>
        <v>748.63781700000004</v>
      </c>
      <c r="D27" s="17">
        <f>'AEO 2023 Table 35 Raw'!G18</f>
        <v>732.18176300000005</v>
      </c>
      <c r="E27" s="17">
        <f>'AEO 2023 Table 35 Raw'!H18</f>
        <v>720.222351</v>
      </c>
      <c r="F27" s="17">
        <f>'AEO 2023 Table 35 Raw'!I18</f>
        <v>712.26513699999998</v>
      </c>
      <c r="G27" s="17">
        <f>'AEO 2023 Table 35 Raw'!J18</f>
        <v>704.63708499999996</v>
      </c>
      <c r="H27" s="17">
        <f>'AEO 2023 Table 35 Raw'!K18</f>
        <v>693.10375999999997</v>
      </c>
      <c r="I27" s="17">
        <f>'AEO 2023 Table 35 Raw'!L18</f>
        <v>681.51898200000005</v>
      </c>
      <c r="J27" s="17">
        <f>'AEO 2023 Table 35 Raw'!M18</f>
        <v>670.97247300000004</v>
      </c>
      <c r="K27" s="17">
        <f>'AEO 2023 Table 35 Raw'!N18</f>
        <v>664.23034700000005</v>
      </c>
      <c r="L27" s="17">
        <f>'AEO 2023 Table 35 Raw'!O18</f>
        <v>660.79870600000004</v>
      </c>
      <c r="M27" s="17">
        <f>'AEO 2023 Table 35 Raw'!P18</f>
        <v>661.24517800000001</v>
      </c>
      <c r="N27" s="17">
        <f>'AEO 2023 Table 35 Raw'!Q18</f>
        <v>662.369507</v>
      </c>
      <c r="O27" s="17">
        <f>'AEO 2023 Table 35 Raw'!R18</f>
        <v>663.70324700000003</v>
      </c>
      <c r="P27" s="17">
        <f>'AEO 2023 Table 35 Raw'!S18</f>
        <v>666.36852999999996</v>
      </c>
      <c r="Q27" s="17">
        <f>'AEO 2023 Table 35 Raw'!T18</f>
        <v>668.24157700000001</v>
      </c>
      <c r="R27" s="17">
        <f>'AEO 2023 Table 35 Raw'!U18</f>
        <v>672.17394999999999</v>
      </c>
      <c r="S27" s="17">
        <f>'AEO 2023 Table 35 Raw'!V18</f>
        <v>676.03515600000003</v>
      </c>
      <c r="T27" s="17">
        <f>'AEO 2023 Table 35 Raw'!W18</f>
        <v>679.41424600000005</v>
      </c>
      <c r="U27" s="17">
        <f>'AEO 2023 Table 35 Raw'!X18</f>
        <v>684.28772000000004</v>
      </c>
      <c r="V27" s="17">
        <f>'AEO 2023 Table 35 Raw'!Y18</f>
        <v>690.63830600000006</v>
      </c>
      <c r="W27" s="17">
        <f>'AEO 2023 Table 35 Raw'!Z18</f>
        <v>698.07110599999999</v>
      </c>
      <c r="X27" s="17">
        <f>'AEO 2023 Table 35 Raw'!AA18</f>
        <v>705.62060499999995</v>
      </c>
      <c r="Y27" s="17">
        <f>'AEO 2023 Table 35 Raw'!AB18</f>
        <v>713.18573000000004</v>
      </c>
      <c r="Z27" s="17">
        <f>'AEO 2023 Table 35 Raw'!AC18</f>
        <v>721.23553500000003</v>
      </c>
      <c r="AA27" s="17">
        <f>'AEO 2023 Table 35 Raw'!AD18</f>
        <v>730.61541699999998</v>
      </c>
      <c r="AB27" s="17">
        <f>'AEO 2023 Table 35 Raw'!AE18</f>
        <v>740.51544200000001</v>
      </c>
      <c r="AC27" s="17">
        <f>'AEO 2023 Table 35 Raw'!AF18</f>
        <v>750.55602999999996</v>
      </c>
      <c r="AD27" s="17">
        <f>'AEO 2023 Table 35 Raw'!AG18</f>
        <v>761.51873799999998</v>
      </c>
      <c r="AE27" s="17">
        <f>'AEO 2023 Table 35 Raw'!AH18</f>
        <v>773.14770499999997</v>
      </c>
      <c r="AF27" s="30">
        <f>'AEO 2023 Table 35 Raw'!AI18</f>
        <v>1E-3</v>
      </c>
    </row>
    <row r="28" spans="1:32" s="88" customFormat="1" ht="15" customHeight="1">
      <c r="A28" s="84" t="s">
        <v>321</v>
      </c>
      <c r="B28" s="85" t="s">
        <v>322</v>
      </c>
      <c r="C28" s="86">
        <f>'AEO 2023 Table 35 Raw'!F19</f>
        <v>969.94122300000004</v>
      </c>
      <c r="D28" s="86">
        <f>'AEO 2023 Table 35 Raw'!G19</f>
        <v>940.81146200000001</v>
      </c>
      <c r="E28" s="86">
        <f>'AEO 2023 Table 35 Raw'!H19</f>
        <v>917.15948500000002</v>
      </c>
      <c r="F28" s="86">
        <f>'AEO 2023 Table 35 Raw'!I19</f>
        <v>901.62676999999996</v>
      </c>
      <c r="G28" s="86">
        <f>'AEO 2023 Table 35 Raw'!J19</f>
        <v>890.98638900000003</v>
      </c>
      <c r="H28" s="86">
        <f>'AEO 2023 Table 35 Raw'!K19</f>
        <v>878.49054000000001</v>
      </c>
      <c r="I28" s="86">
        <f>'AEO 2023 Table 35 Raw'!L19</f>
        <v>867.02569600000004</v>
      </c>
      <c r="J28" s="86">
        <f>'AEO 2023 Table 35 Raw'!M19</f>
        <v>854.45898399999999</v>
      </c>
      <c r="K28" s="86">
        <f>'AEO 2023 Table 35 Raw'!N19</f>
        <v>843.13281199999994</v>
      </c>
      <c r="L28" s="86">
        <f>'AEO 2023 Table 35 Raw'!O19</f>
        <v>833.16595500000005</v>
      </c>
      <c r="M28" s="86">
        <f>'AEO 2023 Table 35 Raw'!P19</f>
        <v>827.27282700000001</v>
      </c>
      <c r="N28" s="86">
        <f>'AEO 2023 Table 35 Raw'!Q19</f>
        <v>820.74212599999998</v>
      </c>
      <c r="O28" s="86">
        <f>'AEO 2023 Table 35 Raw'!R19</f>
        <v>813.97699</v>
      </c>
      <c r="P28" s="86">
        <f>'AEO 2023 Table 35 Raw'!S19</f>
        <v>809.44824200000005</v>
      </c>
      <c r="Q28" s="86">
        <f>'AEO 2023 Table 35 Raw'!T19</f>
        <v>804.86688200000003</v>
      </c>
      <c r="R28" s="86">
        <f>'AEO 2023 Table 35 Raw'!U19</f>
        <v>804.27398700000003</v>
      </c>
      <c r="S28" s="86">
        <f>'AEO 2023 Table 35 Raw'!V19</f>
        <v>803.65295400000002</v>
      </c>
      <c r="T28" s="86">
        <f>'AEO 2023 Table 35 Raw'!W19</f>
        <v>803.74804700000004</v>
      </c>
      <c r="U28" s="86">
        <f>'AEO 2023 Table 35 Raw'!X19</f>
        <v>804.90454099999999</v>
      </c>
      <c r="V28" s="86">
        <f>'AEO 2023 Table 35 Raw'!Y19</f>
        <v>806.42034899999999</v>
      </c>
      <c r="W28" s="86">
        <f>'AEO 2023 Table 35 Raw'!Z19</f>
        <v>809.15716599999996</v>
      </c>
      <c r="X28" s="86">
        <f>'AEO 2023 Table 35 Raw'!AA19</f>
        <v>813.02770999999996</v>
      </c>
      <c r="Y28" s="86">
        <f>'AEO 2023 Table 35 Raw'!AB19</f>
        <v>817.48461899999995</v>
      </c>
      <c r="Z28" s="86">
        <f>'AEO 2023 Table 35 Raw'!AC19</f>
        <v>821.82110599999999</v>
      </c>
      <c r="AA28" s="86">
        <f>'AEO 2023 Table 35 Raw'!AD19</f>
        <v>826.55474900000002</v>
      </c>
      <c r="AB28" s="86">
        <f>'AEO 2023 Table 35 Raw'!AE19</f>
        <v>831.33819600000004</v>
      </c>
      <c r="AC28" s="86">
        <f>'AEO 2023 Table 35 Raw'!AF19</f>
        <v>836.18957499999999</v>
      </c>
      <c r="AD28" s="86">
        <f>'AEO 2023 Table 35 Raw'!AG19</f>
        <v>842.79058799999996</v>
      </c>
      <c r="AE28" s="86">
        <f>'AEO 2023 Table 35 Raw'!AH19</f>
        <v>850.25329599999998</v>
      </c>
      <c r="AF28" s="87">
        <f>'AEO 2023 Table 35 Raw'!AI19</f>
        <v>-5.0000000000000001E-3</v>
      </c>
    </row>
    <row r="29" spans="1:32" ht="15" customHeight="1">
      <c r="A29" s="7" t="s">
        <v>323</v>
      </c>
      <c r="B29" s="16" t="s">
        <v>324</v>
      </c>
      <c r="C29" s="17">
        <f>'AEO 2023 Table 35 Raw'!F20</f>
        <v>4203.0278319999998</v>
      </c>
      <c r="D29" s="17">
        <f>'AEO 2023 Table 35 Raw'!G20</f>
        <v>4085.8527829999998</v>
      </c>
      <c r="E29" s="17">
        <f>'AEO 2023 Table 35 Raw'!H20</f>
        <v>3977.9411620000001</v>
      </c>
      <c r="F29" s="17">
        <f>'AEO 2023 Table 35 Raw'!I20</f>
        <v>3908.5668949999999</v>
      </c>
      <c r="G29" s="17">
        <f>'AEO 2023 Table 35 Raw'!J20</f>
        <v>3861.1782229999999</v>
      </c>
      <c r="H29" s="17">
        <f>'AEO 2023 Table 35 Raw'!K20</f>
        <v>3804.1892090000001</v>
      </c>
      <c r="I29" s="17">
        <f>'AEO 2023 Table 35 Raw'!L20</f>
        <v>3746.4604490000002</v>
      </c>
      <c r="J29" s="17">
        <f>'AEO 2023 Table 35 Raw'!M20</f>
        <v>3682.7316890000002</v>
      </c>
      <c r="K29" s="17">
        <f>'AEO 2023 Table 35 Raw'!N20</f>
        <v>3622.055664</v>
      </c>
      <c r="L29" s="17">
        <f>'AEO 2023 Table 35 Raw'!O20</f>
        <v>3565.8127439999998</v>
      </c>
      <c r="M29" s="17">
        <f>'AEO 2023 Table 35 Raw'!P20</f>
        <v>3521.0952149999998</v>
      </c>
      <c r="N29" s="17">
        <f>'AEO 2023 Table 35 Raw'!Q20</f>
        <v>3474.7841800000001</v>
      </c>
      <c r="O29" s="17">
        <f>'AEO 2023 Table 35 Raw'!R20</f>
        <v>3425.8664549999999</v>
      </c>
      <c r="P29" s="17">
        <f>'AEO 2023 Table 35 Raw'!S20</f>
        <v>3384.6206050000001</v>
      </c>
      <c r="Q29" s="17">
        <f>'AEO 2023 Table 35 Raw'!T20</f>
        <v>3342.4177249999998</v>
      </c>
      <c r="R29" s="17">
        <f>'AEO 2023 Table 35 Raw'!U20</f>
        <v>3315.2387699999999</v>
      </c>
      <c r="S29" s="17">
        <f>'AEO 2023 Table 35 Raw'!V20</f>
        <v>3294.2185060000002</v>
      </c>
      <c r="T29" s="17">
        <f>'AEO 2023 Table 35 Raw'!W20</f>
        <v>3272.158203</v>
      </c>
      <c r="U29" s="17">
        <f>'AEO 2023 Table 35 Raw'!X20</f>
        <v>3255.9291990000002</v>
      </c>
      <c r="V29" s="17">
        <f>'AEO 2023 Table 35 Raw'!Y20</f>
        <v>3239.0583499999998</v>
      </c>
      <c r="W29" s="17">
        <f>'AEO 2023 Table 35 Raw'!Z20</f>
        <v>3226.6767580000001</v>
      </c>
      <c r="X29" s="17">
        <f>'AEO 2023 Table 35 Raw'!AA20</f>
        <v>3214.0668949999999</v>
      </c>
      <c r="Y29" s="17">
        <f>'AEO 2023 Table 35 Raw'!AB20</f>
        <v>3200.9846189999998</v>
      </c>
      <c r="Z29" s="17">
        <f>'AEO 2023 Table 35 Raw'!AC20</f>
        <v>3186.8171390000002</v>
      </c>
      <c r="AA29" s="17">
        <f>'AEO 2023 Table 35 Raw'!AD20</f>
        <v>3173.031982</v>
      </c>
      <c r="AB29" s="17">
        <f>'AEO 2023 Table 35 Raw'!AE20</f>
        <v>3157.6123050000001</v>
      </c>
      <c r="AC29" s="17">
        <f>'AEO 2023 Table 35 Raw'!AF20</f>
        <v>3141.226318</v>
      </c>
      <c r="AD29" s="17">
        <f>'AEO 2023 Table 35 Raw'!AG20</f>
        <v>3130.6345209999999</v>
      </c>
      <c r="AE29" s="17">
        <f>'AEO 2023 Table 35 Raw'!AH20</f>
        <v>3123.703125</v>
      </c>
      <c r="AF29" s="30">
        <f>'AEO 2023 Table 35 Raw'!AI20</f>
        <v>-1.0999999999999999E-2</v>
      </c>
    </row>
    <row r="30" spans="1:32" ht="12" customHeight="1">
      <c r="C30" s="17"/>
      <c r="D30" s="17"/>
      <c r="E30" s="17"/>
      <c r="F30" s="17"/>
      <c r="G30" s="17"/>
      <c r="H30" s="17"/>
      <c r="I30" s="17"/>
      <c r="J30" s="17"/>
      <c r="K30" s="17"/>
      <c r="L30" s="17"/>
      <c r="M30" s="17"/>
      <c r="N30" s="17"/>
      <c r="O30" s="17"/>
      <c r="P30" s="17"/>
      <c r="Q30" s="17"/>
      <c r="R30" s="17"/>
      <c r="S30" s="17"/>
      <c r="T30" s="17"/>
      <c r="U30" s="17"/>
      <c r="V30" s="17"/>
      <c r="W30" s="17"/>
      <c r="X30" s="17"/>
      <c r="Y30" s="17"/>
      <c r="Z30" s="17"/>
      <c r="AA30" s="17"/>
      <c r="AB30" s="17"/>
      <c r="AC30" s="17"/>
      <c r="AD30" s="17"/>
      <c r="AE30" s="17"/>
      <c r="AF30" s="30"/>
    </row>
    <row r="31" spans="1:32" ht="15" customHeight="1">
      <c r="B31" s="15" t="s">
        <v>325</v>
      </c>
      <c r="C31" s="17"/>
      <c r="D31" s="17"/>
      <c r="E31" s="17"/>
      <c r="F31" s="17"/>
      <c r="G31" s="17"/>
      <c r="H31" s="17"/>
      <c r="I31" s="17"/>
      <c r="J31" s="17"/>
      <c r="K31" s="17"/>
      <c r="L31" s="17"/>
      <c r="M31" s="17"/>
      <c r="N31" s="17"/>
      <c r="O31" s="17"/>
      <c r="P31" s="17"/>
      <c r="Q31" s="17"/>
      <c r="R31" s="17"/>
      <c r="S31" s="17"/>
      <c r="T31" s="17"/>
      <c r="U31" s="17"/>
      <c r="V31" s="17"/>
      <c r="W31" s="17"/>
      <c r="X31" s="17"/>
      <c r="Y31" s="17"/>
      <c r="Z31" s="17"/>
      <c r="AA31" s="17"/>
      <c r="AB31" s="17"/>
      <c r="AC31" s="17"/>
      <c r="AD31" s="17"/>
      <c r="AE31" s="17"/>
      <c r="AF31" s="30"/>
    </row>
    <row r="32" spans="1:32" ht="15" customHeight="1">
      <c r="A32" s="7" t="s">
        <v>326</v>
      </c>
      <c r="B32" s="16" t="s">
        <v>327</v>
      </c>
      <c r="C32" s="17">
        <f>'AEO 2023 Table 35 Raw'!F22</f>
        <v>2795.655029</v>
      </c>
      <c r="D32" s="17">
        <f>'AEO 2023 Table 35 Raw'!G22</f>
        <v>2985.946289</v>
      </c>
      <c r="E32" s="17">
        <f>'AEO 2023 Table 35 Raw'!H22</f>
        <v>3004.0117190000001</v>
      </c>
      <c r="F32" s="17">
        <f>'AEO 2023 Table 35 Raw'!I22</f>
        <v>2994.3767090000001</v>
      </c>
      <c r="G32" s="17">
        <f>'AEO 2023 Table 35 Raw'!J22</f>
        <v>3010.1215820000002</v>
      </c>
      <c r="H32" s="17">
        <f>'AEO 2023 Table 35 Raw'!K22</f>
        <v>3024.310547</v>
      </c>
      <c r="I32" s="17">
        <f>'AEO 2023 Table 35 Raw'!L22</f>
        <v>3036.461914</v>
      </c>
      <c r="J32" s="17">
        <f>'AEO 2023 Table 35 Raw'!M22</f>
        <v>3042.4677729999999</v>
      </c>
      <c r="K32" s="17">
        <f>'AEO 2023 Table 35 Raw'!N22</f>
        <v>3043.4104000000002</v>
      </c>
      <c r="L32" s="17">
        <f>'AEO 2023 Table 35 Raw'!O22</f>
        <v>3046.782471</v>
      </c>
      <c r="M32" s="17">
        <f>'AEO 2023 Table 35 Raw'!P22</f>
        <v>3061.0747070000002</v>
      </c>
      <c r="N32" s="17">
        <f>'AEO 2023 Table 35 Raw'!Q22</f>
        <v>3070.6218260000001</v>
      </c>
      <c r="O32" s="17">
        <f>'AEO 2023 Table 35 Raw'!R22</f>
        <v>3069.8415530000002</v>
      </c>
      <c r="P32" s="17">
        <f>'AEO 2023 Table 35 Raw'!S22</f>
        <v>3072.1235350000002</v>
      </c>
      <c r="Q32" s="17">
        <f>'AEO 2023 Table 35 Raw'!T22</f>
        <v>3082.9067380000001</v>
      </c>
      <c r="R32" s="17">
        <f>'AEO 2023 Table 35 Raw'!U22</f>
        <v>3102.0864259999998</v>
      </c>
      <c r="S32" s="17">
        <f>'AEO 2023 Table 35 Raw'!V22</f>
        <v>3127.588135</v>
      </c>
      <c r="T32" s="17">
        <f>'AEO 2023 Table 35 Raw'!W22</f>
        <v>3157.076904</v>
      </c>
      <c r="U32" s="17">
        <f>'AEO 2023 Table 35 Raw'!X22</f>
        <v>3191.8100589999999</v>
      </c>
      <c r="V32" s="17">
        <f>'AEO 2023 Table 35 Raw'!Y22</f>
        <v>3222.9575199999999</v>
      </c>
      <c r="W32" s="17">
        <f>'AEO 2023 Table 35 Raw'!Z22</f>
        <v>3255.5627439999998</v>
      </c>
      <c r="X32" s="17">
        <f>'AEO 2023 Table 35 Raw'!AA22</f>
        <v>3288.5258789999998</v>
      </c>
      <c r="Y32" s="17">
        <f>'AEO 2023 Table 35 Raw'!AB22</f>
        <v>3323.1064449999999</v>
      </c>
      <c r="Z32" s="17">
        <f>'AEO 2023 Table 35 Raw'!AC22</f>
        <v>3357.5683589999999</v>
      </c>
      <c r="AA32" s="17">
        <f>'AEO 2023 Table 35 Raw'!AD22</f>
        <v>3392.8244629999999</v>
      </c>
      <c r="AB32" s="17">
        <f>'AEO 2023 Table 35 Raw'!AE22</f>
        <v>3430.6352539999998</v>
      </c>
      <c r="AC32" s="17">
        <f>'AEO 2023 Table 35 Raw'!AF22</f>
        <v>3471.3813479999999</v>
      </c>
      <c r="AD32" s="17">
        <f>'AEO 2023 Table 35 Raw'!AG22</f>
        <v>3513.5590820000002</v>
      </c>
      <c r="AE32" s="17">
        <f>'AEO 2023 Table 35 Raw'!AH22</f>
        <v>3560.3764649999998</v>
      </c>
      <c r="AF32" s="30">
        <f>'AEO 2023 Table 35 Raw'!AI22</f>
        <v>8.9999999999999993E-3</v>
      </c>
    </row>
    <row r="33" spans="1:32" ht="15" customHeight="1">
      <c r="A33" s="7" t="s">
        <v>328</v>
      </c>
      <c r="B33" s="16" t="s">
        <v>329</v>
      </c>
      <c r="C33" s="17">
        <f>'AEO 2023 Table 35 Raw'!F23</f>
        <v>154.480209</v>
      </c>
      <c r="D33" s="17">
        <f>'AEO 2023 Table 35 Raw'!G23</f>
        <v>163.53123500000001</v>
      </c>
      <c r="E33" s="17">
        <f>'AEO 2023 Table 35 Raw'!H23</f>
        <v>164.38275100000001</v>
      </c>
      <c r="F33" s="17">
        <f>'AEO 2023 Table 35 Raw'!I23</f>
        <v>163.916977</v>
      </c>
      <c r="G33" s="17">
        <f>'AEO 2023 Table 35 Raw'!J23</f>
        <v>164.66076699999999</v>
      </c>
      <c r="H33" s="17">
        <f>'AEO 2023 Table 35 Raw'!K23</f>
        <v>165.33139</v>
      </c>
      <c r="I33" s="17">
        <f>'AEO 2023 Table 35 Raw'!L23</f>
        <v>165.905991</v>
      </c>
      <c r="J33" s="17">
        <f>'AEO 2023 Table 35 Raw'!M23</f>
        <v>166.18859900000001</v>
      </c>
      <c r="K33" s="17">
        <f>'AEO 2023 Table 35 Raw'!N23</f>
        <v>166.23085</v>
      </c>
      <c r="L33" s="17">
        <f>'AEO 2023 Table 35 Raw'!O23</f>
        <v>166.389084</v>
      </c>
      <c r="M33" s="17">
        <f>'AEO 2023 Table 35 Raw'!P23</f>
        <v>167.06776400000001</v>
      </c>
      <c r="N33" s="17">
        <f>'AEO 2023 Table 35 Raw'!Q23</f>
        <v>167.52093500000001</v>
      </c>
      <c r="O33" s="17">
        <f>'AEO 2023 Table 35 Raw'!R23</f>
        <v>167.48246800000001</v>
      </c>
      <c r="P33" s="17">
        <f>'AEO 2023 Table 35 Raw'!S23</f>
        <v>167.58998099999999</v>
      </c>
      <c r="Q33" s="17">
        <f>'AEO 2023 Table 35 Raw'!T23</f>
        <v>168.10247799999999</v>
      </c>
      <c r="R33" s="17">
        <f>'AEO 2023 Table 35 Raw'!U23</f>
        <v>169.01503</v>
      </c>
      <c r="S33" s="17">
        <f>'AEO 2023 Table 35 Raw'!V23</f>
        <v>170.22898900000001</v>
      </c>
      <c r="T33" s="17">
        <f>'AEO 2023 Table 35 Raw'!W23</f>
        <v>171.632507</v>
      </c>
      <c r="U33" s="17">
        <f>'AEO 2023 Table 35 Raw'!X23</f>
        <v>173.28613300000001</v>
      </c>
      <c r="V33" s="17">
        <f>'AEO 2023 Table 35 Raw'!Y23</f>
        <v>174.76892100000001</v>
      </c>
      <c r="W33" s="17">
        <f>'AEO 2023 Table 35 Raw'!Z23</f>
        <v>176.32135</v>
      </c>
      <c r="X33" s="17">
        <f>'AEO 2023 Table 35 Raw'!AA23</f>
        <v>177.89068599999999</v>
      </c>
      <c r="Y33" s="17">
        <f>'AEO 2023 Table 35 Raw'!AB23</f>
        <v>179.53720100000001</v>
      </c>
      <c r="Z33" s="17">
        <f>'AEO 2023 Table 35 Raw'!AC23</f>
        <v>181.178146</v>
      </c>
      <c r="AA33" s="17">
        <f>'AEO 2023 Table 35 Raw'!AD23</f>
        <v>182.856964</v>
      </c>
      <c r="AB33" s="17">
        <f>'AEO 2023 Table 35 Raw'!AE23</f>
        <v>184.65737899999999</v>
      </c>
      <c r="AC33" s="17">
        <f>'AEO 2023 Table 35 Raw'!AF23</f>
        <v>186.59747300000001</v>
      </c>
      <c r="AD33" s="17">
        <f>'AEO 2023 Table 35 Raw'!AG23</f>
        <v>188.605942</v>
      </c>
      <c r="AE33" s="17">
        <f>'AEO 2023 Table 35 Raw'!AH23</f>
        <v>190.835114</v>
      </c>
      <c r="AF33" s="30">
        <f>'AEO 2023 Table 35 Raw'!AI23</f>
        <v>8.0000000000000002E-3</v>
      </c>
    </row>
    <row r="34" spans="1:32" ht="15" customHeight="1">
      <c r="A34" s="7" t="s">
        <v>330</v>
      </c>
      <c r="B34" s="16" t="s">
        <v>331</v>
      </c>
      <c r="C34" s="17">
        <f>'AEO 2023 Table 35 Raw'!F24</f>
        <v>1525.0932620000001</v>
      </c>
      <c r="D34" s="17">
        <f>'AEO 2023 Table 35 Raw'!G24</f>
        <v>1567.8680420000001</v>
      </c>
      <c r="E34" s="17">
        <f>'AEO 2023 Table 35 Raw'!H24</f>
        <v>1526.7360839999999</v>
      </c>
      <c r="F34" s="17">
        <f>'AEO 2023 Table 35 Raw'!I24</f>
        <v>1508.541504</v>
      </c>
      <c r="G34" s="17">
        <f>'AEO 2023 Table 35 Raw'!J24</f>
        <v>1515.349121</v>
      </c>
      <c r="H34" s="17">
        <f>'AEO 2023 Table 35 Raw'!K24</f>
        <v>1520.4882809999999</v>
      </c>
      <c r="I34" s="17">
        <f>'AEO 2023 Table 35 Raw'!L24</f>
        <v>1524.98938</v>
      </c>
      <c r="J34" s="17">
        <f>'AEO 2023 Table 35 Raw'!M24</f>
        <v>1525.926025</v>
      </c>
      <c r="K34" s="17">
        <f>'AEO 2023 Table 35 Raw'!N24</f>
        <v>1523.0429690000001</v>
      </c>
      <c r="L34" s="17">
        <f>'AEO 2023 Table 35 Raw'!O24</f>
        <v>1521.2917480000001</v>
      </c>
      <c r="M34" s="17">
        <f>'AEO 2023 Table 35 Raw'!P24</f>
        <v>1525.9873050000001</v>
      </c>
      <c r="N34" s="17">
        <f>'AEO 2023 Table 35 Raw'!Q24</f>
        <v>1531.2928469999999</v>
      </c>
      <c r="O34" s="17">
        <f>'AEO 2023 Table 35 Raw'!R24</f>
        <v>1530.815918</v>
      </c>
      <c r="P34" s="17">
        <f>'AEO 2023 Table 35 Raw'!S24</f>
        <v>1529.8126219999999</v>
      </c>
      <c r="Q34" s="17">
        <f>'AEO 2023 Table 35 Raw'!T24</f>
        <v>1532.0532229999999</v>
      </c>
      <c r="R34" s="17">
        <f>'AEO 2023 Table 35 Raw'!U24</f>
        <v>1538.0153809999999</v>
      </c>
      <c r="S34" s="17">
        <f>'AEO 2023 Table 35 Raw'!V24</f>
        <v>1547.7210689999999</v>
      </c>
      <c r="T34" s="17">
        <f>'AEO 2023 Table 35 Raw'!W24</f>
        <v>1559.256592</v>
      </c>
      <c r="U34" s="17">
        <f>'AEO 2023 Table 35 Raw'!X24</f>
        <v>1573.825317</v>
      </c>
      <c r="V34" s="17">
        <f>'AEO 2023 Table 35 Raw'!Y24</f>
        <v>1586.3063959999999</v>
      </c>
      <c r="W34" s="17">
        <f>'AEO 2023 Table 35 Raw'!Z24</f>
        <v>1599.5791019999999</v>
      </c>
      <c r="X34" s="17">
        <f>'AEO 2023 Table 35 Raw'!AA24</f>
        <v>1613.908447</v>
      </c>
      <c r="Y34" s="17">
        <f>'AEO 2023 Table 35 Raw'!AB24</f>
        <v>1628.809814</v>
      </c>
      <c r="Z34" s="17">
        <f>'AEO 2023 Table 35 Raw'!AC24</f>
        <v>1643.376831</v>
      </c>
      <c r="AA34" s="17">
        <f>'AEO 2023 Table 35 Raw'!AD24</f>
        <v>1658.938232</v>
      </c>
      <c r="AB34" s="17">
        <f>'AEO 2023 Table 35 Raw'!AE24</f>
        <v>1676.1137699999999</v>
      </c>
      <c r="AC34" s="17">
        <f>'AEO 2023 Table 35 Raw'!AF24</f>
        <v>1694.779663</v>
      </c>
      <c r="AD34" s="17">
        <f>'AEO 2023 Table 35 Raw'!AG24</f>
        <v>1714.7982179999999</v>
      </c>
      <c r="AE34" s="17">
        <f>'AEO 2023 Table 35 Raw'!AH24</f>
        <v>1736.7991939999999</v>
      </c>
      <c r="AF34" s="30">
        <f>'AEO 2023 Table 35 Raw'!AI24</f>
        <v>5.0000000000000001E-3</v>
      </c>
    </row>
    <row r="35" spans="1:32" ht="15" customHeight="1">
      <c r="A35" s="7" t="s">
        <v>332</v>
      </c>
      <c r="B35" s="16" t="s">
        <v>333</v>
      </c>
      <c r="C35" s="17">
        <f>'AEO 2023 Table 35 Raw'!F25</f>
        <v>585.55181900000002</v>
      </c>
      <c r="D35" s="17">
        <f>'AEO 2023 Table 35 Raw'!G25</f>
        <v>750.91198699999995</v>
      </c>
      <c r="E35" s="17">
        <f>'AEO 2023 Table 35 Raw'!H25</f>
        <v>819.919983</v>
      </c>
      <c r="F35" s="17">
        <f>'AEO 2023 Table 35 Raw'!I25</f>
        <v>830.230591</v>
      </c>
      <c r="G35" s="17">
        <f>'AEO 2023 Table 35 Raw'!J25</f>
        <v>837.06994599999996</v>
      </c>
      <c r="H35" s="17">
        <f>'AEO 2023 Table 35 Raw'!K25</f>
        <v>843.648865</v>
      </c>
      <c r="I35" s="17">
        <f>'AEO 2023 Table 35 Raw'!L25</f>
        <v>849.23260500000004</v>
      </c>
      <c r="J35" s="17">
        <f>'AEO 2023 Table 35 Raw'!M25</f>
        <v>853.01031499999999</v>
      </c>
      <c r="K35" s="17">
        <f>'AEO 2023 Table 35 Raw'!N25</f>
        <v>855.76171899999997</v>
      </c>
      <c r="L35" s="17">
        <f>'AEO 2023 Table 35 Raw'!O25</f>
        <v>859.20422399999995</v>
      </c>
      <c r="M35" s="17">
        <f>'AEO 2023 Table 35 Raw'!P25</f>
        <v>865.41162099999997</v>
      </c>
      <c r="N35" s="17">
        <f>'AEO 2023 Table 35 Raw'!Q25</f>
        <v>868.69140600000003</v>
      </c>
      <c r="O35" s="17">
        <f>'AEO 2023 Table 35 Raw'!R25</f>
        <v>869.10211200000003</v>
      </c>
      <c r="P35" s="17">
        <f>'AEO 2023 Table 35 Raw'!S25</f>
        <v>871.32574499999998</v>
      </c>
      <c r="Q35" s="17">
        <f>'AEO 2023 Table 35 Raw'!T25</f>
        <v>876.51696800000002</v>
      </c>
      <c r="R35" s="17">
        <f>'AEO 2023 Table 35 Raw'!U25</f>
        <v>884.41485599999999</v>
      </c>
      <c r="S35" s="17">
        <f>'AEO 2023 Table 35 Raw'!V25</f>
        <v>893.89855999999997</v>
      </c>
      <c r="T35" s="17">
        <f>'AEO 2023 Table 35 Raw'!W25</f>
        <v>904.61901899999998</v>
      </c>
      <c r="U35" s="17">
        <f>'AEO 2023 Table 35 Raw'!X25</f>
        <v>916.72100799999998</v>
      </c>
      <c r="V35" s="17">
        <f>'AEO 2023 Table 35 Raw'!Y25</f>
        <v>927.89562999999998</v>
      </c>
      <c r="W35" s="17">
        <f>'AEO 2023 Table 35 Raw'!Z25</f>
        <v>939.45696999999996</v>
      </c>
      <c r="X35" s="17">
        <f>'AEO 2023 Table 35 Raw'!AA25</f>
        <v>950.67779499999995</v>
      </c>
      <c r="Y35" s="17">
        <f>'AEO 2023 Table 35 Raw'!AB25</f>
        <v>962.48809800000004</v>
      </c>
      <c r="Z35" s="17">
        <f>'AEO 2023 Table 35 Raw'!AC25</f>
        <v>974.37261999999998</v>
      </c>
      <c r="AA35" s="17">
        <f>'AEO 2023 Table 35 Raw'!AD25</f>
        <v>986.22100799999998</v>
      </c>
      <c r="AB35" s="17">
        <f>'AEO 2023 Table 35 Raw'!AE25</f>
        <v>998.68841599999996</v>
      </c>
      <c r="AC35" s="17">
        <f>'AEO 2023 Table 35 Raw'!AF25</f>
        <v>1012.037231</v>
      </c>
      <c r="AD35" s="17">
        <f>'AEO 2023 Table 35 Raw'!AG25</f>
        <v>1025.5076899999999</v>
      </c>
      <c r="AE35" s="17">
        <f>'AEO 2023 Table 35 Raw'!AH25</f>
        <v>1040.55603</v>
      </c>
      <c r="AF35" s="30">
        <f>'AEO 2023 Table 35 Raw'!AI25</f>
        <v>2.1000000000000001E-2</v>
      </c>
    </row>
    <row r="36" spans="1:32" ht="15" customHeight="1">
      <c r="A36" s="7" t="s">
        <v>334</v>
      </c>
      <c r="B36" s="16" t="s">
        <v>335</v>
      </c>
      <c r="C36" s="17">
        <f>'AEO 2023 Table 35 Raw'!F26</f>
        <v>530.52978499999995</v>
      </c>
      <c r="D36" s="17">
        <f>'AEO 2023 Table 35 Raw'!G26</f>
        <v>503.63491800000003</v>
      </c>
      <c r="E36" s="17">
        <f>'AEO 2023 Table 35 Raw'!H26</f>
        <v>492.97289999999998</v>
      </c>
      <c r="F36" s="17">
        <f>'AEO 2023 Table 35 Raw'!I26</f>
        <v>491.68774400000001</v>
      </c>
      <c r="G36" s="17">
        <f>'AEO 2023 Table 35 Raw'!J26</f>
        <v>493.04165599999999</v>
      </c>
      <c r="H36" s="17">
        <f>'AEO 2023 Table 35 Raw'!K26</f>
        <v>494.84197999999998</v>
      </c>
      <c r="I36" s="17">
        <f>'AEO 2023 Table 35 Raw'!L26</f>
        <v>496.33401500000002</v>
      </c>
      <c r="J36" s="17">
        <f>'AEO 2023 Table 35 Raw'!M26</f>
        <v>497.34268200000002</v>
      </c>
      <c r="K36" s="17">
        <f>'AEO 2023 Table 35 Raw'!N26</f>
        <v>498.37484699999999</v>
      </c>
      <c r="L36" s="17">
        <f>'AEO 2023 Table 35 Raw'!O26</f>
        <v>499.89736900000003</v>
      </c>
      <c r="M36" s="17">
        <f>'AEO 2023 Table 35 Raw'!P26</f>
        <v>502.60791</v>
      </c>
      <c r="N36" s="17">
        <f>'AEO 2023 Table 35 Raw'!Q26</f>
        <v>503.11676</v>
      </c>
      <c r="O36" s="17">
        <f>'AEO 2023 Table 35 Raw'!R26</f>
        <v>502.44113199999998</v>
      </c>
      <c r="P36" s="17">
        <f>'AEO 2023 Table 35 Raw'!S26</f>
        <v>503.39532500000001</v>
      </c>
      <c r="Q36" s="17">
        <f>'AEO 2023 Table 35 Raw'!T26</f>
        <v>506.23397799999998</v>
      </c>
      <c r="R36" s="17">
        <f>'AEO 2023 Table 35 Raw'!U26</f>
        <v>510.641052</v>
      </c>
      <c r="S36" s="17">
        <f>'AEO 2023 Table 35 Raw'!V26</f>
        <v>515.73944100000006</v>
      </c>
      <c r="T36" s="17">
        <f>'AEO 2023 Table 35 Raw'!W26</f>
        <v>521.56854199999998</v>
      </c>
      <c r="U36" s="17">
        <f>'AEO 2023 Table 35 Raw'!X26</f>
        <v>527.97747800000002</v>
      </c>
      <c r="V36" s="17">
        <f>'AEO 2023 Table 35 Raw'!Y26</f>
        <v>533.98669400000006</v>
      </c>
      <c r="W36" s="17">
        <f>'AEO 2023 Table 35 Raw'!Z26</f>
        <v>540.20526099999995</v>
      </c>
      <c r="X36" s="17">
        <f>'AEO 2023 Table 35 Raw'!AA26</f>
        <v>546.04901099999995</v>
      </c>
      <c r="Y36" s="17">
        <f>'AEO 2023 Table 35 Raw'!AB26</f>
        <v>552.27117899999996</v>
      </c>
      <c r="Z36" s="17">
        <f>'AEO 2023 Table 35 Raw'!AC26</f>
        <v>558.64074700000003</v>
      </c>
      <c r="AA36" s="17">
        <f>'AEO 2023 Table 35 Raw'!AD26</f>
        <v>564.80841099999998</v>
      </c>
      <c r="AB36" s="17">
        <f>'AEO 2023 Table 35 Raw'!AE26</f>
        <v>571.17590299999995</v>
      </c>
      <c r="AC36" s="17">
        <f>'AEO 2023 Table 35 Raw'!AF26</f>
        <v>577.96679700000004</v>
      </c>
      <c r="AD36" s="17">
        <f>'AEO 2023 Table 35 Raw'!AG26</f>
        <v>584.64727800000003</v>
      </c>
      <c r="AE36" s="17">
        <f>'AEO 2023 Table 35 Raw'!AH26</f>
        <v>592.18615699999998</v>
      </c>
      <c r="AF36" s="30">
        <f>'AEO 2023 Table 35 Raw'!AI26</f>
        <v>4.0000000000000001E-3</v>
      </c>
    </row>
    <row r="37" spans="1:32" ht="15" customHeight="1">
      <c r="A37" s="7" t="s">
        <v>336</v>
      </c>
      <c r="B37" s="16" t="s">
        <v>337</v>
      </c>
      <c r="C37" s="17">
        <f>'AEO 2023 Table 35 Raw'!F27</f>
        <v>1234.088135</v>
      </c>
      <c r="D37" s="17">
        <f>'AEO 2023 Table 35 Raw'!G27</f>
        <v>1173.2438959999999</v>
      </c>
      <c r="E37" s="17">
        <f>'AEO 2023 Table 35 Raw'!H27</f>
        <v>1163.399048</v>
      </c>
      <c r="F37" s="17">
        <f>'AEO 2023 Table 35 Raw'!I27</f>
        <v>1161.1793210000001</v>
      </c>
      <c r="G37" s="17">
        <f>'AEO 2023 Table 35 Raw'!J27</f>
        <v>1150.975586</v>
      </c>
      <c r="H37" s="17">
        <f>'AEO 2023 Table 35 Raw'!K27</f>
        <v>1146.247437</v>
      </c>
      <c r="I37" s="17">
        <f>'AEO 2023 Table 35 Raw'!L27</f>
        <v>1136.9453120000001</v>
      </c>
      <c r="J37" s="17">
        <f>'AEO 2023 Table 35 Raw'!M27</f>
        <v>1130.1513669999999</v>
      </c>
      <c r="K37" s="17">
        <f>'AEO 2023 Table 35 Raw'!N27</f>
        <v>1124.275024</v>
      </c>
      <c r="L37" s="17">
        <f>'AEO 2023 Table 35 Raw'!O27</f>
        <v>1121.1164550000001</v>
      </c>
      <c r="M37" s="17">
        <f>'AEO 2023 Table 35 Raw'!P27</f>
        <v>1118.7803960000001</v>
      </c>
      <c r="N37" s="17">
        <f>'AEO 2023 Table 35 Raw'!Q27</f>
        <v>1116.8857419999999</v>
      </c>
      <c r="O37" s="17">
        <f>'AEO 2023 Table 35 Raw'!R27</f>
        <v>1114.0074460000001</v>
      </c>
      <c r="P37" s="17">
        <f>'AEO 2023 Table 35 Raw'!S27</f>
        <v>1111.151611</v>
      </c>
      <c r="Q37" s="17">
        <f>'AEO 2023 Table 35 Raw'!T27</f>
        <v>1107.9022219999999</v>
      </c>
      <c r="R37" s="17">
        <f>'AEO 2023 Table 35 Raw'!U27</f>
        <v>1105.9880370000001</v>
      </c>
      <c r="S37" s="17">
        <f>'AEO 2023 Table 35 Raw'!V27</f>
        <v>1104.0131839999999</v>
      </c>
      <c r="T37" s="17">
        <f>'AEO 2023 Table 35 Raw'!W27</f>
        <v>1102.27124</v>
      </c>
      <c r="U37" s="17">
        <f>'AEO 2023 Table 35 Raw'!X27</f>
        <v>1101.5563959999999</v>
      </c>
      <c r="V37" s="17">
        <f>'AEO 2023 Table 35 Raw'!Y27</f>
        <v>1099.544922</v>
      </c>
      <c r="W37" s="17">
        <f>'AEO 2023 Table 35 Raw'!Z27</f>
        <v>1097.713745</v>
      </c>
      <c r="X37" s="17">
        <f>'AEO 2023 Table 35 Raw'!AA27</f>
        <v>1096.149414</v>
      </c>
      <c r="Y37" s="17">
        <f>'AEO 2023 Table 35 Raw'!AB27</f>
        <v>1094.751953</v>
      </c>
      <c r="Z37" s="17">
        <f>'AEO 2023 Table 35 Raw'!AC27</f>
        <v>1093.028564</v>
      </c>
      <c r="AA37" s="17">
        <f>'AEO 2023 Table 35 Raw'!AD27</f>
        <v>1091.962158</v>
      </c>
      <c r="AB37" s="17">
        <f>'AEO 2023 Table 35 Raw'!AE27</f>
        <v>1090.536499</v>
      </c>
      <c r="AC37" s="17">
        <f>'AEO 2023 Table 35 Raw'!AF27</f>
        <v>1087.4643550000001</v>
      </c>
      <c r="AD37" s="17">
        <f>'AEO 2023 Table 35 Raw'!AG27</f>
        <v>1086.8054199999999</v>
      </c>
      <c r="AE37" s="17">
        <f>'AEO 2023 Table 35 Raw'!AH27</f>
        <v>1085.915283</v>
      </c>
      <c r="AF37" s="30">
        <f>'AEO 2023 Table 35 Raw'!AI27</f>
        <v>-5.0000000000000001E-3</v>
      </c>
    </row>
    <row r="38" spans="1:32" ht="15" customHeight="1">
      <c r="A38" s="7" t="s">
        <v>338</v>
      </c>
      <c r="B38" s="16" t="s">
        <v>339</v>
      </c>
      <c r="C38" s="17">
        <f>'AEO 2023 Table 35 Raw'!F28</f>
        <v>1033.165405</v>
      </c>
      <c r="D38" s="17">
        <f>'AEO 2023 Table 35 Raw'!G28</f>
        <v>979.89202899999998</v>
      </c>
      <c r="E38" s="17">
        <f>'AEO 2023 Table 35 Raw'!H28</f>
        <v>974.51336700000002</v>
      </c>
      <c r="F38" s="17">
        <f>'AEO 2023 Table 35 Raw'!I28</f>
        <v>975.08941700000003</v>
      </c>
      <c r="G38" s="17">
        <f>'AEO 2023 Table 35 Raw'!J28</f>
        <v>966.546021</v>
      </c>
      <c r="H38" s="17">
        <f>'AEO 2023 Table 35 Raw'!K28</f>
        <v>963.49517800000001</v>
      </c>
      <c r="I38" s="17">
        <f>'AEO 2023 Table 35 Raw'!L28</f>
        <v>955.84588599999995</v>
      </c>
      <c r="J38" s="17">
        <f>'AEO 2023 Table 35 Raw'!M28</f>
        <v>950.93066399999998</v>
      </c>
      <c r="K38" s="17">
        <f>'AEO 2023 Table 35 Raw'!N28</f>
        <v>947.14837599999998</v>
      </c>
      <c r="L38" s="17">
        <f>'AEO 2023 Table 35 Raw'!O28</f>
        <v>945.89868200000001</v>
      </c>
      <c r="M38" s="17">
        <f>'AEO 2023 Table 35 Raw'!P28</f>
        <v>944.85516399999995</v>
      </c>
      <c r="N38" s="17">
        <f>'AEO 2023 Table 35 Raw'!Q28</f>
        <v>944.14190699999995</v>
      </c>
      <c r="O38" s="17">
        <f>'AEO 2023 Table 35 Raw'!R28</f>
        <v>942.78301999999996</v>
      </c>
      <c r="P38" s="17">
        <f>'AEO 2023 Table 35 Raw'!S28</f>
        <v>941.41467299999999</v>
      </c>
      <c r="Q38" s="17">
        <f>'AEO 2023 Table 35 Raw'!T28</f>
        <v>939.39831500000003</v>
      </c>
      <c r="R38" s="17">
        <f>'AEO 2023 Table 35 Raw'!U28</f>
        <v>938.39746100000002</v>
      </c>
      <c r="S38" s="17">
        <f>'AEO 2023 Table 35 Raw'!V28</f>
        <v>937.14086899999995</v>
      </c>
      <c r="T38" s="17">
        <f>'AEO 2023 Table 35 Raw'!W28</f>
        <v>936.03857400000004</v>
      </c>
      <c r="U38" s="17">
        <f>'AEO 2023 Table 35 Raw'!X28</f>
        <v>935.76641800000004</v>
      </c>
      <c r="V38" s="17">
        <f>'AEO 2023 Table 35 Raw'!Y28</f>
        <v>934.27673300000004</v>
      </c>
      <c r="W38" s="17">
        <f>'AEO 2023 Table 35 Raw'!Z28</f>
        <v>932.92230199999995</v>
      </c>
      <c r="X38" s="17">
        <f>'AEO 2023 Table 35 Raw'!AA28</f>
        <v>931.82714799999997</v>
      </c>
      <c r="Y38" s="17">
        <f>'AEO 2023 Table 35 Raw'!AB28</f>
        <v>930.86364700000001</v>
      </c>
      <c r="Z38" s="17">
        <f>'AEO 2023 Table 35 Raw'!AC28</f>
        <v>929.62719700000002</v>
      </c>
      <c r="AA38" s="17">
        <f>'AEO 2023 Table 35 Raw'!AD28</f>
        <v>929.00006099999996</v>
      </c>
      <c r="AB38" s="17">
        <f>'AEO 2023 Table 35 Raw'!AE28</f>
        <v>927.93945299999996</v>
      </c>
      <c r="AC38" s="17">
        <f>'AEO 2023 Table 35 Raw'!AF28</f>
        <v>925.19561799999997</v>
      </c>
      <c r="AD38" s="17">
        <f>'AEO 2023 Table 35 Raw'!AG28</f>
        <v>924.64996299999996</v>
      </c>
      <c r="AE38" s="17">
        <f>'AEO 2023 Table 35 Raw'!AH28</f>
        <v>923.808899</v>
      </c>
      <c r="AF38" s="30">
        <f>'AEO 2023 Table 35 Raw'!AI28</f>
        <v>-4.0000000000000001E-3</v>
      </c>
    </row>
    <row r="39" spans="1:32" ht="15" customHeight="1">
      <c r="A39" s="7" t="s">
        <v>340</v>
      </c>
      <c r="B39" s="16" t="s">
        <v>341</v>
      </c>
      <c r="C39" s="17">
        <f>'AEO 2023 Table 35 Raw'!F29</f>
        <v>98.239388000000005</v>
      </c>
      <c r="D39" s="17">
        <f>'AEO 2023 Table 35 Raw'!G29</f>
        <v>98.555594999999997</v>
      </c>
      <c r="E39" s="17">
        <f>'AEO 2023 Table 35 Raw'!H29</f>
        <v>96.731917999999993</v>
      </c>
      <c r="F39" s="17">
        <f>'AEO 2023 Table 35 Raw'!I29</f>
        <v>95.436927999999995</v>
      </c>
      <c r="G39" s="17">
        <f>'AEO 2023 Table 35 Raw'!J29</f>
        <v>94.347915999999998</v>
      </c>
      <c r="H39" s="17">
        <f>'AEO 2023 Table 35 Raw'!K29</f>
        <v>93.10463</v>
      </c>
      <c r="I39" s="17">
        <f>'AEO 2023 Table 35 Raw'!L29</f>
        <v>91.875465000000005</v>
      </c>
      <c r="J39" s="17">
        <f>'AEO 2023 Table 35 Raw'!M29</f>
        <v>90.529846000000006</v>
      </c>
      <c r="K39" s="17">
        <f>'AEO 2023 Table 35 Raw'!N29</f>
        <v>89.324959000000007</v>
      </c>
      <c r="L39" s="17">
        <f>'AEO 2023 Table 35 Raw'!O29</f>
        <v>88.201453999999998</v>
      </c>
      <c r="M39" s="17">
        <f>'AEO 2023 Table 35 Raw'!P29</f>
        <v>87.334311999999997</v>
      </c>
      <c r="N39" s="17">
        <f>'AEO 2023 Table 35 Raw'!Q29</f>
        <v>86.465857999999997</v>
      </c>
      <c r="O39" s="17">
        <f>'AEO 2023 Table 35 Raw'!R29</f>
        <v>85.351685000000003</v>
      </c>
      <c r="P39" s="17">
        <f>'AEO 2023 Table 35 Raw'!S29</f>
        <v>84.240737999999993</v>
      </c>
      <c r="Q39" s="17">
        <f>'AEO 2023 Table 35 Raw'!T29</f>
        <v>83.043732000000006</v>
      </c>
      <c r="R39" s="17">
        <f>'AEO 2023 Table 35 Raw'!U29</f>
        <v>82.109359999999995</v>
      </c>
      <c r="S39" s="17">
        <f>'AEO 2023 Table 35 Raw'!V29</f>
        <v>81.163605000000004</v>
      </c>
      <c r="T39" s="17">
        <f>'AEO 2023 Table 35 Raw'!W29</f>
        <v>80.212753000000006</v>
      </c>
      <c r="U39" s="17">
        <f>'AEO 2023 Table 35 Raw'!X29</f>
        <v>79.316063</v>
      </c>
      <c r="V39" s="17">
        <f>'AEO 2023 Table 35 Raw'!Y29</f>
        <v>78.387878000000001</v>
      </c>
      <c r="W39" s="17">
        <f>'AEO 2023 Table 35 Raw'!Z29</f>
        <v>77.573982000000001</v>
      </c>
      <c r="X39" s="17">
        <f>'AEO 2023 Table 35 Raw'!AA29</f>
        <v>76.789490000000001</v>
      </c>
      <c r="Y39" s="17">
        <f>'AEO 2023 Table 35 Raw'!AB29</f>
        <v>75.995895000000004</v>
      </c>
      <c r="Z39" s="17">
        <f>'AEO 2023 Table 35 Raw'!AC29</f>
        <v>75.232376000000002</v>
      </c>
      <c r="AA39" s="17">
        <f>'AEO 2023 Table 35 Raw'!AD29</f>
        <v>74.504272</v>
      </c>
      <c r="AB39" s="17">
        <f>'AEO 2023 Table 35 Raw'!AE29</f>
        <v>73.715118000000004</v>
      </c>
      <c r="AC39" s="17">
        <f>'AEO 2023 Table 35 Raw'!AF29</f>
        <v>72.897345999999999</v>
      </c>
      <c r="AD39" s="17">
        <f>'AEO 2023 Table 35 Raw'!AG29</f>
        <v>72.268508999999995</v>
      </c>
      <c r="AE39" s="17">
        <f>'AEO 2023 Table 35 Raw'!AH29</f>
        <v>71.703384</v>
      </c>
      <c r="AF39" s="30">
        <f>'AEO 2023 Table 35 Raw'!AI29</f>
        <v>-1.0999999999999999E-2</v>
      </c>
    </row>
    <row r="40" spans="1:32" ht="15" customHeight="1">
      <c r="A40" s="7" t="s">
        <v>342</v>
      </c>
      <c r="B40" s="16" t="s">
        <v>343</v>
      </c>
      <c r="C40" s="17">
        <f>'AEO 2023 Table 35 Raw'!F30</f>
        <v>934.92602499999998</v>
      </c>
      <c r="D40" s="17">
        <f>'AEO 2023 Table 35 Raw'!G30</f>
        <v>881.33642599999996</v>
      </c>
      <c r="E40" s="17">
        <f>'AEO 2023 Table 35 Raw'!H30</f>
        <v>877.78143299999999</v>
      </c>
      <c r="F40" s="17">
        <f>'AEO 2023 Table 35 Raw'!I30</f>
        <v>879.652466</v>
      </c>
      <c r="G40" s="17">
        <f>'AEO 2023 Table 35 Raw'!J30</f>
        <v>872.19812000000002</v>
      </c>
      <c r="H40" s="17">
        <f>'AEO 2023 Table 35 Raw'!K30</f>
        <v>870.39056400000004</v>
      </c>
      <c r="I40" s="17">
        <f>'AEO 2023 Table 35 Raw'!L30</f>
        <v>863.97039800000005</v>
      </c>
      <c r="J40" s="17">
        <f>'AEO 2023 Table 35 Raw'!M30</f>
        <v>860.40081799999996</v>
      </c>
      <c r="K40" s="17">
        <f>'AEO 2023 Table 35 Raw'!N30</f>
        <v>857.82342500000004</v>
      </c>
      <c r="L40" s="17">
        <f>'AEO 2023 Table 35 Raw'!O30</f>
        <v>857.69720500000005</v>
      </c>
      <c r="M40" s="17">
        <f>'AEO 2023 Table 35 Raw'!P30</f>
        <v>857.52087400000005</v>
      </c>
      <c r="N40" s="17">
        <f>'AEO 2023 Table 35 Raw'!Q30</f>
        <v>857.67602499999998</v>
      </c>
      <c r="O40" s="17">
        <f>'AEO 2023 Table 35 Raw'!R30</f>
        <v>857.43133499999999</v>
      </c>
      <c r="P40" s="17">
        <f>'AEO 2023 Table 35 Raw'!S30</f>
        <v>857.17394999999999</v>
      </c>
      <c r="Q40" s="17">
        <f>'AEO 2023 Table 35 Raw'!T30</f>
        <v>856.35455300000001</v>
      </c>
      <c r="R40" s="17">
        <f>'AEO 2023 Table 35 Raw'!U30</f>
        <v>856.28808600000002</v>
      </c>
      <c r="S40" s="17">
        <f>'AEO 2023 Table 35 Raw'!V30</f>
        <v>855.97729500000003</v>
      </c>
      <c r="T40" s="17">
        <f>'AEO 2023 Table 35 Raw'!W30</f>
        <v>855.82580600000006</v>
      </c>
      <c r="U40" s="17">
        <f>'AEO 2023 Table 35 Raw'!X30</f>
        <v>856.450378</v>
      </c>
      <c r="V40" s="17">
        <f>'AEO 2023 Table 35 Raw'!Y30</f>
        <v>855.88885500000004</v>
      </c>
      <c r="W40" s="17">
        <f>'AEO 2023 Table 35 Raw'!Z30</f>
        <v>855.34832800000004</v>
      </c>
      <c r="X40" s="17">
        <f>'AEO 2023 Table 35 Raw'!AA30</f>
        <v>855.03765899999996</v>
      </c>
      <c r="Y40" s="17">
        <f>'AEO 2023 Table 35 Raw'!AB30</f>
        <v>854.86773700000003</v>
      </c>
      <c r="Z40" s="17">
        <f>'AEO 2023 Table 35 Raw'!AC30</f>
        <v>854.39483600000005</v>
      </c>
      <c r="AA40" s="17">
        <f>'AEO 2023 Table 35 Raw'!AD30</f>
        <v>854.49578899999995</v>
      </c>
      <c r="AB40" s="17">
        <f>'AEO 2023 Table 35 Raw'!AE30</f>
        <v>854.22436500000003</v>
      </c>
      <c r="AC40" s="17">
        <f>'AEO 2023 Table 35 Raw'!AF30</f>
        <v>852.29827899999998</v>
      </c>
      <c r="AD40" s="17">
        <f>'AEO 2023 Table 35 Raw'!AG30</f>
        <v>852.38147000000004</v>
      </c>
      <c r="AE40" s="17">
        <f>'AEO 2023 Table 35 Raw'!AH30</f>
        <v>852.10553000000004</v>
      </c>
      <c r="AF40" s="30">
        <f>'AEO 2023 Table 35 Raw'!AI30</f>
        <v>-3.0000000000000001E-3</v>
      </c>
    </row>
    <row r="41" spans="1:32" ht="15" customHeight="1">
      <c r="A41" s="7" t="s">
        <v>344</v>
      </c>
      <c r="B41" s="16" t="s">
        <v>345</v>
      </c>
      <c r="C41" s="17">
        <f>'AEO 2023 Table 35 Raw'!F31</f>
        <v>200.92266799999999</v>
      </c>
      <c r="D41" s="17">
        <f>'AEO 2023 Table 35 Raw'!G31</f>
        <v>193.35183699999999</v>
      </c>
      <c r="E41" s="17">
        <f>'AEO 2023 Table 35 Raw'!H31</f>
        <v>188.88559000000001</v>
      </c>
      <c r="F41" s="17">
        <f>'AEO 2023 Table 35 Raw'!I31</f>
        <v>186.08981299999999</v>
      </c>
      <c r="G41" s="17">
        <f>'AEO 2023 Table 35 Raw'!J31</f>
        <v>184.42950400000001</v>
      </c>
      <c r="H41" s="17">
        <f>'AEO 2023 Table 35 Raw'!K31</f>
        <v>182.75225800000001</v>
      </c>
      <c r="I41" s="17">
        <f>'AEO 2023 Table 35 Raw'!L31</f>
        <v>181.09939600000001</v>
      </c>
      <c r="J41" s="17">
        <f>'AEO 2023 Table 35 Raw'!M31</f>
        <v>179.22065699999999</v>
      </c>
      <c r="K41" s="17">
        <f>'AEO 2023 Table 35 Raw'!N31</f>
        <v>177.12664799999999</v>
      </c>
      <c r="L41" s="17">
        <f>'AEO 2023 Table 35 Raw'!O31</f>
        <v>175.21778900000001</v>
      </c>
      <c r="M41" s="17">
        <f>'AEO 2023 Table 35 Raw'!P31</f>
        <v>173.92523199999999</v>
      </c>
      <c r="N41" s="17">
        <f>'AEO 2023 Table 35 Raw'!Q31</f>
        <v>172.74378999999999</v>
      </c>
      <c r="O41" s="17">
        <f>'AEO 2023 Table 35 Raw'!R31</f>
        <v>171.224457</v>
      </c>
      <c r="P41" s="17">
        <f>'AEO 2023 Table 35 Raw'!S31</f>
        <v>169.736954</v>
      </c>
      <c r="Q41" s="17">
        <f>'AEO 2023 Table 35 Raw'!T31</f>
        <v>168.50386</v>
      </c>
      <c r="R41" s="17">
        <f>'AEO 2023 Table 35 Raw'!U31</f>
        <v>167.59060700000001</v>
      </c>
      <c r="S41" s="17">
        <f>'AEO 2023 Table 35 Raw'!V31</f>
        <v>166.872299</v>
      </c>
      <c r="T41" s="17">
        <f>'AEO 2023 Table 35 Raw'!W31</f>
        <v>166.23266599999999</v>
      </c>
      <c r="U41" s="17">
        <f>'AEO 2023 Table 35 Raw'!X31</f>
        <v>165.79002399999999</v>
      </c>
      <c r="V41" s="17">
        <f>'AEO 2023 Table 35 Raw'!Y31</f>
        <v>165.26821899999999</v>
      </c>
      <c r="W41" s="17">
        <f>'AEO 2023 Table 35 Raw'!Z31</f>
        <v>164.79155</v>
      </c>
      <c r="X41" s="17">
        <f>'AEO 2023 Table 35 Raw'!AA31</f>
        <v>164.32226600000001</v>
      </c>
      <c r="Y41" s="17">
        <f>'AEO 2023 Table 35 Raw'!AB31</f>
        <v>163.888306</v>
      </c>
      <c r="Z41" s="17">
        <f>'AEO 2023 Table 35 Raw'!AC31</f>
        <v>163.40126000000001</v>
      </c>
      <c r="AA41" s="17">
        <f>'AEO 2023 Table 35 Raw'!AD31</f>
        <v>162.96211199999999</v>
      </c>
      <c r="AB41" s="17">
        <f>'AEO 2023 Table 35 Raw'!AE31</f>
        <v>162.59707599999999</v>
      </c>
      <c r="AC41" s="17">
        <f>'AEO 2023 Table 35 Raw'!AF31</f>
        <v>162.268677</v>
      </c>
      <c r="AD41" s="17">
        <f>'AEO 2023 Table 35 Raw'!AG31</f>
        <v>162.15545700000001</v>
      </c>
      <c r="AE41" s="17">
        <f>'AEO 2023 Table 35 Raw'!AH31</f>
        <v>162.10635400000001</v>
      </c>
      <c r="AF41" s="30">
        <f>'AEO 2023 Table 35 Raw'!AI31</f>
        <v>-8.0000000000000002E-3</v>
      </c>
    </row>
    <row r="42" spans="1:32" ht="15" customHeight="1">
      <c r="A42" s="7" t="s">
        <v>346</v>
      </c>
      <c r="B42" s="16" t="s">
        <v>347</v>
      </c>
      <c r="C42" s="17">
        <f>'AEO 2023 Table 35 Raw'!F32</f>
        <v>523.72045900000001</v>
      </c>
      <c r="D42" s="17">
        <f>'AEO 2023 Table 35 Raw'!G32</f>
        <v>519.93841599999996</v>
      </c>
      <c r="E42" s="17">
        <f>'AEO 2023 Table 35 Raw'!H32</f>
        <v>533.38995399999999</v>
      </c>
      <c r="F42" s="17">
        <f>'AEO 2023 Table 35 Raw'!I32</f>
        <v>512.54736300000002</v>
      </c>
      <c r="G42" s="17">
        <f>'AEO 2023 Table 35 Raw'!J32</f>
        <v>490.27654999999999</v>
      </c>
      <c r="H42" s="17">
        <f>'AEO 2023 Table 35 Raw'!K32</f>
        <v>470.94931000000003</v>
      </c>
      <c r="I42" s="17">
        <f>'AEO 2023 Table 35 Raw'!L32</f>
        <v>478.15292399999998</v>
      </c>
      <c r="J42" s="17">
        <f>'AEO 2023 Table 35 Raw'!M32</f>
        <v>471.11038200000002</v>
      </c>
      <c r="K42" s="17">
        <f>'AEO 2023 Table 35 Raw'!N32</f>
        <v>465.75012199999998</v>
      </c>
      <c r="L42" s="17">
        <f>'AEO 2023 Table 35 Raw'!O32</f>
        <v>466.06607100000002</v>
      </c>
      <c r="M42" s="17">
        <f>'AEO 2023 Table 35 Raw'!P32</f>
        <v>469.51413000000002</v>
      </c>
      <c r="N42" s="17">
        <f>'AEO 2023 Table 35 Raw'!Q32</f>
        <v>472.41146900000001</v>
      </c>
      <c r="O42" s="17">
        <f>'AEO 2023 Table 35 Raw'!R32</f>
        <v>470.37924199999998</v>
      </c>
      <c r="P42" s="17">
        <f>'AEO 2023 Table 35 Raw'!S32</f>
        <v>470.10488900000001</v>
      </c>
      <c r="Q42" s="17">
        <f>'AEO 2023 Table 35 Raw'!T32</f>
        <v>467.416809</v>
      </c>
      <c r="R42" s="17">
        <f>'AEO 2023 Table 35 Raw'!U32</f>
        <v>467.62039199999998</v>
      </c>
      <c r="S42" s="17">
        <f>'AEO 2023 Table 35 Raw'!V32</f>
        <v>469.03002900000001</v>
      </c>
      <c r="T42" s="17">
        <f>'AEO 2023 Table 35 Raw'!W32</f>
        <v>467.46713299999999</v>
      </c>
      <c r="U42" s="17">
        <f>'AEO 2023 Table 35 Raw'!X32</f>
        <v>469.23397799999998</v>
      </c>
      <c r="V42" s="17">
        <f>'AEO 2023 Table 35 Raw'!Y32</f>
        <v>470.34136999999998</v>
      </c>
      <c r="W42" s="17">
        <f>'AEO 2023 Table 35 Raw'!Z32</f>
        <v>471.45013399999999</v>
      </c>
      <c r="X42" s="17">
        <f>'AEO 2023 Table 35 Raw'!AA32</f>
        <v>471.40566999999999</v>
      </c>
      <c r="Y42" s="17">
        <f>'AEO 2023 Table 35 Raw'!AB32</f>
        <v>469.35632299999997</v>
      </c>
      <c r="Z42" s="17">
        <f>'AEO 2023 Table 35 Raw'!AC32</f>
        <v>469.03152499999999</v>
      </c>
      <c r="AA42" s="17">
        <f>'AEO 2023 Table 35 Raw'!AD32</f>
        <v>469.47219799999999</v>
      </c>
      <c r="AB42" s="17">
        <f>'AEO 2023 Table 35 Raw'!AE32</f>
        <v>470.77539100000001</v>
      </c>
      <c r="AC42" s="17">
        <f>'AEO 2023 Table 35 Raw'!AF32</f>
        <v>472.10351600000001</v>
      </c>
      <c r="AD42" s="17">
        <f>'AEO 2023 Table 35 Raw'!AG32</f>
        <v>473.252411</v>
      </c>
      <c r="AE42" s="17">
        <f>'AEO 2023 Table 35 Raw'!AH32</f>
        <v>475.92453</v>
      </c>
      <c r="AF42" s="30">
        <f>'AEO 2023 Table 35 Raw'!AI32</f>
        <v>-3.0000000000000001E-3</v>
      </c>
    </row>
    <row r="43" spans="1:32" ht="15" customHeight="1">
      <c r="A43" s="7" t="s">
        <v>348</v>
      </c>
      <c r="B43" s="16" t="s">
        <v>339</v>
      </c>
      <c r="C43" s="17">
        <f>'AEO 2023 Table 35 Raw'!F33</f>
        <v>480.014252</v>
      </c>
      <c r="D43" s="17">
        <f>'AEO 2023 Table 35 Raw'!G33</f>
        <v>475.06915300000003</v>
      </c>
      <c r="E43" s="17">
        <f>'AEO 2023 Table 35 Raw'!H33</f>
        <v>487.58801299999999</v>
      </c>
      <c r="F43" s="17">
        <f>'AEO 2023 Table 35 Raw'!I33</f>
        <v>466.25399800000002</v>
      </c>
      <c r="G43" s="17">
        <f>'AEO 2023 Table 35 Raw'!J33</f>
        <v>443.44238300000001</v>
      </c>
      <c r="H43" s="17">
        <f>'AEO 2023 Table 35 Raw'!K33</f>
        <v>423.669464</v>
      </c>
      <c r="I43" s="17">
        <f>'AEO 2023 Table 35 Raw'!L33</f>
        <v>430.49002100000001</v>
      </c>
      <c r="J43" s="17">
        <f>'AEO 2023 Table 35 Raw'!M33</f>
        <v>423.11758400000002</v>
      </c>
      <c r="K43" s="17">
        <f>'AEO 2023 Table 35 Raw'!N33</f>
        <v>417.39361600000001</v>
      </c>
      <c r="L43" s="17">
        <f>'AEO 2023 Table 35 Raw'!O33</f>
        <v>417.42453</v>
      </c>
      <c r="M43" s="17">
        <f>'AEO 2023 Table 35 Raw'!P33</f>
        <v>420.523865</v>
      </c>
      <c r="N43" s="17">
        <f>'AEO 2023 Table 35 Raw'!Q33</f>
        <v>423.08718900000002</v>
      </c>
      <c r="O43" s="17">
        <f>'AEO 2023 Table 35 Raw'!R33</f>
        <v>420.76303100000001</v>
      </c>
      <c r="P43" s="17">
        <f>'AEO 2023 Table 35 Raw'!S33</f>
        <v>420.27957199999997</v>
      </c>
      <c r="Q43" s="17">
        <f>'AEO 2023 Table 35 Raw'!T33</f>
        <v>417.419556</v>
      </c>
      <c r="R43" s="17">
        <f>'AEO 2023 Table 35 Raw'!U33</f>
        <v>417.43130500000001</v>
      </c>
      <c r="S43" s="17">
        <f>'AEO 2023 Table 35 Raw'!V33</f>
        <v>418.61416600000001</v>
      </c>
      <c r="T43" s="17">
        <f>'AEO 2023 Table 35 Raw'!W33</f>
        <v>416.69549599999999</v>
      </c>
      <c r="U43" s="17">
        <f>'AEO 2023 Table 35 Raw'!X33</f>
        <v>418.10549900000001</v>
      </c>
      <c r="V43" s="17">
        <f>'AEO 2023 Table 35 Raw'!Y33</f>
        <v>418.83862299999998</v>
      </c>
      <c r="W43" s="17">
        <f>'AEO 2023 Table 35 Raw'!Z33</f>
        <v>419.51144399999998</v>
      </c>
      <c r="X43" s="17">
        <f>'AEO 2023 Table 35 Raw'!AA33</f>
        <v>419.10952800000001</v>
      </c>
      <c r="Y43" s="17">
        <f>'AEO 2023 Table 35 Raw'!AB33</f>
        <v>416.69879200000003</v>
      </c>
      <c r="Z43" s="17">
        <f>'AEO 2023 Table 35 Raw'!AC33</f>
        <v>415.93130500000001</v>
      </c>
      <c r="AA43" s="17">
        <f>'AEO 2023 Table 35 Raw'!AD33</f>
        <v>415.897583</v>
      </c>
      <c r="AB43" s="17">
        <f>'AEO 2023 Table 35 Raw'!AE33</f>
        <v>416.65377799999999</v>
      </c>
      <c r="AC43" s="17">
        <f>'AEO 2023 Table 35 Raw'!AF33</f>
        <v>417.404785</v>
      </c>
      <c r="AD43" s="17">
        <f>'AEO 2023 Table 35 Raw'!AG33</f>
        <v>417.98327599999999</v>
      </c>
      <c r="AE43" s="17">
        <f>'AEO 2023 Table 35 Raw'!AH33</f>
        <v>420.001282</v>
      </c>
      <c r="AF43" s="30">
        <f>'AEO 2023 Table 35 Raw'!AI33</f>
        <v>-5.0000000000000001E-3</v>
      </c>
    </row>
    <row r="44" spans="1:32" ht="15" customHeight="1">
      <c r="A44" s="7" t="s">
        <v>349</v>
      </c>
      <c r="B44" s="16" t="s">
        <v>350</v>
      </c>
      <c r="C44" s="17">
        <f>'AEO 2023 Table 35 Raw'!F34</f>
        <v>43.706237999999999</v>
      </c>
      <c r="D44" s="17">
        <f>'AEO 2023 Table 35 Raw'!G34</f>
        <v>44.869281999999998</v>
      </c>
      <c r="E44" s="17">
        <f>'AEO 2023 Table 35 Raw'!H34</f>
        <v>45.801918000000001</v>
      </c>
      <c r="F44" s="17">
        <f>'AEO 2023 Table 35 Raw'!I34</f>
        <v>46.293396000000001</v>
      </c>
      <c r="G44" s="17">
        <f>'AEO 2023 Table 35 Raw'!J34</f>
        <v>46.834175000000002</v>
      </c>
      <c r="H44" s="17">
        <f>'AEO 2023 Table 35 Raw'!K34</f>
        <v>47.279850000000003</v>
      </c>
      <c r="I44" s="17">
        <f>'AEO 2023 Table 35 Raw'!L34</f>
        <v>47.662909999999997</v>
      </c>
      <c r="J44" s="17">
        <f>'AEO 2023 Table 35 Raw'!M34</f>
        <v>47.992789999999999</v>
      </c>
      <c r="K44" s="17">
        <f>'AEO 2023 Table 35 Raw'!N34</f>
        <v>48.356518000000001</v>
      </c>
      <c r="L44" s="17">
        <f>'AEO 2023 Table 35 Raw'!O34</f>
        <v>48.641548</v>
      </c>
      <c r="M44" s="17">
        <f>'AEO 2023 Table 35 Raw'!P34</f>
        <v>48.990273000000002</v>
      </c>
      <c r="N44" s="17">
        <f>'AEO 2023 Table 35 Raw'!Q34</f>
        <v>49.324283999999999</v>
      </c>
      <c r="O44" s="17">
        <f>'AEO 2023 Table 35 Raw'!R34</f>
        <v>49.616211</v>
      </c>
      <c r="P44" s="17">
        <f>'AEO 2023 Table 35 Raw'!S34</f>
        <v>49.825310000000002</v>
      </c>
      <c r="Q44" s="17">
        <f>'AEO 2023 Table 35 Raw'!T34</f>
        <v>49.997238000000003</v>
      </c>
      <c r="R44" s="17">
        <f>'AEO 2023 Table 35 Raw'!U34</f>
        <v>50.189087000000001</v>
      </c>
      <c r="S44" s="17">
        <f>'AEO 2023 Table 35 Raw'!V34</f>
        <v>50.415855000000001</v>
      </c>
      <c r="T44" s="17">
        <f>'AEO 2023 Table 35 Raw'!W34</f>
        <v>50.771625999999998</v>
      </c>
      <c r="U44" s="17">
        <f>'AEO 2023 Table 35 Raw'!X34</f>
        <v>51.128483000000003</v>
      </c>
      <c r="V44" s="17">
        <f>'AEO 2023 Table 35 Raw'!Y34</f>
        <v>51.502738999999998</v>
      </c>
      <c r="W44" s="17">
        <f>'AEO 2023 Table 35 Raw'!Z34</f>
        <v>51.938693999999998</v>
      </c>
      <c r="X44" s="17">
        <f>'AEO 2023 Table 35 Raw'!AA34</f>
        <v>52.296149999999997</v>
      </c>
      <c r="Y44" s="17">
        <f>'AEO 2023 Table 35 Raw'!AB34</f>
        <v>52.657524000000002</v>
      </c>
      <c r="Z44" s="17">
        <f>'AEO 2023 Table 35 Raw'!AC34</f>
        <v>53.100223999999997</v>
      </c>
      <c r="AA44" s="17">
        <f>'AEO 2023 Table 35 Raw'!AD34</f>
        <v>53.574618999999998</v>
      </c>
      <c r="AB44" s="17">
        <f>'AEO 2023 Table 35 Raw'!AE34</f>
        <v>54.121613000000004</v>
      </c>
      <c r="AC44" s="17">
        <f>'AEO 2023 Table 35 Raw'!AF34</f>
        <v>54.698737999999999</v>
      </c>
      <c r="AD44" s="17">
        <f>'AEO 2023 Table 35 Raw'!AG34</f>
        <v>55.269134999999999</v>
      </c>
      <c r="AE44" s="17">
        <f>'AEO 2023 Table 35 Raw'!AH34</f>
        <v>55.923248000000001</v>
      </c>
      <c r="AF44" s="30">
        <f>'AEO 2023 Table 35 Raw'!AI34</f>
        <v>8.9999999999999993E-3</v>
      </c>
    </row>
    <row r="45" spans="1:32" ht="15" customHeight="1">
      <c r="A45" s="7" t="s">
        <v>351</v>
      </c>
      <c r="B45" s="16" t="s">
        <v>352</v>
      </c>
      <c r="C45" s="17">
        <f>'AEO 2023 Table 35 Raw'!F35</f>
        <v>7.5938879999999997</v>
      </c>
      <c r="D45" s="17">
        <f>'AEO 2023 Table 35 Raw'!G35</f>
        <v>8.2630470000000003</v>
      </c>
      <c r="E45" s="17">
        <f>'AEO 2023 Table 35 Raw'!H35</f>
        <v>8.7919619999999998</v>
      </c>
      <c r="F45" s="17">
        <f>'AEO 2023 Table 35 Raw'!I35</f>
        <v>9.2096029999999995</v>
      </c>
      <c r="G45" s="17">
        <f>'AEO 2023 Table 35 Raw'!J35</f>
        <v>9.5422510000000003</v>
      </c>
      <c r="H45" s="17">
        <f>'AEO 2023 Table 35 Raw'!K35</f>
        <v>9.8099410000000002</v>
      </c>
      <c r="I45" s="17">
        <f>'AEO 2023 Table 35 Raw'!L35</f>
        <v>10.02899</v>
      </c>
      <c r="J45" s="17">
        <f>'AEO 2023 Table 35 Raw'!M35</f>
        <v>10.211987000000001</v>
      </c>
      <c r="K45" s="17">
        <f>'AEO 2023 Table 35 Raw'!N35</f>
        <v>10.368161000000001</v>
      </c>
      <c r="L45" s="17">
        <f>'AEO 2023 Table 35 Raw'!O35</f>
        <v>10.503344</v>
      </c>
      <c r="M45" s="17">
        <f>'AEO 2023 Table 35 Raw'!P35</f>
        <v>10.620272999999999</v>
      </c>
      <c r="N45" s="17">
        <f>'AEO 2023 Table 35 Raw'!Q35</f>
        <v>10.720643000000001</v>
      </c>
      <c r="O45" s="17">
        <f>'AEO 2023 Table 35 Raw'!R35</f>
        <v>10.807645000000001</v>
      </c>
      <c r="P45" s="17">
        <f>'AEO 2023 Table 35 Raw'!S35</f>
        <v>10.883571999999999</v>
      </c>
      <c r="Q45" s="17">
        <f>'AEO 2023 Table 35 Raw'!T35</f>
        <v>10.949845</v>
      </c>
      <c r="R45" s="17">
        <f>'AEO 2023 Table 35 Raw'!U35</f>
        <v>11.007377999999999</v>
      </c>
      <c r="S45" s="17">
        <f>'AEO 2023 Table 35 Raw'!V35</f>
        <v>11.064802</v>
      </c>
      <c r="T45" s="17">
        <f>'AEO 2023 Table 35 Raw'!W35</f>
        <v>11.119361</v>
      </c>
      <c r="U45" s="17">
        <f>'AEO 2023 Table 35 Raw'!X35</f>
        <v>11.170999999999999</v>
      </c>
      <c r="V45" s="17">
        <f>'AEO 2023 Table 35 Raw'!Y35</f>
        <v>11.220095000000001</v>
      </c>
      <c r="W45" s="17">
        <f>'AEO 2023 Table 35 Raw'!Z35</f>
        <v>11.267810000000001</v>
      </c>
      <c r="X45" s="17">
        <f>'AEO 2023 Table 35 Raw'!AA35</f>
        <v>11.314655</v>
      </c>
      <c r="Y45" s="17">
        <f>'AEO 2023 Table 35 Raw'!AB35</f>
        <v>11.360689000000001</v>
      </c>
      <c r="Z45" s="17">
        <f>'AEO 2023 Table 35 Raw'!AC35</f>
        <v>11.405897</v>
      </c>
      <c r="AA45" s="17">
        <f>'AEO 2023 Table 35 Raw'!AD35</f>
        <v>11.450664</v>
      </c>
      <c r="AB45" s="17">
        <f>'AEO 2023 Table 35 Raw'!AE35</f>
        <v>11.494776</v>
      </c>
      <c r="AC45" s="17">
        <f>'AEO 2023 Table 35 Raw'!AF35</f>
        <v>11.538198</v>
      </c>
      <c r="AD45" s="17">
        <f>'AEO 2023 Table 35 Raw'!AG35</f>
        <v>11.581163999999999</v>
      </c>
      <c r="AE45" s="17">
        <f>'AEO 2023 Table 35 Raw'!AH35</f>
        <v>11.623652</v>
      </c>
      <c r="AF45" s="30">
        <f>'AEO 2023 Table 35 Raw'!AI35</f>
        <v>1.4999999999999999E-2</v>
      </c>
    </row>
    <row r="46" spans="1:32" ht="15" customHeight="1">
      <c r="A46" s="7" t="s">
        <v>353</v>
      </c>
      <c r="B46" s="16" t="s">
        <v>354</v>
      </c>
      <c r="C46" s="17">
        <f>'AEO 2023 Table 35 Raw'!F36</f>
        <v>16.936598</v>
      </c>
      <c r="D46" s="17">
        <f>'AEO 2023 Table 35 Raw'!G36</f>
        <v>17.052160000000001</v>
      </c>
      <c r="E46" s="17">
        <f>'AEO 2023 Table 35 Raw'!H36</f>
        <v>17.163343000000001</v>
      </c>
      <c r="F46" s="17">
        <f>'AEO 2023 Table 35 Raw'!I36</f>
        <v>17.108516999999999</v>
      </c>
      <c r="G46" s="17">
        <f>'AEO 2023 Table 35 Raw'!J36</f>
        <v>17.156970999999999</v>
      </c>
      <c r="H46" s="17">
        <f>'AEO 2023 Table 35 Raw'!K36</f>
        <v>17.218192999999999</v>
      </c>
      <c r="I46" s="17">
        <f>'AEO 2023 Table 35 Raw'!L36</f>
        <v>17.293527999999998</v>
      </c>
      <c r="J46" s="17">
        <f>'AEO 2023 Table 35 Raw'!M36</f>
        <v>17.372610000000002</v>
      </c>
      <c r="K46" s="17">
        <f>'AEO 2023 Table 35 Raw'!N36</f>
        <v>17.426532999999999</v>
      </c>
      <c r="L46" s="17">
        <f>'AEO 2023 Table 35 Raw'!O36</f>
        <v>17.461701999999999</v>
      </c>
      <c r="M46" s="17">
        <f>'AEO 2023 Table 35 Raw'!P36</f>
        <v>17.548985999999999</v>
      </c>
      <c r="N46" s="17">
        <f>'AEO 2023 Table 35 Raw'!Q36</f>
        <v>17.645508</v>
      </c>
      <c r="O46" s="17">
        <f>'AEO 2023 Table 35 Raw'!R36</f>
        <v>17.733782000000001</v>
      </c>
      <c r="P46" s="17">
        <f>'AEO 2023 Table 35 Raw'!S36</f>
        <v>17.787050000000001</v>
      </c>
      <c r="Q46" s="17">
        <f>'AEO 2023 Table 35 Raw'!T36</f>
        <v>17.832616999999999</v>
      </c>
      <c r="R46" s="17">
        <f>'AEO 2023 Table 35 Raw'!U36</f>
        <v>17.896051</v>
      </c>
      <c r="S46" s="17">
        <f>'AEO 2023 Table 35 Raw'!V36</f>
        <v>17.980246999999999</v>
      </c>
      <c r="T46" s="17">
        <f>'AEO 2023 Table 35 Raw'!W36</f>
        <v>18.065006</v>
      </c>
      <c r="U46" s="17">
        <f>'AEO 2023 Table 35 Raw'!X36</f>
        <v>18.145489000000001</v>
      </c>
      <c r="V46" s="17">
        <f>'AEO 2023 Table 35 Raw'!Y36</f>
        <v>18.261627000000001</v>
      </c>
      <c r="W46" s="17">
        <f>'AEO 2023 Table 35 Raw'!Z36</f>
        <v>18.414162000000001</v>
      </c>
      <c r="X46" s="17">
        <f>'AEO 2023 Table 35 Raw'!AA36</f>
        <v>18.525410000000001</v>
      </c>
      <c r="Y46" s="17">
        <f>'AEO 2023 Table 35 Raw'!AB36</f>
        <v>18.636206000000001</v>
      </c>
      <c r="Z46" s="17">
        <f>'AEO 2023 Table 35 Raw'!AC36</f>
        <v>18.767868</v>
      </c>
      <c r="AA46" s="17">
        <f>'AEO 2023 Table 35 Raw'!AD36</f>
        <v>18.906137000000001</v>
      </c>
      <c r="AB46" s="17">
        <f>'AEO 2023 Table 35 Raw'!AE36</f>
        <v>19.084285999999999</v>
      </c>
      <c r="AC46" s="17">
        <f>'AEO 2023 Table 35 Raw'!AF36</f>
        <v>19.280042999999999</v>
      </c>
      <c r="AD46" s="17">
        <f>'AEO 2023 Table 35 Raw'!AG36</f>
        <v>19.455190999999999</v>
      </c>
      <c r="AE46" s="17">
        <f>'AEO 2023 Table 35 Raw'!AH36</f>
        <v>19.687010000000001</v>
      </c>
      <c r="AF46" s="30">
        <f>'AEO 2023 Table 35 Raw'!AI36</f>
        <v>5.0000000000000001E-3</v>
      </c>
    </row>
    <row r="47" spans="1:32" ht="15" customHeight="1">
      <c r="A47" s="7" t="s">
        <v>355</v>
      </c>
      <c r="B47" s="16" t="s">
        <v>356</v>
      </c>
      <c r="C47" s="17">
        <f>'AEO 2023 Table 35 Raw'!F37</f>
        <v>19.175753</v>
      </c>
      <c r="D47" s="17">
        <f>'AEO 2023 Table 35 Raw'!G37</f>
        <v>19.554075000000001</v>
      </c>
      <c r="E47" s="17">
        <f>'AEO 2023 Table 35 Raw'!H37</f>
        <v>19.846613000000001</v>
      </c>
      <c r="F47" s="17">
        <f>'AEO 2023 Table 35 Raw'!I37</f>
        <v>19.975276999999998</v>
      </c>
      <c r="G47" s="17">
        <f>'AEO 2023 Table 35 Raw'!J37</f>
        <v>20.134955999999999</v>
      </c>
      <c r="H47" s="17">
        <f>'AEO 2023 Table 35 Raw'!K37</f>
        <v>20.251716999999999</v>
      </c>
      <c r="I47" s="17">
        <f>'AEO 2023 Table 35 Raw'!L37</f>
        <v>20.340392999999999</v>
      </c>
      <c r="J47" s="17">
        <f>'AEO 2023 Table 35 Raw'!M37</f>
        <v>20.408192</v>
      </c>
      <c r="K47" s="17">
        <f>'AEO 2023 Table 35 Raw'!N37</f>
        <v>20.561827000000001</v>
      </c>
      <c r="L47" s="17">
        <f>'AEO 2023 Table 35 Raw'!O37</f>
        <v>20.676501999999999</v>
      </c>
      <c r="M47" s="17">
        <f>'AEO 2023 Table 35 Raw'!P37</f>
        <v>20.821014000000002</v>
      </c>
      <c r="N47" s="17">
        <f>'AEO 2023 Table 35 Raw'!Q37</f>
        <v>20.958134000000001</v>
      </c>
      <c r="O47" s="17">
        <f>'AEO 2023 Table 35 Raw'!R37</f>
        <v>21.074787000000001</v>
      </c>
      <c r="P47" s="17">
        <f>'AEO 2023 Table 35 Raw'!S37</f>
        <v>21.154689999999999</v>
      </c>
      <c r="Q47" s="17">
        <f>'AEO 2023 Table 35 Raw'!T37</f>
        <v>21.214779</v>
      </c>
      <c r="R47" s="17">
        <f>'AEO 2023 Table 35 Raw'!U37</f>
        <v>21.28566</v>
      </c>
      <c r="S47" s="17">
        <f>'AEO 2023 Table 35 Raw'!V37</f>
        <v>21.370804</v>
      </c>
      <c r="T47" s="17">
        <f>'AEO 2023 Table 35 Raw'!W37</f>
        <v>21.587259</v>
      </c>
      <c r="U47" s="17">
        <f>'AEO 2023 Table 35 Raw'!X37</f>
        <v>21.811993000000001</v>
      </c>
      <c r="V47" s="17">
        <f>'AEO 2023 Table 35 Raw'!Y37</f>
        <v>22.021018999999999</v>
      </c>
      <c r="W47" s="17">
        <f>'AEO 2023 Table 35 Raw'!Z37</f>
        <v>22.256723000000001</v>
      </c>
      <c r="X47" s="17">
        <f>'AEO 2023 Table 35 Raw'!AA37</f>
        <v>22.456087</v>
      </c>
      <c r="Y47" s="17">
        <f>'AEO 2023 Table 35 Raw'!AB37</f>
        <v>22.660629</v>
      </c>
      <c r="Z47" s="17">
        <f>'AEO 2023 Table 35 Raw'!AC37</f>
        <v>22.926456000000002</v>
      </c>
      <c r="AA47" s="17">
        <f>'AEO 2023 Table 35 Raw'!AD37</f>
        <v>23.217818999999999</v>
      </c>
      <c r="AB47" s="17">
        <f>'AEO 2023 Table 35 Raw'!AE37</f>
        <v>23.542549000000001</v>
      </c>
      <c r="AC47" s="17">
        <f>'AEO 2023 Table 35 Raw'!AF37</f>
        <v>23.880496999999998</v>
      </c>
      <c r="AD47" s="17">
        <f>'AEO 2023 Table 35 Raw'!AG37</f>
        <v>24.232780000000002</v>
      </c>
      <c r="AE47" s="17">
        <f>'AEO 2023 Table 35 Raw'!AH37</f>
        <v>24.612587000000001</v>
      </c>
      <c r="AF47" s="30">
        <f>'AEO 2023 Table 35 Raw'!AI37</f>
        <v>8.9999999999999993E-3</v>
      </c>
    </row>
    <row r="48" spans="1:32" ht="15" customHeight="1">
      <c r="A48" s="7" t="s">
        <v>357</v>
      </c>
      <c r="B48" s="16" t="s">
        <v>358</v>
      </c>
      <c r="C48" s="17">
        <f>'AEO 2023 Table 35 Raw'!F38</f>
        <v>125.899567</v>
      </c>
      <c r="D48" s="17">
        <f>'AEO 2023 Table 35 Raw'!G38</f>
        <v>125.37957</v>
      </c>
      <c r="E48" s="17">
        <f>'AEO 2023 Table 35 Raw'!H38</f>
        <v>125.029449</v>
      </c>
      <c r="F48" s="17">
        <f>'AEO 2023 Table 35 Raw'!I38</f>
        <v>124.801453</v>
      </c>
      <c r="G48" s="17">
        <f>'AEO 2023 Table 35 Raw'!J38</f>
        <v>124.69525899999999</v>
      </c>
      <c r="H48" s="17">
        <f>'AEO 2023 Table 35 Raw'!K38</f>
        <v>124.384125</v>
      </c>
      <c r="I48" s="17">
        <f>'AEO 2023 Table 35 Raw'!L38</f>
        <v>124.116241</v>
      </c>
      <c r="J48" s="17">
        <f>'AEO 2023 Table 35 Raw'!M38</f>
        <v>123.91597</v>
      </c>
      <c r="K48" s="17">
        <f>'AEO 2023 Table 35 Raw'!N38</f>
        <v>123.706886</v>
      </c>
      <c r="L48" s="17">
        <f>'AEO 2023 Table 35 Raw'!O38</f>
        <v>123.50303599999999</v>
      </c>
      <c r="M48" s="17">
        <f>'AEO 2023 Table 35 Raw'!P38</f>
        <v>123.399162</v>
      </c>
      <c r="N48" s="17">
        <f>'AEO 2023 Table 35 Raw'!Q38</f>
        <v>123.350677</v>
      </c>
      <c r="O48" s="17">
        <f>'AEO 2023 Table 35 Raw'!R38</f>
        <v>123.229088</v>
      </c>
      <c r="P48" s="17">
        <f>'AEO 2023 Table 35 Raw'!S38</f>
        <v>123.060562</v>
      </c>
      <c r="Q48" s="17">
        <f>'AEO 2023 Table 35 Raw'!T38</f>
        <v>122.913391</v>
      </c>
      <c r="R48" s="17">
        <f>'AEO 2023 Table 35 Raw'!U38</f>
        <v>122.84301000000001</v>
      </c>
      <c r="S48" s="17">
        <f>'AEO 2023 Table 35 Raw'!V38</f>
        <v>122.868729</v>
      </c>
      <c r="T48" s="17">
        <f>'AEO 2023 Table 35 Raw'!W38</f>
        <v>122.974594</v>
      </c>
      <c r="U48" s="17">
        <f>'AEO 2023 Table 35 Raw'!X38</f>
        <v>123.115875</v>
      </c>
      <c r="V48" s="17">
        <f>'AEO 2023 Table 35 Raw'!Y38</f>
        <v>123.245796</v>
      </c>
      <c r="W48" s="17">
        <f>'AEO 2023 Table 35 Raw'!Z38</f>
        <v>123.376953</v>
      </c>
      <c r="X48" s="17">
        <f>'AEO 2023 Table 35 Raw'!AA38</f>
        <v>123.487793</v>
      </c>
      <c r="Y48" s="17">
        <f>'AEO 2023 Table 35 Raw'!AB38</f>
        <v>123.561241</v>
      </c>
      <c r="Z48" s="17">
        <f>'AEO 2023 Table 35 Raw'!AC38</f>
        <v>123.627106</v>
      </c>
      <c r="AA48" s="17">
        <f>'AEO 2023 Table 35 Raw'!AD38</f>
        <v>123.712143</v>
      </c>
      <c r="AB48" s="17">
        <f>'AEO 2023 Table 35 Raw'!AE38</f>
        <v>123.813293</v>
      </c>
      <c r="AC48" s="17">
        <f>'AEO 2023 Table 35 Raw'!AF38</f>
        <v>123.925461</v>
      </c>
      <c r="AD48" s="17">
        <f>'AEO 2023 Table 35 Raw'!AG38</f>
        <v>124.036011</v>
      </c>
      <c r="AE48" s="17">
        <f>'AEO 2023 Table 35 Raw'!AH38</f>
        <v>124.148155</v>
      </c>
      <c r="AF48" s="30">
        <f>'AEO 2023 Table 35 Raw'!AI38</f>
        <v>-1E-3</v>
      </c>
    </row>
    <row r="49" spans="1:32" ht="15" customHeight="1">
      <c r="A49" s="7" t="s">
        <v>359</v>
      </c>
      <c r="B49" s="16" t="s">
        <v>360</v>
      </c>
      <c r="C49" s="17">
        <f>'AEO 2023 Table 35 Raw'!F39</f>
        <v>905.84051499999998</v>
      </c>
      <c r="D49" s="17">
        <f>'AEO 2023 Table 35 Raw'!G39</f>
        <v>818.09411599999999</v>
      </c>
      <c r="E49" s="17">
        <f>'AEO 2023 Table 35 Raw'!H39</f>
        <v>750.09661900000003</v>
      </c>
      <c r="F49" s="17">
        <f>'AEO 2023 Table 35 Raw'!I39</f>
        <v>710.96716300000003</v>
      </c>
      <c r="G49" s="17">
        <f>'AEO 2023 Table 35 Raw'!J39</f>
        <v>683.21826199999998</v>
      </c>
      <c r="H49" s="17">
        <f>'AEO 2023 Table 35 Raw'!K39</f>
        <v>644.43926999999996</v>
      </c>
      <c r="I49" s="17">
        <f>'AEO 2023 Table 35 Raw'!L39</f>
        <v>605.86267099999998</v>
      </c>
      <c r="J49" s="17">
        <f>'AEO 2023 Table 35 Raw'!M39</f>
        <v>601.30419900000004</v>
      </c>
      <c r="K49" s="17">
        <f>'AEO 2023 Table 35 Raw'!N39</f>
        <v>598.79797399999995</v>
      </c>
      <c r="L49" s="17">
        <f>'AEO 2023 Table 35 Raw'!O39</f>
        <v>601.64556900000002</v>
      </c>
      <c r="M49" s="17">
        <f>'AEO 2023 Table 35 Raw'!P39</f>
        <v>607.49902299999997</v>
      </c>
      <c r="N49" s="17">
        <f>'AEO 2023 Table 35 Raw'!Q39</f>
        <v>616.87213099999997</v>
      </c>
      <c r="O49" s="17">
        <f>'AEO 2023 Table 35 Raw'!R39</f>
        <v>619.33136000000002</v>
      </c>
      <c r="P49" s="17">
        <f>'AEO 2023 Table 35 Raw'!S39</f>
        <v>618.89520300000004</v>
      </c>
      <c r="Q49" s="17">
        <f>'AEO 2023 Table 35 Raw'!T39</f>
        <v>614.86352499999998</v>
      </c>
      <c r="R49" s="17">
        <f>'AEO 2023 Table 35 Raw'!U39</f>
        <v>616.29345699999999</v>
      </c>
      <c r="S49" s="17">
        <f>'AEO 2023 Table 35 Raw'!V39</f>
        <v>618.09863299999995</v>
      </c>
      <c r="T49" s="17">
        <f>'AEO 2023 Table 35 Raw'!W39</f>
        <v>620.82605000000001</v>
      </c>
      <c r="U49" s="17">
        <f>'AEO 2023 Table 35 Raw'!X39</f>
        <v>630.065247</v>
      </c>
      <c r="V49" s="17">
        <f>'AEO 2023 Table 35 Raw'!Y39</f>
        <v>633.584656</v>
      </c>
      <c r="W49" s="17">
        <f>'AEO 2023 Table 35 Raw'!Z39</f>
        <v>638.84863299999995</v>
      </c>
      <c r="X49" s="17">
        <f>'AEO 2023 Table 35 Raw'!AA39</f>
        <v>640.74737500000003</v>
      </c>
      <c r="Y49" s="17">
        <f>'AEO 2023 Table 35 Raw'!AB39</f>
        <v>649.03729199999998</v>
      </c>
      <c r="Z49" s="17">
        <f>'AEO 2023 Table 35 Raw'!AC39</f>
        <v>651.38903800000003</v>
      </c>
      <c r="AA49" s="17">
        <f>'AEO 2023 Table 35 Raw'!AD39</f>
        <v>659.87823500000002</v>
      </c>
      <c r="AB49" s="17">
        <f>'AEO 2023 Table 35 Raw'!AE39</f>
        <v>665.15924099999995</v>
      </c>
      <c r="AC49" s="17">
        <f>'AEO 2023 Table 35 Raw'!AF39</f>
        <v>671.01440400000001</v>
      </c>
      <c r="AD49" s="17">
        <f>'AEO 2023 Table 35 Raw'!AG39</f>
        <v>672.52191200000004</v>
      </c>
      <c r="AE49" s="17">
        <f>'AEO 2023 Table 35 Raw'!AH39</f>
        <v>679.09362799999997</v>
      </c>
      <c r="AF49" s="30">
        <f>'AEO 2023 Table 35 Raw'!AI39</f>
        <v>-0.01</v>
      </c>
    </row>
    <row r="50" spans="1:32" ht="12" customHeight="1">
      <c r="C50" s="17"/>
      <c r="D50" s="17"/>
      <c r="E50" s="17"/>
      <c r="F50" s="17"/>
      <c r="G50" s="17"/>
      <c r="H50" s="17"/>
      <c r="I50" s="17"/>
      <c r="J50" s="17"/>
      <c r="K50" s="17"/>
      <c r="L50" s="17"/>
      <c r="M50" s="17"/>
      <c r="N50" s="17"/>
      <c r="O50" s="17"/>
      <c r="P50" s="17"/>
      <c r="Q50" s="17"/>
      <c r="R50" s="17"/>
      <c r="S50" s="17"/>
      <c r="T50" s="17"/>
      <c r="U50" s="17"/>
      <c r="V50" s="17"/>
      <c r="W50" s="17"/>
      <c r="X50" s="17"/>
      <c r="Y50" s="17"/>
      <c r="Z50" s="17"/>
      <c r="AA50" s="17"/>
      <c r="AB50" s="17"/>
      <c r="AC50" s="17"/>
      <c r="AD50" s="17"/>
      <c r="AE50" s="17"/>
      <c r="AF50" s="30"/>
    </row>
    <row r="51" spans="1:32" ht="15" customHeight="1">
      <c r="A51" s="7" t="s">
        <v>361</v>
      </c>
      <c r="B51" s="15" t="s">
        <v>362</v>
      </c>
      <c r="C51" s="17">
        <f>'AEO 2023 Table 35 Raw'!F40</f>
        <v>332.52310199999999</v>
      </c>
      <c r="D51" s="17">
        <f>'AEO 2023 Table 35 Raw'!G40</f>
        <v>377.97052000000002</v>
      </c>
      <c r="E51" s="17">
        <f>'AEO 2023 Table 35 Raw'!H40</f>
        <v>384.00460800000002</v>
      </c>
      <c r="F51" s="17">
        <f>'AEO 2023 Table 35 Raw'!I40</f>
        <v>408.78292800000003</v>
      </c>
      <c r="G51" s="17">
        <f>'AEO 2023 Table 35 Raw'!J40</f>
        <v>446.260651</v>
      </c>
      <c r="H51" s="17">
        <f>'AEO 2023 Table 35 Raw'!K40</f>
        <v>477.17263800000001</v>
      </c>
      <c r="I51" s="17">
        <f>'AEO 2023 Table 35 Raw'!L40</f>
        <v>503.61007699999999</v>
      </c>
      <c r="J51" s="17">
        <f>'AEO 2023 Table 35 Raw'!M40</f>
        <v>527.57086200000003</v>
      </c>
      <c r="K51" s="17">
        <f>'AEO 2023 Table 35 Raw'!N40</f>
        <v>577.96905500000003</v>
      </c>
      <c r="L51" s="17">
        <f>'AEO 2023 Table 35 Raw'!O40</f>
        <v>628.36724900000002</v>
      </c>
      <c r="M51" s="17">
        <f>'AEO 2023 Table 35 Raw'!P40</f>
        <v>680.00372300000004</v>
      </c>
      <c r="N51" s="17">
        <f>'AEO 2023 Table 35 Raw'!Q40</f>
        <v>729.163635</v>
      </c>
      <c r="O51" s="17">
        <f>'AEO 2023 Table 35 Raw'!R40</f>
        <v>779.56182899999999</v>
      </c>
      <c r="P51" s="17">
        <f>'AEO 2023 Table 35 Raw'!S40</f>
        <v>813.16064500000005</v>
      </c>
      <c r="Q51" s="17">
        <f>'AEO 2023 Table 35 Raw'!T40</f>
        <v>831.19830300000001</v>
      </c>
      <c r="R51" s="17">
        <f>'AEO 2023 Table 35 Raw'!U40</f>
        <v>846.75939900000003</v>
      </c>
      <c r="S51" s="17">
        <f>'AEO 2023 Table 35 Raw'!V40</f>
        <v>863.55883800000004</v>
      </c>
      <c r="T51" s="17">
        <f>'AEO 2023 Table 35 Raw'!W40</f>
        <v>871.95855700000004</v>
      </c>
      <c r="U51" s="17">
        <f>'AEO 2023 Table 35 Raw'!X40</f>
        <v>873.19683799999996</v>
      </c>
      <c r="V51" s="17">
        <f>'AEO 2023 Table 35 Raw'!Y40</f>
        <v>871.95855700000004</v>
      </c>
      <c r="W51" s="17">
        <f>'AEO 2023 Table 35 Raw'!Z40</f>
        <v>871.95855700000004</v>
      </c>
      <c r="X51" s="17">
        <f>'AEO 2023 Table 35 Raw'!AA40</f>
        <v>871.95855700000004</v>
      </c>
      <c r="Y51" s="17">
        <f>'AEO 2023 Table 35 Raw'!AB40</f>
        <v>873.19683799999996</v>
      </c>
      <c r="Z51" s="17">
        <f>'AEO 2023 Table 35 Raw'!AC40</f>
        <v>871.95855700000004</v>
      </c>
      <c r="AA51" s="17">
        <f>'AEO 2023 Table 35 Raw'!AD40</f>
        <v>871.95855700000004</v>
      </c>
      <c r="AB51" s="17">
        <f>'AEO 2023 Table 35 Raw'!AE40</f>
        <v>871.95855700000004</v>
      </c>
      <c r="AC51" s="17">
        <f>'AEO 2023 Table 35 Raw'!AF40</f>
        <v>873.19683799999996</v>
      </c>
      <c r="AD51" s="17">
        <f>'AEO 2023 Table 35 Raw'!AG40</f>
        <v>871.95855700000004</v>
      </c>
      <c r="AE51" s="17">
        <f>'AEO 2023 Table 35 Raw'!AH40</f>
        <v>871.95855700000004</v>
      </c>
      <c r="AF51" s="30">
        <f>'AEO 2023 Table 35 Raw'!AI40</f>
        <v>3.5000000000000003E-2</v>
      </c>
    </row>
    <row r="52" spans="1:32" ht="15" customHeight="1">
      <c r="A52" s="7" t="s">
        <v>363</v>
      </c>
      <c r="B52" s="16" t="s">
        <v>364</v>
      </c>
      <c r="C52" s="17">
        <f>'AEO 2023 Table 35 Raw'!F41</f>
        <v>431.00711100000001</v>
      </c>
      <c r="D52" s="17">
        <f>'AEO 2023 Table 35 Raw'!G41</f>
        <v>433.70452899999998</v>
      </c>
      <c r="E52" s="17">
        <f>'AEO 2023 Table 35 Raw'!H41</f>
        <v>434.85916099999997</v>
      </c>
      <c r="F52" s="17">
        <f>'AEO 2023 Table 35 Raw'!I41</f>
        <v>435.85296599999998</v>
      </c>
      <c r="G52" s="17">
        <f>'AEO 2023 Table 35 Raw'!J41</f>
        <v>436.71343999999999</v>
      </c>
      <c r="H52" s="17">
        <f>'AEO 2023 Table 35 Raw'!K41</f>
        <v>437.80352800000003</v>
      </c>
      <c r="I52" s="17">
        <f>'AEO 2023 Table 35 Raw'!L41</f>
        <v>439.04785199999998</v>
      </c>
      <c r="J52" s="17">
        <f>'AEO 2023 Table 35 Raw'!M41</f>
        <v>440.32238799999999</v>
      </c>
      <c r="K52" s="17">
        <f>'AEO 2023 Table 35 Raw'!N41</f>
        <v>441.57388300000002</v>
      </c>
      <c r="L52" s="17">
        <f>'AEO 2023 Table 35 Raw'!O41</f>
        <v>442.73297100000002</v>
      </c>
      <c r="M52" s="17">
        <f>'AEO 2023 Table 35 Raw'!P41</f>
        <v>443.867188</v>
      </c>
      <c r="N52" s="17">
        <f>'AEO 2023 Table 35 Raw'!Q41</f>
        <v>444.95523100000003</v>
      </c>
      <c r="O52" s="17">
        <f>'AEO 2023 Table 35 Raw'!R41</f>
        <v>446.03662100000003</v>
      </c>
      <c r="P52" s="17">
        <f>'AEO 2023 Table 35 Raw'!S41</f>
        <v>447.15206899999998</v>
      </c>
      <c r="Q52" s="17">
        <f>'AEO 2023 Table 35 Raw'!T41</f>
        <v>448.41485599999999</v>
      </c>
      <c r="R52" s="17">
        <f>'AEO 2023 Table 35 Raw'!U41</f>
        <v>449.81106599999998</v>
      </c>
      <c r="S52" s="17">
        <f>'AEO 2023 Table 35 Raw'!V41</f>
        <v>451.25476099999997</v>
      </c>
      <c r="T52" s="17">
        <f>'AEO 2023 Table 35 Raw'!W41</f>
        <v>452.74456800000002</v>
      </c>
      <c r="U52" s="17">
        <f>'AEO 2023 Table 35 Raw'!X41</f>
        <v>454.27905299999998</v>
      </c>
      <c r="V52" s="17">
        <f>'AEO 2023 Table 35 Raw'!Y41</f>
        <v>455.853363</v>
      </c>
      <c r="W52" s="17">
        <f>'AEO 2023 Table 35 Raw'!Z41</f>
        <v>457.46035799999999</v>
      </c>
      <c r="X52" s="17">
        <f>'AEO 2023 Table 35 Raw'!AA41</f>
        <v>459.09814499999999</v>
      </c>
      <c r="Y52" s="17">
        <f>'AEO 2023 Table 35 Raw'!AB41</f>
        <v>460.76711999999998</v>
      </c>
      <c r="Z52" s="17">
        <f>'AEO 2023 Table 35 Raw'!AC41</f>
        <v>462.46490499999999</v>
      </c>
      <c r="AA52" s="17">
        <f>'AEO 2023 Table 35 Raw'!AD41</f>
        <v>464.17974900000002</v>
      </c>
      <c r="AB52" s="17">
        <f>'AEO 2023 Table 35 Raw'!AE41</f>
        <v>465.90911899999998</v>
      </c>
      <c r="AC52" s="17">
        <f>'AEO 2023 Table 35 Raw'!AF41</f>
        <v>467.65033</v>
      </c>
      <c r="AD52" s="17">
        <f>'AEO 2023 Table 35 Raw'!AG41</f>
        <v>469.40213</v>
      </c>
      <c r="AE52" s="17">
        <f>'AEO 2023 Table 35 Raw'!AH41</f>
        <v>471.16201799999999</v>
      </c>
      <c r="AF52" s="30">
        <f>'AEO 2023 Table 35 Raw'!AI41</f>
        <v>3.0000000000000001E-3</v>
      </c>
    </row>
    <row r="53" spans="1:32" ht="15" customHeight="1">
      <c r="A53" s="7" t="s">
        <v>365</v>
      </c>
      <c r="B53" s="16" t="s">
        <v>366</v>
      </c>
      <c r="C53" s="17">
        <f>'AEO 2023 Table 35 Raw'!F42</f>
        <v>334.58492999999999</v>
      </c>
      <c r="D53" s="17">
        <f>'AEO 2023 Table 35 Raw'!G42</f>
        <v>336.67889400000001</v>
      </c>
      <c r="E53" s="17">
        <f>'AEO 2023 Table 35 Raw'!H42</f>
        <v>337.57522599999999</v>
      </c>
      <c r="F53" s="17">
        <f>'AEO 2023 Table 35 Raw'!I42</f>
        <v>338.34670999999997</v>
      </c>
      <c r="G53" s="17">
        <f>'AEO 2023 Table 35 Raw'!J42</f>
        <v>339.014679</v>
      </c>
      <c r="H53" s="17">
        <f>'AEO 2023 Table 35 Raw'!K42</f>
        <v>339.86090100000001</v>
      </c>
      <c r="I53" s="17">
        <f>'AEO 2023 Table 35 Raw'!L42</f>
        <v>340.826843</v>
      </c>
      <c r="J53" s="17">
        <f>'AEO 2023 Table 35 Raw'!M42</f>
        <v>341.81625400000001</v>
      </c>
      <c r="K53" s="17">
        <f>'AEO 2023 Table 35 Raw'!N42</f>
        <v>342.787781</v>
      </c>
      <c r="L53" s="17">
        <f>'AEO 2023 Table 35 Raw'!O42</f>
        <v>343.68756100000002</v>
      </c>
      <c r="M53" s="17">
        <f>'AEO 2023 Table 35 Raw'!P42</f>
        <v>344.56802399999998</v>
      </c>
      <c r="N53" s="17">
        <f>'AEO 2023 Table 35 Raw'!Q42</f>
        <v>345.41265900000002</v>
      </c>
      <c r="O53" s="17">
        <f>'AEO 2023 Table 35 Raw'!R42</f>
        <v>346.25213600000001</v>
      </c>
      <c r="P53" s="17">
        <f>'AEO 2023 Table 35 Raw'!S42</f>
        <v>347.118042</v>
      </c>
      <c r="Q53" s="17">
        <f>'AEO 2023 Table 35 Raw'!T42</f>
        <v>348.09832799999998</v>
      </c>
      <c r="R53" s="17">
        <f>'AEO 2023 Table 35 Raw'!U42</f>
        <v>349.18218999999999</v>
      </c>
      <c r="S53" s="17">
        <f>'AEO 2023 Table 35 Raw'!V42</f>
        <v>350.30291699999998</v>
      </c>
      <c r="T53" s="17">
        <f>'AEO 2023 Table 35 Raw'!W42</f>
        <v>351.45941199999999</v>
      </c>
      <c r="U53" s="17">
        <f>'AEO 2023 Table 35 Raw'!X42</f>
        <v>352.65063500000002</v>
      </c>
      <c r="V53" s="17">
        <f>'AEO 2023 Table 35 Raw'!Y42</f>
        <v>353.87274200000002</v>
      </c>
      <c r="W53" s="17">
        <f>'AEO 2023 Table 35 Raw'!Z42</f>
        <v>355.12023900000003</v>
      </c>
      <c r="X53" s="17">
        <f>'AEO 2023 Table 35 Raw'!AA42</f>
        <v>356.39163200000002</v>
      </c>
      <c r="Y53" s="17">
        <f>'AEO 2023 Table 35 Raw'!AB42</f>
        <v>357.68722500000001</v>
      </c>
      <c r="Z53" s="17">
        <f>'AEO 2023 Table 35 Raw'!AC42</f>
        <v>359.00518799999998</v>
      </c>
      <c r="AA53" s="17">
        <f>'AEO 2023 Table 35 Raw'!AD42</f>
        <v>360.33642600000002</v>
      </c>
      <c r="AB53" s="17">
        <f>'AEO 2023 Table 35 Raw'!AE42</f>
        <v>361.67889400000001</v>
      </c>
      <c r="AC53" s="17">
        <f>'AEO 2023 Table 35 Raw'!AF42</f>
        <v>363.03057899999999</v>
      </c>
      <c r="AD53" s="17">
        <f>'AEO 2023 Table 35 Raw'!AG42</f>
        <v>364.39047199999999</v>
      </c>
      <c r="AE53" s="17">
        <f>'AEO 2023 Table 35 Raw'!AH42</f>
        <v>365.75665300000003</v>
      </c>
      <c r="AF53" s="30">
        <f>'AEO 2023 Table 35 Raw'!AI42</f>
        <v>3.0000000000000001E-3</v>
      </c>
    </row>
    <row r="54" spans="1:32" ht="15" customHeight="1">
      <c r="A54" s="7" t="s">
        <v>367</v>
      </c>
      <c r="B54" s="16" t="s">
        <v>368</v>
      </c>
      <c r="C54" s="17">
        <f>'AEO 2023 Table 35 Raw'!F43</f>
        <v>0</v>
      </c>
      <c r="D54" s="17">
        <f>'AEO 2023 Table 35 Raw'!G43</f>
        <v>0</v>
      </c>
      <c r="E54" s="17">
        <f>'AEO 2023 Table 35 Raw'!H43</f>
        <v>0</v>
      </c>
      <c r="F54" s="17">
        <f>'AEO 2023 Table 35 Raw'!I43</f>
        <v>0</v>
      </c>
      <c r="G54" s="17">
        <f>'AEO 2023 Table 35 Raw'!J43</f>
        <v>0</v>
      </c>
      <c r="H54" s="17">
        <f>'AEO 2023 Table 35 Raw'!K43</f>
        <v>0</v>
      </c>
      <c r="I54" s="17">
        <f>'AEO 2023 Table 35 Raw'!L43</f>
        <v>0</v>
      </c>
      <c r="J54" s="17">
        <f>'AEO 2023 Table 35 Raw'!M43</f>
        <v>0</v>
      </c>
      <c r="K54" s="17">
        <f>'AEO 2023 Table 35 Raw'!N43</f>
        <v>0</v>
      </c>
      <c r="L54" s="17">
        <f>'AEO 2023 Table 35 Raw'!O43</f>
        <v>0</v>
      </c>
      <c r="M54" s="17">
        <f>'AEO 2023 Table 35 Raw'!P43</f>
        <v>0</v>
      </c>
      <c r="N54" s="17">
        <f>'AEO 2023 Table 35 Raw'!Q43</f>
        <v>0</v>
      </c>
      <c r="O54" s="17">
        <f>'AEO 2023 Table 35 Raw'!R43</f>
        <v>0</v>
      </c>
      <c r="P54" s="17">
        <f>'AEO 2023 Table 35 Raw'!S43</f>
        <v>0</v>
      </c>
      <c r="Q54" s="17">
        <f>'AEO 2023 Table 35 Raw'!T43</f>
        <v>0</v>
      </c>
      <c r="R54" s="17">
        <f>'AEO 2023 Table 35 Raw'!U43</f>
        <v>0</v>
      </c>
      <c r="S54" s="17">
        <f>'AEO 2023 Table 35 Raw'!V43</f>
        <v>0</v>
      </c>
      <c r="T54" s="17">
        <f>'AEO 2023 Table 35 Raw'!W43</f>
        <v>0</v>
      </c>
      <c r="U54" s="17">
        <f>'AEO 2023 Table 35 Raw'!X43</f>
        <v>0</v>
      </c>
      <c r="V54" s="17">
        <f>'AEO 2023 Table 35 Raw'!Y43</f>
        <v>0</v>
      </c>
      <c r="W54" s="17">
        <f>'AEO 2023 Table 35 Raw'!Z43</f>
        <v>0</v>
      </c>
      <c r="X54" s="17">
        <f>'AEO 2023 Table 35 Raw'!AA43</f>
        <v>0</v>
      </c>
      <c r="Y54" s="17">
        <f>'AEO 2023 Table 35 Raw'!AB43</f>
        <v>0</v>
      </c>
      <c r="Z54" s="17">
        <f>'AEO 2023 Table 35 Raw'!AC43</f>
        <v>0</v>
      </c>
      <c r="AA54" s="17">
        <f>'AEO 2023 Table 35 Raw'!AD43</f>
        <v>0</v>
      </c>
      <c r="AB54" s="17">
        <f>'AEO 2023 Table 35 Raw'!AE43</f>
        <v>0</v>
      </c>
      <c r="AC54" s="17">
        <f>'AEO 2023 Table 35 Raw'!AF43</f>
        <v>0</v>
      </c>
      <c r="AD54" s="17">
        <f>'AEO 2023 Table 35 Raw'!AG43</f>
        <v>0</v>
      </c>
      <c r="AE54" s="17">
        <f>'AEO 2023 Table 35 Raw'!AH43</f>
        <v>0</v>
      </c>
      <c r="AF54" s="30" t="str">
        <f>'AEO 2023 Table 35 Raw'!AI43</f>
        <v>- -</v>
      </c>
    </row>
    <row r="55" spans="1:32" ht="12" customHeight="1">
      <c r="C55" s="17"/>
      <c r="D55" s="17"/>
      <c r="E55" s="17"/>
      <c r="F55" s="17"/>
      <c r="G55" s="17"/>
      <c r="H55" s="17"/>
      <c r="I55" s="17"/>
      <c r="J55" s="17"/>
      <c r="K55" s="17"/>
      <c r="L55" s="17"/>
      <c r="M55" s="17"/>
      <c r="N55" s="17"/>
      <c r="O55" s="17"/>
      <c r="P55" s="17"/>
      <c r="Q55" s="17"/>
      <c r="R55" s="17"/>
      <c r="S55" s="17"/>
      <c r="T55" s="17"/>
      <c r="U55" s="17"/>
      <c r="V55" s="17"/>
      <c r="W55" s="17"/>
      <c r="X55" s="17"/>
      <c r="Y55" s="17"/>
      <c r="Z55" s="17"/>
      <c r="AA55" s="17"/>
      <c r="AB55" s="17"/>
      <c r="AC55" s="17"/>
      <c r="AD55" s="17"/>
      <c r="AE55" s="17"/>
      <c r="AF55" s="30"/>
    </row>
    <row r="56" spans="1:32" ht="15" customHeight="1">
      <c r="A56" s="7" t="s">
        <v>369</v>
      </c>
      <c r="B56" s="15" t="s">
        <v>141</v>
      </c>
      <c r="C56" s="17">
        <f>'AEO 2023 Table 35 Raw'!F44</f>
        <v>96.422173000000001</v>
      </c>
      <c r="D56" s="17">
        <f>'AEO 2023 Table 35 Raw'!G44</f>
        <v>97.025620000000004</v>
      </c>
      <c r="E56" s="17">
        <f>'AEO 2023 Table 35 Raw'!H44</f>
        <v>97.283935999999997</v>
      </c>
      <c r="F56" s="17">
        <f>'AEO 2023 Table 35 Raw'!I44</f>
        <v>97.506255999999993</v>
      </c>
      <c r="G56" s="17">
        <f>'AEO 2023 Table 35 Raw'!J44</f>
        <v>97.698752999999996</v>
      </c>
      <c r="H56" s="17">
        <f>'AEO 2023 Table 35 Raw'!K44</f>
        <v>97.942611999999997</v>
      </c>
      <c r="I56" s="17">
        <f>'AEO 2023 Table 35 Raw'!L44</f>
        <v>98.220993000000007</v>
      </c>
      <c r="J56" s="17">
        <f>'AEO 2023 Table 35 Raw'!M44</f>
        <v>98.506125999999995</v>
      </c>
      <c r="K56" s="17">
        <f>'AEO 2023 Table 35 Raw'!N44</f>
        <v>98.786102</v>
      </c>
      <c r="L56" s="17">
        <f>'AEO 2023 Table 35 Raw'!O44</f>
        <v>99.045417999999998</v>
      </c>
      <c r="M56" s="17">
        <f>'AEO 2023 Table 35 Raw'!P44</f>
        <v>99.299164000000005</v>
      </c>
      <c r="N56" s="17">
        <f>'AEO 2023 Table 35 Raw'!Q44</f>
        <v>99.542572000000007</v>
      </c>
      <c r="O56" s="17">
        <f>'AEO 2023 Table 35 Raw'!R44</f>
        <v>99.784499999999994</v>
      </c>
      <c r="P56" s="17">
        <f>'AEO 2023 Table 35 Raw'!S44</f>
        <v>100.03402699999999</v>
      </c>
      <c r="Q56" s="17">
        <f>'AEO 2023 Table 35 Raw'!T44</f>
        <v>100.31652800000001</v>
      </c>
      <c r="R56" s="17">
        <f>'AEO 2023 Table 35 Raw'!U44</f>
        <v>100.62887600000001</v>
      </c>
      <c r="S56" s="17">
        <f>'AEO 2023 Table 35 Raw'!V44</f>
        <v>100.951851</v>
      </c>
      <c r="T56" s="17">
        <f>'AEO 2023 Table 35 Raw'!W44</f>
        <v>101.285149</v>
      </c>
      <c r="U56" s="17">
        <f>'AEO 2023 Table 35 Raw'!X44</f>
        <v>101.628433</v>
      </c>
      <c r="V56" s="17">
        <f>'AEO 2023 Table 35 Raw'!Y44</f>
        <v>101.98062899999999</v>
      </c>
      <c r="W56" s="17">
        <f>'AEO 2023 Table 35 Raw'!Z44</f>
        <v>102.340126</v>
      </c>
      <c r="X56" s="17">
        <f>'AEO 2023 Table 35 Raw'!AA44</f>
        <v>102.70652800000001</v>
      </c>
      <c r="Y56" s="17">
        <f>'AEO 2023 Table 35 Raw'!AB44</f>
        <v>103.07989499999999</v>
      </c>
      <c r="Z56" s="17">
        <f>'AEO 2023 Table 35 Raw'!AC44</f>
        <v>103.45970199999999</v>
      </c>
      <c r="AA56" s="17">
        <f>'AEO 2023 Table 35 Raw'!AD44</f>
        <v>103.843338</v>
      </c>
      <c r="AB56" s="17">
        <f>'AEO 2023 Table 35 Raw'!AE44</f>
        <v>104.230225</v>
      </c>
      <c r="AC56" s="17">
        <f>'AEO 2023 Table 35 Raw'!AF44</f>
        <v>104.619766</v>
      </c>
      <c r="AD56" s="17">
        <f>'AEO 2023 Table 35 Raw'!AG44</f>
        <v>105.011658</v>
      </c>
      <c r="AE56" s="17">
        <f>'AEO 2023 Table 35 Raw'!AH44</f>
        <v>105.405365</v>
      </c>
      <c r="AF56" s="30">
        <f>'AEO 2023 Table 35 Raw'!AI44</f>
        <v>3.0000000000000001E-3</v>
      </c>
    </row>
    <row r="57" spans="1:32" ht="12" customHeight="1">
      <c r="C57" s="17"/>
      <c r="D57" s="17"/>
      <c r="E57" s="17"/>
      <c r="F57" s="17"/>
      <c r="G57" s="17"/>
      <c r="H57" s="17"/>
      <c r="I57" s="17"/>
      <c r="J57" s="17"/>
      <c r="K57" s="17"/>
      <c r="L57" s="17"/>
      <c r="M57" s="17"/>
      <c r="N57" s="17"/>
      <c r="O57" s="17"/>
      <c r="P57" s="17"/>
      <c r="Q57" s="17"/>
      <c r="R57" s="17"/>
      <c r="S57" s="17"/>
      <c r="T57" s="17"/>
      <c r="U57" s="17"/>
      <c r="V57" s="17"/>
      <c r="W57" s="17"/>
      <c r="X57" s="17"/>
      <c r="Y57" s="17"/>
      <c r="Z57" s="17"/>
      <c r="AA57" s="17"/>
      <c r="AB57" s="17"/>
      <c r="AC57" s="17"/>
      <c r="AD57" s="17"/>
      <c r="AE57" s="17"/>
      <c r="AF57" s="30"/>
    </row>
    <row r="58" spans="1:32" ht="15" customHeight="1">
      <c r="B58" s="15" t="s">
        <v>142</v>
      </c>
      <c r="C58" s="17"/>
      <c r="D58" s="17"/>
      <c r="E58" s="17"/>
      <c r="F58" s="17"/>
      <c r="G58" s="17"/>
      <c r="H58" s="17"/>
      <c r="I58" s="17"/>
      <c r="J58" s="17"/>
      <c r="K58" s="17"/>
      <c r="L58" s="17"/>
      <c r="M58" s="17"/>
      <c r="N58" s="17"/>
      <c r="O58" s="17"/>
      <c r="P58" s="17"/>
      <c r="Q58" s="17"/>
      <c r="R58" s="17"/>
      <c r="S58" s="17"/>
      <c r="T58" s="17"/>
      <c r="U58" s="17"/>
      <c r="V58" s="17"/>
      <c r="W58" s="17"/>
      <c r="X58" s="17"/>
      <c r="Y58" s="17"/>
      <c r="Z58" s="17"/>
      <c r="AA58" s="17"/>
      <c r="AB58" s="17"/>
      <c r="AC58" s="17"/>
      <c r="AD58" s="17"/>
      <c r="AE58" s="17"/>
      <c r="AF58" s="30"/>
    </row>
    <row r="59" spans="1:32" ht="15" customHeight="1">
      <c r="A59" s="7" t="s">
        <v>370</v>
      </c>
      <c r="B59" s="16" t="s">
        <v>371</v>
      </c>
      <c r="C59" s="17">
        <f>'AEO 2023 Table 35 Raw'!F46</f>
        <v>0</v>
      </c>
      <c r="D59" s="17">
        <f>'AEO 2023 Table 35 Raw'!G46</f>
        <v>0</v>
      </c>
      <c r="E59" s="17">
        <f>'AEO 2023 Table 35 Raw'!H46</f>
        <v>0</v>
      </c>
      <c r="F59" s="17">
        <f>'AEO 2023 Table 35 Raw'!I46</f>
        <v>0</v>
      </c>
      <c r="G59" s="17">
        <f>'AEO 2023 Table 35 Raw'!J46</f>
        <v>0</v>
      </c>
      <c r="H59" s="17">
        <f>'AEO 2023 Table 35 Raw'!K46</f>
        <v>0</v>
      </c>
      <c r="I59" s="17">
        <f>'AEO 2023 Table 35 Raw'!L46</f>
        <v>0</v>
      </c>
      <c r="J59" s="17">
        <f>'AEO 2023 Table 35 Raw'!M46</f>
        <v>0</v>
      </c>
      <c r="K59" s="17">
        <f>'AEO 2023 Table 35 Raw'!N46</f>
        <v>0</v>
      </c>
      <c r="L59" s="17">
        <f>'AEO 2023 Table 35 Raw'!O46</f>
        <v>0</v>
      </c>
      <c r="M59" s="17">
        <f>'AEO 2023 Table 35 Raw'!P46</f>
        <v>0</v>
      </c>
      <c r="N59" s="17">
        <f>'AEO 2023 Table 35 Raw'!Q46</f>
        <v>0</v>
      </c>
      <c r="O59" s="17">
        <f>'AEO 2023 Table 35 Raw'!R46</f>
        <v>0</v>
      </c>
      <c r="P59" s="17">
        <f>'AEO 2023 Table 35 Raw'!S46</f>
        <v>0</v>
      </c>
      <c r="Q59" s="17">
        <f>'AEO 2023 Table 35 Raw'!T46</f>
        <v>0</v>
      </c>
      <c r="R59" s="17">
        <f>'AEO 2023 Table 35 Raw'!U46</f>
        <v>0</v>
      </c>
      <c r="S59" s="17">
        <f>'AEO 2023 Table 35 Raw'!V46</f>
        <v>0</v>
      </c>
      <c r="T59" s="17">
        <f>'AEO 2023 Table 35 Raw'!W46</f>
        <v>0</v>
      </c>
      <c r="U59" s="17">
        <f>'AEO 2023 Table 35 Raw'!X46</f>
        <v>0</v>
      </c>
      <c r="V59" s="17">
        <f>'AEO 2023 Table 35 Raw'!Y46</f>
        <v>0</v>
      </c>
      <c r="W59" s="17">
        <f>'AEO 2023 Table 35 Raw'!Z46</f>
        <v>0</v>
      </c>
      <c r="X59" s="17">
        <f>'AEO 2023 Table 35 Raw'!AA46</f>
        <v>0</v>
      </c>
      <c r="Y59" s="17">
        <f>'AEO 2023 Table 35 Raw'!AB46</f>
        <v>0</v>
      </c>
      <c r="Z59" s="17">
        <f>'AEO 2023 Table 35 Raw'!AC46</f>
        <v>0</v>
      </c>
      <c r="AA59" s="17">
        <f>'AEO 2023 Table 35 Raw'!AD46</f>
        <v>0</v>
      </c>
      <c r="AB59" s="17">
        <f>'AEO 2023 Table 35 Raw'!AE46</f>
        <v>0</v>
      </c>
      <c r="AC59" s="17">
        <f>'AEO 2023 Table 35 Raw'!AF46</f>
        <v>0</v>
      </c>
      <c r="AD59" s="17">
        <f>'AEO 2023 Table 35 Raw'!AG46</f>
        <v>0</v>
      </c>
      <c r="AE59" s="17">
        <f>'AEO 2023 Table 35 Raw'!AH46</f>
        <v>0</v>
      </c>
      <c r="AF59" s="30">
        <f>'AEO 2023 Table 35 Raw'!AI46</f>
        <v>0</v>
      </c>
    </row>
    <row r="60" spans="1:32" ht="15" customHeight="1">
      <c r="A60" s="7" t="s">
        <v>372</v>
      </c>
      <c r="B60" s="16" t="s">
        <v>373</v>
      </c>
      <c r="C60" s="17">
        <f>'AEO 2023 Table 35 Raw'!F47</f>
        <v>15781.978515999999</v>
      </c>
      <c r="D60" s="17">
        <f>'AEO 2023 Table 35 Raw'!G47</f>
        <v>15607.137694999999</v>
      </c>
      <c r="E60" s="17">
        <f>'AEO 2023 Table 35 Raw'!H47</f>
        <v>15323.565430000001</v>
      </c>
      <c r="F60" s="17">
        <f>'AEO 2023 Table 35 Raw'!I47</f>
        <v>15006.644531</v>
      </c>
      <c r="G60" s="17">
        <f>'AEO 2023 Table 35 Raw'!J47</f>
        <v>14758.341796999999</v>
      </c>
      <c r="H60" s="17">
        <f>'AEO 2023 Table 35 Raw'!K47</f>
        <v>14548.008789</v>
      </c>
      <c r="I60" s="17">
        <f>'AEO 2023 Table 35 Raw'!L47</f>
        <v>14329.139648</v>
      </c>
      <c r="J60" s="17">
        <f>'AEO 2023 Table 35 Raw'!M47</f>
        <v>14088.546875</v>
      </c>
      <c r="K60" s="17">
        <f>'AEO 2023 Table 35 Raw'!N47</f>
        <v>13839.788086</v>
      </c>
      <c r="L60" s="17">
        <f>'AEO 2023 Table 35 Raw'!O47</f>
        <v>13612.479492</v>
      </c>
      <c r="M60" s="17">
        <f>'AEO 2023 Table 35 Raw'!P47</f>
        <v>13390.807617</v>
      </c>
      <c r="N60" s="17">
        <f>'AEO 2023 Table 35 Raw'!Q47</f>
        <v>13201.375977</v>
      </c>
      <c r="O60" s="17">
        <f>'AEO 2023 Table 35 Raw'!R47</f>
        <v>13009.751953000001</v>
      </c>
      <c r="P60" s="17">
        <f>'AEO 2023 Table 35 Raw'!S47</f>
        <v>12803.894531</v>
      </c>
      <c r="Q60" s="17">
        <f>'AEO 2023 Table 35 Raw'!T47</f>
        <v>12588.889648</v>
      </c>
      <c r="R60" s="17">
        <f>'AEO 2023 Table 35 Raw'!U47</f>
        <v>12401.971680000001</v>
      </c>
      <c r="S60" s="17">
        <f>'AEO 2023 Table 35 Raw'!V47</f>
        <v>12241.091796999999</v>
      </c>
      <c r="T60" s="17">
        <f>'AEO 2023 Table 35 Raw'!W47</f>
        <v>12092.940430000001</v>
      </c>
      <c r="U60" s="17">
        <f>'AEO 2023 Table 35 Raw'!X47</f>
        <v>11968.771484000001</v>
      </c>
      <c r="V60" s="17">
        <f>'AEO 2023 Table 35 Raw'!Y47</f>
        <v>11852.905273</v>
      </c>
      <c r="W60" s="17">
        <f>'AEO 2023 Table 35 Raw'!Z47</f>
        <v>11756.801758</v>
      </c>
      <c r="X60" s="17">
        <f>'AEO 2023 Table 35 Raw'!AA47</f>
        <v>11675.911133</v>
      </c>
      <c r="Y60" s="17">
        <f>'AEO 2023 Table 35 Raw'!AB47</f>
        <v>11619.558594</v>
      </c>
      <c r="Z60" s="17">
        <f>'AEO 2023 Table 35 Raw'!AC47</f>
        <v>11585.367188</v>
      </c>
      <c r="AA60" s="17">
        <f>'AEO 2023 Table 35 Raw'!AD47</f>
        <v>11577.258789</v>
      </c>
      <c r="AB60" s="17">
        <f>'AEO 2023 Table 35 Raw'!AE47</f>
        <v>11595.715819999999</v>
      </c>
      <c r="AC60" s="17">
        <f>'AEO 2023 Table 35 Raw'!AF47</f>
        <v>11628.708984000001</v>
      </c>
      <c r="AD60" s="17">
        <f>'AEO 2023 Table 35 Raw'!AG47</f>
        <v>11677.589844</v>
      </c>
      <c r="AE60" s="17">
        <f>'AEO 2023 Table 35 Raw'!AH47</f>
        <v>11746.348633</v>
      </c>
      <c r="AF60" s="30">
        <f>'AEO 2023 Table 35 Raw'!AI47</f>
        <v>-0.01</v>
      </c>
    </row>
    <row r="61" spans="1:32" ht="15" customHeight="1">
      <c r="A61" s="7" t="s">
        <v>374</v>
      </c>
      <c r="B61" s="16" t="s">
        <v>375</v>
      </c>
      <c r="C61" s="17">
        <f>'AEO 2023 Table 35 Raw'!F48</f>
        <v>33.203460999999997</v>
      </c>
      <c r="D61" s="17">
        <f>'AEO 2023 Table 35 Raw'!G48</f>
        <v>33.230068000000003</v>
      </c>
      <c r="E61" s="17">
        <f>'AEO 2023 Table 35 Raw'!H48</f>
        <v>32.263480999999999</v>
      </c>
      <c r="F61" s="17">
        <f>'AEO 2023 Table 35 Raw'!I48</f>
        <v>32.096657</v>
      </c>
      <c r="G61" s="17">
        <f>'AEO 2023 Table 35 Raw'!J48</f>
        <v>31.314240000000002</v>
      </c>
      <c r="H61" s="17">
        <f>'AEO 2023 Table 35 Raw'!K48</f>
        <v>30.515791</v>
      </c>
      <c r="I61" s="17">
        <f>'AEO 2023 Table 35 Raw'!L48</f>
        <v>29.796001</v>
      </c>
      <c r="J61" s="17">
        <f>'AEO 2023 Table 35 Raw'!M48</f>
        <v>28.773320999999999</v>
      </c>
      <c r="K61" s="17">
        <f>'AEO 2023 Table 35 Raw'!N48</f>
        <v>27.672865000000002</v>
      </c>
      <c r="L61" s="17">
        <f>'AEO 2023 Table 35 Raw'!O48</f>
        <v>26.703862999999998</v>
      </c>
      <c r="M61" s="17">
        <f>'AEO 2023 Table 35 Raw'!P48</f>
        <v>25.745459</v>
      </c>
      <c r="N61" s="17">
        <f>'AEO 2023 Table 35 Raw'!Q48</f>
        <v>24.876587000000001</v>
      </c>
      <c r="O61" s="17">
        <f>'AEO 2023 Table 35 Raw'!R48</f>
        <v>24.054621000000001</v>
      </c>
      <c r="P61" s="17">
        <f>'AEO 2023 Table 35 Raw'!S48</f>
        <v>23.312283000000001</v>
      </c>
      <c r="Q61" s="17">
        <f>'AEO 2023 Table 35 Raw'!T48</f>
        <v>22.633776000000001</v>
      </c>
      <c r="R61" s="17">
        <f>'AEO 2023 Table 35 Raw'!U48</f>
        <v>22.107336</v>
      </c>
      <c r="S61" s="17">
        <f>'AEO 2023 Table 35 Raw'!V48</f>
        <v>21.794820999999999</v>
      </c>
      <c r="T61" s="17">
        <f>'AEO 2023 Table 35 Raw'!W48</f>
        <v>21.635255999999998</v>
      </c>
      <c r="U61" s="17">
        <f>'AEO 2023 Table 35 Raw'!X48</f>
        <v>21.652248</v>
      </c>
      <c r="V61" s="17">
        <f>'AEO 2023 Table 35 Raw'!Y48</f>
        <v>21.670206</v>
      </c>
      <c r="W61" s="17">
        <f>'AEO 2023 Table 35 Raw'!Z48</f>
        <v>21.712429</v>
      </c>
      <c r="X61" s="17">
        <f>'AEO 2023 Table 35 Raw'!AA48</f>
        <v>21.862431000000001</v>
      </c>
      <c r="Y61" s="17">
        <f>'AEO 2023 Table 35 Raw'!AB48</f>
        <v>22.094992000000001</v>
      </c>
      <c r="Z61" s="17">
        <f>'AEO 2023 Table 35 Raw'!AC48</f>
        <v>22.321005</v>
      </c>
      <c r="AA61" s="17">
        <f>'AEO 2023 Table 35 Raw'!AD48</f>
        <v>22.601568</v>
      </c>
      <c r="AB61" s="17">
        <f>'AEO 2023 Table 35 Raw'!AE48</f>
        <v>22.903946000000001</v>
      </c>
      <c r="AC61" s="17">
        <f>'AEO 2023 Table 35 Raw'!AF48</f>
        <v>23.215596999999999</v>
      </c>
      <c r="AD61" s="17">
        <f>'AEO 2023 Table 35 Raw'!AG48</f>
        <v>23.636827</v>
      </c>
      <c r="AE61" s="17">
        <f>'AEO 2023 Table 35 Raw'!AH48</f>
        <v>24.057039</v>
      </c>
      <c r="AF61" s="30">
        <f>'AEO 2023 Table 35 Raw'!AI48</f>
        <v>-1.0999999999999999E-2</v>
      </c>
    </row>
    <row r="62" spans="1:32" ht="15" customHeight="1">
      <c r="A62" s="7" t="s">
        <v>376</v>
      </c>
      <c r="B62" s="16" t="s">
        <v>377</v>
      </c>
      <c r="C62" s="17">
        <f>'AEO 2023 Table 35 Raw'!F49</f>
        <v>6704.4780270000001</v>
      </c>
      <c r="D62" s="17">
        <f>'AEO 2023 Table 35 Raw'!G49</f>
        <v>6641.2285160000001</v>
      </c>
      <c r="E62" s="17">
        <f>'AEO 2023 Table 35 Raw'!H49</f>
        <v>6507.2739259999998</v>
      </c>
      <c r="F62" s="17">
        <f>'AEO 2023 Table 35 Raw'!I49</f>
        <v>6389.3334960000002</v>
      </c>
      <c r="G62" s="17">
        <f>'AEO 2023 Table 35 Raw'!J49</f>
        <v>6300.5087890000004</v>
      </c>
      <c r="H62" s="17">
        <f>'AEO 2023 Table 35 Raw'!K49</f>
        <v>6204.4648440000001</v>
      </c>
      <c r="I62" s="17">
        <f>'AEO 2023 Table 35 Raw'!L49</f>
        <v>6139.4448240000002</v>
      </c>
      <c r="J62" s="17">
        <f>'AEO 2023 Table 35 Raw'!M49</f>
        <v>6049.7617190000001</v>
      </c>
      <c r="K62" s="17">
        <f>'AEO 2023 Table 35 Raw'!N49</f>
        <v>5967.9492190000001</v>
      </c>
      <c r="L62" s="17">
        <f>'AEO 2023 Table 35 Raw'!O49</f>
        <v>5897.3232420000004</v>
      </c>
      <c r="M62" s="17">
        <f>'AEO 2023 Table 35 Raw'!P49</f>
        <v>5846.7612300000001</v>
      </c>
      <c r="N62" s="17">
        <f>'AEO 2023 Table 35 Raw'!Q49</f>
        <v>5794.6494140000004</v>
      </c>
      <c r="O62" s="17">
        <f>'AEO 2023 Table 35 Raw'!R49</f>
        <v>5733.7749020000001</v>
      </c>
      <c r="P62" s="17">
        <f>'AEO 2023 Table 35 Raw'!S49</f>
        <v>5682.794922</v>
      </c>
      <c r="Q62" s="17">
        <f>'AEO 2023 Table 35 Raw'!T49</f>
        <v>5627.4497069999998</v>
      </c>
      <c r="R62" s="17">
        <f>'AEO 2023 Table 35 Raw'!U49</f>
        <v>5592.6704099999997</v>
      </c>
      <c r="S62" s="17">
        <f>'AEO 2023 Table 35 Raw'!V49</f>
        <v>5566.0898440000001</v>
      </c>
      <c r="T62" s="17">
        <f>'AEO 2023 Table 35 Raw'!W49</f>
        <v>5534.8872069999998</v>
      </c>
      <c r="U62" s="17">
        <f>'AEO 2023 Table 35 Raw'!X49</f>
        <v>5516.1049800000001</v>
      </c>
      <c r="V62" s="17">
        <f>'AEO 2023 Table 35 Raw'!Y49</f>
        <v>5495.767578</v>
      </c>
      <c r="W62" s="17">
        <f>'AEO 2023 Table 35 Raw'!Z49</f>
        <v>5480.3081050000001</v>
      </c>
      <c r="X62" s="17">
        <f>'AEO 2023 Table 35 Raw'!AA49</f>
        <v>5464.3818359999996</v>
      </c>
      <c r="Y62" s="17">
        <f>'AEO 2023 Table 35 Raw'!AB49</f>
        <v>5445.0039059999999</v>
      </c>
      <c r="Z62" s="17">
        <f>'AEO 2023 Table 35 Raw'!AC49</f>
        <v>5426.388672</v>
      </c>
      <c r="AA62" s="17">
        <f>'AEO 2023 Table 35 Raw'!AD49</f>
        <v>5409.7729490000002</v>
      </c>
      <c r="AB62" s="17">
        <f>'AEO 2023 Table 35 Raw'!AE49</f>
        <v>5391.5439450000003</v>
      </c>
      <c r="AC62" s="17">
        <f>'AEO 2023 Table 35 Raw'!AF49</f>
        <v>5373.1655270000001</v>
      </c>
      <c r="AD62" s="17">
        <f>'AEO 2023 Table 35 Raw'!AG49</f>
        <v>5359.6879879999997</v>
      </c>
      <c r="AE62" s="17">
        <f>'AEO 2023 Table 35 Raw'!AH49</f>
        <v>5353.3916019999997</v>
      </c>
      <c r="AF62" s="30">
        <f>'AEO 2023 Table 35 Raw'!AI49</f>
        <v>-8.0000000000000002E-3</v>
      </c>
    </row>
    <row r="63" spans="1:32" ht="15" customHeight="1">
      <c r="A63" s="7" t="s">
        <v>378</v>
      </c>
      <c r="B63" s="16" t="s">
        <v>366</v>
      </c>
      <c r="C63" s="17">
        <f>'AEO 2023 Table 35 Raw'!F50</f>
        <v>3107.8186040000001</v>
      </c>
      <c r="D63" s="17">
        <f>'AEO 2023 Table 35 Raw'!G50</f>
        <v>3300.2145999999998</v>
      </c>
      <c r="E63" s="17">
        <f>'AEO 2023 Table 35 Raw'!H50</f>
        <v>3319.185547</v>
      </c>
      <c r="F63" s="17">
        <f>'AEO 2023 Table 35 Raw'!I50</f>
        <v>3310.3291020000001</v>
      </c>
      <c r="G63" s="17">
        <f>'AEO 2023 Table 35 Raw'!J50</f>
        <v>3326.748047</v>
      </c>
      <c r="H63" s="17">
        <f>'AEO 2023 Table 35 Raw'!K50</f>
        <v>3341.788818</v>
      </c>
      <c r="I63" s="17">
        <f>'AEO 2023 Table 35 Raw'!L50</f>
        <v>3354.9106449999999</v>
      </c>
      <c r="J63" s="17">
        <f>'AEO 2023 Table 35 Raw'!M50</f>
        <v>3361.9091800000001</v>
      </c>
      <c r="K63" s="17">
        <f>'AEO 2023 Table 35 Raw'!N50</f>
        <v>3363.8264159999999</v>
      </c>
      <c r="L63" s="17">
        <f>'AEO 2023 Table 35 Raw'!O50</f>
        <v>3368.1003420000002</v>
      </c>
      <c r="M63" s="17">
        <f>'AEO 2023 Table 35 Raw'!P50</f>
        <v>3383.2751459999999</v>
      </c>
      <c r="N63" s="17">
        <f>'AEO 2023 Table 35 Raw'!Q50</f>
        <v>3393.6684570000002</v>
      </c>
      <c r="O63" s="17">
        <f>'AEO 2023 Table 35 Raw'!R50</f>
        <v>3393.7292480000001</v>
      </c>
      <c r="P63" s="17">
        <f>'AEO 2023 Table 35 Raw'!S50</f>
        <v>3396.8784179999998</v>
      </c>
      <c r="Q63" s="17">
        <f>'AEO 2023 Table 35 Raw'!T50</f>
        <v>3408.642578</v>
      </c>
      <c r="R63" s="17">
        <f>'AEO 2023 Table 35 Raw'!U50</f>
        <v>3428.9067380000001</v>
      </c>
      <c r="S63" s="17">
        <f>'AEO 2023 Table 35 Raw'!V50</f>
        <v>3455.5297850000002</v>
      </c>
      <c r="T63" s="17">
        <f>'AEO 2023 Table 35 Raw'!W50</f>
        <v>3486.1757809999999</v>
      </c>
      <c r="U63" s="17">
        <f>'AEO 2023 Table 35 Raw'!X50</f>
        <v>3522.100586</v>
      </c>
      <c r="V63" s="17">
        <f>'AEO 2023 Table 35 Raw'!Y50</f>
        <v>3554.4704590000001</v>
      </c>
      <c r="W63" s="17">
        <f>'AEO 2023 Table 35 Raw'!Z50</f>
        <v>3588.3232419999999</v>
      </c>
      <c r="X63" s="17">
        <f>'AEO 2023 Table 35 Raw'!AA50</f>
        <v>3622.5583499999998</v>
      </c>
      <c r="Y63" s="17">
        <f>'AEO 2023 Table 35 Raw'!AB50</f>
        <v>3658.4345699999999</v>
      </c>
      <c r="Z63" s="17">
        <f>'AEO 2023 Table 35 Raw'!AC50</f>
        <v>3694.2145999999998</v>
      </c>
      <c r="AA63" s="17">
        <f>'AEO 2023 Table 35 Raw'!AD50</f>
        <v>3730.8022460000002</v>
      </c>
      <c r="AB63" s="17">
        <f>'AEO 2023 Table 35 Raw'!AE50</f>
        <v>3769.9558109999998</v>
      </c>
      <c r="AC63" s="17">
        <f>'AEO 2023 Table 35 Raw'!AF50</f>
        <v>3812.0532229999999</v>
      </c>
      <c r="AD63" s="17">
        <f>'AEO 2023 Table 35 Raw'!AG50</f>
        <v>3855.5913089999999</v>
      </c>
      <c r="AE63" s="17">
        <f>'AEO 2023 Table 35 Raw'!AH50</f>
        <v>3903.7746579999998</v>
      </c>
      <c r="AF63" s="30">
        <f>'AEO 2023 Table 35 Raw'!AI50</f>
        <v>8.0000000000000002E-3</v>
      </c>
    </row>
    <row r="64" spans="1:32" ht="15" customHeight="1">
      <c r="A64" s="7" t="s">
        <v>379</v>
      </c>
      <c r="B64" s="16" t="s">
        <v>380</v>
      </c>
      <c r="C64" s="17">
        <f>'AEO 2023 Table 35 Raw'!F51</f>
        <v>687.54095500000005</v>
      </c>
      <c r="D64" s="17">
        <f>'AEO 2023 Table 35 Raw'!G51</f>
        <v>534.06658900000002</v>
      </c>
      <c r="E64" s="17">
        <f>'AEO 2023 Table 35 Raw'!H51</f>
        <v>523.28320299999996</v>
      </c>
      <c r="F64" s="17">
        <f>'AEO 2023 Table 35 Raw'!I51</f>
        <v>527.48327600000005</v>
      </c>
      <c r="G64" s="17">
        <f>'AEO 2023 Table 35 Raw'!J51</f>
        <v>504.60025000000002</v>
      </c>
      <c r="H64" s="17">
        <f>'AEO 2023 Table 35 Raw'!K51</f>
        <v>498.15963699999998</v>
      </c>
      <c r="I64" s="17">
        <f>'AEO 2023 Table 35 Raw'!L51</f>
        <v>478.73602299999999</v>
      </c>
      <c r="J64" s="17">
        <f>'AEO 2023 Table 35 Raw'!M51</f>
        <v>467.51080300000001</v>
      </c>
      <c r="K64" s="17">
        <f>'AEO 2023 Table 35 Raw'!N51</f>
        <v>459.09939600000001</v>
      </c>
      <c r="L64" s="17">
        <f>'AEO 2023 Table 35 Raw'!O51</f>
        <v>457.60861199999999</v>
      </c>
      <c r="M64" s="17">
        <f>'AEO 2023 Table 35 Raw'!P51</f>
        <v>455.80740400000002</v>
      </c>
      <c r="N64" s="17">
        <f>'AEO 2023 Table 35 Raw'!Q51</f>
        <v>455.02813700000002</v>
      </c>
      <c r="O64" s="17">
        <f>'AEO 2023 Table 35 Raw'!R51</f>
        <v>453.21978799999999</v>
      </c>
      <c r="P64" s="17">
        <f>'AEO 2023 Table 35 Raw'!S51</f>
        <v>451.31939699999998</v>
      </c>
      <c r="Q64" s="17">
        <f>'AEO 2023 Table 35 Raw'!T51</f>
        <v>447.886414</v>
      </c>
      <c r="R64" s="17">
        <f>'AEO 2023 Table 35 Raw'!U51</f>
        <v>446.59118699999999</v>
      </c>
      <c r="S64" s="17">
        <f>'AEO 2023 Table 35 Raw'!V51</f>
        <v>444.524719</v>
      </c>
      <c r="T64" s="17">
        <f>'AEO 2023 Table 35 Raw'!W51</f>
        <v>442.69528200000002</v>
      </c>
      <c r="U64" s="17">
        <f>'AEO 2023 Table 35 Raw'!X51</f>
        <v>443.20181300000002</v>
      </c>
      <c r="V64" s="17">
        <f>'AEO 2023 Table 35 Raw'!Y51</f>
        <v>440.411224</v>
      </c>
      <c r="W64" s="17">
        <f>'AEO 2023 Table 35 Raw'!Z51</f>
        <v>437.5</v>
      </c>
      <c r="X64" s="17">
        <f>'AEO 2023 Table 35 Raw'!AA51</f>
        <v>435.14239500000002</v>
      </c>
      <c r="Y64" s="17">
        <f>'AEO 2023 Table 35 Raw'!AB51</f>
        <v>433.06466699999999</v>
      </c>
      <c r="Z64" s="17">
        <f>'AEO 2023 Table 35 Raw'!AC51</f>
        <v>430.13955700000002</v>
      </c>
      <c r="AA64" s="17">
        <f>'AEO 2023 Table 35 Raw'!AD51</f>
        <v>428.80432100000002</v>
      </c>
      <c r="AB64" s="17">
        <f>'AEO 2023 Table 35 Raw'!AE51</f>
        <v>426.51617399999998</v>
      </c>
      <c r="AC64" s="17">
        <f>'AEO 2023 Table 35 Raw'!AF51</f>
        <v>419.48242199999999</v>
      </c>
      <c r="AD64" s="17">
        <f>'AEO 2023 Table 35 Raw'!AG51</f>
        <v>418.070831</v>
      </c>
      <c r="AE64" s="17">
        <f>'AEO 2023 Table 35 Raw'!AH51</f>
        <v>415.685272</v>
      </c>
      <c r="AF64" s="30">
        <f>'AEO 2023 Table 35 Raw'!AI51</f>
        <v>-1.7999999999999999E-2</v>
      </c>
    </row>
    <row r="65" spans="1:32" ht="15" customHeight="1">
      <c r="A65" s="7" t="s">
        <v>381</v>
      </c>
      <c r="B65" s="16" t="s">
        <v>382</v>
      </c>
      <c r="C65" s="17">
        <f>'AEO 2023 Table 35 Raw'!F52</f>
        <v>22.421617999999999</v>
      </c>
      <c r="D65" s="17">
        <f>'AEO 2023 Table 35 Raw'!G52</f>
        <v>22.410634999999999</v>
      </c>
      <c r="E65" s="17">
        <f>'AEO 2023 Table 35 Raw'!H52</f>
        <v>22.401547999999998</v>
      </c>
      <c r="F65" s="17">
        <f>'AEO 2023 Table 35 Raw'!I52</f>
        <v>22.394031999999999</v>
      </c>
      <c r="G65" s="17">
        <f>'AEO 2023 Table 35 Raw'!J52</f>
        <v>22.387812</v>
      </c>
      <c r="H65" s="17">
        <f>'AEO 2023 Table 35 Raw'!K52</f>
        <v>22.382666</v>
      </c>
      <c r="I65" s="17">
        <f>'AEO 2023 Table 35 Raw'!L52</f>
        <v>22.378406999999999</v>
      </c>
      <c r="J65" s="17">
        <f>'AEO 2023 Table 35 Raw'!M52</f>
        <v>22.374884000000002</v>
      </c>
      <c r="K65" s="17">
        <f>'AEO 2023 Table 35 Raw'!N52</f>
        <v>22.371969</v>
      </c>
      <c r="L65" s="17">
        <f>'AEO 2023 Table 35 Raw'!O52</f>
        <v>22.369558000000001</v>
      </c>
      <c r="M65" s="17">
        <f>'AEO 2023 Table 35 Raw'!P52</f>
        <v>22.367563000000001</v>
      </c>
      <c r="N65" s="17">
        <f>'AEO 2023 Table 35 Raw'!Q52</f>
        <v>22.365911000000001</v>
      </c>
      <c r="O65" s="17">
        <f>'AEO 2023 Table 35 Raw'!R52</f>
        <v>22.364546000000001</v>
      </c>
      <c r="P65" s="17">
        <f>'AEO 2023 Table 35 Raw'!S52</f>
        <v>22.363416999999998</v>
      </c>
      <c r="Q65" s="17">
        <f>'AEO 2023 Table 35 Raw'!T52</f>
        <v>22.362480000000001</v>
      </c>
      <c r="R65" s="17">
        <f>'AEO 2023 Table 35 Raw'!U52</f>
        <v>22.361708</v>
      </c>
      <c r="S65" s="17">
        <f>'AEO 2023 Table 35 Raw'!V52</f>
        <v>22.361066999999998</v>
      </c>
      <c r="T65" s="17">
        <f>'AEO 2023 Table 35 Raw'!W52</f>
        <v>22.360537999999998</v>
      </c>
      <c r="U65" s="17">
        <f>'AEO 2023 Table 35 Raw'!X52</f>
        <v>22.360099999999999</v>
      </c>
      <c r="V65" s="17">
        <f>'AEO 2023 Table 35 Raw'!Y52</f>
        <v>22.359736999999999</v>
      </c>
      <c r="W65" s="17">
        <f>'AEO 2023 Table 35 Raw'!Z52</f>
        <v>22.359438000000001</v>
      </c>
      <c r="X65" s="17">
        <f>'AEO 2023 Table 35 Raw'!AA52</f>
        <v>22.359190000000002</v>
      </c>
      <c r="Y65" s="17">
        <f>'AEO 2023 Table 35 Raw'!AB52</f>
        <v>22.358984</v>
      </c>
      <c r="Z65" s="17">
        <f>'AEO 2023 Table 35 Raw'!AC52</f>
        <v>22.358813999999999</v>
      </c>
      <c r="AA65" s="17">
        <f>'AEO 2023 Table 35 Raw'!AD52</f>
        <v>22.358673</v>
      </c>
      <c r="AB65" s="17">
        <f>'AEO 2023 Table 35 Raw'!AE52</f>
        <v>22.358557000000001</v>
      </c>
      <c r="AC65" s="17">
        <f>'AEO 2023 Table 35 Raw'!AF52</f>
        <v>22.358460999999998</v>
      </c>
      <c r="AD65" s="17">
        <f>'AEO 2023 Table 35 Raw'!AG52</f>
        <v>22.358381000000001</v>
      </c>
      <c r="AE65" s="17">
        <f>'AEO 2023 Table 35 Raw'!AH52</f>
        <v>22.358315000000001</v>
      </c>
      <c r="AF65" s="30">
        <f>'AEO 2023 Table 35 Raw'!AI52</f>
        <v>0</v>
      </c>
    </row>
    <row r="66" spans="1:32" ht="15" customHeight="1">
      <c r="A66" s="7" t="s">
        <v>383</v>
      </c>
      <c r="B66" s="16" t="s">
        <v>358</v>
      </c>
      <c r="C66" s="17">
        <f>'AEO 2023 Table 35 Raw'!F53</f>
        <v>11.098148</v>
      </c>
      <c r="D66" s="17">
        <f>'AEO 2023 Table 35 Raw'!G53</f>
        <v>11.638881</v>
      </c>
      <c r="E66" s="17">
        <f>'AEO 2023 Table 35 Raw'!H53</f>
        <v>11.734691</v>
      </c>
      <c r="F66" s="17">
        <f>'AEO 2023 Table 35 Raw'!I53</f>
        <v>11.841097</v>
      </c>
      <c r="G66" s="17">
        <f>'AEO 2023 Table 35 Raw'!J53</f>
        <v>11.937113999999999</v>
      </c>
      <c r="H66" s="17">
        <f>'AEO 2023 Table 35 Raw'!K53</f>
        <v>12.024255999999999</v>
      </c>
      <c r="I66" s="17">
        <f>'AEO 2023 Table 35 Raw'!L53</f>
        <v>11.830360000000001</v>
      </c>
      <c r="J66" s="17">
        <f>'AEO 2023 Table 35 Raw'!M53</f>
        <v>11.89204</v>
      </c>
      <c r="K66" s="17">
        <f>'AEO 2023 Table 35 Raw'!N53</f>
        <v>11.967136</v>
      </c>
      <c r="L66" s="17">
        <f>'AEO 2023 Table 35 Raw'!O53</f>
        <v>12.037926000000001</v>
      </c>
      <c r="M66" s="17">
        <f>'AEO 2023 Table 35 Raw'!P53</f>
        <v>12.127772</v>
      </c>
      <c r="N66" s="17">
        <f>'AEO 2023 Table 35 Raw'!Q53</f>
        <v>12.238341999999999</v>
      </c>
      <c r="O66" s="17">
        <f>'AEO 2023 Table 35 Raw'!R53</f>
        <v>12.364704</v>
      </c>
      <c r="P66" s="17">
        <f>'AEO 2023 Table 35 Raw'!S53</f>
        <v>12.498858</v>
      </c>
      <c r="Q66" s="17">
        <f>'AEO 2023 Table 35 Raw'!T53</f>
        <v>12.645001000000001</v>
      </c>
      <c r="R66" s="17">
        <f>'AEO 2023 Table 35 Raw'!U53</f>
        <v>12.827757</v>
      </c>
      <c r="S66" s="17">
        <f>'AEO 2023 Table 35 Raw'!V53</f>
        <v>13.023097999999999</v>
      </c>
      <c r="T66" s="17">
        <f>'AEO 2023 Table 35 Raw'!W53</f>
        <v>13.234344</v>
      </c>
      <c r="U66" s="17">
        <f>'AEO 2023 Table 35 Raw'!X53</f>
        <v>13.484800999999999</v>
      </c>
      <c r="V66" s="17">
        <f>'AEO 2023 Table 35 Raw'!Y53</f>
        <v>13.770166</v>
      </c>
      <c r="W66" s="17">
        <f>'AEO 2023 Table 35 Raw'!Z53</f>
        <v>14.090672</v>
      </c>
      <c r="X66" s="17">
        <f>'AEO 2023 Table 35 Raw'!AA53</f>
        <v>14.439</v>
      </c>
      <c r="Y66" s="17">
        <f>'AEO 2023 Table 35 Raw'!AB53</f>
        <v>14.813559</v>
      </c>
      <c r="Z66" s="17">
        <f>'AEO 2023 Table 35 Raw'!AC53</f>
        <v>15.22081</v>
      </c>
      <c r="AA66" s="17">
        <f>'AEO 2023 Table 35 Raw'!AD53</f>
        <v>15.666567000000001</v>
      </c>
      <c r="AB66" s="17">
        <f>'AEO 2023 Table 35 Raw'!AE53</f>
        <v>16.145886999999998</v>
      </c>
      <c r="AC66" s="17">
        <f>'AEO 2023 Table 35 Raw'!AF53</f>
        <v>16.648540000000001</v>
      </c>
      <c r="AD66" s="17">
        <f>'AEO 2023 Table 35 Raw'!AG53</f>
        <v>17.167376000000001</v>
      </c>
      <c r="AE66" s="17">
        <f>'AEO 2023 Table 35 Raw'!AH53</f>
        <v>17.720831</v>
      </c>
      <c r="AF66" s="30">
        <f>'AEO 2023 Table 35 Raw'!AI53</f>
        <v>1.7000000000000001E-2</v>
      </c>
    </row>
    <row r="67" spans="1:32" ht="15" customHeight="1">
      <c r="A67" s="7" t="s">
        <v>384</v>
      </c>
      <c r="B67" s="16" t="s">
        <v>385</v>
      </c>
      <c r="C67" s="17">
        <f>'AEO 2023 Table 35 Raw'!F54</f>
        <v>125.899567</v>
      </c>
      <c r="D67" s="17">
        <f>'AEO 2023 Table 35 Raw'!G54</f>
        <v>125.37957</v>
      </c>
      <c r="E67" s="17">
        <f>'AEO 2023 Table 35 Raw'!H54</f>
        <v>125.029449</v>
      </c>
      <c r="F67" s="17">
        <f>'AEO 2023 Table 35 Raw'!I54</f>
        <v>124.801453</v>
      </c>
      <c r="G67" s="17">
        <f>'AEO 2023 Table 35 Raw'!J54</f>
        <v>124.69525899999999</v>
      </c>
      <c r="H67" s="17">
        <f>'AEO 2023 Table 35 Raw'!K54</f>
        <v>124.384125</v>
      </c>
      <c r="I67" s="17">
        <f>'AEO 2023 Table 35 Raw'!L54</f>
        <v>124.116241</v>
      </c>
      <c r="J67" s="17">
        <f>'AEO 2023 Table 35 Raw'!M54</f>
        <v>123.91597</v>
      </c>
      <c r="K67" s="17">
        <f>'AEO 2023 Table 35 Raw'!N54</f>
        <v>123.706886</v>
      </c>
      <c r="L67" s="17">
        <f>'AEO 2023 Table 35 Raw'!O54</f>
        <v>123.50303599999999</v>
      </c>
      <c r="M67" s="17">
        <f>'AEO 2023 Table 35 Raw'!P54</f>
        <v>123.399162</v>
      </c>
      <c r="N67" s="17">
        <f>'AEO 2023 Table 35 Raw'!Q54</f>
        <v>123.350677</v>
      </c>
      <c r="O67" s="17">
        <f>'AEO 2023 Table 35 Raw'!R54</f>
        <v>123.229088</v>
      </c>
      <c r="P67" s="17">
        <f>'AEO 2023 Table 35 Raw'!S54</f>
        <v>123.060562</v>
      </c>
      <c r="Q67" s="17">
        <f>'AEO 2023 Table 35 Raw'!T54</f>
        <v>122.913391</v>
      </c>
      <c r="R67" s="17">
        <f>'AEO 2023 Table 35 Raw'!U54</f>
        <v>122.84301000000001</v>
      </c>
      <c r="S67" s="17">
        <f>'AEO 2023 Table 35 Raw'!V54</f>
        <v>122.868729</v>
      </c>
      <c r="T67" s="17">
        <f>'AEO 2023 Table 35 Raw'!W54</f>
        <v>122.974594</v>
      </c>
      <c r="U67" s="17">
        <f>'AEO 2023 Table 35 Raw'!X54</f>
        <v>123.115875</v>
      </c>
      <c r="V67" s="17">
        <f>'AEO 2023 Table 35 Raw'!Y54</f>
        <v>123.245796</v>
      </c>
      <c r="W67" s="17">
        <f>'AEO 2023 Table 35 Raw'!Z54</f>
        <v>123.376953</v>
      </c>
      <c r="X67" s="17">
        <f>'AEO 2023 Table 35 Raw'!AA54</f>
        <v>123.487793</v>
      </c>
      <c r="Y67" s="17">
        <f>'AEO 2023 Table 35 Raw'!AB54</f>
        <v>123.561241</v>
      </c>
      <c r="Z67" s="17">
        <f>'AEO 2023 Table 35 Raw'!AC54</f>
        <v>123.627106</v>
      </c>
      <c r="AA67" s="17">
        <f>'AEO 2023 Table 35 Raw'!AD54</f>
        <v>123.712143</v>
      </c>
      <c r="AB67" s="17">
        <f>'AEO 2023 Table 35 Raw'!AE54</f>
        <v>123.813293</v>
      </c>
      <c r="AC67" s="17">
        <f>'AEO 2023 Table 35 Raw'!AF54</f>
        <v>123.925461</v>
      </c>
      <c r="AD67" s="17">
        <f>'AEO 2023 Table 35 Raw'!AG54</f>
        <v>124.036011</v>
      </c>
      <c r="AE67" s="17">
        <f>'AEO 2023 Table 35 Raw'!AH54</f>
        <v>124.148155</v>
      </c>
      <c r="AF67" s="30">
        <f>'AEO 2023 Table 35 Raw'!AI54</f>
        <v>-1E-3</v>
      </c>
    </row>
    <row r="68" spans="1:32" ht="15" customHeight="1">
      <c r="A68" s="7" t="s">
        <v>386</v>
      </c>
      <c r="B68" s="16" t="s">
        <v>387</v>
      </c>
      <c r="C68" s="17">
        <f>'AEO 2023 Table 35 Raw'!F55</f>
        <v>26474.439452999999</v>
      </c>
      <c r="D68" s="17">
        <f>'AEO 2023 Table 35 Raw'!G55</f>
        <v>26275.306640999999</v>
      </c>
      <c r="E68" s="17">
        <f>'AEO 2023 Table 35 Raw'!H55</f>
        <v>25864.738281000002</v>
      </c>
      <c r="F68" s="17">
        <f>'AEO 2023 Table 35 Raw'!I55</f>
        <v>25424.923827999999</v>
      </c>
      <c r="G68" s="17">
        <f>'AEO 2023 Table 35 Raw'!J55</f>
        <v>25080.535156000002</v>
      </c>
      <c r="H68" s="17">
        <f>'AEO 2023 Table 35 Raw'!K55</f>
        <v>24781.728515999999</v>
      </c>
      <c r="I68" s="17">
        <f>'AEO 2023 Table 35 Raw'!L55</f>
        <v>24490.353515999999</v>
      </c>
      <c r="J68" s="17">
        <f>'AEO 2023 Table 35 Raw'!M55</f>
        <v>24154.6875</v>
      </c>
      <c r="K68" s="17">
        <f>'AEO 2023 Table 35 Raw'!N55</f>
        <v>23816.382812</v>
      </c>
      <c r="L68" s="17">
        <f>'AEO 2023 Table 35 Raw'!O55</f>
        <v>23520.125</v>
      </c>
      <c r="M68" s="17">
        <f>'AEO 2023 Table 35 Raw'!P55</f>
        <v>23260.289062</v>
      </c>
      <c r="N68" s="17">
        <f>'AEO 2023 Table 35 Raw'!Q55</f>
        <v>23027.552734000001</v>
      </c>
      <c r="O68" s="17">
        <f>'AEO 2023 Table 35 Raw'!R55</f>
        <v>22772.490234000001</v>
      </c>
      <c r="P68" s="17">
        <f>'AEO 2023 Table 35 Raw'!S55</f>
        <v>22516.123047000001</v>
      </c>
      <c r="Q68" s="17">
        <f>'AEO 2023 Table 35 Raw'!T55</f>
        <v>22253.423827999999</v>
      </c>
      <c r="R68" s="17">
        <f>'AEO 2023 Table 35 Raw'!U55</f>
        <v>22050.28125</v>
      </c>
      <c r="S68" s="17">
        <f>'AEO 2023 Table 35 Raw'!V55</f>
        <v>21887.285156000002</v>
      </c>
      <c r="T68" s="17">
        <f>'AEO 2023 Table 35 Raw'!W55</f>
        <v>21736.904297000001</v>
      </c>
      <c r="U68" s="17">
        <f>'AEO 2023 Table 35 Raw'!X55</f>
        <v>21630.789062</v>
      </c>
      <c r="V68" s="17">
        <f>'AEO 2023 Table 35 Raw'!Y55</f>
        <v>21524.599609000001</v>
      </c>
      <c r="W68" s="17">
        <f>'AEO 2023 Table 35 Raw'!Z55</f>
        <v>21444.472656000002</v>
      </c>
      <c r="X68" s="17">
        <f>'AEO 2023 Table 35 Raw'!AA55</f>
        <v>21380.144531000002</v>
      </c>
      <c r="Y68" s="17">
        <f>'AEO 2023 Table 35 Raw'!AB55</f>
        <v>21338.890625</v>
      </c>
      <c r="Z68" s="17">
        <f>'AEO 2023 Table 35 Raw'!AC55</f>
        <v>21319.636718999998</v>
      </c>
      <c r="AA68" s="17">
        <f>'AEO 2023 Table 35 Raw'!AD55</f>
        <v>21330.978515999999</v>
      </c>
      <c r="AB68" s="17">
        <f>'AEO 2023 Table 35 Raw'!AE55</f>
        <v>21368.953125</v>
      </c>
      <c r="AC68" s="17">
        <f>'AEO 2023 Table 35 Raw'!AF55</f>
        <v>21419.558593999998</v>
      </c>
      <c r="AD68" s="17">
        <f>'AEO 2023 Table 35 Raw'!AG55</f>
        <v>21498.136718999998</v>
      </c>
      <c r="AE68" s="17">
        <f>'AEO 2023 Table 35 Raw'!AH55</f>
        <v>21607.484375</v>
      </c>
      <c r="AF68" s="30">
        <f>'AEO 2023 Table 35 Raw'!AI55</f>
        <v>-7.0000000000000001E-3</v>
      </c>
    </row>
    <row r="69" spans="1:32" ht="15" customHeight="1">
      <c r="A69" s="7" t="s">
        <v>388</v>
      </c>
      <c r="B69" s="16" t="s">
        <v>389</v>
      </c>
      <c r="C69" s="17">
        <f>'AEO 2023 Table 35 Raw'!F56</f>
        <v>57.428192000000003</v>
      </c>
      <c r="D69" s="17">
        <f>'AEO 2023 Table 35 Raw'!G56</f>
        <v>67.812027</v>
      </c>
      <c r="E69" s="17">
        <f>'AEO 2023 Table 35 Raw'!H56</f>
        <v>80.637009000000006</v>
      </c>
      <c r="F69" s="17">
        <f>'AEO 2023 Table 35 Raw'!I56</f>
        <v>94.973990999999998</v>
      </c>
      <c r="G69" s="17">
        <f>'AEO 2023 Table 35 Raw'!J56</f>
        <v>112.106033</v>
      </c>
      <c r="H69" s="17">
        <f>'AEO 2023 Table 35 Raw'!K56</f>
        <v>132.39259300000001</v>
      </c>
      <c r="I69" s="17">
        <f>'AEO 2023 Table 35 Raw'!L56</f>
        <v>155.63859600000001</v>
      </c>
      <c r="J69" s="17">
        <f>'AEO 2023 Table 35 Raw'!M56</f>
        <v>182.34169</v>
      </c>
      <c r="K69" s="17">
        <f>'AEO 2023 Table 35 Raw'!N56</f>
        <v>212.164154</v>
      </c>
      <c r="L69" s="17">
        <f>'AEO 2023 Table 35 Raw'!O56</f>
        <v>239.845001</v>
      </c>
      <c r="M69" s="17">
        <f>'AEO 2023 Table 35 Raw'!P56</f>
        <v>268.92163099999999</v>
      </c>
      <c r="N69" s="17">
        <f>'AEO 2023 Table 35 Raw'!Q56</f>
        <v>298.28753699999999</v>
      </c>
      <c r="O69" s="17">
        <f>'AEO 2023 Table 35 Raw'!R56</f>
        <v>328.235229</v>
      </c>
      <c r="P69" s="17">
        <f>'AEO 2023 Table 35 Raw'!S56</f>
        <v>357.42300399999999</v>
      </c>
      <c r="Q69" s="17">
        <f>'AEO 2023 Table 35 Raw'!T56</f>
        <v>385.22830199999999</v>
      </c>
      <c r="R69" s="17">
        <f>'AEO 2023 Table 35 Raw'!U56</f>
        <v>412.47155800000002</v>
      </c>
      <c r="S69" s="17">
        <f>'AEO 2023 Table 35 Raw'!V56</f>
        <v>439.05050699999998</v>
      </c>
      <c r="T69" s="17">
        <f>'AEO 2023 Table 35 Raw'!W56</f>
        <v>464.62539700000002</v>
      </c>
      <c r="U69" s="17">
        <f>'AEO 2023 Table 35 Raw'!X56</f>
        <v>488.581299</v>
      </c>
      <c r="V69" s="17">
        <f>'AEO 2023 Table 35 Raw'!Y56</f>
        <v>511.21435500000001</v>
      </c>
      <c r="W69" s="17">
        <f>'AEO 2023 Table 35 Raw'!Z56</f>
        <v>532.63305700000001</v>
      </c>
      <c r="X69" s="17">
        <f>'AEO 2023 Table 35 Raw'!AA56</f>
        <v>552.37249799999995</v>
      </c>
      <c r="Y69" s="17">
        <f>'AEO 2023 Table 35 Raw'!AB56</f>
        <v>570.93585199999995</v>
      </c>
      <c r="Z69" s="17">
        <f>'AEO 2023 Table 35 Raw'!AC56</f>
        <v>587.90716599999996</v>
      </c>
      <c r="AA69" s="17">
        <f>'AEO 2023 Table 35 Raw'!AD56</f>
        <v>603.93145800000002</v>
      </c>
      <c r="AB69" s="17">
        <f>'AEO 2023 Table 35 Raw'!AE56</f>
        <v>619.66760299999999</v>
      </c>
      <c r="AC69" s="17">
        <f>'AEO 2023 Table 35 Raw'!AF56</f>
        <v>635.07214399999998</v>
      </c>
      <c r="AD69" s="17">
        <f>'AEO 2023 Table 35 Raw'!AG56</f>
        <v>649.73669400000006</v>
      </c>
      <c r="AE69" s="17">
        <f>'AEO 2023 Table 35 Raw'!AH56</f>
        <v>663.96758999999997</v>
      </c>
      <c r="AF69" s="30">
        <f>'AEO 2023 Table 35 Raw'!AI56</f>
        <v>9.0999999999999998E-2</v>
      </c>
    </row>
    <row r="70" spans="1:32" ht="15" customHeight="1">
      <c r="A70" s="7" t="s">
        <v>390</v>
      </c>
      <c r="B70" s="16" t="s">
        <v>391</v>
      </c>
      <c r="C70" s="17">
        <f>'AEO 2023 Table 35 Raw'!F57</f>
        <v>107.505577</v>
      </c>
      <c r="D70" s="17">
        <f>'AEO 2023 Table 35 Raw'!G57</f>
        <v>113.84777800000001</v>
      </c>
      <c r="E70" s="17">
        <f>'AEO 2023 Table 35 Raw'!H57</f>
        <v>122.752182</v>
      </c>
      <c r="F70" s="17">
        <f>'AEO 2023 Table 35 Raw'!I57</f>
        <v>118.38056899999999</v>
      </c>
      <c r="G70" s="17">
        <f>'AEO 2023 Table 35 Raw'!J57</f>
        <v>128.863663</v>
      </c>
      <c r="H70" s="17">
        <f>'AEO 2023 Table 35 Raw'!K57</f>
        <v>128.79482999999999</v>
      </c>
      <c r="I70" s="17">
        <f>'AEO 2023 Table 35 Raw'!L57</f>
        <v>133.25419600000001</v>
      </c>
      <c r="J70" s="17">
        <f>'AEO 2023 Table 35 Raw'!M57</f>
        <v>136.540436</v>
      </c>
      <c r="K70" s="17">
        <f>'AEO 2023 Table 35 Raw'!N57</f>
        <v>137.63580300000001</v>
      </c>
      <c r="L70" s="17">
        <f>'AEO 2023 Table 35 Raw'!O57</f>
        <v>137.40774500000001</v>
      </c>
      <c r="M70" s="17">
        <f>'AEO 2023 Table 35 Raw'!P57</f>
        <v>137.39987199999999</v>
      </c>
      <c r="N70" s="17">
        <f>'AEO 2023 Table 35 Raw'!Q57</f>
        <v>137.52301</v>
      </c>
      <c r="O70" s="17">
        <f>'AEO 2023 Table 35 Raw'!R57</f>
        <v>138.70100400000001</v>
      </c>
      <c r="P70" s="17">
        <f>'AEO 2023 Table 35 Raw'!S57</f>
        <v>141.654236</v>
      </c>
      <c r="Q70" s="17">
        <f>'AEO 2023 Table 35 Raw'!T57</f>
        <v>146.39292900000001</v>
      </c>
      <c r="R70" s="17">
        <f>'AEO 2023 Table 35 Raw'!U57</f>
        <v>152.01370199999999</v>
      </c>
      <c r="S70" s="17">
        <f>'AEO 2023 Table 35 Raw'!V57</f>
        <v>158.15837099999999</v>
      </c>
      <c r="T70" s="17">
        <f>'AEO 2023 Table 35 Raw'!W57</f>
        <v>164.34667999999999</v>
      </c>
      <c r="U70" s="17">
        <f>'AEO 2023 Table 35 Raw'!X57</f>
        <v>168.489655</v>
      </c>
      <c r="V70" s="17">
        <f>'AEO 2023 Table 35 Raw'!Y57</f>
        <v>175.71121199999999</v>
      </c>
      <c r="W70" s="17">
        <f>'AEO 2023 Table 35 Raw'!Z57</f>
        <v>184.33961500000001</v>
      </c>
      <c r="X70" s="17">
        <f>'AEO 2023 Table 35 Raw'!AA57</f>
        <v>193.912994</v>
      </c>
      <c r="Y70" s="17">
        <f>'AEO 2023 Table 35 Raw'!AB57</f>
        <v>203.51492300000001</v>
      </c>
      <c r="Z70" s="17">
        <f>'AEO 2023 Table 35 Raw'!AC57</f>
        <v>214.54742400000001</v>
      </c>
      <c r="AA70" s="17">
        <f>'AEO 2023 Table 35 Raw'!AD57</f>
        <v>225.16784699999999</v>
      </c>
      <c r="AB70" s="17">
        <f>'AEO 2023 Table 35 Raw'!AE57</f>
        <v>238.10320999999999</v>
      </c>
      <c r="AC70" s="17">
        <f>'AEO 2023 Table 35 Raw'!AF57</f>
        <v>253.38540599999999</v>
      </c>
      <c r="AD70" s="17">
        <f>'AEO 2023 Table 35 Raw'!AG57</f>
        <v>267.18725599999999</v>
      </c>
      <c r="AE70" s="17">
        <f>'AEO 2023 Table 35 Raw'!AH57</f>
        <v>281.74203499999999</v>
      </c>
      <c r="AF70" s="30">
        <f>'AEO 2023 Table 35 Raw'!AI57</f>
        <v>3.5000000000000003E-2</v>
      </c>
    </row>
    <row r="71" spans="1:32" ht="15" customHeight="1">
      <c r="A71" s="7" t="s">
        <v>392</v>
      </c>
      <c r="B71" s="16" t="s">
        <v>393</v>
      </c>
      <c r="C71" s="17">
        <f>'AEO 2023 Table 35 Raw'!F58</f>
        <v>0.44304500000000002</v>
      </c>
      <c r="D71" s="17">
        <f>'AEO 2023 Table 35 Raw'!G58</f>
        <v>0.52097800000000005</v>
      </c>
      <c r="E71" s="17">
        <f>'AEO 2023 Table 35 Raw'!H58</f>
        <v>0.58653200000000005</v>
      </c>
      <c r="F71" s="17">
        <f>'AEO 2023 Table 35 Raw'!I58</f>
        <v>0.64358099999999996</v>
      </c>
      <c r="G71" s="17">
        <f>'AEO 2023 Table 35 Raw'!J58</f>
        <v>0.70382699999999998</v>
      </c>
      <c r="H71" s="17">
        <f>'AEO 2023 Table 35 Raw'!K58</f>
        <v>0.76070499999999996</v>
      </c>
      <c r="I71" s="17">
        <f>'AEO 2023 Table 35 Raw'!L58</f>
        <v>0.82146399999999997</v>
      </c>
      <c r="J71" s="17">
        <f>'AEO 2023 Table 35 Raw'!M58</f>
        <v>0.878104</v>
      </c>
      <c r="K71" s="17">
        <f>'AEO 2023 Table 35 Raw'!N58</f>
        <v>0.938114</v>
      </c>
      <c r="L71" s="17">
        <f>'AEO 2023 Table 35 Raw'!O58</f>
        <v>0.99819199999999997</v>
      </c>
      <c r="M71" s="17">
        <f>'AEO 2023 Table 35 Raw'!P58</f>
        <v>1.0574220000000001</v>
      </c>
      <c r="N71" s="17">
        <f>'AEO 2023 Table 35 Raw'!Q58</f>
        <v>1.1148070000000001</v>
      </c>
      <c r="O71" s="17">
        <f>'AEO 2023 Table 35 Raw'!R58</f>
        <v>1.1702570000000001</v>
      </c>
      <c r="P71" s="17">
        <f>'AEO 2023 Table 35 Raw'!S58</f>
        <v>1.221687</v>
      </c>
      <c r="Q71" s="17">
        <f>'AEO 2023 Table 35 Raw'!T58</f>
        <v>1.266926</v>
      </c>
      <c r="R71" s="17">
        <f>'AEO 2023 Table 35 Raw'!U58</f>
        <v>1.310114</v>
      </c>
      <c r="S71" s="17">
        <f>'AEO 2023 Table 35 Raw'!V58</f>
        <v>1.3480730000000001</v>
      </c>
      <c r="T71" s="17">
        <f>'AEO 2023 Table 35 Raw'!W58</f>
        <v>1.380917</v>
      </c>
      <c r="U71" s="17">
        <f>'AEO 2023 Table 35 Raw'!X58</f>
        <v>1.4054770000000001</v>
      </c>
      <c r="V71" s="17">
        <f>'AEO 2023 Table 35 Raw'!Y58</f>
        <v>1.422318</v>
      </c>
      <c r="W71" s="17">
        <f>'AEO 2023 Table 35 Raw'!Z58</f>
        <v>1.439282</v>
      </c>
      <c r="X71" s="17">
        <f>'AEO 2023 Table 35 Raw'!AA58</f>
        <v>1.4485170000000001</v>
      </c>
      <c r="Y71" s="17">
        <f>'AEO 2023 Table 35 Raw'!AB58</f>
        <v>1.4535089999999999</v>
      </c>
      <c r="Z71" s="17">
        <f>'AEO 2023 Table 35 Raw'!AC58</f>
        <v>1.4530829999999999</v>
      </c>
      <c r="AA71" s="17">
        <f>'AEO 2023 Table 35 Raw'!AD58</f>
        <v>1.4517659999999999</v>
      </c>
      <c r="AB71" s="17">
        <f>'AEO 2023 Table 35 Raw'!AE58</f>
        <v>1.44834</v>
      </c>
      <c r="AC71" s="17">
        <f>'AEO 2023 Table 35 Raw'!AF58</f>
        <v>1.4429700000000001</v>
      </c>
      <c r="AD71" s="17">
        <f>'AEO 2023 Table 35 Raw'!AG58</f>
        <v>1.4353549999999999</v>
      </c>
      <c r="AE71" s="17">
        <f>'AEO 2023 Table 35 Raw'!AH58</f>
        <v>1.425951</v>
      </c>
      <c r="AF71" s="30">
        <f>'AEO 2023 Table 35 Raw'!AI58</f>
        <v>4.2999999999999997E-2</v>
      </c>
    </row>
    <row r="72" spans="1:32" ht="15" customHeight="1">
      <c r="A72" s="7" t="s">
        <v>394</v>
      </c>
      <c r="B72" s="16" t="s">
        <v>395</v>
      </c>
      <c r="C72" s="17">
        <f>'AEO 2023 Table 35 Raw'!F59</f>
        <v>905.84051499999998</v>
      </c>
      <c r="D72" s="17">
        <f>'AEO 2023 Table 35 Raw'!G59</f>
        <v>818.09411599999999</v>
      </c>
      <c r="E72" s="17">
        <f>'AEO 2023 Table 35 Raw'!H59</f>
        <v>750.09661900000003</v>
      </c>
      <c r="F72" s="17">
        <f>'AEO 2023 Table 35 Raw'!I59</f>
        <v>710.96716300000003</v>
      </c>
      <c r="G72" s="17">
        <f>'AEO 2023 Table 35 Raw'!J59</f>
        <v>683.21826199999998</v>
      </c>
      <c r="H72" s="17">
        <f>'AEO 2023 Table 35 Raw'!K59</f>
        <v>644.43926999999996</v>
      </c>
      <c r="I72" s="17">
        <f>'AEO 2023 Table 35 Raw'!L59</f>
        <v>605.86267099999998</v>
      </c>
      <c r="J72" s="17">
        <f>'AEO 2023 Table 35 Raw'!M59</f>
        <v>601.30419900000004</v>
      </c>
      <c r="K72" s="17">
        <f>'AEO 2023 Table 35 Raw'!N59</f>
        <v>598.79797399999995</v>
      </c>
      <c r="L72" s="17">
        <f>'AEO 2023 Table 35 Raw'!O59</f>
        <v>601.64556900000002</v>
      </c>
      <c r="M72" s="17">
        <f>'AEO 2023 Table 35 Raw'!P59</f>
        <v>607.49902299999997</v>
      </c>
      <c r="N72" s="17">
        <f>'AEO 2023 Table 35 Raw'!Q59</f>
        <v>616.87213099999997</v>
      </c>
      <c r="O72" s="17">
        <f>'AEO 2023 Table 35 Raw'!R59</f>
        <v>619.33136000000002</v>
      </c>
      <c r="P72" s="17">
        <f>'AEO 2023 Table 35 Raw'!S59</f>
        <v>618.89520300000004</v>
      </c>
      <c r="Q72" s="17">
        <f>'AEO 2023 Table 35 Raw'!T59</f>
        <v>614.86352499999998</v>
      </c>
      <c r="R72" s="17">
        <f>'AEO 2023 Table 35 Raw'!U59</f>
        <v>616.29345699999999</v>
      </c>
      <c r="S72" s="17">
        <f>'AEO 2023 Table 35 Raw'!V59</f>
        <v>618.09863299999995</v>
      </c>
      <c r="T72" s="17">
        <f>'AEO 2023 Table 35 Raw'!W59</f>
        <v>620.82605000000001</v>
      </c>
      <c r="U72" s="17">
        <f>'AEO 2023 Table 35 Raw'!X59</f>
        <v>630.065247</v>
      </c>
      <c r="V72" s="17">
        <f>'AEO 2023 Table 35 Raw'!Y59</f>
        <v>633.584656</v>
      </c>
      <c r="W72" s="17">
        <f>'AEO 2023 Table 35 Raw'!Z59</f>
        <v>638.84863299999995</v>
      </c>
      <c r="X72" s="17">
        <f>'AEO 2023 Table 35 Raw'!AA59</f>
        <v>640.74737500000003</v>
      </c>
      <c r="Y72" s="17">
        <f>'AEO 2023 Table 35 Raw'!AB59</f>
        <v>649.03729199999998</v>
      </c>
      <c r="Z72" s="17">
        <f>'AEO 2023 Table 35 Raw'!AC59</f>
        <v>651.38903800000003</v>
      </c>
      <c r="AA72" s="17">
        <f>'AEO 2023 Table 35 Raw'!AD59</f>
        <v>659.87823500000002</v>
      </c>
      <c r="AB72" s="17">
        <f>'AEO 2023 Table 35 Raw'!AE59</f>
        <v>665.15924099999995</v>
      </c>
      <c r="AC72" s="17">
        <f>'AEO 2023 Table 35 Raw'!AF59</f>
        <v>671.01440400000001</v>
      </c>
      <c r="AD72" s="17">
        <f>'AEO 2023 Table 35 Raw'!AG59</f>
        <v>672.52191200000004</v>
      </c>
      <c r="AE72" s="17">
        <f>'AEO 2023 Table 35 Raw'!AH59</f>
        <v>679.09362799999997</v>
      </c>
      <c r="AF72" s="30">
        <f>'AEO 2023 Table 35 Raw'!AI59</f>
        <v>-0.01</v>
      </c>
    </row>
    <row r="73" spans="1:32" ht="12" customHeight="1">
      <c r="C73" s="17"/>
      <c r="D73" s="17"/>
      <c r="E73" s="17"/>
      <c r="F73" s="17"/>
      <c r="G73" s="17"/>
      <c r="H73" s="17"/>
      <c r="I73" s="17"/>
      <c r="J73" s="17"/>
      <c r="K73" s="17"/>
      <c r="L73" s="17"/>
      <c r="M73" s="17"/>
      <c r="N73" s="17"/>
      <c r="O73" s="17"/>
      <c r="P73" s="17"/>
      <c r="Q73" s="17"/>
      <c r="R73" s="17"/>
      <c r="S73" s="17"/>
      <c r="T73" s="17"/>
      <c r="U73" s="17"/>
      <c r="V73" s="17"/>
      <c r="W73" s="17"/>
      <c r="X73" s="17"/>
      <c r="Y73" s="17"/>
      <c r="Z73" s="17"/>
      <c r="AA73" s="17"/>
      <c r="AB73" s="17"/>
      <c r="AC73" s="17"/>
      <c r="AD73" s="17"/>
      <c r="AE73" s="17"/>
      <c r="AF73" s="30"/>
    </row>
    <row r="74" spans="1:32" ht="15" customHeight="1">
      <c r="A74" s="7" t="s">
        <v>396</v>
      </c>
      <c r="B74" s="15" t="s">
        <v>143</v>
      </c>
      <c r="C74" s="17">
        <f>'AEO 2023 Table 35 Raw'!F60</f>
        <v>332.52310199999999</v>
      </c>
      <c r="D74" s="17">
        <f>'AEO 2023 Table 35 Raw'!G60</f>
        <v>377.97052000000002</v>
      </c>
      <c r="E74" s="17">
        <f>'AEO 2023 Table 35 Raw'!H60</f>
        <v>384.00460800000002</v>
      </c>
      <c r="F74" s="17">
        <f>'AEO 2023 Table 35 Raw'!I60</f>
        <v>408.78292800000003</v>
      </c>
      <c r="G74" s="17">
        <f>'AEO 2023 Table 35 Raw'!J60</f>
        <v>446.260651</v>
      </c>
      <c r="H74" s="17">
        <f>'AEO 2023 Table 35 Raw'!K60</f>
        <v>477.17263800000001</v>
      </c>
      <c r="I74" s="17">
        <f>'AEO 2023 Table 35 Raw'!L60</f>
        <v>503.61007699999999</v>
      </c>
      <c r="J74" s="17">
        <f>'AEO 2023 Table 35 Raw'!M60</f>
        <v>527.57086200000003</v>
      </c>
      <c r="K74" s="17">
        <f>'AEO 2023 Table 35 Raw'!N60</f>
        <v>577.96905500000003</v>
      </c>
      <c r="L74" s="17">
        <f>'AEO 2023 Table 35 Raw'!O60</f>
        <v>628.36724900000002</v>
      </c>
      <c r="M74" s="17">
        <f>'AEO 2023 Table 35 Raw'!P60</f>
        <v>680.00372300000004</v>
      </c>
      <c r="N74" s="17">
        <f>'AEO 2023 Table 35 Raw'!Q60</f>
        <v>729.163635</v>
      </c>
      <c r="O74" s="17">
        <f>'AEO 2023 Table 35 Raw'!R60</f>
        <v>779.56182899999999</v>
      </c>
      <c r="P74" s="17">
        <f>'AEO 2023 Table 35 Raw'!S60</f>
        <v>813.16064500000005</v>
      </c>
      <c r="Q74" s="17">
        <f>'AEO 2023 Table 35 Raw'!T60</f>
        <v>831.19830300000001</v>
      </c>
      <c r="R74" s="17">
        <f>'AEO 2023 Table 35 Raw'!U60</f>
        <v>846.75939900000003</v>
      </c>
      <c r="S74" s="17">
        <f>'AEO 2023 Table 35 Raw'!V60</f>
        <v>863.55883800000004</v>
      </c>
      <c r="T74" s="17">
        <f>'AEO 2023 Table 35 Raw'!W60</f>
        <v>871.95855700000004</v>
      </c>
      <c r="U74" s="17">
        <f>'AEO 2023 Table 35 Raw'!X60</f>
        <v>873.19683799999996</v>
      </c>
      <c r="V74" s="17">
        <f>'AEO 2023 Table 35 Raw'!Y60</f>
        <v>871.95855700000004</v>
      </c>
      <c r="W74" s="17">
        <f>'AEO 2023 Table 35 Raw'!Z60</f>
        <v>871.95855700000004</v>
      </c>
      <c r="X74" s="17">
        <f>'AEO 2023 Table 35 Raw'!AA60</f>
        <v>871.95855700000004</v>
      </c>
      <c r="Y74" s="17">
        <f>'AEO 2023 Table 35 Raw'!AB60</f>
        <v>873.19683799999996</v>
      </c>
      <c r="Z74" s="17">
        <f>'AEO 2023 Table 35 Raw'!AC60</f>
        <v>871.95855700000004</v>
      </c>
      <c r="AA74" s="17">
        <f>'AEO 2023 Table 35 Raw'!AD60</f>
        <v>871.95855700000004</v>
      </c>
      <c r="AB74" s="17">
        <f>'AEO 2023 Table 35 Raw'!AE60</f>
        <v>871.95855700000004</v>
      </c>
      <c r="AC74" s="17">
        <f>'AEO 2023 Table 35 Raw'!AF60</f>
        <v>873.19683799999996</v>
      </c>
      <c r="AD74" s="17">
        <f>'AEO 2023 Table 35 Raw'!AG60</f>
        <v>871.95855700000004</v>
      </c>
      <c r="AE74" s="17">
        <f>'AEO 2023 Table 35 Raw'!AH60</f>
        <v>871.95855700000004</v>
      </c>
      <c r="AF74" s="30">
        <f>'AEO 2023 Table 35 Raw'!AI60</f>
        <v>3.5000000000000003E-2</v>
      </c>
    </row>
    <row r="75" spans="1:32" ht="15" customHeight="1" thickBot="1"/>
    <row r="76" spans="1:32" ht="15" customHeight="1">
      <c r="B76" s="109" t="s">
        <v>397</v>
      </c>
      <c r="C76" s="110"/>
      <c r="D76" s="110"/>
      <c r="E76" s="110"/>
      <c r="F76" s="110"/>
      <c r="G76" s="110"/>
      <c r="H76" s="110"/>
      <c r="I76" s="110"/>
      <c r="J76" s="110"/>
      <c r="K76" s="110"/>
      <c r="L76" s="110"/>
      <c r="M76" s="110"/>
      <c r="N76" s="110"/>
      <c r="O76" s="110"/>
      <c r="P76" s="110"/>
      <c r="Q76" s="110"/>
      <c r="R76" s="110"/>
      <c r="S76" s="110"/>
      <c r="T76" s="110"/>
      <c r="U76" s="110"/>
      <c r="V76" s="110"/>
      <c r="W76" s="110"/>
      <c r="X76" s="110"/>
      <c r="Y76" s="110"/>
      <c r="Z76" s="110"/>
      <c r="AA76" s="110"/>
      <c r="AB76" s="110"/>
      <c r="AC76" s="110"/>
      <c r="AD76" s="110"/>
      <c r="AE76" s="110"/>
      <c r="AF76" s="110"/>
    </row>
    <row r="77" spans="1:32" ht="15" customHeight="1">
      <c r="B77" s="4" t="s">
        <v>398</v>
      </c>
    </row>
    <row r="78" spans="1:32" ht="15" customHeight="1">
      <c r="B78" s="4" t="s">
        <v>399</v>
      </c>
    </row>
    <row r="79" spans="1:32" ht="15" customHeight="1">
      <c r="B79" s="4" t="s">
        <v>400</v>
      </c>
    </row>
    <row r="80" spans="1:32" ht="15" customHeight="1">
      <c r="B80" s="4" t="s">
        <v>401</v>
      </c>
    </row>
    <row r="81" spans="2:2" ht="15" customHeight="1">
      <c r="B81" s="4" t="s">
        <v>402</v>
      </c>
    </row>
    <row r="82" spans="2:2" ht="15" customHeight="1">
      <c r="B82" s="4" t="s">
        <v>144</v>
      </c>
    </row>
    <row r="83" spans="2:2" ht="15" customHeight="1">
      <c r="B83" s="4" t="s">
        <v>403</v>
      </c>
    </row>
    <row r="84" spans="2:2" ht="15" customHeight="1">
      <c r="B84" s="4" t="s">
        <v>157</v>
      </c>
    </row>
    <row r="85" spans="2:2" ht="15" customHeight="1">
      <c r="B85" s="4" t="s">
        <v>404</v>
      </c>
    </row>
    <row r="86" spans="2:2" ht="15" customHeight="1">
      <c r="B86" s="4" t="s">
        <v>405</v>
      </c>
    </row>
    <row r="87" spans="2:2" ht="15" customHeight="1">
      <c r="B87" s="4" t="s">
        <v>406</v>
      </c>
    </row>
    <row r="90" spans="2:2" ht="12" customHeight="1"/>
    <row r="95" spans="2:2" ht="12" customHeight="1"/>
    <row r="97" ht="12" customHeight="1"/>
    <row r="113" spans="2:32" ht="12" customHeight="1"/>
    <row r="115" spans="2:32" ht="15" customHeight="1"/>
    <row r="116" spans="2:32" ht="15" customHeight="1">
      <c r="B116" s="107"/>
      <c r="C116" s="107"/>
      <c r="D116" s="107"/>
      <c r="E116" s="107"/>
      <c r="F116" s="107"/>
      <c r="G116" s="107"/>
      <c r="H116" s="107"/>
      <c r="I116" s="107"/>
      <c r="J116" s="107"/>
      <c r="K116" s="107"/>
      <c r="L116" s="107"/>
      <c r="M116" s="107"/>
      <c r="N116" s="107"/>
      <c r="O116" s="107"/>
      <c r="P116" s="107"/>
      <c r="Q116" s="107"/>
      <c r="R116" s="107"/>
      <c r="S116" s="107"/>
      <c r="T116" s="107"/>
      <c r="U116" s="107"/>
      <c r="V116" s="107"/>
      <c r="W116" s="107"/>
      <c r="X116" s="107"/>
      <c r="Y116" s="107"/>
      <c r="Z116" s="107"/>
      <c r="AA116" s="107"/>
      <c r="AB116" s="107"/>
      <c r="AC116" s="107"/>
      <c r="AD116" s="107"/>
      <c r="AE116" s="107"/>
      <c r="AF116" s="107"/>
    </row>
    <row r="128" spans="2:32" ht="12" customHeight="1"/>
    <row r="129" ht="12" customHeight="1"/>
    <row r="130" ht="12" customHeight="1"/>
    <row r="131" ht="12" customHeight="1"/>
    <row r="132" ht="12" customHeight="1"/>
    <row r="133" ht="12" customHeight="1"/>
    <row r="134" ht="12" customHeight="1"/>
    <row r="135" ht="12" customHeight="1"/>
    <row r="136" ht="12" customHeight="1"/>
    <row r="137" ht="12" customHeight="1"/>
    <row r="138" ht="12" customHeight="1"/>
    <row r="139" ht="12" customHeight="1"/>
    <row r="140" ht="12" customHeight="1"/>
    <row r="141" ht="12" customHeight="1"/>
    <row r="142" ht="12" customHeight="1"/>
    <row r="143" ht="12" customHeight="1"/>
    <row r="144" ht="12" customHeight="1"/>
    <row r="145" ht="12" customHeight="1"/>
    <row r="146" ht="12" customHeight="1"/>
    <row r="147" ht="12" customHeight="1"/>
    <row r="148" ht="12" customHeight="1"/>
    <row r="149" ht="12" customHeight="1"/>
    <row r="153" ht="15" customHeight="1"/>
    <row r="154" ht="15" customHeight="1"/>
    <row r="163" ht="12" customHeight="1"/>
    <row r="172" ht="12" customHeight="1"/>
    <row r="181" ht="12" customHeight="1"/>
    <row r="182" ht="12" customHeight="1"/>
    <row r="188" ht="12" customHeight="1"/>
    <row r="194" ht="12" customHeight="1"/>
    <row r="200" ht="12" customHeight="1"/>
    <row r="204" ht="12" customHeight="1"/>
    <row r="209" ht="12" customHeight="1"/>
    <row r="248" ht="12" customHeight="1"/>
    <row r="252" ht="12" customHeight="1"/>
    <row r="255" ht="12" customHeight="1"/>
    <row r="257" spans="2:32" ht="15" customHeight="1"/>
    <row r="258" spans="2:32" ht="15" customHeight="1">
      <c r="B258" s="107"/>
      <c r="C258" s="107"/>
      <c r="D258" s="107"/>
      <c r="E258" s="107"/>
      <c r="F258" s="107"/>
      <c r="G258" s="107"/>
      <c r="H258" s="107"/>
      <c r="I258" s="107"/>
      <c r="J258" s="107"/>
      <c r="K258" s="107"/>
      <c r="L258" s="107"/>
      <c r="M258" s="107"/>
      <c r="N258" s="107"/>
      <c r="O258" s="107"/>
      <c r="P258" s="107"/>
      <c r="Q258" s="107"/>
      <c r="R258" s="107"/>
      <c r="S258" s="107"/>
      <c r="T258" s="107"/>
      <c r="U258" s="107"/>
      <c r="V258" s="107"/>
      <c r="W258" s="107"/>
      <c r="X258" s="107"/>
      <c r="Y258" s="107"/>
      <c r="Z258" s="107"/>
      <c r="AA258" s="107"/>
      <c r="AB258" s="107"/>
      <c r="AC258" s="107"/>
      <c r="AD258" s="107"/>
      <c r="AE258" s="107"/>
      <c r="AF258" s="107"/>
    </row>
    <row r="267" spans="2:32" ht="12" customHeight="1"/>
    <row r="268" spans="2:32" ht="12" customHeight="1"/>
    <row r="269" spans="2:32" ht="12" customHeight="1"/>
    <row r="270" spans="2:32" ht="12" customHeight="1"/>
    <row r="271" spans="2:32" ht="12" customHeight="1"/>
    <row r="272" spans="2:32" ht="12" customHeight="1"/>
    <row r="273" ht="12" customHeight="1"/>
    <row r="274" ht="12" customHeight="1"/>
    <row r="275" ht="12" customHeight="1"/>
    <row r="276" ht="12" customHeight="1"/>
    <row r="277" ht="12" customHeight="1"/>
    <row r="278" ht="12" customHeight="1"/>
    <row r="279" ht="12" customHeight="1"/>
    <row r="280" ht="12" customHeight="1"/>
    <row r="281" ht="12" customHeight="1"/>
    <row r="282" ht="12" customHeight="1"/>
    <row r="283" ht="12" customHeight="1"/>
    <row r="284" ht="12" customHeight="1"/>
    <row r="285" ht="12" customHeight="1"/>
    <row r="286" ht="12" customHeight="1"/>
    <row r="287" ht="12" customHeight="1"/>
    <row r="288" ht="12" customHeight="1"/>
    <row r="289" ht="12" customHeight="1"/>
    <row r="290" ht="12" customHeight="1"/>
    <row r="291" ht="12" customHeight="1"/>
    <row r="292" ht="12" customHeight="1"/>
    <row r="293" ht="12" customHeight="1"/>
    <row r="294" ht="12" customHeight="1"/>
    <row r="295" ht="12" customHeight="1"/>
    <row r="296" ht="12" customHeight="1"/>
    <row r="297" ht="12" customHeight="1"/>
    <row r="298" ht="12" customHeight="1"/>
    <row r="299" ht="12" customHeight="1"/>
    <row r="303" ht="15" customHeight="1"/>
    <row r="304" ht="15" customHeight="1"/>
    <row r="310" ht="12" customHeight="1"/>
    <row r="327" ht="12" customHeight="1"/>
    <row r="329" ht="12" customHeight="1"/>
    <row r="339" spans="2:32" ht="15" customHeight="1"/>
    <row r="340" spans="2:32" ht="15" customHeight="1">
      <c r="B340" s="107"/>
      <c r="C340" s="107"/>
      <c r="D340" s="107"/>
      <c r="E340" s="107"/>
      <c r="F340" s="107"/>
      <c r="G340" s="107"/>
      <c r="H340" s="107"/>
      <c r="I340" s="107"/>
      <c r="J340" s="107"/>
      <c r="K340" s="107"/>
      <c r="L340" s="107"/>
      <c r="M340" s="107"/>
      <c r="N340" s="107"/>
      <c r="O340" s="107"/>
      <c r="P340" s="107"/>
      <c r="Q340" s="107"/>
      <c r="R340" s="107"/>
      <c r="S340" s="107"/>
      <c r="T340" s="107"/>
      <c r="U340" s="107"/>
      <c r="V340" s="107"/>
      <c r="W340" s="107"/>
      <c r="X340" s="107"/>
      <c r="Y340" s="107"/>
      <c r="Z340" s="107"/>
      <c r="AA340" s="107"/>
      <c r="AB340" s="107"/>
      <c r="AC340" s="107"/>
      <c r="AD340" s="107"/>
      <c r="AE340" s="107"/>
      <c r="AF340" s="107"/>
    </row>
    <row r="346" spans="2:32" ht="12" customHeight="1"/>
    <row r="347" spans="2:32" ht="12" customHeight="1"/>
    <row r="348" spans="2:32" ht="12" customHeight="1"/>
    <row r="349" spans="2:32" ht="12" customHeight="1"/>
    <row r="350" spans="2:32" ht="12" customHeight="1"/>
    <row r="351" spans="2:32" ht="12" customHeight="1"/>
    <row r="352" spans="2:32" ht="12" customHeight="1"/>
    <row r="353" ht="12" customHeight="1"/>
    <row r="354" ht="12" customHeight="1"/>
    <row r="355" ht="12" customHeight="1"/>
    <row r="356" ht="12" customHeight="1"/>
    <row r="357" ht="12" customHeight="1"/>
    <row r="358" ht="12" customHeight="1"/>
    <row r="359" ht="12" customHeight="1"/>
    <row r="360" ht="12" customHeight="1"/>
    <row r="361" ht="12" customHeight="1"/>
    <row r="362" ht="12" customHeight="1"/>
    <row r="363" ht="12" customHeight="1"/>
    <row r="364" ht="12" customHeight="1"/>
    <row r="365" ht="12" customHeight="1"/>
    <row r="366" ht="12" customHeight="1"/>
    <row r="367" ht="12" customHeight="1"/>
    <row r="368" ht="12" customHeight="1"/>
    <row r="369" ht="12" customHeight="1"/>
    <row r="370" ht="12" customHeight="1"/>
    <row r="371" ht="12" customHeight="1"/>
    <row r="372" ht="12" customHeight="1"/>
    <row r="373" ht="12" customHeight="1"/>
    <row r="374" ht="12" customHeight="1"/>
    <row r="378" ht="15" customHeight="1"/>
    <row r="379" ht="15" customHeight="1"/>
    <row r="385" ht="12" customHeight="1"/>
    <row r="402" ht="12" customHeight="1"/>
    <row r="405" ht="12" customHeight="1"/>
    <row r="411" ht="12" customHeight="1"/>
    <row r="428" ht="12" customHeight="1"/>
    <row r="431" ht="12" customHeight="1"/>
    <row r="435" ht="12" customHeight="1"/>
    <row r="446" ht="12" customHeight="1"/>
    <row r="449" spans="2:32" ht="12" customHeight="1"/>
    <row r="451" spans="2:32" ht="15" customHeight="1"/>
    <row r="452" spans="2:32" ht="15" customHeight="1">
      <c r="B452" s="107"/>
      <c r="C452" s="107"/>
      <c r="D452" s="107"/>
      <c r="E452" s="107"/>
      <c r="F452" s="107"/>
      <c r="G452" s="107"/>
      <c r="H452" s="107"/>
      <c r="I452" s="107"/>
      <c r="J452" s="107"/>
      <c r="K452" s="107"/>
      <c r="L452" s="107"/>
      <c r="M452" s="107"/>
      <c r="N452" s="107"/>
      <c r="O452" s="107"/>
      <c r="P452" s="107"/>
      <c r="Q452" s="107"/>
      <c r="R452" s="107"/>
      <c r="S452" s="107"/>
      <c r="T452" s="107"/>
      <c r="U452" s="107"/>
      <c r="V452" s="107"/>
      <c r="W452" s="107"/>
      <c r="X452" s="107"/>
      <c r="Y452" s="107"/>
      <c r="Z452" s="107"/>
      <c r="AA452" s="107"/>
      <c r="AB452" s="107"/>
      <c r="AC452" s="107"/>
      <c r="AD452" s="107"/>
      <c r="AE452" s="107"/>
      <c r="AF452" s="107"/>
    </row>
    <row r="460" spans="2:32" ht="12" customHeight="1"/>
    <row r="461" spans="2:32" ht="12" customHeight="1"/>
    <row r="462" spans="2:32" ht="12" customHeight="1"/>
    <row r="463" spans="2:32" ht="12" customHeight="1"/>
    <row r="464" spans="2:32" ht="12" customHeight="1"/>
    <row r="465" ht="12" customHeight="1"/>
    <row r="466" ht="12" customHeight="1"/>
    <row r="467" ht="12" customHeight="1"/>
    <row r="468" ht="12" customHeight="1"/>
    <row r="469" ht="12" customHeight="1"/>
    <row r="470" ht="12" customHeight="1"/>
    <row r="471" ht="12" customHeight="1"/>
    <row r="472" ht="12" customHeight="1"/>
    <row r="473" ht="12" customHeight="1"/>
    <row r="474" ht="12" customHeight="1"/>
    <row r="475" ht="12" customHeight="1"/>
    <row r="476" ht="12" customHeight="1"/>
    <row r="477" ht="12" customHeight="1"/>
    <row r="478" ht="12" customHeight="1"/>
    <row r="479" ht="12" customHeight="1"/>
    <row r="480" ht="12" customHeight="1"/>
    <row r="481" ht="12" customHeight="1"/>
    <row r="482" ht="12" customHeight="1"/>
    <row r="483" ht="12" customHeight="1"/>
    <row r="484" ht="12" customHeight="1"/>
    <row r="485" ht="12" customHeight="1"/>
    <row r="486" ht="12" customHeight="1"/>
    <row r="487" ht="12" customHeight="1"/>
    <row r="488" ht="12" customHeight="1"/>
    <row r="489" ht="12" customHeight="1"/>
    <row r="490" ht="12" customHeight="1"/>
    <row r="491" ht="12" customHeight="1"/>
    <row r="492" ht="12" customHeight="1"/>
    <row r="493" ht="12" customHeight="1"/>
    <row r="494" ht="12" customHeight="1"/>
    <row r="495" ht="12" customHeight="1"/>
    <row r="496" ht="12" customHeight="1"/>
    <row r="497" spans="2:32" ht="12" customHeight="1"/>
    <row r="498" spans="2:32" ht="12" customHeight="1"/>
    <row r="499" spans="2:32" ht="12" customHeight="1"/>
    <row r="500" spans="2:32" ht="15" customHeight="1">
      <c r="B500" s="108"/>
      <c r="C500" s="107"/>
      <c r="D500" s="107"/>
      <c r="E500" s="107"/>
      <c r="F500" s="107"/>
      <c r="G500" s="107"/>
      <c r="H500" s="107"/>
      <c r="I500" s="107"/>
      <c r="J500" s="107"/>
      <c r="K500" s="107"/>
      <c r="L500" s="107"/>
      <c r="M500" s="107"/>
      <c r="N500" s="107"/>
      <c r="O500" s="107"/>
      <c r="P500" s="107"/>
      <c r="Q500" s="107"/>
      <c r="R500" s="107"/>
      <c r="S500" s="107"/>
      <c r="T500" s="107"/>
      <c r="U500" s="107"/>
      <c r="V500" s="107"/>
      <c r="W500" s="107"/>
      <c r="X500" s="107"/>
      <c r="Y500" s="107"/>
      <c r="Z500" s="107"/>
      <c r="AA500" s="107"/>
      <c r="AB500" s="107"/>
      <c r="AC500" s="107"/>
      <c r="AD500" s="107"/>
      <c r="AE500" s="107"/>
      <c r="AF500" s="107"/>
    </row>
    <row r="503" spans="2:32" ht="15" customHeight="1"/>
    <row r="504" spans="2:32" ht="15" customHeight="1"/>
    <row r="510" spans="2:32" ht="12" customHeight="1"/>
    <row r="527" ht="12" customHeight="1"/>
    <row r="529" ht="12" customHeight="1"/>
    <row r="535" ht="12" customHeight="1"/>
    <row r="552" spans="2:32" ht="12" customHeight="1"/>
    <row r="554" spans="2:32" ht="12" customHeight="1"/>
    <row r="556" spans="2:32" ht="15" customHeight="1"/>
    <row r="557" spans="2:32" ht="15" customHeight="1">
      <c r="B557" s="107"/>
      <c r="C557" s="107"/>
      <c r="D557" s="107"/>
      <c r="E557" s="107"/>
      <c r="F557" s="107"/>
      <c r="G557" s="107"/>
      <c r="H557" s="107"/>
      <c r="I557" s="107"/>
      <c r="J557" s="107"/>
      <c r="K557" s="107"/>
      <c r="L557" s="107"/>
      <c r="M557" s="107"/>
      <c r="N557" s="107"/>
      <c r="O557" s="107"/>
      <c r="P557" s="107"/>
      <c r="Q557" s="107"/>
      <c r="R557" s="107"/>
      <c r="S557" s="107"/>
      <c r="T557" s="107"/>
      <c r="U557" s="107"/>
      <c r="V557" s="107"/>
      <c r="W557" s="107"/>
      <c r="X557" s="107"/>
      <c r="Y557" s="107"/>
      <c r="Z557" s="107"/>
      <c r="AA557" s="107"/>
      <c r="AB557" s="107"/>
      <c r="AC557" s="107"/>
      <c r="AD557" s="107"/>
      <c r="AE557" s="107"/>
      <c r="AF557" s="107"/>
    </row>
    <row r="562" ht="12" customHeight="1"/>
    <row r="563" ht="12" customHeight="1"/>
    <row r="564" ht="12" customHeight="1"/>
    <row r="565" ht="12" customHeight="1"/>
    <row r="566" ht="12" customHeight="1"/>
    <row r="567" ht="12" customHeight="1"/>
    <row r="568" ht="12" customHeight="1"/>
    <row r="569" ht="12" customHeight="1"/>
    <row r="570" ht="12" customHeight="1"/>
    <row r="571" ht="12" customHeight="1"/>
    <row r="572" ht="12" customHeight="1"/>
    <row r="573" ht="12" customHeight="1"/>
    <row r="574" ht="12" customHeight="1"/>
    <row r="578" ht="15" customHeight="1"/>
    <row r="579" ht="15" customHeight="1"/>
    <row r="584" ht="12" customHeight="1"/>
    <row r="600" ht="12" customHeight="1"/>
    <row r="602" ht="12" customHeight="1"/>
    <row r="607" ht="12" customHeight="1"/>
    <row r="623" ht="12" customHeight="1"/>
    <row r="625" spans="2:32" ht="12" customHeight="1"/>
    <row r="627" spans="2:32" ht="12" customHeight="1"/>
    <row r="630" spans="2:32" ht="12" customHeight="1"/>
    <row r="632" spans="2:32" ht="12" customHeight="1"/>
    <row r="633" spans="2:32" ht="12" customHeight="1"/>
    <row r="635" spans="2:32" ht="12" customHeight="1"/>
    <row r="637" spans="2:32" ht="15" customHeight="1"/>
    <row r="638" spans="2:32" ht="15" customHeight="1">
      <c r="B638" s="107"/>
      <c r="C638" s="107"/>
      <c r="D638" s="107"/>
      <c r="E638" s="107"/>
      <c r="F638" s="107"/>
      <c r="G638" s="107"/>
      <c r="H638" s="107"/>
      <c r="I638" s="107"/>
      <c r="J638" s="107"/>
      <c r="K638" s="107"/>
      <c r="L638" s="107"/>
      <c r="M638" s="107"/>
      <c r="N638" s="107"/>
      <c r="O638" s="107"/>
      <c r="P638" s="107"/>
      <c r="Q638" s="107"/>
      <c r="R638" s="107"/>
      <c r="S638" s="107"/>
      <c r="T638" s="107"/>
      <c r="U638" s="107"/>
      <c r="V638" s="107"/>
      <c r="W638" s="107"/>
      <c r="X638" s="107"/>
      <c r="Y638" s="107"/>
      <c r="Z638" s="107"/>
      <c r="AA638" s="107"/>
      <c r="AB638" s="107"/>
      <c r="AC638" s="107"/>
      <c r="AD638" s="107"/>
      <c r="AE638" s="107"/>
      <c r="AF638" s="107"/>
    </row>
    <row r="643" ht="12" customHeight="1"/>
    <row r="644" ht="12" customHeight="1"/>
    <row r="645" ht="12" customHeight="1"/>
    <row r="646" ht="12" customHeight="1"/>
    <row r="647" ht="12" customHeight="1"/>
    <row r="648" ht="12" customHeight="1"/>
    <row r="649" ht="12" customHeight="1"/>
    <row r="650" ht="12" customHeight="1"/>
    <row r="651" ht="12" customHeight="1"/>
    <row r="652" ht="12" customHeight="1"/>
    <row r="653" ht="12" customHeight="1"/>
    <row r="654" ht="12" customHeight="1"/>
    <row r="655" ht="12" customHeight="1"/>
    <row r="656" ht="12" customHeight="1"/>
    <row r="657" ht="12" customHeight="1"/>
    <row r="658" ht="12" customHeight="1"/>
    <row r="659" ht="12" customHeight="1"/>
    <row r="660" ht="12" customHeight="1"/>
    <row r="661" ht="12" customHeight="1"/>
    <row r="662" ht="12" customHeight="1"/>
    <row r="663" ht="12" customHeight="1"/>
    <row r="664" ht="12" customHeight="1"/>
    <row r="665" ht="12" customHeight="1"/>
    <row r="666" ht="12" customHeight="1"/>
    <row r="667" ht="12" customHeight="1"/>
    <row r="668" ht="12" customHeight="1"/>
    <row r="669" ht="12" customHeight="1"/>
    <row r="670" ht="12" customHeight="1"/>
    <row r="671" ht="12" customHeight="1"/>
    <row r="672" ht="12" customHeight="1"/>
    <row r="673" ht="12" customHeight="1"/>
    <row r="674" ht="12" customHeight="1"/>
    <row r="678" ht="15" customHeight="1"/>
    <row r="679" ht="15" customHeight="1"/>
    <row r="682" ht="12" customHeight="1"/>
    <row r="698" ht="12" customHeight="1"/>
    <row r="703" ht="12" customHeight="1"/>
    <row r="709" spans="2:32" ht="15" customHeight="1"/>
    <row r="710" spans="2:32" ht="15" customHeight="1">
      <c r="B710" s="107"/>
      <c r="C710" s="107"/>
      <c r="D710" s="107"/>
      <c r="E710" s="107"/>
      <c r="F710" s="107"/>
      <c r="G710" s="107"/>
      <c r="H710" s="107"/>
      <c r="I710" s="107"/>
      <c r="J710" s="107"/>
      <c r="K710" s="107"/>
      <c r="L710" s="107"/>
      <c r="M710" s="107"/>
      <c r="N710" s="107"/>
      <c r="O710" s="107"/>
      <c r="P710" s="107"/>
      <c r="Q710" s="107"/>
      <c r="R710" s="107"/>
      <c r="S710" s="107"/>
      <c r="T710" s="107"/>
      <c r="U710" s="107"/>
      <c r="V710" s="107"/>
      <c r="W710" s="107"/>
      <c r="X710" s="107"/>
      <c r="Y710" s="107"/>
      <c r="Z710" s="107"/>
      <c r="AA710" s="107"/>
      <c r="AB710" s="107"/>
      <c r="AC710" s="107"/>
      <c r="AD710" s="107"/>
      <c r="AE710" s="107"/>
      <c r="AF710" s="107"/>
    </row>
    <row r="716" spans="2:32" ht="12" customHeight="1"/>
    <row r="717" spans="2:32" ht="12" customHeight="1"/>
    <row r="718" spans="2:32" ht="12" customHeight="1"/>
    <row r="719" spans="2:32" ht="12" customHeight="1"/>
    <row r="720" spans="2:32" ht="12" customHeight="1"/>
    <row r="721" ht="12" customHeight="1"/>
    <row r="722" ht="12" customHeight="1"/>
    <row r="723" ht="12" customHeight="1"/>
    <row r="724" ht="12" customHeight="1"/>
    <row r="725" ht="12" customHeight="1"/>
    <row r="726" ht="12" customHeight="1"/>
    <row r="727" ht="12" customHeight="1"/>
    <row r="728" ht="12" customHeight="1"/>
    <row r="729" ht="12" customHeight="1"/>
    <row r="730" ht="12" customHeight="1"/>
    <row r="731" ht="12" customHeight="1"/>
    <row r="732" ht="12" customHeight="1"/>
    <row r="733" ht="12" customHeight="1"/>
    <row r="734" ht="12" customHeight="1"/>
    <row r="735" ht="12" customHeight="1"/>
    <row r="736" ht="12" customHeight="1"/>
    <row r="737" ht="12" customHeight="1"/>
    <row r="738" ht="12" customHeight="1"/>
    <row r="739" ht="12" customHeight="1"/>
    <row r="740" ht="12" customHeight="1"/>
    <row r="741" ht="12" customHeight="1"/>
    <row r="742" ht="12" customHeight="1"/>
    <row r="743" ht="12" customHeight="1"/>
    <row r="744" ht="12" customHeight="1"/>
    <row r="745" ht="12" customHeight="1"/>
    <row r="746" ht="12" customHeight="1"/>
    <row r="747" ht="12" customHeight="1"/>
    <row r="748" ht="12" customHeight="1"/>
    <row r="749" ht="12" customHeight="1"/>
    <row r="753" ht="15" customHeight="1"/>
    <row r="754" ht="15" customHeight="1"/>
    <row r="768" ht="12" customHeight="1"/>
    <row r="780" ht="12" customHeight="1"/>
    <row r="784" ht="12" customHeight="1"/>
    <row r="796" ht="12" customHeight="1"/>
    <row r="810" ht="12" customHeight="1"/>
    <row r="814" ht="12" customHeight="1"/>
    <row r="825" ht="12" customHeight="1"/>
    <row r="835" ht="12" customHeight="1"/>
    <row r="847" ht="12" customHeight="1"/>
    <row r="858" ht="12" customHeight="1"/>
    <row r="870" ht="12" customHeight="1"/>
    <row r="881" spans="2:32" ht="12" customHeight="1"/>
    <row r="885" spans="2:32" ht="15" customHeight="1"/>
    <row r="886" spans="2:32" ht="15" customHeight="1">
      <c r="B886" s="107"/>
      <c r="C886" s="107"/>
      <c r="D886" s="107"/>
      <c r="E886" s="107"/>
      <c r="F886" s="107"/>
      <c r="G886" s="107"/>
      <c r="H886" s="107"/>
      <c r="I886" s="107"/>
      <c r="J886" s="107"/>
      <c r="K886" s="107"/>
      <c r="L886" s="107"/>
      <c r="M886" s="107"/>
      <c r="N886" s="107"/>
      <c r="O886" s="107"/>
      <c r="P886" s="107"/>
      <c r="Q886" s="107"/>
      <c r="R886" s="107"/>
      <c r="S886" s="107"/>
      <c r="T886" s="107"/>
      <c r="U886" s="107"/>
      <c r="V886" s="107"/>
      <c r="W886" s="107"/>
      <c r="X886" s="107"/>
      <c r="Y886" s="107"/>
      <c r="Z886" s="107"/>
      <c r="AA886" s="107"/>
      <c r="AB886" s="107"/>
      <c r="AC886" s="107"/>
      <c r="AD886" s="107"/>
      <c r="AE886" s="107"/>
      <c r="AF886" s="107"/>
    </row>
    <row r="889" spans="2:32" ht="12" customHeight="1"/>
    <row r="890" spans="2:32" ht="12" customHeight="1"/>
    <row r="891" spans="2:32" ht="12" customHeight="1"/>
    <row r="892" spans="2:32" ht="12" customHeight="1"/>
    <row r="893" spans="2:32" ht="12" customHeight="1"/>
    <row r="894" spans="2:32" ht="12" customHeight="1"/>
    <row r="895" spans="2:32" ht="12" customHeight="1"/>
    <row r="896" spans="2:32" ht="12" customHeight="1"/>
    <row r="897" ht="12" customHeight="1"/>
    <row r="898" ht="12" customHeight="1"/>
    <row r="899" ht="12" customHeight="1"/>
    <row r="903" ht="15" customHeight="1"/>
    <row r="904" ht="15" customHeight="1"/>
    <row r="910" ht="12" customHeight="1"/>
    <row r="927" ht="12" customHeight="1"/>
    <row r="929" ht="12" customHeight="1"/>
    <row r="935" ht="12" customHeight="1"/>
    <row r="952" ht="12" customHeight="1"/>
    <row r="954" ht="12" customHeight="1"/>
    <row r="956" ht="12" customHeight="1"/>
    <row r="968" spans="2:32" ht="15" customHeight="1"/>
    <row r="969" spans="2:32" ht="15" customHeight="1">
      <c r="B969" s="107"/>
      <c r="C969" s="107"/>
      <c r="D969" s="107"/>
      <c r="E969" s="107"/>
      <c r="F969" s="107"/>
      <c r="G969" s="107"/>
      <c r="H969" s="107"/>
      <c r="I969" s="107"/>
      <c r="J969" s="107"/>
      <c r="K969" s="107"/>
      <c r="L969" s="107"/>
      <c r="M969" s="107"/>
      <c r="N969" s="107"/>
      <c r="O969" s="107"/>
      <c r="P969" s="107"/>
      <c r="Q969" s="107"/>
      <c r="R969" s="107"/>
      <c r="S969" s="107"/>
      <c r="T969" s="107"/>
      <c r="U969" s="107"/>
      <c r="V969" s="107"/>
      <c r="W969" s="107"/>
      <c r="X969" s="107"/>
      <c r="Y969" s="107"/>
      <c r="Z969" s="107"/>
      <c r="AA969" s="107"/>
      <c r="AB969" s="107"/>
      <c r="AC969" s="107"/>
      <c r="AD969" s="107"/>
      <c r="AE969" s="107"/>
      <c r="AF969" s="107"/>
    </row>
    <row r="975" spans="2:32" ht="12" customHeight="1"/>
    <row r="976" spans="2:32" ht="12" customHeight="1"/>
    <row r="977" ht="12" customHeight="1"/>
    <row r="978" ht="12" customHeight="1"/>
    <row r="979" ht="12" customHeight="1"/>
    <row r="980" ht="12" customHeight="1"/>
    <row r="981" ht="12" customHeight="1"/>
    <row r="982" ht="12" customHeight="1"/>
    <row r="983" ht="12" customHeight="1"/>
    <row r="984" ht="12" customHeight="1"/>
    <row r="985" ht="12" customHeight="1"/>
    <row r="986" ht="12" customHeight="1"/>
    <row r="987" ht="12" customHeight="1"/>
    <row r="988" ht="12" customHeight="1"/>
    <row r="989" ht="12" customHeight="1"/>
    <row r="990" ht="12" customHeight="1"/>
    <row r="991" ht="12" customHeight="1"/>
    <row r="992" ht="12" customHeight="1"/>
    <row r="993" ht="12" customHeight="1"/>
    <row r="994" ht="12" customHeight="1"/>
    <row r="995" ht="12" customHeight="1"/>
    <row r="996" ht="12" customHeight="1"/>
    <row r="997" ht="12" customHeight="1"/>
    <row r="998" ht="12" customHeight="1"/>
    <row r="999" ht="12" customHeight="1"/>
    <row r="1003" ht="15" customHeight="1"/>
    <row r="1004" ht="15" customHeight="1"/>
    <row r="1010" ht="12" customHeight="1"/>
    <row r="1027" ht="12" customHeight="1"/>
    <row r="1030" ht="12" customHeight="1"/>
    <row r="1036" ht="12" customHeight="1"/>
    <row r="1053" ht="12" customHeight="1"/>
    <row r="1056" ht="12" customHeight="1"/>
    <row r="1058" spans="2:32" ht="12" customHeight="1"/>
    <row r="1070" spans="2:32" ht="15" customHeight="1"/>
    <row r="1071" spans="2:32" ht="15" customHeight="1">
      <c r="B1071" s="107"/>
      <c r="C1071" s="107"/>
      <c r="D1071" s="107"/>
      <c r="E1071" s="107"/>
      <c r="F1071" s="107"/>
      <c r="G1071" s="107"/>
      <c r="H1071" s="107"/>
      <c r="I1071" s="107"/>
      <c r="J1071" s="107"/>
      <c r="K1071" s="107"/>
      <c r="L1071" s="107"/>
      <c r="M1071" s="107"/>
      <c r="N1071" s="107"/>
      <c r="O1071" s="107"/>
      <c r="P1071" s="107"/>
      <c r="Q1071" s="107"/>
      <c r="R1071" s="107"/>
      <c r="S1071" s="107"/>
      <c r="T1071" s="107"/>
      <c r="U1071" s="107"/>
      <c r="V1071" s="107"/>
      <c r="W1071" s="107"/>
      <c r="X1071" s="107"/>
      <c r="Y1071" s="107"/>
      <c r="Z1071" s="107"/>
      <c r="AA1071" s="107"/>
      <c r="AB1071" s="107"/>
      <c r="AC1071" s="107"/>
      <c r="AD1071" s="107"/>
      <c r="AE1071" s="107"/>
      <c r="AF1071" s="107"/>
    </row>
    <row r="1077" ht="12" customHeight="1"/>
    <row r="1078" ht="12" customHeight="1"/>
    <row r="1079" ht="12" customHeight="1"/>
    <row r="1080" ht="12" customHeight="1"/>
    <row r="1081" ht="12" customHeight="1"/>
    <row r="1082" ht="12" customHeight="1"/>
    <row r="1083" ht="12" customHeight="1"/>
    <row r="1084" ht="12" customHeight="1"/>
    <row r="1085" ht="12" customHeight="1"/>
    <row r="1086" ht="12" customHeight="1"/>
    <row r="1087" ht="12" customHeight="1"/>
    <row r="1088" ht="12" customHeight="1"/>
    <row r="1089" ht="12" customHeight="1"/>
    <row r="1090" ht="12" customHeight="1"/>
    <row r="1091" ht="12" customHeight="1"/>
    <row r="1092" ht="12" customHeight="1"/>
    <row r="1093" ht="12" customHeight="1"/>
    <row r="1094" ht="12" customHeight="1"/>
    <row r="1095" ht="12" customHeight="1"/>
    <row r="1096" ht="12" customHeight="1"/>
    <row r="1097" ht="12" customHeight="1"/>
    <row r="1098" ht="12" customHeight="1"/>
    <row r="1099" ht="12" customHeight="1"/>
    <row r="1103" ht="15" customHeight="1"/>
    <row r="1104" ht="15" customHeight="1"/>
    <row r="1110" ht="12" customHeight="1"/>
    <row r="1127" ht="12" customHeight="1"/>
    <row r="1129" ht="12" customHeight="1"/>
    <row r="1135" ht="12" customHeight="1"/>
    <row r="1152" ht="12" customHeight="1"/>
    <row r="1154" ht="12" customHeight="1"/>
    <row r="1156" ht="12" customHeight="1"/>
    <row r="1168" ht="15" customHeight="1"/>
    <row r="1169" spans="2:32" ht="15" customHeight="1">
      <c r="B1169" s="107"/>
      <c r="C1169" s="107"/>
      <c r="D1169" s="107"/>
      <c r="E1169" s="107"/>
      <c r="F1169" s="107"/>
      <c r="G1169" s="107"/>
      <c r="H1169" s="107"/>
      <c r="I1169" s="107"/>
      <c r="J1169" s="107"/>
      <c r="K1169" s="107"/>
      <c r="L1169" s="107"/>
      <c r="M1169" s="107"/>
      <c r="N1169" s="107"/>
      <c r="O1169" s="107"/>
      <c r="P1169" s="107"/>
      <c r="Q1169" s="107"/>
      <c r="R1169" s="107"/>
      <c r="S1169" s="107"/>
      <c r="T1169" s="107"/>
      <c r="U1169" s="107"/>
      <c r="V1169" s="107"/>
      <c r="W1169" s="107"/>
      <c r="X1169" s="107"/>
      <c r="Y1169" s="107"/>
      <c r="Z1169" s="107"/>
      <c r="AA1169" s="107"/>
      <c r="AB1169" s="107"/>
      <c r="AC1169" s="107"/>
      <c r="AD1169" s="107"/>
      <c r="AE1169" s="107"/>
      <c r="AF1169" s="107"/>
    </row>
    <row r="1175" spans="2:32" ht="12" customHeight="1"/>
    <row r="1176" spans="2:32" ht="12" customHeight="1"/>
    <row r="1177" spans="2:32" ht="12" customHeight="1"/>
    <row r="1178" spans="2:32" ht="12" customHeight="1"/>
    <row r="1179" spans="2:32" ht="12" customHeight="1"/>
    <row r="1180" spans="2:32" ht="12" customHeight="1"/>
    <row r="1181" spans="2:32" ht="12" customHeight="1"/>
    <row r="1182" spans="2:32" ht="12" customHeight="1"/>
    <row r="1183" spans="2:32" ht="12" customHeight="1"/>
    <row r="1184" spans="2:32" ht="12" customHeight="1"/>
    <row r="1185" ht="12" customHeight="1"/>
    <row r="1186" ht="12" customHeight="1"/>
    <row r="1187" ht="12" customHeight="1"/>
    <row r="1188" ht="12" customHeight="1"/>
    <row r="1189" ht="12" customHeight="1"/>
    <row r="1190" ht="12" customHeight="1"/>
    <row r="1191" ht="12" customHeight="1"/>
    <row r="1192" ht="12" customHeight="1"/>
    <row r="1193" ht="12" customHeight="1"/>
    <row r="1194" ht="12" customHeight="1"/>
    <row r="1195" ht="12" customHeight="1"/>
    <row r="1196" ht="12" customHeight="1"/>
    <row r="1197" ht="12" customHeight="1"/>
    <row r="1198" ht="12" customHeight="1"/>
    <row r="1199" ht="12" customHeight="1"/>
    <row r="1203" ht="15" customHeight="1"/>
    <row r="1204" ht="15" customHeight="1"/>
    <row r="1210" ht="12" customHeight="1"/>
    <row r="1227" ht="12" customHeight="1"/>
    <row r="1229" ht="12" customHeight="1"/>
    <row r="1235" ht="12" customHeight="1"/>
    <row r="1252" ht="12" customHeight="1"/>
    <row r="1254" ht="12" customHeight="1"/>
    <row r="1256" ht="12" customHeight="1"/>
    <row r="1268" spans="2:32" ht="15" customHeight="1"/>
    <row r="1269" spans="2:32" ht="15" customHeight="1">
      <c r="B1269" s="107"/>
      <c r="C1269" s="107"/>
      <c r="D1269" s="107"/>
      <c r="E1269" s="107"/>
      <c r="F1269" s="107"/>
      <c r="G1269" s="107"/>
      <c r="H1269" s="107"/>
      <c r="I1269" s="107"/>
      <c r="J1269" s="107"/>
      <c r="K1269" s="107"/>
      <c r="L1269" s="107"/>
      <c r="M1269" s="107"/>
      <c r="N1269" s="107"/>
      <c r="O1269" s="107"/>
      <c r="P1269" s="107"/>
      <c r="Q1269" s="107"/>
      <c r="R1269" s="107"/>
      <c r="S1269" s="107"/>
      <c r="T1269" s="107"/>
      <c r="U1269" s="107"/>
      <c r="V1269" s="107"/>
      <c r="W1269" s="107"/>
      <c r="X1269" s="107"/>
      <c r="Y1269" s="107"/>
      <c r="Z1269" s="107"/>
      <c r="AA1269" s="107"/>
      <c r="AB1269" s="107"/>
      <c r="AC1269" s="107"/>
      <c r="AD1269" s="107"/>
      <c r="AE1269" s="107"/>
      <c r="AF1269" s="107"/>
    </row>
    <row r="1275" spans="2:32" ht="12" customHeight="1"/>
    <row r="1276" spans="2:32" ht="12" customHeight="1"/>
    <row r="1277" spans="2:32" ht="12" customHeight="1"/>
    <row r="1278" spans="2:32" ht="12" customHeight="1"/>
    <row r="1279" spans="2:32" ht="12" customHeight="1"/>
    <row r="1280" spans="2:32" ht="12" customHeight="1"/>
    <row r="1281" ht="12" customHeight="1"/>
    <row r="1282" ht="12" customHeight="1"/>
    <row r="1283" ht="12" customHeight="1"/>
    <row r="1284" ht="12" customHeight="1"/>
    <row r="1285" ht="12" customHeight="1"/>
    <row r="1286" ht="12" customHeight="1"/>
    <row r="1287" ht="12" customHeight="1"/>
    <row r="1288" ht="12" customHeight="1"/>
    <row r="1289" ht="12" customHeight="1"/>
    <row r="1290" ht="12" customHeight="1"/>
    <row r="1291" ht="12" customHeight="1"/>
    <row r="1292" ht="12" customHeight="1"/>
    <row r="1293" ht="12" customHeight="1"/>
    <row r="1294" ht="12" customHeight="1"/>
    <row r="1295" ht="12" customHeight="1"/>
    <row r="1296" ht="12" customHeight="1"/>
    <row r="1297" ht="12" customHeight="1"/>
    <row r="1298" ht="12" customHeight="1"/>
    <row r="1299" ht="12" customHeight="1"/>
    <row r="1303" ht="15" customHeight="1"/>
    <row r="1304" ht="15" customHeight="1"/>
    <row r="1306" ht="12" customHeight="1"/>
    <row r="1311" ht="12" customHeight="1"/>
    <row r="1315" ht="12" customHeight="1"/>
    <row r="1331" ht="12" customHeight="1"/>
    <row r="1362" ht="12" customHeight="1"/>
    <row r="1378" ht="12" customHeight="1"/>
    <row r="1397" ht="12" customHeight="1"/>
    <row r="1452" ht="12" customHeight="1"/>
    <row r="1464" ht="12" customHeight="1"/>
    <row r="1483" spans="2:32" ht="15" customHeight="1"/>
    <row r="1484" spans="2:32" ht="15" customHeight="1">
      <c r="B1484" s="107"/>
      <c r="C1484" s="107"/>
      <c r="D1484" s="107"/>
      <c r="E1484" s="107"/>
      <c r="F1484" s="107"/>
      <c r="G1484" s="107"/>
      <c r="H1484" s="107"/>
      <c r="I1484" s="107"/>
      <c r="J1484" s="107"/>
      <c r="K1484" s="107"/>
      <c r="L1484" s="107"/>
      <c r="M1484" s="107"/>
      <c r="N1484" s="107"/>
      <c r="O1484" s="107"/>
      <c r="P1484" s="107"/>
      <c r="Q1484" s="107"/>
      <c r="R1484" s="107"/>
      <c r="S1484" s="107"/>
      <c r="T1484" s="107"/>
      <c r="U1484" s="107"/>
      <c r="V1484" s="107"/>
      <c r="W1484" s="107"/>
      <c r="X1484" s="107"/>
      <c r="Y1484" s="107"/>
      <c r="Z1484" s="107"/>
      <c r="AA1484" s="107"/>
      <c r="AB1484" s="107"/>
      <c r="AC1484" s="107"/>
      <c r="AD1484" s="107"/>
      <c r="AE1484" s="107"/>
      <c r="AF1484" s="107"/>
    </row>
    <row r="1494" ht="12" customHeight="1"/>
    <row r="1495" ht="12" customHeight="1"/>
    <row r="1496" ht="12" customHeight="1"/>
    <row r="1497" ht="12" customHeight="1"/>
    <row r="1498" ht="12" customHeight="1"/>
    <row r="1499" ht="12" customHeight="1"/>
    <row r="1500" ht="12" customHeight="1"/>
    <row r="1501" ht="12" customHeight="1"/>
    <row r="1502" ht="12" customHeight="1"/>
    <row r="1503" ht="12" customHeight="1"/>
    <row r="1504" ht="12" customHeight="1"/>
    <row r="1505" ht="12" customHeight="1"/>
    <row r="1506" ht="12" customHeight="1"/>
    <row r="1507" ht="12" customHeight="1"/>
    <row r="1508" ht="12" customHeight="1"/>
    <row r="1509" ht="12" customHeight="1"/>
    <row r="1510" ht="12" customHeight="1"/>
    <row r="1511" ht="12" customHeight="1"/>
    <row r="1512" ht="12" customHeight="1"/>
    <row r="1513" ht="12" customHeight="1"/>
    <row r="1514" ht="12" customHeight="1"/>
    <row r="1515" ht="12" customHeight="1"/>
    <row r="1516" ht="12" customHeight="1"/>
    <row r="1517" ht="12" customHeight="1"/>
    <row r="1518" ht="12" customHeight="1"/>
    <row r="1519" ht="12" customHeight="1"/>
    <row r="1520" ht="12" customHeight="1"/>
    <row r="1521" ht="12" customHeight="1"/>
    <row r="1522" ht="12" customHeight="1"/>
    <row r="1523" ht="12" customHeight="1"/>
    <row r="1524" ht="12" customHeight="1"/>
    <row r="1528" ht="15" customHeight="1"/>
    <row r="1529" ht="15" customHeight="1"/>
    <row r="1584" ht="12" customHeight="1"/>
    <row r="1585" ht="12" customHeight="1"/>
    <row r="1640" ht="12" customHeight="1"/>
    <row r="1641" ht="12" customHeight="1"/>
    <row r="1696" ht="12" customHeight="1"/>
    <row r="1697" ht="12" customHeight="1"/>
    <row r="1712" ht="15" customHeight="1"/>
    <row r="1713" spans="2:32" ht="15" customHeight="1">
      <c r="B1713" s="107"/>
      <c r="C1713" s="107"/>
      <c r="D1713" s="107"/>
      <c r="E1713" s="107"/>
      <c r="F1713" s="107"/>
      <c r="G1713" s="107"/>
      <c r="H1713" s="107"/>
      <c r="I1713" s="107"/>
      <c r="J1713" s="107"/>
      <c r="K1713" s="107"/>
      <c r="L1713" s="107"/>
      <c r="M1713" s="107"/>
      <c r="N1713" s="107"/>
      <c r="O1713" s="107"/>
      <c r="P1713" s="107"/>
      <c r="Q1713" s="107"/>
      <c r="R1713" s="107"/>
      <c r="S1713" s="107"/>
      <c r="T1713" s="107"/>
      <c r="U1713" s="107"/>
      <c r="V1713" s="107"/>
      <c r="W1713" s="107"/>
      <c r="X1713" s="107"/>
      <c r="Y1713" s="107"/>
      <c r="Z1713" s="107"/>
      <c r="AA1713" s="107"/>
      <c r="AB1713" s="107"/>
      <c r="AC1713" s="107"/>
      <c r="AD1713" s="107"/>
      <c r="AE1713" s="107"/>
      <c r="AF1713" s="107"/>
    </row>
    <row r="1714" spans="2:32" ht="12" customHeight="1"/>
    <row r="1715" spans="2:32" ht="12" customHeight="1"/>
    <row r="1716" spans="2:32" ht="12" customHeight="1"/>
    <row r="1717" spans="2:32" ht="12" customHeight="1"/>
    <row r="1718" spans="2:32" ht="12" customHeight="1"/>
    <row r="1719" spans="2:32" ht="12" customHeight="1"/>
    <row r="1720" spans="2:32" ht="12" customHeight="1"/>
    <row r="1721" spans="2:32" ht="12" customHeight="1"/>
    <row r="1722" spans="2:32" ht="12" customHeight="1"/>
    <row r="1723" spans="2:32" ht="12" customHeight="1"/>
    <row r="1724" spans="2:32" ht="12" customHeight="1"/>
    <row r="1728" spans="2:32" ht="15" customHeight="1"/>
    <row r="1729" ht="15" customHeight="1"/>
    <row r="1731" ht="12" customHeight="1"/>
    <row r="1767" ht="12" customHeight="1"/>
    <row r="1813" ht="12" customHeight="1"/>
    <row r="1849" ht="12" customHeight="1"/>
    <row r="1885" ht="12" customHeight="1"/>
    <row r="1887" ht="12" customHeight="1"/>
    <row r="1923" ht="12" customHeight="1"/>
    <row r="1959" ht="12" customHeight="1"/>
    <row r="1960" ht="12" customHeight="1"/>
    <row r="1961" ht="12" customHeight="1"/>
    <row r="1970" ht="12" customHeight="1"/>
    <row r="1979" ht="12" customHeight="1"/>
    <row r="1989" spans="2:32" ht="15" customHeight="1"/>
    <row r="1990" spans="2:32" ht="15" customHeight="1">
      <c r="B1990" s="107"/>
      <c r="C1990" s="107"/>
      <c r="D1990" s="107"/>
      <c r="E1990" s="107"/>
      <c r="F1990" s="107"/>
      <c r="G1990" s="107"/>
      <c r="H1990" s="107"/>
      <c r="I1990" s="107"/>
      <c r="J1990" s="107"/>
      <c r="K1990" s="107"/>
      <c r="L1990" s="107"/>
      <c r="M1990" s="107"/>
      <c r="N1990" s="107"/>
      <c r="O1990" s="107"/>
      <c r="P1990" s="107"/>
      <c r="Q1990" s="107"/>
      <c r="R1990" s="107"/>
      <c r="S1990" s="107"/>
      <c r="T1990" s="107"/>
      <c r="U1990" s="107"/>
      <c r="V1990" s="107"/>
      <c r="W1990" s="107"/>
      <c r="X1990" s="107"/>
      <c r="Y1990" s="107"/>
      <c r="Z1990" s="107"/>
      <c r="AA1990" s="107"/>
      <c r="AB1990" s="107"/>
      <c r="AC1990" s="107"/>
      <c r="AD1990" s="107"/>
      <c r="AE1990" s="107"/>
      <c r="AF1990" s="107"/>
    </row>
    <row r="1998" spans="2:32" ht="12" customHeight="1"/>
    <row r="1999" spans="2:32" ht="12" customHeight="1"/>
    <row r="2000" spans="2:32" ht="12" customHeight="1"/>
    <row r="2001" ht="12" customHeight="1"/>
    <row r="2002" ht="12" customHeight="1"/>
    <row r="2003" ht="12" customHeight="1"/>
    <row r="2004" ht="12" customHeight="1"/>
    <row r="2005" ht="12" customHeight="1"/>
    <row r="2006" ht="12" customHeight="1"/>
    <row r="2007" ht="12" customHeight="1"/>
    <row r="2008" ht="12" customHeight="1"/>
    <row r="2009" ht="12" customHeight="1"/>
    <row r="2010" ht="12" customHeight="1"/>
    <row r="2011" ht="12" customHeight="1"/>
    <row r="2012" ht="12" customHeight="1"/>
    <row r="2013" ht="12" customHeight="1"/>
    <row r="2014" ht="12" customHeight="1"/>
    <row r="2015" ht="12" customHeight="1"/>
    <row r="2016" ht="12" customHeight="1"/>
    <row r="2017" ht="12" customHeight="1"/>
    <row r="2018" ht="12" customHeight="1"/>
    <row r="2019" ht="12" customHeight="1"/>
    <row r="2020" ht="12" customHeight="1"/>
    <row r="2021" ht="12" customHeight="1"/>
    <row r="2022" ht="12" customHeight="1"/>
    <row r="2023" ht="12" customHeight="1"/>
    <row r="2024" ht="12" customHeight="1"/>
    <row r="2025" ht="12" customHeight="1"/>
    <row r="2026" ht="12" customHeight="1"/>
    <row r="2027" ht="12" customHeight="1"/>
    <row r="2028" ht="12" customHeight="1"/>
    <row r="2029" ht="12" customHeight="1"/>
    <row r="2030" ht="12" customHeight="1"/>
    <row r="2031" ht="12" customHeight="1"/>
    <row r="2032" ht="12" customHeight="1"/>
    <row r="2033" ht="12" customHeight="1"/>
    <row r="2034" ht="12" customHeight="1"/>
    <row r="2035" ht="12" customHeight="1"/>
    <row r="2036" ht="12" customHeight="1"/>
    <row r="2037" ht="12" customHeight="1"/>
    <row r="2038" ht="12" customHeight="1"/>
    <row r="2039" ht="12" customHeight="1"/>
    <row r="2040" ht="12" customHeight="1"/>
    <row r="2041" ht="12" customHeight="1"/>
    <row r="2042" ht="12" customHeight="1"/>
    <row r="2043" ht="12" customHeight="1"/>
    <row r="2044" ht="12" customHeight="1"/>
    <row r="2045" ht="12" customHeight="1"/>
    <row r="2046" ht="12" customHeight="1"/>
    <row r="2047" ht="12" customHeight="1"/>
    <row r="2048" ht="12" customHeight="1"/>
    <row r="2049" ht="12" customHeight="1"/>
    <row r="2053" ht="15" customHeight="1"/>
    <row r="2054" ht="15" customHeight="1"/>
    <row r="2144" ht="12" customHeight="1"/>
    <row r="2234" ht="12" customHeight="1"/>
    <row r="2324" spans="2:32" ht="15" customHeight="1"/>
    <row r="2325" spans="2:32" ht="15" customHeight="1">
      <c r="B2325" s="107"/>
      <c r="C2325" s="107"/>
      <c r="D2325" s="107"/>
      <c r="E2325" s="107"/>
      <c r="F2325" s="107"/>
      <c r="G2325" s="107"/>
      <c r="H2325" s="107"/>
      <c r="I2325" s="107"/>
      <c r="J2325" s="107"/>
      <c r="K2325" s="107"/>
      <c r="L2325" s="107"/>
      <c r="M2325" s="107"/>
      <c r="N2325" s="107"/>
      <c r="O2325" s="107"/>
      <c r="P2325" s="107"/>
      <c r="Q2325" s="107"/>
      <c r="R2325" s="107"/>
      <c r="S2325" s="107"/>
      <c r="T2325" s="107"/>
      <c r="U2325" s="107"/>
      <c r="V2325" s="107"/>
      <c r="W2325" s="107"/>
      <c r="X2325" s="107"/>
      <c r="Y2325" s="107"/>
      <c r="Z2325" s="107"/>
      <c r="AA2325" s="107"/>
      <c r="AB2325" s="107"/>
      <c r="AC2325" s="107"/>
      <c r="AD2325" s="107"/>
      <c r="AE2325" s="107"/>
      <c r="AF2325" s="107"/>
    </row>
    <row r="2327" spans="2:32" ht="12" customHeight="1"/>
    <row r="2328" spans="2:32" ht="12" customHeight="1"/>
    <row r="2329" spans="2:32" ht="12" customHeight="1"/>
    <row r="2330" spans="2:32" ht="12" customHeight="1"/>
    <row r="2331" spans="2:32" ht="12" customHeight="1"/>
    <row r="2332" spans="2:32" ht="12" customHeight="1"/>
    <row r="2333" spans="2:32" ht="12" customHeight="1"/>
    <row r="2334" spans="2:32" ht="12" customHeight="1"/>
    <row r="2335" spans="2:32" ht="12" customHeight="1"/>
    <row r="2336" spans="2:32" ht="12" customHeight="1"/>
    <row r="2337" ht="12" customHeight="1"/>
    <row r="2338" ht="12" customHeight="1"/>
    <row r="2339" ht="12" customHeight="1"/>
    <row r="2340" ht="12" customHeight="1"/>
    <row r="2341" ht="12" customHeight="1"/>
    <row r="2342" ht="12" customHeight="1"/>
    <row r="2343" ht="12" customHeight="1"/>
    <row r="2344" ht="12" customHeight="1"/>
    <row r="2345" ht="12" customHeight="1"/>
    <row r="2346" ht="12" customHeight="1"/>
    <row r="2347" ht="12" customHeight="1"/>
    <row r="2348" ht="12" customHeight="1"/>
    <row r="2349" ht="12" customHeight="1"/>
    <row r="2353" ht="15" customHeight="1"/>
    <row r="2354" ht="15" customHeight="1"/>
    <row r="2372" ht="12" customHeight="1"/>
    <row r="2390" ht="12" customHeight="1"/>
    <row r="2408" ht="12" customHeight="1"/>
    <row r="2426" ht="12" customHeight="1"/>
    <row r="2444" ht="12" customHeight="1"/>
    <row r="2462" ht="12" customHeight="1"/>
    <row r="2463" ht="12" customHeight="1"/>
    <row r="2481" ht="12" customHeight="1"/>
    <row r="2499" ht="12" customHeight="1"/>
    <row r="2517" ht="12" customHeight="1"/>
    <row r="2518" ht="12" customHeight="1"/>
    <row r="2536" ht="12" customHeight="1"/>
    <row r="2554" ht="12" customHeight="1"/>
    <row r="2572" ht="12" customHeight="1"/>
    <row r="2590" ht="12" customHeight="1"/>
    <row r="2608" ht="12" customHeight="1"/>
    <row r="2626" ht="12" customHeight="1"/>
    <row r="2644" spans="2:32" ht="15" customHeight="1"/>
    <row r="2645" spans="2:32" ht="15" customHeight="1">
      <c r="B2645" s="107"/>
      <c r="C2645" s="107"/>
      <c r="D2645" s="107"/>
      <c r="E2645" s="107"/>
      <c r="F2645" s="107"/>
      <c r="G2645" s="107"/>
      <c r="H2645" s="107"/>
      <c r="I2645" s="107"/>
      <c r="J2645" s="107"/>
      <c r="K2645" s="107"/>
      <c r="L2645" s="107"/>
      <c r="M2645" s="107"/>
      <c r="N2645" s="107"/>
      <c r="O2645" s="107"/>
      <c r="P2645" s="107"/>
      <c r="Q2645" s="107"/>
      <c r="R2645" s="107"/>
      <c r="S2645" s="107"/>
      <c r="T2645" s="107"/>
      <c r="U2645" s="107"/>
      <c r="V2645" s="107"/>
      <c r="W2645" s="107"/>
      <c r="X2645" s="107"/>
      <c r="Y2645" s="107"/>
      <c r="Z2645" s="107"/>
      <c r="AA2645" s="107"/>
      <c r="AB2645" s="107"/>
      <c r="AC2645" s="107"/>
      <c r="AD2645" s="107"/>
      <c r="AE2645" s="107"/>
      <c r="AF2645" s="107"/>
    </row>
    <row r="2647" spans="2:32" ht="12" customHeight="1"/>
    <row r="2648" spans="2:32" ht="12" customHeight="1"/>
    <row r="2649" spans="2:32" ht="12" customHeight="1"/>
    <row r="2650" spans="2:32" ht="12" customHeight="1"/>
    <row r="2651" spans="2:32" ht="12" customHeight="1"/>
    <row r="2652" spans="2:32" ht="12" customHeight="1"/>
    <row r="2653" spans="2:32" ht="12" customHeight="1"/>
    <row r="2654" spans="2:32" ht="12" customHeight="1"/>
    <row r="2655" spans="2:32" ht="12" customHeight="1"/>
    <row r="2656" spans="2:32" ht="12" customHeight="1"/>
    <row r="2657" ht="12" customHeight="1"/>
    <row r="2658" ht="12" customHeight="1"/>
    <row r="2659" ht="12" customHeight="1"/>
    <row r="2660" ht="12" customHeight="1"/>
    <row r="2661" ht="12" customHeight="1"/>
    <row r="2662" ht="12" customHeight="1"/>
    <row r="2663" ht="12" customHeight="1"/>
    <row r="2664" ht="12" customHeight="1"/>
    <row r="2665" ht="12" customHeight="1"/>
    <row r="2666" ht="12" customHeight="1"/>
    <row r="2667" ht="12" customHeight="1"/>
    <row r="2668" ht="12" customHeight="1"/>
    <row r="2669" ht="12" customHeight="1"/>
    <row r="2670" ht="12" customHeight="1"/>
    <row r="2671" ht="12" customHeight="1"/>
    <row r="2672" ht="12" customHeight="1"/>
    <row r="2673" ht="12" customHeight="1"/>
    <row r="2674" ht="12" customHeight="1"/>
    <row r="2678" ht="15" customHeight="1"/>
    <row r="2679" ht="15" customHeight="1"/>
    <row r="2697" ht="12" customHeight="1"/>
    <row r="2715" ht="12" customHeight="1"/>
    <row r="2733" ht="12" customHeight="1"/>
    <row r="2751" ht="12" customHeight="1"/>
    <row r="2786" ht="12" customHeight="1"/>
    <row r="2804" ht="12" customHeight="1"/>
    <row r="2839" ht="12" customHeight="1"/>
    <row r="2857" ht="12" customHeight="1"/>
    <row r="2875" ht="12" customHeight="1"/>
    <row r="2893" ht="12" customHeight="1"/>
    <row r="2911" ht="12" customHeight="1"/>
    <row r="2929" ht="12" customHeight="1"/>
    <row r="2947" ht="12" customHeight="1"/>
    <row r="2965" spans="2:32" ht="12" customHeight="1"/>
    <row r="2970" spans="2:32" ht="15" customHeight="1"/>
    <row r="2971" spans="2:32" ht="15" customHeight="1">
      <c r="B2971" s="107"/>
      <c r="C2971" s="107"/>
      <c r="D2971" s="107"/>
      <c r="E2971" s="107"/>
      <c r="F2971" s="107"/>
      <c r="G2971" s="107"/>
      <c r="H2971" s="107"/>
      <c r="I2971" s="107"/>
      <c r="J2971" s="107"/>
      <c r="K2971" s="107"/>
      <c r="L2971" s="107"/>
      <c r="M2971" s="107"/>
      <c r="N2971" s="107"/>
      <c r="O2971" s="107"/>
      <c r="P2971" s="107"/>
      <c r="Q2971" s="107"/>
      <c r="R2971" s="107"/>
      <c r="S2971" s="107"/>
      <c r="T2971" s="107"/>
      <c r="U2971" s="107"/>
      <c r="V2971" s="107"/>
      <c r="W2971" s="107"/>
      <c r="X2971" s="107"/>
      <c r="Y2971" s="107"/>
      <c r="Z2971" s="107"/>
      <c r="AA2971" s="107"/>
      <c r="AB2971" s="107"/>
      <c r="AC2971" s="107"/>
      <c r="AD2971" s="107"/>
      <c r="AE2971" s="107"/>
      <c r="AF2971" s="107"/>
    </row>
    <row r="2973" spans="2:32" ht="12" customHeight="1"/>
    <row r="2974" spans="2:32" ht="12" customHeight="1"/>
    <row r="2975" spans="2:32" ht="12" customHeight="1"/>
    <row r="2976" spans="2:32" ht="12" customHeight="1"/>
    <row r="2977" ht="12" customHeight="1"/>
    <row r="2978" ht="12" customHeight="1"/>
    <row r="2979" ht="12" customHeight="1"/>
    <row r="2980" ht="12" customHeight="1"/>
    <row r="2981" ht="12" customHeight="1"/>
    <row r="2982" ht="12" customHeight="1"/>
    <row r="2983" ht="12" customHeight="1"/>
    <row r="2984" ht="12" customHeight="1"/>
    <row r="2985" ht="12" customHeight="1"/>
    <row r="2986" ht="12" customHeight="1"/>
    <row r="2987" ht="12" customHeight="1"/>
    <row r="2988" ht="12" customHeight="1"/>
    <row r="2989" ht="12" customHeight="1"/>
    <row r="2990" ht="12" customHeight="1"/>
    <row r="2991" ht="12" customHeight="1"/>
    <row r="2992" ht="12" customHeight="1"/>
    <row r="2993" ht="12" customHeight="1"/>
    <row r="2994" ht="12" customHeight="1"/>
    <row r="2995" ht="12" customHeight="1"/>
    <row r="2996" ht="12" customHeight="1"/>
    <row r="2997" ht="12" customHeight="1"/>
    <row r="2998" ht="12" customHeight="1"/>
    <row r="2999" ht="12" customHeight="1"/>
    <row r="3003" ht="15" customHeight="1"/>
    <row r="3004" ht="15" customHeight="1"/>
    <row r="3022" ht="12" customHeight="1"/>
    <row r="3040" ht="12" customHeight="1"/>
    <row r="3058" ht="12" customHeight="1"/>
    <row r="3076" ht="12" customHeight="1"/>
    <row r="3111" ht="12" customHeight="1"/>
    <row r="3129" ht="12" customHeight="1"/>
    <row r="3147" ht="12" customHeight="1"/>
    <row r="3165" ht="12" customHeight="1"/>
    <row r="3166" ht="12" customHeight="1"/>
    <row r="3184" ht="12" customHeight="1"/>
    <row r="3202" ht="12" customHeight="1"/>
    <row r="3220" ht="12" customHeight="1"/>
    <row r="3238" ht="12" customHeight="1"/>
    <row r="3256" ht="12" customHeight="1"/>
    <row r="3274" ht="12" customHeight="1"/>
    <row r="3292" spans="2:32" ht="15" customHeight="1"/>
    <row r="3293" spans="2:32" ht="15" customHeight="1">
      <c r="B3293" s="107"/>
      <c r="C3293" s="107"/>
      <c r="D3293" s="107"/>
      <c r="E3293" s="107"/>
      <c r="F3293" s="107"/>
      <c r="G3293" s="107"/>
      <c r="H3293" s="107"/>
      <c r="I3293" s="107"/>
      <c r="J3293" s="107"/>
      <c r="K3293" s="107"/>
      <c r="L3293" s="107"/>
      <c r="M3293" s="107"/>
      <c r="N3293" s="107"/>
      <c r="O3293" s="107"/>
      <c r="P3293" s="107"/>
      <c r="Q3293" s="107"/>
      <c r="R3293" s="107"/>
      <c r="S3293" s="107"/>
      <c r="T3293" s="107"/>
      <c r="U3293" s="107"/>
      <c r="V3293" s="107"/>
      <c r="W3293" s="107"/>
      <c r="X3293" s="107"/>
      <c r="Y3293" s="107"/>
      <c r="Z3293" s="107"/>
      <c r="AA3293" s="107"/>
      <c r="AB3293" s="107"/>
      <c r="AC3293" s="107"/>
      <c r="AD3293" s="107"/>
      <c r="AE3293" s="107"/>
      <c r="AF3293" s="107"/>
    </row>
    <row r="3294" spans="2:32" ht="12" customHeight="1"/>
    <row r="3295" spans="2:32" ht="12" customHeight="1"/>
    <row r="3296" spans="2:32" ht="12" customHeight="1"/>
    <row r="3297" ht="12" customHeight="1"/>
    <row r="3298" ht="12" customHeight="1"/>
    <row r="3299" ht="12" customHeight="1"/>
    <row r="3300" ht="12" customHeight="1"/>
    <row r="3301" ht="12" customHeight="1"/>
    <row r="3302" ht="12" customHeight="1"/>
    <row r="3303" ht="12" customHeight="1"/>
    <row r="3304" ht="12" customHeight="1"/>
    <row r="3305" ht="12" customHeight="1"/>
    <row r="3306" ht="12" customHeight="1"/>
    <row r="3307" ht="12" customHeight="1"/>
    <row r="3308" ht="12" customHeight="1"/>
    <row r="3309" ht="12" customHeight="1"/>
    <row r="3310" ht="12" customHeight="1"/>
    <row r="3311" ht="12" customHeight="1"/>
    <row r="3312" ht="12" customHeight="1"/>
    <row r="3313" ht="12" customHeight="1"/>
    <row r="3314" ht="12" customHeight="1"/>
    <row r="3315" ht="12" customHeight="1"/>
    <row r="3316" ht="12" customHeight="1"/>
    <row r="3317" ht="12" customHeight="1"/>
    <row r="3318" ht="12" customHeight="1"/>
    <row r="3319" ht="12" customHeight="1"/>
    <row r="3320" ht="12" customHeight="1"/>
    <row r="3321" ht="12" customHeight="1"/>
    <row r="3322" ht="12" customHeight="1"/>
    <row r="3323" ht="12" customHeight="1"/>
    <row r="3324" ht="12" customHeight="1"/>
    <row r="3328" ht="15" customHeight="1"/>
    <row r="3329" ht="15" customHeight="1"/>
    <row r="3335" ht="12" customHeight="1"/>
    <row r="3352" ht="12" customHeight="1"/>
    <row r="3355" ht="12" customHeight="1"/>
    <row r="3361" ht="12" customHeight="1"/>
    <row r="3378" ht="12" customHeight="1"/>
    <row r="3381" ht="12" customHeight="1"/>
    <row r="3385" ht="12" customHeight="1"/>
    <row r="3396" spans="2:32" ht="12" customHeight="1"/>
    <row r="3399" spans="2:32" ht="12" customHeight="1"/>
    <row r="3401" spans="2:32" ht="15" customHeight="1"/>
    <row r="3402" spans="2:32" ht="15" customHeight="1">
      <c r="B3402" s="107"/>
      <c r="C3402" s="107"/>
      <c r="D3402" s="107"/>
      <c r="E3402" s="107"/>
      <c r="F3402" s="107"/>
      <c r="G3402" s="107"/>
      <c r="H3402" s="107"/>
      <c r="I3402" s="107"/>
      <c r="J3402" s="107"/>
      <c r="K3402" s="107"/>
      <c r="L3402" s="107"/>
      <c r="M3402" s="107"/>
      <c r="N3402" s="107"/>
      <c r="O3402" s="107"/>
      <c r="P3402" s="107"/>
      <c r="Q3402" s="107"/>
      <c r="R3402" s="107"/>
      <c r="S3402" s="107"/>
      <c r="T3402" s="107"/>
      <c r="U3402" s="107"/>
      <c r="V3402" s="107"/>
      <c r="W3402" s="107"/>
      <c r="X3402" s="107"/>
      <c r="Y3402" s="107"/>
      <c r="Z3402" s="107"/>
      <c r="AA3402" s="107"/>
      <c r="AB3402" s="107"/>
      <c r="AC3402" s="107"/>
      <c r="AD3402" s="107"/>
      <c r="AE3402" s="107"/>
      <c r="AF3402" s="107"/>
    </row>
    <row r="3410" ht="12" customHeight="1"/>
    <row r="3411" ht="12" customHeight="1"/>
    <row r="3412" ht="12" customHeight="1"/>
    <row r="3413" ht="12" customHeight="1"/>
    <row r="3414" ht="12" customHeight="1"/>
    <row r="3415" ht="12" customHeight="1"/>
    <row r="3416" ht="12" customHeight="1"/>
    <row r="3417" ht="12" customHeight="1"/>
    <row r="3418" ht="12" customHeight="1"/>
    <row r="3419" ht="12" customHeight="1"/>
    <row r="3420" ht="12" customHeight="1"/>
    <row r="3421" ht="12" customHeight="1"/>
    <row r="3422" ht="12" customHeight="1"/>
    <row r="3423" ht="12" customHeight="1"/>
    <row r="3424" ht="12" customHeight="1"/>
    <row r="3425" ht="12" customHeight="1"/>
    <row r="3426" ht="12" customHeight="1"/>
    <row r="3427" ht="12" customHeight="1"/>
    <row r="3428" ht="12" customHeight="1"/>
    <row r="3429" ht="12" customHeight="1"/>
    <row r="3430" ht="12" customHeight="1"/>
    <row r="3431" ht="12" customHeight="1"/>
    <row r="3432" ht="12" customHeight="1"/>
    <row r="3433" ht="12" customHeight="1"/>
    <row r="3434" ht="12" customHeight="1"/>
    <row r="3435" ht="12" customHeight="1"/>
    <row r="3436" ht="12" customHeight="1"/>
    <row r="3437" ht="12" customHeight="1"/>
    <row r="3438" ht="12" customHeight="1"/>
    <row r="3439" ht="12" customHeight="1"/>
    <row r="3440" ht="12" customHeight="1"/>
    <row r="3441" ht="12" customHeight="1"/>
    <row r="3442" ht="12" customHeight="1"/>
    <row r="3443" ht="12" customHeight="1"/>
    <row r="3444" ht="12" customHeight="1"/>
    <row r="3445" ht="12" customHeight="1"/>
    <row r="3446" ht="12" customHeight="1"/>
    <row r="3447" ht="12" customHeight="1"/>
    <row r="3448" ht="12" customHeight="1"/>
    <row r="3449" ht="12" customHeight="1"/>
    <row r="3453" ht="15" customHeight="1"/>
    <row r="3454" ht="15" customHeight="1"/>
    <row r="3460" ht="12" customHeight="1"/>
    <row r="3477" ht="12" customHeight="1"/>
    <row r="3480" ht="12" customHeight="1"/>
    <row r="3486" ht="12" customHeight="1"/>
    <row r="3503" ht="12" customHeight="1"/>
    <row r="3506" ht="12" customHeight="1"/>
    <row r="3510" ht="12" customHeight="1"/>
    <row r="3521" spans="2:32" ht="12" customHeight="1"/>
    <row r="3524" spans="2:32" ht="12" customHeight="1"/>
    <row r="3526" spans="2:32" ht="15" customHeight="1"/>
    <row r="3527" spans="2:32" ht="15" customHeight="1">
      <c r="B3527" s="107"/>
      <c r="C3527" s="107"/>
      <c r="D3527" s="107"/>
      <c r="E3527" s="107"/>
      <c r="F3527" s="107"/>
      <c r="G3527" s="107"/>
      <c r="H3527" s="107"/>
      <c r="I3527" s="107"/>
      <c r="J3527" s="107"/>
      <c r="K3527" s="107"/>
      <c r="L3527" s="107"/>
      <c r="M3527" s="107"/>
      <c r="N3527" s="107"/>
      <c r="O3527" s="107"/>
      <c r="P3527" s="107"/>
      <c r="Q3527" s="107"/>
      <c r="R3527" s="107"/>
      <c r="S3527" s="107"/>
      <c r="T3527" s="107"/>
      <c r="U3527" s="107"/>
      <c r="V3527" s="107"/>
      <c r="W3527" s="107"/>
      <c r="X3527" s="107"/>
      <c r="Y3527" s="107"/>
      <c r="Z3527" s="107"/>
      <c r="AA3527" s="107"/>
      <c r="AB3527" s="107"/>
      <c r="AC3527" s="107"/>
      <c r="AD3527" s="107"/>
      <c r="AE3527" s="107"/>
      <c r="AF3527" s="107"/>
    </row>
    <row r="3535" spans="2:32" ht="12" customHeight="1"/>
    <row r="3536" spans="2:32" ht="12" customHeight="1"/>
    <row r="3537" ht="12" customHeight="1"/>
    <row r="3538" ht="12" customHeight="1"/>
    <row r="3539" ht="12" customHeight="1"/>
    <row r="3540" ht="12" customHeight="1"/>
    <row r="3541" ht="12" customHeight="1"/>
    <row r="3542" ht="12" customHeight="1"/>
    <row r="3543" ht="12" customHeight="1"/>
    <row r="3544" ht="12" customHeight="1"/>
    <row r="3545" ht="12" customHeight="1"/>
    <row r="3546" ht="12" customHeight="1"/>
    <row r="3547" ht="12" customHeight="1"/>
    <row r="3548" ht="12" customHeight="1"/>
    <row r="3549" ht="12" customHeight="1"/>
    <row r="3550" ht="12" customHeight="1"/>
    <row r="3551" ht="12" customHeight="1"/>
    <row r="3552" ht="12" customHeight="1"/>
    <row r="3553" ht="12" customHeight="1"/>
    <row r="3554" ht="12" customHeight="1"/>
    <row r="3555" ht="12" customHeight="1"/>
    <row r="3556" ht="12" customHeight="1"/>
    <row r="3557" ht="12" customHeight="1"/>
    <row r="3558" ht="12" customHeight="1"/>
    <row r="3559" ht="12" customHeight="1"/>
    <row r="3560" ht="12" customHeight="1"/>
    <row r="3561" ht="12" customHeight="1"/>
    <row r="3562" ht="12" customHeight="1"/>
    <row r="3563" ht="12" customHeight="1"/>
    <row r="3564" ht="12" customHeight="1"/>
    <row r="3565" ht="12" customHeight="1"/>
    <row r="3566" ht="12" customHeight="1"/>
    <row r="3567" ht="12" customHeight="1"/>
    <row r="3568" ht="12" customHeight="1"/>
    <row r="3569" ht="12" customHeight="1"/>
    <row r="3570" ht="12" customHeight="1"/>
    <row r="3571" ht="12" customHeight="1"/>
    <row r="3572" ht="12" customHeight="1"/>
    <row r="3573" ht="12" customHeight="1"/>
    <row r="3574" ht="12" customHeight="1"/>
    <row r="3578" ht="15" customHeight="1"/>
    <row r="3579" ht="15" customHeight="1"/>
    <row r="3585" ht="12" customHeight="1"/>
    <row r="3602" ht="12" customHeight="1"/>
    <row r="3605" ht="12" customHeight="1"/>
    <row r="3611" ht="12" customHeight="1"/>
    <row r="3628" ht="12" customHeight="1"/>
    <row r="3631" ht="12" customHeight="1"/>
    <row r="3635" ht="12" customHeight="1"/>
    <row r="3646" ht="12" customHeight="1"/>
    <row r="3649" spans="2:32" ht="12" customHeight="1"/>
    <row r="3651" spans="2:32" ht="15" customHeight="1"/>
    <row r="3652" spans="2:32" ht="15" customHeight="1">
      <c r="B3652" s="107"/>
      <c r="C3652" s="107"/>
      <c r="D3652" s="107"/>
      <c r="E3652" s="107"/>
      <c r="F3652" s="107"/>
      <c r="G3652" s="107"/>
      <c r="H3652" s="107"/>
      <c r="I3652" s="107"/>
      <c r="J3652" s="107"/>
      <c r="K3652" s="107"/>
      <c r="L3652" s="107"/>
      <c r="M3652" s="107"/>
      <c r="N3652" s="107"/>
      <c r="O3652" s="107"/>
      <c r="P3652" s="107"/>
      <c r="Q3652" s="107"/>
      <c r="R3652" s="107"/>
      <c r="S3652" s="107"/>
      <c r="T3652" s="107"/>
      <c r="U3652" s="107"/>
      <c r="V3652" s="107"/>
      <c r="W3652" s="107"/>
      <c r="X3652" s="107"/>
      <c r="Y3652" s="107"/>
      <c r="Z3652" s="107"/>
      <c r="AA3652" s="107"/>
      <c r="AB3652" s="107"/>
      <c r="AC3652" s="107"/>
      <c r="AD3652" s="107"/>
      <c r="AE3652" s="107"/>
      <c r="AF3652" s="107"/>
    </row>
    <row r="3660" spans="2:32" ht="12" customHeight="1"/>
    <row r="3661" spans="2:32" ht="12" customHeight="1"/>
    <row r="3662" spans="2:32" ht="12" customHeight="1"/>
    <row r="3663" spans="2:32" ht="12" customHeight="1"/>
    <row r="3664" spans="2:32" ht="12" customHeight="1"/>
    <row r="3665" ht="12" customHeight="1"/>
    <row r="3666" ht="12" customHeight="1"/>
    <row r="3667" ht="12" customHeight="1"/>
    <row r="3668" ht="12" customHeight="1"/>
    <row r="3669" ht="12" customHeight="1"/>
    <row r="3670" ht="12" customHeight="1"/>
    <row r="3671" ht="12" customHeight="1"/>
    <row r="3672" ht="12" customHeight="1"/>
    <row r="3673" ht="12" customHeight="1"/>
    <row r="3674" ht="12" customHeight="1"/>
    <row r="3675" ht="12" customHeight="1"/>
    <row r="3676" ht="12" customHeight="1"/>
    <row r="3677" ht="12" customHeight="1"/>
    <row r="3678" ht="12" customHeight="1"/>
    <row r="3679" ht="12" customHeight="1"/>
    <row r="3680" ht="12" customHeight="1"/>
    <row r="3681" ht="12" customHeight="1"/>
    <row r="3682" ht="12" customHeight="1"/>
    <row r="3683" ht="12" customHeight="1"/>
    <row r="3684" ht="12" customHeight="1"/>
    <row r="3685" ht="12" customHeight="1"/>
    <row r="3686" ht="12" customHeight="1"/>
    <row r="3687" ht="12" customHeight="1"/>
    <row r="3688" ht="12" customHeight="1"/>
    <row r="3689" ht="12" customHeight="1"/>
    <row r="3690" ht="12" customHeight="1"/>
    <row r="3691" ht="12" customHeight="1"/>
    <row r="3692" ht="12" customHeight="1"/>
    <row r="3693" ht="12" customHeight="1"/>
    <row r="3694" ht="12" customHeight="1"/>
    <row r="3695" ht="12" customHeight="1"/>
    <row r="3696" ht="12" customHeight="1"/>
    <row r="3697" ht="12" customHeight="1"/>
    <row r="3698" ht="12" customHeight="1"/>
    <row r="3699" ht="12" customHeight="1"/>
    <row r="3703" ht="15" customHeight="1"/>
    <row r="3704" ht="15" customHeight="1"/>
    <row r="3710" ht="12" customHeight="1"/>
    <row r="3727" ht="12" customHeight="1"/>
    <row r="3730" ht="12" customHeight="1"/>
    <row r="3736" ht="12" customHeight="1"/>
    <row r="3753" ht="12" customHeight="1"/>
    <row r="3756" ht="12" customHeight="1"/>
    <row r="3760" ht="12" customHeight="1"/>
    <row r="3771" ht="12" customHeight="1"/>
    <row r="3774" ht="12" customHeight="1"/>
    <row r="3776" ht="15" customHeight="1"/>
    <row r="3777" spans="2:32" ht="15" customHeight="1">
      <c r="B3777" s="107"/>
      <c r="C3777" s="107"/>
      <c r="D3777" s="107"/>
      <c r="E3777" s="107"/>
      <c r="F3777" s="107"/>
      <c r="G3777" s="107"/>
      <c r="H3777" s="107"/>
      <c r="I3777" s="107"/>
      <c r="J3777" s="107"/>
      <c r="K3777" s="107"/>
      <c r="L3777" s="107"/>
      <c r="M3777" s="107"/>
      <c r="N3777" s="107"/>
      <c r="O3777" s="107"/>
      <c r="P3777" s="107"/>
      <c r="Q3777" s="107"/>
      <c r="R3777" s="107"/>
      <c r="S3777" s="107"/>
      <c r="T3777" s="107"/>
      <c r="U3777" s="107"/>
      <c r="V3777" s="107"/>
      <c r="W3777" s="107"/>
      <c r="X3777" s="107"/>
      <c r="Y3777" s="107"/>
      <c r="Z3777" s="107"/>
      <c r="AA3777" s="107"/>
      <c r="AB3777" s="107"/>
      <c r="AC3777" s="107"/>
      <c r="AD3777" s="107"/>
      <c r="AE3777" s="107"/>
      <c r="AF3777" s="107"/>
    </row>
    <row r="3785" spans="2:32" ht="12" customHeight="1"/>
    <row r="3786" spans="2:32" ht="12" customHeight="1"/>
    <row r="3787" spans="2:32" ht="12" customHeight="1"/>
    <row r="3788" spans="2:32" ht="12" customHeight="1"/>
    <row r="3789" spans="2:32" ht="12" customHeight="1"/>
    <row r="3790" spans="2:32" ht="12" customHeight="1"/>
    <row r="3791" spans="2:32" ht="12" customHeight="1"/>
    <row r="3792" spans="2:32" ht="12" customHeight="1"/>
    <row r="3793" ht="12" customHeight="1"/>
    <row r="3794" ht="12" customHeight="1"/>
    <row r="3795" ht="12" customHeight="1"/>
    <row r="3796" ht="12" customHeight="1"/>
    <row r="3797" ht="12" customHeight="1"/>
    <row r="3798" ht="12" customHeight="1"/>
    <row r="3799" ht="12" customHeight="1"/>
    <row r="3800" ht="12" customHeight="1"/>
    <row r="3801" ht="12" customHeight="1"/>
    <row r="3802" ht="12" customHeight="1"/>
    <row r="3803" ht="12" customHeight="1"/>
    <row r="3804" ht="12" customHeight="1"/>
    <row r="3805" ht="12" customHeight="1"/>
    <row r="3806" ht="12" customHeight="1"/>
    <row r="3807" ht="12" customHeight="1"/>
    <row r="3808" ht="12" customHeight="1"/>
    <row r="3809" ht="12" customHeight="1"/>
    <row r="3810" ht="12" customHeight="1"/>
    <row r="3811" ht="12" customHeight="1"/>
    <row r="3812" ht="12" customHeight="1"/>
    <row r="3813" ht="12" customHeight="1"/>
    <row r="3814" ht="12" customHeight="1"/>
    <row r="3815" ht="12" customHeight="1"/>
    <row r="3816" ht="12" customHeight="1"/>
    <row r="3817" ht="12" customHeight="1"/>
    <row r="3818" ht="12" customHeight="1"/>
    <row r="3819" ht="12" customHeight="1"/>
    <row r="3820" ht="12" customHeight="1"/>
    <row r="3821" ht="12" customHeight="1"/>
    <row r="3822" ht="12" customHeight="1"/>
    <row r="3823" ht="12" customHeight="1"/>
    <row r="3824" ht="12" customHeight="1"/>
    <row r="3828" ht="15" customHeight="1"/>
    <row r="3829" ht="15" customHeight="1"/>
    <row r="3835" ht="12" customHeight="1"/>
    <row r="3852" ht="12" customHeight="1"/>
    <row r="3855" ht="12" customHeight="1"/>
    <row r="3861" ht="12" customHeight="1"/>
    <row r="3878" ht="12" customHeight="1"/>
    <row r="3881" ht="12" customHeight="1"/>
    <row r="3885" ht="12" customHeight="1"/>
    <row r="3896" spans="2:32" ht="12" customHeight="1"/>
    <row r="3899" spans="2:32" ht="12" customHeight="1"/>
    <row r="3901" spans="2:32" ht="15" customHeight="1"/>
    <row r="3902" spans="2:32" ht="15" customHeight="1">
      <c r="B3902" s="107"/>
      <c r="C3902" s="107"/>
      <c r="D3902" s="107"/>
      <c r="E3902" s="107"/>
      <c r="F3902" s="107"/>
      <c r="G3902" s="107"/>
      <c r="H3902" s="107"/>
      <c r="I3902" s="107"/>
      <c r="J3902" s="107"/>
      <c r="K3902" s="107"/>
      <c r="L3902" s="107"/>
      <c r="M3902" s="107"/>
      <c r="N3902" s="107"/>
      <c r="O3902" s="107"/>
      <c r="P3902" s="107"/>
      <c r="Q3902" s="107"/>
      <c r="R3902" s="107"/>
      <c r="S3902" s="107"/>
      <c r="T3902" s="107"/>
      <c r="U3902" s="107"/>
      <c r="V3902" s="107"/>
      <c r="W3902" s="107"/>
      <c r="X3902" s="107"/>
      <c r="Y3902" s="107"/>
      <c r="Z3902" s="107"/>
      <c r="AA3902" s="107"/>
      <c r="AB3902" s="107"/>
      <c r="AC3902" s="107"/>
      <c r="AD3902" s="107"/>
      <c r="AE3902" s="107"/>
      <c r="AF3902" s="107"/>
    </row>
    <row r="3910" ht="12" customHeight="1"/>
    <row r="3911" ht="12" customHeight="1"/>
    <row r="3912" ht="12" customHeight="1"/>
    <row r="3913" ht="12" customHeight="1"/>
    <row r="3914" ht="12" customHeight="1"/>
    <row r="3915" ht="12" customHeight="1"/>
    <row r="3916" ht="12" customHeight="1"/>
    <row r="3917" ht="12" customHeight="1"/>
    <row r="3918" ht="12" customHeight="1"/>
    <row r="3919" ht="12" customHeight="1"/>
    <row r="3920" ht="12" customHeight="1"/>
    <row r="3921" ht="12" customHeight="1"/>
    <row r="3922" ht="12" customHeight="1"/>
    <row r="3923" ht="12" customHeight="1"/>
    <row r="3924" ht="12" customHeight="1"/>
    <row r="3925" ht="12" customHeight="1"/>
    <row r="3926" ht="12" customHeight="1"/>
    <row r="3927" ht="12" customHeight="1"/>
    <row r="3928" ht="12" customHeight="1"/>
    <row r="3929" ht="12" customHeight="1"/>
    <row r="3930" ht="12" customHeight="1"/>
    <row r="3931" ht="12" customHeight="1"/>
    <row r="3932" ht="12" customHeight="1"/>
    <row r="3933" ht="12" customHeight="1"/>
    <row r="3934" ht="12" customHeight="1"/>
    <row r="3935" ht="12" customHeight="1"/>
    <row r="3936" ht="12" customHeight="1"/>
    <row r="3937" ht="12" customHeight="1"/>
    <row r="3938" ht="12" customHeight="1"/>
    <row r="3939" ht="12" customHeight="1"/>
    <row r="3940" ht="12" customHeight="1"/>
    <row r="3941" ht="12" customHeight="1"/>
    <row r="3942" ht="12" customHeight="1"/>
    <row r="3943" ht="12" customHeight="1"/>
    <row r="3944" ht="12" customHeight="1"/>
    <row r="3945" ht="12" customHeight="1"/>
    <row r="3946" ht="12" customHeight="1"/>
    <row r="3947" ht="12" customHeight="1"/>
    <row r="3948" ht="12" customHeight="1"/>
    <row r="3949" ht="12" customHeight="1"/>
    <row r="3953" ht="15" customHeight="1"/>
    <row r="3954" ht="15" customHeight="1"/>
    <row r="3960" ht="12" customHeight="1"/>
    <row r="3977" ht="12" customHeight="1"/>
    <row r="3980" ht="12" customHeight="1"/>
    <row r="3986" ht="12" customHeight="1"/>
    <row r="4003" ht="12" customHeight="1"/>
    <row r="4006" ht="12" customHeight="1"/>
    <row r="4010" ht="12" customHeight="1"/>
    <row r="4021" spans="2:32" ht="12" customHeight="1"/>
    <row r="4024" spans="2:32" ht="12" customHeight="1"/>
    <row r="4026" spans="2:32" ht="15" customHeight="1"/>
    <row r="4027" spans="2:32" ht="15" customHeight="1">
      <c r="B4027" s="107"/>
      <c r="C4027" s="107"/>
      <c r="D4027" s="107"/>
      <c r="E4027" s="107"/>
      <c r="F4027" s="107"/>
      <c r="G4027" s="107"/>
      <c r="H4027" s="107"/>
      <c r="I4027" s="107"/>
      <c r="J4027" s="107"/>
      <c r="K4027" s="107"/>
      <c r="L4027" s="107"/>
      <c r="M4027" s="107"/>
      <c r="N4027" s="107"/>
      <c r="O4027" s="107"/>
      <c r="P4027" s="107"/>
      <c r="Q4027" s="107"/>
      <c r="R4027" s="107"/>
      <c r="S4027" s="107"/>
      <c r="T4027" s="107"/>
      <c r="U4027" s="107"/>
      <c r="V4027" s="107"/>
      <c r="W4027" s="107"/>
      <c r="X4027" s="107"/>
      <c r="Y4027" s="107"/>
      <c r="Z4027" s="107"/>
      <c r="AA4027" s="107"/>
      <c r="AB4027" s="107"/>
      <c r="AC4027" s="107"/>
      <c r="AD4027" s="107"/>
      <c r="AE4027" s="107"/>
      <c r="AF4027" s="107"/>
    </row>
    <row r="4035" ht="12" customHeight="1"/>
    <row r="4036" ht="12" customHeight="1"/>
    <row r="4037" ht="12" customHeight="1"/>
    <row r="4038" ht="12" customHeight="1"/>
    <row r="4039" ht="12" customHeight="1"/>
    <row r="4040" ht="12" customHeight="1"/>
    <row r="4041" ht="12" customHeight="1"/>
    <row r="4042" ht="12" customHeight="1"/>
    <row r="4043" ht="12" customHeight="1"/>
    <row r="4044" ht="12" customHeight="1"/>
    <row r="4045" ht="12" customHeight="1"/>
    <row r="4046" ht="12" customHeight="1"/>
    <row r="4047" ht="12" customHeight="1"/>
    <row r="4048" ht="12" customHeight="1"/>
    <row r="4049" ht="12" customHeight="1"/>
    <row r="4050" ht="12" customHeight="1"/>
    <row r="4051" ht="12" customHeight="1"/>
    <row r="4052" ht="12" customHeight="1"/>
    <row r="4053" ht="12" customHeight="1"/>
    <row r="4054" ht="12" customHeight="1"/>
    <row r="4055" ht="12" customHeight="1"/>
    <row r="4056" ht="12" customHeight="1"/>
    <row r="4057" ht="12" customHeight="1"/>
    <row r="4058" ht="12" customHeight="1"/>
    <row r="4059" ht="12" customHeight="1"/>
    <row r="4060" ht="12" customHeight="1"/>
    <row r="4061" ht="12" customHeight="1"/>
    <row r="4062" ht="12" customHeight="1"/>
    <row r="4063" ht="12" customHeight="1"/>
    <row r="4064" ht="12" customHeight="1"/>
    <row r="4065" ht="12" customHeight="1"/>
    <row r="4066" ht="12" customHeight="1"/>
    <row r="4067" ht="12" customHeight="1"/>
    <row r="4068" ht="12" customHeight="1"/>
    <row r="4069" ht="12" customHeight="1"/>
    <row r="4070" ht="12" customHeight="1"/>
    <row r="4071" ht="12" customHeight="1"/>
    <row r="4072" ht="12" customHeight="1"/>
    <row r="4073" ht="12" customHeight="1"/>
    <row r="4074" ht="12" customHeight="1"/>
    <row r="4078" ht="15" customHeight="1"/>
    <row r="4079" ht="15" customHeight="1"/>
    <row r="4085" ht="12" customHeight="1"/>
    <row r="4102" ht="12" customHeight="1"/>
    <row r="4105" ht="12" customHeight="1"/>
    <row r="4111" ht="12" customHeight="1"/>
    <row r="4128" ht="12" customHeight="1"/>
    <row r="4131" ht="12" customHeight="1"/>
    <row r="4135" ht="12" customHeight="1"/>
    <row r="4146" spans="2:32" ht="12" customHeight="1"/>
    <row r="4149" spans="2:32" ht="12" customHeight="1"/>
    <row r="4151" spans="2:32" ht="15" customHeight="1"/>
    <row r="4152" spans="2:32" ht="15" customHeight="1">
      <c r="B4152" s="107"/>
      <c r="C4152" s="107"/>
      <c r="D4152" s="107"/>
      <c r="E4152" s="107"/>
      <c r="F4152" s="107"/>
      <c r="G4152" s="107"/>
      <c r="H4152" s="107"/>
      <c r="I4152" s="107"/>
      <c r="J4152" s="107"/>
      <c r="K4152" s="107"/>
      <c r="L4152" s="107"/>
      <c r="M4152" s="107"/>
      <c r="N4152" s="107"/>
      <c r="O4152" s="107"/>
      <c r="P4152" s="107"/>
      <c r="Q4152" s="107"/>
      <c r="R4152" s="107"/>
      <c r="S4152" s="107"/>
      <c r="T4152" s="107"/>
      <c r="U4152" s="107"/>
      <c r="V4152" s="107"/>
      <c r="W4152" s="107"/>
      <c r="X4152" s="107"/>
      <c r="Y4152" s="107"/>
      <c r="Z4152" s="107"/>
      <c r="AA4152" s="107"/>
      <c r="AB4152" s="107"/>
      <c r="AC4152" s="107"/>
      <c r="AD4152" s="107"/>
      <c r="AE4152" s="107"/>
      <c r="AF4152" s="107"/>
    </row>
    <row r="4160" spans="2:32" ht="12" customHeight="1"/>
    <row r="4161" ht="12" customHeight="1"/>
    <row r="4162" ht="12" customHeight="1"/>
    <row r="4163" ht="12" customHeight="1"/>
    <row r="4164" ht="12" customHeight="1"/>
    <row r="4165" ht="12" customHeight="1"/>
    <row r="4166" ht="12" customHeight="1"/>
    <row r="4167" ht="12" customHeight="1"/>
    <row r="4168" ht="12" customHeight="1"/>
    <row r="4169" ht="12" customHeight="1"/>
    <row r="4170" ht="12" customHeight="1"/>
    <row r="4171" ht="12" customHeight="1"/>
    <row r="4172" ht="12" customHeight="1"/>
    <row r="4173" ht="12" customHeight="1"/>
    <row r="4174" ht="12" customHeight="1"/>
    <row r="4175" ht="12" customHeight="1"/>
    <row r="4176" ht="12" customHeight="1"/>
    <row r="4177" ht="12" customHeight="1"/>
    <row r="4178" ht="12" customHeight="1"/>
    <row r="4179" ht="12" customHeight="1"/>
    <row r="4180" ht="12" customHeight="1"/>
    <row r="4181" ht="12" customHeight="1"/>
    <row r="4182" ht="12" customHeight="1"/>
    <row r="4183" ht="12" customHeight="1"/>
    <row r="4184" ht="12" customHeight="1"/>
    <row r="4185" ht="12" customHeight="1"/>
    <row r="4186" ht="12" customHeight="1"/>
    <row r="4187" ht="12" customHeight="1"/>
    <row r="4188" ht="12" customHeight="1"/>
    <row r="4189" ht="12" customHeight="1"/>
    <row r="4190" ht="12" customHeight="1"/>
    <row r="4191" ht="12" customHeight="1"/>
    <row r="4192" ht="12" customHeight="1"/>
    <row r="4193" ht="12" customHeight="1"/>
    <row r="4194" ht="12" customHeight="1"/>
    <row r="4195" ht="12" customHeight="1"/>
    <row r="4196" ht="12" customHeight="1"/>
    <row r="4197" ht="12" customHeight="1"/>
    <row r="4198" ht="12" customHeight="1"/>
    <row r="4199" ht="12" customHeight="1"/>
    <row r="4203" ht="15" customHeight="1"/>
    <row r="4204" ht="15" customHeight="1"/>
    <row r="4210" ht="12" customHeight="1"/>
    <row r="4227" ht="12" customHeight="1"/>
    <row r="4230" ht="12" customHeight="1"/>
    <row r="4236" ht="12" customHeight="1"/>
    <row r="4253" ht="12" customHeight="1"/>
    <row r="4256" ht="12" customHeight="1"/>
    <row r="4260" ht="12" customHeight="1"/>
    <row r="4271" ht="12" customHeight="1"/>
    <row r="4274" spans="2:32" ht="12" customHeight="1"/>
    <row r="4276" spans="2:32" ht="15" customHeight="1"/>
    <row r="4277" spans="2:32" ht="15" customHeight="1">
      <c r="B4277" s="107"/>
      <c r="C4277" s="107"/>
      <c r="D4277" s="107"/>
      <c r="E4277" s="107"/>
      <c r="F4277" s="107"/>
      <c r="G4277" s="107"/>
      <c r="H4277" s="107"/>
      <c r="I4277" s="107"/>
      <c r="J4277" s="107"/>
      <c r="K4277" s="107"/>
      <c r="L4277" s="107"/>
      <c r="M4277" s="107"/>
      <c r="N4277" s="107"/>
      <c r="O4277" s="107"/>
      <c r="P4277" s="107"/>
      <c r="Q4277" s="107"/>
      <c r="R4277" s="107"/>
      <c r="S4277" s="107"/>
      <c r="T4277" s="107"/>
      <c r="U4277" s="107"/>
      <c r="V4277" s="107"/>
      <c r="W4277" s="107"/>
      <c r="X4277" s="107"/>
      <c r="Y4277" s="107"/>
      <c r="Z4277" s="107"/>
      <c r="AA4277" s="107"/>
      <c r="AB4277" s="107"/>
      <c r="AC4277" s="107"/>
      <c r="AD4277" s="107"/>
      <c r="AE4277" s="107"/>
      <c r="AF4277" s="107"/>
    </row>
    <row r="4285" spans="2:32" ht="12" customHeight="1"/>
    <row r="4286" spans="2:32" ht="12" customHeight="1"/>
    <row r="4287" spans="2:32" ht="12" customHeight="1"/>
    <row r="4288" spans="2:32" ht="12" customHeight="1"/>
    <row r="4289" ht="12" customHeight="1"/>
    <row r="4290" ht="12" customHeight="1"/>
    <row r="4291" ht="12" customHeight="1"/>
    <row r="4292" ht="12" customHeight="1"/>
    <row r="4293" ht="12" customHeight="1"/>
    <row r="4294" ht="12" customHeight="1"/>
    <row r="4295" ht="12" customHeight="1"/>
    <row r="4296" ht="12" customHeight="1"/>
    <row r="4297" ht="12" customHeight="1"/>
    <row r="4298" ht="12" customHeight="1"/>
    <row r="4299" ht="12" customHeight="1"/>
    <row r="4300" ht="12" customHeight="1"/>
    <row r="4301" ht="12" customHeight="1"/>
    <row r="4302" ht="12" customHeight="1"/>
    <row r="4303" ht="12" customHeight="1"/>
    <row r="4304" ht="12" customHeight="1"/>
    <row r="4305" ht="12" customHeight="1"/>
    <row r="4306" ht="12" customHeight="1"/>
    <row r="4307" ht="12" customHeight="1"/>
    <row r="4308" ht="12" customHeight="1"/>
    <row r="4309" ht="12" customHeight="1"/>
    <row r="4310" ht="12" customHeight="1"/>
    <row r="4311" ht="12" customHeight="1"/>
    <row r="4312" ht="12" customHeight="1"/>
    <row r="4313" ht="12" customHeight="1"/>
    <row r="4314" ht="12" customHeight="1"/>
    <row r="4315" ht="12" customHeight="1"/>
    <row r="4316" ht="12" customHeight="1"/>
    <row r="4317" ht="12" customHeight="1"/>
    <row r="4318" ht="12" customHeight="1"/>
    <row r="4319" ht="12" customHeight="1"/>
    <row r="4320" ht="12" customHeight="1"/>
    <row r="4321" ht="12" customHeight="1"/>
    <row r="4322" ht="12" customHeight="1"/>
    <row r="4323" ht="12" customHeight="1"/>
    <row r="4324" ht="12" customHeight="1"/>
    <row r="4328" ht="15" customHeight="1"/>
    <row r="4329" ht="15" customHeight="1"/>
    <row r="4335" ht="12" customHeight="1"/>
    <row r="4352" ht="12" customHeight="1"/>
    <row r="4355" ht="12" customHeight="1"/>
    <row r="4361" ht="12" customHeight="1"/>
    <row r="4378" ht="12" customHeight="1"/>
    <row r="4381" ht="12" customHeight="1"/>
    <row r="4385" ht="12" customHeight="1"/>
    <row r="4396" ht="12" customHeight="1"/>
    <row r="4399" ht="12" customHeight="1"/>
    <row r="4401" spans="2:32" ht="15" customHeight="1"/>
    <row r="4402" spans="2:32" ht="15" customHeight="1">
      <c r="B4402" s="107"/>
      <c r="C4402" s="107"/>
      <c r="D4402" s="107"/>
      <c r="E4402" s="107"/>
      <c r="F4402" s="107"/>
      <c r="G4402" s="107"/>
      <c r="H4402" s="107"/>
      <c r="I4402" s="107"/>
      <c r="J4402" s="107"/>
      <c r="K4402" s="107"/>
      <c r="L4402" s="107"/>
      <c r="M4402" s="107"/>
      <c r="N4402" s="107"/>
      <c r="O4402" s="107"/>
      <c r="P4402" s="107"/>
      <c r="Q4402" s="107"/>
      <c r="R4402" s="107"/>
      <c r="S4402" s="107"/>
      <c r="T4402" s="107"/>
      <c r="U4402" s="107"/>
      <c r="V4402" s="107"/>
      <c r="W4402" s="107"/>
      <c r="X4402" s="107"/>
      <c r="Y4402" s="107"/>
      <c r="Z4402" s="107"/>
      <c r="AA4402" s="107"/>
      <c r="AB4402" s="107"/>
      <c r="AC4402" s="107"/>
      <c r="AD4402" s="107"/>
      <c r="AE4402" s="107"/>
      <c r="AF4402" s="107"/>
    </row>
  </sheetData>
  <mergeCells count="30">
    <mergeCell ref="B500:AF500"/>
    <mergeCell ref="B76:AF76"/>
    <mergeCell ref="B116:AF116"/>
    <mergeCell ref="B258:AF258"/>
    <mergeCell ref="B340:AF340"/>
    <mergeCell ref="B452:AF452"/>
    <mergeCell ref="B2325:AF2325"/>
    <mergeCell ref="B557:AF557"/>
    <mergeCell ref="B638:AF638"/>
    <mergeCell ref="B710:AF710"/>
    <mergeCell ref="B886:AF886"/>
    <mergeCell ref="B969:AF969"/>
    <mergeCell ref="B1071:AF1071"/>
    <mergeCell ref="B1169:AF1169"/>
    <mergeCell ref="B1269:AF1269"/>
    <mergeCell ref="B1484:AF1484"/>
    <mergeCell ref="B1713:AF1713"/>
    <mergeCell ref="B1990:AF1990"/>
    <mergeCell ref="B4402:AF4402"/>
    <mergeCell ref="B2645:AF2645"/>
    <mergeCell ref="B2971:AF2971"/>
    <mergeCell ref="B3293:AF3293"/>
    <mergeCell ref="B3402:AF3402"/>
    <mergeCell ref="B3527:AF3527"/>
    <mergeCell ref="B3652:AF3652"/>
    <mergeCell ref="B3777:AF3777"/>
    <mergeCell ref="B3902:AF3902"/>
    <mergeCell ref="B4027:AF4027"/>
    <mergeCell ref="B4152:AF4152"/>
    <mergeCell ref="B4277:AF4277"/>
  </mergeCells>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7B90C64-09E7-41DC-893C-B939F2BAA178}">
  <sheetPr>
    <tabColor theme="6" tint="0.79998168889431442"/>
  </sheetPr>
  <dimension ref="A1:AI61"/>
  <sheetViews>
    <sheetView workbookViewId="0"/>
  </sheetViews>
  <sheetFormatPr defaultRowHeight="15"/>
  <sheetData>
    <row r="1" spans="1:35">
      <c r="A1" t="s">
        <v>992</v>
      </c>
    </row>
    <row r="2" spans="1:35">
      <c r="A2" t="s">
        <v>1147</v>
      </c>
    </row>
    <row r="3" spans="1:35">
      <c r="A3" t="s">
        <v>1148</v>
      </c>
    </row>
    <row r="4" spans="1:35">
      <c r="A4" t="s">
        <v>146</v>
      </c>
    </row>
    <row r="5" spans="1:35">
      <c r="B5" t="s">
        <v>198</v>
      </c>
      <c r="C5" t="s">
        <v>199</v>
      </c>
      <c r="D5" t="s">
        <v>200</v>
      </c>
      <c r="E5">
        <v>2021</v>
      </c>
      <c r="F5">
        <v>2022</v>
      </c>
      <c r="G5">
        <v>2023</v>
      </c>
      <c r="H5">
        <v>2024</v>
      </c>
      <c r="I5">
        <v>2025</v>
      </c>
      <c r="J5">
        <v>2026</v>
      </c>
      <c r="K5">
        <v>2027</v>
      </c>
      <c r="L5">
        <v>2028</v>
      </c>
      <c r="M5">
        <v>2029</v>
      </c>
      <c r="N5">
        <v>2030</v>
      </c>
      <c r="O5">
        <v>2031</v>
      </c>
      <c r="P5">
        <v>2032</v>
      </c>
      <c r="Q5">
        <v>2033</v>
      </c>
      <c r="R5">
        <v>2034</v>
      </c>
      <c r="S5">
        <v>2035</v>
      </c>
      <c r="T5">
        <v>2036</v>
      </c>
      <c r="U5">
        <v>2037</v>
      </c>
      <c r="V5">
        <v>2038</v>
      </c>
      <c r="W5">
        <v>2039</v>
      </c>
      <c r="X5">
        <v>2040</v>
      </c>
      <c r="Y5">
        <v>2041</v>
      </c>
      <c r="Z5">
        <v>2042</v>
      </c>
      <c r="AA5">
        <v>2043</v>
      </c>
      <c r="AB5">
        <v>2044</v>
      </c>
      <c r="AC5">
        <v>2045</v>
      </c>
      <c r="AD5">
        <v>2046</v>
      </c>
      <c r="AE5">
        <v>2047</v>
      </c>
      <c r="AF5">
        <v>2048</v>
      </c>
      <c r="AG5">
        <v>2049</v>
      </c>
      <c r="AH5">
        <v>2050</v>
      </c>
      <c r="AI5" t="s">
        <v>1042</v>
      </c>
    </row>
    <row r="6" spans="1:35">
      <c r="A6" t="s">
        <v>993</v>
      </c>
    </row>
    <row r="7" spans="1:35">
      <c r="A7" t="s">
        <v>994</v>
      </c>
    </row>
    <row r="8" spans="1:35">
      <c r="A8" t="s">
        <v>995</v>
      </c>
      <c r="B8" t="s">
        <v>1149</v>
      </c>
      <c r="C8" t="s">
        <v>1150</v>
      </c>
      <c r="D8" t="s">
        <v>202</v>
      </c>
      <c r="F8">
        <v>49.466006999999998</v>
      </c>
      <c r="G8">
        <v>46.619698</v>
      </c>
      <c r="H8">
        <v>44.295555</v>
      </c>
      <c r="I8">
        <v>42.214077000000003</v>
      </c>
      <c r="J8">
        <v>40.394996999999996</v>
      </c>
      <c r="K8">
        <v>38.478470000000002</v>
      </c>
      <c r="L8">
        <v>36.816710999999998</v>
      </c>
      <c r="M8">
        <v>35.414054999999998</v>
      </c>
      <c r="N8">
        <v>34.183059999999998</v>
      </c>
      <c r="O8">
        <v>33.072498000000003</v>
      </c>
      <c r="P8">
        <v>32.211067</v>
      </c>
      <c r="Q8">
        <v>31.494395999999998</v>
      </c>
      <c r="R8">
        <v>30.740480000000002</v>
      </c>
      <c r="S8">
        <v>29.975055999999999</v>
      </c>
      <c r="T8">
        <v>29.307186000000002</v>
      </c>
      <c r="U8">
        <v>28.795176999999999</v>
      </c>
      <c r="V8">
        <v>28.429549999999999</v>
      </c>
      <c r="W8">
        <v>28.163509000000001</v>
      </c>
      <c r="X8">
        <v>27.894558</v>
      </c>
      <c r="Y8">
        <v>27.594154</v>
      </c>
      <c r="Z8">
        <v>27.308109000000002</v>
      </c>
      <c r="AA8">
        <v>26.995598000000001</v>
      </c>
      <c r="AB8">
        <v>26.631284999999998</v>
      </c>
      <c r="AC8">
        <v>26.261372000000001</v>
      </c>
      <c r="AD8">
        <v>25.912925999999999</v>
      </c>
      <c r="AE8">
        <v>25.597389</v>
      </c>
      <c r="AF8">
        <v>25.312645</v>
      </c>
      <c r="AG8">
        <v>25.004356000000001</v>
      </c>
      <c r="AH8">
        <v>24.704986999999999</v>
      </c>
      <c r="AI8" s="22">
        <v>-2.4E-2</v>
      </c>
    </row>
    <row r="9" spans="1:35">
      <c r="A9" t="s">
        <v>996</v>
      </c>
      <c r="B9" t="s">
        <v>1151</v>
      </c>
      <c r="C9" t="s">
        <v>1152</v>
      </c>
      <c r="D9" t="s">
        <v>202</v>
      </c>
      <c r="F9">
        <v>0.111688</v>
      </c>
      <c r="G9">
        <v>9.6532999999999994E-2</v>
      </c>
      <c r="H9">
        <v>8.3162E-2</v>
      </c>
      <c r="I9">
        <v>7.1313000000000001E-2</v>
      </c>
      <c r="J9">
        <v>6.0877000000000001E-2</v>
      </c>
      <c r="K9">
        <v>5.1618999999999998E-2</v>
      </c>
      <c r="L9">
        <v>4.3394000000000002E-2</v>
      </c>
      <c r="M9">
        <v>3.6202999999999999E-2</v>
      </c>
      <c r="N9">
        <v>3.0032E-2</v>
      </c>
      <c r="O9">
        <v>2.4808E-2</v>
      </c>
      <c r="P9">
        <v>2.0456999999999999E-2</v>
      </c>
      <c r="Q9">
        <v>1.6912E-2</v>
      </c>
      <c r="R9">
        <v>1.4080000000000001E-2</v>
      </c>
      <c r="S9">
        <v>1.1854999999999999E-2</v>
      </c>
      <c r="T9">
        <v>1.0115000000000001E-2</v>
      </c>
      <c r="U9">
        <v>8.7530000000000004E-3</v>
      </c>
      <c r="V9">
        <v>7.6899999999999998E-3</v>
      </c>
      <c r="W9">
        <v>6.8459999999999997E-3</v>
      </c>
      <c r="X9">
        <v>6.1370000000000001E-3</v>
      </c>
      <c r="Y9">
        <v>5.5189999999999996E-3</v>
      </c>
      <c r="Z9">
        <v>4.9779999999999998E-3</v>
      </c>
      <c r="AA9">
        <v>4.4980000000000003E-3</v>
      </c>
      <c r="AB9">
        <v>4.0699999999999998E-3</v>
      </c>
      <c r="AC9">
        <v>3.6849999999999999E-3</v>
      </c>
      <c r="AD9">
        <v>3.339E-3</v>
      </c>
      <c r="AE9">
        <v>3.0279999999999999E-3</v>
      </c>
      <c r="AF9">
        <v>2.748E-3</v>
      </c>
      <c r="AG9">
        <v>2.4970000000000001E-3</v>
      </c>
      <c r="AH9">
        <v>2.2699999999999999E-3</v>
      </c>
      <c r="AI9" s="22">
        <v>-0.13</v>
      </c>
    </row>
    <row r="10" spans="1:35">
      <c r="A10" t="s">
        <v>997</v>
      </c>
      <c r="B10" t="s">
        <v>1153</v>
      </c>
      <c r="C10" t="s">
        <v>1154</v>
      </c>
      <c r="D10" t="s">
        <v>202</v>
      </c>
      <c r="F10">
        <v>49.577694000000001</v>
      </c>
      <c r="G10">
        <v>46.716228000000001</v>
      </c>
      <c r="H10">
        <v>44.378715999999997</v>
      </c>
      <c r="I10">
        <v>42.285389000000002</v>
      </c>
      <c r="J10">
        <v>40.455874999999999</v>
      </c>
      <c r="K10">
        <v>38.530090000000001</v>
      </c>
      <c r="L10">
        <v>36.860106999999999</v>
      </c>
      <c r="M10">
        <v>35.450256000000003</v>
      </c>
      <c r="N10">
        <v>34.213093000000001</v>
      </c>
      <c r="O10">
        <v>33.097304999999999</v>
      </c>
      <c r="P10">
        <v>32.231524999999998</v>
      </c>
      <c r="Q10">
        <v>31.511309000000001</v>
      </c>
      <c r="R10">
        <v>30.754560000000001</v>
      </c>
      <c r="S10">
        <v>29.986910000000002</v>
      </c>
      <c r="T10">
        <v>29.317301</v>
      </c>
      <c r="U10">
        <v>28.803930000000001</v>
      </c>
      <c r="V10">
        <v>28.437241</v>
      </c>
      <c r="W10">
        <v>28.170355000000001</v>
      </c>
      <c r="X10">
        <v>27.900696</v>
      </c>
      <c r="Y10">
        <v>27.599674</v>
      </c>
      <c r="Z10">
        <v>27.313086999999999</v>
      </c>
      <c r="AA10">
        <v>27.000095000000002</v>
      </c>
      <c r="AB10">
        <v>26.635355000000001</v>
      </c>
      <c r="AC10">
        <v>26.265056999999999</v>
      </c>
      <c r="AD10">
        <v>25.916264999999999</v>
      </c>
      <c r="AE10">
        <v>25.600418000000001</v>
      </c>
      <c r="AF10">
        <v>25.315393</v>
      </c>
      <c r="AG10">
        <v>25.006853</v>
      </c>
      <c r="AH10">
        <v>24.707256000000001</v>
      </c>
      <c r="AI10" s="22">
        <v>-2.5000000000000001E-2</v>
      </c>
    </row>
    <row r="11" spans="1:35">
      <c r="A11" t="s">
        <v>998</v>
      </c>
    </row>
    <row r="12" spans="1:35">
      <c r="A12" t="s">
        <v>999</v>
      </c>
      <c r="B12" t="s">
        <v>1155</v>
      </c>
      <c r="C12" t="s">
        <v>1156</v>
      </c>
      <c r="D12" t="s">
        <v>202</v>
      </c>
      <c r="F12">
        <v>2.461112</v>
      </c>
      <c r="G12">
        <v>2.2103090000000001</v>
      </c>
      <c r="H12">
        <v>1.985196</v>
      </c>
      <c r="I12">
        <v>1.7855970000000001</v>
      </c>
      <c r="J12">
        <v>1.618082</v>
      </c>
      <c r="K12">
        <v>1.4676549999999999</v>
      </c>
      <c r="L12">
        <v>1.3403229999999999</v>
      </c>
      <c r="M12">
        <v>1.236246</v>
      </c>
      <c r="N12">
        <v>1.150493</v>
      </c>
      <c r="O12">
        <v>1.079925</v>
      </c>
      <c r="P12">
        <v>1.029307</v>
      </c>
      <c r="Q12">
        <v>0.99377700000000002</v>
      </c>
      <c r="R12">
        <v>0.96236699999999997</v>
      </c>
      <c r="S12">
        <v>0.93445199999999995</v>
      </c>
      <c r="T12">
        <v>0.91421399999999997</v>
      </c>
      <c r="U12">
        <v>0.90237100000000003</v>
      </c>
      <c r="V12">
        <v>0.89766299999999999</v>
      </c>
      <c r="W12">
        <v>0.89760300000000004</v>
      </c>
      <c r="X12">
        <v>0.89686999999999995</v>
      </c>
      <c r="Y12">
        <v>0.89403699999999997</v>
      </c>
      <c r="Z12">
        <v>0.89149800000000001</v>
      </c>
      <c r="AA12">
        <v>0.88747399999999999</v>
      </c>
      <c r="AB12">
        <v>0.88075599999999998</v>
      </c>
      <c r="AC12">
        <v>0.87377800000000005</v>
      </c>
      <c r="AD12">
        <v>0.86814100000000005</v>
      </c>
      <c r="AE12">
        <v>0.86434100000000003</v>
      </c>
      <c r="AF12">
        <v>0.86214599999999997</v>
      </c>
      <c r="AG12">
        <v>0.85861799999999999</v>
      </c>
      <c r="AH12">
        <v>0.85379300000000002</v>
      </c>
      <c r="AI12" s="22">
        <v>-3.6999999999999998E-2</v>
      </c>
    </row>
    <row r="13" spans="1:35">
      <c r="A13" t="s">
        <v>1157</v>
      </c>
      <c r="B13" t="s">
        <v>1158</v>
      </c>
      <c r="C13" t="s">
        <v>1069</v>
      </c>
      <c r="D13" t="s">
        <v>202</v>
      </c>
      <c r="F13">
        <v>8.2278000000000004E-2</v>
      </c>
      <c r="G13">
        <v>8.5696999999999995E-2</v>
      </c>
      <c r="H13">
        <v>9.0184E-2</v>
      </c>
      <c r="I13">
        <v>9.4142000000000003E-2</v>
      </c>
      <c r="J13">
        <v>9.7428000000000001E-2</v>
      </c>
      <c r="K13">
        <v>0.10066899999999999</v>
      </c>
      <c r="L13">
        <v>0.10408000000000001</v>
      </c>
      <c r="M13">
        <v>0.107796</v>
      </c>
      <c r="N13">
        <v>0.111692</v>
      </c>
      <c r="O13">
        <v>0.11568100000000001</v>
      </c>
      <c r="P13">
        <v>0.12048300000000001</v>
      </c>
      <c r="Q13">
        <v>0.12576999999999999</v>
      </c>
      <c r="R13">
        <v>0.13058400000000001</v>
      </c>
      <c r="S13">
        <v>0.135072</v>
      </c>
      <c r="T13">
        <v>0.13986199999999999</v>
      </c>
      <c r="U13">
        <v>0.14538599999999999</v>
      </c>
      <c r="V13">
        <v>0.15171599999999999</v>
      </c>
      <c r="W13">
        <v>0.15862299999999999</v>
      </c>
      <c r="X13">
        <v>0.16536300000000001</v>
      </c>
      <c r="Y13">
        <v>0.171676</v>
      </c>
      <c r="Z13">
        <v>0.17796600000000001</v>
      </c>
      <c r="AA13">
        <v>0.18382599999999999</v>
      </c>
      <c r="AB13">
        <v>0.18898699999999999</v>
      </c>
      <c r="AC13">
        <v>0.19394500000000001</v>
      </c>
      <c r="AD13">
        <v>0.19902</v>
      </c>
      <c r="AE13">
        <v>0.20438600000000001</v>
      </c>
      <c r="AF13">
        <v>0.21005799999999999</v>
      </c>
      <c r="AG13">
        <v>0.21534700000000001</v>
      </c>
      <c r="AH13">
        <v>0.22064600000000001</v>
      </c>
      <c r="AI13" s="22">
        <v>3.5999999999999997E-2</v>
      </c>
    </row>
    <row r="14" spans="1:35">
      <c r="A14" t="s">
        <v>1159</v>
      </c>
      <c r="B14" t="s">
        <v>1160</v>
      </c>
      <c r="C14" t="s">
        <v>1069</v>
      </c>
      <c r="D14" t="s">
        <v>202</v>
      </c>
      <c r="F14">
        <v>0.137378</v>
      </c>
      <c r="G14">
        <v>0.154861</v>
      </c>
      <c r="H14">
        <v>0.18635699999999999</v>
      </c>
      <c r="I14">
        <v>0.227322</v>
      </c>
      <c r="J14">
        <v>0.26983499999999999</v>
      </c>
      <c r="K14">
        <v>0.312718</v>
      </c>
      <c r="L14">
        <v>0.35735699999999998</v>
      </c>
      <c r="M14">
        <v>0.40442699999999998</v>
      </c>
      <c r="N14">
        <v>0.45291999999999999</v>
      </c>
      <c r="O14">
        <v>0.50208200000000003</v>
      </c>
      <c r="P14">
        <v>0.55627700000000002</v>
      </c>
      <c r="Q14">
        <v>0.61317100000000002</v>
      </c>
      <c r="R14">
        <v>0.666736</v>
      </c>
      <c r="S14">
        <v>0.717669</v>
      </c>
      <c r="T14">
        <v>0.77018799999999998</v>
      </c>
      <c r="U14">
        <v>0.82734300000000005</v>
      </c>
      <c r="V14">
        <v>0.88985300000000001</v>
      </c>
      <c r="W14">
        <v>0.95657800000000004</v>
      </c>
      <c r="X14">
        <v>1.0225409999999999</v>
      </c>
      <c r="Y14">
        <v>1.0861050000000001</v>
      </c>
      <c r="Z14">
        <v>1.149972</v>
      </c>
      <c r="AA14">
        <v>1.2112909999999999</v>
      </c>
      <c r="AB14">
        <v>1.2680290000000001</v>
      </c>
      <c r="AC14">
        <v>1.3233820000000001</v>
      </c>
      <c r="AD14">
        <v>1.379407</v>
      </c>
      <c r="AE14">
        <v>1.4372229999999999</v>
      </c>
      <c r="AF14">
        <v>1.4970140000000001</v>
      </c>
      <c r="AG14">
        <v>1.553947</v>
      </c>
      <c r="AH14">
        <v>1.6108560000000001</v>
      </c>
      <c r="AI14" s="22">
        <v>9.1999999999999998E-2</v>
      </c>
    </row>
    <row r="15" spans="1:35">
      <c r="A15" t="s">
        <v>1161</v>
      </c>
      <c r="B15" t="s">
        <v>1162</v>
      </c>
      <c r="C15" t="s">
        <v>1069</v>
      </c>
      <c r="D15" t="s">
        <v>202</v>
      </c>
      <c r="F15">
        <v>0.40151300000000001</v>
      </c>
      <c r="G15">
        <v>0.46051399999999998</v>
      </c>
      <c r="H15">
        <v>0.53044899999999995</v>
      </c>
      <c r="I15">
        <v>0.60993799999999998</v>
      </c>
      <c r="J15">
        <v>0.68546399999999996</v>
      </c>
      <c r="K15">
        <v>0.75662200000000002</v>
      </c>
      <c r="L15">
        <v>0.82606999999999997</v>
      </c>
      <c r="M15">
        <v>0.89533799999999997</v>
      </c>
      <c r="N15">
        <v>0.96288600000000002</v>
      </c>
      <c r="O15">
        <v>1.0279039999999999</v>
      </c>
      <c r="P15">
        <v>1.097982</v>
      </c>
      <c r="Q15">
        <v>1.16961</v>
      </c>
      <c r="R15">
        <v>1.233436</v>
      </c>
      <c r="S15">
        <v>1.291064</v>
      </c>
      <c r="T15">
        <v>1.3493809999999999</v>
      </c>
      <c r="U15">
        <v>1.413192</v>
      </c>
      <c r="V15">
        <v>1.4839640000000001</v>
      </c>
      <c r="W15">
        <v>1.5600350000000001</v>
      </c>
      <c r="X15">
        <v>1.6341699999999999</v>
      </c>
      <c r="Y15">
        <v>1.7040979999999999</v>
      </c>
      <c r="Z15">
        <v>1.774011</v>
      </c>
      <c r="AA15">
        <v>1.8398829999999999</v>
      </c>
      <c r="AB15">
        <v>1.8989780000000001</v>
      </c>
      <c r="AC15">
        <v>1.9562390000000001</v>
      </c>
      <c r="AD15">
        <v>2.0146959999999998</v>
      </c>
      <c r="AE15">
        <v>2.0759669999999999</v>
      </c>
      <c r="AF15">
        <v>2.1402369999999999</v>
      </c>
      <c r="AG15">
        <v>2.200555</v>
      </c>
      <c r="AH15">
        <v>2.2609300000000001</v>
      </c>
      <c r="AI15" s="22">
        <v>6.4000000000000001E-2</v>
      </c>
    </row>
    <row r="16" spans="1:35">
      <c r="A16" t="s">
        <v>1000</v>
      </c>
      <c r="B16" t="s">
        <v>1163</v>
      </c>
      <c r="C16" t="s">
        <v>1164</v>
      </c>
      <c r="D16" t="s">
        <v>202</v>
      </c>
      <c r="F16">
        <v>0.133383</v>
      </c>
      <c r="G16">
        <v>0.134821</v>
      </c>
      <c r="H16">
        <v>0.13941000000000001</v>
      </c>
      <c r="I16">
        <v>0.14457</v>
      </c>
      <c r="J16">
        <v>0.14922199999999999</v>
      </c>
      <c r="K16">
        <v>0.15324299999999999</v>
      </c>
      <c r="L16">
        <v>0.157113</v>
      </c>
      <c r="M16">
        <v>0.16105900000000001</v>
      </c>
      <c r="N16">
        <v>0.16500999999999999</v>
      </c>
      <c r="O16">
        <v>0.16892399999999999</v>
      </c>
      <c r="P16">
        <v>0.17376800000000001</v>
      </c>
      <c r="Q16">
        <v>0.17915800000000001</v>
      </c>
      <c r="R16">
        <v>0.18398400000000001</v>
      </c>
      <c r="S16">
        <v>0.18851499999999999</v>
      </c>
      <c r="T16">
        <v>0.19351699999999999</v>
      </c>
      <c r="U16">
        <v>0.19953799999999999</v>
      </c>
      <c r="V16">
        <v>0.20671400000000001</v>
      </c>
      <c r="W16">
        <v>0.21479599999999999</v>
      </c>
      <c r="X16">
        <v>0.22287599999999999</v>
      </c>
      <c r="Y16">
        <v>0.23064000000000001</v>
      </c>
      <c r="Z16">
        <v>0.23851600000000001</v>
      </c>
      <c r="AA16">
        <v>0.24595900000000001</v>
      </c>
      <c r="AB16">
        <v>0.25263400000000003</v>
      </c>
      <c r="AC16">
        <v>0.25909100000000002</v>
      </c>
      <c r="AD16">
        <v>0.26564399999999999</v>
      </c>
      <c r="AE16">
        <v>0.27249800000000002</v>
      </c>
      <c r="AF16">
        <v>0.27968799999999999</v>
      </c>
      <c r="AG16">
        <v>0.28641800000000001</v>
      </c>
      <c r="AH16">
        <v>0.293157</v>
      </c>
      <c r="AI16" s="22">
        <v>2.9000000000000001E-2</v>
      </c>
    </row>
    <row r="17" spans="1:35">
      <c r="A17" t="s">
        <v>1001</v>
      </c>
      <c r="B17" t="s">
        <v>1165</v>
      </c>
      <c r="C17" t="s">
        <v>1166</v>
      </c>
      <c r="D17" t="s">
        <v>202</v>
      </c>
      <c r="F17">
        <v>6.8515999999999994E-2</v>
      </c>
      <c r="G17">
        <v>6.9584999999999994E-2</v>
      </c>
      <c r="H17">
        <v>7.2609999999999994E-2</v>
      </c>
      <c r="I17">
        <v>7.6588000000000003E-2</v>
      </c>
      <c r="J17">
        <v>8.0639000000000002E-2</v>
      </c>
      <c r="K17">
        <v>8.4719000000000003E-2</v>
      </c>
      <c r="L17">
        <v>8.9145000000000002E-2</v>
      </c>
      <c r="M17">
        <v>9.4184000000000004E-2</v>
      </c>
      <c r="N17">
        <v>9.9724999999999994E-2</v>
      </c>
      <c r="O17">
        <v>0.105665</v>
      </c>
      <c r="P17">
        <v>0.112773</v>
      </c>
      <c r="Q17">
        <v>0.12064</v>
      </c>
      <c r="R17">
        <v>0.12822500000000001</v>
      </c>
      <c r="S17">
        <v>0.13562099999999999</v>
      </c>
      <c r="T17">
        <v>0.143484</v>
      </c>
      <c r="U17">
        <v>0.15227199999999999</v>
      </c>
      <c r="V17">
        <v>0.16208600000000001</v>
      </c>
      <c r="W17">
        <v>0.17270199999999999</v>
      </c>
      <c r="X17">
        <v>0.18326000000000001</v>
      </c>
      <c r="Y17">
        <v>0.19347600000000001</v>
      </c>
      <c r="Z17">
        <v>0.20378499999999999</v>
      </c>
      <c r="AA17">
        <v>0.21368699999999999</v>
      </c>
      <c r="AB17">
        <v>0.22284300000000001</v>
      </c>
      <c r="AC17">
        <v>0.231791</v>
      </c>
      <c r="AD17">
        <v>0.24085200000000001</v>
      </c>
      <c r="AE17">
        <v>0.25020799999999999</v>
      </c>
      <c r="AF17">
        <v>0.25989499999999999</v>
      </c>
      <c r="AG17">
        <v>0.26912000000000003</v>
      </c>
      <c r="AH17">
        <v>0.27834999999999999</v>
      </c>
      <c r="AI17" s="22">
        <v>5.0999999999999997E-2</v>
      </c>
    </row>
    <row r="18" spans="1:35">
      <c r="A18" t="s">
        <v>1002</v>
      </c>
      <c r="B18" t="s">
        <v>1167</v>
      </c>
      <c r="C18" t="s">
        <v>1168</v>
      </c>
      <c r="D18" t="s">
        <v>202</v>
      </c>
      <c r="F18">
        <v>0</v>
      </c>
      <c r="G18">
        <v>0</v>
      </c>
      <c r="H18">
        <v>0</v>
      </c>
      <c r="I18">
        <v>0</v>
      </c>
      <c r="J18">
        <v>0</v>
      </c>
      <c r="K18">
        <v>0</v>
      </c>
      <c r="L18">
        <v>0</v>
      </c>
      <c r="M18">
        <v>0</v>
      </c>
      <c r="N18">
        <v>0</v>
      </c>
      <c r="O18">
        <v>0</v>
      </c>
      <c r="P18">
        <v>0</v>
      </c>
      <c r="Q18">
        <v>0</v>
      </c>
      <c r="R18">
        <v>0</v>
      </c>
      <c r="S18">
        <v>0</v>
      </c>
      <c r="T18">
        <v>0</v>
      </c>
      <c r="U18">
        <v>0</v>
      </c>
      <c r="V18">
        <v>0</v>
      </c>
      <c r="W18">
        <v>0</v>
      </c>
      <c r="X18">
        <v>0</v>
      </c>
      <c r="Y18">
        <v>0</v>
      </c>
      <c r="Z18">
        <v>0</v>
      </c>
      <c r="AA18">
        <v>0</v>
      </c>
      <c r="AB18">
        <v>0</v>
      </c>
      <c r="AC18">
        <v>0</v>
      </c>
      <c r="AD18">
        <v>0</v>
      </c>
      <c r="AE18">
        <v>0</v>
      </c>
      <c r="AF18">
        <v>0</v>
      </c>
      <c r="AG18">
        <v>0</v>
      </c>
      <c r="AH18">
        <v>0</v>
      </c>
      <c r="AI18" t="s">
        <v>111</v>
      </c>
    </row>
    <row r="19" spans="1:35">
      <c r="A19" t="s">
        <v>1003</v>
      </c>
      <c r="B19" t="s">
        <v>1169</v>
      </c>
      <c r="C19" t="s">
        <v>1170</v>
      </c>
      <c r="D19" t="s">
        <v>202</v>
      </c>
      <c r="F19">
        <v>2.0884179999999999</v>
      </c>
      <c r="G19">
        <v>2.0554230000000002</v>
      </c>
      <c r="H19">
        <v>2.0266060000000001</v>
      </c>
      <c r="I19">
        <v>1.99352</v>
      </c>
      <c r="J19">
        <v>1.9694149999999999</v>
      </c>
      <c r="K19">
        <v>1.9384250000000001</v>
      </c>
      <c r="L19">
        <v>1.9172</v>
      </c>
      <c r="M19">
        <v>1.90723</v>
      </c>
      <c r="N19">
        <v>1.9056679999999999</v>
      </c>
      <c r="O19">
        <v>1.910166</v>
      </c>
      <c r="P19">
        <v>1.929648</v>
      </c>
      <c r="Q19">
        <v>1.958029</v>
      </c>
      <c r="R19">
        <v>1.982791</v>
      </c>
      <c r="S19">
        <v>2.0052650000000001</v>
      </c>
      <c r="T19">
        <v>2.032648</v>
      </c>
      <c r="U19">
        <v>2.06969</v>
      </c>
      <c r="V19">
        <v>2.1170339999999999</v>
      </c>
      <c r="W19">
        <v>2.1721699999999999</v>
      </c>
      <c r="X19">
        <v>2.226817</v>
      </c>
      <c r="Y19">
        <v>2.2782650000000002</v>
      </c>
      <c r="Z19">
        <v>2.330559</v>
      </c>
      <c r="AA19">
        <v>2.3792659999999999</v>
      </c>
      <c r="AB19">
        <v>2.4213439999999999</v>
      </c>
      <c r="AC19">
        <v>2.4613290000000001</v>
      </c>
      <c r="AD19">
        <v>2.5019070000000001</v>
      </c>
      <c r="AE19">
        <v>2.5446409999999999</v>
      </c>
      <c r="AF19">
        <v>2.5898810000000001</v>
      </c>
      <c r="AG19">
        <v>2.6312850000000001</v>
      </c>
      <c r="AH19">
        <v>2.6727620000000001</v>
      </c>
      <c r="AI19" s="22">
        <v>8.9999999999999993E-3</v>
      </c>
    </row>
    <row r="20" spans="1:35">
      <c r="A20" t="s">
        <v>1004</v>
      </c>
      <c r="B20" t="s">
        <v>1171</v>
      </c>
      <c r="C20" t="s">
        <v>1172</v>
      </c>
      <c r="D20" t="s">
        <v>202</v>
      </c>
      <c r="F20">
        <v>8.4440000000000001E-2</v>
      </c>
      <c r="G20">
        <v>7.8244999999999995E-2</v>
      </c>
      <c r="H20">
        <v>7.1707999999999994E-2</v>
      </c>
      <c r="I20">
        <v>6.5062999999999996E-2</v>
      </c>
      <c r="J20">
        <v>5.8495999999999999E-2</v>
      </c>
      <c r="K20">
        <v>5.1991000000000002E-2</v>
      </c>
      <c r="L20">
        <v>4.5643999999999997E-2</v>
      </c>
      <c r="M20">
        <v>3.9710000000000002E-2</v>
      </c>
      <c r="N20">
        <v>3.4805999999999997E-2</v>
      </c>
      <c r="O20">
        <v>3.0196000000000001E-2</v>
      </c>
      <c r="P20">
        <v>2.6155999999999999E-2</v>
      </c>
      <c r="Q20">
        <v>2.2713000000000001E-2</v>
      </c>
      <c r="R20">
        <v>1.9885E-2</v>
      </c>
      <c r="S20">
        <v>1.7531000000000001E-2</v>
      </c>
      <c r="T20">
        <v>1.5620999999999999E-2</v>
      </c>
      <c r="U20">
        <v>1.4361000000000001E-2</v>
      </c>
      <c r="V20">
        <v>1.3289E-2</v>
      </c>
      <c r="W20">
        <v>1.2399E-2</v>
      </c>
      <c r="X20">
        <v>1.1609E-2</v>
      </c>
      <c r="Y20">
        <v>1.0869999999999999E-2</v>
      </c>
      <c r="Z20">
        <v>1.0177E-2</v>
      </c>
      <c r="AA20">
        <v>9.5289999999999993E-3</v>
      </c>
      <c r="AB20">
        <v>8.9219999999999994E-3</v>
      </c>
      <c r="AC20">
        <v>8.3540000000000003E-3</v>
      </c>
      <c r="AD20">
        <v>7.8209999999999998E-3</v>
      </c>
      <c r="AE20">
        <v>7.3229999999999996E-3</v>
      </c>
      <c r="AF20">
        <v>6.8570000000000002E-3</v>
      </c>
      <c r="AG20">
        <v>6.4200000000000004E-3</v>
      </c>
      <c r="AH20">
        <v>6.0109999999999999E-3</v>
      </c>
      <c r="AI20" s="22">
        <v>-0.09</v>
      </c>
    </row>
    <row r="21" spans="1:35">
      <c r="A21" t="s">
        <v>1005</v>
      </c>
      <c r="B21" t="s">
        <v>1173</v>
      </c>
      <c r="C21" t="s">
        <v>1174</v>
      </c>
      <c r="D21" t="s">
        <v>202</v>
      </c>
      <c r="F21">
        <v>2.2590000000000002E-3</v>
      </c>
      <c r="G21">
        <v>1.944E-3</v>
      </c>
      <c r="H21">
        <v>1.7600000000000001E-3</v>
      </c>
      <c r="I21">
        <v>1.6479999999999999E-3</v>
      </c>
      <c r="J21">
        <v>1.5430000000000001E-3</v>
      </c>
      <c r="K21">
        <v>1.4450000000000001E-3</v>
      </c>
      <c r="L21">
        <v>1.353E-3</v>
      </c>
      <c r="M21">
        <v>1.266E-3</v>
      </c>
      <c r="N21">
        <v>1.186E-3</v>
      </c>
      <c r="O21">
        <v>1.1100000000000001E-3</v>
      </c>
      <c r="P21">
        <v>1.0399999999999999E-3</v>
      </c>
      <c r="Q21">
        <v>9.7300000000000002E-4</v>
      </c>
      <c r="R21">
        <v>9.1100000000000003E-4</v>
      </c>
      <c r="S21">
        <v>8.5300000000000003E-4</v>
      </c>
      <c r="T21">
        <v>7.9900000000000001E-4</v>
      </c>
      <c r="U21">
        <v>7.4799999999999997E-4</v>
      </c>
      <c r="V21">
        <v>6.9999999999999999E-4</v>
      </c>
      <c r="W21">
        <v>6.5600000000000001E-4</v>
      </c>
      <c r="X21">
        <v>6.1399999999999996E-4</v>
      </c>
      <c r="Y21">
        <v>5.7499999999999999E-4</v>
      </c>
      <c r="Z21">
        <v>5.3799999999999996E-4</v>
      </c>
      <c r="AA21">
        <v>5.04E-4</v>
      </c>
      <c r="AB21">
        <v>4.7199999999999998E-4</v>
      </c>
      <c r="AC21">
        <v>4.4200000000000001E-4</v>
      </c>
      <c r="AD21">
        <v>4.1399999999999998E-4</v>
      </c>
      <c r="AE21">
        <v>3.8699999999999997E-4</v>
      </c>
      <c r="AF21">
        <v>3.6299999999999999E-4</v>
      </c>
      <c r="AG21">
        <v>3.4000000000000002E-4</v>
      </c>
      <c r="AH21">
        <v>3.1799999999999998E-4</v>
      </c>
      <c r="AI21" s="22">
        <v>-6.8000000000000005E-2</v>
      </c>
    </row>
    <row r="22" spans="1:35">
      <c r="A22" t="s">
        <v>1006</v>
      </c>
      <c r="B22" t="s">
        <v>1175</v>
      </c>
      <c r="C22" t="s">
        <v>1176</v>
      </c>
      <c r="D22" t="s">
        <v>202</v>
      </c>
      <c r="F22">
        <v>1.5181E-2</v>
      </c>
      <c r="G22">
        <v>1.2968E-2</v>
      </c>
      <c r="H22">
        <v>1.1150999999999999E-2</v>
      </c>
      <c r="I22">
        <v>9.6790000000000001E-3</v>
      </c>
      <c r="J22">
        <v>8.7530000000000004E-3</v>
      </c>
      <c r="K22">
        <v>8.1770000000000002E-3</v>
      </c>
      <c r="L22">
        <v>7.6559999999999996E-3</v>
      </c>
      <c r="M22">
        <v>7.1679999999999999E-3</v>
      </c>
      <c r="N22">
        <v>6.7120000000000001E-3</v>
      </c>
      <c r="O22">
        <v>6.2839999999999997E-3</v>
      </c>
      <c r="P22">
        <v>5.8840000000000003E-3</v>
      </c>
      <c r="Q22">
        <v>5.509E-3</v>
      </c>
      <c r="R22">
        <v>5.1580000000000003E-3</v>
      </c>
      <c r="S22">
        <v>4.829E-3</v>
      </c>
      <c r="T22">
        <v>4.522E-3</v>
      </c>
      <c r="U22">
        <v>4.2339999999999999E-3</v>
      </c>
      <c r="V22">
        <v>3.9639999999999996E-3</v>
      </c>
      <c r="W22">
        <v>3.7109999999999999E-3</v>
      </c>
      <c r="X22">
        <v>3.4749999999999998E-3</v>
      </c>
      <c r="Y22">
        <v>3.2539999999999999E-3</v>
      </c>
      <c r="Z22">
        <v>3.0460000000000001E-3</v>
      </c>
      <c r="AA22">
        <v>2.8519999999999999E-3</v>
      </c>
      <c r="AB22">
        <v>2.6710000000000002E-3</v>
      </c>
      <c r="AC22">
        <v>2.5010000000000002E-3</v>
      </c>
      <c r="AD22">
        <v>2.3410000000000002E-3</v>
      </c>
      <c r="AE22">
        <v>2.1919999999999999E-3</v>
      </c>
      <c r="AF22">
        <v>2.052E-3</v>
      </c>
      <c r="AG22">
        <v>1.9220000000000001E-3</v>
      </c>
      <c r="AH22">
        <v>1.799E-3</v>
      </c>
      <c r="AI22" s="22">
        <v>-7.2999999999999995E-2</v>
      </c>
    </row>
    <row r="23" spans="1:35">
      <c r="A23" t="s">
        <v>1007</v>
      </c>
      <c r="B23" t="s">
        <v>1177</v>
      </c>
      <c r="C23" t="s">
        <v>1178</v>
      </c>
      <c r="D23" t="s">
        <v>202</v>
      </c>
      <c r="F23">
        <v>2.9725000000000001E-2</v>
      </c>
      <c r="G23">
        <v>2.5337999999999999E-2</v>
      </c>
      <c r="H23">
        <v>2.1677999999999999E-2</v>
      </c>
      <c r="I23">
        <v>1.8672999999999999E-2</v>
      </c>
      <c r="J23">
        <v>1.6624E-2</v>
      </c>
      <c r="K23">
        <v>1.5348000000000001E-2</v>
      </c>
      <c r="L23">
        <v>1.4264000000000001E-2</v>
      </c>
      <c r="M23">
        <v>1.3356E-2</v>
      </c>
      <c r="N23">
        <v>1.2505E-2</v>
      </c>
      <c r="O23">
        <v>1.1708E-2</v>
      </c>
      <c r="P23">
        <v>1.0962E-2</v>
      </c>
      <c r="Q23">
        <v>1.0264000000000001E-2</v>
      </c>
      <c r="R23">
        <v>9.6100000000000005E-3</v>
      </c>
      <c r="S23">
        <v>8.9980000000000008E-3</v>
      </c>
      <c r="T23">
        <v>8.4250000000000002E-3</v>
      </c>
      <c r="U23">
        <v>7.8879999999999992E-3</v>
      </c>
      <c r="V23">
        <v>7.3860000000000002E-3</v>
      </c>
      <c r="W23">
        <v>6.9150000000000001E-3</v>
      </c>
      <c r="X23">
        <v>6.4749999999999999E-3</v>
      </c>
      <c r="Y23">
        <v>6.0619999999999997E-3</v>
      </c>
      <c r="Z23">
        <v>5.6759999999999996E-3</v>
      </c>
      <c r="AA23">
        <v>5.3140000000000001E-3</v>
      </c>
      <c r="AB23">
        <v>4.9760000000000004E-3</v>
      </c>
      <c r="AC23">
        <v>4.6589999999999999E-3</v>
      </c>
      <c r="AD23">
        <v>4.3620000000000004E-3</v>
      </c>
      <c r="AE23">
        <v>4.084E-3</v>
      </c>
      <c r="AF23">
        <v>3.8240000000000001E-3</v>
      </c>
      <c r="AG23">
        <v>3.5799999999999998E-3</v>
      </c>
      <c r="AH23">
        <v>3.3519999999999999E-3</v>
      </c>
      <c r="AI23" s="22">
        <v>-7.4999999999999997E-2</v>
      </c>
    </row>
    <row r="24" spans="1:35">
      <c r="A24" t="s">
        <v>1008</v>
      </c>
      <c r="B24" t="s">
        <v>1179</v>
      </c>
      <c r="C24" t="s">
        <v>1180</v>
      </c>
      <c r="D24" t="s">
        <v>202</v>
      </c>
      <c r="F24">
        <v>0</v>
      </c>
      <c r="G24">
        <v>0</v>
      </c>
      <c r="H24">
        <v>0</v>
      </c>
      <c r="I24">
        <v>0</v>
      </c>
      <c r="J24">
        <v>0</v>
      </c>
      <c r="K24">
        <v>0</v>
      </c>
      <c r="L24">
        <v>0</v>
      </c>
      <c r="M24">
        <v>0</v>
      </c>
      <c r="N24">
        <v>0</v>
      </c>
      <c r="O24">
        <v>0</v>
      </c>
      <c r="P24">
        <v>0</v>
      </c>
      <c r="Q24">
        <v>0</v>
      </c>
      <c r="R24">
        <v>0</v>
      </c>
      <c r="S24">
        <v>0</v>
      </c>
      <c r="T24">
        <v>0</v>
      </c>
      <c r="U24">
        <v>0</v>
      </c>
      <c r="V24">
        <v>0</v>
      </c>
      <c r="W24">
        <v>0</v>
      </c>
      <c r="X24">
        <v>0</v>
      </c>
      <c r="Y24">
        <v>0</v>
      </c>
      <c r="Z24">
        <v>0</v>
      </c>
      <c r="AA24">
        <v>0</v>
      </c>
      <c r="AB24">
        <v>0</v>
      </c>
      <c r="AC24">
        <v>0</v>
      </c>
      <c r="AD24">
        <v>0</v>
      </c>
      <c r="AE24">
        <v>0</v>
      </c>
      <c r="AF24">
        <v>0</v>
      </c>
      <c r="AG24">
        <v>0</v>
      </c>
      <c r="AH24">
        <v>0</v>
      </c>
      <c r="AI24" t="s">
        <v>111</v>
      </c>
    </row>
    <row r="25" spans="1:35">
      <c r="A25" t="s">
        <v>1009</v>
      </c>
      <c r="B25" t="s">
        <v>1181</v>
      </c>
      <c r="C25" t="s">
        <v>1182</v>
      </c>
      <c r="D25" t="s">
        <v>202</v>
      </c>
      <c r="F25">
        <v>4.8399999999999997E-3</v>
      </c>
      <c r="G25">
        <v>4.7530000000000003E-3</v>
      </c>
      <c r="H25">
        <v>4.9220000000000002E-3</v>
      </c>
      <c r="I25">
        <v>5.2830000000000004E-3</v>
      </c>
      <c r="J25">
        <v>5.7860000000000003E-3</v>
      </c>
      <c r="K25">
        <v>6.378E-3</v>
      </c>
      <c r="L25">
        <v>7.0569999999999999E-3</v>
      </c>
      <c r="M25">
        <v>7.8270000000000006E-3</v>
      </c>
      <c r="N25">
        <v>8.6669999999999994E-3</v>
      </c>
      <c r="O25">
        <v>9.5650000000000006E-3</v>
      </c>
      <c r="P25">
        <v>1.0574999999999999E-2</v>
      </c>
      <c r="Q25">
        <v>1.1660999999999999E-2</v>
      </c>
      <c r="R25">
        <v>1.2754E-2</v>
      </c>
      <c r="S25">
        <v>1.3861999999999999E-2</v>
      </c>
      <c r="T25">
        <v>1.5016E-2</v>
      </c>
      <c r="U25">
        <v>1.6240999999999998E-2</v>
      </c>
      <c r="V25">
        <v>1.7554E-2</v>
      </c>
      <c r="W25">
        <v>1.8945E-2</v>
      </c>
      <c r="X25">
        <v>2.0358000000000001E-2</v>
      </c>
      <c r="Y25">
        <v>2.1772E-2</v>
      </c>
      <c r="Z25">
        <v>2.3202E-2</v>
      </c>
      <c r="AA25">
        <v>2.4597999999999998E-2</v>
      </c>
      <c r="AB25">
        <v>2.5939E-2</v>
      </c>
      <c r="AC25">
        <v>2.7257E-2</v>
      </c>
      <c r="AD25">
        <v>2.8565E-2</v>
      </c>
      <c r="AE25">
        <v>2.9877999999999998E-2</v>
      </c>
      <c r="AF25">
        <v>3.1206999999999999E-2</v>
      </c>
      <c r="AG25">
        <v>3.2496999999999998E-2</v>
      </c>
      <c r="AH25">
        <v>3.3785999999999997E-2</v>
      </c>
      <c r="AI25" s="22">
        <v>7.1999999999999995E-2</v>
      </c>
    </row>
    <row r="26" spans="1:35">
      <c r="A26" t="s">
        <v>1010</v>
      </c>
      <c r="B26" t="s">
        <v>1183</v>
      </c>
      <c r="C26" t="s">
        <v>1184</v>
      </c>
      <c r="D26" t="s">
        <v>202</v>
      </c>
      <c r="F26">
        <v>5.5090430000000001</v>
      </c>
      <c r="G26">
        <v>5.2944570000000004</v>
      </c>
      <c r="H26">
        <v>5.1420300000000001</v>
      </c>
      <c r="I26">
        <v>5.0320220000000004</v>
      </c>
      <c r="J26">
        <v>4.9612869999999996</v>
      </c>
      <c r="K26">
        <v>4.8973899999999997</v>
      </c>
      <c r="L26">
        <v>4.8672620000000002</v>
      </c>
      <c r="M26">
        <v>4.8756060000000003</v>
      </c>
      <c r="N26">
        <v>4.9122690000000002</v>
      </c>
      <c r="O26">
        <v>4.9692109999999996</v>
      </c>
      <c r="P26">
        <v>5.0748540000000002</v>
      </c>
      <c r="Q26">
        <v>5.2112740000000004</v>
      </c>
      <c r="R26">
        <v>5.3364409999999998</v>
      </c>
      <c r="S26">
        <v>5.4537319999999996</v>
      </c>
      <c r="T26">
        <v>5.5876749999999999</v>
      </c>
      <c r="U26">
        <v>5.7532639999999997</v>
      </c>
      <c r="V26">
        <v>5.9519209999999996</v>
      </c>
      <c r="W26">
        <v>6.1751339999999999</v>
      </c>
      <c r="X26">
        <v>6.3944270000000003</v>
      </c>
      <c r="Y26">
        <v>6.6008310000000003</v>
      </c>
      <c r="Z26">
        <v>6.8089449999999996</v>
      </c>
      <c r="AA26">
        <v>7.0041849999999997</v>
      </c>
      <c r="AB26">
        <v>7.1765489999999996</v>
      </c>
      <c r="AC26">
        <v>7.3427660000000001</v>
      </c>
      <c r="AD26">
        <v>7.5131709999999998</v>
      </c>
      <c r="AE26">
        <v>7.6931289999999999</v>
      </c>
      <c r="AF26">
        <v>7.8832199999999997</v>
      </c>
      <c r="AG26">
        <v>8.0600480000000001</v>
      </c>
      <c r="AH26">
        <v>8.2357610000000001</v>
      </c>
      <c r="AI26" s="22">
        <v>1.4E-2</v>
      </c>
    </row>
    <row r="27" spans="1:35">
      <c r="A27" t="s">
        <v>1011</v>
      </c>
      <c r="B27" t="s">
        <v>1185</v>
      </c>
      <c r="C27" t="s">
        <v>1186</v>
      </c>
      <c r="D27" t="s">
        <v>202</v>
      </c>
      <c r="F27">
        <v>55.086739000000001</v>
      </c>
      <c r="G27">
        <v>52.010685000000002</v>
      </c>
      <c r="H27">
        <v>49.520744000000001</v>
      </c>
      <c r="I27">
        <v>47.317413000000002</v>
      </c>
      <c r="J27">
        <v>45.417164</v>
      </c>
      <c r="K27">
        <v>43.427483000000002</v>
      </c>
      <c r="L27">
        <v>41.727370999999998</v>
      </c>
      <c r="M27">
        <v>40.325862999999998</v>
      </c>
      <c r="N27">
        <v>39.125362000000003</v>
      </c>
      <c r="O27">
        <v>38.066516999999997</v>
      </c>
      <c r="P27">
        <v>37.306381000000002</v>
      </c>
      <c r="Q27">
        <v>36.722583999999998</v>
      </c>
      <c r="R27">
        <v>36.091003000000001</v>
      </c>
      <c r="S27">
        <v>35.440643000000001</v>
      </c>
      <c r="T27">
        <v>34.904975999999998</v>
      </c>
      <c r="U27">
        <v>34.557194000000003</v>
      </c>
      <c r="V27">
        <v>34.389159999999997</v>
      </c>
      <c r="W27">
        <v>34.345489999999998</v>
      </c>
      <c r="X27">
        <v>34.295124000000001</v>
      </c>
      <c r="Y27">
        <v>34.200504000000002</v>
      </c>
      <c r="Z27">
        <v>34.122031999999997</v>
      </c>
      <c r="AA27">
        <v>34.004280000000001</v>
      </c>
      <c r="AB27">
        <v>33.811905000000003</v>
      </c>
      <c r="AC27">
        <v>33.607821999999999</v>
      </c>
      <c r="AD27">
        <v>33.429436000000003</v>
      </c>
      <c r="AE27">
        <v>33.293548999999999</v>
      </c>
      <c r="AF27">
        <v>33.198611999999997</v>
      </c>
      <c r="AG27">
        <v>33.066901999999999</v>
      </c>
      <c r="AH27">
        <v>32.943016</v>
      </c>
      <c r="AI27" s="22">
        <v>-1.7999999999999999E-2</v>
      </c>
    </row>
    <row r="28" spans="1:35">
      <c r="A28" t="s">
        <v>162</v>
      </c>
    </row>
    <row r="29" spans="1:35">
      <c r="A29" t="s">
        <v>1012</v>
      </c>
    </row>
    <row r="30" spans="1:35">
      <c r="A30" t="s">
        <v>995</v>
      </c>
      <c r="B30" t="s">
        <v>1187</v>
      </c>
      <c r="C30" t="s">
        <v>1188</v>
      </c>
      <c r="D30" t="s">
        <v>202</v>
      </c>
      <c r="F30">
        <v>83.907561999999999</v>
      </c>
      <c r="G30">
        <v>85.246178</v>
      </c>
      <c r="H30">
        <v>86.675407000000007</v>
      </c>
      <c r="I30">
        <v>88.293334999999999</v>
      </c>
      <c r="J30">
        <v>90.024269000000004</v>
      </c>
      <c r="K30">
        <v>90.869743</v>
      </c>
      <c r="L30">
        <v>91.562454000000002</v>
      </c>
      <c r="M30">
        <v>92.186004999999994</v>
      </c>
      <c r="N30">
        <v>92.519035000000002</v>
      </c>
      <c r="O30">
        <v>92.672759999999997</v>
      </c>
      <c r="P30">
        <v>92.890891999999994</v>
      </c>
      <c r="Q30">
        <v>93.107742000000002</v>
      </c>
      <c r="R30">
        <v>93.025847999999996</v>
      </c>
      <c r="S30">
        <v>92.733376000000007</v>
      </c>
      <c r="T30">
        <v>92.385056000000006</v>
      </c>
      <c r="U30">
        <v>92.133949000000001</v>
      </c>
      <c r="V30">
        <v>92.064437999999996</v>
      </c>
      <c r="W30">
        <v>92.172379000000006</v>
      </c>
      <c r="X30">
        <v>92.406952000000004</v>
      </c>
      <c r="Y30">
        <v>92.627357000000003</v>
      </c>
      <c r="Z30">
        <v>92.833183000000005</v>
      </c>
      <c r="AA30">
        <v>92.988342000000003</v>
      </c>
      <c r="AB30">
        <v>93.056731999999997</v>
      </c>
      <c r="AC30">
        <v>93.097237000000007</v>
      </c>
      <c r="AD30">
        <v>93.178421</v>
      </c>
      <c r="AE30">
        <v>93.277641000000003</v>
      </c>
      <c r="AF30">
        <v>93.379456000000005</v>
      </c>
      <c r="AG30">
        <v>93.499008000000003</v>
      </c>
      <c r="AH30">
        <v>93.613983000000005</v>
      </c>
      <c r="AI30" s="22">
        <v>4.0000000000000001E-3</v>
      </c>
    </row>
    <row r="31" spans="1:35">
      <c r="A31" t="s">
        <v>996</v>
      </c>
      <c r="B31" t="s">
        <v>1189</v>
      </c>
      <c r="C31" t="s">
        <v>1190</v>
      </c>
      <c r="D31" t="s">
        <v>202</v>
      </c>
      <c r="F31">
        <v>0.52666000000000002</v>
      </c>
      <c r="G31">
        <v>0.47596500000000003</v>
      </c>
      <c r="H31">
        <v>0.42480299999999999</v>
      </c>
      <c r="I31">
        <v>0.38073899999999999</v>
      </c>
      <c r="J31">
        <v>0.34478700000000001</v>
      </c>
      <c r="K31">
        <v>0.31091099999999999</v>
      </c>
      <c r="L31">
        <v>0.278391</v>
      </c>
      <c r="M31">
        <v>0.24728900000000001</v>
      </c>
      <c r="N31">
        <v>0.21771699999999999</v>
      </c>
      <c r="O31">
        <v>0.189885</v>
      </c>
      <c r="P31">
        <v>0.16389200000000001</v>
      </c>
      <c r="Q31">
        <v>0.14005300000000001</v>
      </c>
      <c r="R31">
        <v>0.118398</v>
      </c>
      <c r="S31">
        <v>9.9235000000000004E-2</v>
      </c>
      <c r="T31">
        <v>8.2496E-2</v>
      </c>
      <c r="U31">
        <v>6.8190000000000001E-2</v>
      </c>
      <c r="V31">
        <v>5.6337999999999999E-2</v>
      </c>
      <c r="W31">
        <v>4.6649999999999997E-2</v>
      </c>
      <c r="X31">
        <v>3.9010999999999997E-2</v>
      </c>
      <c r="Y31">
        <v>3.3098000000000002E-2</v>
      </c>
      <c r="Z31">
        <v>2.8437E-2</v>
      </c>
      <c r="AA31">
        <v>2.4750000000000001E-2</v>
      </c>
      <c r="AB31">
        <v>2.1794000000000001E-2</v>
      </c>
      <c r="AC31">
        <v>1.9529000000000001E-2</v>
      </c>
      <c r="AD31">
        <v>1.7741E-2</v>
      </c>
      <c r="AE31">
        <v>1.6143000000000001E-2</v>
      </c>
      <c r="AF31">
        <v>1.4714E-2</v>
      </c>
      <c r="AG31">
        <v>1.3434E-2</v>
      </c>
      <c r="AH31">
        <v>1.2286999999999999E-2</v>
      </c>
      <c r="AI31" s="22">
        <v>-0.126</v>
      </c>
    </row>
    <row r="32" spans="1:35">
      <c r="A32" t="s">
        <v>1013</v>
      </c>
      <c r="B32" t="s">
        <v>1191</v>
      </c>
      <c r="C32" t="s">
        <v>1192</v>
      </c>
      <c r="D32" t="s">
        <v>202</v>
      </c>
      <c r="F32">
        <v>84.434218999999999</v>
      </c>
      <c r="G32">
        <v>85.722144999999998</v>
      </c>
      <c r="H32">
        <v>87.100211999999999</v>
      </c>
      <c r="I32">
        <v>88.674071999999995</v>
      </c>
      <c r="J32">
        <v>90.369056999999998</v>
      </c>
      <c r="K32">
        <v>91.180655999999999</v>
      </c>
      <c r="L32">
        <v>91.840843000000007</v>
      </c>
      <c r="M32">
        <v>92.433295999999999</v>
      </c>
      <c r="N32">
        <v>92.736755000000002</v>
      </c>
      <c r="O32">
        <v>92.862647999999993</v>
      </c>
      <c r="P32">
        <v>93.054787000000005</v>
      </c>
      <c r="Q32">
        <v>93.247794999999996</v>
      </c>
      <c r="R32">
        <v>93.144249000000002</v>
      </c>
      <c r="S32">
        <v>92.832611</v>
      </c>
      <c r="T32">
        <v>92.467551999999998</v>
      </c>
      <c r="U32">
        <v>92.202140999999997</v>
      </c>
      <c r="V32">
        <v>92.120773</v>
      </c>
      <c r="W32">
        <v>92.219031999999999</v>
      </c>
      <c r="X32">
        <v>92.445960999999997</v>
      </c>
      <c r="Y32">
        <v>92.660454000000001</v>
      </c>
      <c r="Z32">
        <v>92.861618000000007</v>
      </c>
      <c r="AA32">
        <v>93.013092</v>
      </c>
      <c r="AB32">
        <v>93.078529000000003</v>
      </c>
      <c r="AC32">
        <v>93.116767999999993</v>
      </c>
      <c r="AD32">
        <v>93.196158999999994</v>
      </c>
      <c r="AE32">
        <v>93.293785</v>
      </c>
      <c r="AF32">
        <v>93.394172999999995</v>
      </c>
      <c r="AG32">
        <v>93.512444000000002</v>
      </c>
      <c r="AH32">
        <v>93.626273999999995</v>
      </c>
      <c r="AI32" s="22">
        <v>4.0000000000000001E-3</v>
      </c>
    </row>
    <row r="33" spans="1:35">
      <c r="A33" t="s">
        <v>1014</v>
      </c>
    </row>
    <row r="34" spans="1:35">
      <c r="A34" t="s">
        <v>999</v>
      </c>
      <c r="B34" t="s">
        <v>1193</v>
      </c>
      <c r="C34" t="s">
        <v>1194</v>
      </c>
      <c r="D34" t="s">
        <v>202</v>
      </c>
      <c r="F34">
        <v>13.155381999999999</v>
      </c>
      <c r="G34">
        <v>12.04735</v>
      </c>
      <c r="H34">
        <v>11.079556999999999</v>
      </c>
      <c r="I34">
        <v>10.146872</v>
      </c>
      <c r="J34">
        <v>9.3481640000000006</v>
      </c>
      <c r="K34">
        <v>8.5740239999999996</v>
      </c>
      <c r="L34">
        <v>7.8789559999999996</v>
      </c>
      <c r="M34">
        <v>7.2777609999999999</v>
      </c>
      <c r="N34">
        <v>6.743716</v>
      </c>
      <c r="O34">
        <v>6.2824840000000002</v>
      </c>
      <c r="P34">
        <v>5.9127580000000002</v>
      </c>
      <c r="Q34">
        <v>5.6186930000000004</v>
      </c>
      <c r="R34">
        <v>5.3554360000000001</v>
      </c>
      <c r="S34">
        <v>5.1242859999999997</v>
      </c>
      <c r="T34">
        <v>4.93954</v>
      </c>
      <c r="U34">
        <v>4.8122550000000004</v>
      </c>
      <c r="V34">
        <v>4.7404200000000003</v>
      </c>
      <c r="W34">
        <v>4.7091339999999997</v>
      </c>
      <c r="X34">
        <v>4.7003620000000002</v>
      </c>
      <c r="Y34">
        <v>4.694051</v>
      </c>
      <c r="Z34">
        <v>4.6888899999999998</v>
      </c>
      <c r="AA34">
        <v>4.6818530000000003</v>
      </c>
      <c r="AB34">
        <v>4.6713120000000004</v>
      </c>
      <c r="AC34">
        <v>4.6641450000000004</v>
      </c>
      <c r="AD34">
        <v>4.6687070000000004</v>
      </c>
      <c r="AE34">
        <v>4.6807059999999998</v>
      </c>
      <c r="AF34">
        <v>4.6957659999999999</v>
      </c>
      <c r="AG34">
        <v>4.7141529999999996</v>
      </c>
      <c r="AH34">
        <v>4.7330120000000004</v>
      </c>
      <c r="AI34" s="22">
        <v>-3.5999999999999997E-2</v>
      </c>
    </row>
    <row r="35" spans="1:35">
      <c r="A35" t="s">
        <v>1157</v>
      </c>
      <c r="B35" t="s">
        <v>1195</v>
      </c>
      <c r="C35" t="s">
        <v>1069</v>
      </c>
      <c r="D35" t="s">
        <v>202</v>
      </c>
      <c r="F35">
        <v>3.7000000000000002E-3</v>
      </c>
      <c r="G35">
        <v>3.7959999999999999E-3</v>
      </c>
      <c r="H35">
        <v>3.9370000000000004E-3</v>
      </c>
      <c r="I35">
        <v>4.0819999999999997E-3</v>
      </c>
      <c r="J35">
        <v>4.2009999999999999E-3</v>
      </c>
      <c r="K35">
        <v>4.2950000000000002E-3</v>
      </c>
      <c r="L35">
        <v>4.3670000000000002E-3</v>
      </c>
      <c r="M35">
        <v>4.4180000000000001E-3</v>
      </c>
      <c r="N35">
        <v>4.4409999999999996E-3</v>
      </c>
      <c r="O35">
        <v>4.444E-3</v>
      </c>
      <c r="P35">
        <v>4.4339999999999996E-3</v>
      </c>
      <c r="Q35">
        <v>4.4070000000000003E-3</v>
      </c>
      <c r="R35">
        <v>4.352E-3</v>
      </c>
      <c r="S35">
        <v>4.2750000000000002E-3</v>
      </c>
      <c r="T35">
        <v>4.1780000000000003E-3</v>
      </c>
      <c r="U35">
        <v>4.0639999999999999E-3</v>
      </c>
      <c r="V35">
        <v>3.9319999999999997E-3</v>
      </c>
      <c r="W35">
        <v>3.7859999999999999E-3</v>
      </c>
      <c r="X35">
        <v>3.6259999999999999E-3</v>
      </c>
      <c r="Y35">
        <v>3.4529999999999999E-3</v>
      </c>
      <c r="Z35">
        <v>3.2680000000000001E-3</v>
      </c>
      <c r="AA35">
        <v>3.0730000000000002E-3</v>
      </c>
      <c r="AB35">
        <v>2.8700000000000002E-3</v>
      </c>
      <c r="AC35">
        <v>2.6619999999999999E-3</v>
      </c>
      <c r="AD35">
        <v>2.4499999999999999E-3</v>
      </c>
      <c r="AE35">
        <v>2.2360000000000001E-3</v>
      </c>
      <c r="AF35">
        <v>2.0200000000000001E-3</v>
      </c>
      <c r="AG35">
        <v>1.802E-3</v>
      </c>
      <c r="AH35">
        <v>1.5820000000000001E-3</v>
      </c>
      <c r="AI35" s="22">
        <v>-0.03</v>
      </c>
    </row>
    <row r="36" spans="1:35">
      <c r="A36" t="s">
        <v>1159</v>
      </c>
      <c r="B36" t="s">
        <v>1196</v>
      </c>
      <c r="C36" t="s">
        <v>1069</v>
      </c>
      <c r="D36" t="s">
        <v>202</v>
      </c>
      <c r="F36">
        <v>7.2387999999999994E-2</v>
      </c>
      <c r="G36">
        <v>0.13614100000000001</v>
      </c>
      <c r="H36">
        <v>0.227352</v>
      </c>
      <c r="I36">
        <v>0.34497699999999998</v>
      </c>
      <c r="J36">
        <v>0.48496899999999998</v>
      </c>
      <c r="K36">
        <v>0.63757699999999995</v>
      </c>
      <c r="L36">
        <v>0.80531600000000003</v>
      </c>
      <c r="M36">
        <v>0.987873</v>
      </c>
      <c r="N36">
        <v>1.1777820000000001</v>
      </c>
      <c r="O36">
        <v>1.375702</v>
      </c>
      <c r="P36">
        <v>1.5874010000000001</v>
      </c>
      <c r="Q36">
        <v>1.810111</v>
      </c>
      <c r="R36">
        <v>2.031657</v>
      </c>
      <c r="S36">
        <v>2.2528920000000001</v>
      </c>
      <c r="T36">
        <v>2.4782030000000002</v>
      </c>
      <c r="U36">
        <v>2.713346</v>
      </c>
      <c r="V36">
        <v>2.9625020000000002</v>
      </c>
      <c r="W36">
        <v>3.225902</v>
      </c>
      <c r="X36">
        <v>3.50136</v>
      </c>
      <c r="Y36">
        <v>3.7808540000000002</v>
      </c>
      <c r="Z36">
        <v>4.0638959999999997</v>
      </c>
      <c r="AA36">
        <v>4.3476540000000004</v>
      </c>
      <c r="AB36">
        <v>4.6291830000000003</v>
      </c>
      <c r="AC36">
        <v>4.9124090000000002</v>
      </c>
      <c r="AD36">
        <v>5.2025920000000001</v>
      </c>
      <c r="AE36">
        <v>5.4980599999999997</v>
      </c>
      <c r="AF36">
        <v>5.7977160000000003</v>
      </c>
      <c r="AG36">
        <v>6.1028640000000003</v>
      </c>
      <c r="AH36">
        <v>6.4114500000000003</v>
      </c>
      <c r="AI36" s="22">
        <v>0.17399999999999999</v>
      </c>
    </row>
    <row r="37" spans="1:35">
      <c r="A37" t="s">
        <v>1161</v>
      </c>
      <c r="B37" t="s">
        <v>1197</v>
      </c>
      <c r="C37" t="s">
        <v>1069</v>
      </c>
      <c r="D37" t="s">
        <v>202</v>
      </c>
      <c r="F37">
        <v>4.1378999999999999E-2</v>
      </c>
      <c r="G37">
        <v>5.5634999999999997E-2</v>
      </c>
      <c r="H37">
        <v>7.3841000000000004E-2</v>
      </c>
      <c r="I37">
        <v>9.5920000000000005E-2</v>
      </c>
      <c r="J37">
        <v>0.120613</v>
      </c>
      <c r="K37">
        <v>0.14671799999999999</v>
      </c>
      <c r="L37">
        <v>0.174765</v>
      </c>
      <c r="M37">
        <v>0.204703</v>
      </c>
      <c r="N37">
        <v>0.23532600000000001</v>
      </c>
      <c r="O37">
        <v>0.26680399999999999</v>
      </c>
      <c r="P37">
        <v>0.30012</v>
      </c>
      <c r="Q37">
        <v>0.33483400000000002</v>
      </c>
      <c r="R37">
        <v>0.36905100000000002</v>
      </c>
      <c r="S37">
        <v>0.402945</v>
      </c>
      <c r="T37">
        <v>0.43723099999999998</v>
      </c>
      <c r="U37">
        <v>0.472856</v>
      </c>
      <c r="V37">
        <v>0.51049500000000003</v>
      </c>
      <c r="W37">
        <v>0.55022300000000002</v>
      </c>
      <c r="X37">
        <v>0.59172199999999997</v>
      </c>
      <c r="Y37">
        <v>0.63378599999999996</v>
      </c>
      <c r="Z37">
        <v>0.67637100000000006</v>
      </c>
      <c r="AA37">
        <v>0.71902999999999995</v>
      </c>
      <c r="AB37">
        <v>0.76130399999999998</v>
      </c>
      <c r="AC37">
        <v>0.80379500000000004</v>
      </c>
      <c r="AD37">
        <v>0.84731000000000001</v>
      </c>
      <c r="AE37">
        <v>0.89161699999999999</v>
      </c>
      <c r="AF37">
        <v>0.93655200000000005</v>
      </c>
      <c r="AG37">
        <v>0.98231800000000002</v>
      </c>
      <c r="AH37">
        <v>1.028607</v>
      </c>
      <c r="AI37" s="22">
        <v>0.122</v>
      </c>
    </row>
    <row r="38" spans="1:35">
      <c r="A38" t="s">
        <v>1000</v>
      </c>
      <c r="B38" t="s">
        <v>1198</v>
      </c>
      <c r="C38" t="s">
        <v>1199</v>
      </c>
      <c r="D38" t="s">
        <v>202</v>
      </c>
      <c r="F38">
        <v>0.18983700000000001</v>
      </c>
      <c r="G38">
        <v>0.191692</v>
      </c>
      <c r="H38">
        <v>0.19464200000000001</v>
      </c>
      <c r="I38">
        <v>0.22015499999999999</v>
      </c>
      <c r="J38">
        <v>0.24595900000000001</v>
      </c>
      <c r="K38">
        <v>0.27066499999999999</v>
      </c>
      <c r="L38">
        <v>0.29464200000000002</v>
      </c>
      <c r="M38">
        <v>0.317944</v>
      </c>
      <c r="N38">
        <v>0.339725</v>
      </c>
      <c r="O38">
        <v>0.36045199999999999</v>
      </c>
      <c r="P38">
        <v>0.38098700000000002</v>
      </c>
      <c r="Q38">
        <v>0.40107100000000001</v>
      </c>
      <c r="R38">
        <v>0.41955100000000001</v>
      </c>
      <c r="S38">
        <v>0.436693</v>
      </c>
      <c r="T38">
        <v>0.45296900000000001</v>
      </c>
      <c r="U38">
        <v>0.469028</v>
      </c>
      <c r="V38">
        <v>0.48551899999999998</v>
      </c>
      <c r="W38">
        <v>0.50263599999999997</v>
      </c>
      <c r="X38">
        <v>0.52035500000000001</v>
      </c>
      <c r="Y38">
        <v>0.53812099999999996</v>
      </c>
      <c r="Z38">
        <v>0.55594699999999997</v>
      </c>
      <c r="AA38">
        <v>0.57360100000000003</v>
      </c>
      <c r="AB38">
        <v>0.590862</v>
      </c>
      <c r="AC38">
        <v>0.60809100000000005</v>
      </c>
      <c r="AD38">
        <v>0.62568199999999996</v>
      </c>
      <c r="AE38">
        <v>0.64353899999999997</v>
      </c>
      <c r="AF38">
        <v>0.66165200000000002</v>
      </c>
      <c r="AG38">
        <v>0.68012799999999995</v>
      </c>
      <c r="AH38">
        <v>0.69880299999999995</v>
      </c>
      <c r="AI38" s="22">
        <v>4.8000000000000001E-2</v>
      </c>
    </row>
    <row r="39" spans="1:35">
      <c r="A39" t="s">
        <v>1001</v>
      </c>
      <c r="B39" t="s">
        <v>1200</v>
      </c>
      <c r="C39" t="s">
        <v>1201</v>
      </c>
      <c r="D39" t="s">
        <v>202</v>
      </c>
      <c r="F39">
        <v>1.0998000000000001E-2</v>
      </c>
      <c r="G39">
        <v>1.5812E-2</v>
      </c>
      <c r="H39">
        <v>2.2769999999999999E-2</v>
      </c>
      <c r="I39">
        <v>3.2281999999999998E-2</v>
      </c>
      <c r="J39">
        <v>4.4431999999999999E-2</v>
      </c>
      <c r="K39">
        <v>5.8401000000000002E-2</v>
      </c>
      <c r="L39">
        <v>7.424E-2</v>
      </c>
      <c r="M39">
        <v>9.1879000000000002E-2</v>
      </c>
      <c r="N39">
        <v>0.110764</v>
      </c>
      <c r="O39">
        <v>0.130941</v>
      </c>
      <c r="P39">
        <v>0.15276699999999999</v>
      </c>
      <c r="Q39">
        <v>0.176007</v>
      </c>
      <c r="R39">
        <v>0.199768</v>
      </c>
      <c r="S39">
        <v>0.22403600000000001</v>
      </c>
      <c r="T39">
        <v>0.24896199999999999</v>
      </c>
      <c r="U39">
        <v>0.27486300000000002</v>
      </c>
      <c r="V39">
        <v>0.30209599999999998</v>
      </c>
      <c r="W39">
        <v>0.33073599999999997</v>
      </c>
      <c r="X39">
        <v>0.36068099999999997</v>
      </c>
      <c r="Y39">
        <v>0.39136100000000001</v>
      </c>
      <c r="Z39">
        <v>0.422678</v>
      </c>
      <c r="AA39">
        <v>0.45433400000000002</v>
      </c>
      <c r="AB39">
        <v>0.48603099999999999</v>
      </c>
      <c r="AC39">
        <v>0.51801699999999995</v>
      </c>
      <c r="AD39">
        <v>0.55064599999999997</v>
      </c>
      <c r="AE39">
        <v>0.58380799999999999</v>
      </c>
      <c r="AF39">
        <v>0.61748999999999998</v>
      </c>
      <c r="AG39">
        <v>0.65180099999999996</v>
      </c>
      <c r="AH39">
        <v>0.68656700000000004</v>
      </c>
      <c r="AI39" s="22">
        <v>0.159</v>
      </c>
    </row>
    <row r="40" spans="1:35">
      <c r="A40" t="s">
        <v>1002</v>
      </c>
      <c r="B40" t="s">
        <v>1202</v>
      </c>
      <c r="C40" t="s">
        <v>1203</v>
      </c>
      <c r="D40" t="s">
        <v>202</v>
      </c>
      <c r="F40">
        <v>0</v>
      </c>
      <c r="G40">
        <v>0</v>
      </c>
      <c r="H40">
        <v>0</v>
      </c>
      <c r="I40">
        <v>0</v>
      </c>
      <c r="J40">
        <v>0</v>
      </c>
      <c r="K40">
        <v>0</v>
      </c>
      <c r="L40">
        <v>0</v>
      </c>
      <c r="M40">
        <v>0</v>
      </c>
      <c r="N40">
        <v>0</v>
      </c>
      <c r="O40">
        <v>0</v>
      </c>
      <c r="P40">
        <v>0</v>
      </c>
      <c r="Q40">
        <v>0</v>
      </c>
      <c r="R40">
        <v>0</v>
      </c>
      <c r="S40">
        <v>0</v>
      </c>
      <c r="T40">
        <v>0</v>
      </c>
      <c r="U40">
        <v>0</v>
      </c>
      <c r="V40">
        <v>0</v>
      </c>
      <c r="W40">
        <v>0</v>
      </c>
      <c r="X40">
        <v>0</v>
      </c>
      <c r="Y40">
        <v>0</v>
      </c>
      <c r="Z40">
        <v>0</v>
      </c>
      <c r="AA40">
        <v>0</v>
      </c>
      <c r="AB40">
        <v>0</v>
      </c>
      <c r="AC40">
        <v>0</v>
      </c>
      <c r="AD40">
        <v>0</v>
      </c>
      <c r="AE40">
        <v>0</v>
      </c>
      <c r="AF40">
        <v>0</v>
      </c>
      <c r="AG40">
        <v>0</v>
      </c>
      <c r="AH40">
        <v>0</v>
      </c>
      <c r="AI40" t="s">
        <v>111</v>
      </c>
    </row>
    <row r="41" spans="1:35">
      <c r="A41" t="s">
        <v>1003</v>
      </c>
      <c r="B41" t="s">
        <v>1204</v>
      </c>
      <c r="C41" t="s">
        <v>1205</v>
      </c>
      <c r="D41" t="s">
        <v>202</v>
      </c>
      <c r="F41">
        <v>1.4860070000000001</v>
      </c>
      <c r="G41">
        <v>1.7714510000000001</v>
      </c>
      <c r="H41">
        <v>2.0501170000000002</v>
      </c>
      <c r="I41">
        <v>2.3524569999999998</v>
      </c>
      <c r="J41">
        <v>2.6537160000000002</v>
      </c>
      <c r="K41">
        <v>2.9155169999999999</v>
      </c>
      <c r="L41">
        <v>3.1558120000000001</v>
      </c>
      <c r="M41">
        <v>3.3776169999999999</v>
      </c>
      <c r="N41">
        <v>3.5757539999999999</v>
      </c>
      <c r="O41">
        <v>3.7567569999999999</v>
      </c>
      <c r="P41">
        <v>3.9304410000000001</v>
      </c>
      <c r="Q41">
        <v>4.0947690000000003</v>
      </c>
      <c r="R41">
        <v>4.2382939999999998</v>
      </c>
      <c r="S41">
        <v>4.3639780000000004</v>
      </c>
      <c r="T41">
        <v>4.4781870000000001</v>
      </c>
      <c r="U41">
        <v>4.5877489999999996</v>
      </c>
      <c r="V41">
        <v>4.69895</v>
      </c>
      <c r="W41">
        <v>4.8137369999999997</v>
      </c>
      <c r="X41">
        <v>4.9321109999999999</v>
      </c>
      <c r="Y41">
        <v>5.0488580000000001</v>
      </c>
      <c r="Z41">
        <v>5.1645690000000002</v>
      </c>
      <c r="AA41">
        <v>5.2774080000000003</v>
      </c>
      <c r="AB41">
        <v>5.385243</v>
      </c>
      <c r="AC41">
        <v>5.491466</v>
      </c>
      <c r="AD41">
        <v>5.5998190000000001</v>
      </c>
      <c r="AE41">
        <v>5.7090930000000002</v>
      </c>
      <c r="AF41">
        <v>5.8187990000000003</v>
      </c>
      <c r="AG41">
        <v>5.9302020000000004</v>
      </c>
      <c r="AH41">
        <v>6.0421950000000004</v>
      </c>
      <c r="AI41" s="22">
        <v>5.0999999999999997E-2</v>
      </c>
    </row>
    <row r="42" spans="1:35">
      <c r="A42" t="s">
        <v>1004</v>
      </c>
      <c r="B42" t="s">
        <v>1206</v>
      </c>
      <c r="C42" t="s">
        <v>1207</v>
      </c>
      <c r="D42" t="s">
        <v>202</v>
      </c>
      <c r="F42">
        <v>2.7307000000000001E-2</v>
      </c>
      <c r="G42">
        <v>2.538E-2</v>
      </c>
      <c r="H42">
        <v>2.3747000000000001E-2</v>
      </c>
      <c r="I42">
        <v>2.2165000000000001E-2</v>
      </c>
      <c r="J42">
        <v>2.0631E-2</v>
      </c>
      <c r="K42">
        <v>1.9140999999999998E-2</v>
      </c>
      <c r="L42">
        <v>1.7766000000000001E-2</v>
      </c>
      <c r="M42">
        <v>1.6636999999999999E-2</v>
      </c>
      <c r="N42">
        <v>1.5591000000000001E-2</v>
      </c>
      <c r="O42">
        <v>1.4572999999999999E-2</v>
      </c>
      <c r="P42">
        <v>1.3602E-2</v>
      </c>
      <c r="Q42">
        <v>1.268E-2</v>
      </c>
      <c r="R42">
        <v>1.1816E-2</v>
      </c>
      <c r="S42">
        <v>1.1003000000000001E-2</v>
      </c>
      <c r="T42">
        <v>1.0246999999999999E-2</v>
      </c>
      <c r="U42">
        <v>9.6509999999999999E-3</v>
      </c>
      <c r="V42">
        <v>9.0790000000000003E-3</v>
      </c>
      <c r="W42">
        <v>8.5800000000000008E-3</v>
      </c>
      <c r="X42">
        <v>8.1089999999999999E-3</v>
      </c>
      <c r="Y42">
        <v>7.6639999999999998E-3</v>
      </c>
      <c r="Z42">
        <v>7.2430000000000003E-3</v>
      </c>
      <c r="AA42">
        <v>6.8459999999999997E-3</v>
      </c>
      <c r="AB42">
        <v>6.4700000000000001E-3</v>
      </c>
      <c r="AC42">
        <v>6.1149999999999998E-3</v>
      </c>
      <c r="AD42">
        <v>5.7800000000000004E-3</v>
      </c>
      <c r="AE42">
        <v>5.463E-3</v>
      </c>
      <c r="AF42">
        <v>5.1640000000000002E-3</v>
      </c>
      <c r="AG42">
        <v>4.8809999999999999E-3</v>
      </c>
      <c r="AH42">
        <v>4.6129999999999999E-3</v>
      </c>
      <c r="AI42" s="22">
        <v>-6.2E-2</v>
      </c>
    </row>
    <row r="43" spans="1:35">
      <c r="A43" t="s">
        <v>1005</v>
      </c>
      <c r="B43" t="s">
        <v>1208</v>
      </c>
      <c r="C43" t="s">
        <v>1209</v>
      </c>
      <c r="D43" t="s">
        <v>202</v>
      </c>
      <c r="F43">
        <v>2.1069000000000001E-2</v>
      </c>
      <c r="G43">
        <v>1.942E-2</v>
      </c>
      <c r="H43">
        <v>1.8349000000000001E-2</v>
      </c>
      <c r="I43">
        <v>1.7337999999999999E-2</v>
      </c>
      <c r="J43">
        <v>1.6382000000000001E-2</v>
      </c>
      <c r="K43">
        <v>1.5479E-2</v>
      </c>
      <c r="L43">
        <v>1.4626E-2</v>
      </c>
      <c r="M43">
        <v>1.3821E-2</v>
      </c>
      <c r="N43">
        <v>1.3058999999999999E-2</v>
      </c>
      <c r="O43">
        <v>1.234E-2</v>
      </c>
      <c r="P43">
        <v>1.1660999999999999E-2</v>
      </c>
      <c r="Q43">
        <v>1.1018999999999999E-2</v>
      </c>
      <c r="R43">
        <v>1.0413E-2</v>
      </c>
      <c r="S43">
        <v>9.8399999999999998E-3</v>
      </c>
      <c r="T43">
        <v>9.299E-3</v>
      </c>
      <c r="U43">
        <v>8.7869999999999997E-3</v>
      </c>
      <c r="V43">
        <v>8.3040000000000006E-3</v>
      </c>
      <c r="W43">
        <v>7.8480000000000008E-3</v>
      </c>
      <c r="X43">
        <v>7.417E-3</v>
      </c>
      <c r="Y43">
        <v>7.0089999999999996E-3</v>
      </c>
      <c r="Z43">
        <v>6.6239999999999997E-3</v>
      </c>
      <c r="AA43">
        <v>6.2599999999999999E-3</v>
      </c>
      <c r="AB43">
        <v>5.9160000000000003E-3</v>
      </c>
      <c r="AC43">
        <v>5.5919999999999997E-3</v>
      </c>
      <c r="AD43">
        <v>5.2849999999999998E-3</v>
      </c>
      <c r="AE43">
        <v>4.9950000000000003E-3</v>
      </c>
      <c r="AF43">
        <v>4.7210000000000004E-3</v>
      </c>
      <c r="AG43">
        <v>4.4619999999999998E-3</v>
      </c>
      <c r="AH43">
        <v>4.2170000000000003E-3</v>
      </c>
      <c r="AI43" s="22">
        <v>-5.6000000000000001E-2</v>
      </c>
    </row>
    <row r="44" spans="1:35">
      <c r="A44" t="s">
        <v>1006</v>
      </c>
      <c r="B44" t="s">
        <v>1210</v>
      </c>
      <c r="C44" t="s">
        <v>1211</v>
      </c>
      <c r="D44" t="s">
        <v>202</v>
      </c>
      <c r="F44">
        <v>5.5518999999999999E-2</v>
      </c>
      <c r="G44">
        <v>4.9865E-2</v>
      </c>
      <c r="H44">
        <v>4.4665000000000003E-2</v>
      </c>
      <c r="I44">
        <v>4.0508000000000002E-2</v>
      </c>
      <c r="J44">
        <v>3.746E-2</v>
      </c>
      <c r="K44">
        <v>3.5242999999999997E-2</v>
      </c>
      <c r="L44">
        <v>3.3300999999999997E-2</v>
      </c>
      <c r="M44">
        <v>3.1466000000000001E-2</v>
      </c>
      <c r="N44">
        <v>2.9732999999999999E-2</v>
      </c>
      <c r="O44">
        <v>2.8094999999999998E-2</v>
      </c>
      <c r="P44">
        <v>2.6547999999999999E-2</v>
      </c>
      <c r="Q44">
        <v>2.5087000000000002E-2</v>
      </c>
      <c r="R44">
        <v>2.3706000000000001E-2</v>
      </c>
      <c r="S44">
        <v>2.2401999999999998E-2</v>
      </c>
      <c r="T44">
        <v>2.1169E-2</v>
      </c>
      <c r="U44">
        <v>2.0004999999999998E-2</v>
      </c>
      <c r="V44">
        <v>1.8905000000000002E-2</v>
      </c>
      <c r="W44">
        <v>1.7864999999999999E-2</v>
      </c>
      <c r="X44">
        <v>1.6882999999999999E-2</v>
      </c>
      <c r="Y44">
        <v>1.5955E-2</v>
      </c>
      <c r="Z44">
        <v>1.5077999999999999E-2</v>
      </c>
      <c r="AA44">
        <v>1.4250000000000001E-2</v>
      </c>
      <c r="AB44">
        <v>1.3467E-2</v>
      </c>
      <c r="AC44">
        <v>1.2728E-2</v>
      </c>
      <c r="AD44">
        <v>1.2029E-2</v>
      </c>
      <c r="AE44">
        <v>1.1369000000000001E-2</v>
      </c>
      <c r="AF44">
        <v>1.0744999999999999E-2</v>
      </c>
      <c r="AG44">
        <v>1.0155000000000001E-2</v>
      </c>
      <c r="AH44">
        <v>9.5980000000000006E-3</v>
      </c>
      <c r="AI44" s="22">
        <v>-6.0999999999999999E-2</v>
      </c>
    </row>
    <row r="45" spans="1:35">
      <c r="A45" t="s">
        <v>1007</v>
      </c>
      <c r="B45" t="s">
        <v>1212</v>
      </c>
      <c r="C45" t="s">
        <v>1213</v>
      </c>
      <c r="D45" t="s">
        <v>202</v>
      </c>
      <c r="F45">
        <v>4.9424999999999997E-2</v>
      </c>
      <c r="G45">
        <v>4.5553999999999997E-2</v>
      </c>
      <c r="H45">
        <v>4.3041999999999997E-2</v>
      </c>
      <c r="I45">
        <v>4.0668999999999997E-2</v>
      </c>
      <c r="J45">
        <v>3.8427000000000003E-2</v>
      </c>
      <c r="K45">
        <v>3.6310000000000002E-2</v>
      </c>
      <c r="L45">
        <v>3.4308999999999999E-2</v>
      </c>
      <c r="M45">
        <v>3.2419000000000003E-2</v>
      </c>
      <c r="N45">
        <v>3.0634000000000002E-2</v>
      </c>
      <c r="O45">
        <v>2.8947000000000001E-2</v>
      </c>
      <c r="P45">
        <v>2.7354E-2</v>
      </c>
      <c r="Q45">
        <v>2.5847999999999999E-2</v>
      </c>
      <c r="R45">
        <v>2.4426E-2</v>
      </c>
      <c r="S45">
        <v>2.3081999999999998E-2</v>
      </c>
      <c r="T45">
        <v>2.1812000000000002E-2</v>
      </c>
      <c r="U45">
        <v>2.0612999999999999E-2</v>
      </c>
      <c r="V45">
        <v>1.9479E-2</v>
      </c>
      <c r="W45">
        <v>1.8408999999999998E-2</v>
      </c>
      <c r="X45">
        <v>1.7396999999999999E-2</v>
      </c>
      <c r="Y45">
        <v>1.6441000000000001E-2</v>
      </c>
      <c r="Z45">
        <v>1.5538E-2</v>
      </c>
      <c r="AA45">
        <v>1.4683999999999999E-2</v>
      </c>
      <c r="AB45">
        <v>1.3878E-2</v>
      </c>
      <c r="AC45">
        <v>1.3115999999999999E-2</v>
      </c>
      <c r="AD45">
        <v>1.2396000000000001E-2</v>
      </c>
      <c r="AE45">
        <v>1.1716000000000001E-2</v>
      </c>
      <c r="AF45">
        <v>1.1073E-2</v>
      </c>
      <c r="AG45">
        <v>1.0466E-2</v>
      </c>
      <c r="AH45">
        <v>9.8919999999999998E-3</v>
      </c>
      <c r="AI45" s="22">
        <v>-5.6000000000000001E-2</v>
      </c>
    </row>
    <row r="46" spans="1:35">
      <c r="A46" t="s">
        <v>1008</v>
      </c>
      <c r="B46" t="s">
        <v>1214</v>
      </c>
      <c r="C46" t="s">
        <v>1215</v>
      </c>
      <c r="D46" t="s">
        <v>202</v>
      </c>
      <c r="F46">
        <v>0</v>
      </c>
      <c r="G46">
        <v>0</v>
      </c>
      <c r="H46">
        <v>0</v>
      </c>
      <c r="I46">
        <v>0</v>
      </c>
      <c r="J46">
        <v>0</v>
      </c>
      <c r="K46">
        <v>0</v>
      </c>
      <c r="L46">
        <v>0</v>
      </c>
      <c r="M46">
        <v>0</v>
      </c>
      <c r="N46">
        <v>0</v>
      </c>
      <c r="O46">
        <v>0</v>
      </c>
      <c r="P46">
        <v>0</v>
      </c>
      <c r="Q46">
        <v>0</v>
      </c>
      <c r="R46">
        <v>0</v>
      </c>
      <c r="S46">
        <v>0</v>
      </c>
      <c r="T46">
        <v>0</v>
      </c>
      <c r="U46">
        <v>0</v>
      </c>
      <c r="V46">
        <v>0</v>
      </c>
      <c r="W46">
        <v>0</v>
      </c>
      <c r="X46">
        <v>0</v>
      </c>
      <c r="Y46">
        <v>0</v>
      </c>
      <c r="Z46">
        <v>0</v>
      </c>
      <c r="AA46">
        <v>0</v>
      </c>
      <c r="AB46">
        <v>0</v>
      </c>
      <c r="AC46">
        <v>0</v>
      </c>
      <c r="AD46">
        <v>0</v>
      </c>
      <c r="AE46">
        <v>0</v>
      </c>
      <c r="AF46">
        <v>0</v>
      </c>
      <c r="AG46">
        <v>0</v>
      </c>
      <c r="AH46">
        <v>0</v>
      </c>
      <c r="AI46" t="s">
        <v>111</v>
      </c>
    </row>
    <row r="47" spans="1:35">
      <c r="A47" t="s">
        <v>1009</v>
      </c>
      <c r="B47" t="s">
        <v>1216</v>
      </c>
      <c r="C47" t="s">
        <v>1217</v>
      </c>
      <c r="D47" t="s">
        <v>202</v>
      </c>
      <c r="F47">
        <v>2.3E-5</v>
      </c>
      <c r="G47">
        <v>6.4999999999999994E-5</v>
      </c>
      <c r="H47">
        <v>1.2999999999999999E-4</v>
      </c>
      <c r="I47">
        <v>2.2100000000000001E-4</v>
      </c>
      <c r="J47">
        <v>3.3599999999999998E-4</v>
      </c>
      <c r="K47">
        <v>4.7199999999999998E-4</v>
      </c>
      <c r="L47">
        <v>6.3000000000000003E-4</v>
      </c>
      <c r="M47">
        <v>8.0900000000000004E-4</v>
      </c>
      <c r="N47">
        <v>1.0039999999999999E-3</v>
      </c>
      <c r="O47">
        <v>1.2149999999999999E-3</v>
      </c>
      <c r="P47">
        <v>1.444E-3</v>
      </c>
      <c r="Q47">
        <v>1.689E-3</v>
      </c>
      <c r="R47">
        <v>1.9430000000000001E-3</v>
      </c>
      <c r="S47">
        <v>2.2030000000000001E-3</v>
      </c>
      <c r="T47">
        <v>2.4719999999999998E-3</v>
      </c>
      <c r="U47">
        <v>2.751E-3</v>
      </c>
      <c r="V47">
        <v>3.042E-3</v>
      </c>
      <c r="W47">
        <v>3.3470000000000001E-3</v>
      </c>
      <c r="X47">
        <v>3.666E-3</v>
      </c>
      <c r="Y47">
        <v>3.993E-3</v>
      </c>
      <c r="Z47">
        <v>4.3290000000000004E-3</v>
      </c>
      <c r="AA47">
        <v>4.6709999999999998E-3</v>
      </c>
      <c r="AB47">
        <v>5.0150000000000004E-3</v>
      </c>
      <c r="AC47">
        <v>5.365E-3</v>
      </c>
      <c r="AD47">
        <v>5.7210000000000004E-3</v>
      </c>
      <c r="AE47">
        <v>6.084E-3</v>
      </c>
      <c r="AF47">
        <v>6.4520000000000003E-3</v>
      </c>
      <c r="AG47">
        <v>6.8279999999999999E-3</v>
      </c>
      <c r="AH47">
        <v>7.2100000000000003E-3</v>
      </c>
      <c r="AI47" s="22">
        <v>0.22900000000000001</v>
      </c>
    </row>
    <row r="48" spans="1:35">
      <c r="A48" t="s">
        <v>1015</v>
      </c>
      <c r="B48" t="s">
        <v>1218</v>
      </c>
      <c r="C48" t="s">
        <v>1219</v>
      </c>
      <c r="D48" t="s">
        <v>202</v>
      </c>
      <c r="F48">
        <v>15.113032</v>
      </c>
      <c r="G48">
        <v>14.362161</v>
      </c>
      <c r="H48">
        <v>13.78215</v>
      </c>
      <c r="I48">
        <v>13.317646</v>
      </c>
      <c r="J48">
        <v>13.015288999999999</v>
      </c>
      <c r="K48">
        <v>12.713843000000001</v>
      </c>
      <c r="L48">
        <v>12.48873</v>
      </c>
      <c r="M48">
        <v>12.357347000000001</v>
      </c>
      <c r="N48">
        <v>12.277528999999999</v>
      </c>
      <c r="O48">
        <v>12.262755</v>
      </c>
      <c r="P48">
        <v>12.349518</v>
      </c>
      <c r="Q48">
        <v>12.516215000000001</v>
      </c>
      <c r="R48">
        <v>12.690412999999999</v>
      </c>
      <c r="S48">
        <v>12.877636000000001</v>
      </c>
      <c r="T48">
        <v>13.10427</v>
      </c>
      <c r="U48">
        <v>13.395966</v>
      </c>
      <c r="V48">
        <v>13.762724</v>
      </c>
      <c r="W48">
        <v>14.192204</v>
      </c>
      <c r="X48">
        <v>14.663688</v>
      </c>
      <c r="Y48">
        <v>15.141544</v>
      </c>
      <c r="Z48">
        <v>15.624432000000001</v>
      </c>
      <c r="AA48">
        <v>16.103663999999998</v>
      </c>
      <c r="AB48">
        <v>16.571552000000001</v>
      </c>
      <c r="AC48">
        <v>17.043500999999999</v>
      </c>
      <c r="AD48">
        <v>17.538418</v>
      </c>
      <c r="AE48">
        <v>18.048683</v>
      </c>
      <c r="AF48">
        <v>18.568145999999999</v>
      </c>
      <c r="AG48">
        <v>19.100059999999999</v>
      </c>
      <c r="AH48">
        <v>19.637744999999999</v>
      </c>
      <c r="AI48" s="22">
        <v>8.9999999999999993E-3</v>
      </c>
    </row>
    <row r="49" spans="1:35">
      <c r="A49" t="s">
        <v>1016</v>
      </c>
      <c r="B49" t="s">
        <v>1220</v>
      </c>
      <c r="C49" t="s">
        <v>1221</v>
      </c>
      <c r="D49" t="s">
        <v>202</v>
      </c>
      <c r="F49">
        <v>99.547248999999994</v>
      </c>
      <c r="G49">
        <v>100.084305</v>
      </c>
      <c r="H49">
        <v>100.882362</v>
      </c>
      <c r="I49">
        <v>101.991714</v>
      </c>
      <c r="J49">
        <v>103.38434599999999</v>
      </c>
      <c r="K49">
        <v>103.89450100000001</v>
      </c>
      <c r="L49">
        <v>104.32957500000001</v>
      </c>
      <c r="M49">
        <v>104.79064200000001</v>
      </c>
      <c r="N49">
        <v>105.01428199999999</v>
      </c>
      <c r="O49">
        <v>105.125404</v>
      </c>
      <c r="P49">
        <v>105.40430499999999</v>
      </c>
      <c r="Q49">
        <v>105.764008</v>
      </c>
      <c r="R49">
        <v>105.83466300000001</v>
      </c>
      <c r="S49">
        <v>105.710251</v>
      </c>
      <c r="T49">
        <v>105.57182299999999</v>
      </c>
      <c r="U49">
        <v>105.598106</v>
      </c>
      <c r="V49">
        <v>105.883499</v>
      </c>
      <c r="W49">
        <v>106.41124000000001</v>
      </c>
      <c r="X49">
        <v>107.10965</v>
      </c>
      <c r="Y49">
        <v>107.802002</v>
      </c>
      <c r="Z49">
        <v>108.486053</v>
      </c>
      <c r="AA49">
        <v>109.11676</v>
      </c>
      <c r="AB49">
        <v>109.650085</v>
      </c>
      <c r="AC49">
        <v>110.16027099999999</v>
      </c>
      <c r="AD49">
        <v>110.734573</v>
      </c>
      <c r="AE49">
        <v>111.342468</v>
      </c>
      <c r="AF49">
        <v>111.962318</v>
      </c>
      <c r="AG49">
        <v>112.612503</v>
      </c>
      <c r="AH49">
        <v>113.26402299999999</v>
      </c>
      <c r="AI49" s="22">
        <v>5.0000000000000001E-3</v>
      </c>
    </row>
    <row r="50" spans="1:35">
      <c r="A50" t="s">
        <v>478</v>
      </c>
      <c r="B50" t="s">
        <v>1222</v>
      </c>
      <c r="C50" t="s">
        <v>1223</v>
      </c>
      <c r="D50" t="s">
        <v>202</v>
      </c>
      <c r="F50">
        <v>154.63398699999999</v>
      </c>
      <c r="G50">
        <v>152.09498600000001</v>
      </c>
      <c r="H50">
        <v>150.40310700000001</v>
      </c>
      <c r="I50">
        <v>149.30912799999999</v>
      </c>
      <c r="J50">
        <v>148.801514</v>
      </c>
      <c r="K50">
        <v>147.321991</v>
      </c>
      <c r="L50">
        <v>146.05694600000001</v>
      </c>
      <c r="M50">
        <v>145.116501</v>
      </c>
      <c r="N50">
        <v>144.13964799999999</v>
      </c>
      <c r="O50">
        <v>143.191925</v>
      </c>
      <c r="P50">
        <v>142.71069299999999</v>
      </c>
      <c r="Q50">
        <v>142.48658800000001</v>
      </c>
      <c r="R50">
        <v>141.925659</v>
      </c>
      <c r="S50">
        <v>141.15089399999999</v>
      </c>
      <c r="T50">
        <v>140.47680700000001</v>
      </c>
      <c r="U50">
        <v>140.155304</v>
      </c>
      <c r="V50">
        <v>140.272659</v>
      </c>
      <c r="W50">
        <v>140.75672900000001</v>
      </c>
      <c r="X50">
        <v>141.40477000000001</v>
      </c>
      <c r="Y50">
        <v>142.00250199999999</v>
      </c>
      <c r="Z50">
        <v>142.608093</v>
      </c>
      <c r="AA50">
        <v>143.12103300000001</v>
      </c>
      <c r="AB50">
        <v>143.46198999999999</v>
      </c>
      <c r="AC50">
        <v>143.76809700000001</v>
      </c>
      <c r="AD50">
        <v>144.16400100000001</v>
      </c>
      <c r="AE50">
        <v>144.63601700000001</v>
      </c>
      <c r="AF50">
        <v>145.160934</v>
      </c>
      <c r="AG50">
        <v>145.67941300000001</v>
      </c>
      <c r="AH50">
        <v>146.207031</v>
      </c>
      <c r="AI50" s="22">
        <v>-2E-3</v>
      </c>
    </row>
    <row r="51" spans="1:35">
      <c r="A51" t="s">
        <v>164</v>
      </c>
    </row>
    <row r="52" spans="1:35">
      <c r="A52" t="s">
        <v>235</v>
      </c>
      <c r="B52" t="s">
        <v>1224</v>
      </c>
      <c r="C52" t="s">
        <v>1225</v>
      </c>
      <c r="D52" t="s">
        <v>202</v>
      </c>
      <c r="F52">
        <v>51.717686</v>
      </c>
      <c r="G52">
        <v>52.413936999999997</v>
      </c>
      <c r="H52">
        <v>53.034408999999997</v>
      </c>
      <c r="I52">
        <v>54.100948000000002</v>
      </c>
      <c r="J52">
        <v>55.411284999999999</v>
      </c>
      <c r="K52">
        <v>56.196621</v>
      </c>
      <c r="L52">
        <v>56.944622000000003</v>
      </c>
      <c r="M52">
        <v>57.482886999999998</v>
      </c>
      <c r="N52">
        <v>57.94923</v>
      </c>
      <c r="O52">
        <v>58.397101999999997</v>
      </c>
      <c r="P52">
        <v>58.978805999999999</v>
      </c>
      <c r="Q52">
        <v>59.442059</v>
      </c>
      <c r="R52">
        <v>59.697144000000002</v>
      </c>
      <c r="S52">
        <v>59.918407000000002</v>
      </c>
      <c r="T52">
        <v>60.065964000000001</v>
      </c>
      <c r="U52">
        <v>60.277831999999997</v>
      </c>
      <c r="V52">
        <v>60.541545999999997</v>
      </c>
      <c r="W52">
        <v>60.742508000000001</v>
      </c>
      <c r="X52">
        <v>61.006068999999997</v>
      </c>
      <c r="Y52">
        <v>61.262115000000001</v>
      </c>
      <c r="Z52">
        <v>61.535606000000001</v>
      </c>
      <c r="AA52">
        <v>61.792842999999998</v>
      </c>
      <c r="AB52">
        <v>62.031379999999999</v>
      </c>
      <c r="AC52">
        <v>62.273009999999999</v>
      </c>
      <c r="AD52">
        <v>62.596626000000001</v>
      </c>
      <c r="AE52">
        <v>62.961078999999998</v>
      </c>
      <c r="AF52">
        <v>63.311115000000001</v>
      </c>
      <c r="AG52">
        <v>63.728230000000003</v>
      </c>
      <c r="AH52">
        <v>64.290756000000002</v>
      </c>
      <c r="AI52" s="22">
        <v>8.0000000000000002E-3</v>
      </c>
    </row>
    <row r="53" spans="1:35">
      <c r="A53" t="s">
        <v>189</v>
      </c>
      <c r="B53" t="s">
        <v>1226</v>
      </c>
      <c r="C53" t="s">
        <v>1227</v>
      </c>
      <c r="D53" t="s">
        <v>202</v>
      </c>
      <c r="F53">
        <v>34.813164</v>
      </c>
      <c r="G53">
        <v>34.524287999999999</v>
      </c>
      <c r="H53">
        <v>34.014198</v>
      </c>
      <c r="I53">
        <v>33.750988</v>
      </c>
      <c r="J53">
        <v>33.787548000000001</v>
      </c>
      <c r="K53">
        <v>34.085323000000002</v>
      </c>
      <c r="L53">
        <v>34.241962000000001</v>
      </c>
      <c r="M53">
        <v>34.320473</v>
      </c>
      <c r="N53">
        <v>34.328772999999998</v>
      </c>
      <c r="O53">
        <v>34.328837999999998</v>
      </c>
      <c r="P53">
        <v>34.445278000000002</v>
      </c>
      <c r="Q53">
        <v>34.507216999999997</v>
      </c>
      <c r="R53">
        <v>34.489876000000002</v>
      </c>
      <c r="S53">
        <v>34.494262999999997</v>
      </c>
      <c r="T53">
        <v>34.487063999999997</v>
      </c>
      <c r="U53">
        <v>34.558998000000003</v>
      </c>
      <c r="V53">
        <v>34.688918999999999</v>
      </c>
      <c r="W53">
        <v>34.817211</v>
      </c>
      <c r="X53">
        <v>34.970844</v>
      </c>
      <c r="Y53">
        <v>35.141055999999999</v>
      </c>
      <c r="Z53">
        <v>35.334144999999999</v>
      </c>
      <c r="AA53">
        <v>35.553607999999997</v>
      </c>
      <c r="AB53">
        <v>35.778236</v>
      </c>
      <c r="AC53">
        <v>36.002406999999998</v>
      </c>
      <c r="AD53">
        <v>36.272179000000001</v>
      </c>
      <c r="AE53">
        <v>36.565658999999997</v>
      </c>
      <c r="AF53">
        <v>36.847777999999998</v>
      </c>
      <c r="AG53">
        <v>37.146068999999997</v>
      </c>
      <c r="AH53">
        <v>37.522060000000003</v>
      </c>
      <c r="AI53" s="22">
        <v>3.0000000000000001E-3</v>
      </c>
    </row>
    <row r="54" spans="1:35">
      <c r="A54" t="s">
        <v>192</v>
      </c>
      <c r="B54" t="s">
        <v>1228</v>
      </c>
      <c r="C54" t="s">
        <v>1229</v>
      </c>
      <c r="D54" t="s">
        <v>202</v>
      </c>
      <c r="F54">
        <v>8.2999999999999998E-5</v>
      </c>
      <c r="G54">
        <v>6.0029999999999997E-3</v>
      </c>
      <c r="H54">
        <v>1.1818E-2</v>
      </c>
      <c r="I54">
        <v>1.7534000000000001E-2</v>
      </c>
      <c r="J54">
        <v>2.3442999999999999E-2</v>
      </c>
      <c r="K54">
        <v>2.9012E-2</v>
      </c>
      <c r="L54">
        <v>3.4540000000000001E-2</v>
      </c>
      <c r="M54">
        <v>4.0638000000000001E-2</v>
      </c>
      <c r="N54">
        <v>4.5418E-2</v>
      </c>
      <c r="O54">
        <v>5.0842999999999999E-2</v>
      </c>
      <c r="P54">
        <v>5.7272000000000003E-2</v>
      </c>
      <c r="Q54">
        <v>6.4630000000000007E-2</v>
      </c>
      <c r="R54">
        <v>7.2790999999999995E-2</v>
      </c>
      <c r="S54">
        <v>8.2072000000000006E-2</v>
      </c>
      <c r="T54">
        <v>9.2707999999999999E-2</v>
      </c>
      <c r="U54">
        <v>0.10530200000000001</v>
      </c>
      <c r="V54">
        <v>0.12026199999999999</v>
      </c>
      <c r="W54">
        <v>0.137651</v>
      </c>
      <c r="X54">
        <v>0.157888</v>
      </c>
      <c r="Y54">
        <v>0.180872</v>
      </c>
      <c r="Z54">
        <v>0.20671400000000001</v>
      </c>
      <c r="AA54">
        <v>0.23544699999999999</v>
      </c>
      <c r="AB54">
        <v>0.26687300000000003</v>
      </c>
      <c r="AC54">
        <v>0.30111100000000002</v>
      </c>
      <c r="AD54">
        <v>0.33838499999999999</v>
      </c>
      <c r="AE54">
        <v>0.378195</v>
      </c>
      <c r="AF54">
        <v>0.419763</v>
      </c>
      <c r="AG54">
        <v>0.46323199999999998</v>
      </c>
      <c r="AH54">
        <v>0.50883800000000001</v>
      </c>
      <c r="AI54" s="22">
        <v>0.36499999999999999</v>
      </c>
    </row>
    <row r="55" spans="1:35">
      <c r="A55" t="s">
        <v>195</v>
      </c>
      <c r="B55" t="s">
        <v>1230</v>
      </c>
      <c r="C55" t="s">
        <v>1231</v>
      </c>
      <c r="D55" t="s">
        <v>202</v>
      </c>
      <c r="F55">
        <v>8.2286999999999999E-2</v>
      </c>
      <c r="G55">
        <v>7.6387999999999998E-2</v>
      </c>
      <c r="H55">
        <v>7.0837999999999998E-2</v>
      </c>
      <c r="I55">
        <v>6.3034999999999994E-2</v>
      </c>
      <c r="J55">
        <v>5.5190999999999997E-2</v>
      </c>
      <c r="K55">
        <v>4.8587999999999999E-2</v>
      </c>
      <c r="L55">
        <v>4.3872000000000001E-2</v>
      </c>
      <c r="M55">
        <v>3.9718999999999997E-2</v>
      </c>
      <c r="N55">
        <v>3.5532000000000001E-2</v>
      </c>
      <c r="O55">
        <v>3.1558000000000003E-2</v>
      </c>
      <c r="P55">
        <v>2.8025999999999999E-2</v>
      </c>
      <c r="Q55">
        <v>2.4915E-2</v>
      </c>
      <c r="R55">
        <v>2.2168E-2</v>
      </c>
      <c r="S55">
        <v>1.9909E-2</v>
      </c>
      <c r="T55">
        <v>1.7824E-2</v>
      </c>
      <c r="U55">
        <v>1.5911999999999999E-2</v>
      </c>
      <c r="V55">
        <v>1.4262E-2</v>
      </c>
      <c r="W55">
        <v>1.29E-2</v>
      </c>
      <c r="X55">
        <v>1.1752E-2</v>
      </c>
      <c r="Y55">
        <v>1.0692999999999999E-2</v>
      </c>
      <c r="Z55">
        <v>9.7190000000000002E-3</v>
      </c>
      <c r="AA55">
        <v>8.8269999999999998E-3</v>
      </c>
      <c r="AB55">
        <v>8.0160000000000006E-3</v>
      </c>
      <c r="AC55">
        <v>7.2579999999999997E-3</v>
      </c>
      <c r="AD55">
        <v>6.3769999999999999E-3</v>
      </c>
      <c r="AE55">
        <v>5.3099999999999996E-3</v>
      </c>
      <c r="AF55">
        <v>4.3660000000000001E-3</v>
      </c>
      <c r="AG55">
        <v>3.4659999999999999E-3</v>
      </c>
      <c r="AH55">
        <v>2.7780000000000001E-3</v>
      </c>
      <c r="AI55" s="22">
        <v>-0.114</v>
      </c>
    </row>
    <row r="56" spans="1:35">
      <c r="A56" t="s">
        <v>236</v>
      </c>
      <c r="B56" t="s">
        <v>1232</v>
      </c>
      <c r="C56" t="s">
        <v>1233</v>
      </c>
      <c r="D56" t="s">
        <v>202</v>
      </c>
      <c r="F56">
        <v>15.398766999999999</v>
      </c>
      <c r="G56">
        <v>14.384566</v>
      </c>
      <c r="H56">
        <v>13.220724000000001</v>
      </c>
      <c r="I56">
        <v>12.420685000000001</v>
      </c>
      <c r="J56">
        <v>11.700251</v>
      </c>
      <c r="K56">
        <v>11.309018999999999</v>
      </c>
      <c r="L56">
        <v>11.007885</v>
      </c>
      <c r="M56">
        <v>10.934968</v>
      </c>
      <c r="N56">
        <v>10.875622999999999</v>
      </c>
      <c r="O56">
        <v>10.875476000000001</v>
      </c>
      <c r="P56">
        <v>10.957039999999999</v>
      </c>
      <c r="Q56">
        <v>11.091353</v>
      </c>
      <c r="R56">
        <v>11.243194000000001</v>
      </c>
      <c r="S56">
        <v>11.462101000000001</v>
      </c>
      <c r="T56">
        <v>11.712192</v>
      </c>
      <c r="U56">
        <v>12.030602</v>
      </c>
      <c r="V56">
        <v>12.393787</v>
      </c>
      <c r="W56">
        <v>12.776002999999999</v>
      </c>
      <c r="X56">
        <v>13.181653000000001</v>
      </c>
      <c r="Y56">
        <v>13.588577000000001</v>
      </c>
      <c r="Z56">
        <v>13.982295000000001</v>
      </c>
      <c r="AA56">
        <v>14.350991</v>
      </c>
      <c r="AB56">
        <v>14.680471000000001</v>
      </c>
      <c r="AC56">
        <v>14.988163</v>
      </c>
      <c r="AD56">
        <v>15.298442</v>
      </c>
      <c r="AE56">
        <v>15.590885</v>
      </c>
      <c r="AF56">
        <v>15.857104</v>
      </c>
      <c r="AG56">
        <v>16.112196000000001</v>
      </c>
      <c r="AH56">
        <v>16.389751</v>
      </c>
      <c r="AI56" s="22">
        <v>2E-3</v>
      </c>
    </row>
    <row r="57" spans="1:35">
      <c r="A57" t="s">
        <v>237</v>
      </c>
      <c r="B57" t="s">
        <v>1234</v>
      </c>
      <c r="C57" t="s">
        <v>1235</v>
      </c>
      <c r="D57" t="s">
        <v>202</v>
      </c>
      <c r="F57">
        <v>0</v>
      </c>
      <c r="G57">
        <v>0</v>
      </c>
      <c r="H57">
        <v>0</v>
      </c>
      <c r="I57">
        <v>0</v>
      </c>
      <c r="J57">
        <v>0</v>
      </c>
      <c r="K57">
        <v>0</v>
      </c>
      <c r="L57">
        <v>0</v>
      </c>
      <c r="M57">
        <v>0</v>
      </c>
      <c r="N57">
        <v>0</v>
      </c>
      <c r="O57">
        <v>0</v>
      </c>
      <c r="P57">
        <v>0</v>
      </c>
      <c r="Q57">
        <v>0</v>
      </c>
      <c r="R57">
        <v>0</v>
      </c>
      <c r="S57">
        <v>0</v>
      </c>
      <c r="T57">
        <v>0</v>
      </c>
      <c r="U57">
        <v>0</v>
      </c>
      <c r="V57">
        <v>0</v>
      </c>
      <c r="W57">
        <v>0</v>
      </c>
      <c r="X57">
        <v>0</v>
      </c>
      <c r="Y57">
        <v>0</v>
      </c>
      <c r="Z57">
        <v>0</v>
      </c>
      <c r="AA57">
        <v>0</v>
      </c>
      <c r="AB57">
        <v>0</v>
      </c>
      <c r="AC57">
        <v>0</v>
      </c>
      <c r="AD57">
        <v>0</v>
      </c>
      <c r="AE57">
        <v>0</v>
      </c>
      <c r="AF57">
        <v>0</v>
      </c>
      <c r="AG57">
        <v>0</v>
      </c>
      <c r="AH57">
        <v>0</v>
      </c>
      <c r="AI57" t="s">
        <v>111</v>
      </c>
    </row>
    <row r="58" spans="1:35">
      <c r="A58" t="s">
        <v>239</v>
      </c>
      <c r="B58" t="s">
        <v>1236</v>
      </c>
      <c r="C58" t="s">
        <v>1237</v>
      </c>
      <c r="D58" t="s">
        <v>202</v>
      </c>
      <c r="F58">
        <v>0</v>
      </c>
      <c r="G58">
        <v>1.2361E-2</v>
      </c>
      <c r="H58">
        <v>2.4101999999999998E-2</v>
      </c>
      <c r="I58">
        <v>3.5229000000000003E-2</v>
      </c>
      <c r="J58">
        <v>4.6115999999999997E-2</v>
      </c>
      <c r="K58">
        <v>5.5775999999999999E-2</v>
      </c>
      <c r="L58">
        <v>6.4683000000000004E-2</v>
      </c>
      <c r="M58">
        <v>7.3900999999999994E-2</v>
      </c>
      <c r="N58">
        <v>7.9486000000000001E-2</v>
      </c>
      <c r="O58">
        <v>8.5474999999999995E-2</v>
      </c>
      <c r="P58">
        <v>9.2364000000000002E-2</v>
      </c>
      <c r="Q58">
        <v>0.100011</v>
      </c>
      <c r="R58">
        <v>0.10816000000000001</v>
      </c>
      <c r="S58">
        <v>0.117216</v>
      </c>
      <c r="T58">
        <v>0.12726999999999999</v>
      </c>
      <c r="U58">
        <v>0.13889599999999999</v>
      </c>
      <c r="V58">
        <v>0.15229699999999999</v>
      </c>
      <c r="W58">
        <v>0.16730500000000001</v>
      </c>
      <c r="X58">
        <v>0.18437000000000001</v>
      </c>
      <c r="Y58">
        <v>0.20325699999999999</v>
      </c>
      <c r="Z58">
        <v>0.223803</v>
      </c>
      <c r="AA58">
        <v>0.24573800000000001</v>
      </c>
      <c r="AB58">
        <v>0.26862999999999998</v>
      </c>
      <c r="AC58">
        <v>0.29245500000000002</v>
      </c>
      <c r="AD58">
        <v>0.31730700000000001</v>
      </c>
      <c r="AE58">
        <v>0.342584</v>
      </c>
      <c r="AF58">
        <v>0.36765700000000001</v>
      </c>
      <c r="AG58">
        <v>0.39278200000000002</v>
      </c>
      <c r="AH58">
        <v>0.41828799999999999</v>
      </c>
      <c r="AI58" t="s">
        <v>111</v>
      </c>
    </row>
    <row r="59" spans="1:35">
      <c r="A59" t="s">
        <v>238</v>
      </c>
      <c r="B59" t="s">
        <v>1238</v>
      </c>
      <c r="C59" t="s">
        <v>1239</v>
      </c>
      <c r="D59" t="s">
        <v>202</v>
      </c>
      <c r="F59">
        <v>0</v>
      </c>
      <c r="G59">
        <v>1.0956E-2</v>
      </c>
      <c r="H59">
        <v>2.1444000000000001E-2</v>
      </c>
      <c r="I59">
        <v>3.1660000000000001E-2</v>
      </c>
      <c r="J59">
        <v>4.1856999999999998E-2</v>
      </c>
      <c r="K59">
        <v>5.1083999999999997E-2</v>
      </c>
      <c r="L59">
        <v>5.9813999999999999E-2</v>
      </c>
      <c r="M59">
        <v>6.9025000000000003E-2</v>
      </c>
      <c r="N59">
        <v>7.5124999999999997E-2</v>
      </c>
      <c r="O59">
        <v>8.1587999999999994E-2</v>
      </c>
      <c r="P59">
        <v>8.8802000000000006E-2</v>
      </c>
      <c r="Q59">
        <v>9.6568000000000001E-2</v>
      </c>
      <c r="R59">
        <v>0.10462</v>
      </c>
      <c r="S59">
        <v>0.11324099999999999</v>
      </c>
      <c r="T59">
        <v>0.122502</v>
      </c>
      <c r="U59">
        <v>0.13290399999999999</v>
      </c>
      <c r="V59">
        <v>0.14464299999999999</v>
      </c>
      <c r="W59">
        <v>0.15751299999999999</v>
      </c>
      <c r="X59">
        <v>0.17191000000000001</v>
      </c>
      <c r="Y59">
        <v>0.18760499999999999</v>
      </c>
      <c r="Z59">
        <v>0.204536</v>
      </c>
      <c r="AA59">
        <v>0.2225</v>
      </c>
      <c r="AB59">
        <v>0.24115700000000001</v>
      </c>
      <c r="AC59">
        <v>0.260467</v>
      </c>
      <c r="AD59">
        <v>0.28057500000000002</v>
      </c>
      <c r="AE59">
        <v>0.30101899999999998</v>
      </c>
      <c r="AF59">
        <v>0.32130799999999998</v>
      </c>
      <c r="AG59">
        <v>0.34167999999999998</v>
      </c>
      <c r="AH59">
        <v>0.36244999999999999</v>
      </c>
      <c r="AI59" t="s">
        <v>111</v>
      </c>
    </row>
    <row r="60" spans="1:35">
      <c r="A60" t="s">
        <v>240</v>
      </c>
      <c r="B60" t="s">
        <v>1240</v>
      </c>
      <c r="C60" t="s">
        <v>1241</v>
      </c>
      <c r="D60" t="s">
        <v>202</v>
      </c>
      <c r="F60">
        <v>0</v>
      </c>
      <c r="G60">
        <v>0</v>
      </c>
      <c r="H60">
        <v>0</v>
      </c>
      <c r="I60">
        <v>0</v>
      </c>
      <c r="J60">
        <v>0</v>
      </c>
      <c r="K60">
        <v>0</v>
      </c>
      <c r="L60">
        <v>0</v>
      </c>
      <c r="M60">
        <v>0</v>
      </c>
      <c r="N60">
        <v>0</v>
      </c>
      <c r="O60">
        <v>0</v>
      </c>
      <c r="P60">
        <v>0</v>
      </c>
      <c r="Q60">
        <v>0</v>
      </c>
      <c r="R60">
        <v>0</v>
      </c>
      <c r="S60">
        <v>0</v>
      </c>
      <c r="T60">
        <v>0</v>
      </c>
      <c r="U60">
        <v>0</v>
      </c>
      <c r="V60">
        <v>0</v>
      </c>
      <c r="W60">
        <v>0</v>
      </c>
      <c r="X60">
        <v>0</v>
      </c>
      <c r="Y60">
        <v>0</v>
      </c>
      <c r="Z60">
        <v>0</v>
      </c>
      <c r="AA60">
        <v>0</v>
      </c>
      <c r="AB60">
        <v>0</v>
      </c>
      <c r="AC60">
        <v>0</v>
      </c>
      <c r="AD60">
        <v>0</v>
      </c>
      <c r="AE60">
        <v>0</v>
      </c>
      <c r="AF60">
        <v>0</v>
      </c>
      <c r="AG60">
        <v>0</v>
      </c>
      <c r="AH60">
        <v>0</v>
      </c>
      <c r="AI60" t="s">
        <v>111</v>
      </c>
    </row>
    <row r="61" spans="1:35">
      <c r="A61" t="s">
        <v>1017</v>
      </c>
      <c r="B61" t="s">
        <v>1242</v>
      </c>
      <c r="C61" t="s">
        <v>1243</v>
      </c>
      <c r="D61" t="s">
        <v>202</v>
      </c>
      <c r="F61">
        <v>102.01198599999999</v>
      </c>
      <c r="G61">
        <v>101.42849699999999</v>
      </c>
      <c r="H61">
        <v>100.397537</v>
      </c>
      <c r="I61">
        <v>100.42008199999999</v>
      </c>
      <c r="J61">
        <v>101.065697</v>
      </c>
      <c r="K61">
        <v>101.775436</v>
      </c>
      <c r="L61">
        <v>102.397369</v>
      </c>
      <c r="M61">
        <v>102.961609</v>
      </c>
      <c r="N61">
        <v>103.389183</v>
      </c>
      <c r="O61">
        <v>103.85086800000001</v>
      </c>
      <c r="P61">
        <v>104.647583</v>
      </c>
      <c r="Q61">
        <v>105.326759</v>
      </c>
      <c r="R61">
        <v>105.737961</v>
      </c>
      <c r="S61">
        <v>106.207207</v>
      </c>
      <c r="T61">
        <v>106.625519</v>
      </c>
      <c r="U61">
        <v>107.260445</v>
      </c>
      <c r="V61">
        <v>108.055717</v>
      </c>
      <c r="W61">
        <v>108.811089</v>
      </c>
      <c r="X61">
        <v>109.684494</v>
      </c>
      <c r="Y61">
        <v>110.574173</v>
      </c>
      <c r="Z61">
        <v>111.49681099999999</v>
      </c>
      <c r="AA61">
        <v>112.40994999999999</v>
      </c>
      <c r="AB61">
        <v>113.274773</v>
      </c>
      <c r="AC61">
        <v>114.12487</v>
      </c>
      <c r="AD61">
        <v>115.109894</v>
      </c>
      <c r="AE61">
        <v>116.14473</v>
      </c>
      <c r="AF61">
        <v>117.12908899999999</v>
      </c>
      <c r="AG61">
        <v>118.18765999999999</v>
      </c>
      <c r="AH61">
        <v>119.49492600000001</v>
      </c>
      <c r="AI61" s="22">
        <v>6.0000000000000001E-3</v>
      </c>
    </row>
  </sheetData>
  <pageMargins left="0.7" right="0.7" top="0.75" bottom="0.75" header="0.3" footer="0.3"/>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89E4A99-E30D-459A-96F9-8B3CBE726AA0}">
  <sheetPr>
    <tabColor theme="6" tint="0.79998168889431442"/>
  </sheetPr>
  <dimension ref="A1:AG4409"/>
  <sheetViews>
    <sheetView topLeftCell="B1" workbookViewId="0"/>
  </sheetViews>
  <sheetFormatPr defaultColWidth="8.7109375" defaultRowHeight="15"/>
  <cols>
    <col min="1" max="1" width="21.42578125" hidden="1" customWidth="1"/>
    <col min="2" max="2" width="46.7109375" customWidth="1"/>
  </cols>
  <sheetData>
    <row r="1" spans="1:32" ht="15" customHeight="1" thickBot="1">
      <c r="B1" s="12" t="s">
        <v>284</v>
      </c>
      <c r="C1" s="10">
        <v>2022</v>
      </c>
      <c r="D1" s="10">
        <v>2023</v>
      </c>
      <c r="E1" s="10">
        <v>2024</v>
      </c>
      <c r="F1" s="10">
        <v>2025</v>
      </c>
      <c r="G1" s="10">
        <v>2026</v>
      </c>
      <c r="H1" s="10">
        <v>2027</v>
      </c>
      <c r="I1" s="10">
        <v>2028</v>
      </c>
      <c r="J1" s="10">
        <v>2029</v>
      </c>
      <c r="K1" s="10">
        <v>2030</v>
      </c>
      <c r="L1" s="10">
        <v>2031</v>
      </c>
      <c r="M1" s="10">
        <v>2032</v>
      </c>
      <c r="N1" s="10">
        <v>2033</v>
      </c>
      <c r="O1" s="10">
        <v>2034</v>
      </c>
      <c r="P1" s="10">
        <v>2035</v>
      </c>
      <c r="Q1" s="10">
        <v>2036</v>
      </c>
      <c r="R1" s="10">
        <v>2037</v>
      </c>
      <c r="S1" s="10">
        <v>2038</v>
      </c>
      <c r="T1" s="10">
        <v>2039</v>
      </c>
      <c r="U1" s="10">
        <v>2040</v>
      </c>
      <c r="V1" s="10">
        <v>2041</v>
      </c>
      <c r="W1" s="10">
        <v>2042</v>
      </c>
      <c r="X1" s="10">
        <v>2043</v>
      </c>
      <c r="Y1" s="10">
        <v>2044</v>
      </c>
      <c r="Z1" s="10">
        <v>2045</v>
      </c>
      <c r="AA1" s="10">
        <v>2046</v>
      </c>
      <c r="AB1" s="10">
        <v>2047</v>
      </c>
      <c r="AC1" s="10">
        <v>2048</v>
      </c>
      <c r="AD1" s="10">
        <v>2049</v>
      </c>
      <c r="AE1" s="10">
        <v>2050</v>
      </c>
    </row>
    <row r="2" spans="1:32" ht="15" customHeight="1" thickTop="1"/>
    <row r="3" spans="1:32" ht="15" customHeight="1">
      <c r="C3" s="25"/>
      <c r="D3" s="6"/>
      <c r="E3" s="6"/>
      <c r="F3" s="6"/>
    </row>
    <row r="4" spans="1:32" ht="15" customHeight="1">
      <c r="C4" s="25"/>
      <c r="D4" s="6"/>
      <c r="E4" s="6"/>
      <c r="F4" s="25"/>
    </row>
    <row r="5" spans="1:32" ht="15" customHeight="1">
      <c r="C5" s="25"/>
      <c r="D5" s="6"/>
      <c r="E5" s="6"/>
      <c r="F5" s="6"/>
    </row>
    <row r="6" spans="1:32" ht="15" customHeight="1">
      <c r="C6" s="6"/>
      <c r="D6" s="25"/>
      <c r="E6" s="6"/>
      <c r="F6" s="6"/>
    </row>
    <row r="7" spans="1:32" ht="12" customHeight="1"/>
    <row r="8" spans="1:32" ht="12" customHeight="1"/>
    <row r="9" spans="1:32" ht="12" customHeight="1"/>
    <row r="10" spans="1:32" ht="15" customHeight="1">
      <c r="A10" s="7" t="s">
        <v>407</v>
      </c>
      <c r="B10" s="14" t="s">
        <v>408</v>
      </c>
      <c r="AF10" s="23" t="s">
        <v>290</v>
      </c>
    </row>
    <row r="11" spans="1:32" ht="15" customHeight="1">
      <c r="B11" s="12" t="s">
        <v>409</v>
      </c>
      <c r="AF11" s="23" t="s">
        <v>291</v>
      </c>
    </row>
    <row r="12" spans="1:32" ht="15" customHeight="1">
      <c r="B12" s="12"/>
      <c r="C12" s="3"/>
      <c r="D12" s="3"/>
      <c r="E12" s="3"/>
      <c r="F12" s="3"/>
      <c r="G12" s="3"/>
      <c r="H12" s="3"/>
      <c r="I12" s="3"/>
      <c r="J12" s="3"/>
      <c r="K12" s="3"/>
      <c r="L12" s="3"/>
      <c r="M12" s="3"/>
      <c r="N12" s="3"/>
      <c r="O12" s="3"/>
      <c r="P12" s="3"/>
      <c r="Q12" s="3"/>
      <c r="R12" s="3"/>
      <c r="S12" s="3"/>
      <c r="T12" s="3"/>
      <c r="U12" s="3"/>
      <c r="V12" s="3"/>
      <c r="W12" s="3"/>
      <c r="X12" s="3"/>
      <c r="Y12" s="3"/>
      <c r="Z12" s="3"/>
      <c r="AA12" s="3"/>
      <c r="AB12" s="3"/>
      <c r="AC12" s="3"/>
      <c r="AD12" s="3"/>
      <c r="AE12" s="3"/>
      <c r="AF12" s="23" t="s">
        <v>292</v>
      </c>
    </row>
    <row r="13" spans="1:32" ht="15" customHeight="1" thickBot="1">
      <c r="B13" s="10" t="s">
        <v>410</v>
      </c>
      <c r="C13" s="10">
        <v>2022</v>
      </c>
      <c r="D13" s="10">
        <v>2023</v>
      </c>
      <c r="E13" s="10">
        <v>2024</v>
      </c>
      <c r="F13" s="10">
        <v>2025</v>
      </c>
      <c r="G13" s="10">
        <v>2026</v>
      </c>
      <c r="H13" s="10">
        <v>2027</v>
      </c>
      <c r="I13" s="10">
        <v>2028</v>
      </c>
      <c r="J13" s="10">
        <v>2029</v>
      </c>
      <c r="K13" s="10">
        <v>2030</v>
      </c>
      <c r="L13" s="10">
        <v>2031</v>
      </c>
      <c r="M13" s="10">
        <v>2032</v>
      </c>
      <c r="N13" s="10">
        <v>2033</v>
      </c>
      <c r="O13" s="10">
        <v>2034</v>
      </c>
      <c r="P13" s="10">
        <v>2035</v>
      </c>
      <c r="Q13" s="10">
        <v>2036</v>
      </c>
      <c r="R13" s="10">
        <v>2037</v>
      </c>
      <c r="S13" s="10">
        <v>2038</v>
      </c>
      <c r="T13" s="10">
        <v>2039</v>
      </c>
      <c r="U13" s="10">
        <v>2040</v>
      </c>
      <c r="V13" s="10">
        <v>2041</v>
      </c>
      <c r="W13" s="10">
        <v>2042</v>
      </c>
      <c r="X13" s="10">
        <v>2043</v>
      </c>
      <c r="Y13" s="10">
        <v>2044</v>
      </c>
      <c r="Z13" s="10">
        <v>2045</v>
      </c>
      <c r="AA13" s="10">
        <v>2046</v>
      </c>
      <c r="AB13" s="10">
        <v>2047</v>
      </c>
      <c r="AC13" s="10">
        <v>2048</v>
      </c>
      <c r="AD13" s="10">
        <v>2049</v>
      </c>
      <c r="AE13" s="10">
        <v>2050</v>
      </c>
      <c r="AF13" s="26" t="s">
        <v>293</v>
      </c>
    </row>
    <row r="14" spans="1:32" ht="15" customHeight="1" thickTop="1">
      <c r="AF14" s="27"/>
    </row>
    <row r="15" spans="1:32" ht="15" customHeight="1">
      <c r="B15" s="15" t="s">
        <v>411</v>
      </c>
    </row>
    <row r="16" spans="1:32" ht="15" customHeight="1">
      <c r="B16" s="15" t="s">
        <v>412</v>
      </c>
    </row>
    <row r="17" spans="1:32" ht="15" customHeight="1">
      <c r="A17" s="7" t="s">
        <v>413</v>
      </c>
      <c r="B17" s="16" t="s">
        <v>414</v>
      </c>
      <c r="C17" s="19">
        <f>'AEO 2023 Table 46 Raw'!F8</f>
        <v>49.466006999999998</v>
      </c>
      <c r="D17" s="19">
        <f>'AEO 2023 Table 46 Raw'!G8</f>
        <v>46.619698</v>
      </c>
      <c r="E17" s="19">
        <f>'AEO 2023 Table 46 Raw'!H8</f>
        <v>44.295555</v>
      </c>
      <c r="F17" s="19">
        <f>'AEO 2023 Table 46 Raw'!I8</f>
        <v>42.214077000000003</v>
      </c>
      <c r="G17" s="19">
        <f>'AEO 2023 Table 46 Raw'!J8</f>
        <v>40.394996999999996</v>
      </c>
      <c r="H17" s="19">
        <f>'AEO 2023 Table 46 Raw'!K8</f>
        <v>38.478470000000002</v>
      </c>
      <c r="I17" s="19">
        <f>'AEO 2023 Table 46 Raw'!L8</f>
        <v>36.816710999999998</v>
      </c>
      <c r="J17" s="19">
        <f>'AEO 2023 Table 46 Raw'!M8</f>
        <v>35.414054999999998</v>
      </c>
      <c r="K17" s="19">
        <f>'AEO 2023 Table 46 Raw'!N8</f>
        <v>34.183059999999998</v>
      </c>
      <c r="L17" s="19">
        <f>'AEO 2023 Table 46 Raw'!O8</f>
        <v>33.072498000000003</v>
      </c>
      <c r="M17" s="19">
        <f>'AEO 2023 Table 46 Raw'!P8</f>
        <v>32.211067</v>
      </c>
      <c r="N17" s="19">
        <f>'AEO 2023 Table 46 Raw'!Q8</f>
        <v>31.494395999999998</v>
      </c>
      <c r="O17" s="19">
        <f>'AEO 2023 Table 46 Raw'!R8</f>
        <v>30.740480000000002</v>
      </c>
      <c r="P17" s="19">
        <f>'AEO 2023 Table 46 Raw'!S8</f>
        <v>29.975055999999999</v>
      </c>
      <c r="Q17" s="19">
        <f>'AEO 2023 Table 46 Raw'!T8</f>
        <v>29.307186000000002</v>
      </c>
      <c r="R17" s="19">
        <f>'AEO 2023 Table 46 Raw'!U8</f>
        <v>28.795176999999999</v>
      </c>
      <c r="S17" s="19">
        <f>'AEO 2023 Table 46 Raw'!V8</f>
        <v>28.429549999999999</v>
      </c>
      <c r="T17" s="19">
        <f>'AEO 2023 Table 46 Raw'!W8</f>
        <v>28.163509000000001</v>
      </c>
      <c r="U17" s="19">
        <f>'AEO 2023 Table 46 Raw'!X8</f>
        <v>27.894558</v>
      </c>
      <c r="V17" s="19">
        <f>'AEO 2023 Table 46 Raw'!Y8</f>
        <v>27.594154</v>
      </c>
      <c r="W17" s="19">
        <f>'AEO 2023 Table 46 Raw'!Z8</f>
        <v>27.308109000000002</v>
      </c>
      <c r="X17" s="19">
        <f>'AEO 2023 Table 46 Raw'!AA8</f>
        <v>26.995598000000001</v>
      </c>
      <c r="Y17" s="19">
        <f>'AEO 2023 Table 46 Raw'!AB8</f>
        <v>26.631284999999998</v>
      </c>
      <c r="Z17" s="19">
        <f>'AEO 2023 Table 46 Raw'!AC8</f>
        <v>26.261372000000001</v>
      </c>
      <c r="AA17" s="19">
        <f>'AEO 2023 Table 46 Raw'!AD8</f>
        <v>25.912925999999999</v>
      </c>
      <c r="AB17" s="19">
        <f>'AEO 2023 Table 46 Raw'!AE8</f>
        <v>25.597389</v>
      </c>
      <c r="AC17" s="19">
        <f>'AEO 2023 Table 46 Raw'!AF8</f>
        <v>25.312645</v>
      </c>
      <c r="AD17" s="19">
        <f>'AEO 2023 Table 46 Raw'!AG8</f>
        <v>25.004356000000001</v>
      </c>
      <c r="AE17" s="19">
        <f>'AEO 2023 Table 46 Raw'!AH8</f>
        <v>24.704986999999999</v>
      </c>
      <c r="AF17" s="30">
        <f>'AEO 2023 Table 46 Raw'!AI8</f>
        <v>-2.4E-2</v>
      </c>
    </row>
    <row r="18" spans="1:32" ht="15" customHeight="1">
      <c r="A18" s="7" t="s">
        <v>415</v>
      </c>
      <c r="B18" s="16" t="s">
        <v>416</v>
      </c>
      <c r="C18" s="19">
        <f>'AEO 2023 Table 46 Raw'!F9</f>
        <v>0.111688</v>
      </c>
      <c r="D18" s="19">
        <f>'AEO 2023 Table 46 Raw'!G9</f>
        <v>9.6532999999999994E-2</v>
      </c>
      <c r="E18" s="19">
        <f>'AEO 2023 Table 46 Raw'!H9</f>
        <v>8.3162E-2</v>
      </c>
      <c r="F18" s="19">
        <f>'AEO 2023 Table 46 Raw'!I9</f>
        <v>7.1313000000000001E-2</v>
      </c>
      <c r="G18" s="19">
        <f>'AEO 2023 Table 46 Raw'!J9</f>
        <v>6.0877000000000001E-2</v>
      </c>
      <c r="H18" s="19">
        <f>'AEO 2023 Table 46 Raw'!K9</f>
        <v>5.1618999999999998E-2</v>
      </c>
      <c r="I18" s="19">
        <f>'AEO 2023 Table 46 Raw'!L9</f>
        <v>4.3394000000000002E-2</v>
      </c>
      <c r="J18" s="19">
        <f>'AEO 2023 Table 46 Raw'!M9</f>
        <v>3.6202999999999999E-2</v>
      </c>
      <c r="K18" s="19">
        <f>'AEO 2023 Table 46 Raw'!N9</f>
        <v>3.0032E-2</v>
      </c>
      <c r="L18" s="19">
        <f>'AEO 2023 Table 46 Raw'!O9</f>
        <v>2.4808E-2</v>
      </c>
      <c r="M18" s="19">
        <f>'AEO 2023 Table 46 Raw'!P9</f>
        <v>2.0456999999999999E-2</v>
      </c>
      <c r="N18" s="19">
        <f>'AEO 2023 Table 46 Raw'!Q9</f>
        <v>1.6912E-2</v>
      </c>
      <c r="O18" s="19">
        <f>'AEO 2023 Table 46 Raw'!R9</f>
        <v>1.4080000000000001E-2</v>
      </c>
      <c r="P18" s="19">
        <f>'AEO 2023 Table 46 Raw'!S9</f>
        <v>1.1854999999999999E-2</v>
      </c>
      <c r="Q18" s="19">
        <f>'AEO 2023 Table 46 Raw'!T9</f>
        <v>1.0115000000000001E-2</v>
      </c>
      <c r="R18" s="19">
        <f>'AEO 2023 Table 46 Raw'!U9</f>
        <v>8.7530000000000004E-3</v>
      </c>
      <c r="S18" s="19">
        <f>'AEO 2023 Table 46 Raw'!V9</f>
        <v>7.6899999999999998E-3</v>
      </c>
      <c r="T18" s="19">
        <f>'AEO 2023 Table 46 Raw'!W9</f>
        <v>6.8459999999999997E-3</v>
      </c>
      <c r="U18" s="19">
        <f>'AEO 2023 Table 46 Raw'!X9</f>
        <v>6.1370000000000001E-3</v>
      </c>
      <c r="V18" s="19">
        <f>'AEO 2023 Table 46 Raw'!Y9</f>
        <v>5.5189999999999996E-3</v>
      </c>
      <c r="W18" s="19">
        <f>'AEO 2023 Table 46 Raw'!Z9</f>
        <v>4.9779999999999998E-3</v>
      </c>
      <c r="X18" s="19">
        <f>'AEO 2023 Table 46 Raw'!AA9</f>
        <v>4.4980000000000003E-3</v>
      </c>
      <c r="Y18" s="19">
        <f>'AEO 2023 Table 46 Raw'!AB9</f>
        <v>4.0699999999999998E-3</v>
      </c>
      <c r="Z18" s="19">
        <f>'AEO 2023 Table 46 Raw'!AC9</f>
        <v>3.6849999999999999E-3</v>
      </c>
      <c r="AA18" s="19">
        <f>'AEO 2023 Table 46 Raw'!AD9</f>
        <v>3.339E-3</v>
      </c>
      <c r="AB18" s="19">
        <f>'AEO 2023 Table 46 Raw'!AE9</f>
        <v>3.0279999999999999E-3</v>
      </c>
      <c r="AC18" s="19">
        <f>'AEO 2023 Table 46 Raw'!AF9</f>
        <v>2.748E-3</v>
      </c>
      <c r="AD18" s="19">
        <f>'AEO 2023 Table 46 Raw'!AG9</f>
        <v>2.4970000000000001E-3</v>
      </c>
      <c r="AE18" s="19">
        <f>'AEO 2023 Table 46 Raw'!AH9</f>
        <v>2.2699999999999999E-3</v>
      </c>
      <c r="AF18" s="30">
        <f>'AEO 2023 Table 46 Raw'!AI9</f>
        <v>-0.13</v>
      </c>
    </row>
    <row r="19" spans="1:32" ht="15" customHeight="1">
      <c r="A19" s="7" t="s">
        <v>417</v>
      </c>
      <c r="B19" s="16" t="s">
        <v>418</v>
      </c>
      <c r="C19" s="19">
        <f>'AEO 2023 Table 46 Raw'!F10</f>
        <v>49.577694000000001</v>
      </c>
      <c r="D19" s="19">
        <f>'AEO 2023 Table 46 Raw'!G10</f>
        <v>46.716228000000001</v>
      </c>
      <c r="E19" s="19">
        <f>'AEO 2023 Table 46 Raw'!H10</f>
        <v>44.378715999999997</v>
      </c>
      <c r="F19" s="19">
        <f>'AEO 2023 Table 46 Raw'!I10</f>
        <v>42.285389000000002</v>
      </c>
      <c r="G19" s="19">
        <f>'AEO 2023 Table 46 Raw'!J10</f>
        <v>40.455874999999999</v>
      </c>
      <c r="H19" s="19">
        <f>'AEO 2023 Table 46 Raw'!K10</f>
        <v>38.530090000000001</v>
      </c>
      <c r="I19" s="19">
        <f>'AEO 2023 Table 46 Raw'!L10</f>
        <v>36.860106999999999</v>
      </c>
      <c r="J19" s="19">
        <f>'AEO 2023 Table 46 Raw'!M10</f>
        <v>35.450256000000003</v>
      </c>
      <c r="K19" s="19">
        <f>'AEO 2023 Table 46 Raw'!N10</f>
        <v>34.213093000000001</v>
      </c>
      <c r="L19" s="19">
        <f>'AEO 2023 Table 46 Raw'!O10</f>
        <v>33.097304999999999</v>
      </c>
      <c r="M19" s="19">
        <f>'AEO 2023 Table 46 Raw'!P10</f>
        <v>32.231524999999998</v>
      </c>
      <c r="N19" s="19">
        <f>'AEO 2023 Table 46 Raw'!Q10</f>
        <v>31.511309000000001</v>
      </c>
      <c r="O19" s="19">
        <f>'AEO 2023 Table 46 Raw'!R10</f>
        <v>30.754560000000001</v>
      </c>
      <c r="P19" s="19">
        <f>'AEO 2023 Table 46 Raw'!S10</f>
        <v>29.986910000000002</v>
      </c>
      <c r="Q19" s="19">
        <f>'AEO 2023 Table 46 Raw'!T10</f>
        <v>29.317301</v>
      </c>
      <c r="R19" s="19">
        <f>'AEO 2023 Table 46 Raw'!U10</f>
        <v>28.803930000000001</v>
      </c>
      <c r="S19" s="19">
        <f>'AEO 2023 Table 46 Raw'!V10</f>
        <v>28.437241</v>
      </c>
      <c r="T19" s="19">
        <f>'AEO 2023 Table 46 Raw'!W10</f>
        <v>28.170355000000001</v>
      </c>
      <c r="U19" s="19">
        <f>'AEO 2023 Table 46 Raw'!X10</f>
        <v>27.900696</v>
      </c>
      <c r="V19" s="19">
        <f>'AEO 2023 Table 46 Raw'!Y10</f>
        <v>27.599674</v>
      </c>
      <c r="W19" s="19">
        <f>'AEO 2023 Table 46 Raw'!Z10</f>
        <v>27.313086999999999</v>
      </c>
      <c r="X19" s="19">
        <f>'AEO 2023 Table 46 Raw'!AA10</f>
        <v>27.000095000000002</v>
      </c>
      <c r="Y19" s="19">
        <f>'AEO 2023 Table 46 Raw'!AB10</f>
        <v>26.635355000000001</v>
      </c>
      <c r="Z19" s="19">
        <f>'AEO 2023 Table 46 Raw'!AC10</f>
        <v>26.265056999999999</v>
      </c>
      <c r="AA19" s="19">
        <f>'AEO 2023 Table 46 Raw'!AD10</f>
        <v>25.916264999999999</v>
      </c>
      <c r="AB19" s="19">
        <f>'AEO 2023 Table 46 Raw'!AE10</f>
        <v>25.600418000000001</v>
      </c>
      <c r="AC19" s="19">
        <f>'AEO 2023 Table 46 Raw'!AF10</f>
        <v>25.315393</v>
      </c>
      <c r="AD19" s="19">
        <f>'AEO 2023 Table 46 Raw'!AG10</f>
        <v>25.006853</v>
      </c>
      <c r="AE19" s="19">
        <f>'AEO 2023 Table 46 Raw'!AH10</f>
        <v>24.707256000000001</v>
      </c>
      <c r="AF19" s="30">
        <f>'AEO 2023 Table 46 Raw'!AI10</f>
        <v>-2.5000000000000001E-2</v>
      </c>
    </row>
    <row r="20" spans="1:32" ht="15" customHeight="1">
      <c r="C20" s="19"/>
      <c r="D20" s="19"/>
      <c r="E20" s="19"/>
      <c r="F20" s="19"/>
      <c r="G20" s="19"/>
      <c r="H20" s="19"/>
      <c r="I20" s="19"/>
      <c r="J20" s="19"/>
      <c r="K20" s="19"/>
      <c r="L20" s="19"/>
      <c r="M20" s="19"/>
      <c r="N20" s="19"/>
      <c r="O20" s="19"/>
      <c r="P20" s="19"/>
      <c r="Q20" s="19"/>
      <c r="R20" s="19"/>
      <c r="S20" s="19"/>
      <c r="T20" s="19"/>
      <c r="U20" s="19"/>
      <c r="V20" s="19"/>
      <c r="W20" s="19"/>
      <c r="X20" s="19"/>
      <c r="Y20" s="19"/>
      <c r="Z20" s="19"/>
      <c r="AA20" s="19"/>
      <c r="AB20" s="19"/>
      <c r="AC20" s="19"/>
      <c r="AD20" s="19"/>
      <c r="AE20" s="19"/>
      <c r="AF20" s="30"/>
    </row>
    <row r="21" spans="1:32" ht="15" customHeight="1">
      <c r="B21" s="15" t="s">
        <v>419</v>
      </c>
      <c r="C21" s="19"/>
      <c r="D21" s="19"/>
      <c r="E21" s="19"/>
      <c r="F21" s="19"/>
      <c r="G21" s="19"/>
      <c r="H21" s="19"/>
      <c r="I21" s="19"/>
      <c r="J21" s="19"/>
      <c r="K21" s="19"/>
      <c r="L21" s="19"/>
      <c r="M21" s="19"/>
      <c r="N21" s="19"/>
      <c r="O21" s="19"/>
      <c r="P21" s="19"/>
      <c r="Q21" s="19"/>
      <c r="R21" s="19"/>
      <c r="S21" s="19"/>
      <c r="T21" s="19"/>
      <c r="U21" s="19"/>
      <c r="V21" s="19"/>
      <c r="W21" s="19"/>
      <c r="X21" s="19"/>
      <c r="Y21" s="19"/>
      <c r="Z21" s="19"/>
      <c r="AA21" s="19"/>
      <c r="AB21" s="19"/>
      <c r="AC21" s="19"/>
      <c r="AD21" s="19"/>
      <c r="AE21" s="19"/>
      <c r="AF21" s="30"/>
    </row>
    <row r="22" spans="1:32" ht="15" customHeight="1">
      <c r="A22" s="7" t="s">
        <v>420</v>
      </c>
      <c r="B22" s="16" t="s">
        <v>421</v>
      </c>
      <c r="C22" s="19">
        <f>'AEO 2023 Table 46 Raw'!F12</f>
        <v>2.461112</v>
      </c>
      <c r="D22" s="19">
        <f>'AEO 2023 Table 46 Raw'!G12</f>
        <v>2.2103090000000001</v>
      </c>
      <c r="E22" s="19">
        <f>'AEO 2023 Table 46 Raw'!H12</f>
        <v>1.985196</v>
      </c>
      <c r="F22" s="19">
        <f>'AEO 2023 Table 46 Raw'!I12</f>
        <v>1.7855970000000001</v>
      </c>
      <c r="G22" s="19">
        <f>'AEO 2023 Table 46 Raw'!J12</f>
        <v>1.618082</v>
      </c>
      <c r="H22" s="19">
        <f>'AEO 2023 Table 46 Raw'!K12</f>
        <v>1.4676549999999999</v>
      </c>
      <c r="I22" s="19">
        <f>'AEO 2023 Table 46 Raw'!L12</f>
        <v>1.3403229999999999</v>
      </c>
      <c r="J22" s="19">
        <f>'AEO 2023 Table 46 Raw'!M12</f>
        <v>1.236246</v>
      </c>
      <c r="K22" s="19">
        <f>'AEO 2023 Table 46 Raw'!N12</f>
        <v>1.150493</v>
      </c>
      <c r="L22" s="19">
        <f>'AEO 2023 Table 46 Raw'!O12</f>
        <v>1.079925</v>
      </c>
      <c r="M22" s="19">
        <f>'AEO 2023 Table 46 Raw'!P12</f>
        <v>1.029307</v>
      </c>
      <c r="N22" s="19">
        <f>'AEO 2023 Table 46 Raw'!Q12</f>
        <v>0.99377700000000002</v>
      </c>
      <c r="O22" s="19">
        <f>'AEO 2023 Table 46 Raw'!R12</f>
        <v>0.96236699999999997</v>
      </c>
      <c r="P22" s="19">
        <f>'AEO 2023 Table 46 Raw'!S12</f>
        <v>0.93445199999999995</v>
      </c>
      <c r="Q22" s="19">
        <f>'AEO 2023 Table 46 Raw'!T12</f>
        <v>0.91421399999999997</v>
      </c>
      <c r="R22" s="19">
        <f>'AEO 2023 Table 46 Raw'!U12</f>
        <v>0.90237100000000003</v>
      </c>
      <c r="S22" s="19">
        <f>'AEO 2023 Table 46 Raw'!V12</f>
        <v>0.89766299999999999</v>
      </c>
      <c r="T22" s="19">
        <f>'AEO 2023 Table 46 Raw'!W12</f>
        <v>0.89760300000000004</v>
      </c>
      <c r="U22" s="19">
        <f>'AEO 2023 Table 46 Raw'!X12</f>
        <v>0.89686999999999995</v>
      </c>
      <c r="V22" s="19">
        <f>'AEO 2023 Table 46 Raw'!Y12</f>
        <v>0.89403699999999997</v>
      </c>
      <c r="W22" s="19">
        <f>'AEO 2023 Table 46 Raw'!Z12</f>
        <v>0.89149800000000001</v>
      </c>
      <c r="X22" s="19">
        <f>'AEO 2023 Table 46 Raw'!AA12</f>
        <v>0.88747399999999999</v>
      </c>
      <c r="Y22" s="19">
        <f>'AEO 2023 Table 46 Raw'!AB12</f>
        <v>0.88075599999999998</v>
      </c>
      <c r="Z22" s="19">
        <f>'AEO 2023 Table 46 Raw'!AC12</f>
        <v>0.87377800000000005</v>
      </c>
      <c r="AA22" s="19">
        <f>'AEO 2023 Table 46 Raw'!AD12</f>
        <v>0.86814100000000005</v>
      </c>
      <c r="AB22" s="19">
        <f>'AEO 2023 Table 46 Raw'!AE12</f>
        <v>0.86434100000000003</v>
      </c>
      <c r="AC22" s="19">
        <f>'AEO 2023 Table 46 Raw'!AF12</f>
        <v>0.86214599999999997</v>
      </c>
      <c r="AD22" s="19">
        <f>'AEO 2023 Table 46 Raw'!AG12</f>
        <v>0.85861799999999999</v>
      </c>
      <c r="AE22" s="19">
        <f>'AEO 2023 Table 46 Raw'!AH12</f>
        <v>0.85379300000000002</v>
      </c>
      <c r="AF22" s="30">
        <f>'AEO 2023 Table 46 Raw'!AI12</f>
        <v>-3.6999999999999998E-2</v>
      </c>
    </row>
    <row r="23" spans="1:32" ht="15" customHeight="1">
      <c r="A23" s="7" t="s">
        <v>422</v>
      </c>
      <c r="B23" s="16" t="s">
        <v>423</v>
      </c>
      <c r="C23" s="19">
        <f>'AEO 2023 Table 46 Raw'!F13</f>
        <v>8.2278000000000004E-2</v>
      </c>
      <c r="D23" s="19">
        <f>'AEO 2023 Table 46 Raw'!G13</f>
        <v>8.5696999999999995E-2</v>
      </c>
      <c r="E23" s="19">
        <f>'AEO 2023 Table 46 Raw'!H13</f>
        <v>9.0184E-2</v>
      </c>
      <c r="F23" s="19">
        <f>'AEO 2023 Table 46 Raw'!I13</f>
        <v>9.4142000000000003E-2</v>
      </c>
      <c r="G23" s="19">
        <f>'AEO 2023 Table 46 Raw'!J13</f>
        <v>9.7428000000000001E-2</v>
      </c>
      <c r="H23" s="19">
        <f>'AEO 2023 Table 46 Raw'!K13</f>
        <v>0.10066899999999999</v>
      </c>
      <c r="I23" s="19">
        <f>'AEO 2023 Table 46 Raw'!L13</f>
        <v>0.10408000000000001</v>
      </c>
      <c r="J23" s="19">
        <f>'AEO 2023 Table 46 Raw'!M13</f>
        <v>0.107796</v>
      </c>
      <c r="K23" s="19">
        <f>'AEO 2023 Table 46 Raw'!N13</f>
        <v>0.111692</v>
      </c>
      <c r="L23" s="19">
        <f>'AEO 2023 Table 46 Raw'!O13</f>
        <v>0.11568100000000001</v>
      </c>
      <c r="M23" s="19">
        <f>'AEO 2023 Table 46 Raw'!P13</f>
        <v>0.12048300000000001</v>
      </c>
      <c r="N23" s="19">
        <f>'AEO 2023 Table 46 Raw'!Q13</f>
        <v>0.12576999999999999</v>
      </c>
      <c r="O23" s="19">
        <f>'AEO 2023 Table 46 Raw'!R13</f>
        <v>0.13058400000000001</v>
      </c>
      <c r="P23" s="19">
        <f>'AEO 2023 Table 46 Raw'!S13</f>
        <v>0.135072</v>
      </c>
      <c r="Q23" s="19">
        <f>'AEO 2023 Table 46 Raw'!T13</f>
        <v>0.13986199999999999</v>
      </c>
      <c r="R23" s="19">
        <f>'AEO 2023 Table 46 Raw'!U13</f>
        <v>0.14538599999999999</v>
      </c>
      <c r="S23" s="19">
        <f>'AEO 2023 Table 46 Raw'!V13</f>
        <v>0.15171599999999999</v>
      </c>
      <c r="T23" s="19">
        <f>'AEO 2023 Table 46 Raw'!W13</f>
        <v>0.15862299999999999</v>
      </c>
      <c r="U23" s="19">
        <f>'AEO 2023 Table 46 Raw'!X13</f>
        <v>0.16536300000000001</v>
      </c>
      <c r="V23" s="19">
        <f>'AEO 2023 Table 46 Raw'!Y13</f>
        <v>0.171676</v>
      </c>
      <c r="W23" s="19">
        <f>'AEO 2023 Table 46 Raw'!Z13</f>
        <v>0.17796600000000001</v>
      </c>
      <c r="X23" s="19">
        <f>'AEO 2023 Table 46 Raw'!AA13</f>
        <v>0.18382599999999999</v>
      </c>
      <c r="Y23" s="19">
        <f>'AEO 2023 Table 46 Raw'!AB13</f>
        <v>0.18898699999999999</v>
      </c>
      <c r="Z23" s="19">
        <f>'AEO 2023 Table 46 Raw'!AC13</f>
        <v>0.19394500000000001</v>
      </c>
      <c r="AA23" s="19">
        <f>'AEO 2023 Table 46 Raw'!AD13</f>
        <v>0.19902</v>
      </c>
      <c r="AB23" s="19">
        <f>'AEO 2023 Table 46 Raw'!AE13</f>
        <v>0.20438600000000001</v>
      </c>
      <c r="AC23" s="19">
        <f>'AEO 2023 Table 46 Raw'!AF13</f>
        <v>0.21005799999999999</v>
      </c>
      <c r="AD23" s="19">
        <f>'AEO 2023 Table 46 Raw'!AG13</f>
        <v>0.21534700000000001</v>
      </c>
      <c r="AE23" s="19">
        <f>'AEO 2023 Table 46 Raw'!AH13</f>
        <v>0.22064600000000001</v>
      </c>
      <c r="AF23" s="30">
        <f>'AEO 2023 Table 46 Raw'!AI13</f>
        <v>3.5999999999999997E-2</v>
      </c>
    </row>
    <row r="24" spans="1:32" ht="15" customHeight="1">
      <c r="A24" s="7" t="s">
        <v>424</v>
      </c>
      <c r="B24" s="16" t="s">
        <v>425</v>
      </c>
      <c r="C24" s="19">
        <f>'AEO 2023 Table 46 Raw'!F14</f>
        <v>0.137378</v>
      </c>
      <c r="D24" s="19">
        <f>'AEO 2023 Table 46 Raw'!G14</f>
        <v>0.154861</v>
      </c>
      <c r="E24" s="19">
        <f>'AEO 2023 Table 46 Raw'!H14</f>
        <v>0.18635699999999999</v>
      </c>
      <c r="F24" s="19">
        <f>'AEO 2023 Table 46 Raw'!I14</f>
        <v>0.227322</v>
      </c>
      <c r="G24" s="19">
        <f>'AEO 2023 Table 46 Raw'!J14</f>
        <v>0.26983499999999999</v>
      </c>
      <c r="H24" s="19">
        <f>'AEO 2023 Table 46 Raw'!K14</f>
        <v>0.312718</v>
      </c>
      <c r="I24" s="19">
        <f>'AEO 2023 Table 46 Raw'!L14</f>
        <v>0.35735699999999998</v>
      </c>
      <c r="J24" s="19">
        <f>'AEO 2023 Table 46 Raw'!M14</f>
        <v>0.40442699999999998</v>
      </c>
      <c r="K24" s="19">
        <f>'AEO 2023 Table 46 Raw'!N14</f>
        <v>0.45291999999999999</v>
      </c>
      <c r="L24" s="19">
        <f>'AEO 2023 Table 46 Raw'!O14</f>
        <v>0.50208200000000003</v>
      </c>
      <c r="M24" s="19">
        <f>'AEO 2023 Table 46 Raw'!P14</f>
        <v>0.55627700000000002</v>
      </c>
      <c r="N24" s="19">
        <f>'AEO 2023 Table 46 Raw'!Q14</f>
        <v>0.61317100000000002</v>
      </c>
      <c r="O24" s="19">
        <f>'AEO 2023 Table 46 Raw'!R14</f>
        <v>0.666736</v>
      </c>
      <c r="P24" s="19">
        <f>'AEO 2023 Table 46 Raw'!S14</f>
        <v>0.717669</v>
      </c>
      <c r="Q24" s="19">
        <f>'AEO 2023 Table 46 Raw'!T14</f>
        <v>0.77018799999999998</v>
      </c>
      <c r="R24" s="19">
        <f>'AEO 2023 Table 46 Raw'!U14</f>
        <v>0.82734300000000005</v>
      </c>
      <c r="S24" s="19">
        <f>'AEO 2023 Table 46 Raw'!V14</f>
        <v>0.88985300000000001</v>
      </c>
      <c r="T24" s="19">
        <f>'AEO 2023 Table 46 Raw'!W14</f>
        <v>0.95657800000000004</v>
      </c>
      <c r="U24" s="19">
        <f>'AEO 2023 Table 46 Raw'!X14</f>
        <v>1.0225409999999999</v>
      </c>
      <c r="V24" s="19">
        <f>'AEO 2023 Table 46 Raw'!Y14</f>
        <v>1.0861050000000001</v>
      </c>
      <c r="W24" s="19">
        <f>'AEO 2023 Table 46 Raw'!Z14</f>
        <v>1.149972</v>
      </c>
      <c r="X24" s="19">
        <f>'AEO 2023 Table 46 Raw'!AA14</f>
        <v>1.2112909999999999</v>
      </c>
      <c r="Y24" s="19">
        <f>'AEO 2023 Table 46 Raw'!AB14</f>
        <v>1.2680290000000001</v>
      </c>
      <c r="Z24" s="19">
        <f>'AEO 2023 Table 46 Raw'!AC14</f>
        <v>1.3233820000000001</v>
      </c>
      <c r="AA24" s="19">
        <f>'AEO 2023 Table 46 Raw'!AD14</f>
        <v>1.379407</v>
      </c>
      <c r="AB24" s="19">
        <f>'AEO 2023 Table 46 Raw'!AE14</f>
        <v>1.4372229999999999</v>
      </c>
      <c r="AC24" s="19">
        <f>'AEO 2023 Table 46 Raw'!AF14</f>
        <v>1.4970140000000001</v>
      </c>
      <c r="AD24" s="19">
        <f>'AEO 2023 Table 46 Raw'!AG14</f>
        <v>1.553947</v>
      </c>
      <c r="AE24" s="19">
        <f>'AEO 2023 Table 46 Raw'!AH14</f>
        <v>1.6108560000000001</v>
      </c>
      <c r="AF24" s="30">
        <f>'AEO 2023 Table 46 Raw'!AI14</f>
        <v>9.1999999999999998E-2</v>
      </c>
    </row>
    <row r="25" spans="1:32" ht="15" customHeight="1">
      <c r="A25" s="7" t="s">
        <v>426</v>
      </c>
      <c r="B25" s="16" t="s">
        <v>427</v>
      </c>
      <c r="C25" s="19">
        <f>'AEO 2023 Table 46 Raw'!F15</f>
        <v>0.40151300000000001</v>
      </c>
      <c r="D25" s="19">
        <f>'AEO 2023 Table 46 Raw'!G15</f>
        <v>0.46051399999999998</v>
      </c>
      <c r="E25" s="19">
        <f>'AEO 2023 Table 46 Raw'!H15</f>
        <v>0.53044899999999995</v>
      </c>
      <c r="F25" s="19">
        <f>'AEO 2023 Table 46 Raw'!I15</f>
        <v>0.60993799999999998</v>
      </c>
      <c r="G25" s="19">
        <f>'AEO 2023 Table 46 Raw'!J15</f>
        <v>0.68546399999999996</v>
      </c>
      <c r="H25" s="19">
        <f>'AEO 2023 Table 46 Raw'!K15</f>
        <v>0.75662200000000002</v>
      </c>
      <c r="I25" s="19">
        <f>'AEO 2023 Table 46 Raw'!L15</f>
        <v>0.82606999999999997</v>
      </c>
      <c r="J25" s="19">
        <f>'AEO 2023 Table 46 Raw'!M15</f>
        <v>0.89533799999999997</v>
      </c>
      <c r="K25" s="19">
        <f>'AEO 2023 Table 46 Raw'!N15</f>
        <v>0.96288600000000002</v>
      </c>
      <c r="L25" s="19">
        <f>'AEO 2023 Table 46 Raw'!O15</f>
        <v>1.0279039999999999</v>
      </c>
      <c r="M25" s="19">
        <f>'AEO 2023 Table 46 Raw'!P15</f>
        <v>1.097982</v>
      </c>
      <c r="N25" s="19">
        <f>'AEO 2023 Table 46 Raw'!Q15</f>
        <v>1.16961</v>
      </c>
      <c r="O25" s="19">
        <f>'AEO 2023 Table 46 Raw'!R15</f>
        <v>1.233436</v>
      </c>
      <c r="P25" s="19">
        <f>'AEO 2023 Table 46 Raw'!S15</f>
        <v>1.291064</v>
      </c>
      <c r="Q25" s="19">
        <f>'AEO 2023 Table 46 Raw'!T15</f>
        <v>1.3493809999999999</v>
      </c>
      <c r="R25" s="19">
        <f>'AEO 2023 Table 46 Raw'!U15</f>
        <v>1.413192</v>
      </c>
      <c r="S25" s="19">
        <f>'AEO 2023 Table 46 Raw'!V15</f>
        <v>1.4839640000000001</v>
      </c>
      <c r="T25" s="19">
        <f>'AEO 2023 Table 46 Raw'!W15</f>
        <v>1.5600350000000001</v>
      </c>
      <c r="U25" s="19">
        <f>'AEO 2023 Table 46 Raw'!X15</f>
        <v>1.6341699999999999</v>
      </c>
      <c r="V25" s="19">
        <f>'AEO 2023 Table 46 Raw'!Y15</f>
        <v>1.7040979999999999</v>
      </c>
      <c r="W25" s="19">
        <f>'AEO 2023 Table 46 Raw'!Z15</f>
        <v>1.774011</v>
      </c>
      <c r="X25" s="19">
        <f>'AEO 2023 Table 46 Raw'!AA15</f>
        <v>1.8398829999999999</v>
      </c>
      <c r="Y25" s="19">
        <f>'AEO 2023 Table 46 Raw'!AB15</f>
        <v>1.8989780000000001</v>
      </c>
      <c r="Z25" s="19">
        <f>'AEO 2023 Table 46 Raw'!AC15</f>
        <v>1.9562390000000001</v>
      </c>
      <c r="AA25" s="19">
        <f>'AEO 2023 Table 46 Raw'!AD15</f>
        <v>2.0146959999999998</v>
      </c>
      <c r="AB25" s="19">
        <f>'AEO 2023 Table 46 Raw'!AE15</f>
        <v>2.0759669999999999</v>
      </c>
      <c r="AC25" s="19">
        <f>'AEO 2023 Table 46 Raw'!AF15</f>
        <v>2.1402369999999999</v>
      </c>
      <c r="AD25" s="19">
        <f>'AEO 2023 Table 46 Raw'!AG15</f>
        <v>2.200555</v>
      </c>
      <c r="AE25" s="19">
        <f>'AEO 2023 Table 46 Raw'!AH15</f>
        <v>2.2609300000000001</v>
      </c>
      <c r="AF25" s="30">
        <f>'AEO 2023 Table 46 Raw'!AI15</f>
        <v>6.4000000000000001E-2</v>
      </c>
    </row>
    <row r="26" spans="1:32" ht="15" customHeight="1">
      <c r="A26" s="7" t="s">
        <v>428</v>
      </c>
      <c r="B26" s="16" t="s">
        <v>429</v>
      </c>
      <c r="C26" s="19">
        <f>'AEO 2023 Table 46 Raw'!F16</f>
        <v>0.133383</v>
      </c>
      <c r="D26" s="19">
        <f>'AEO 2023 Table 46 Raw'!G16</f>
        <v>0.134821</v>
      </c>
      <c r="E26" s="19">
        <f>'AEO 2023 Table 46 Raw'!H16</f>
        <v>0.13941000000000001</v>
      </c>
      <c r="F26" s="19">
        <f>'AEO 2023 Table 46 Raw'!I16</f>
        <v>0.14457</v>
      </c>
      <c r="G26" s="19">
        <f>'AEO 2023 Table 46 Raw'!J16</f>
        <v>0.14922199999999999</v>
      </c>
      <c r="H26" s="19">
        <f>'AEO 2023 Table 46 Raw'!K16</f>
        <v>0.15324299999999999</v>
      </c>
      <c r="I26" s="19">
        <f>'AEO 2023 Table 46 Raw'!L16</f>
        <v>0.157113</v>
      </c>
      <c r="J26" s="19">
        <f>'AEO 2023 Table 46 Raw'!M16</f>
        <v>0.16105900000000001</v>
      </c>
      <c r="K26" s="19">
        <f>'AEO 2023 Table 46 Raw'!N16</f>
        <v>0.16500999999999999</v>
      </c>
      <c r="L26" s="19">
        <f>'AEO 2023 Table 46 Raw'!O16</f>
        <v>0.16892399999999999</v>
      </c>
      <c r="M26" s="19">
        <f>'AEO 2023 Table 46 Raw'!P16</f>
        <v>0.17376800000000001</v>
      </c>
      <c r="N26" s="19">
        <f>'AEO 2023 Table 46 Raw'!Q16</f>
        <v>0.17915800000000001</v>
      </c>
      <c r="O26" s="19">
        <f>'AEO 2023 Table 46 Raw'!R16</f>
        <v>0.18398400000000001</v>
      </c>
      <c r="P26" s="19">
        <f>'AEO 2023 Table 46 Raw'!S16</f>
        <v>0.18851499999999999</v>
      </c>
      <c r="Q26" s="19">
        <f>'AEO 2023 Table 46 Raw'!T16</f>
        <v>0.19351699999999999</v>
      </c>
      <c r="R26" s="19">
        <f>'AEO 2023 Table 46 Raw'!U16</f>
        <v>0.19953799999999999</v>
      </c>
      <c r="S26" s="19">
        <f>'AEO 2023 Table 46 Raw'!V16</f>
        <v>0.20671400000000001</v>
      </c>
      <c r="T26" s="19">
        <f>'AEO 2023 Table 46 Raw'!W16</f>
        <v>0.21479599999999999</v>
      </c>
      <c r="U26" s="19">
        <f>'AEO 2023 Table 46 Raw'!X16</f>
        <v>0.22287599999999999</v>
      </c>
      <c r="V26" s="19">
        <f>'AEO 2023 Table 46 Raw'!Y16</f>
        <v>0.23064000000000001</v>
      </c>
      <c r="W26" s="19">
        <f>'AEO 2023 Table 46 Raw'!Z16</f>
        <v>0.23851600000000001</v>
      </c>
      <c r="X26" s="19">
        <f>'AEO 2023 Table 46 Raw'!AA16</f>
        <v>0.24595900000000001</v>
      </c>
      <c r="Y26" s="19">
        <f>'AEO 2023 Table 46 Raw'!AB16</f>
        <v>0.25263400000000003</v>
      </c>
      <c r="Z26" s="19">
        <f>'AEO 2023 Table 46 Raw'!AC16</f>
        <v>0.25909100000000002</v>
      </c>
      <c r="AA26" s="19">
        <f>'AEO 2023 Table 46 Raw'!AD16</f>
        <v>0.26564399999999999</v>
      </c>
      <c r="AB26" s="19">
        <f>'AEO 2023 Table 46 Raw'!AE16</f>
        <v>0.27249800000000002</v>
      </c>
      <c r="AC26" s="19">
        <f>'AEO 2023 Table 46 Raw'!AF16</f>
        <v>0.27968799999999999</v>
      </c>
      <c r="AD26" s="19">
        <f>'AEO 2023 Table 46 Raw'!AG16</f>
        <v>0.28641800000000001</v>
      </c>
      <c r="AE26" s="19">
        <f>'AEO 2023 Table 46 Raw'!AH16</f>
        <v>0.293157</v>
      </c>
      <c r="AF26" s="30">
        <f>'AEO 2023 Table 46 Raw'!AI16</f>
        <v>2.9000000000000001E-2</v>
      </c>
    </row>
    <row r="27" spans="1:32" ht="15" customHeight="1">
      <c r="A27" s="7" t="s">
        <v>430</v>
      </c>
      <c r="B27" s="16" t="s">
        <v>431</v>
      </c>
      <c r="C27" s="19">
        <f>'AEO 2023 Table 46 Raw'!F17</f>
        <v>6.8515999999999994E-2</v>
      </c>
      <c r="D27" s="19">
        <f>'AEO 2023 Table 46 Raw'!G17</f>
        <v>6.9584999999999994E-2</v>
      </c>
      <c r="E27" s="19">
        <f>'AEO 2023 Table 46 Raw'!H17</f>
        <v>7.2609999999999994E-2</v>
      </c>
      <c r="F27" s="19">
        <f>'AEO 2023 Table 46 Raw'!I17</f>
        <v>7.6588000000000003E-2</v>
      </c>
      <c r="G27" s="19">
        <f>'AEO 2023 Table 46 Raw'!J17</f>
        <v>8.0639000000000002E-2</v>
      </c>
      <c r="H27" s="19">
        <f>'AEO 2023 Table 46 Raw'!K17</f>
        <v>8.4719000000000003E-2</v>
      </c>
      <c r="I27" s="19">
        <f>'AEO 2023 Table 46 Raw'!L17</f>
        <v>8.9145000000000002E-2</v>
      </c>
      <c r="J27" s="19">
        <f>'AEO 2023 Table 46 Raw'!M17</f>
        <v>9.4184000000000004E-2</v>
      </c>
      <c r="K27" s="19">
        <f>'AEO 2023 Table 46 Raw'!N17</f>
        <v>9.9724999999999994E-2</v>
      </c>
      <c r="L27" s="19">
        <f>'AEO 2023 Table 46 Raw'!O17</f>
        <v>0.105665</v>
      </c>
      <c r="M27" s="19">
        <f>'AEO 2023 Table 46 Raw'!P17</f>
        <v>0.112773</v>
      </c>
      <c r="N27" s="19">
        <f>'AEO 2023 Table 46 Raw'!Q17</f>
        <v>0.12064</v>
      </c>
      <c r="O27" s="19">
        <f>'AEO 2023 Table 46 Raw'!R17</f>
        <v>0.12822500000000001</v>
      </c>
      <c r="P27" s="19">
        <f>'AEO 2023 Table 46 Raw'!S17</f>
        <v>0.13562099999999999</v>
      </c>
      <c r="Q27" s="19">
        <f>'AEO 2023 Table 46 Raw'!T17</f>
        <v>0.143484</v>
      </c>
      <c r="R27" s="19">
        <f>'AEO 2023 Table 46 Raw'!U17</f>
        <v>0.15227199999999999</v>
      </c>
      <c r="S27" s="19">
        <f>'AEO 2023 Table 46 Raw'!V17</f>
        <v>0.16208600000000001</v>
      </c>
      <c r="T27" s="19">
        <f>'AEO 2023 Table 46 Raw'!W17</f>
        <v>0.17270199999999999</v>
      </c>
      <c r="U27" s="19">
        <f>'AEO 2023 Table 46 Raw'!X17</f>
        <v>0.18326000000000001</v>
      </c>
      <c r="V27" s="19">
        <f>'AEO 2023 Table 46 Raw'!Y17</f>
        <v>0.19347600000000001</v>
      </c>
      <c r="W27" s="19">
        <f>'AEO 2023 Table 46 Raw'!Z17</f>
        <v>0.20378499999999999</v>
      </c>
      <c r="X27" s="19">
        <f>'AEO 2023 Table 46 Raw'!AA17</f>
        <v>0.21368699999999999</v>
      </c>
      <c r="Y27" s="19">
        <f>'AEO 2023 Table 46 Raw'!AB17</f>
        <v>0.22284300000000001</v>
      </c>
      <c r="Z27" s="19">
        <f>'AEO 2023 Table 46 Raw'!AC17</f>
        <v>0.231791</v>
      </c>
      <c r="AA27" s="19">
        <f>'AEO 2023 Table 46 Raw'!AD17</f>
        <v>0.24085200000000001</v>
      </c>
      <c r="AB27" s="19">
        <f>'AEO 2023 Table 46 Raw'!AE17</f>
        <v>0.25020799999999999</v>
      </c>
      <c r="AC27" s="19">
        <f>'AEO 2023 Table 46 Raw'!AF17</f>
        <v>0.25989499999999999</v>
      </c>
      <c r="AD27" s="19">
        <f>'AEO 2023 Table 46 Raw'!AG17</f>
        <v>0.26912000000000003</v>
      </c>
      <c r="AE27" s="19">
        <f>'AEO 2023 Table 46 Raw'!AH17</f>
        <v>0.27834999999999999</v>
      </c>
      <c r="AF27" s="30">
        <f>'AEO 2023 Table 46 Raw'!AI17</f>
        <v>5.0999999999999997E-2</v>
      </c>
    </row>
    <row r="28" spans="1:32" ht="15" customHeight="1">
      <c r="A28" s="7" t="s">
        <v>432</v>
      </c>
      <c r="B28" s="16" t="s">
        <v>433</v>
      </c>
      <c r="C28" s="19">
        <f>'AEO 2023 Table 46 Raw'!F18</f>
        <v>0</v>
      </c>
      <c r="D28" s="19">
        <f>'AEO 2023 Table 46 Raw'!G18</f>
        <v>0</v>
      </c>
      <c r="E28" s="19">
        <f>'AEO 2023 Table 46 Raw'!H18</f>
        <v>0</v>
      </c>
      <c r="F28" s="19">
        <f>'AEO 2023 Table 46 Raw'!I18</f>
        <v>0</v>
      </c>
      <c r="G28" s="19">
        <f>'AEO 2023 Table 46 Raw'!J18</f>
        <v>0</v>
      </c>
      <c r="H28" s="19">
        <f>'AEO 2023 Table 46 Raw'!K18</f>
        <v>0</v>
      </c>
      <c r="I28" s="19">
        <f>'AEO 2023 Table 46 Raw'!L18</f>
        <v>0</v>
      </c>
      <c r="J28" s="19">
        <f>'AEO 2023 Table 46 Raw'!M18</f>
        <v>0</v>
      </c>
      <c r="K28" s="19">
        <f>'AEO 2023 Table 46 Raw'!N18</f>
        <v>0</v>
      </c>
      <c r="L28" s="19">
        <f>'AEO 2023 Table 46 Raw'!O18</f>
        <v>0</v>
      </c>
      <c r="M28" s="19">
        <f>'AEO 2023 Table 46 Raw'!P18</f>
        <v>0</v>
      </c>
      <c r="N28" s="19">
        <f>'AEO 2023 Table 46 Raw'!Q18</f>
        <v>0</v>
      </c>
      <c r="O28" s="19">
        <f>'AEO 2023 Table 46 Raw'!R18</f>
        <v>0</v>
      </c>
      <c r="P28" s="19">
        <f>'AEO 2023 Table 46 Raw'!S18</f>
        <v>0</v>
      </c>
      <c r="Q28" s="19">
        <f>'AEO 2023 Table 46 Raw'!T18</f>
        <v>0</v>
      </c>
      <c r="R28" s="19">
        <f>'AEO 2023 Table 46 Raw'!U18</f>
        <v>0</v>
      </c>
      <c r="S28" s="19">
        <f>'AEO 2023 Table 46 Raw'!V18</f>
        <v>0</v>
      </c>
      <c r="T28" s="19">
        <f>'AEO 2023 Table 46 Raw'!W18</f>
        <v>0</v>
      </c>
      <c r="U28" s="19">
        <f>'AEO 2023 Table 46 Raw'!X18</f>
        <v>0</v>
      </c>
      <c r="V28" s="19">
        <f>'AEO 2023 Table 46 Raw'!Y18</f>
        <v>0</v>
      </c>
      <c r="W28" s="19">
        <f>'AEO 2023 Table 46 Raw'!Z18</f>
        <v>0</v>
      </c>
      <c r="X28" s="19">
        <f>'AEO 2023 Table 46 Raw'!AA18</f>
        <v>0</v>
      </c>
      <c r="Y28" s="19">
        <f>'AEO 2023 Table 46 Raw'!AB18</f>
        <v>0</v>
      </c>
      <c r="Z28" s="19">
        <f>'AEO 2023 Table 46 Raw'!AC18</f>
        <v>0</v>
      </c>
      <c r="AA28" s="19">
        <f>'AEO 2023 Table 46 Raw'!AD18</f>
        <v>0</v>
      </c>
      <c r="AB28" s="19">
        <f>'AEO 2023 Table 46 Raw'!AE18</f>
        <v>0</v>
      </c>
      <c r="AC28" s="19">
        <f>'AEO 2023 Table 46 Raw'!AF18</f>
        <v>0</v>
      </c>
      <c r="AD28" s="19">
        <f>'AEO 2023 Table 46 Raw'!AG18</f>
        <v>0</v>
      </c>
      <c r="AE28" s="19">
        <f>'AEO 2023 Table 46 Raw'!AH18</f>
        <v>0</v>
      </c>
      <c r="AF28" s="30" t="str">
        <f>'AEO 2023 Table 46 Raw'!AI18</f>
        <v>- -</v>
      </c>
    </row>
    <row r="29" spans="1:32" ht="15" customHeight="1">
      <c r="A29" s="7" t="s">
        <v>434</v>
      </c>
      <c r="B29" s="16" t="s">
        <v>435</v>
      </c>
      <c r="C29" s="19">
        <f>'AEO 2023 Table 46 Raw'!F19</f>
        <v>2.0884179999999999</v>
      </c>
      <c r="D29" s="19">
        <f>'AEO 2023 Table 46 Raw'!G19</f>
        <v>2.0554230000000002</v>
      </c>
      <c r="E29" s="19">
        <f>'AEO 2023 Table 46 Raw'!H19</f>
        <v>2.0266060000000001</v>
      </c>
      <c r="F29" s="19">
        <f>'AEO 2023 Table 46 Raw'!I19</f>
        <v>1.99352</v>
      </c>
      <c r="G29" s="19">
        <f>'AEO 2023 Table 46 Raw'!J19</f>
        <v>1.9694149999999999</v>
      </c>
      <c r="H29" s="19">
        <f>'AEO 2023 Table 46 Raw'!K19</f>
        <v>1.9384250000000001</v>
      </c>
      <c r="I29" s="19">
        <f>'AEO 2023 Table 46 Raw'!L19</f>
        <v>1.9172</v>
      </c>
      <c r="J29" s="19">
        <f>'AEO 2023 Table 46 Raw'!M19</f>
        <v>1.90723</v>
      </c>
      <c r="K29" s="19">
        <f>'AEO 2023 Table 46 Raw'!N19</f>
        <v>1.9056679999999999</v>
      </c>
      <c r="L29" s="19">
        <f>'AEO 2023 Table 46 Raw'!O19</f>
        <v>1.910166</v>
      </c>
      <c r="M29" s="19">
        <f>'AEO 2023 Table 46 Raw'!P19</f>
        <v>1.929648</v>
      </c>
      <c r="N29" s="19">
        <f>'AEO 2023 Table 46 Raw'!Q19</f>
        <v>1.958029</v>
      </c>
      <c r="O29" s="19">
        <f>'AEO 2023 Table 46 Raw'!R19</f>
        <v>1.982791</v>
      </c>
      <c r="P29" s="19">
        <f>'AEO 2023 Table 46 Raw'!S19</f>
        <v>2.0052650000000001</v>
      </c>
      <c r="Q29" s="19">
        <f>'AEO 2023 Table 46 Raw'!T19</f>
        <v>2.032648</v>
      </c>
      <c r="R29" s="19">
        <f>'AEO 2023 Table 46 Raw'!U19</f>
        <v>2.06969</v>
      </c>
      <c r="S29" s="19">
        <f>'AEO 2023 Table 46 Raw'!V19</f>
        <v>2.1170339999999999</v>
      </c>
      <c r="T29" s="19">
        <f>'AEO 2023 Table 46 Raw'!W19</f>
        <v>2.1721699999999999</v>
      </c>
      <c r="U29" s="19">
        <f>'AEO 2023 Table 46 Raw'!X19</f>
        <v>2.226817</v>
      </c>
      <c r="V29" s="19">
        <f>'AEO 2023 Table 46 Raw'!Y19</f>
        <v>2.2782650000000002</v>
      </c>
      <c r="W29" s="19">
        <f>'AEO 2023 Table 46 Raw'!Z19</f>
        <v>2.330559</v>
      </c>
      <c r="X29" s="19">
        <f>'AEO 2023 Table 46 Raw'!AA19</f>
        <v>2.3792659999999999</v>
      </c>
      <c r="Y29" s="19">
        <f>'AEO 2023 Table 46 Raw'!AB19</f>
        <v>2.4213439999999999</v>
      </c>
      <c r="Z29" s="19">
        <f>'AEO 2023 Table 46 Raw'!AC19</f>
        <v>2.4613290000000001</v>
      </c>
      <c r="AA29" s="19">
        <f>'AEO 2023 Table 46 Raw'!AD19</f>
        <v>2.5019070000000001</v>
      </c>
      <c r="AB29" s="19">
        <f>'AEO 2023 Table 46 Raw'!AE19</f>
        <v>2.5446409999999999</v>
      </c>
      <c r="AC29" s="19">
        <f>'AEO 2023 Table 46 Raw'!AF19</f>
        <v>2.5898810000000001</v>
      </c>
      <c r="AD29" s="19">
        <f>'AEO 2023 Table 46 Raw'!AG19</f>
        <v>2.6312850000000001</v>
      </c>
      <c r="AE29" s="19">
        <f>'AEO 2023 Table 46 Raw'!AH19</f>
        <v>2.6727620000000001</v>
      </c>
      <c r="AF29" s="30">
        <f>'AEO 2023 Table 46 Raw'!AI19</f>
        <v>8.9999999999999993E-3</v>
      </c>
    </row>
    <row r="30" spans="1:32" ht="15" customHeight="1">
      <c r="A30" s="7" t="s">
        <v>436</v>
      </c>
      <c r="B30" s="16" t="s">
        <v>437</v>
      </c>
      <c r="C30" s="19">
        <f>'AEO 2023 Table 46 Raw'!F20</f>
        <v>8.4440000000000001E-2</v>
      </c>
      <c r="D30" s="19">
        <f>'AEO 2023 Table 46 Raw'!G20</f>
        <v>7.8244999999999995E-2</v>
      </c>
      <c r="E30" s="19">
        <f>'AEO 2023 Table 46 Raw'!H20</f>
        <v>7.1707999999999994E-2</v>
      </c>
      <c r="F30" s="19">
        <f>'AEO 2023 Table 46 Raw'!I20</f>
        <v>6.5062999999999996E-2</v>
      </c>
      <c r="G30" s="19">
        <f>'AEO 2023 Table 46 Raw'!J20</f>
        <v>5.8495999999999999E-2</v>
      </c>
      <c r="H30" s="19">
        <f>'AEO 2023 Table 46 Raw'!K20</f>
        <v>5.1991000000000002E-2</v>
      </c>
      <c r="I30" s="19">
        <f>'AEO 2023 Table 46 Raw'!L20</f>
        <v>4.5643999999999997E-2</v>
      </c>
      <c r="J30" s="19">
        <f>'AEO 2023 Table 46 Raw'!M20</f>
        <v>3.9710000000000002E-2</v>
      </c>
      <c r="K30" s="19">
        <f>'AEO 2023 Table 46 Raw'!N20</f>
        <v>3.4805999999999997E-2</v>
      </c>
      <c r="L30" s="19">
        <f>'AEO 2023 Table 46 Raw'!O20</f>
        <v>3.0196000000000001E-2</v>
      </c>
      <c r="M30" s="19">
        <f>'AEO 2023 Table 46 Raw'!P20</f>
        <v>2.6155999999999999E-2</v>
      </c>
      <c r="N30" s="19">
        <f>'AEO 2023 Table 46 Raw'!Q20</f>
        <v>2.2713000000000001E-2</v>
      </c>
      <c r="O30" s="19">
        <f>'AEO 2023 Table 46 Raw'!R20</f>
        <v>1.9885E-2</v>
      </c>
      <c r="P30" s="19">
        <f>'AEO 2023 Table 46 Raw'!S20</f>
        <v>1.7531000000000001E-2</v>
      </c>
      <c r="Q30" s="19">
        <f>'AEO 2023 Table 46 Raw'!T20</f>
        <v>1.5620999999999999E-2</v>
      </c>
      <c r="R30" s="19">
        <f>'AEO 2023 Table 46 Raw'!U20</f>
        <v>1.4361000000000001E-2</v>
      </c>
      <c r="S30" s="19">
        <f>'AEO 2023 Table 46 Raw'!V20</f>
        <v>1.3289E-2</v>
      </c>
      <c r="T30" s="19">
        <f>'AEO 2023 Table 46 Raw'!W20</f>
        <v>1.2399E-2</v>
      </c>
      <c r="U30" s="19">
        <f>'AEO 2023 Table 46 Raw'!X20</f>
        <v>1.1609E-2</v>
      </c>
      <c r="V30" s="19">
        <f>'AEO 2023 Table 46 Raw'!Y20</f>
        <v>1.0869999999999999E-2</v>
      </c>
      <c r="W30" s="19">
        <f>'AEO 2023 Table 46 Raw'!Z20</f>
        <v>1.0177E-2</v>
      </c>
      <c r="X30" s="19">
        <f>'AEO 2023 Table 46 Raw'!AA20</f>
        <v>9.5289999999999993E-3</v>
      </c>
      <c r="Y30" s="19">
        <f>'AEO 2023 Table 46 Raw'!AB20</f>
        <v>8.9219999999999994E-3</v>
      </c>
      <c r="Z30" s="19">
        <f>'AEO 2023 Table 46 Raw'!AC20</f>
        <v>8.3540000000000003E-3</v>
      </c>
      <c r="AA30" s="19">
        <f>'AEO 2023 Table 46 Raw'!AD20</f>
        <v>7.8209999999999998E-3</v>
      </c>
      <c r="AB30" s="19">
        <f>'AEO 2023 Table 46 Raw'!AE20</f>
        <v>7.3229999999999996E-3</v>
      </c>
      <c r="AC30" s="19">
        <f>'AEO 2023 Table 46 Raw'!AF20</f>
        <v>6.8570000000000002E-3</v>
      </c>
      <c r="AD30" s="19">
        <f>'AEO 2023 Table 46 Raw'!AG20</f>
        <v>6.4200000000000004E-3</v>
      </c>
      <c r="AE30" s="19">
        <f>'AEO 2023 Table 46 Raw'!AH20</f>
        <v>6.0109999999999999E-3</v>
      </c>
      <c r="AF30" s="30">
        <f>'AEO 2023 Table 46 Raw'!AI20</f>
        <v>-0.09</v>
      </c>
    </row>
    <row r="31" spans="1:32" ht="15" customHeight="1">
      <c r="A31" s="7" t="s">
        <v>438</v>
      </c>
      <c r="B31" s="16" t="s">
        <v>439</v>
      </c>
      <c r="C31" s="19">
        <f>'AEO 2023 Table 46 Raw'!F21</f>
        <v>2.2590000000000002E-3</v>
      </c>
      <c r="D31" s="19">
        <f>'AEO 2023 Table 46 Raw'!G21</f>
        <v>1.944E-3</v>
      </c>
      <c r="E31" s="19">
        <f>'AEO 2023 Table 46 Raw'!H21</f>
        <v>1.7600000000000001E-3</v>
      </c>
      <c r="F31" s="19">
        <f>'AEO 2023 Table 46 Raw'!I21</f>
        <v>1.6479999999999999E-3</v>
      </c>
      <c r="G31" s="19">
        <f>'AEO 2023 Table 46 Raw'!J21</f>
        <v>1.5430000000000001E-3</v>
      </c>
      <c r="H31" s="19">
        <f>'AEO 2023 Table 46 Raw'!K21</f>
        <v>1.4450000000000001E-3</v>
      </c>
      <c r="I31" s="19">
        <f>'AEO 2023 Table 46 Raw'!L21</f>
        <v>1.353E-3</v>
      </c>
      <c r="J31" s="19">
        <f>'AEO 2023 Table 46 Raw'!M21</f>
        <v>1.266E-3</v>
      </c>
      <c r="K31" s="19">
        <f>'AEO 2023 Table 46 Raw'!N21</f>
        <v>1.186E-3</v>
      </c>
      <c r="L31" s="19">
        <f>'AEO 2023 Table 46 Raw'!O21</f>
        <v>1.1100000000000001E-3</v>
      </c>
      <c r="M31" s="19">
        <f>'AEO 2023 Table 46 Raw'!P21</f>
        <v>1.0399999999999999E-3</v>
      </c>
      <c r="N31" s="19">
        <f>'AEO 2023 Table 46 Raw'!Q21</f>
        <v>9.7300000000000002E-4</v>
      </c>
      <c r="O31" s="19">
        <f>'AEO 2023 Table 46 Raw'!R21</f>
        <v>9.1100000000000003E-4</v>
      </c>
      <c r="P31" s="19">
        <f>'AEO 2023 Table 46 Raw'!S21</f>
        <v>8.5300000000000003E-4</v>
      </c>
      <c r="Q31" s="19">
        <f>'AEO 2023 Table 46 Raw'!T21</f>
        <v>7.9900000000000001E-4</v>
      </c>
      <c r="R31" s="19">
        <f>'AEO 2023 Table 46 Raw'!U21</f>
        <v>7.4799999999999997E-4</v>
      </c>
      <c r="S31" s="19">
        <f>'AEO 2023 Table 46 Raw'!V21</f>
        <v>6.9999999999999999E-4</v>
      </c>
      <c r="T31" s="19">
        <f>'AEO 2023 Table 46 Raw'!W21</f>
        <v>6.5600000000000001E-4</v>
      </c>
      <c r="U31" s="19">
        <f>'AEO 2023 Table 46 Raw'!X21</f>
        <v>6.1399999999999996E-4</v>
      </c>
      <c r="V31" s="19">
        <f>'AEO 2023 Table 46 Raw'!Y21</f>
        <v>5.7499999999999999E-4</v>
      </c>
      <c r="W31" s="19">
        <f>'AEO 2023 Table 46 Raw'!Z21</f>
        <v>5.3799999999999996E-4</v>
      </c>
      <c r="X31" s="19">
        <f>'AEO 2023 Table 46 Raw'!AA21</f>
        <v>5.04E-4</v>
      </c>
      <c r="Y31" s="19">
        <f>'AEO 2023 Table 46 Raw'!AB21</f>
        <v>4.7199999999999998E-4</v>
      </c>
      <c r="Z31" s="19">
        <f>'AEO 2023 Table 46 Raw'!AC21</f>
        <v>4.4200000000000001E-4</v>
      </c>
      <c r="AA31" s="19">
        <f>'AEO 2023 Table 46 Raw'!AD21</f>
        <v>4.1399999999999998E-4</v>
      </c>
      <c r="AB31" s="19">
        <f>'AEO 2023 Table 46 Raw'!AE21</f>
        <v>3.8699999999999997E-4</v>
      </c>
      <c r="AC31" s="19">
        <f>'AEO 2023 Table 46 Raw'!AF21</f>
        <v>3.6299999999999999E-4</v>
      </c>
      <c r="AD31" s="19">
        <f>'AEO 2023 Table 46 Raw'!AG21</f>
        <v>3.4000000000000002E-4</v>
      </c>
      <c r="AE31" s="19">
        <f>'AEO 2023 Table 46 Raw'!AH21</f>
        <v>3.1799999999999998E-4</v>
      </c>
      <c r="AF31" s="30">
        <f>'AEO 2023 Table 46 Raw'!AI21</f>
        <v>-6.8000000000000005E-2</v>
      </c>
    </row>
    <row r="32" spans="1:32" ht="15" customHeight="1">
      <c r="A32" s="7" t="s">
        <v>440</v>
      </c>
      <c r="B32" s="16" t="s">
        <v>441</v>
      </c>
      <c r="C32" s="19">
        <f>'AEO 2023 Table 46 Raw'!F22</f>
        <v>1.5181E-2</v>
      </c>
      <c r="D32" s="19">
        <f>'AEO 2023 Table 46 Raw'!G22</f>
        <v>1.2968E-2</v>
      </c>
      <c r="E32" s="19">
        <f>'AEO 2023 Table 46 Raw'!H22</f>
        <v>1.1150999999999999E-2</v>
      </c>
      <c r="F32" s="19">
        <f>'AEO 2023 Table 46 Raw'!I22</f>
        <v>9.6790000000000001E-3</v>
      </c>
      <c r="G32" s="19">
        <f>'AEO 2023 Table 46 Raw'!J22</f>
        <v>8.7530000000000004E-3</v>
      </c>
      <c r="H32" s="19">
        <f>'AEO 2023 Table 46 Raw'!K22</f>
        <v>8.1770000000000002E-3</v>
      </c>
      <c r="I32" s="19">
        <f>'AEO 2023 Table 46 Raw'!L22</f>
        <v>7.6559999999999996E-3</v>
      </c>
      <c r="J32" s="19">
        <f>'AEO 2023 Table 46 Raw'!M22</f>
        <v>7.1679999999999999E-3</v>
      </c>
      <c r="K32" s="19">
        <f>'AEO 2023 Table 46 Raw'!N22</f>
        <v>6.7120000000000001E-3</v>
      </c>
      <c r="L32" s="19">
        <f>'AEO 2023 Table 46 Raw'!O22</f>
        <v>6.2839999999999997E-3</v>
      </c>
      <c r="M32" s="19">
        <f>'AEO 2023 Table 46 Raw'!P22</f>
        <v>5.8840000000000003E-3</v>
      </c>
      <c r="N32" s="19">
        <f>'AEO 2023 Table 46 Raw'!Q22</f>
        <v>5.509E-3</v>
      </c>
      <c r="O32" s="19">
        <f>'AEO 2023 Table 46 Raw'!R22</f>
        <v>5.1580000000000003E-3</v>
      </c>
      <c r="P32" s="19">
        <f>'AEO 2023 Table 46 Raw'!S22</f>
        <v>4.829E-3</v>
      </c>
      <c r="Q32" s="19">
        <f>'AEO 2023 Table 46 Raw'!T22</f>
        <v>4.522E-3</v>
      </c>
      <c r="R32" s="19">
        <f>'AEO 2023 Table 46 Raw'!U22</f>
        <v>4.2339999999999999E-3</v>
      </c>
      <c r="S32" s="19">
        <f>'AEO 2023 Table 46 Raw'!V22</f>
        <v>3.9639999999999996E-3</v>
      </c>
      <c r="T32" s="19">
        <f>'AEO 2023 Table 46 Raw'!W22</f>
        <v>3.7109999999999999E-3</v>
      </c>
      <c r="U32" s="19">
        <f>'AEO 2023 Table 46 Raw'!X22</f>
        <v>3.4749999999999998E-3</v>
      </c>
      <c r="V32" s="19">
        <f>'AEO 2023 Table 46 Raw'!Y22</f>
        <v>3.2539999999999999E-3</v>
      </c>
      <c r="W32" s="19">
        <f>'AEO 2023 Table 46 Raw'!Z22</f>
        <v>3.0460000000000001E-3</v>
      </c>
      <c r="X32" s="19">
        <f>'AEO 2023 Table 46 Raw'!AA22</f>
        <v>2.8519999999999999E-3</v>
      </c>
      <c r="Y32" s="19">
        <f>'AEO 2023 Table 46 Raw'!AB22</f>
        <v>2.6710000000000002E-3</v>
      </c>
      <c r="Z32" s="19">
        <f>'AEO 2023 Table 46 Raw'!AC22</f>
        <v>2.5010000000000002E-3</v>
      </c>
      <c r="AA32" s="19">
        <f>'AEO 2023 Table 46 Raw'!AD22</f>
        <v>2.3410000000000002E-3</v>
      </c>
      <c r="AB32" s="19">
        <f>'AEO 2023 Table 46 Raw'!AE22</f>
        <v>2.1919999999999999E-3</v>
      </c>
      <c r="AC32" s="19">
        <f>'AEO 2023 Table 46 Raw'!AF22</f>
        <v>2.052E-3</v>
      </c>
      <c r="AD32" s="19">
        <f>'AEO 2023 Table 46 Raw'!AG22</f>
        <v>1.9220000000000001E-3</v>
      </c>
      <c r="AE32" s="19">
        <f>'AEO 2023 Table 46 Raw'!AH22</f>
        <v>1.799E-3</v>
      </c>
      <c r="AF32" s="30">
        <f>'AEO 2023 Table 46 Raw'!AI22</f>
        <v>-7.2999999999999995E-2</v>
      </c>
    </row>
    <row r="33" spans="1:32" ht="15" customHeight="1">
      <c r="A33" s="7" t="s">
        <v>442</v>
      </c>
      <c r="B33" s="16" t="s">
        <v>443</v>
      </c>
      <c r="C33" s="19">
        <f>'AEO 2023 Table 46 Raw'!F23</f>
        <v>2.9725000000000001E-2</v>
      </c>
      <c r="D33" s="19">
        <f>'AEO 2023 Table 46 Raw'!G23</f>
        <v>2.5337999999999999E-2</v>
      </c>
      <c r="E33" s="19">
        <f>'AEO 2023 Table 46 Raw'!H23</f>
        <v>2.1677999999999999E-2</v>
      </c>
      <c r="F33" s="19">
        <f>'AEO 2023 Table 46 Raw'!I23</f>
        <v>1.8672999999999999E-2</v>
      </c>
      <c r="G33" s="19">
        <f>'AEO 2023 Table 46 Raw'!J23</f>
        <v>1.6624E-2</v>
      </c>
      <c r="H33" s="19">
        <f>'AEO 2023 Table 46 Raw'!K23</f>
        <v>1.5348000000000001E-2</v>
      </c>
      <c r="I33" s="19">
        <f>'AEO 2023 Table 46 Raw'!L23</f>
        <v>1.4264000000000001E-2</v>
      </c>
      <c r="J33" s="19">
        <f>'AEO 2023 Table 46 Raw'!M23</f>
        <v>1.3356E-2</v>
      </c>
      <c r="K33" s="19">
        <f>'AEO 2023 Table 46 Raw'!N23</f>
        <v>1.2505E-2</v>
      </c>
      <c r="L33" s="19">
        <f>'AEO 2023 Table 46 Raw'!O23</f>
        <v>1.1708E-2</v>
      </c>
      <c r="M33" s="19">
        <f>'AEO 2023 Table 46 Raw'!P23</f>
        <v>1.0962E-2</v>
      </c>
      <c r="N33" s="19">
        <f>'AEO 2023 Table 46 Raw'!Q23</f>
        <v>1.0264000000000001E-2</v>
      </c>
      <c r="O33" s="19">
        <f>'AEO 2023 Table 46 Raw'!R23</f>
        <v>9.6100000000000005E-3</v>
      </c>
      <c r="P33" s="19">
        <f>'AEO 2023 Table 46 Raw'!S23</f>
        <v>8.9980000000000008E-3</v>
      </c>
      <c r="Q33" s="19">
        <f>'AEO 2023 Table 46 Raw'!T23</f>
        <v>8.4250000000000002E-3</v>
      </c>
      <c r="R33" s="19">
        <f>'AEO 2023 Table 46 Raw'!U23</f>
        <v>7.8879999999999992E-3</v>
      </c>
      <c r="S33" s="19">
        <f>'AEO 2023 Table 46 Raw'!V23</f>
        <v>7.3860000000000002E-3</v>
      </c>
      <c r="T33" s="19">
        <f>'AEO 2023 Table 46 Raw'!W23</f>
        <v>6.9150000000000001E-3</v>
      </c>
      <c r="U33" s="19">
        <f>'AEO 2023 Table 46 Raw'!X23</f>
        <v>6.4749999999999999E-3</v>
      </c>
      <c r="V33" s="19">
        <f>'AEO 2023 Table 46 Raw'!Y23</f>
        <v>6.0619999999999997E-3</v>
      </c>
      <c r="W33" s="19">
        <f>'AEO 2023 Table 46 Raw'!Z23</f>
        <v>5.6759999999999996E-3</v>
      </c>
      <c r="X33" s="19">
        <f>'AEO 2023 Table 46 Raw'!AA23</f>
        <v>5.3140000000000001E-3</v>
      </c>
      <c r="Y33" s="19">
        <f>'AEO 2023 Table 46 Raw'!AB23</f>
        <v>4.9760000000000004E-3</v>
      </c>
      <c r="Z33" s="19">
        <f>'AEO 2023 Table 46 Raw'!AC23</f>
        <v>4.6589999999999999E-3</v>
      </c>
      <c r="AA33" s="19">
        <f>'AEO 2023 Table 46 Raw'!AD23</f>
        <v>4.3620000000000004E-3</v>
      </c>
      <c r="AB33" s="19">
        <f>'AEO 2023 Table 46 Raw'!AE23</f>
        <v>4.084E-3</v>
      </c>
      <c r="AC33" s="19">
        <f>'AEO 2023 Table 46 Raw'!AF23</f>
        <v>3.8240000000000001E-3</v>
      </c>
      <c r="AD33" s="19">
        <f>'AEO 2023 Table 46 Raw'!AG23</f>
        <v>3.5799999999999998E-3</v>
      </c>
      <c r="AE33" s="19">
        <f>'AEO 2023 Table 46 Raw'!AH23</f>
        <v>3.3519999999999999E-3</v>
      </c>
      <c r="AF33" s="30">
        <f>'AEO 2023 Table 46 Raw'!AI23</f>
        <v>-7.4999999999999997E-2</v>
      </c>
    </row>
    <row r="34" spans="1:32" ht="15" customHeight="1">
      <c r="A34" s="7" t="s">
        <v>444</v>
      </c>
      <c r="B34" s="16" t="s">
        <v>445</v>
      </c>
      <c r="C34" s="19">
        <f>'AEO 2023 Table 46 Raw'!F24</f>
        <v>0</v>
      </c>
      <c r="D34" s="19">
        <f>'AEO 2023 Table 46 Raw'!G24</f>
        <v>0</v>
      </c>
      <c r="E34" s="19">
        <f>'AEO 2023 Table 46 Raw'!H24</f>
        <v>0</v>
      </c>
      <c r="F34" s="19">
        <f>'AEO 2023 Table 46 Raw'!I24</f>
        <v>0</v>
      </c>
      <c r="G34" s="19">
        <f>'AEO 2023 Table 46 Raw'!J24</f>
        <v>0</v>
      </c>
      <c r="H34" s="19">
        <f>'AEO 2023 Table 46 Raw'!K24</f>
        <v>0</v>
      </c>
      <c r="I34" s="19">
        <f>'AEO 2023 Table 46 Raw'!L24</f>
        <v>0</v>
      </c>
      <c r="J34" s="19">
        <f>'AEO 2023 Table 46 Raw'!M24</f>
        <v>0</v>
      </c>
      <c r="K34" s="19">
        <f>'AEO 2023 Table 46 Raw'!N24</f>
        <v>0</v>
      </c>
      <c r="L34" s="19">
        <f>'AEO 2023 Table 46 Raw'!O24</f>
        <v>0</v>
      </c>
      <c r="M34" s="19">
        <f>'AEO 2023 Table 46 Raw'!P24</f>
        <v>0</v>
      </c>
      <c r="N34" s="19">
        <f>'AEO 2023 Table 46 Raw'!Q24</f>
        <v>0</v>
      </c>
      <c r="O34" s="19">
        <f>'AEO 2023 Table 46 Raw'!R24</f>
        <v>0</v>
      </c>
      <c r="P34" s="19">
        <f>'AEO 2023 Table 46 Raw'!S24</f>
        <v>0</v>
      </c>
      <c r="Q34" s="19">
        <f>'AEO 2023 Table 46 Raw'!T24</f>
        <v>0</v>
      </c>
      <c r="R34" s="19">
        <f>'AEO 2023 Table 46 Raw'!U24</f>
        <v>0</v>
      </c>
      <c r="S34" s="19">
        <f>'AEO 2023 Table 46 Raw'!V24</f>
        <v>0</v>
      </c>
      <c r="T34" s="19">
        <f>'AEO 2023 Table 46 Raw'!W24</f>
        <v>0</v>
      </c>
      <c r="U34" s="19">
        <f>'AEO 2023 Table 46 Raw'!X24</f>
        <v>0</v>
      </c>
      <c r="V34" s="19">
        <f>'AEO 2023 Table 46 Raw'!Y24</f>
        <v>0</v>
      </c>
      <c r="W34" s="19">
        <f>'AEO 2023 Table 46 Raw'!Z24</f>
        <v>0</v>
      </c>
      <c r="X34" s="19">
        <f>'AEO 2023 Table 46 Raw'!AA24</f>
        <v>0</v>
      </c>
      <c r="Y34" s="19">
        <f>'AEO 2023 Table 46 Raw'!AB24</f>
        <v>0</v>
      </c>
      <c r="Z34" s="19">
        <f>'AEO 2023 Table 46 Raw'!AC24</f>
        <v>0</v>
      </c>
      <c r="AA34" s="19">
        <f>'AEO 2023 Table 46 Raw'!AD24</f>
        <v>0</v>
      </c>
      <c r="AB34" s="19">
        <f>'AEO 2023 Table 46 Raw'!AE24</f>
        <v>0</v>
      </c>
      <c r="AC34" s="19">
        <f>'AEO 2023 Table 46 Raw'!AF24</f>
        <v>0</v>
      </c>
      <c r="AD34" s="19">
        <f>'AEO 2023 Table 46 Raw'!AG24</f>
        <v>0</v>
      </c>
      <c r="AE34" s="19">
        <f>'AEO 2023 Table 46 Raw'!AH24</f>
        <v>0</v>
      </c>
      <c r="AF34" s="30" t="str">
        <f>'AEO 2023 Table 46 Raw'!AI24</f>
        <v>- -</v>
      </c>
    </row>
    <row r="35" spans="1:32" ht="15" customHeight="1">
      <c r="A35" s="7" t="s">
        <v>446</v>
      </c>
      <c r="B35" s="16" t="s">
        <v>447</v>
      </c>
      <c r="C35" s="19">
        <f>'AEO 2023 Table 46 Raw'!F25</f>
        <v>4.8399999999999997E-3</v>
      </c>
      <c r="D35" s="19">
        <f>'AEO 2023 Table 46 Raw'!G25</f>
        <v>4.7530000000000003E-3</v>
      </c>
      <c r="E35" s="19">
        <f>'AEO 2023 Table 46 Raw'!H25</f>
        <v>4.9220000000000002E-3</v>
      </c>
      <c r="F35" s="19">
        <f>'AEO 2023 Table 46 Raw'!I25</f>
        <v>5.2830000000000004E-3</v>
      </c>
      <c r="G35" s="19">
        <f>'AEO 2023 Table 46 Raw'!J25</f>
        <v>5.7860000000000003E-3</v>
      </c>
      <c r="H35" s="19">
        <f>'AEO 2023 Table 46 Raw'!K25</f>
        <v>6.378E-3</v>
      </c>
      <c r="I35" s="19">
        <f>'AEO 2023 Table 46 Raw'!L25</f>
        <v>7.0569999999999999E-3</v>
      </c>
      <c r="J35" s="19">
        <f>'AEO 2023 Table 46 Raw'!M25</f>
        <v>7.8270000000000006E-3</v>
      </c>
      <c r="K35" s="19">
        <f>'AEO 2023 Table 46 Raw'!N25</f>
        <v>8.6669999999999994E-3</v>
      </c>
      <c r="L35" s="19">
        <f>'AEO 2023 Table 46 Raw'!O25</f>
        <v>9.5650000000000006E-3</v>
      </c>
      <c r="M35" s="19">
        <f>'AEO 2023 Table 46 Raw'!P25</f>
        <v>1.0574999999999999E-2</v>
      </c>
      <c r="N35" s="19">
        <f>'AEO 2023 Table 46 Raw'!Q25</f>
        <v>1.1660999999999999E-2</v>
      </c>
      <c r="O35" s="19">
        <f>'AEO 2023 Table 46 Raw'!R25</f>
        <v>1.2754E-2</v>
      </c>
      <c r="P35" s="19">
        <f>'AEO 2023 Table 46 Raw'!S25</f>
        <v>1.3861999999999999E-2</v>
      </c>
      <c r="Q35" s="19">
        <f>'AEO 2023 Table 46 Raw'!T25</f>
        <v>1.5016E-2</v>
      </c>
      <c r="R35" s="19">
        <f>'AEO 2023 Table 46 Raw'!U25</f>
        <v>1.6240999999999998E-2</v>
      </c>
      <c r="S35" s="19">
        <f>'AEO 2023 Table 46 Raw'!V25</f>
        <v>1.7554E-2</v>
      </c>
      <c r="T35" s="19">
        <f>'AEO 2023 Table 46 Raw'!W25</f>
        <v>1.8945E-2</v>
      </c>
      <c r="U35" s="19">
        <f>'AEO 2023 Table 46 Raw'!X25</f>
        <v>2.0358000000000001E-2</v>
      </c>
      <c r="V35" s="19">
        <f>'AEO 2023 Table 46 Raw'!Y25</f>
        <v>2.1772E-2</v>
      </c>
      <c r="W35" s="19">
        <f>'AEO 2023 Table 46 Raw'!Z25</f>
        <v>2.3202E-2</v>
      </c>
      <c r="X35" s="19">
        <f>'AEO 2023 Table 46 Raw'!AA25</f>
        <v>2.4597999999999998E-2</v>
      </c>
      <c r="Y35" s="19">
        <f>'AEO 2023 Table 46 Raw'!AB25</f>
        <v>2.5939E-2</v>
      </c>
      <c r="Z35" s="19">
        <f>'AEO 2023 Table 46 Raw'!AC25</f>
        <v>2.7257E-2</v>
      </c>
      <c r="AA35" s="19">
        <f>'AEO 2023 Table 46 Raw'!AD25</f>
        <v>2.8565E-2</v>
      </c>
      <c r="AB35" s="19">
        <f>'AEO 2023 Table 46 Raw'!AE25</f>
        <v>2.9877999999999998E-2</v>
      </c>
      <c r="AC35" s="19">
        <f>'AEO 2023 Table 46 Raw'!AF25</f>
        <v>3.1206999999999999E-2</v>
      </c>
      <c r="AD35" s="19">
        <f>'AEO 2023 Table 46 Raw'!AG25</f>
        <v>3.2496999999999998E-2</v>
      </c>
      <c r="AE35" s="19">
        <f>'AEO 2023 Table 46 Raw'!AH25</f>
        <v>3.3785999999999997E-2</v>
      </c>
      <c r="AF35" s="30">
        <f>'AEO 2023 Table 46 Raw'!AI25</f>
        <v>7.1999999999999995E-2</v>
      </c>
    </row>
    <row r="36" spans="1:32" ht="15" customHeight="1">
      <c r="A36" s="7" t="s">
        <v>448</v>
      </c>
      <c r="B36" s="16" t="s">
        <v>449</v>
      </c>
      <c r="C36" s="19">
        <f>'AEO 2023 Table 46 Raw'!F26</f>
        <v>5.5090430000000001</v>
      </c>
      <c r="D36" s="19">
        <f>'AEO 2023 Table 46 Raw'!G26</f>
        <v>5.2944570000000004</v>
      </c>
      <c r="E36" s="19">
        <f>'AEO 2023 Table 46 Raw'!H26</f>
        <v>5.1420300000000001</v>
      </c>
      <c r="F36" s="19">
        <f>'AEO 2023 Table 46 Raw'!I26</f>
        <v>5.0320220000000004</v>
      </c>
      <c r="G36" s="19">
        <f>'AEO 2023 Table 46 Raw'!J26</f>
        <v>4.9612869999999996</v>
      </c>
      <c r="H36" s="19">
        <f>'AEO 2023 Table 46 Raw'!K26</f>
        <v>4.8973899999999997</v>
      </c>
      <c r="I36" s="19">
        <f>'AEO 2023 Table 46 Raw'!L26</f>
        <v>4.8672620000000002</v>
      </c>
      <c r="J36" s="19">
        <f>'AEO 2023 Table 46 Raw'!M26</f>
        <v>4.8756060000000003</v>
      </c>
      <c r="K36" s="19">
        <f>'AEO 2023 Table 46 Raw'!N26</f>
        <v>4.9122690000000002</v>
      </c>
      <c r="L36" s="19">
        <f>'AEO 2023 Table 46 Raw'!O26</f>
        <v>4.9692109999999996</v>
      </c>
      <c r="M36" s="19">
        <f>'AEO 2023 Table 46 Raw'!P26</f>
        <v>5.0748540000000002</v>
      </c>
      <c r="N36" s="19">
        <f>'AEO 2023 Table 46 Raw'!Q26</f>
        <v>5.2112740000000004</v>
      </c>
      <c r="O36" s="19">
        <f>'AEO 2023 Table 46 Raw'!R26</f>
        <v>5.3364409999999998</v>
      </c>
      <c r="P36" s="19">
        <f>'AEO 2023 Table 46 Raw'!S26</f>
        <v>5.4537319999999996</v>
      </c>
      <c r="Q36" s="19">
        <f>'AEO 2023 Table 46 Raw'!T26</f>
        <v>5.5876749999999999</v>
      </c>
      <c r="R36" s="19">
        <f>'AEO 2023 Table 46 Raw'!U26</f>
        <v>5.7532639999999997</v>
      </c>
      <c r="S36" s="19">
        <f>'AEO 2023 Table 46 Raw'!V26</f>
        <v>5.9519209999999996</v>
      </c>
      <c r="T36" s="19">
        <f>'AEO 2023 Table 46 Raw'!W26</f>
        <v>6.1751339999999999</v>
      </c>
      <c r="U36" s="19">
        <f>'AEO 2023 Table 46 Raw'!X26</f>
        <v>6.3944270000000003</v>
      </c>
      <c r="V36" s="19">
        <f>'AEO 2023 Table 46 Raw'!Y26</f>
        <v>6.6008310000000003</v>
      </c>
      <c r="W36" s="19">
        <f>'AEO 2023 Table 46 Raw'!Z26</f>
        <v>6.8089449999999996</v>
      </c>
      <c r="X36" s="19">
        <f>'AEO 2023 Table 46 Raw'!AA26</f>
        <v>7.0041849999999997</v>
      </c>
      <c r="Y36" s="19">
        <f>'AEO 2023 Table 46 Raw'!AB26</f>
        <v>7.1765489999999996</v>
      </c>
      <c r="Z36" s="19">
        <f>'AEO 2023 Table 46 Raw'!AC26</f>
        <v>7.3427660000000001</v>
      </c>
      <c r="AA36" s="19">
        <f>'AEO 2023 Table 46 Raw'!AD26</f>
        <v>7.5131709999999998</v>
      </c>
      <c r="AB36" s="19">
        <f>'AEO 2023 Table 46 Raw'!AE26</f>
        <v>7.6931289999999999</v>
      </c>
      <c r="AC36" s="19">
        <f>'AEO 2023 Table 46 Raw'!AF26</f>
        <v>7.8832199999999997</v>
      </c>
      <c r="AD36" s="19">
        <f>'AEO 2023 Table 46 Raw'!AG26</f>
        <v>8.0600480000000001</v>
      </c>
      <c r="AE36" s="19">
        <f>'AEO 2023 Table 46 Raw'!AH26</f>
        <v>8.2357610000000001</v>
      </c>
      <c r="AF36" s="30">
        <f>'AEO 2023 Table 46 Raw'!AI26</f>
        <v>1.4E-2</v>
      </c>
    </row>
    <row r="37" spans="1:32" ht="15" customHeight="1">
      <c r="C37" s="19"/>
      <c r="D37" s="19"/>
      <c r="E37" s="19"/>
      <c r="F37" s="19"/>
      <c r="G37" s="19"/>
      <c r="H37" s="19"/>
      <c r="I37" s="19"/>
      <c r="J37" s="19"/>
      <c r="K37" s="19"/>
      <c r="L37" s="19"/>
      <c r="M37" s="19"/>
      <c r="N37" s="19"/>
      <c r="O37" s="19"/>
      <c r="P37" s="19"/>
      <c r="Q37" s="19"/>
      <c r="R37" s="19"/>
      <c r="S37" s="19"/>
      <c r="T37" s="19"/>
      <c r="U37" s="19"/>
      <c r="V37" s="19"/>
      <c r="W37" s="19"/>
      <c r="X37" s="19"/>
      <c r="Y37" s="19"/>
      <c r="Z37" s="19"/>
      <c r="AA37" s="19"/>
      <c r="AB37" s="19"/>
      <c r="AC37" s="19"/>
      <c r="AD37" s="19"/>
      <c r="AE37" s="19"/>
      <c r="AF37" s="30"/>
    </row>
    <row r="38" spans="1:32" ht="15" customHeight="1">
      <c r="A38" s="7" t="s">
        <v>450</v>
      </c>
      <c r="B38" s="16" t="s">
        <v>451</v>
      </c>
      <c r="C38" s="19">
        <f>'AEO 2023 Table 46 Raw'!F27</f>
        <v>55.086739000000001</v>
      </c>
      <c r="D38" s="19">
        <f>'AEO 2023 Table 46 Raw'!G27</f>
        <v>52.010685000000002</v>
      </c>
      <c r="E38" s="19">
        <f>'AEO 2023 Table 46 Raw'!H27</f>
        <v>49.520744000000001</v>
      </c>
      <c r="F38" s="19">
        <f>'AEO 2023 Table 46 Raw'!I27</f>
        <v>47.317413000000002</v>
      </c>
      <c r="G38" s="19">
        <f>'AEO 2023 Table 46 Raw'!J27</f>
        <v>45.417164</v>
      </c>
      <c r="H38" s="19">
        <f>'AEO 2023 Table 46 Raw'!K27</f>
        <v>43.427483000000002</v>
      </c>
      <c r="I38" s="19">
        <f>'AEO 2023 Table 46 Raw'!L27</f>
        <v>41.727370999999998</v>
      </c>
      <c r="J38" s="19">
        <f>'AEO 2023 Table 46 Raw'!M27</f>
        <v>40.325862999999998</v>
      </c>
      <c r="K38" s="19">
        <f>'AEO 2023 Table 46 Raw'!N27</f>
        <v>39.125362000000003</v>
      </c>
      <c r="L38" s="19">
        <f>'AEO 2023 Table 46 Raw'!O27</f>
        <v>38.066516999999997</v>
      </c>
      <c r="M38" s="19">
        <f>'AEO 2023 Table 46 Raw'!P27</f>
        <v>37.306381000000002</v>
      </c>
      <c r="N38" s="19">
        <f>'AEO 2023 Table 46 Raw'!Q27</f>
        <v>36.722583999999998</v>
      </c>
      <c r="O38" s="19">
        <f>'AEO 2023 Table 46 Raw'!R27</f>
        <v>36.091003000000001</v>
      </c>
      <c r="P38" s="19">
        <f>'AEO 2023 Table 46 Raw'!S27</f>
        <v>35.440643000000001</v>
      </c>
      <c r="Q38" s="19">
        <f>'AEO 2023 Table 46 Raw'!T27</f>
        <v>34.904975999999998</v>
      </c>
      <c r="R38" s="19">
        <f>'AEO 2023 Table 46 Raw'!U27</f>
        <v>34.557194000000003</v>
      </c>
      <c r="S38" s="19">
        <f>'AEO 2023 Table 46 Raw'!V27</f>
        <v>34.389159999999997</v>
      </c>
      <c r="T38" s="19">
        <f>'AEO 2023 Table 46 Raw'!W27</f>
        <v>34.345489999999998</v>
      </c>
      <c r="U38" s="19">
        <f>'AEO 2023 Table 46 Raw'!X27</f>
        <v>34.295124000000001</v>
      </c>
      <c r="V38" s="19">
        <f>'AEO 2023 Table 46 Raw'!Y27</f>
        <v>34.200504000000002</v>
      </c>
      <c r="W38" s="19">
        <f>'AEO 2023 Table 46 Raw'!Z27</f>
        <v>34.122031999999997</v>
      </c>
      <c r="X38" s="19">
        <f>'AEO 2023 Table 46 Raw'!AA27</f>
        <v>34.004280000000001</v>
      </c>
      <c r="Y38" s="19">
        <f>'AEO 2023 Table 46 Raw'!AB27</f>
        <v>33.811905000000003</v>
      </c>
      <c r="Z38" s="19">
        <f>'AEO 2023 Table 46 Raw'!AC27</f>
        <v>33.607821999999999</v>
      </c>
      <c r="AA38" s="19">
        <f>'AEO 2023 Table 46 Raw'!AD27</f>
        <v>33.429436000000003</v>
      </c>
      <c r="AB38" s="19">
        <f>'AEO 2023 Table 46 Raw'!AE27</f>
        <v>33.293548999999999</v>
      </c>
      <c r="AC38" s="19">
        <f>'AEO 2023 Table 46 Raw'!AF27</f>
        <v>33.198611999999997</v>
      </c>
      <c r="AD38" s="19">
        <f>'AEO 2023 Table 46 Raw'!AG27</f>
        <v>33.066901999999999</v>
      </c>
      <c r="AE38" s="19">
        <f>'AEO 2023 Table 46 Raw'!AH27</f>
        <v>32.943016</v>
      </c>
      <c r="AF38" s="30">
        <f>'AEO 2023 Table 46 Raw'!AI27</f>
        <v>-1.7999999999999999E-2</v>
      </c>
    </row>
    <row r="39" spans="1:32" ht="12" customHeight="1">
      <c r="C39" s="19"/>
      <c r="D39" s="19"/>
      <c r="E39" s="19"/>
      <c r="F39" s="19"/>
      <c r="G39" s="19"/>
      <c r="H39" s="19"/>
      <c r="I39" s="19"/>
      <c r="J39" s="19"/>
      <c r="K39" s="19"/>
      <c r="L39" s="19"/>
      <c r="M39" s="19"/>
      <c r="N39" s="19"/>
      <c r="O39" s="19"/>
      <c r="P39" s="19"/>
      <c r="Q39" s="19"/>
      <c r="R39" s="19"/>
      <c r="S39" s="19"/>
      <c r="T39" s="19"/>
      <c r="U39" s="19"/>
      <c r="V39" s="19"/>
      <c r="W39" s="19"/>
      <c r="X39" s="19"/>
      <c r="Y39" s="19"/>
      <c r="Z39" s="19"/>
      <c r="AA39" s="19"/>
      <c r="AB39" s="19"/>
      <c r="AC39" s="19"/>
      <c r="AD39" s="19"/>
      <c r="AE39" s="19"/>
      <c r="AF39" s="30"/>
    </row>
    <row r="40" spans="1:32" ht="12" customHeight="1">
      <c r="B40" s="15" t="s">
        <v>452</v>
      </c>
      <c r="C40" s="19"/>
      <c r="D40" s="19"/>
      <c r="E40" s="19"/>
      <c r="F40" s="19"/>
      <c r="G40" s="19"/>
      <c r="H40" s="19"/>
      <c r="I40" s="19"/>
      <c r="J40" s="19"/>
      <c r="K40" s="19"/>
      <c r="L40" s="19"/>
      <c r="M40" s="19"/>
      <c r="N40" s="19"/>
      <c r="O40" s="19"/>
      <c r="P40" s="19"/>
      <c r="Q40" s="19"/>
      <c r="R40" s="19"/>
      <c r="S40" s="19"/>
      <c r="T40" s="19"/>
      <c r="U40" s="19"/>
      <c r="V40" s="19"/>
      <c r="W40" s="19"/>
      <c r="X40" s="19"/>
      <c r="Y40" s="19"/>
      <c r="Z40" s="19"/>
      <c r="AA40" s="19"/>
      <c r="AB40" s="19"/>
      <c r="AC40" s="19"/>
      <c r="AD40" s="19"/>
      <c r="AE40" s="19"/>
      <c r="AF40" s="30"/>
    </row>
    <row r="41" spans="1:32" ht="12" customHeight="1">
      <c r="B41" s="15" t="s">
        <v>453</v>
      </c>
      <c r="C41" s="19"/>
      <c r="D41" s="19"/>
      <c r="E41" s="19"/>
      <c r="F41" s="19"/>
      <c r="G41" s="19"/>
      <c r="H41" s="19"/>
      <c r="I41" s="19"/>
      <c r="J41" s="19"/>
      <c r="K41" s="19"/>
      <c r="L41" s="19"/>
      <c r="M41" s="19"/>
      <c r="N41" s="19"/>
      <c r="O41" s="19"/>
      <c r="P41" s="19"/>
      <c r="Q41" s="19"/>
      <c r="R41" s="19"/>
      <c r="S41" s="19"/>
      <c r="T41" s="19"/>
      <c r="U41" s="19"/>
      <c r="V41" s="19"/>
      <c r="W41" s="19"/>
      <c r="X41" s="19"/>
      <c r="Y41" s="19"/>
      <c r="Z41" s="19"/>
      <c r="AA41" s="19"/>
      <c r="AB41" s="19"/>
      <c r="AC41" s="19"/>
      <c r="AD41" s="19"/>
      <c r="AE41" s="19"/>
      <c r="AF41" s="30"/>
    </row>
    <row r="42" spans="1:32" ht="12" customHeight="1">
      <c r="A42" s="7" t="s">
        <v>454</v>
      </c>
      <c r="B42" s="16" t="s">
        <v>414</v>
      </c>
      <c r="C42" s="19">
        <f>'AEO 2023 Table 46 Raw'!F30</f>
        <v>83.907561999999999</v>
      </c>
      <c r="D42" s="19">
        <f>'AEO 2023 Table 46 Raw'!G30</f>
        <v>85.246178</v>
      </c>
      <c r="E42" s="19">
        <f>'AEO 2023 Table 46 Raw'!H30</f>
        <v>86.675407000000007</v>
      </c>
      <c r="F42" s="19">
        <f>'AEO 2023 Table 46 Raw'!I30</f>
        <v>88.293334999999999</v>
      </c>
      <c r="G42" s="19">
        <f>'AEO 2023 Table 46 Raw'!J30</f>
        <v>90.024269000000004</v>
      </c>
      <c r="H42" s="19">
        <f>'AEO 2023 Table 46 Raw'!K30</f>
        <v>90.869743</v>
      </c>
      <c r="I42" s="19">
        <f>'AEO 2023 Table 46 Raw'!L30</f>
        <v>91.562454000000002</v>
      </c>
      <c r="J42" s="19">
        <f>'AEO 2023 Table 46 Raw'!M30</f>
        <v>92.186004999999994</v>
      </c>
      <c r="K42" s="19">
        <f>'AEO 2023 Table 46 Raw'!N30</f>
        <v>92.519035000000002</v>
      </c>
      <c r="L42" s="19">
        <f>'AEO 2023 Table 46 Raw'!O30</f>
        <v>92.672759999999997</v>
      </c>
      <c r="M42" s="19">
        <f>'AEO 2023 Table 46 Raw'!P30</f>
        <v>92.890891999999994</v>
      </c>
      <c r="N42" s="19">
        <f>'AEO 2023 Table 46 Raw'!Q30</f>
        <v>93.107742000000002</v>
      </c>
      <c r="O42" s="19">
        <f>'AEO 2023 Table 46 Raw'!R30</f>
        <v>93.025847999999996</v>
      </c>
      <c r="P42" s="19">
        <f>'AEO 2023 Table 46 Raw'!S30</f>
        <v>92.733376000000007</v>
      </c>
      <c r="Q42" s="19">
        <f>'AEO 2023 Table 46 Raw'!T30</f>
        <v>92.385056000000006</v>
      </c>
      <c r="R42" s="19">
        <f>'AEO 2023 Table 46 Raw'!U30</f>
        <v>92.133949000000001</v>
      </c>
      <c r="S42" s="19">
        <f>'AEO 2023 Table 46 Raw'!V30</f>
        <v>92.064437999999996</v>
      </c>
      <c r="T42" s="19">
        <f>'AEO 2023 Table 46 Raw'!W30</f>
        <v>92.172379000000006</v>
      </c>
      <c r="U42" s="19">
        <f>'AEO 2023 Table 46 Raw'!X30</f>
        <v>92.406952000000004</v>
      </c>
      <c r="V42" s="19">
        <f>'AEO 2023 Table 46 Raw'!Y30</f>
        <v>92.627357000000003</v>
      </c>
      <c r="W42" s="19">
        <f>'AEO 2023 Table 46 Raw'!Z30</f>
        <v>92.833183000000005</v>
      </c>
      <c r="X42" s="19">
        <f>'AEO 2023 Table 46 Raw'!AA30</f>
        <v>92.988342000000003</v>
      </c>
      <c r="Y42" s="19">
        <f>'AEO 2023 Table 46 Raw'!AB30</f>
        <v>93.056731999999997</v>
      </c>
      <c r="Z42" s="19">
        <f>'AEO 2023 Table 46 Raw'!AC30</f>
        <v>93.097237000000007</v>
      </c>
      <c r="AA42" s="19">
        <f>'AEO 2023 Table 46 Raw'!AD30</f>
        <v>93.178421</v>
      </c>
      <c r="AB42" s="19">
        <f>'AEO 2023 Table 46 Raw'!AE30</f>
        <v>93.277641000000003</v>
      </c>
      <c r="AC42" s="19">
        <f>'AEO 2023 Table 46 Raw'!AF30</f>
        <v>93.379456000000005</v>
      </c>
      <c r="AD42" s="19">
        <f>'AEO 2023 Table 46 Raw'!AG30</f>
        <v>93.499008000000003</v>
      </c>
      <c r="AE42" s="19">
        <f>'AEO 2023 Table 46 Raw'!AH30</f>
        <v>93.613983000000005</v>
      </c>
      <c r="AF42" s="30">
        <f>'AEO 2023 Table 46 Raw'!AI30</f>
        <v>4.0000000000000001E-3</v>
      </c>
    </row>
    <row r="43" spans="1:32" ht="12" customHeight="1">
      <c r="A43" s="7" t="s">
        <v>455</v>
      </c>
      <c r="B43" s="16" t="s">
        <v>416</v>
      </c>
      <c r="C43" s="19">
        <f>'AEO 2023 Table 46 Raw'!F31</f>
        <v>0.52666000000000002</v>
      </c>
      <c r="D43" s="19">
        <f>'AEO 2023 Table 46 Raw'!G31</f>
        <v>0.47596500000000003</v>
      </c>
      <c r="E43" s="19">
        <f>'AEO 2023 Table 46 Raw'!H31</f>
        <v>0.42480299999999999</v>
      </c>
      <c r="F43" s="19">
        <f>'AEO 2023 Table 46 Raw'!I31</f>
        <v>0.38073899999999999</v>
      </c>
      <c r="G43" s="19">
        <f>'AEO 2023 Table 46 Raw'!J31</f>
        <v>0.34478700000000001</v>
      </c>
      <c r="H43" s="19">
        <f>'AEO 2023 Table 46 Raw'!K31</f>
        <v>0.31091099999999999</v>
      </c>
      <c r="I43" s="19">
        <f>'AEO 2023 Table 46 Raw'!L31</f>
        <v>0.278391</v>
      </c>
      <c r="J43" s="19">
        <f>'AEO 2023 Table 46 Raw'!M31</f>
        <v>0.24728900000000001</v>
      </c>
      <c r="K43" s="19">
        <f>'AEO 2023 Table 46 Raw'!N31</f>
        <v>0.21771699999999999</v>
      </c>
      <c r="L43" s="19">
        <f>'AEO 2023 Table 46 Raw'!O31</f>
        <v>0.189885</v>
      </c>
      <c r="M43" s="19">
        <f>'AEO 2023 Table 46 Raw'!P31</f>
        <v>0.16389200000000001</v>
      </c>
      <c r="N43" s="19">
        <f>'AEO 2023 Table 46 Raw'!Q31</f>
        <v>0.14005300000000001</v>
      </c>
      <c r="O43" s="19">
        <f>'AEO 2023 Table 46 Raw'!R31</f>
        <v>0.118398</v>
      </c>
      <c r="P43" s="19">
        <f>'AEO 2023 Table 46 Raw'!S31</f>
        <v>9.9235000000000004E-2</v>
      </c>
      <c r="Q43" s="19">
        <f>'AEO 2023 Table 46 Raw'!T31</f>
        <v>8.2496E-2</v>
      </c>
      <c r="R43" s="19">
        <f>'AEO 2023 Table 46 Raw'!U31</f>
        <v>6.8190000000000001E-2</v>
      </c>
      <c r="S43" s="19">
        <f>'AEO 2023 Table 46 Raw'!V31</f>
        <v>5.6337999999999999E-2</v>
      </c>
      <c r="T43" s="19">
        <f>'AEO 2023 Table 46 Raw'!W31</f>
        <v>4.6649999999999997E-2</v>
      </c>
      <c r="U43" s="19">
        <f>'AEO 2023 Table 46 Raw'!X31</f>
        <v>3.9010999999999997E-2</v>
      </c>
      <c r="V43" s="19">
        <f>'AEO 2023 Table 46 Raw'!Y31</f>
        <v>3.3098000000000002E-2</v>
      </c>
      <c r="W43" s="19">
        <f>'AEO 2023 Table 46 Raw'!Z31</f>
        <v>2.8437E-2</v>
      </c>
      <c r="X43" s="19">
        <f>'AEO 2023 Table 46 Raw'!AA31</f>
        <v>2.4750000000000001E-2</v>
      </c>
      <c r="Y43" s="19">
        <f>'AEO 2023 Table 46 Raw'!AB31</f>
        <v>2.1794000000000001E-2</v>
      </c>
      <c r="Z43" s="19">
        <f>'AEO 2023 Table 46 Raw'!AC31</f>
        <v>1.9529000000000001E-2</v>
      </c>
      <c r="AA43" s="19">
        <f>'AEO 2023 Table 46 Raw'!AD31</f>
        <v>1.7741E-2</v>
      </c>
      <c r="AB43" s="19">
        <f>'AEO 2023 Table 46 Raw'!AE31</f>
        <v>1.6143000000000001E-2</v>
      </c>
      <c r="AC43" s="19">
        <f>'AEO 2023 Table 46 Raw'!AF31</f>
        <v>1.4714E-2</v>
      </c>
      <c r="AD43" s="19">
        <f>'AEO 2023 Table 46 Raw'!AG31</f>
        <v>1.3434E-2</v>
      </c>
      <c r="AE43" s="19">
        <f>'AEO 2023 Table 46 Raw'!AH31</f>
        <v>1.2286999999999999E-2</v>
      </c>
      <c r="AF43" s="30">
        <f>'AEO 2023 Table 46 Raw'!AI31</f>
        <v>-0.126</v>
      </c>
    </row>
    <row r="44" spans="1:32" ht="12" customHeight="1">
      <c r="A44" s="7" t="s">
        <v>456</v>
      </c>
      <c r="B44" s="16" t="s">
        <v>457</v>
      </c>
      <c r="C44" s="19">
        <f>'AEO 2023 Table 46 Raw'!F32</f>
        <v>84.434218999999999</v>
      </c>
      <c r="D44" s="19">
        <f>'AEO 2023 Table 46 Raw'!G32</f>
        <v>85.722144999999998</v>
      </c>
      <c r="E44" s="19">
        <f>'AEO 2023 Table 46 Raw'!H32</f>
        <v>87.100211999999999</v>
      </c>
      <c r="F44" s="19">
        <f>'AEO 2023 Table 46 Raw'!I32</f>
        <v>88.674071999999995</v>
      </c>
      <c r="G44" s="19">
        <f>'AEO 2023 Table 46 Raw'!J32</f>
        <v>90.369056999999998</v>
      </c>
      <c r="H44" s="19">
        <f>'AEO 2023 Table 46 Raw'!K32</f>
        <v>91.180655999999999</v>
      </c>
      <c r="I44" s="19">
        <f>'AEO 2023 Table 46 Raw'!L32</f>
        <v>91.840843000000007</v>
      </c>
      <c r="J44" s="19">
        <f>'AEO 2023 Table 46 Raw'!M32</f>
        <v>92.433295999999999</v>
      </c>
      <c r="K44" s="19">
        <f>'AEO 2023 Table 46 Raw'!N32</f>
        <v>92.736755000000002</v>
      </c>
      <c r="L44" s="19">
        <f>'AEO 2023 Table 46 Raw'!O32</f>
        <v>92.862647999999993</v>
      </c>
      <c r="M44" s="19">
        <f>'AEO 2023 Table 46 Raw'!P32</f>
        <v>93.054787000000005</v>
      </c>
      <c r="N44" s="19">
        <f>'AEO 2023 Table 46 Raw'!Q32</f>
        <v>93.247794999999996</v>
      </c>
      <c r="O44" s="19">
        <f>'AEO 2023 Table 46 Raw'!R32</f>
        <v>93.144249000000002</v>
      </c>
      <c r="P44" s="19">
        <f>'AEO 2023 Table 46 Raw'!S32</f>
        <v>92.832611</v>
      </c>
      <c r="Q44" s="19">
        <f>'AEO 2023 Table 46 Raw'!T32</f>
        <v>92.467551999999998</v>
      </c>
      <c r="R44" s="19">
        <f>'AEO 2023 Table 46 Raw'!U32</f>
        <v>92.202140999999997</v>
      </c>
      <c r="S44" s="19">
        <f>'AEO 2023 Table 46 Raw'!V32</f>
        <v>92.120773</v>
      </c>
      <c r="T44" s="19">
        <f>'AEO 2023 Table 46 Raw'!W32</f>
        <v>92.219031999999999</v>
      </c>
      <c r="U44" s="19">
        <f>'AEO 2023 Table 46 Raw'!X32</f>
        <v>92.445960999999997</v>
      </c>
      <c r="V44" s="19">
        <f>'AEO 2023 Table 46 Raw'!Y32</f>
        <v>92.660454000000001</v>
      </c>
      <c r="W44" s="19">
        <f>'AEO 2023 Table 46 Raw'!Z32</f>
        <v>92.861618000000007</v>
      </c>
      <c r="X44" s="19">
        <f>'AEO 2023 Table 46 Raw'!AA32</f>
        <v>93.013092</v>
      </c>
      <c r="Y44" s="19">
        <f>'AEO 2023 Table 46 Raw'!AB32</f>
        <v>93.078529000000003</v>
      </c>
      <c r="Z44" s="19">
        <f>'AEO 2023 Table 46 Raw'!AC32</f>
        <v>93.116767999999993</v>
      </c>
      <c r="AA44" s="19">
        <f>'AEO 2023 Table 46 Raw'!AD32</f>
        <v>93.196158999999994</v>
      </c>
      <c r="AB44" s="19">
        <f>'AEO 2023 Table 46 Raw'!AE32</f>
        <v>93.293785</v>
      </c>
      <c r="AC44" s="19">
        <f>'AEO 2023 Table 46 Raw'!AF32</f>
        <v>93.394172999999995</v>
      </c>
      <c r="AD44" s="19">
        <f>'AEO 2023 Table 46 Raw'!AG32</f>
        <v>93.512444000000002</v>
      </c>
      <c r="AE44" s="19">
        <f>'AEO 2023 Table 46 Raw'!AH32</f>
        <v>93.626273999999995</v>
      </c>
      <c r="AF44" s="30">
        <f>'AEO 2023 Table 46 Raw'!AI32</f>
        <v>4.0000000000000001E-3</v>
      </c>
    </row>
    <row r="45" spans="1:32" ht="12" customHeight="1">
      <c r="C45" s="19"/>
      <c r="D45" s="19"/>
      <c r="E45" s="19"/>
      <c r="F45" s="19"/>
      <c r="G45" s="19"/>
      <c r="H45" s="19"/>
      <c r="I45" s="19"/>
      <c r="J45" s="19"/>
      <c r="K45" s="19"/>
      <c r="L45" s="19"/>
      <c r="M45" s="19"/>
      <c r="N45" s="19"/>
      <c r="O45" s="19"/>
      <c r="P45" s="19"/>
      <c r="Q45" s="19"/>
      <c r="R45" s="19"/>
      <c r="S45" s="19"/>
      <c r="T45" s="19"/>
      <c r="U45" s="19"/>
      <c r="V45" s="19"/>
      <c r="W45" s="19"/>
      <c r="X45" s="19"/>
      <c r="Y45" s="19"/>
      <c r="Z45" s="19"/>
      <c r="AA45" s="19"/>
      <c r="AB45" s="19"/>
      <c r="AC45" s="19"/>
      <c r="AD45" s="19"/>
      <c r="AE45" s="19"/>
      <c r="AF45" s="30"/>
    </row>
    <row r="46" spans="1:32" ht="12" customHeight="1">
      <c r="B46" s="15" t="s">
        <v>458</v>
      </c>
      <c r="C46" s="19"/>
      <c r="D46" s="19"/>
      <c r="E46" s="19"/>
      <c r="F46" s="19"/>
      <c r="G46" s="19"/>
      <c r="H46" s="19"/>
      <c r="I46" s="19"/>
      <c r="J46" s="19"/>
      <c r="K46" s="19"/>
      <c r="L46" s="19"/>
      <c r="M46" s="19"/>
      <c r="N46" s="19"/>
      <c r="O46" s="19"/>
      <c r="P46" s="19"/>
      <c r="Q46" s="19"/>
      <c r="R46" s="19"/>
      <c r="S46" s="19"/>
      <c r="T46" s="19"/>
      <c r="U46" s="19"/>
      <c r="V46" s="19"/>
      <c r="W46" s="19"/>
      <c r="X46" s="19"/>
      <c r="Y46" s="19"/>
      <c r="Z46" s="19"/>
      <c r="AA46" s="19"/>
      <c r="AB46" s="19"/>
      <c r="AC46" s="19"/>
      <c r="AD46" s="19"/>
      <c r="AE46" s="19"/>
      <c r="AF46" s="30"/>
    </row>
    <row r="47" spans="1:32" ht="12" customHeight="1">
      <c r="A47" s="7" t="s">
        <v>459</v>
      </c>
      <c r="B47" s="16" t="s">
        <v>421</v>
      </c>
      <c r="C47" s="19">
        <f>'AEO 2023 Table 46 Raw'!F34</f>
        <v>13.155381999999999</v>
      </c>
      <c r="D47" s="19">
        <f>'AEO 2023 Table 46 Raw'!G34</f>
        <v>12.04735</v>
      </c>
      <c r="E47" s="19">
        <f>'AEO 2023 Table 46 Raw'!H34</f>
        <v>11.079556999999999</v>
      </c>
      <c r="F47" s="19">
        <f>'AEO 2023 Table 46 Raw'!I34</f>
        <v>10.146872</v>
      </c>
      <c r="G47" s="19">
        <f>'AEO 2023 Table 46 Raw'!J34</f>
        <v>9.3481640000000006</v>
      </c>
      <c r="H47" s="19">
        <f>'AEO 2023 Table 46 Raw'!K34</f>
        <v>8.5740239999999996</v>
      </c>
      <c r="I47" s="19">
        <f>'AEO 2023 Table 46 Raw'!L34</f>
        <v>7.8789559999999996</v>
      </c>
      <c r="J47" s="19">
        <f>'AEO 2023 Table 46 Raw'!M34</f>
        <v>7.2777609999999999</v>
      </c>
      <c r="K47" s="19">
        <f>'AEO 2023 Table 46 Raw'!N34</f>
        <v>6.743716</v>
      </c>
      <c r="L47" s="19">
        <f>'AEO 2023 Table 46 Raw'!O34</f>
        <v>6.2824840000000002</v>
      </c>
      <c r="M47" s="19">
        <f>'AEO 2023 Table 46 Raw'!P34</f>
        <v>5.9127580000000002</v>
      </c>
      <c r="N47" s="19">
        <f>'AEO 2023 Table 46 Raw'!Q34</f>
        <v>5.6186930000000004</v>
      </c>
      <c r="O47" s="19">
        <f>'AEO 2023 Table 46 Raw'!R34</f>
        <v>5.3554360000000001</v>
      </c>
      <c r="P47" s="19">
        <f>'AEO 2023 Table 46 Raw'!S34</f>
        <v>5.1242859999999997</v>
      </c>
      <c r="Q47" s="19">
        <f>'AEO 2023 Table 46 Raw'!T34</f>
        <v>4.93954</v>
      </c>
      <c r="R47" s="19">
        <f>'AEO 2023 Table 46 Raw'!U34</f>
        <v>4.8122550000000004</v>
      </c>
      <c r="S47" s="19">
        <f>'AEO 2023 Table 46 Raw'!V34</f>
        <v>4.7404200000000003</v>
      </c>
      <c r="T47" s="19">
        <f>'AEO 2023 Table 46 Raw'!W34</f>
        <v>4.7091339999999997</v>
      </c>
      <c r="U47" s="19">
        <f>'AEO 2023 Table 46 Raw'!X34</f>
        <v>4.7003620000000002</v>
      </c>
      <c r="V47" s="19">
        <f>'AEO 2023 Table 46 Raw'!Y34</f>
        <v>4.694051</v>
      </c>
      <c r="W47" s="19">
        <f>'AEO 2023 Table 46 Raw'!Z34</f>
        <v>4.6888899999999998</v>
      </c>
      <c r="X47" s="19">
        <f>'AEO 2023 Table 46 Raw'!AA34</f>
        <v>4.6818530000000003</v>
      </c>
      <c r="Y47" s="19">
        <f>'AEO 2023 Table 46 Raw'!AB34</f>
        <v>4.6713120000000004</v>
      </c>
      <c r="Z47" s="19">
        <f>'AEO 2023 Table 46 Raw'!AC34</f>
        <v>4.6641450000000004</v>
      </c>
      <c r="AA47" s="19">
        <f>'AEO 2023 Table 46 Raw'!AD34</f>
        <v>4.6687070000000004</v>
      </c>
      <c r="AB47" s="19">
        <f>'AEO 2023 Table 46 Raw'!AE34</f>
        <v>4.6807059999999998</v>
      </c>
      <c r="AC47" s="19">
        <f>'AEO 2023 Table 46 Raw'!AF34</f>
        <v>4.6957659999999999</v>
      </c>
      <c r="AD47" s="19">
        <f>'AEO 2023 Table 46 Raw'!AG34</f>
        <v>4.7141529999999996</v>
      </c>
      <c r="AE47" s="19">
        <f>'AEO 2023 Table 46 Raw'!AH34</f>
        <v>4.7330120000000004</v>
      </c>
      <c r="AF47" s="30">
        <f>'AEO 2023 Table 46 Raw'!AI34</f>
        <v>-3.5999999999999997E-2</v>
      </c>
    </row>
    <row r="48" spans="1:32" ht="12" customHeight="1">
      <c r="A48" s="7" t="s">
        <v>460</v>
      </c>
      <c r="B48" s="16" t="s">
        <v>423</v>
      </c>
      <c r="C48" s="19">
        <f>'AEO 2023 Table 46 Raw'!F35</f>
        <v>3.7000000000000002E-3</v>
      </c>
      <c r="D48" s="19">
        <f>'AEO 2023 Table 46 Raw'!G35</f>
        <v>3.7959999999999999E-3</v>
      </c>
      <c r="E48" s="19">
        <f>'AEO 2023 Table 46 Raw'!H35</f>
        <v>3.9370000000000004E-3</v>
      </c>
      <c r="F48" s="19">
        <f>'AEO 2023 Table 46 Raw'!I35</f>
        <v>4.0819999999999997E-3</v>
      </c>
      <c r="G48" s="19">
        <f>'AEO 2023 Table 46 Raw'!J35</f>
        <v>4.2009999999999999E-3</v>
      </c>
      <c r="H48" s="19">
        <f>'AEO 2023 Table 46 Raw'!K35</f>
        <v>4.2950000000000002E-3</v>
      </c>
      <c r="I48" s="19">
        <f>'AEO 2023 Table 46 Raw'!L35</f>
        <v>4.3670000000000002E-3</v>
      </c>
      <c r="J48" s="19">
        <f>'AEO 2023 Table 46 Raw'!M35</f>
        <v>4.4180000000000001E-3</v>
      </c>
      <c r="K48" s="19">
        <f>'AEO 2023 Table 46 Raw'!N35</f>
        <v>4.4409999999999996E-3</v>
      </c>
      <c r="L48" s="19">
        <f>'AEO 2023 Table 46 Raw'!O35</f>
        <v>4.444E-3</v>
      </c>
      <c r="M48" s="19">
        <f>'AEO 2023 Table 46 Raw'!P35</f>
        <v>4.4339999999999996E-3</v>
      </c>
      <c r="N48" s="19">
        <f>'AEO 2023 Table 46 Raw'!Q35</f>
        <v>4.4070000000000003E-3</v>
      </c>
      <c r="O48" s="19">
        <f>'AEO 2023 Table 46 Raw'!R35</f>
        <v>4.352E-3</v>
      </c>
      <c r="P48" s="19">
        <f>'AEO 2023 Table 46 Raw'!S35</f>
        <v>4.2750000000000002E-3</v>
      </c>
      <c r="Q48" s="19">
        <f>'AEO 2023 Table 46 Raw'!T35</f>
        <v>4.1780000000000003E-3</v>
      </c>
      <c r="R48" s="19">
        <f>'AEO 2023 Table 46 Raw'!U35</f>
        <v>4.0639999999999999E-3</v>
      </c>
      <c r="S48" s="19">
        <f>'AEO 2023 Table 46 Raw'!V35</f>
        <v>3.9319999999999997E-3</v>
      </c>
      <c r="T48" s="19">
        <f>'AEO 2023 Table 46 Raw'!W35</f>
        <v>3.7859999999999999E-3</v>
      </c>
      <c r="U48" s="19">
        <f>'AEO 2023 Table 46 Raw'!X35</f>
        <v>3.6259999999999999E-3</v>
      </c>
      <c r="V48" s="19">
        <f>'AEO 2023 Table 46 Raw'!Y35</f>
        <v>3.4529999999999999E-3</v>
      </c>
      <c r="W48" s="19">
        <f>'AEO 2023 Table 46 Raw'!Z35</f>
        <v>3.2680000000000001E-3</v>
      </c>
      <c r="X48" s="19">
        <f>'AEO 2023 Table 46 Raw'!AA35</f>
        <v>3.0730000000000002E-3</v>
      </c>
      <c r="Y48" s="19">
        <f>'AEO 2023 Table 46 Raw'!AB35</f>
        <v>2.8700000000000002E-3</v>
      </c>
      <c r="Z48" s="19">
        <f>'AEO 2023 Table 46 Raw'!AC35</f>
        <v>2.6619999999999999E-3</v>
      </c>
      <c r="AA48" s="19">
        <f>'AEO 2023 Table 46 Raw'!AD35</f>
        <v>2.4499999999999999E-3</v>
      </c>
      <c r="AB48" s="19">
        <f>'AEO 2023 Table 46 Raw'!AE35</f>
        <v>2.2360000000000001E-3</v>
      </c>
      <c r="AC48" s="19">
        <f>'AEO 2023 Table 46 Raw'!AF35</f>
        <v>2.0200000000000001E-3</v>
      </c>
      <c r="AD48" s="19">
        <f>'AEO 2023 Table 46 Raw'!AG35</f>
        <v>1.802E-3</v>
      </c>
      <c r="AE48" s="19">
        <f>'AEO 2023 Table 46 Raw'!AH35</f>
        <v>1.5820000000000001E-3</v>
      </c>
      <c r="AF48" s="30">
        <f>'AEO 2023 Table 46 Raw'!AI35</f>
        <v>-0.03</v>
      </c>
    </row>
    <row r="49" spans="1:32" ht="12" customHeight="1">
      <c r="A49" s="7" t="s">
        <v>461</v>
      </c>
      <c r="B49" s="16" t="s">
        <v>425</v>
      </c>
      <c r="C49" s="19">
        <f>'AEO 2023 Table 46 Raw'!F36</f>
        <v>7.2387999999999994E-2</v>
      </c>
      <c r="D49" s="19">
        <f>'AEO 2023 Table 46 Raw'!G36</f>
        <v>0.13614100000000001</v>
      </c>
      <c r="E49" s="19">
        <f>'AEO 2023 Table 46 Raw'!H36</f>
        <v>0.227352</v>
      </c>
      <c r="F49" s="19">
        <f>'AEO 2023 Table 46 Raw'!I36</f>
        <v>0.34497699999999998</v>
      </c>
      <c r="G49" s="19">
        <f>'AEO 2023 Table 46 Raw'!J36</f>
        <v>0.48496899999999998</v>
      </c>
      <c r="H49" s="19">
        <f>'AEO 2023 Table 46 Raw'!K36</f>
        <v>0.63757699999999995</v>
      </c>
      <c r="I49" s="19">
        <f>'AEO 2023 Table 46 Raw'!L36</f>
        <v>0.80531600000000003</v>
      </c>
      <c r="J49" s="19">
        <f>'AEO 2023 Table 46 Raw'!M36</f>
        <v>0.987873</v>
      </c>
      <c r="K49" s="19">
        <f>'AEO 2023 Table 46 Raw'!N36</f>
        <v>1.1777820000000001</v>
      </c>
      <c r="L49" s="19">
        <f>'AEO 2023 Table 46 Raw'!O36</f>
        <v>1.375702</v>
      </c>
      <c r="M49" s="19">
        <f>'AEO 2023 Table 46 Raw'!P36</f>
        <v>1.5874010000000001</v>
      </c>
      <c r="N49" s="19">
        <f>'AEO 2023 Table 46 Raw'!Q36</f>
        <v>1.810111</v>
      </c>
      <c r="O49" s="19">
        <f>'AEO 2023 Table 46 Raw'!R36</f>
        <v>2.031657</v>
      </c>
      <c r="P49" s="19">
        <f>'AEO 2023 Table 46 Raw'!S36</f>
        <v>2.2528920000000001</v>
      </c>
      <c r="Q49" s="19">
        <f>'AEO 2023 Table 46 Raw'!T36</f>
        <v>2.4782030000000002</v>
      </c>
      <c r="R49" s="19">
        <f>'AEO 2023 Table 46 Raw'!U36</f>
        <v>2.713346</v>
      </c>
      <c r="S49" s="19">
        <f>'AEO 2023 Table 46 Raw'!V36</f>
        <v>2.9625020000000002</v>
      </c>
      <c r="T49" s="19">
        <f>'AEO 2023 Table 46 Raw'!W36</f>
        <v>3.225902</v>
      </c>
      <c r="U49" s="19">
        <f>'AEO 2023 Table 46 Raw'!X36</f>
        <v>3.50136</v>
      </c>
      <c r="V49" s="19">
        <f>'AEO 2023 Table 46 Raw'!Y36</f>
        <v>3.7808540000000002</v>
      </c>
      <c r="W49" s="19">
        <f>'AEO 2023 Table 46 Raw'!Z36</f>
        <v>4.0638959999999997</v>
      </c>
      <c r="X49" s="19">
        <f>'AEO 2023 Table 46 Raw'!AA36</f>
        <v>4.3476540000000004</v>
      </c>
      <c r="Y49" s="19">
        <f>'AEO 2023 Table 46 Raw'!AB36</f>
        <v>4.6291830000000003</v>
      </c>
      <c r="Z49" s="19">
        <f>'AEO 2023 Table 46 Raw'!AC36</f>
        <v>4.9124090000000002</v>
      </c>
      <c r="AA49" s="19">
        <f>'AEO 2023 Table 46 Raw'!AD36</f>
        <v>5.2025920000000001</v>
      </c>
      <c r="AB49" s="19">
        <f>'AEO 2023 Table 46 Raw'!AE36</f>
        <v>5.4980599999999997</v>
      </c>
      <c r="AC49" s="19">
        <f>'AEO 2023 Table 46 Raw'!AF36</f>
        <v>5.7977160000000003</v>
      </c>
      <c r="AD49" s="19">
        <f>'AEO 2023 Table 46 Raw'!AG36</f>
        <v>6.1028640000000003</v>
      </c>
      <c r="AE49" s="19">
        <f>'AEO 2023 Table 46 Raw'!AH36</f>
        <v>6.4114500000000003</v>
      </c>
      <c r="AF49" s="30">
        <f>'AEO 2023 Table 46 Raw'!AI36</f>
        <v>0.17399999999999999</v>
      </c>
    </row>
    <row r="50" spans="1:32" ht="15" customHeight="1">
      <c r="A50" s="7" t="s">
        <v>462</v>
      </c>
      <c r="B50" s="16" t="s">
        <v>427</v>
      </c>
      <c r="C50" s="19">
        <f>'AEO 2023 Table 46 Raw'!F37</f>
        <v>4.1378999999999999E-2</v>
      </c>
      <c r="D50" s="19">
        <f>'AEO 2023 Table 46 Raw'!G37</f>
        <v>5.5634999999999997E-2</v>
      </c>
      <c r="E50" s="19">
        <f>'AEO 2023 Table 46 Raw'!H37</f>
        <v>7.3841000000000004E-2</v>
      </c>
      <c r="F50" s="19">
        <f>'AEO 2023 Table 46 Raw'!I37</f>
        <v>9.5920000000000005E-2</v>
      </c>
      <c r="G50" s="19">
        <f>'AEO 2023 Table 46 Raw'!J37</f>
        <v>0.120613</v>
      </c>
      <c r="H50" s="19">
        <f>'AEO 2023 Table 46 Raw'!K37</f>
        <v>0.14671799999999999</v>
      </c>
      <c r="I50" s="19">
        <f>'AEO 2023 Table 46 Raw'!L37</f>
        <v>0.174765</v>
      </c>
      <c r="J50" s="19">
        <f>'AEO 2023 Table 46 Raw'!M37</f>
        <v>0.204703</v>
      </c>
      <c r="K50" s="19">
        <f>'AEO 2023 Table 46 Raw'!N37</f>
        <v>0.23532600000000001</v>
      </c>
      <c r="L50" s="19">
        <f>'AEO 2023 Table 46 Raw'!O37</f>
        <v>0.26680399999999999</v>
      </c>
      <c r="M50" s="19">
        <f>'AEO 2023 Table 46 Raw'!P37</f>
        <v>0.30012</v>
      </c>
      <c r="N50" s="19">
        <f>'AEO 2023 Table 46 Raw'!Q37</f>
        <v>0.33483400000000002</v>
      </c>
      <c r="O50" s="19">
        <f>'AEO 2023 Table 46 Raw'!R37</f>
        <v>0.36905100000000002</v>
      </c>
      <c r="P50" s="19">
        <f>'AEO 2023 Table 46 Raw'!S37</f>
        <v>0.402945</v>
      </c>
      <c r="Q50" s="19">
        <f>'AEO 2023 Table 46 Raw'!T37</f>
        <v>0.43723099999999998</v>
      </c>
      <c r="R50" s="19">
        <f>'AEO 2023 Table 46 Raw'!U37</f>
        <v>0.472856</v>
      </c>
      <c r="S50" s="19">
        <f>'AEO 2023 Table 46 Raw'!V37</f>
        <v>0.51049500000000003</v>
      </c>
      <c r="T50" s="19">
        <f>'AEO 2023 Table 46 Raw'!W37</f>
        <v>0.55022300000000002</v>
      </c>
      <c r="U50" s="19">
        <f>'AEO 2023 Table 46 Raw'!X37</f>
        <v>0.59172199999999997</v>
      </c>
      <c r="V50" s="19">
        <f>'AEO 2023 Table 46 Raw'!Y37</f>
        <v>0.63378599999999996</v>
      </c>
      <c r="W50" s="19">
        <f>'AEO 2023 Table 46 Raw'!Z37</f>
        <v>0.67637100000000006</v>
      </c>
      <c r="X50" s="19">
        <f>'AEO 2023 Table 46 Raw'!AA37</f>
        <v>0.71902999999999995</v>
      </c>
      <c r="Y50" s="19">
        <f>'AEO 2023 Table 46 Raw'!AB37</f>
        <v>0.76130399999999998</v>
      </c>
      <c r="Z50" s="19">
        <f>'AEO 2023 Table 46 Raw'!AC37</f>
        <v>0.80379500000000004</v>
      </c>
      <c r="AA50" s="19">
        <f>'AEO 2023 Table 46 Raw'!AD37</f>
        <v>0.84731000000000001</v>
      </c>
      <c r="AB50" s="19">
        <f>'AEO 2023 Table 46 Raw'!AE37</f>
        <v>0.89161699999999999</v>
      </c>
      <c r="AC50" s="19">
        <f>'AEO 2023 Table 46 Raw'!AF37</f>
        <v>0.93655200000000005</v>
      </c>
      <c r="AD50" s="19">
        <f>'AEO 2023 Table 46 Raw'!AG37</f>
        <v>0.98231800000000002</v>
      </c>
      <c r="AE50" s="19">
        <f>'AEO 2023 Table 46 Raw'!AH37</f>
        <v>1.028607</v>
      </c>
      <c r="AF50" s="30">
        <f>'AEO 2023 Table 46 Raw'!AI37</f>
        <v>0.122</v>
      </c>
    </row>
    <row r="51" spans="1:32" ht="15" customHeight="1">
      <c r="A51" s="7" t="s">
        <v>463</v>
      </c>
      <c r="B51" s="16" t="s">
        <v>429</v>
      </c>
      <c r="C51" s="19">
        <f>'AEO 2023 Table 46 Raw'!F38</f>
        <v>0.18983700000000001</v>
      </c>
      <c r="D51" s="19">
        <f>'AEO 2023 Table 46 Raw'!G38</f>
        <v>0.191692</v>
      </c>
      <c r="E51" s="19">
        <f>'AEO 2023 Table 46 Raw'!H38</f>
        <v>0.19464200000000001</v>
      </c>
      <c r="F51" s="19">
        <f>'AEO 2023 Table 46 Raw'!I38</f>
        <v>0.22015499999999999</v>
      </c>
      <c r="G51" s="19">
        <f>'AEO 2023 Table 46 Raw'!J38</f>
        <v>0.24595900000000001</v>
      </c>
      <c r="H51" s="19">
        <f>'AEO 2023 Table 46 Raw'!K38</f>
        <v>0.27066499999999999</v>
      </c>
      <c r="I51" s="19">
        <f>'AEO 2023 Table 46 Raw'!L38</f>
        <v>0.29464200000000002</v>
      </c>
      <c r="J51" s="19">
        <f>'AEO 2023 Table 46 Raw'!M38</f>
        <v>0.317944</v>
      </c>
      <c r="K51" s="19">
        <f>'AEO 2023 Table 46 Raw'!N38</f>
        <v>0.339725</v>
      </c>
      <c r="L51" s="19">
        <f>'AEO 2023 Table 46 Raw'!O38</f>
        <v>0.36045199999999999</v>
      </c>
      <c r="M51" s="19">
        <f>'AEO 2023 Table 46 Raw'!P38</f>
        <v>0.38098700000000002</v>
      </c>
      <c r="N51" s="19">
        <f>'AEO 2023 Table 46 Raw'!Q38</f>
        <v>0.40107100000000001</v>
      </c>
      <c r="O51" s="19">
        <f>'AEO 2023 Table 46 Raw'!R38</f>
        <v>0.41955100000000001</v>
      </c>
      <c r="P51" s="19">
        <f>'AEO 2023 Table 46 Raw'!S38</f>
        <v>0.436693</v>
      </c>
      <c r="Q51" s="19">
        <f>'AEO 2023 Table 46 Raw'!T38</f>
        <v>0.45296900000000001</v>
      </c>
      <c r="R51" s="19">
        <f>'AEO 2023 Table 46 Raw'!U38</f>
        <v>0.469028</v>
      </c>
      <c r="S51" s="19">
        <f>'AEO 2023 Table 46 Raw'!V38</f>
        <v>0.48551899999999998</v>
      </c>
      <c r="T51" s="19">
        <f>'AEO 2023 Table 46 Raw'!W38</f>
        <v>0.50263599999999997</v>
      </c>
      <c r="U51" s="19">
        <f>'AEO 2023 Table 46 Raw'!X38</f>
        <v>0.52035500000000001</v>
      </c>
      <c r="V51" s="19">
        <f>'AEO 2023 Table 46 Raw'!Y38</f>
        <v>0.53812099999999996</v>
      </c>
      <c r="W51" s="19">
        <f>'AEO 2023 Table 46 Raw'!Z38</f>
        <v>0.55594699999999997</v>
      </c>
      <c r="X51" s="19">
        <f>'AEO 2023 Table 46 Raw'!AA38</f>
        <v>0.57360100000000003</v>
      </c>
      <c r="Y51" s="19">
        <f>'AEO 2023 Table 46 Raw'!AB38</f>
        <v>0.590862</v>
      </c>
      <c r="Z51" s="19">
        <f>'AEO 2023 Table 46 Raw'!AC38</f>
        <v>0.60809100000000005</v>
      </c>
      <c r="AA51" s="19">
        <f>'AEO 2023 Table 46 Raw'!AD38</f>
        <v>0.62568199999999996</v>
      </c>
      <c r="AB51" s="19">
        <f>'AEO 2023 Table 46 Raw'!AE38</f>
        <v>0.64353899999999997</v>
      </c>
      <c r="AC51" s="19">
        <f>'AEO 2023 Table 46 Raw'!AF38</f>
        <v>0.66165200000000002</v>
      </c>
      <c r="AD51" s="19">
        <f>'AEO 2023 Table 46 Raw'!AG38</f>
        <v>0.68012799999999995</v>
      </c>
      <c r="AE51" s="19">
        <f>'AEO 2023 Table 46 Raw'!AH38</f>
        <v>0.69880299999999995</v>
      </c>
      <c r="AF51" s="30">
        <f>'AEO 2023 Table 46 Raw'!AI38</f>
        <v>4.8000000000000001E-2</v>
      </c>
    </row>
    <row r="52" spans="1:32" ht="15" customHeight="1">
      <c r="A52" s="7" t="s">
        <v>464</v>
      </c>
      <c r="B52" s="16" t="s">
        <v>431</v>
      </c>
      <c r="C52" s="19">
        <f>'AEO 2023 Table 46 Raw'!F39</f>
        <v>1.0998000000000001E-2</v>
      </c>
      <c r="D52" s="19">
        <f>'AEO 2023 Table 46 Raw'!G39</f>
        <v>1.5812E-2</v>
      </c>
      <c r="E52" s="19">
        <f>'AEO 2023 Table 46 Raw'!H39</f>
        <v>2.2769999999999999E-2</v>
      </c>
      <c r="F52" s="19">
        <f>'AEO 2023 Table 46 Raw'!I39</f>
        <v>3.2281999999999998E-2</v>
      </c>
      <c r="G52" s="19">
        <f>'AEO 2023 Table 46 Raw'!J39</f>
        <v>4.4431999999999999E-2</v>
      </c>
      <c r="H52" s="19">
        <f>'AEO 2023 Table 46 Raw'!K39</f>
        <v>5.8401000000000002E-2</v>
      </c>
      <c r="I52" s="19">
        <f>'AEO 2023 Table 46 Raw'!L39</f>
        <v>7.424E-2</v>
      </c>
      <c r="J52" s="19">
        <f>'AEO 2023 Table 46 Raw'!M39</f>
        <v>9.1879000000000002E-2</v>
      </c>
      <c r="K52" s="19">
        <f>'AEO 2023 Table 46 Raw'!N39</f>
        <v>0.110764</v>
      </c>
      <c r="L52" s="19">
        <f>'AEO 2023 Table 46 Raw'!O39</f>
        <v>0.130941</v>
      </c>
      <c r="M52" s="19">
        <f>'AEO 2023 Table 46 Raw'!P39</f>
        <v>0.15276699999999999</v>
      </c>
      <c r="N52" s="19">
        <f>'AEO 2023 Table 46 Raw'!Q39</f>
        <v>0.176007</v>
      </c>
      <c r="O52" s="19">
        <f>'AEO 2023 Table 46 Raw'!R39</f>
        <v>0.199768</v>
      </c>
      <c r="P52" s="19">
        <f>'AEO 2023 Table 46 Raw'!S39</f>
        <v>0.22403600000000001</v>
      </c>
      <c r="Q52" s="19">
        <f>'AEO 2023 Table 46 Raw'!T39</f>
        <v>0.24896199999999999</v>
      </c>
      <c r="R52" s="19">
        <f>'AEO 2023 Table 46 Raw'!U39</f>
        <v>0.27486300000000002</v>
      </c>
      <c r="S52" s="19">
        <f>'AEO 2023 Table 46 Raw'!V39</f>
        <v>0.30209599999999998</v>
      </c>
      <c r="T52" s="19">
        <f>'AEO 2023 Table 46 Raw'!W39</f>
        <v>0.33073599999999997</v>
      </c>
      <c r="U52" s="19">
        <f>'AEO 2023 Table 46 Raw'!X39</f>
        <v>0.36068099999999997</v>
      </c>
      <c r="V52" s="19">
        <f>'AEO 2023 Table 46 Raw'!Y39</f>
        <v>0.39136100000000001</v>
      </c>
      <c r="W52" s="19">
        <f>'AEO 2023 Table 46 Raw'!Z39</f>
        <v>0.422678</v>
      </c>
      <c r="X52" s="19">
        <f>'AEO 2023 Table 46 Raw'!AA39</f>
        <v>0.45433400000000002</v>
      </c>
      <c r="Y52" s="19">
        <f>'AEO 2023 Table 46 Raw'!AB39</f>
        <v>0.48603099999999999</v>
      </c>
      <c r="Z52" s="19">
        <f>'AEO 2023 Table 46 Raw'!AC39</f>
        <v>0.51801699999999995</v>
      </c>
      <c r="AA52" s="19">
        <f>'AEO 2023 Table 46 Raw'!AD39</f>
        <v>0.55064599999999997</v>
      </c>
      <c r="AB52" s="19">
        <f>'AEO 2023 Table 46 Raw'!AE39</f>
        <v>0.58380799999999999</v>
      </c>
      <c r="AC52" s="19">
        <f>'AEO 2023 Table 46 Raw'!AF39</f>
        <v>0.61748999999999998</v>
      </c>
      <c r="AD52" s="19">
        <f>'AEO 2023 Table 46 Raw'!AG39</f>
        <v>0.65180099999999996</v>
      </c>
      <c r="AE52" s="19">
        <f>'AEO 2023 Table 46 Raw'!AH39</f>
        <v>0.68656700000000004</v>
      </c>
      <c r="AF52" s="30">
        <f>'AEO 2023 Table 46 Raw'!AI39</f>
        <v>0.159</v>
      </c>
    </row>
    <row r="53" spans="1:32" ht="15" customHeight="1">
      <c r="A53" s="7" t="s">
        <v>465</v>
      </c>
      <c r="B53" s="16" t="s">
        <v>433</v>
      </c>
      <c r="C53" s="19">
        <f>'AEO 2023 Table 46 Raw'!F40</f>
        <v>0</v>
      </c>
      <c r="D53" s="19">
        <f>'AEO 2023 Table 46 Raw'!G40</f>
        <v>0</v>
      </c>
      <c r="E53" s="19">
        <f>'AEO 2023 Table 46 Raw'!H40</f>
        <v>0</v>
      </c>
      <c r="F53" s="19">
        <f>'AEO 2023 Table 46 Raw'!I40</f>
        <v>0</v>
      </c>
      <c r="G53" s="19">
        <f>'AEO 2023 Table 46 Raw'!J40</f>
        <v>0</v>
      </c>
      <c r="H53" s="19">
        <f>'AEO 2023 Table 46 Raw'!K40</f>
        <v>0</v>
      </c>
      <c r="I53" s="19">
        <f>'AEO 2023 Table 46 Raw'!L40</f>
        <v>0</v>
      </c>
      <c r="J53" s="19">
        <f>'AEO 2023 Table 46 Raw'!M40</f>
        <v>0</v>
      </c>
      <c r="K53" s="19">
        <f>'AEO 2023 Table 46 Raw'!N40</f>
        <v>0</v>
      </c>
      <c r="L53" s="19">
        <f>'AEO 2023 Table 46 Raw'!O40</f>
        <v>0</v>
      </c>
      <c r="M53" s="19">
        <f>'AEO 2023 Table 46 Raw'!P40</f>
        <v>0</v>
      </c>
      <c r="N53" s="19">
        <f>'AEO 2023 Table 46 Raw'!Q40</f>
        <v>0</v>
      </c>
      <c r="O53" s="19">
        <f>'AEO 2023 Table 46 Raw'!R40</f>
        <v>0</v>
      </c>
      <c r="P53" s="19">
        <f>'AEO 2023 Table 46 Raw'!S40</f>
        <v>0</v>
      </c>
      <c r="Q53" s="19">
        <f>'AEO 2023 Table 46 Raw'!T40</f>
        <v>0</v>
      </c>
      <c r="R53" s="19">
        <f>'AEO 2023 Table 46 Raw'!U40</f>
        <v>0</v>
      </c>
      <c r="S53" s="19">
        <f>'AEO 2023 Table 46 Raw'!V40</f>
        <v>0</v>
      </c>
      <c r="T53" s="19">
        <f>'AEO 2023 Table 46 Raw'!W40</f>
        <v>0</v>
      </c>
      <c r="U53" s="19">
        <f>'AEO 2023 Table 46 Raw'!X40</f>
        <v>0</v>
      </c>
      <c r="V53" s="19">
        <f>'AEO 2023 Table 46 Raw'!Y40</f>
        <v>0</v>
      </c>
      <c r="W53" s="19">
        <f>'AEO 2023 Table 46 Raw'!Z40</f>
        <v>0</v>
      </c>
      <c r="X53" s="19">
        <f>'AEO 2023 Table 46 Raw'!AA40</f>
        <v>0</v>
      </c>
      <c r="Y53" s="19">
        <f>'AEO 2023 Table 46 Raw'!AB40</f>
        <v>0</v>
      </c>
      <c r="Z53" s="19">
        <f>'AEO 2023 Table 46 Raw'!AC40</f>
        <v>0</v>
      </c>
      <c r="AA53" s="19">
        <f>'AEO 2023 Table 46 Raw'!AD40</f>
        <v>0</v>
      </c>
      <c r="AB53" s="19">
        <f>'AEO 2023 Table 46 Raw'!AE40</f>
        <v>0</v>
      </c>
      <c r="AC53" s="19">
        <f>'AEO 2023 Table 46 Raw'!AF40</f>
        <v>0</v>
      </c>
      <c r="AD53" s="19">
        <f>'AEO 2023 Table 46 Raw'!AG40</f>
        <v>0</v>
      </c>
      <c r="AE53" s="19">
        <f>'AEO 2023 Table 46 Raw'!AH40</f>
        <v>0</v>
      </c>
      <c r="AF53" s="30" t="str">
        <f>'AEO 2023 Table 46 Raw'!AI40</f>
        <v>- -</v>
      </c>
    </row>
    <row r="54" spans="1:32" ht="15" customHeight="1">
      <c r="A54" s="7" t="s">
        <v>466</v>
      </c>
      <c r="B54" s="16" t="s">
        <v>435</v>
      </c>
      <c r="C54" s="19">
        <f>'AEO 2023 Table 46 Raw'!F41</f>
        <v>1.4860070000000001</v>
      </c>
      <c r="D54" s="19">
        <f>'AEO 2023 Table 46 Raw'!G41</f>
        <v>1.7714510000000001</v>
      </c>
      <c r="E54" s="19">
        <f>'AEO 2023 Table 46 Raw'!H41</f>
        <v>2.0501170000000002</v>
      </c>
      <c r="F54" s="19">
        <f>'AEO 2023 Table 46 Raw'!I41</f>
        <v>2.3524569999999998</v>
      </c>
      <c r="G54" s="19">
        <f>'AEO 2023 Table 46 Raw'!J41</f>
        <v>2.6537160000000002</v>
      </c>
      <c r="H54" s="19">
        <f>'AEO 2023 Table 46 Raw'!K41</f>
        <v>2.9155169999999999</v>
      </c>
      <c r="I54" s="19">
        <f>'AEO 2023 Table 46 Raw'!L41</f>
        <v>3.1558120000000001</v>
      </c>
      <c r="J54" s="19">
        <f>'AEO 2023 Table 46 Raw'!M41</f>
        <v>3.3776169999999999</v>
      </c>
      <c r="K54" s="19">
        <f>'AEO 2023 Table 46 Raw'!N41</f>
        <v>3.5757539999999999</v>
      </c>
      <c r="L54" s="19">
        <f>'AEO 2023 Table 46 Raw'!O41</f>
        <v>3.7567569999999999</v>
      </c>
      <c r="M54" s="19">
        <f>'AEO 2023 Table 46 Raw'!P41</f>
        <v>3.9304410000000001</v>
      </c>
      <c r="N54" s="19">
        <f>'AEO 2023 Table 46 Raw'!Q41</f>
        <v>4.0947690000000003</v>
      </c>
      <c r="O54" s="19">
        <f>'AEO 2023 Table 46 Raw'!R41</f>
        <v>4.2382939999999998</v>
      </c>
      <c r="P54" s="19">
        <f>'AEO 2023 Table 46 Raw'!S41</f>
        <v>4.3639780000000004</v>
      </c>
      <c r="Q54" s="19">
        <f>'AEO 2023 Table 46 Raw'!T41</f>
        <v>4.4781870000000001</v>
      </c>
      <c r="R54" s="19">
        <f>'AEO 2023 Table 46 Raw'!U41</f>
        <v>4.5877489999999996</v>
      </c>
      <c r="S54" s="19">
        <f>'AEO 2023 Table 46 Raw'!V41</f>
        <v>4.69895</v>
      </c>
      <c r="T54" s="19">
        <f>'AEO 2023 Table 46 Raw'!W41</f>
        <v>4.8137369999999997</v>
      </c>
      <c r="U54" s="19">
        <f>'AEO 2023 Table 46 Raw'!X41</f>
        <v>4.9321109999999999</v>
      </c>
      <c r="V54" s="19">
        <f>'AEO 2023 Table 46 Raw'!Y41</f>
        <v>5.0488580000000001</v>
      </c>
      <c r="W54" s="19">
        <f>'AEO 2023 Table 46 Raw'!Z41</f>
        <v>5.1645690000000002</v>
      </c>
      <c r="X54" s="19">
        <f>'AEO 2023 Table 46 Raw'!AA41</f>
        <v>5.2774080000000003</v>
      </c>
      <c r="Y54" s="19">
        <f>'AEO 2023 Table 46 Raw'!AB41</f>
        <v>5.385243</v>
      </c>
      <c r="Z54" s="19">
        <f>'AEO 2023 Table 46 Raw'!AC41</f>
        <v>5.491466</v>
      </c>
      <c r="AA54" s="19">
        <f>'AEO 2023 Table 46 Raw'!AD41</f>
        <v>5.5998190000000001</v>
      </c>
      <c r="AB54" s="19">
        <f>'AEO 2023 Table 46 Raw'!AE41</f>
        <v>5.7090930000000002</v>
      </c>
      <c r="AC54" s="19">
        <f>'AEO 2023 Table 46 Raw'!AF41</f>
        <v>5.8187990000000003</v>
      </c>
      <c r="AD54" s="19">
        <f>'AEO 2023 Table 46 Raw'!AG41</f>
        <v>5.9302020000000004</v>
      </c>
      <c r="AE54" s="19">
        <f>'AEO 2023 Table 46 Raw'!AH41</f>
        <v>6.0421950000000004</v>
      </c>
      <c r="AF54" s="30">
        <f>'AEO 2023 Table 46 Raw'!AI41</f>
        <v>5.0999999999999997E-2</v>
      </c>
    </row>
    <row r="55" spans="1:32" ht="15" customHeight="1">
      <c r="A55" s="7" t="s">
        <v>467</v>
      </c>
      <c r="B55" s="16" t="s">
        <v>437</v>
      </c>
      <c r="C55" s="19">
        <f>'AEO 2023 Table 46 Raw'!F42</f>
        <v>2.7307000000000001E-2</v>
      </c>
      <c r="D55" s="19">
        <f>'AEO 2023 Table 46 Raw'!G42</f>
        <v>2.538E-2</v>
      </c>
      <c r="E55" s="19">
        <f>'AEO 2023 Table 46 Raw'!H42</f>
        <v>2.3747000000000001E-2</v>
      </c>
      <c r="F55" s="19">
        <f>'AEO 2023 Table 46 Raw'!I42</f>
        <v>2.2165000000000001E-2</v>
      </c>
      <c r="G55" s="19">
        <f>'AEO 2023 Table 46 Raw'!J42</f>
        <v>2.0631E-2</v>
      </c>
      <c r="H55" s="19">
        <f>'AEO 2023 Table 46 Raw'!K42</f>
        <v>1.9140999999999998E-2</v>
      </c>
      <c r="I55" s="19">
        <f>'AEO 2023 Table 46 Raw'!L42</f>
        <v>1.7766000000000001E-2</v>
      </c>
      <c r="J55" s="19">
        <f>'AEO 2023 Table 46 Raw'!M42</f>
        <v>1.6636999999999999E-2</v>
      </c>
      <c r="K55" s="19">
        <f>'AEO 2023 Table 46 Raw'!N42</f>
        <v>1.5591000000000001E-2</v>
      </c>
      <c r="L55" s="19">
        <f>'AEO 2023 Table 46 Raw'!O42</f>
        <v>1.4572999999999999E-2</v>
      </c>
      <c r="M55" s="19">
        <f>'AEO 2023 Table 46 Raw'!P42</f>
        <v>1.3602E-2</v>
      </c>
      <c r="N55" s="19">
        <f>'AEO 2023 Table 46 Raw'!Q42</f>
        <v>1.268E-2</v>
      </c>
      <c r="O55" s="19">
        <f>'AEO 2023 Table 46 Raw'!R42</f>
        <v>1.1816E-2</v>
      </c>
      <c r="P55" s="19">
        <f>'AEO 2023 Table 46 Raw'!S42</f>
        <v>1.1003000000000001E-2</v>
      </c>
      <c r="Q55" s="19">
        <f>'AEO 2023 Table 46 Raw'!T42</f>
        <v>1.0246999999999999E-2</v>
      </c>
      <c r="R55" s="19">
        <f>'AEO 2023 Table 46 Raw'!U42</f>
        <v>9.6509999999999999E-3</v>
      </c>
      <c r="S55" s="19">
        <f>'AEO 2023 Table 46 Raw'!V42</f>
        <v>9.0790000000000003E-3</v>
      </c>
      <c r="T55" s="19">
        <f>'AEO 2023 Table 46 Raw'!W42</f>
        <v>8.5800000000000008E-3</v>
      </c>
      <c r="U55" s="19">
        <f>'AEO 2023 Table 46 Raw'!X42</f>
        <v>8.1089999999999999E-3</v>
      </c>
      <c r="V55" s="19">
        <f>'AEO 2023 Table 46 Raw'!Y42</f>
        <v>7.6639999999999998E-3</v>
      </c>
      <c r="W55" s="19">
        <f>'AEO 2023 Table 46 Raw'!Z42</f>
        <v>7.2430000000000003E-3</v>
      </c>
      <c r="X55" s="19">
        <f>'AEO 2023 Table 46 Raw'!AA42</f>
        <v>6.8459999999999997E-3</v>
      </c>
      <c r="Y55" s="19">
        <f>'AEO 2023 Table 46 Raw'!AB42</f>
        <v>6.4700000000000001E-3</v>
      </c>
      <c r="Z55" s="19">
        <f>'AEO 2023 Table 46 Raw'!AC42</f>
        <v>6.1149999999999998E-3</v>
      </c>
      <c r="AA55" s="19">
        <f>'AEO 2023 Table 46 Raw'!AD42</f>
        <v>5.7800000000000004E-3</v>
      </c>
      <c r="AB55" s="19">
        <f>'AEO 2023 Table 46 Raw'!AE42</f>
        <v>5.463E-3</v>
      </c>
      <c r="AC55" s="19">
        <f>'AEO 2023 Table 46 Raw'!AF42</f>
        <v>5.1640000000000002E-3</v>
      </c>
      <c r="AD55" s="19">
        <f>'AEO 2023 Table 46 Raw'!AG42</f>
        <v>4.8809999999999999E-3</v>
      </c>
      <c r="AE55" s="19">
        <f>'AEO 2023 Table 46 Raw'!AH42</f>
        <v>4.6129999999999999E-3</v>
      </c>
      <c r="AF55" s="30">
        <f>'AEO 2023 Table 46 Raw'!AI42</f>
        <v>-6.2E-2</v>
      </c>
    </row>
    <row r="56" spans="1:32" ht="15" customHeight="1">
      <c r="A56" s="7" t="s">
        <v>468</v>
      </c>
      <c r="B56" s="16" t="s">
        <v>439</v>
      </c>
      <c r="C56" s="19">
        <f>'AEO 2023 Table 46 Raw'!F43</f>
        <v>2.1069000000000001E-2</v>
      </c>
      <c r="D56" s="19">
        <f>'AEO 2023 Table 46 Raw'!G43</f>
        <v>1.942E-2</v>
      </c>
      <c r="E56" s="19">
        <f>'AEO 2023 Table 46 Raw'!H43</f>
        <v>1.8349000000000001E-2</v>
      </c>
      <c r="F56" s="19">
        <f>'AEO 2023 Table 46 Raw'!I43</f>
        <v>1.7337999999999999E-2</v>
      </c>
      <c r="G56" s="19">
        <f>'AEO 2023 Table 46 Raw'!J43</f>
        <v>1.6382000000000001E-2</v>
      </c>
      <c r="H56" s="19">
        <f>'AEO 2023 Table 46 Raw'!K43</f>
        <v>1.5479E-2</v>
      </c>
      <c r="I56" s="19">
        <f>'AEO 2023 Table 46 Raw'!L43</f>
        <v>1.4626E-2</v>
      </c>
      <c r="J56" s="19">
        <f>'AEO 2023 Table 46 Raw'!M43</f>
        <v>1.3821E-2</v>
      </c>
      <c r="K56" s="19">
        <f>'AEO 2023 Table 46 Raw'!N43</f>
        <v>1.3058999999999999E-2</v>
      </c>
      <c r="L56" s="19">
        <f>'AEO 2023 Table 46 Raw'!O43</f>
        <v>1.234E-2</v>
      </c>
      <c r="M56" s="19">
        <f>'AEO 2023 Table 46 Raw'!P43</f>
        <v>1.1660999999999999E-2</v>
      </c>
      <c r="N56" s="19">
        <f>'AEO 2023 Table 46 Raw'!Q43</f>
        <v>1.1018999999999999E-2</v>
      </c>
      <c r="O56" s="19">
        <f>'AEO 2023 Table 46 Raw'!R43</f>
        <v>1.0413E-2</v>
      </c>
      <c r="P56" s="19">
        <f>'AEO 2023 Table 46 Raw'!S43</f>
        <v>9.8399999999999998E-3</v>
      </c>
      <c r="Q56" s="19">
        <f>'AEO 2023 Table 46 Raw'!T43</f>
        <v>9.299E-3</v>
      </c>
      <c r="R56" s="19">
        <f>'AEO 2023 Table 46 Raw'!U43</f>
        <v>8.7869999999999997E-3</v>
      </c>
      <c r="S56" s="19">
        <f>'AEO 2023 Table 46 Raw'!V43</f>
        <v>8.3040000000000006E-3</v>
      </c>
      <c r="T56" s="19">
        <f>'AEO 2023 Table 46 Raw'!W43</f>
        <v>7.8480000000000008E-3</v>
      </c>
      <c r="U56" s="19">
        <f>'AEO 2023 Table 46 Raw'!X43</f>
        <v>7.417E-3</v>
      </c>
      <c r="V56" s="19">
        <f>'AEO 2023 Table 46 Raw'!Y43</f>
        <v>7.0089999999999996E-3</v>
      </c>
      <c r="W56" s="19">
        <f>'AEO 2023 Table 46 Raw'!Z43</f>
        <v>6.6239999999999997E-3</v>
      </c>
      <c r="X56" s="19">
        <f>'AEO 2023 Table 46 Raw'!AA43</f>
        <v>6.2599999999999999E-3</v>
      </c>
      <c r="Y56" s="19">
        <f>'AEO 2023 Table 46 Raw'!AB43</f>
        <v>5.9160000000000003E-3</v>
      </c>
      <c r="Z56" s="19">
        <f>'AEO 2023 Table 46 Raw'!AC43</f>
        <v>5.5919999999999997E-3</v>
      </c>
      <c r="AA56" s="19">
        <f>'AEO 2023 Table 46 Raw'!AD43</f>
        <v>5.2849999999999998E-3</v>
      </c>
      <c r="AB56" s="19">
        <f>'AEO 2023 Table 46 Raw'!AE43</f>
        <v>4.9950000000000003E-3</v>
      </c>
      <c r="AC56" s="19">
        <f>'AEO 2023 Table 46 Raw'!AF43</f>
        <v>4.7210000000000004E-3</v>
      </c>
      <c r="AD56" s="19">
        <f>'AEO 2023 Table 46 Raw'!AG43</f>
        <v>4.4619999999999998E-3</v>
      </c>
      <c r="AE56" s="19">
        <f>'AEO 2023 Table 46 Raw'!AH43</f>
        <v>4.2170000000000003E-3</v>
      </c>
      <c r="AF56" s="30">
        <f>'AEO 2023 Table 46 Raw'!AI43</f>
        <v>-5.6000000000000001E-2</v>
      </c>
    </row>
    <row r="57" spans="1:32" ht="15" customHeight="1">
      <c r="A57" s="7" t="s">
        <v>469</v>
      </c>
      <c r="B57" s="16" t="s">
        <v>441</v>
      </c>
      <c r="C57" s="19">
        <f>'AEO 2023 Table 46 Raw'!F44</f>
        <v>5.5518999999999999E-2</v>
      </c>
      <c r="D57" s="19">
        <f>'AEO 2023 Table 46 Raw'!G44</f>
        <v>4.9865E-2</v>
      </c>
      <c r="E57" s="19">
        <f>'AEO 2023 Table 46 Raw'!H44</f>
        <v>4.4665000000000003E-2</v>
      </c>
      <c r="F57" s="19">
        <f>'AEO 2023 Table 46 Raw'!I44</f>
        <v>4.0508000000000002E-2</v>
      </c>
      <c r="G57" s="19">
        <f>'AEO 2023 Table 46 Raw'!J44</f>
        <v>3.746E-2</v>
      </c>
      <c r="H57" s="19">
        <f>'AEO 2023 Table 46 Raw'!K44</f>
        <v>3.5242999999999997E-2</v>
      </c>
      <c r="I57" s="19">
        <f>'AEO 2023 Table 46 Raw'!L44</f>
        <v>3.3300999999999997E-2</v>
      </c>
      <c r="J57" s="19">
        <f>'AEO 2023 Table 46 Raw'!M44</f>
        <v>3.1466000000000001E-2</v>
      </c>
      <c r="K57" s="19">
        <f>'AEO 2023 Table 46 Raw'!N44</f>
        <v>2.9732999999999999E-2</v>
      </c>
      <c r="L57" s="19">
        <f>'AEO 2023 Table 46 Raw'!O44</f>
        <v>2.8094999999999998E-2</v>
      </c>
      <c r="M57" s="19">
        <f>'AEO 2023 Table 46 Raw'!P44</f>
        <v>2.6547999999999999E-2</v>
      </c>
      <c r="N57" s="19">
        <f>'AEO 2023 Table 46 Raw'!Q44</f>
        <v>2.5087000000000002E-2</v>
      </c>
      <c r="O57" s="19">
        <f>'AEO 2023 Table 46 Raw'!R44</f>
        <v>2.3706000000000001E-2</v>
      </c>
      <c r="P57" s="19">
        <f>'AEO 2023 Table 46 Raw'!S44</f>
        <v>2.2401999999999998E-2</v>
      </c>
      <c r="Q57" s="19">
        <f>'AEO 2023 Table 46 Raw'!T44</f>
        <v>2.1169E-2</v>
      </c>
      <c r="R57" s="19">
        <f>'AEO 2023 Table 46 Raw'!U44</f>
        <v>2.0004999999999998E-2</v>
      </c>
      <c r="S57" s="19">
        <f>'AEO 2023 Table 46 Raw'!V44</f>
        <v>1.8905000000000002E-2</v>
      </c>
      <c r="T57" s="19">
        <f>'AEO 2023 Table 46 Raw'!W44</f>
        <v>1.7864999999999999E-2</v>
      </c>
      <c r="U57" s="19">
        <f>'AEO 2023 Table 46 Raw'!X44</f>
        <v>1.6882999999999999E-2</v>
      </c>
      <c r="V57" s="19">
        <f>'AEO 2023 Table 46 Raw'!Y44</f>
        <v>1.5955E-2</v>
      </c>
      <c r="W57" s="19">
        <f>'AEO 2023 Table 46 Raw'!Z44</f>
        <v>1.5077999999999999E-2</v>
      </c>
      <c r="X57" s="19">
        <f>'AEO 2023 Table 46 Raw'!AA44</f>
        <v>1.4250000000000001E-2</v>
      </c>
      <c r="Y57" s="19">
        <f>'AEO 2023 Table 46 Raw'!AB44</f>
        <v>1.3467E-2</v>
      </c>
      <c r="Z57" s="19">
        <f>'AEO 2023 Table 46 Raw'!AC44</f>
        <v>1.2728E-2</v>
      </c>
      <c r="AA57" s="19">
        <f>'AEO 2023 Table 46 Raw'!AD44</f>
        <v>1.2029E-2</v>
      </c>
      <c r="AB57" s="19">
        <f>'AEO 2023 Table 46 Raw'!AE44</f>
        <v>1.1369000000000001E-2</v>
      </c>
      <c r="AC57" s="19">
        <f>'AEO 2023 Table 46 Raw'!AF44</f>
        <v>1.0744999999999999E-2</v>
      </c>
      <c r="AD57" s="19">
        <f>'AEO 2023 Table 46 Raw'!AG44</f>
        <v>1.0155000000000001E-2</v>
      </c>
      <c r="AE57" s="19">
        <f>'AEO 2023 Table 46 Raw'!AH44</f>
        <v>9.5980000000000006E-3</v>
      </c>
      <c r="AF57" s="30">
        <f>'AEO 2023 Table 46 Raw'!AI44</f>
        <v>-6.0999999999999999E-2</v>
      </c>
    </row>
    <row r="58" spans="1:32" ht="15" customHeight="1">
      <c r="A58" s="7" t="s">
        <v>470</v>
      </c>
      <c r="B58" s="16" t="s">
        <v>443</v>
      </c>
      <c r="C58" s="19">
        <f>'AEO 2023 Table 46 Raw'!F45</f>
        <v>4.9424999999999997E-2</v>
      </c>
      <c r="D58" s="19">
        <f>'AEO 2023 Table 46 Raw'!G45</f>
        <v>4.5553999999999997E-2</v>
      </c>
      <c r="E58" s="19">
        <f>'AEO 2023 Table 46 Raw'!H45</f>
        <v>4.3041999999999997E-2</v>
      </c>
      <c r="F58" s="19">
        <f>'AEO 2023 Table 46 Raw'!I45</f>
        <v>4.0668999999999997E-2</v>
      </c>
      <c r="G58" s="19">
        <f>'AEO 2023 Table 46 Raw'!J45</f>
        <v>3.8427000000000003E-2</v>
      </c>
      <c r="H58" s="19">
        <f>'AEO 2023 Table 46 Raw'!K45</f>
        <v>3.6310000000000002E-2</v>
      </c>
      <c r="I58" s="19">
        <f>'AEO 2023 Table 46 Raw'!L45</f>
        <v>3.4308999999999999E-2</v>
      </c>
      <c r="J58" s="19">
        <f>'AEO 2023 Table 46 Raw'!M45</f>
        <v>3.2419000000000003E-2</v>
      </c>
      <c r="K58" s="19">
        <f>'AEO 2023 Table 46 Raw'!N45</f>
        <v>3.0634000000000002E-2</v>
      </c>
      <c r="L58" s="19">
        <f>'AEO 2023 Table 46 Raw'!O45</f>
        <v>2.8947000000000001E-2</v>
      </c>
      <c r="M58" s="19">
        <f>'AEO 2023 Table 46 Raw'!P45</f>
        <v>2.7354E-2</v>
      </c>
      <c r="N58" s="19">
        <f>'AEO 2023 Table 46 Raw'!Q45</f>
        <v>2.5847999999999999E-2</v>
      </c>
      <c r="O58" s="19">
        <f>'AEO 2023 Table 46 Raw'!R45</f>
        <v>2.4426E-2</v>
      </c>
      <c r="P58" s="19">
        <f>'AEO 2023 Table 46 Raw'!S45</f>
        <v>2.3081999999999998E-2</v>
      </c>
      <c r="Q58" s="19">
        <f>'AEO 2023 Table 46 Raw'!T45</f>
        <v>2.1812000000000002E-2</v>
      </c>
      <c r="R58" s="19">
        <f>'AEO 2023 Table 46 Raw'!U45</f>
        <v>2.0612999999999999E-2</v>
      </c>
      <c r="S58" s="19">
        <f>'AEO 2023 Table 46 Raw'!V45</f>
        <v>1.9479E-2</v>
      </c>
      <c r="T58" s="19">
        <f>'AEO 2023 Table 46 Raw'!W45</f>
        <v>1.8408999999999998E-2</v>
      </c>
      <c r="U58" s="19">
        <f>'AEO 2023 Table 46 Raw'!X45</f>
        <v>1.7396999999999999E-2</v>
      </c>
      <c r="V58" s="19">
        <f>'AEO 2023 Table 46 Raw'!Y45</f>
        <v>1.6441000000000001E-2</v>
      </c>
      <c r="W58" s="19">
        <f>'AEO 2023 Table 46 Raw'!Z45</f>
        <v>1.5538E-2</v>
      </c>
      <c r="X58" s="19">
        <f>'AEO 2023 Table 46 Raw'!AA45</f>
        <v>1.4683999999999999E-2</v>
      </c>
      <c r="Y58" s="19">
        <f>'AEO 2023 Table 46 Raw'!AB45</f>
        <v>1.3878E-2</v>
      </c>
      <c r="Z58" s="19">
        <f>'AEO 2023 Table 46 Raw'!AC45</f>
        <v>1.3115999999999999E-2</v>
      </c>
      <c r="AA58" s="19">
        <f>'AEO 2023 Table 46 Raw'!AD45</f>
        <v>1.2396000000000001E-2</v>
      </c>
      <c r="AB58" s="19">
        <f>'AEO 2023 Table 46 Raw'!AE45</f>
        <v>1.1716000000000001E-2</v>
      </c>
      <c r="AC58" s="19">
        <f>'AEO 2023 Table 46 Raw'!AF45</f>
        <v>1.1073E-2</v>
      </c>
      <c r="AD58" s="19">
        <f>'AEO 2023 Table 46 Raw'!AG45</f>
        <v>1.0466E-2</v>
      </c>
      <c r="AE58" s="19">
        <f>'AEO 2023 Table 46 Raw'!AH45</f>
        <v>9.8919999999999998E-3</v>
      </c>
      <c r="AF58" s="30">
        <f>'AEO 2023 Table 46 Raw'!AI45</f>
        <v>-5.6000000000000001E-2</v>
      </c>
    </row>
    <row r="59" spans="1:32" ht="15" customHeight="1">
      <c r="A59" s="7" t="s">
        <v>471</v>
      </c>
      <c r="B59" s="16" t="s">
        <v>445</v>
      </c>
      <c r="C59" s="19">
        <f>'AEO 2023 Table 46 Raw'!F46</f>
        <v>0</v>
      </c>
      <c r="D59" s="19">
        <f>'AEO 2023 Table 46 Raw'!G46</f>
        <v>0</v>
      </c>
      <c r="E59" s="19">
        <f>'AEO 2023 Table 46 Raw'!H46</f>
        <v>0</v>
      </c>
      <c r="F59" s="19">
        <f>'AEO 2023 Table 46 Raw'!I46</f>
        <v>0</v>
      </c>
      <c r="G59" s="19">
        <f>'AEO 2023 Table 46 Raw'!J46</f>
        <v>0</v>
      </c>
      <c r="H59" s="19">
        <f>'AEO 2023 Table 46 Raw'!K46</f>
        <v>0</v>
      </c>
      <c r="I59" s="19">
        <f>'AEO 2023 Table 46 Raw'!L46</f>
        <v>0</v>
      </c>
      <c r="J59" s="19">
        <f>'AEO 2023 Table 46 Raw'!M46</f>
        <v>0</v>
      </c>
      <c r="K59" s="19">
        <f>'AEO 2023 Table 46 Raw'!N46</f>
        <v>0</v>
      </c>
      <c r="L59" s="19">
        <f>'AEO 2023 Table 46 Raw'!O46</f>
        <v>0</v>
      </c>
      <c r="M59" s="19">
        <f>'AEO 2023 Table 46 Raw'!P46</f>
        <v>0</v>
      </c>
      <c r="N59" s="19">
        <f>'AEO 2023 Table 46 Raw'!Q46</f>
        <v>0</v>
      </c>
      <c r="O59" s="19">
        <f>'AEO 2023 Table 46 Raw'!R46</f>
        <v>0</v>
      </c>
      <c r="P59" s="19">
        <f>'AEO 2023 Table 46 Raw'!S46</f>
        <v>0</v>
      </c>
      <c r="Q59" s="19">
        <f>'AEO 2023 Table 46 Raw'!T46</f>
        <v>0</v>
      </c>
      <c r="R59" s="19">
        <f>'AEO 2023 Table 46 Raw'!U46</f>
        <v>0</v>
      </c>
      <c r="S59" s="19">
        <f>'AEO 2023 Table 46 Raw'!V46</f>
        <v>0</v>
      </c>
      <c r="T59" s="19">
        <f>'AEO 2023 Table 46 Raw'!W46</f>
        <v>0</v>
      </c>
      <c r="U59" s="19">
        <f>'AEO 2023 Table 46 Raw'!X46</f>
        <v>0</v>
      </c>
      <c r="V59" s="19">
        <f>'AEO 2023 Table 46 Raw'!Y46</f>
        <v>0</v>
      </c>
      <c r="W59" s="19">
        <f>'AEO 2023 Table 46 Raw'!Z46</f>
        <v>0</v>
      </c>
      <c r="X59" s="19">
        <f>'AEO 2023 Table 46 Raw'!AA46</f>
        <v>0</v>
      </c>
      <c r="Y59" s="19">
        <f>'AEO 2023 Table 46 Raw'!AB46</f>
        <v>0</v>
      </c>
      <c r="Z59" s="19">
        <f>'AEO 2023 Table 46 Raw'!AC46</f>
        <v>0</v>
      </c>
      <c r="AA59" s="19">
        <f>'AEO 2023 Table 46 Raw'!AD46</f>
        <v>0</v>
      </c>
      <c r="AB59" s="19">
        <f>'AEO 2023 Table 46 Raw'!AE46</f>
        <v>0</v>
      </c>
      <c r="AC59" s="19">
        <f>'AEO 2023 Table 46 Raw'!AF46</f>
        <v>0</v>
      </c>
      <c r="AD59" s="19">
        <f>'AEO 2023 Table 46 Raw'!AG46</f>
        <v>0</v>
      </c>
      <c r="AE59" s="19">
        <f>'AEO 2023 Table 46 Raw'!AH46</f>
        <v>0</v>
      </c>
      <c r="AF59" s="30" t="str">
        <f>'AEO 2023 Table 46 Raw'!AI46</f>
        <v>- -</v>
      </c>
    </row>
    <row r="60" spans="1:32" ht="15" customHeight="1">
      <c r="A60" s="7" t="s">
        <v>472</v>
      </c>
      <c r="B60" s="16" t="s">
        <v>447</v>
      </c>
      <c r="C60" s="19">
        <f>'AEO 2023 Table 46 Raw'!F47</f>
        <v>2.3E-5</v>
      </c>
      <c r="D60" s="19">
        <f>'AEO 2023 Table 46 Raw'!G47</f>
        <v>6.4999999999999994E-5</v>
      </c>
      <c r="E60" s="19">
        <f>'AEO 2023 Table 46 Raw'!H47</f>
        <v>1.2999999999999999E-4</v>
      </c>
      <c r="F60" s="19">
        <f>'AEO 2023 Table 46 Raw'!I47</f>
        <v>2.2100000000000001E-4</v>
      </c>
      <c r="G60" s="19">
        <f>'AEO 2023 Table 46 Raw'!J47</f>
        <v>3.3599999999999998E-4</v>
      </c>
      <c r="H60" s="19">
        <f>'AEO 2023 Table 46 Raw'!K47</f>
        <v>4.7199999999999998E-4</v>
      </c>
      <c r="I60" s="19">
        <f>'AEO 2023 Table 46 Raw'!L47</f>
        <v>6.3000000000000003E-4</v>
      </c>
      <c r="J60" s="19">
        <f>'AEO 2023 Table 46 Raw'!M47</f>
        <v>8.0900000000000004E-4</v>
      </c>
      <c r="K60" s="19">
        <f>'AEO 2023 Table 46 Raw'!N47</f>
        <v>1.0039999999999999E-3</v>
      </c>
      <c r="L60" s="19">
        <f>'AEO 2023 Table 46 Raw'!O47</f>
        <v>1.2149999999999999E-3</v>
      </c>
      <c r="M60" s="19">
        <f>'AEO 2023 Table 46 Raw'!P47</f>
        <v>1.444E-3</v>
      </c>
      <c r="N60" s="19">
        <f>'AEO 2023 Table 46 Raw'!Q47</f>
        <v>1.689E-3</v>
      </c>
      <c r="O60" s="19">
        <f>'AEO 2023 Table 46 Raw'!R47</f>
        <v>1.9430000000000001E-3</v>
      </c>
      <c r="P60" s="19">
        <f>'AEO 2023 Table 46 Raw'!S47</f>
        <v>2.2030000000000001E-3</v>
      </c>
      <c r="Q60" s="19">
        <f>'AEO 2023 Table 46 Raw'!T47</f>
        <v>2.4719999999999998E-3</v>
      </c>
      <c r="R60" s="19">
        <f>'AEO 2023 Table 46 Raw'!U47</f>
        <v>2.751E-3</v>
      </c>
      <c r="S60" s="19">
        <f>'AEO 2023 Table 46 Raw'!V47</f>
        <v>3.042E-3</v>
      </c>
      <c r="T60" s="19">
        <f>'AEO 2023 Table 46 Raw'!W47</f>
        <v>3.3470000000000001E-3</v>
      </c>
      <c r="U60" s="19">
        <f>'AEO 2023 Table 46 Raw'!X47</f>
        <v>3.666E-3</v>
      </c>
      <c r="V60" s="19">
        <f>'AEO 2023 Table 46 Raw'!Y47</f>
        <v>3.993E-3</v>
      </c>
      <c r="W60" s="19">
        <f>'AEO 2023 Table 46 Raw'!Z47</f>
        <v>4.3290000000000004E-3</v>
      </c>
      <c r="X60" s="19">
        <f>'AEO 2023 Table 46 Raw'!AA47</f>
        <v>4.6709999999999998E-3</v>
      </c>
      <c r="Y60" s="19">
        <f>'AEO 2023 Table 46 Raw'!AB47</f>
        <v>5.0150000000000004E-3</v>
      </c>
      <c r="Z60" s="19">
        <f>'AEO 2023 Table 46 Raw'!AC47</f>
        <v>5.365E-3</v>
      </c>
      <c r="AA60" s="19">
        <f>'AEO 2023 Table 46 Raw'!AD47</f>
        <v>5.7210000000000004E-3</v>
      </c>
      <c r="AB60" s="19">
        <f>'AEO 2023 Table 46 Raw'!AE47</f>
        <v>6.084E-3</v>
      </c>
      <c r="AC60" s="19">
        <f>'AEO 2023 Table 46 Raw'!AF47</f>
        <v>6.4520000000000003E-3</v>
      </c>
      <c r="AD60" s="19">
        <f>'AEO 2023 Table 46 Raw'!AG47</f>
        <v>6.8279999999999999E-3</v>
      </c>
      <c r="AE60" s="19">
        <f>'AEO 2023 Table 46 Raw'!AH47</f>
        <v>7.2100000000000003E-3</v>
      </c>
      <c r="AF60" s="30">
        <f>'AEO 2023 Table 46 Raw'!AI47</f>
        <v>0.22900000000000001</v>
      </c>
    </row>
    <row r="61" spans="1:32" ht="15" customHeight="1">
      <c r="A61" s="7" t="s">
        <v>473</v>
      </c>
      <c r="B61" s="16" t="s">
        <v>474</v>
      </c>
      <c r="C61" s="19">
        <f>'AEO 2023 Table 46 Raw'!F48</f>
        <v>15.113032</v>
      </c>
      <c r="D61" s="19">
        <f>'AEO 2023 Table 46 Raw'!G48</f>
        <v>14.362161</v>
      </c>
      <c r="E61" s="19">
        <f>'AEO 2023 Table 46 Raw'!H48</f>
        <v>13.78215</v>
      </c>
      <c r="F61" s="19">
        <f>'AEO 2023 Table 46 Raw'!I48</f>
        <v>13.317646</v>
      </c>
      <c r="G61" s="19">
        <f>'AEO 2023 Table 46 Raw'!J48</f>
        <v>13.015288999999999</v>
      </c>
      <c r="H61" s="19">
        <f>'AEO 2023 Table 46 Raw'!K48</f>
        <v>12.713843000000001</v>
      </c>
      <c r="I61" s="19">
        <f>'AEO 2023 Table 46 Raw'!L48</f>
        <v>12.48873</v>
      </c>
      <c r="J61" s="19">
        <f>'AEO 2023 Table 46 Raw'!M48</f>
        <v>12.357347000000001</v>
      </c>
      <c r="K61" s="19">
        <f>'AEO 2023 Table 46 Raw'!N48</f>
        <v>12.277528999999999</v>
      </c>
      <c r="L61" s="19">
        <f>'AEO 2023 Table 46 Raw'!O48</f>
        <v>12.262755</v>
      </c>
      <c r="M61" s="19">
        <f>'AEO 2023 Table 46 Raw'!P48</f>
        <v>12.349518</v>
      </c>
      <c r="N61" s="19">
        <f>'AEO 2023 Table 46 Raw'!Q48</f>
        <v>12.516215000000001</v>
      </c>
      <c r="O61" s="19">
        <f>'AEO 2023 Table 46 Raw'!R48</f>
        <v>12.690412999999999</v>
      </c>
      <c r="P61" s="19">
        <f>'AEO 2023 Table 46 Raw'!S48</f>
        <v>12.877636000000001</v>
      </c>
      <c r="Q61" s="19">
        <f>'AEO 2023 Table 46 Raw'!T48</f>
        <v>13.10427</v>
      </c>
      <c r="R61" s="19">
        <f>'AEO 2023 Table 46 Raw'!U48</f>
        <v>13.395966</v>
      </c>
      <c r="S61" s="19">
        <f>'AEO 2023 Table 46 Raw'!V48</f>
        <v>13.762724</v>
      </c>
      <c r="T61" s="19">
        <f>'AEO 2023 Table 46 Raw'!W48</f>
        <v>14.192204</v>
      </c>
      <c r="U61" s="19">
        <f>'AEO 2023 Table 46 Raw'!X48</f>
        <v>14.663688</v>
      </c>
      <c r="V61" s="19">
        <f>'AEO 2023 Table 46 Raw'!Y48</f>
        <v>15.141544</v>
      </c>
      <c r="W61" s="19">
        <f>'AEO 2023 Table 46 Raw'!Z48</f>
        <v>15.624432000000001</v>
      </c>
      <c r="X61" s="19">
        <f>'AEO 2023 Table 46 Raw'!AA48</f>
        <v>16.103663999999998</v>
      </c>
      <c r="Y61" s="19">
        <f>'AEO 2023 Table 46 Raw'!AB48</f>
        <v>16.571552000000001</v>
      </c>
      <c r="Z61" s="19">
        <f>'AEO 2023 Table 46 Raw'!AC48</f>
        <v>17.043500999999999</v>
      </c>
      <c r="AA61" s="19">
        <f>'AEO 2023 Table 46 Raw'!AD48</f>
        <v>17.538418</v>
      </c>
      <c r="AB61" s="19">
        <f>'AEO 2023 Table 46 Raw'!AE48</f>
        <v>18.048683</v>
      </c>
      <c r="AC61" s="19">
        <f>'AEO 2023 Table 46 Raw'!AF48</f>
        <v>18.568145999999999</v>
      </c>
      <c r="AD61" s="19">
        <f>'AEO 2023 Table 46 Raw'!AG48</f>
        <v>19.100059999999999</v>
      </c>
      <c r="AE61" s="19">
        <f>'AEO 2023 Table 46 Raw'!AH48</f>
        <v>19.637744999999999</v>
      </c>
      <c r="AF61" s="30">
        <f>'AEO 2023 Table 46 Raw'!AI48</f>
        <v>8.9999999999999993E-3</v>
      </c>
    </row>
    <row r="62" spans="1:32" ht="15" customHeight="1">
      <c r="C62" s="19"/>
      <c r="D62" s="19"/>
      <c r="E62" s="19"/>
      <c r="F62" s="19"/>
      <c r="G62" s="19"/>
      <c r="H62" s="19"/>
      <c r="I62" s="19"/>
      <c r="J62" s="19"/>
      <c r="K62" s="19"/>
      <c r="L62" s="19"/>
      <c r="M62" s="19"/>
      <c r="N62" s="19"/>
      <c r="O62" s="19"/>
      <c r="P62" s="19"/>
      <c r="Q62" s="19"/>
      <c r="R62" s="19"/>
      <c r="S62" s="19"/>
      <c r="T62" s="19"/>
      <c r="U62" s="19"/>
      <c r="V62" s="19"/>
      <c r="W62" s="19"/>
      <c r="X62" s="19"/>
      <c r="Y62" s="19"/>
      <c r="Z62" s="19"/>
      <c r="AA62" s="19"/>
      <c r="AB62" s="19"/>
      <c r="AC62" s="19"/>
      <c r="AD62" s="19"/>
      <c r="AE62" s="19"/>
      <c r="AF62" s="30"/>
    </row>
    <row r="63" spans="1:32" ht="15" customHeight="1">
      <c r="A63" s="7" t="s">
        <v>475</v>
      </c>
      <c r="B63" s="16" t="s">
        <v>476</v>
      </c>
      <c r="C63" s="19">
        <f>'AEO 2023 Table 46 Raw'!F49</f>
        <v>99.547248999999994</v>
      </c>
      <c r="D63" s="19">
        <f>'AEO 2023 Table 46 Raw'!G49</f>
        <v>100.084305</v>
      </c>
      <c r="E63" s="19">
        <f>'AEO 2023 Table 46 Raw'!H49</f>
        <v>100.882362</v>
      </c>
      <c r="F63" s="19">
        <f>'AEO 2023 Table 46 Raw'!I49</f>
        <v>101.991714</v>
      </c>
      <c r="G63" s="19">
        <f>'AEO 2023 Table 46 Raw'!J49</f>
        <v>103.38434599999999</v>
      </c>
      <c r="H63" s="19">
        <f>'AEO 2023 Table 46 Raw'!K49</f>
        <v>103.89450100000001</v>
      </c>
      <c r="I63" s="19">
        <f>'AEO 2023 Table 46 Raw'!L49</f>
        <v>104.32957500000001</v>
      </c>
      <c r="J63" s="19">
        <f>'AEO 2023 Table 46 Raw'!M49</f>
        <v>104.79064200000001</v>
      </c>
      <c r="K63" s="19">
        <f>'AEO 2023 Table 46 Raw'!N49</f>
        <v>105.01428199999999</v>
      </c>
      <c r="L63" s="19">
        <f>'AEO 2023 Table 46 Raw'!O49</f>
        <v>105.125404</v>
      </c>
      <c r="M63" s="19">
        <f>'AEO 2023 Table 46 Raw'!P49</f>
        <v>105.40430499999999</v>
      </c>
      <c r="N63" s="19">
        <f>'AEO 2023 Table 46 Raw'!Q49</f>
        <v>105.764008</v>
      </c>
      <c r="O63" s="19">
        <f>'AEO 2023 Table 46 Raw'!R49</f>
        <v>105.83466300000001</v>
      </c>
      <c r="P63" s="19">
        <f>'AEO 2023 Table 46 Raw'!S49</f>
        <v>105.710251</v>
      </c>
      <c r="Q63" s="19">
        <f>'AEO 2023 Table 46 Raw'!T49</f>
        <v>105.57182299999999</v>
      </c>
      <c r="R63" s="19">
        <f>'AEO 2023 Table 46 Raw'!U49</f>
        <v>105.598106</v>
      </c>
      <c r="S63" s="19">
        <f>'AEO 2023 Table 46 Raw'!V49</f>
        <v>105.883499</v>
      </c>
      <c r="T63" s="19">
        <f>'AEO 2023 Table 46 Raw'!W49</f>
        <v>106.41124000000001</v>
      </c>
      <c r="U63" s="19">
        <f>'AEO 2023 Table 46 Raw'!X49</f>
        <v>107.10965</v>
      </c>
      <c r="V63" s="19">
        <f>'AEO 2023 Table 46 Raw'!Y49</f>
        <v>107.802002</v>
      </c>
      <c r="W63" s="19">
        <f>'AEO 2023 Table 46 Raw'!Z49</f>
        <v>108.486053</v>
      </c>
      <c r="X63" s="19">
        <f>'AEO 2023 Table 46 Raw'!AA49</f>
        <v>109.11676</v>
      </c>
      <c r="Y63" s="19">
        <f>'AEO 2023 Table 46 Raw'!AB49</f>
        <v>109.650085</v>
      </c>
      <c r="Z63" s="19">
        <f>'AEO 2023 Table 46 Raw'!AC49</f>
        <v>110.16027099999999</v>
      </c>
      <c r="AA63" s="19">
        <f>'AEO 2023 Table 46 Raw'!AD49</f>
        <v>110.734573</v>
      </c>
      <c r="AB63" s="19">
        <f>'AEO 2023 Table 46 Raw'!AE49</f>
        <v>111.342468</v>
      </c>
      <c r="AC63" s="19">
        <f>'AEO 2023 Table 46 Raw'!AF49</f>
        <v>111.962318</v>
      </c>
      <c r="AD63" s="19">
        <f>'AEO 2023 Table 46 Raw'!AG49</f>
        <v>112.612503</v>
      </c>
      <c r="AE63" s="19">
        <f>'AEO 2023 Table 46 Raw'!AH49</f>
        <v>113.26402299999999</v>
      </c>
      <c r="AF63" s="30">
        <f>'AEO 2023 Table 46 Raw'!AI49</f>
        <v>5.0000000000000001E-3</v>
      </c>
    </row>
    <row r="64" spans="1:32" ht="15" customHeight="1">
      <c r="C64" s="19"/>
      <c r="D64" s="19"/>
      <c r="E64" s="19"/>
      <c r="F64" s="19"/>
      <c r="G64" s="19"/>
      <c r="H64" s="19"/>
      <c r="I64" s="19"/>
      <c r="J64" s="19"/>
      <c r="K64" s="19"/>
      <c r="L64" s="19"/>
      <c r="M64" s="19"/>
      <c r="N64" s="19"/>
      <c r="O64" s="19"/>
      <c r="P64" s="19"/>
      <c r="Q64" s="19"/>
      <c r="R64" s="19"/>
      <c r="S64" s="19"/>
      <c r="T64" s="19"/>
      <c r="U64" s="19"/>
      <c r="V64" s="19"/>
      <c r="W64" s="19"/>
      <c r="X64" s="19"/>
      <c r="Y64" s="19"/>
      <c r="Z64" s="19"/>
      <c r="AA64" s="19"/>
      <c r="AB64" s="19"/>
      <c r="AC64" s="19"/>
      <c r="AD64" s="19"/>
      <c r="AE64" s="19"/>
      <c r="AF64" s="30"/>
    </row>
    <row r="65" spans="1:33" ht="15" customHeight="1">
      <c r="A65" s="7" t="s">
        <v>477</v>
      </c>
      <c r="B65" s="15" t="s">
        <v>478</v>
      </c>
      <c r="C65" s="19">
        <f>'AEO 2023 Table 46 Raw'!F50</f>
        <v>154.63398699999999</v>
      </c>
      <c r="D65" s="19">
        <f>'AEO 2023 Table 46 Raw'!G50</f>
        <v>152.09498600000001</v>
      </c>
      <c r="E65" s="19">
        <f>'AEO 2023 Table 46 Raw'!H50</f>
        <v>150.40310700000001</v>
      </c>
      <c r="F65" s="19">
        <f>'AEO 2023 Table 46 Raw'!I50</f>
        <v>149.30912799999999</v>
      </c>
      <c r="G65" s="19">
        <f>'AEO 2023 Table 46 Raw'!J50</f>
        <v>148.801514</v>
      </c>
      <c r="H65" s="19">
        <f>'AEO 2023 Table 46 Raw'!K50</f>
        <v>147.321991</v>
      </c>
      <c r="I65" s="19">
        <f>'AEO 2023 Table 46 Raw'!L50</f>
        <v>146.05694600000001</v>
      </c>
      <c r="J65" s="19">
        <f>'AEO 2023 Table 46 Raw'!M50</f>
        <v>145.116501</v>
      </c>
      <c r="K65" s="19">
        <f>'AEO 2023 Table 46 Raw'!N50</f>
        <v>144.13964799999999</v>
      </c>
      <c r="L65" s="19">
        <f>'AEO 2023 Table 46 Raw'!O50</f>
        <v>143.191925</v>
      </c>
      <c r="M65" s="19">
        <f>'AEO 2023 Table 46 Raw'!P50</f>
        <v>142.71069299999999</v>
      </c>
      <c r="N65" s="19">
        <f>'AEO 2023 Table 46 Raw'!Q50</f>
        <v>142.48658800000001</v>
      </c>
      <c r="O65" s="19">
        <f>'AEO 2023 Table 46 Raw'!R50</f>
        <v>141.925659</v>
      </c>
      <c r="P65" s="19">
        <f>'AEO 2023 Table 46 Raw'!S50</f>
        <v>141.15089399999999</v>
      </c>
      <c r="Q65" s="19">
        <f>'AEO 2023 Table 46 Raw'!T50</f>
        <v>140.47680700000001</v>
      </c>
      <c r="R65" s="19">
        <f>'AEO 2023 Table 46 Raw'!U50</f>
        <v>140.155304</v>
      </c>
      <c r="S65" s="19">
        <f>'AEO 2023 Table 46 Raw'!V50</f>
        <v>140.272659</v>
      </c>
      <c r="T65" s="19">
        <f>'AEO 2023 Table 46 Raw'!W50</f>
        <v>140.75672900000001</v>
      </c>
      <c r="U65" s="19">
        <f>'AEO 2023 Table 46 Raw'!X50</f>
        <v>141.40477000000001</v>
      </c>
      <c r="V65" s="19">
        <f>'AEO 2023 Table 46 Raw'!Y50</f>
        <v>142.00250199999999</v>
      </c>
      <c r="W65" s="19">
        <f>'AEO 2023 Table 46 Raw'!Z50</f>
        <v>142.608093</v>
      </c>
      <c r="X65" s="19">
        <f>'AEO 2023 Table 46 Raw'!AA50</f>
        <v>143.12103300000001</v>
      </c>
      <c r="Y65" s="19">
        <f>'AEO 2023 Table 46 Raw'!AB50</f>
        <v>143.46198999999999</v>
      </c>
      <c r="Z65" s="19">
        <f>'AEO 2023 Table 46 Raw'!AC50</f>
        <v>143.76809700000001</v>
      </c>
      <c r="AA65" s="19">
        <f>'AEO 2023 Table 46 Raw'!AD50</f>
        <v>144.16400100000001</v>
      </c>
      <c r="AB65" s="19">
        <f>'AEO 2023 Table 46 Raw'!AE50</f>
        <v>144.63601700000001</v>
      </c>
      <c r="AC65" s="19">
        <f>'AEO 2023 Table 46 Raw'!AF50</f>
        <v>145.160934</v>
      </c>
      <c r="AD65" s="19">
        <f>'AEO 2023 Table 46 Raw'!AG50</f>
        <v>145.67941300000001</v>
      </c>
      <c r="AE65" s="19">
        <f>'AEO 2023 Table 46 Raw'!AH50</f>
        <v>146.207031</v>
      </c>
      <c r="AF65" s="30">
        <f>'AEO 2023 Table 46 Raw'!AI50</f>
        <v>-2E-3</v>
      </c>
    </row>
    <row r="66" spans="1:33" ht="15" customHeight="1">
      <c r="C66" s="19"/>
      <c r="D66" s="19"/>
      <c r="E66" s="19"/>
      <c r="F66" s="19"/>
      <c r="G66" s="19"/>
      <c r="H66" s="19"/>
      <c r="I66" s="19"/>
      <c r="J66" s="19"/>
      <c r="K66" s="19"/>
      <c r="L66" s="19"/>
      <c r="M66" s="19"/>
      <c r="N66" s="19"/>
      <c r="O66" s="19"/>
      <c r="P66" s="19"/>
      <c r="Q66" s="19"/>
      <c r="R66" s="19"/>
      <c r="S66" s="19"/>
      <c r="T66" s="19"/>
      <c r="U66" s="19"/>
      <c r="V66" s="19"/>
      <c r="W66" s="19"/>
      <c r="X66" s="19"/>
      <c r="Y66" s="19"/>
      <c r="Z66" s="19"/>
      <c r="AA66" s="19"/>
      <c r="AB66" s="19"/>
      <c r="AC66" s="19"/>
      <c r="AD66" s="19"/>
      <c r="AE66" s="19"/>
      <c r="AF66" s="30"/>
    </row>
    <row r="67" spans="1:33" ht="15" customHeight="1">
      <c r="B67" s="15" t="s">
        <v>479</v>
      </c>
      <c r="C67" s="19"/>
      <c r="D67" s="19"/>
      <c r="E67" s="19"/>
      <c r="F67" s="19"/>
      <c r="G67" s="19"/>
      <c r="H67" s="19"/>
      <c r="I67" s="19"/>
      <c r="J67" s="19"/>
      <c r="K67" s="19"/>
      <c r="L67" s="19"/>
      <c r="M67" s="19"/>
      <c r="N67" s="19"/>
      <c r="O67" s="19"/>
      <c r="P67" s="19"/>
      <c r="Q67" s="19"/>
      <c r="R67" s="19"/>
      <c r="S67" s="19"/>
      <c r="T67" s="19"/>
      <c r="U67" s="19"/>
      <c r="V67" s="19"/>
      <c r="W67" s="19"/>
      <c r="X67" s="19"/>
      <c r="Y67" s="19"/>
      <c r="Z67" s="19"/>
      <c r="AA67" s="19"/>
      <c r="AB67" s="19"/>
      <c r="AC67" s="19"/>
      <c r="AD67" s="19"/>
      <c r="AE67" s="19"/>
      <c r="AF67" s="30"/>
    </row>
    <row r="68" spans="1:33" ht="15" customHeight="1">
      <c r="A68" s="7" t="s">
        <v>480</v>
      </c>
      <c r="B68" s="16" t="s">
        <v>481</v>
      </c>
      <c r="C68" s="19">
        <f>'AEO 2023 Table 46 Raw'!F52</f>
        <v>51.717686</v>
      </c>
      <c r="D68" s="19">
        <f>'AEO 2023 Table 46 Raw'!G52</f>
        <v>52.413936999999997</v>
      </c>
      <c r="E68" s="19">
        <f>'AEO 2023 Table 46 Raw'!H52</f>
        <v>53.034408999999997</v>
      </c>
      <c r="F68" s="19">
        <f>'AEO 2023 Table 46 Raw'!I52</f>
        <v>54.100948000000002</v>
      </c>
      <c r="G68" s="19">
        <f>'AEO 2023 Table 46 Raw'!J52</f>
        <v>55.411284999999999</v>
      </c>
      <c r="H68" s="19">
        <f>'AEO 2023 Table 46 Raw'!K52</f>
        <v>56.196621</v>
      </c>
      <c r="I68" s="19">
        <f>'AEO 2023 Table 46 Raw'!L52</f>
        <v>56.944622000000003</v>
      </c>
      <c r="J68" s="19">
        <f>'AEO 2023 Table 46 Raw'!M52</f>
        <v>57.482886999999998</v>
      </c>
      <c r="K68" s="19">
        <f>'AEO 2023 Table 46 Raw'!N52</f>
        <v>57.94923</v>
      </c>
      <c r="L68" s="19">
        <f>'AEO 2023 Table 46 Raw'!O52</f>
        <v>58.397101999999997</v>
      </c>
      <c r="M68" s="19">
        <f>'AEO 2023 Table 46 Raw'!P52</f>
        <v>58.978805999999999</v>
      </c>
      <c r="N68" s="19">
        <f>'AEO 2023 Table 46 Raw'!Q52</f>
        <v>59.442059</v>
      </c>
      <c r="O68" s="19">
        <f>'AEO 2023 Table 46 Raw'!R52</f>
        <v>59.697144000000002</v>
      </c>
      <c r="P68" s="19">
        <f>'AEO 2023 Table 46 Raw'!S52</f>
        <v>59.918407000000002</v>
      </c>
      <c r="Q68" s="19">
        <f>'AEO 2023 Table 46 Raw'!T52</f>
        <v>60.065964000000001</v>
      </c>
      <c r="R68" s="19">
        <f>'AEO 2023 Table 46 Raw'!U52</f>
        <v>60.277831999999997</v>
      </c>
      <c r="S68" s="19">
        <f>'AEO 2023 Table 46 Raw'!V52</f>
        <v>60.541545999999997</v>
      </c>
      <c r="T68" s="19">
        <f>'AEO 2023 Table 46 Raw'!W52</f>
        <v>60.742508000000001</v>
      </c>
      <c r="U68" s="19">
        <f>'AEO 2023 Table 46 Raw'!X52</f>
        <v>61.006068999999997</v>
      </c>
      <c r="V68" s="19">
        <f>'AEO 2023 Table 46 Raw'!Y52</f>
        <v>61.262115000000001</v>
      </c>
      <c r="W68" s="19">
        <f>'AEO 2023 Table 46 Raw'!Z52</f>
        <v>61.535606000000001</v>
      </c>
      <c r="X68" s="19">
        <f>'AEO 2023 Table 46 Raw'!AA52</f>
        <v>61.792842999999998</v>
      </c>
      <c r="Y68" s="19">
        <f>'AEO 2023 Table 46 Raw'!AB52</f>
        <v>62.031379999999999</v>
      </c>
      <c r="Z68" s="19">
        <f>'AEO 2023 Table 46 Raw'!AC52</f>
        <v>62.273009999999999</v>
      </c>
      <c r="AA68" s="19">
        <f>'AEO 2023 Table 46 Raw'!AD52</f>
        <v>62.596626000000001</v>
      </c>
      <c r="AB68" s="19">
        <f>'AEO 2023 Table 46 Raw'!AE52</f>
        <v>62.961078999999998</v>
      </c>
      <c r="AC68" s="19">
        <f>'AEO 2023 Table 46 Raw'!AF52</f>
        <v>63.311115000000001</v>
      </c>
      <c r="AD68" s="19">
        <f>'AEO 2023 Table 46 Raw'!AG52</f>
        <v>63.728230000000003</v>
      </c>
      <c r="AE68" s="19">
        <f>'AEO 2023 Table 46 Raw'!AH52</f>
        <v>64.290756000000002</v>
      </c>
      <c r="AF68" s="30">
        <f>'AEO 2023 Table 46 Raw'!AI52</f>
        <v>8.0000000000000002E-3</v>
      </c>
    </row>
    <row r="69" spans="1:33" ht="15" customHeight="1">
      <c r="A69" s="7" t="s">
        <v>482</v>
      </c>
      <c r="B69" s="16" t="s">
        <v>483</v>
      </c>
      <c r="C69" s="19">
        <f>'AEO 2023 Table 46 Raw'!F53</f>
        <v>34.813164</v>
      </c>
      <c r="D69" s="19">
        <f>'AEO 2023 Table 46 Raw'!G53</f>
        <v>34.524287999999999</v>
      </c>
      <c r="E69" s="19">
        <f>'AEO 2023 Table 46 Raw'!H53</f>
        <v>34.014198</v>
      </c>
      <c r="F69" s="19">
        <f>'AEO 2023 Table 46 Raw'!I53</f>
        <v>33.750988</v>
      </c>
      <c r="G69" s="19">
        <f>'AEO 2023 Table 46 Raw'!J53</f>
        <v>33.787548000000001</v>
      </c>
      <c r="H69" s="19">
        <f>'AEO 2023 Table 46 Raw'!K53</f>
        <v>34.085323000000002</v>
      </c>
      <c r="I69" s="19">
        <f>'AEO 2023 Table 46 Raw'!L53</f>
        <v>34.241962000000001</v>
      </c>
      <c r="J69" s="19">
        <f>'AEO 2023 Table 46 Raw'!M53</f>
        <v>34.320473</v>
      </c>
      <c r="K69" s="19">
        <f>'AEO 2023 Table 46 Raw'!N53</f>
        <v>34.328772999999998</v>
      </c>
      <c r="L69" s="19">
        <f>'AEO 2023 Table 46 Raw'!O53</f>
        <v>34.328837999999998</v>
      </c>
      <c r="M69" s="19">
        <f>'AEO 2023 Table 46 Raw'!P53</f>
        <v>34.445278000000002</v>
      </c>
      <c r="N69" s="19">
        <f>'AEO 2023 Table 46 Raw'!Q53</f>
        <v>34.507216999999997</v>
      </c>
      <c r="O69" s="19">
        <f>'AEO 2023 Table 46 Raw'!R53</f>
        <v>34.489876000000002</v>
      </c>
      <c r="P69" s="19">
        <f>'AEO 2023 Table 46 Raw'!S53</f>
        <v>34.494262999999997</v>
      </c>
      <c r="Q69" s="19">
        <f>'AEO 2023 Table 46 Raw'!T53</f>
        <v>34.487063999999997</v>
      </c>
      <c r="R69" s="19">
        <f>'AEO 2023 Table 46 Raw'!U53</f>
        <v>34.558998000000003</v>
      </c>
      <c r="S69" s="19">
        <f>'AEO 2023 Table 46 Raw'!V53</f>
        <v>34.688918999999999</v>
      </c>
      <c r="T69" s="19">
        <f>'AEO 2023 Table 46 Raw'!W53</f>
        <v>34.817211</v>
      </c>
      <c r="U69" s="19">
        <f>'AEO 2023 Table 46 Raw'!X53</f>
        <v>34.970844</v>
      </c>
      <c r="V69" s="19">
        <f>'AEO 2023 Table 46 Raw'!Y53</f>
        <v>35.141055999999999</v>
      </c>
      <c r="W69" s="19">
        <f>'AEO 2023 Table 46 Raw'!Z53</f>
        <v>35.334144999999999</v>
      </c>
      <c r="X69" s="19">
        <f>'AEO 2023 Table 46 Raw'!AA53</f>
        <v>35.553607999999997</v>
      </c>
      <c r="Y69" s="19">
        <f>'AEO 2023 Table 46 Raw'!AB53</f>
        <v>35.778236</v>
      </c>
      <c r="Z69" s="19">
        <f>'AEO 2023 Table 46 Raw'!AC53</f>
        <v>36.002406999999998</v>
      </c>
      <c r="AA69" s="19">
        <f>'AEO 2023 Table 46 Raw'!AD53</f>
        <v>36.272179000000001</v>
      </c>
      <c r="AB69" s="19">
        <f>'AEO 2023 Table 46 Raw'!AE53</f>
        <v>36.565658999999997</v>
      </c>
      <c r="AC69" s="19">
        <f>'AEO 2023 Table 46 Raw'!AF53</f>
        <v>36.847777999999998</v>
      </c>
      <c r="AD69" s="19">
        <f>'AEO 2023 Table 46 Raw'!AG53</f>
        <v>37.146068999999997</v>
      </c>
      <c r="AE69" s="19">
        <f>'AEO 2023 Table 46 Raw'!AH53</f>
        <v>37.522060000000003</v>
      </c>
      <c r="AF69" s="30">
        <f>'AEO 2023 Table 46 Raw'!AI53</f>
        <v>3.0000000000000001E-3</v>
      </c>
    </row>
    <row r="70" spans="1:33" ht="12" customHeight="1">
      <c r="A70" s="7" t="s">
        <v>484</v>
      </c>
      <c r="B70" s="16" t="s">
        <v>485</v>
      </c>
      <c r="C70" s="19">
        <f>'AEO 2023 Table 46 Raw'!F54</f>
        <v>8.2999999999999998E-5</v>
      </c>
      <c r="D70" s="19">
        <f>'AEO 2023 Table 46 Raw'!G54</f>
        <v>6.0029999999999997E-3</v>
      </c>
      <c r="E70" s="19">
        <f>'AEO 2023 Table 46 Raw'!H54</f>
        <v>1.1818E-2</v>
      </c>
      <c r="F70" s="19">
        <f>'AEO 2023 Table 46 Raw'!I54</f>
        <v>1.7534000000000001E-2</v>
      </c>
      <c r="G70" s="19">
        <f>'AEO 2023 Table 46 Raw'!J54</f>
        <v>2.3442999999999999E-2</v>
      </c>
      <c r="H70" s="19">
        <f>'AEO 2023 Table 46 Raw'!K54</f>
        <v>2.9012E-2</v>
      </c>
      <c r="I70" s="19">
        <f>'AEO 2023 Table 46 Raw'!L54</f>
        <v>3.4540000000000001E-2</v>
      </c>
      <c r="J70" s="19">
        <f>'AEO 2023 Table 46 Raw'!M54</f>
        <v>4.0638000000000001E-2</v>
      </c>
      <c r="K70" s="19">
        <f>'AEO 2023 Table 46 Raw'!N54</f>
        <v>4.5418E-2</v>
      </c>
      <c r="L70" s="19">
        <f>'AEO 2023 Table 46 Raw'!O54</f>
        <v>5.0842999999999999E-2</v>
      </c>
      <c r="M70" s="19">
        <f>'AEO 2023 Table 46 Raw'!P54</f>
        <v>5.7272000000000003E-2</v>
      </c>
      <c r="N70" s="19">
        <f>'AEO 2023 Table 46 Raw'!Q54</f>
        <v>6.4630000000000007E-2</v>
      </c>
      <c r="O70" s="19">
        <f>'AEO 2023 Table 46 Raw'!R54</f>
        <v>7.2790999999999995E-2</v>
      </c>
      <c r="P70" s="19">
        <f>'AEO 2023 Table 46 Raw'!S54</f>
        <v>8.2072000000000006E-2</v>
      </c>
      <c r="Q70" s="19">
        <f>'AEO 2023 Table 46 Raw'!T54</f>
        <v>9.2707999999999999E-2</v>
      </c>
      <c r="R70" s="19">
        <f>'AEO 2023 Table 46 Raw'!U54</f>
        <v>0.10530200000000001</v>
      </c>
      <c r="S70" s="19">
        <f>'AEO 2023 Table 46 Raw'!V54</f>
        <v>0.12026199999999999</v>
      </c>
      <c r="T70" s="19">
        <f>'AEO 2023 Table 46 Raw'!W54</f>
        <v>0.137651</v>
      </c>
      <c r="U70" s="19">
        <f>'AEO 2023 Table 46 Raw'!X54</f>
        <v>0.157888</v>
      </c>
      <c r="V70" s="19">
        <f>'AEO 2023 Table 46 Raw'!Y54</f>
        <v>0.180872</v>
      </c>
      <c r="W70" s="19">
        <f>'AEO 2023 Table 46 Raw'!Z54</f>
        <v>0.20671400000000001</v>
      </c>
      <c r="X70" s="19">
        <f>'AEO 2023 Table 46 Raw'!AA54</f>
        <v>0.23544699999999999</v>
      </c>
      <c r="Y70" s="19">
        <f>'AEO 2023 Table 46 Raw'!AB54</f>
        <v>0.26687300000000003</v>
      </c>
      <c r="Z70" s="19">
        <f>'AEO 2023 Table 46 Raw'!AC54</f>
        <v>0.30111100000000002</v>
      </c>
      <c r="AA70" s="19">
        <f>'AEO 2023 Table 46 Raw'!AD54</f>
        <v>0.33838499999999999</v>
      </c>
      <c r="AB70" s="19">
        <f>'AEO 2023 Table 46 Raw'!AE54</f>
        <v>0.378195</v>
      </c>
      <c r="AC70" s="19">
        <f>'AEO 2023 Table 46 Raw'!AF54</f>
        <v>0.419763</v>
      </c>
      <c r="AD70" s="19">
        <f>'AEO 2023 Table 46 Raw'!AG54</f>
        <v>0.46323199999999998</v>
      </c>
      <c r="AE70" s="19">
        <f>'AEO 2023 Table 46 Raw'!AH54</f>
        <v>0.50883800000000001</v>
      </c>
      <c r="AF70" s="30">
        <f>'AEO 2023 Table 46 Raw'!AI54</f>
        <v>0.36499999999999999</v>
      </c>
    </row>
    <row r="71" spans="1:33" ht="15" customHeight="1">
      <c r="A71" s="7" t="s">
        <v>486</v>
      </c>
      <c r="B71" s="16" t="s">
        <v>391</v>
      </c>
      <c r="C71" s="19">
        <f>'AEO 2023 Table 46 Raw'!F55</f>
        <v>8.2286999999999999E-2</v>
      </c>
      <c r="D71" s="19">
        <f>'AEO 2023 Table 46 Raw'!G55</f>
        <v>7.6387999999999998E-2</v>
      </c>
      <c r="E71" s="19">
        <f>'AEO 2023 Table 46 Raw'!H55</f>
        <v>7.0837999999999998E-2</v>
      </c>
      <c r="F71" s="19">
        <f>'AEO 2023 Table 46 Raw'!I55</f>
        <v>6.3034999999999994E-2</v>
      </c>
      <c r="G71" s="19">
        <f>'AEO 2023 Table 46 Raw'!J55</f>
        <v>5.5190999999999997E-2</v>
      </c>
      <c r="H71" s="19">
        <f>'AEO 2023 Table 46 Raw'!K55</f>
        <v>4.8587999999999999E-2</v>
      </c>
      <c r="I71" s="19">
        <f>'AEO 2023 Table 46 Raw'!L55</f>
        <v>4.3872000000000001E-2</v>
      </c>
      <c r="J71" s="19">
        <f>'AEO 2023 Table 46 Raw'!M55</f>
        <v>3.9718999999999997E-2</v>
      </c>
      <c r="K71" s="19">
        <f>'AEO 2023 Table 46 Raw'!N55</f>
        <v>3.5532000000000001E-2</v>
      </c>
      <c r="L71" s="19">
        <f>'AEO 2023 Table 46 Raw'!O55</f>
        <v>3.1558000000000003E-2</v>
      </c>
      <c r="M71" s="19">
        <f>'AEO 2023 Table 46 Raw'!P55</f>
        <v>2.8025999999999999E-2</v>
      </c>
      <c r="N71" s="19">
        <f>'AEO 2023 Table 46 Raw'!Q55</f>
        <v>2.4915E-2</v>
      </c>
      <c r="O71" s="19">
        <f>'AEO 2023 Table 46 Raw'!R55</f>
        <v>2.2168E-2</v>
      </c>
      <c r="P71" s="19">
        <f>'AEO 2023 Table 46 Raw'!S55</f>
        <v>1.9909E-2</v>
      </c>
      <c r="Q71" s="19">
        <f>'AEO 2023 Table 46 Raw'!T55</f>
        <v>1.7824E-2</v>
      </c>
      <c r="R71" s="19">
        <f>'AEO 2023 Table 46 Raw'!U55</f>
        <v>1.5911999999999999E-2</v>
      </c>
      <c r="S71" s="19">
        <f>'AEO 2023 Table 46 Raw'!V55</f>
        <v>1.4262E-2</v>
      </c>
      <c r="T71" s="19">
        <f>'AEO 2023 Table 46 Raw'!W55</f>
        <v>1.29E-2</v>
      </c>
      <c r="U71" s="19">
        <f>'AEO 2023 Table 46 Raw'!X55</f>
        <v>1.1752E-2</v>
      </c>
      <c r="V71" s="19">
        <f>'AEO 2023 Table 46 Raw'!Y55</f>
        <v>1.0692999999999999E-2</v>
      </c>
      <c r="W71" s="19">
        <f>'AEO 2023 Table 46 Raw'!Z55</f>
        <v>9.7190000000000002E-3</v>
      </c>
      <c r="X71" s="19">
        <f>'AEO 2023 Table 46 Raw'!AA55</f>
        <v>8.8269999999999998E-3</v>
      </c>
      <c r="Y71" s="19">
        <f>'AEO 2023 Table 46 Raw'!AB55</f>
        <v>8.0160000000000006E-3</v>
      </c>
      <c r="Z71" s="19">
        <f>'AEO 2023 Table 46 Raw'!AC55</f>
        <v>7.2579999999999997E-3</v>
      </c>
      <c r="AA71" s="19">
        <f>'AEO 2023 Table 46 Raw'!AD55</f>
        <v>6.3769999999999999E-3</v>
      </c>
      <c r="AB71" s="19">
        <f>'AEO 2023 Table 46 Raw'!AE55</f>
        <v>5.3099999999999996E-3</v>
      </c>
      <c r="AC71" s="19">
        <f>'AEO 2023 Table 46 Raw'!AF55</f>
        <v>4.3660000000000001E-3</v>
      </c>
      <c r="AD71" s="19">
        <f>'AEO 2023 Table 46 Raw'!AG55</f>
        <v>3.4659999999999999E-3</v>
      </c>
      <c r="AE71" s="19">
        <f>'AEO 2023 Table 46 Raw'!AH55</f>
        <v>2.7780000000000001E-3</v>
      </c>
      <c r="AF71" s="30">
        <f>'AEO 2023 Table 46 Raw'!AI55</f>
        <v>-0.114</v>
      </c>
    </row>
    <row r="72" spans="1:33" ht="15" customHeight="1">
      <c r="A72" s="7" t="s">
        <v>487</v>
      </c>
      <c r="B72" s="16" t="s">
        <v>488</v>
      </c>
      <c r="C72" s="19">
        <f>'AEO 2023 Table 46 Raw'!F56</f>
        <v>15.398766999999999</v>
      </c>
      <c r="D72" s="19">
        <f>'AEO 2023 Table 46 Raw'!G56</f>
        <v>14.384566</v>
      </c>
      <c r="E72" s="19">
        <f>'AEO 2023 Table 46 Raw'!H56</f>
        <v>13.220724000000001</v>
      </c>
      <c r="F72" s="19">
        <f>'AEO 2023 Table 46 Raw'!I56</f>
        <v>12.420685000000001</v>
      </c>
      <c r="G72" s="19">
        <f>'AEO 2023 Table 46 Raw'!J56</f>
        <v>11.700251</v>
      </c>
      <c r="H72" s="19">
        <f>'AEO 2023 Table 46 Raw'!K56</f>
        <v>11.309018999999999</v>
      </c>
      <c r="I72" s="19">
        <f>'AEO 2023 Table 46 Raw'!L56</f>
        <v>11.007885</v>
      </c>
      <c r="J72" s="19">
        <f>'AEO 2023 Table 46 Raw'!M56</f>
        <v>10.934968</v>
      </c>
      <c r="K72" s="19">
        <f>'AEO 2023 Table 46 Raw'!N56</f>
        <v>10.875622999999999</v>
      </c>
      <c r="L72" s="19">
        <f>'AEO 2023 Table 46 Raw'!O56</f>
        <v>10.875476000000001</v>
      </c>
      <c r="M72" s="19">
        <f>'AEO 2023 Table 46 Raw'!P56</f>
        <v>10.957039999999999</v>
      </c>
      <c r="N72" s="19">
        <f>'AEO 2023 Table 46 Raw'!Q56</f>
        <v>11.091353</v>
      </c>
      <c r="O72" s="19">
        <f>'AEO 2023 Table 46 Raw'!R56</f>
        <v>11.243194000000001</v>
      </c>
      <c r="P72" s="19">
        <f>'AEO 2023 Table 46 Raw'!S56</f>
        <v>11.462101000000001</v>
      </c>
      <c r="Q72" s="19">
        <f>'AEO 2023 Table 46 Raw'!T56</f>
        <v>11.712192</v>
      </c>
      <c r="R72" s="19">
        <f>'AEO 2023 Table 46 Raw'!U56</f>
        <v>12.030602</v>
      </c>
      <c r="S72" s="19">
        <f>'AEO 2023 Table 46 Raw'!V56</f>
        <v>12.393787</v>
      </c>
      <c r="T72" s="19">
        <f>'AEO 2023 Table 46 Raw'!W56</f>
        <v>12.776002999999999</v>
      </c>
      <c r="U72" s="19">
        <f>'AEO 2023 Table 46 Raw'!X56</f>
        <v>13.181653000000001</v>
      </c>
      <c r="V72" s="19">
        <f>'AEO 2023 Table 46 Raw'!Y56</f>
        <v>13.588577000000001</v>
      </c>
      <c r="W72" s="19">
        <f>'AEO 2023 Table 46 Raw'!Z56</f>
        <v>13.982295000000001</v>
      </c>
      <c r="X72" s="19">
        <f>'AEO 2023 Table 46 Raw'!AA56</f>
        <v>14.350991</v>
      </c>
      <c r="Y72" s="19">
        <f>'AEO 2023 Table 46 Raw'!AB56</f>
        <v>14.680471000000001</v>
      </c>
      <c r="Z72" s="19">
        <f>'AEO 2023 Table 46 Raw'!AC56</f>
        <v>14.988163</v>
      </c>
      <c r="AA72" s="19">
        <f>'AEO 2023 Table 46 Raw'!AD56</f>
        <v>15.298442</v>
      </c>
      <c r="AB72" s="19">
        <f>'AEO 2023 Table 46 Raw'!AE56</f>
        <v>15.590885</v>
      </c>
      <c r="AC72" s="19">
        <f>'AEO 2023 Table 46 Raw'!AF56</f>
        <v>15.857104</v>
      </c>
      <c r="AD72" s="19">
        <f>'AEO 2023 Table 46 Raw'!AG56</f>
        <v>16.112196000000001</v>
      </c>
      <c r="AE72" s="19">
        <f>'AEO 2023 Table 46 Raw'!AH56</f>
        <v>16.389751</v>
      </c>
      <c r="AF72" s="30">
        <f>'AEO 2023 Table 46 Raw'!AI56</f>
        <v>2E-3</v>
      </c>
    </row>
    <row r="73" spans="1:33" ht="15" customHeight="1">
      <c r="A73" s="7" t="s">
        <v>489</v>
      </c>
      <c r="B73" s="16" t="s">
        <v>490</v>
      </c>
      <c r="C73" s="19">
        <f>'AEO 2023 Table 46 Raw'!F57</f>
        <v>0</v>
      </c>
      <c r="D73" s="19">
        <f>'AEO 2023 Table 46 Raw'!G57</f>
        <v>0</v>
      </c>
      <c r="E73" s="19">
        <f>'AEO 2023 Table 46 Raw'!H57</f>
        <v>0</v>
      </c>
      <c r="F73" s="19">
        <f>'AEO 2023 Table 46 Raw'!I57</f>
        <v>0</v>
      </c>
      <c r="G73" s="19">
        <f>'AEO 2023 Table 46 Raw'!J57</f>
        <v>0</v>
      </c>
      <c r="H73" s="19">
        <f>'AEO 2023 Table 46 Raw'!K57</f>
        <v>0</v>
      </c>
      <c r="I73" s="19">
        <f>'AEO 2023 Table 46 Raw'!L57</f>
        <v>0</v>
      </c>
      <c r="J73" s="19">
        <f>'AEO 2023 Table 46 Raw'!M57</f>
        <v>0</v>
      </c>
      <c r="K73" s="19">
        <f>'AEO 2023 Table 46 Raw'!N57</f>
        <v>0</v>
      </c>
      <c r="L73" s="19">
        <f>'AEO 2023 Table 46 Raw'!O57</f>
        <v>0</v>
      </c>
      <c r="M73" s="19">
        <f>'AEO 2023 Table 46 Raw'!P57</f>
        <v>0</v>
      </c>
      <c r="N73" s="19">
        <f>'AEO 2023 Table 46 Raw'!Q57</f>
        <v>0</v>
      </c>
      <c r="O73" s="19">
        <f>'AEO 2023 Table 46 Raw'!R57</f>
        <v>0</v>
      </c>
      <c r="P73" s="19">
        <f>'AEO 2023 Table 46 Raw'!S57</f>
        <v>0</v>
      </c>
      <c r="Q73" s="19">
        <f>'AEO 2023 Table 46 Raw'!T57</f>
        <v>0</v>
      </c>
      <c r="R73" s="19">
        <f>'AEO 2023 Table 46 Raw'!U57</f>
        <v>0</v>
      </c>
      <c r="S73" s="19">
        <f>'AEO 2023 Table 46 Raw'!V57</f>
        <v>0</v>
      </c>
      <c r="T73" s="19">
        <f>'AEO 2023 Table 46 Raw'!W57</f>
        <v>0</v>
      </c>
      <c r="U73" s="19">
        <f>'AEO 2023 Table 46 Raw'!X57</f>
        <v>0</v>
      </c>
      <c r="V73" s="19">
        <f>'AEO 2023 Table 46 Raw'!Y57</f>
        <v>0</v>
      </c>
      <c r="W73" s="19">
        <f>'AEO 2023 Table 46 Raw'!Z57</f>
        <v>0</v>
      </c>
      <c r="X73" s="19">
        <f>'AEO 2023 Table 46 Raw'!AA57</f>
        <v>0</v>
      </c>
      <c r="Y73" s="19">
        <f>'AEO 2023 Table 46 Raw'!AB57</f>
        <v>0</v>
      </c>
      <c r="Z73" s="19">
        <f>'AEO 2023 Table 46 Raw'!AC57</f>
        <v>0</v>
      </c>
      <c r="AA73" s="19">
        <f>'AEO 2023 Table 46 Raw'!AD57</f>
        <v>0</v>
      </c>
      <c r="AB73" s="19">
        <f>'AEO 2023 Table 46 Raw'!AE57</f>
        <v>0</v>
      </c>
      <c r="AC73" s="19">
        <f>'AEO 2023 Table 46 Raw'!AF57</f>
        <v>0</v>
      </c>
      <c r="AD73" s="19">
        <f>'AEO 2023 Table 46 Raw'!AG57</f>
        <v>0</v>
      </c>
      <c r="AE73" s="19">
        <f>'AEO 2023 Table 46 Raw'!AH57</f>
        <v>0</v>
      </c>
      <c r="AF73" s="30" t="str">
        <f>'AEO 2023 Table 46 Raw'!AI57</f>
        <v>- -</v>
      </c>
    </row>
    <row r="74" spans="1:33" ht="15" customHeight="1">
      <c r="A74" s="7" t="s">
        <v>491</v>
      </c>
      <c r="B74" s="16" t="s">
        <v>492</v>
      </c>
      <c r="C74" s="19">
        <f>'AEO 2023 Table 46 Raw'!F58</f>
        <v>0</v>
      </c>
      <c r="D74" s="19">
        <f>'AEO 2023 Table 46 Raw'!G58</f>
        <v>1.2361E-2</v>
      </c>
      <c r="E74" s="19">
        <f>'AEO 2023 Table 46 Raw'!H58</f>
        <v>2.4101999999999998E-2</v>
      </c>
      <c r="F74" s="19">
        <f>'AEO 2023 Table 46 Raw'!I58</f>
        <v>3.5229000000000003E-2</v>
      </c>
      <c r="G74" s="19">
        <f>'AEO 2023 Table 46 Raw'!J58</f>
        <v>4.6115999999999997E-2</v>
      </c>
      <c r="H74" s="19">
        <f>'AEO 2023 Table 46 Raw'!K58</f>
        <v>5.5775999999999999E-2</v>
      </c>
      <c r="I74" s="19">
        <f>'AEO 2023 Table 46 Raw'!L58</f>
        <v>6.4683000000000004E-2</v>
      </c>
      <c r="J74" s="19">
        <f>'AEO 2023 Table 46 Raw'!M58</f>
        <v>7.3900999999999994E-2</v>
      </c>
      <c r="K74" s="19">
        <f>'AEO 2023 Table 46 Raw'!N58</f>
        <v>7.9486000000000001E-2</v>
      </c>
      <c r="L74" s="19">
        <f>'AEO 2023 Table 46 Raw'!O58</f>
        <v>8.5474999999999995E-2</v>
      </c>
      <c r="M74" s="19">
        <f>'AEO 2023 Table 46 Raw'!P58</f>
        <v>9.2364000000000002E-2</v>
      </c>
      <c r="N74" s="19">
        <f>'AEO 2023 Table 46 Raw'!Q58</f>
        <v>0.100011</v>
      </c>
      <c r="O74" s="19">
        <f>'AEO 2023 Table 46 Raw'!R58</f>
        <v>0.10816000000000001</v>
      </c>
      <c r="P74" s="19">
        <f>'AEO 2023 Table 46 Raw'!S58</f>
        <v>0.117216</v>
      </c>
      <c r="Q74" s="19">
        <f>'AEO 2023 Table 46 Raw'!T58</f>
        <v>0.12726999999999999</v>
      </c>
      <c r="R74" s="19">
        <f>'AEO 2023 Table 46 Raw'!U58</f>
        <v>0.13889599999999999</v>
      </c>
      <c r="S74" s="19">
        <f>'AEO 2023 Table 46 Raw'!V58</f>
        <v>0.15229699999999999</v>
      </c>
      <c r="T74" s="19">
        <f>'AEO 2023 Table 46 Raw'!W58</f>
        <v>0.16730500000000001</v>
      </c>
      <c r="U74" s="19">
        <f>'AEO 2023 Table 46 Raw'!X58</f>
        <v>0.18437000000000001</v>
      </c>
      <c r="V74" s="19">
        <f>'AEO 2023 Table 46 Raw'!Y58</f>
        <v>0.20325699999999999</v>
      </c>
      <c r="W74" s="19">
        <f>'AEO 2023 Table 46 Raw'!Z58</f>
        <v>0.223803</v>
      </c>
      <c r="X74" s="19">
        <f>'AEO 2023 Table 46 Raw'!AA58</f>
        <v>0.24573800000000001</v>
      </c>
      <c r="Y74" s="19">
        <f>'AEO 2023 Table 46 Raw'!AB58</f>
        <v>0.26862999999999998</v>
      </c>
      <c r="Z74" s="19">
        <f>'AEO 2023 Table 46 Raw'!AC58</f>
        <v>0.29245500000000002</v>
      </c>
      <c r="AA74" s="19">
        <f>'AEO 2023 Table 46 Raw'!AD58</f>
        <v>0.31730700000000001</v>
      </c>
      <c r="AB74" s="19">
        <f>'AEO 2023 Table 46 Raw'!AE58</f>
        <v>0.342584</v>
      </c>
      <c r="AC74" s="19">
        <f>'AEO 2023 Table 46 Raw'!AF58</f>
        <v>0.36765700000000001</v>
      </c>
      <c r="AD74" s="19">
        <f>'AEO 2023 Table 46 Raw'!AG58</f>
        <v>0.39278200000000002</v>
      </c>
      <c r="AE74" s="19">
        <f>'AEO 2023 Table 46 Raw'!AH58</f>
        <v>0.41828799999999999</v>
      </c>
      <c r="AF74" s="30" t="str">
        <f>'AEO 2023 Table 46 Raw'!AI58</f>
        <v>- -</v>
      </c>
    </row>
    <row r="75" spans="1:33" ht="15" customHeight="1">
      <c r="A75" s="7" t="s">
        <v>493</v>
      </c>
      <c r="B75" s="16" t="s">
        <v>494</v>
      </c>
      <c r="C75" s="19">
        <f>'AEO 2023 Table 46 Raw'!F59</f>
        <v>0</v>
      </c>
      <c r="D75" s="19">
        <f>'AEO 2023 Table 46 Raw'!G59</f>
        <v>1.0956E-2</v>
      </c>
      <c r="E75" s="19">
        <f>'AEO 2023 Table 46 Raw'!H59</f>
        <v>2.1444000000000001E-2</v>
      </c>
      <c r="F75" s="19">
        <f>'AEO 2023 Table 46 Raw'!I59</f>
        <v>3.1660000000000001E-2</v>
      </c>
      <c r="G75" s="19">
        <f>'AEO 2023 Table 46 Raw'!J59</f>
        <v>4.1856999999999998E-2</v>
      </c>
      <c r="H75" s="19">
        <f>'AEO 2023 Table 46 Raw'!K59</f>
        <v>5.1083999999999997E-2</v>
      </c>
      <c r="I75" s="19">
        <f>'AEO 2023 Table 46 Raw'!L59</f>
        <v>5.9813999999999999E-2</v>
      </c>
      <c r="J75" s="19">
        <f>'AEO 2023 Table 46 Raw'!M59</f>
        <v>6.9025000000000003E-2</v>
      </c>
      <c r="K75" s="19">
        <f>'AEO 2023 Table 46 Raw'!N59</f>
        <v>7.5124999999999997E-2</v>
      </c>
      <c r="L75" s="19">
        <f>'AEO 2023 Table 46 Raw'!O59</f>
        <v>8.1587999999999994E-2</v>
      </c>
      <c r="M75" s="19">
        <f>'AEO 2023 Table 46 Raw'!P59</f>
        <v>8.8802000000000006E-2</v>
      </c>
      <c r="N75" s="19">
        <f>'AEO 2023 Table 46 Raw'!Q59</f>
        <v>9.6568000000000001E-2</v>
      </c>
      <c r="O75" s="19">
        <f>'AEO 2023 Table 46 Raw'!R59</f>
        <v>0.10462</v>
      </c>
      <c r="P75" s="19">
        <f>'AEO 2023 Table 46 Raw'!S59</f>
        <v>0.11324099999999999</v>
      </c>
      <c r="Q75" s="19">
        <f>'AEO 2023 Table 46 Raw'!T59</f>
        <v>0.122502</v>
      </c>
      <c r="R75" s="19">
        <f>'AEO 2023 Table 46 Raw'!U59</f>
        <v>0.13290399999999999</v>
      </c>
      <c r="S75" s="19">
        <f>'AEO 2023 Table 46 Raw'!V59</f>
        <v>0.14464299999999999</v>
      </c>
      <c r="T75" s="19">
        <f>'AEO 2023 Table 46 Raw'!W59</f>
        <v>0.15751299999999999</v>
      </c>
      <c r="U75" s="19">
        <f>'AEO 2023 Table 46 Raw'!X59</f>
        <v>0.17191000000000001</v>
      </c>
      <c r="V75" s="19">
        <f>'AEO 2023 Table 46 Raw'!Y59</f>
        <v>0.18760499999999999</v>
      </c>
      <c r="W75" s="19">
        <f>'AEO 2023 Table 46 Raw'!Z59</f>
        <v>0.204536</v>
      </c>
      <c r="X75" s="19">
        <f>'AEO 2023 Table 46 Raw'!AA59</f>
        <v>0.2225</v>
      </c>
      <c r="Y75" s="19">
        <f>'AEO 2023 Table 46 Raw'!AB59</f>
        <v>0.24115700000000001</v>
      </c>
      <c r="Z75" s="19">
        <f>'AEO 2023 Table 46 Raw'!AC59</f>
        <v>0.260467</v>
      </c>
      <c r="AA75" s="19">
        <f>'AEO 2023 Table 46 Raw'!AD59</f>
        <v>0.28057500000000002</v>
      </c>
      <c r="AB75" s="19">
        <f>'AEO 2023 Table 46 Raw'!AE59</f>
        <v>0.30101899999999998</v>
      </c>
      <c r="AC75" s="19">
        <f>'AEO 2023 Table 46 Raw'!AF59</f>
        <v>0.32130799999999998</v>
      </c>
      <c r="AD75" s="19">
        <f>'AEO 2023 Table 46 Raw'!AG59</f>
        <v>0.34167999999999998</v>
      </c>
      <c r="AE75" s="19">
        <f>'AEO 2023 Table 46 Raw'!AH59</f>
        <v>0.36244999999999999</v>
      </c>
      <c r="AF75" s="30" t="str">
        <f>'AEO 2023 Table 46 Raw'!AI59</f>
        <v>- -</v>
      </c>
    </row>
    <row r="76" spans="1:33" ht="15" customHeight="1">
      <c r="A76" s="7" t="s">
        <v>495</v>
      </c>
      <c r="B76" s="16" t="s">
        <v>496</v>
      </c>
      <c r="C76" s="19">
        <f>'AEO 2023 Table 46 Raw'!F60</f>
        <v>0</v>
      </c>
      <c r="D76" s="19">
        <f>'AEO 2023 Table 46 Raw'!G60</f>
        <v>0</v>
      </c>
      <c r="E76" s="19">
        <f>'AEO 2023 Table 46 Raw'!H60</f>
        <v>0</v>
      </c>
      <c r="F76" s="19">
        <f>'AEO 2023 Table 46 Raw'!I60</f>
        <v>0</v>
      </c>
      <c r="G76" s="19">
        <f>'AEO 2023 Table 46 Raw'!J60</f>
        <v>0</v>
      </c>
      <c r="H76" s="19">
        <f>'AEO 2023 Table 46 Raw'!K60</f>
        <v>0</v>
      </c>
      <c r="I76" s="19">
        <f>'AEO 2023 Table 46 Raw'!L60</f>
        <v>0</v>
      </c>
      <c r="J76" s="19">
        <f>'AEO 2023 Table 46 Raw'!M60</f>
        <v>0</v>
      </c>
      <c r="K76" s="19">
        <f>'AEO 2023 Table 46 Raw'!N60</f>
        <v>0</v>
      </c>
      <c r="L76" s="19">
        <f>'AEO 2023 Table 46 Raw'!O60</f>
        <v>0</v>
      </c>
      <c r="M76" s="19">
        <f>'AEO 2023 Table 46 Raw'!P60</f>
        <v>0</v>
      </c>
      <c r="N76" s="19">
        <f>'AEO 2023 Table 46 Raw'!Q60</f>
        <v>0</v>
      </c>
      <c r="O76" s="19">
        <f>'AEO 2023 Table 46 Raw'!R60</f>
        <v>0</v>
      </c>
      <c r="P76" s="19">
        <f>'AEO 2023 Table 46 Raw'!S60</f>
        <v>0</v>
      </c>
      <c r="Q76" s="19">
        <f>'AEO 2023 Table 46 Raw'!T60</f>
        <v>0</v>
      </c>
      <c r="R76" s="19">
        <f>'AEO 2023 Table 46 Raw'!U60</f>
        <v>0</v>
      </c>
      <c r="S76" s="19">
        <f>'AEO 2023 Table 46 Raw'!V60</f>
        <v>0</v>
      </c>
      <c r="T76" s="19">
        <f>'AEO 2023 Table 46 Raw'!W60</f>
        <v>0</v>
      </c>
      <c r="U76" s="19">
        <f>'AEO 2023 Table 46 Raw'!X60</f>
        <v>0</v>
      </c>
      <c r="V76" s="19">
        <f>'AEO 2023 Table 46 Raw'!Y60</f>
        <v>0</v>
      </c>
      <c r="W76" s="19">
        <f>'AEO 2023 Table 46 Raw'!Z60</f>
        <v>0</v>
      </c>
      <c r="X76" s="19">
        <f>'AEO 2023 Table 46 Raw'!AA60</f>
        <v>0</v>
      </c>
      <c r="Y76" s="19">
        <f>'AEO 2023 Table 46 Raw'!AB60</f>
        <v>0</v>
      </c>
      <c r="Z76" s="19">
        <f>'AEO 2023 Table 46 Raw'!AC60</f>
        <v>0</v>
      </c>
      <c r="AA76" s="19">
        <f>'AEO 2023 Table 46 Raw'!AD60</f>
        <v>0</v>
      </c>
      <c r="AB76" s="19">
        <f>'AEO 2023 Table 46 Raw'!AE60</f>
        <v>0</v>
      </c>
      <c r="AC76" s="19">
        <f>'AEO 2023 Table 46 Raw'!AF60</f>
        <v>0</v>
      </c>
      <c r="AD76" s="19">
        <f>'AEO 2023 Table 46 Raw'!AG60</f>
        <v>0</v>
      </c>
      <c r="AE76" s="19">
        <f>'AEO 2023 Table 46 Raw'!AH60</f>
        <v>0</v>
      </c>
      <c r="AF76" s="30" t="str">
        <f>'AEO 2023 Table 46 Raw'!AI60</f>
        <v>- -</v>
      </c>
    </row>
    <row r="77" spans="1:33" ht="15" customHeight="1">
      <c r="A77" s="7" t="s">
        <v>497</v>
      </c>
      <c r="B77" s="15" t="s">
        <v>498</v>
      </c>
      <c r="C77" s="19">
        <f>'AEO 2023 Table 46 Raw'!F61</f>
        <v>102.01198599999999</v>
      </c>
      <c r="D77" s="19">
        <f>'AEO 2023 Table 46 Raw'!G61</f>
        <v>101.42849699999999</v>
      </c>
      <c r="E77" s="19">
        <f>'AEO 2023 Table 46 Raw'!H61</f>
        <v>100.397537</v>
      </c>
      <c r="F77" s="19">
        <f>'AEO 2023 Table 46 Raw'!I61</f>
        <v>100.42008199999999</v>
      </c>
      <c r="G77" s="19">
        <f>'AEO 2023 Table 46 Raw'!J61</f>
        <v>101.065697</v>
      </c>
      <c r="H77" s="19">
        <f>'AEO 2023 Table 46 Raw'!K61</f>
        <v>101.775436</v>
      </c>
      <c r="I77" s="19">
        <f>'AEO 2023 Table 46 Raw'!L61</f>
        <v>102.397369</v>
      </c>
      <c r="J77" s="19">
        <f>'AEO 2023 Table 46 Raw'!M61</f>
        <v>102.961609</v>
      </c>
      <c r="K77" s="19">
        <f>'AEO 2023 Table 46 Raw'!N61</f>
        <v>103.389183</v>
      </c>
      <c r="L77" s="19">
        <f>'AEO 2023 Table 46 Raw'!O61</f>
        <v>103.85086800000001</v>
      </c>
      <c r="M77" s="19">
        <f>'AEO 2023 Table 46 Raw'!P61</f>
        <v>104.647583</v>
      </c>
      <c r="N77" s="19">
        <f>'AEO 2023 Table 46 Raw'!Q61</f>
        <v>105.326759</v>
      </c>
      <c r="O77" s="19">
        <f>'AEO 2023 Table 46 Raw'!R61</f>
        <v>105.737961</v>
      </c>
      <c r="P77" s="19">
        <f>'AEO 2023 Table 46 Raw'!S61</f>
        <v>106.207207</v>
      </c>
      <c r="Q77" s="19">
        <f>'AEO 2023 Table 46 Raw'!T61</f>
        <v>106.625519</v>
      </c>
      <c r="R77" s="19">
        <f>'AEO 2023 Table 46 Raw'!U61</f>
        <v>107.260445</v>
      </c>
      <c r="S77" s="19">
        <f>'AEO 2023 Table 46 Raw'!V61</f>
        <v>108.055717</v>
      </c>
      <c r="T77" s="19">
        <f>'AEO 2023 Table 46 Raw'!W61</f>
        <v>108.811089</v>
      </c>
      <c r="U77" s="19">
        <f>'AEO 2023 Table 46 Raw'!X61</f>
        <v>109.684494</v>
      </c>
      <c r="V77" s="19">
        <f>'AEO 2023 Table 46 Raw'!Y61</f>
        <v>110.574173</v>
      </c>
      <c r="W77" s="19">
        <f>'AEO 2023 Table 46 Raw'!Z61</f>
        <v>111.49681099999999</v>
      </c>
      <c r="X77" s="19">
        <f>'AEO 2023 Table 46 Raw'!AA61</f>
        <v>112.40994999999999</v>
      </c>
      <c r="Y77" s="19">
        <f>'AEO 2023 Table 46 Raw'!AB61</f>
        <v>113.274773</v>
      </c>
      <c r="Z77" s="19">
        <f>'AEO 2023 Table 46 Raw'!AC61</f>
        <v>114.12487</v>
      </c>
      <c r="AA77" s="19">
        <f>'AEO 2023 Table 46 Raw'!AD61</f>
        <v>115.109894</v>
      </c>
      <c r="AB77" s="19">
        <f>'AEO 2023 Table 46 Raw'!AE61</f>
        <v>116.14473</v>
      </c>
      <c r="AC77" s="19">
        <f>'AEO 2023 Table 46 Raw'!AF61</f>
        <v>117.12908899999999</v>
      </c>
      <c r="AD77" s="19">
        <f>'AEO 2023 Table 46 Raw'!AG61</f>
        <v>118.18765999999999</v>
      </c>
      <c r="AE77" s="19">
        <f>'AEO 2023 Table 46 Raw'!AH61</f>
        <v>119.49492600000001</v>
      </c>
      <c r="AF77" s="30">
        <f>'AEO 2023 Table 46 Raw'!AI61</f>
        <v>6.0000000000000001E-3</v>
      </c>
    </row>
    <row r="78" spans="1:33" ht="15" customHeight="1" thickBot="1"/>
    <row r="79" spans="1:33" ht="15" customHeight="1">
      <c r="B79" s="109" t="s">
        <v>499</v>
      </c>
      <c r="C79" s="110"/>
      <c r="D79" s="110"/>
      <c r="E79" s="110"/>
      <c r="F79" s="110"/>
      <c r="G79" s="110"/>
      <c r="H79" s="110"/>
      <c r="I79" s="110"/>
      <c r="J79" s="110"/>
      <c r="K79" s="110"/>
      <c r="L79" s="110"/>
      <c r="M79" s="110"/>
      <c r="N79" s="110"/>
      <c r="O79" s="110"/>
      <c r="P79" s="110"/>
      <c r="Q79" s="110"/>
      <c r="R79" s="110"/>
      <c r="S79" s="110"/>
      <c r="T79" s="110"/>
      <c r="U79" s="110"/>
      <c r="V79" s="110"/>
      <c r="W79" s="110"/>
      <c r="X79" s="110"/>
      <c r="Y79" s="110"/>
      <c r="Z79" s="110"/>
      <c r="AA79" s="110"/>
      <c r="AB79" s="110"/>
      <c r="AC79" s="110"/>
      <c r="AD79" s="110"/>
      <c r="AE79" s="110"/>
      <c r="AF79" s="110"/>
      <c r="AG79" s="20"/>
    </row>
    <row r="80" spans="1:33" ht="15" customHeight="1">
      <c r="B80" s="4" t="s">
        <v>500</v>
      </c>
    </row>
    <row r="81" spans="2:2" ht="15" customHeight="1">
      <c r="B81" s="4" t="s">
        <v>501</v>
      </c>
    </row>
    <row r="82" spans="2:2" ht="15" customHeight="1">
      <c r="B82" s="4" t="s">
        <v>502</v>
      </c>
    </row>
    <row r="83" spans="2:2" ht="15" customHeight="1">
      <c r="B83" s="4" t="s">
        <v>158</v>
      </c>
    </row>
    <row r="84" spans="2:2" ht="15" customHeight="1">
      <c r="B84" s="4" t="s">
        <v>503</v>
      </c>
    </row>
    <row r="85" spans="2:2" ht="15" customHeight="1"/>
    <row r="86" spans="2:2" ht="15" customHeight="1"/>
    <row r="87" spans="2:2" ht="15" customHeight="1"/>
    <row r="88" spans="2:2" ht="15" customHeight="1"/>
    <row r="89" spans="2:2" ht="15" customHeight="1"/>
    <row r="90" spans="2:2" ht="12" customHeight="1"/>
    <row r="91" spans="2:2" ht="15" customHeight="1"/>
    <row r="92" spans="2:2" ht="15" customHeight="1"/>
    <row r="93" spans="2:2" ht="15" customHeight="1"/>
    <row r="94" spans="2:2" ht="15" customHeight="1"/>
    <row r="95" spans="2:2" ht="12" customHeight="1"/>
    <row r="96" spans="2:2" ht="15" customHeight="1"/>
    <row r="97" ht="12" customHeight="1"/>
    <row r="98" ht="15" customHeight="1"/>
    <row r="99" ht="15" customHeight="1"/>
    <row r="100" ht="15" customHeight="1"/>
    <row r="101" ht="15" customHeight="1"/>
    <row r="102" ht="15" customHeight="1"/>
    <row r="103" ht="15" customHeight="1"/>
    <row r="104" ht="15" customHeight="1"/>
    <row r="105" ht="15" customHeight="1"/>
    <row r="106" ht="15" customHeight="1"/>
    <row r="107" ht="15" customHeight="1"/>
    <row r="108" ht="15" customHeight="1"/>
    <row r="109" ht="15" customHeight="1"/>
    <row r="110" ht="15" customHeight="1"/>
    <row r="111" ht="15" customHeight="1"/>
    <row r="112" ht="15" customHeight="1"/>
    <row r="113" spans="2:32" ht="12" customHeight="1"/>
    <row r="114" spans="2:32" ht="15" customHeight="1"/>
    <row r="115" spans="2:32" ht="15" customHeight="1"/>
    <row r="116" spans="2:32" ht="15" customHeight="1">
      <c r="B116" s="107"/>
      <c r="C116" s="107"/>
      <c r="D116" s="107"/>
      <c r="E116" s="107"/>
      <c r="F116" s="107"/>
      <c r="G116" s="107"/>
      <c r="H116" s="107"/>
      <c r="I116" s="107"/>
      <c r="J116" s="107"/>
      <c r="K116" s="107"/>
      <c r="L116" s="107"/>
      <c r="M116" s="107"/>
      <c r="N116" s="107"/>
      <c r="O116" s="107"/>
      <c r="P116" s="107"/>
      <c r="Q116" s="107"/>
      <c r="R116" s="107"/>
      <c r="S116" s="107"/>
      <c r="T116" s="107"/>
      <c r="U116" s="107"/>
      <c r="V116" s="107"/>
      <c r="W116" s="107"/>
      <c r="X116" s="107"/>
      <c r="Y116" s="107"/>
      <c r="Z116" s="107"/>
      <c r="AA116" s="107"/>
      <c r="AB116" s="107"/>
      <c r="AC116" s="107"/>
      <c r="AD116" s="107"/>
      <c r="AE116" s="107"/>
      <c r="AF116" s="107"/>
    </row>
    <row r="117" spans="2:32" ht="15" customHeight="1"/>
    <row r="118" spans="2:32" ht="15" customHeight="1"/>
    <row r="119" spans="2:32" ht="15" customHeight="1"/>
    <row r="120" spans="2:32" ht="15" customHeight="1"/>
    <row r="121" spans="2:32" ht="15" customHeight="1"/>
    <row r="122" spans="2:32" ht="15" customHeight="1"/>
    <row r="123" spans="2:32" ht="15" customHeight="1"/>
    <row r="124" spans="2:32" ht="15" customHeight="1"/>
    <row r="125" spans="2:32" ht="15" customHeight="1"/>
    <row r="126" spans="2:32" ht="15" customHeight="1"/>
    <row r="127" spans="2:32" ht="15" customHeight="1"/>
    <row r="128" spans="2:32" ht="12" customHeight="1"/>
    <row r="129" ht="12" customHeight="1"/>
    <row r="130" ht="12" customHeight="1"/>
    <row r="131" ht="12" customHeight="1"/>
    <row r="132" ht="12" customHeight="1"/>
    <row r="133" ht="12" customHeight="1"/>
    <row r="134" ht="12" customHeight="1"/>
    <row r="135" ht="12" customHeight="1"/>
    <row r="136" ht="12" customHeight="1"/>
    <row r="137" ht="12" customHeight="1"/>
    <row r="138" ht="12" customHeight="1"/>
    <row r="139" ht="12" customHeight="1"/>
    <row r="140" ht="12" customHeight="1"/>
    <row r="141" ht="12" customHeight="1"/>
    <row r="142" ht="12" customHeight="1"/>
    <row r="143" ht="12" customHeight="1"/>
    <row r="144" ht="12" customHeight="1"/>
    <row r="145" ht="12" customHeight="1"/>
    <row r="146" ht="12" customHeight="1"/>
    <row r="147" ht="12" customHeight="1"/>
    <row r="148" ht="12" customHeight="1"/>
    <row r="149" ht="12" customHeight="1"/>
    <row r="150" ht="15" customHeight="1"/>
    <row r="151" ht="15" customHeight="1"/>
    <row r="152" ht="15" customHeight="1"/>
    <row r="153" ht="15" customHeight="1"/>
    <row r="154" ht="15" customHeight="1"/>
    <row r="155" ht="15" customHeight="1"/>
    <row r="156" ht="15" customHeight="1"/>
    <row r="157" ht="15" customHeight="1"/>
    <row r="158" ht="15" customHeight="1"/>
    <row r="159" ht="15" customHeight="1"/>
    <row r="160" ht="15" customHeight="1"/>
    <row r="161" ht="15" customHeight="1"/>
    <row r="162" ht="15" customHeight="1"/>
    <row r="163" ht="12" customHeight="1"/>
    <row r="164" ht="15" customHeight="1"/>
    <row r="165" ht="15" customHeight="1"/>
    <row r="166" ht="15" customHeight="1"/>
    <row r="167" ht="15" customHeight="1"/>
    <row r="168" ht="15" customHeight="1"/>
    <row r="169" ht="15" customHeight="1"/>
    <row r="170" ht="15" customHeight="1"/>
    <row r="171" ht="15" customHeight="1"/>
    <row r="172" ht="12" customHeight="1"/>
    <row r="173" ht="15" customHeight="1"/>
    <row r="174" ht="15" customHeight="1"/>
    <row r="175" ht="15" customHeight="1"/>
    <row r="176" ht="15" customHeight="1"/>
    <row r="177" ht="15" customHeight="1"/>
    <row r="178" ht="15" customHeight="1"/>
    <row r="179" ht="15" customHeight="1"/>
    <row r="180" ht="15" customHeight="1"/>
    <row r="181" ht="12" customHeight="1"/>
    <row r="182" ht="12" customHeight="1"/>
    <row r="183" ht="15" customHeight="1"/>
    <row r="184" ht="15" customHeight="1"/>
    <row r="185" ht="15" customHeight="1"/>
    <row r="186" ht="15" customHeight="1"/>
    <row r="187" ht="15" customHeight="1"/>
    <row r="188" ht="12" customHeight="1"/>
    <row r="189" ht="15" customHeight="1"/>
    <row r="190" ht="15" customHeight="1"/>
    <row r="191" ht="15" customHeight="1"/>
    <row r="192" ht="15" customHeight="1"/>
    <row r="193" ht="15" customHeight="1"/>
    <row r="194" ht="12" customHeight="1"/>
    <row r="195" ht="15" customHeight="1"/>
    <row r="196" ht="15" customHeight="1"/>
    <row r="197" ht="15" customHeight="1"/>
    <row r="198" ht="15" customHeight="1"/>
    <row r="199" ht="15" customHeight="1"/>
    <row r="200" ht="12" customHeight="1"/>
    <row r="201" ht="15" customHeight="1"/>
    <row r="202" ht="15" customHeight="1"/>
    <row r="203" ht="15" customHeight="1"/>
    <row r="204" ht="12" customHeight="1"/>
    <row r="205" ht="15" customHeight="1"/>
    <row r="206" ht="15" customHeight="1"/>
    <row r="207" ht="15" customHeight="1"/>
    <row r="208" ht="15" customHeight="1"/>
    <row r="209" ht="12" customHeight="1"/>
    <row r="210" ht="15" customHeight="1"/>
    <row r="211" ht="15" customHeight="1"/>
    <row r="212" ht="15" customHeight="1"/>
    <row r="213" ht="15" customHeight="1"/>
    <row r="214" ht="15" customHeight="1"/>
    <row r="215" ht="15" customHeight="1"/>
    <row r="216" ht="15" customHeight="1"/>
    <row r="217" ht="15" customHeight="1"/>
    <row r="218" ht="15" customHeight="1"/>
    <row r="219" ht="15" customHeight="1"/>
    <row r="220" ht="15" customHeight="1"/>
    <row r="221" ht="15" customHeight="1"/>
    <row r="222" ht="15" customHeight="1"/>
    <row r="223" ht="15" customHeight="1"/>
    <row r="224" ht="15" customHeight="1"/>
    <row r="225" ht="15" customHeight="1"/>
    <row r="226" ht="15" customHeight="1"/>
    <row r="227" ht="15" customHeight="1"/>
    <row r="228" ht="15" customHeight="1"/>
    <row r="229" ht="15" customHeight="1"/>
    <row r="230" ht="15" customHeight="1"/>
    <row r="231" ht="15" customHeight="1"/>
    <row r="232" ht="15" customHeight="1"/>
    <row r="233" ht="15" customHeight="1"/>
    <row r="234" ht="15" customHeight="1"/>
    <row r="235" ht="15" customHeight="1"/>
    <row r="236" ht="15" customHeight="1"/>
    <row r="237" ht="15" customHeight="1"/>
    <row r="238" ht="15" customHeight="1"/>
    <row r="239" ht="15" customHeight="1"/>
    <row r="240" ht="15" customHeight="1"/>
    <row r="241" ht="15" customHeight="1"/>
    <row r="242" ht="15" customHeight="1"/>
    <row r="243" ht="15" customHeight="1"/>
    <row r="244" ht="15" customHeight="1"/>
    <row r="245" ht="15" customHeight="1"/>
    <row r="246" ht="15" customHeight="1"/>
    <row r="247" ht="15" customHeight="1"/>
    <row r="248" ht="12" customHeight="1"/>
    <row r="249" ht="15" customHeight="1"/>
    <row r="250" ht="15" customHeight="1"/>
    <row r="251" ht="15" customHeight="1"/>
    <row r="252" ht="12" customHeight="1"/>
    <row r="253" ht="15" customHeight="1"/>
    <row r="254" ht="15" customHeight="1"/>
    <row r="255" ht="12" customHeight="1"/>
    <row r="256" ht="15" customHeight="1"/>
    <row r="257" spans="2:32" ht="15" customHeight="1"/>
    <row r="258" spans="2:32" ht="15" customHeight="1">
      <c r="B258" s="107"/>
      <c r="C258" s="107"/>
      <c r="D258" s="107"/>
      <c r="E258" s="107"/>
      <c r="F258" s="107"/>
      <c r="G258" s="107"/>
      <c r="H258" s="107"/>
      <c r="I258" s="107"/>
      <c r="J258" s="107"/>
      <c r="K258" s="107"/>
      <c r="L258" s="107"/>
      <c r="M258" s="107"/>
      <c r="N258" s="107"/>
      <c r="O258" s="107"/>
      <c r="P258" s="107"/>
      <c r="Q258" s="107"/>
      <c r="R258" s="107"/>
      <c r="S258" s="107"/>
      <c r="T258" s="107"/>
      <c r="U258" s="107"/>
      <c r="V258" s="107"/>
      <c r="W258" s="107"/>
      <c r="X258" s="107"/>
      <c r="Y258" s="107"/>
      <c r="Z258" s="107"/>
      <c r="AA258" s="107"/>
      <c r="AB258" s="107"/>
      <c r="AC258" s="107"/>
      <c r="AD258" s="107"/>
      <c r="AE258" s="107"/>
      <c r="AF258" s="107"/>
    </row>
    <row r="259" spans="2:32" ht="15" customHeight="1"/>
    <row r="260" spans="2:32" ht="15" customHeight="1"/>
    <row r="261" spans="2:32" ht="15" customHeight="1"/>
    <row r="262" spans="2:32" ht="15" customHeight="1"/>
    <row r="263" spans="2:32" ht="15" customHeight="1"/>
    <row r="264" spans="2:32" ht="15" customHeight="1"/>
    <row r="265" spans="2:32" ht="15" customHeight="1"/>
    <row r="266" spans="2:32" ht="15" customHeight="1"/>
    <row r="267" spans="2:32" ht="12" customHeight="1"/>
    <row r="268" spans="2:32" ht="12" customHeight="1"/>
    <row r="269" spans="2:32" ht="12" customHeight="1"/>
    <row r="270" spans="2:32" ht="12" customHeight="1"/>
    <row r="271" spans="2:32" ht="12" customHeight="1"/>
    <row r="272" spans="2:32" ht="12" customHeight="1"/>
    <row r="273" ht="12" customHeight="1"/>
    <row r="274" ht="12" customHeight="1"/>
    <row r="275" ht="12" customHeight="1"/>
    <row r="276" ht="12" customHeight="1"/>
    <row r="277" ht="12" customHeight="1"/>
    <row r="278" ht="12" customHeight="1"/>
    <row r="279" ht="12" customHeight="1"/>
    <row r="280" ht="12" customHeight="1"/>
    <row r="281" ht="12" customHeight="1"/>
    <row r="282" ht="12" customHeight="1"/>
    <row r="283" ht="12" customHeight="1"/>
    <row r="284" ht="12" customHeight="1"/>
    <row r="285" ht="12" customHeight="1"/>
    <row r="286" ht="12" customHeight="1"/>
    <row r="287" ht="12" customHeight="1"/>
    <row r="288" ht="12" customHeight="1"/>
    <row r="289" ht="12" customHeight="1"/>
    <row r="290" ht="12" customHeight="1"/>
    <row r="291" ht="12" customHeight="1"/>
    <row r="292" ht="12" customHeight="1"/>
    <row r="293" ht="12" customHeight="1"/>
    <row r="294" ht="12" customHeight="1"/>
    <row r="295" ht="12" customHeight="1"/>
    <row r="296" ht="12" customHeight="1"/>
    <row r="297" ht="12" customHeight="1"/>
    <row r="298" ht="12" customHeight="1"/>
    <row r="299" ht="12" customHeight="1"/>
    <row r="300" ht="15" customHeight="1"/>
    <row r="301" ht="15" customHeight="1"/>
    <row r="302" ht="15" customHeight="1"/>
    <row r="303" ht="15" customHeight="1"/>
    <row r="304" ht="15" customHeight="1"/>
    <row r="305" ht="15" customHeight="1"/>
    <row r="306" ht="15" customHeight="1"/>
    <row r="307" ht="15" customHeight="1"/>
    <row r="308" ht="15" customHeight="1"/>
    <row r="309" ht="15" customHeight="1"/>
    <row r="310" ht="12" customHeight="1"/>
    <row r="311" ht="15" customHeight="1"/>
    <row r="312" ht="15" customHeight="1"/>
    <row r="313" ht="15" customHeight="1"/>
    <row r="314" ht="15" customHeight="1"/>
    <row r="315" ht="15" customHeight="1"/>
    <row r="316" ht="15" customHeight="1"/>
    <row r="317" ht="15" customHeight="1"/>
    <row r="318" ht="15" customHeight="1"/>
    <row r="319" ht="15" customHeight="1"/>
    <row r="320" ht="15" customHeight="1"/>
    <row r="321" ht="15" customHeight="1"/>
    <row r="322" ht="15" customHeight="1"/>
    <row r="323" ht="15" customHeight="1"/>
    <row r="324" ht="15" customHeight="1"/>
    <row r="325" ht="15" customHeight="1"/>
    <row r="326" ht="15" customHeight="1"/>
    <row r="327" ht="12" customHeight="1"/>
    <row r="328" ht="15" customHeight="1"/>
    <row r="329" ht="12" customHeight="1"/>
    <row r="330" ht="15" customHeight="1"/>
    <row r="331" ht="15" customHeight="1"/>
    <row r="332" ht="15" customHeight="1"/>
    <row r="333" ht="15" customHeight="1"/>
    <row r="334" ht="15" customHeight="1"/>
    <row r="335" ht="15" customHeight="1"/>
    <row r="336" ht="15" customHeight="1"/>
    <row r="337" spans="2:32" ht="15" customHeight="1"/>
    <row r="338" spans="2:32" ht="15" customHeight="1"/>
    <row r="339" spans="2:32" ht="15" customHeight="1"/>
    <row r="340" spans="2:32" ht="15" customHeight="1">
      <c r="B340" s="107"/>
      <c r="C340" s="107"/>
      <c r="D340" s="107"/>
      <c r="E340" s="107"/>
      <c r="F340" s="107"/>
      <c r="G340" s="107"/>
      <c r="H340" s="107"/>
      <c r="I340" s="107"/>
      <c r="J340" s="107"/>
      <c r="K340" s="107"/>
      <c r="L340" s="107"/>
      <c r="M340" s="107"/>
      <c r="N340" s="107"/>
      <c r="O340" s="107"/>
      <c r="P340" s="107"/>
      <c r="Q340" s="107"/>
      <c r="R340" s="107"/>
      <c r="S340" s="107"/>
      <c r="T340" s="107"/>
      <c r="U340" s="107"/>
      <c r="V340" s="107"/>
      <c r="W340" s="107"/>
      <c r="X340" s="107"/>
      <c r="Y340" s="107"/>
      <c r="Z340" s="107"/>
      <c r="AA340" s="107"/>
      <c r="AB340" s="107"/>
      <c r="AC340" s="107"/>
      <c r="AD340" s="107"/>
      <c r="AE340" s="107"/>
      <c r="AF340" s="107"/>
    </row>
    <row r="341" spans="2:32" ht="15" customHeight="1"/>
    <row r="342" spans="2:32" ht="15" customHeight="1"/>
    <row r="343" spans="2:32" ht="15" customHeight="1"/>
    <row r="344" spans="2:32" ht="15" customHeight="1"/>
    <row r="345" spans="2:32" ht="15" customHeight="1"/>
    <row r="346" spans="2:32" ht="12" customHeight="1"/>
    <row r="347" spans="2:32" ht="12" customHeight="1"/>
    <row r="348" spans="2:32" ht="12" customHeight="1"/>
    <row r="349" spans="2:32" ht="12" customHeight="1"/>
    <row r="350" spans="2:32" ht="12" customHeight="1"/>
    <row r="351" spans="2:32" ht="12" customHeight="1"/>
    <row r="352" spans="2:32" ht="12" customHeight="1"/>
    <row r="353" ht="12" customHeight="1"/>
    <row r="354" ht="12" customHeight="1"/>
    <row r="355" ht="12" customHeight="1"/>
    <row r="356" ht="12" customHeight="1"/>
    <row r="357" ht="12" customHeight="1"/>
    <row r="358" ht="12" customHeight="1"/>
    <row r="359" ht="12" customHeight="1"/>
    <row r="360" ht="12" customHeight="1"/>
    <row r="361" ht="12" customHeight="1"/>
    <row r="362" ht="12" customHeight="1"/>
    <row r="363" ht="12" customHeight="1"/>
    <row r="364" ht="12" customHeight="1"/>
    <row r="365" ht="12" customHeight="1"/>
    <row r="366" ht="12" customHeight="1"/>
    <row r="367" ht="12" customHeight="1"/>
    <row r="368" ht="12" customHeight="1"/>
    <row r="369" ht="12" customHeight="1"/>
    <row r="370" ht="12" customHeight="1"/>
    <row r="371" ht="12" customHeight="1"/>
    <row r="372" ht="12" customHeight="1"/>
    <row r="373" ht="12" customHeight="1"/>
    <row r="374" ht="12" customHeight="1"/>
    <row r="375" ht="15" customHeight="1"/>
    <row r="376" ht="15" customHeight="1"/>
    <row r="377" ht="15" customHeight="1"/>
    <row r="378" ht="15" customHeight="1"/>
    <row r="379" ht="15" customHeight="1"/>
    <row r="380" ht="15" customHeight="1"/>
    <row r="381" ht="15" customHeight="1"/>
    <row r="382" ht="15" customHeight="1"/>
    <row r="383" ht="15" customHeight="1"/>
    <row r="384" ht="15" customHeight="1"/>
    <row r="385" ht="12" customHeight="1"/>
    <row r="386" ht="15" customHeight="1"/>
    <row r="387" ht="15" customHeight="1"/>
    <row r="388" ht="15" customHeight="1"/>
    <row r="389" ht="15" customHeight="1"/>
    <row r="390" ht="15" customHeight="1"/>
    <row r="391" ht="15" customHeight="1"/>
    <row r="392" ht="15" customHeight="1"/>
    <row r="393" ht="15" customHeight="1"/>
    <row r="394" ht="15" customHeight="1"/>
    <row r="395" ht="15" customHeight="1"/>
    <row r="396" ht="15" customHeight="1"/>
    <row r="397" ht="15" customHeight="1"/>
    <row r="398" ht="15" customHeight="1"/>
    <row r="399" ht="15" customHeight="1"/>
    <row r="400" ht="15" customHeight="1"/>
    <row r="401" ht="15" customHeight="1"/>
    <row r="402" ht="12" customHeight="1"/>
    <row r="403" ht="15" customHeight="1"/>
    <row r="404" ht="15" customHeight="1"/>
    <row r="405" ht="12" customHeight="1"/>
    <row r="406" ht="15" customHeight="1"/>
    <row r="407" ht="15" customHeight="1"/>
    <row r="408" ht="15" customHeight="1"/>
    <row r="409" ht="15" customHeight="1"/>
    <row r="410" ht="15" customHeight="1"/>
    <row r="411" ht="12" customHeight="1"/>
    <row r="412" ht="15" customHeight="1"/>
    <row r="413" ht="15" customHeight="1"/>
    <row r="414" ht="15" customHeight="1"/>
    <row r="415" ht="15" customHeight="1"/>
    <row r="416" ht="15" customHeight="1"/>
    <row r="417" ht="15" customHeight="1"/>
    <row r="418" ht="15" customHeight="1"/>
    <row r="419" ht="15" customHeight="1"/>
    <row r="420" ht="15" customHeight="1"/>
    <row r="421" ht="15" customHeight="1"/>
    <row r="422" ht="15" customHeight="1"/>
    <row r="423" ht="15" customHeight="1"/>
    <row r="424" ht="15" customHeight="1"/>
    <row r="425" ht="15" customHeight="1"/>
    <row r="426" ht="15" customHeight="1"/>
    <row r="427" ht="15" customHeight="1"/>
    <row r="428" ht="12" customHeight="1"/>
    <row r="429" ht="15" customHeight="1"/>
    <row r="430" ht="15" customHeight="1"/>
    <row r="431" ht="12" customHeight="1"/>
    <row r="432" ht="15" customHeight="1"/>
    <row r="433" ht="15" customHeight="1"/>
    <row r="434" ht="15" customHeight="1"/>
    <row r="435" ht="12" customHeight="1"/>
    <row r="436" ht="15" customHeight="1"/>
    <row r="437" ht="15" customHeight="1"/>
    <row r="438" ht="15" customHeight="1"/>
    <row r="439" ht="15" customHeight="1"/>
    <row r="440" ht="15" customHeight="1"/>
    <row r="441" ht="15" customHeight="1"/>
    <row r="442" ht="15" customHeight="1"/>
    <row r="443" ht="15" customHeight="1"/>
    <row r="444" ht="15" customHeight="1"/>
    <row r="445" ht="15" customHeight="1"/>
    <row r="446" ht="12" customHeight="1"/>
    <row r="447" ht="15" customHeight="1"/>
    <row r="448" ht="15" customHeight="1"/>
    <row r="449" spans="2:32" ht="12" customHeight="1"/>
    <row r="450" spans="2:32" ht="15" customHeight="1"/>
    <row r="451" spans="2:32" ht="15" customHeight="1"/>
    <row r="452" spans="2:32" ht="15" customHeight="1">
      <c r="B452" s="107"/>
      <c r="C452" s="107"/>
      <c r="D452" s="107"/>
      <c r="E452" s="107"/>
      <c r="F452" s="107"/>
      <c r="G452" s="107"/>
      <c r="H452" s="107"/>
      <c r="I452" s="107"/>
      <c r="J452" s="107"/>
      <c r="K452" s="107"/>
      <c r="L452" s="107"/>
      <c r="M452" s="107"/>
      <c r="N452" s="107"/>
      <c r="O452" s="107"/>
      <c r="P452" s="107"/>
      <c r="Q452" s="107"/>
      <c r="R452" s="107"/>
      <c r="S452" s="107"/>
      <c r="T452" s="107"/>
      <c r="U452" s="107"/>
      <c r="V452" s="107"/>
      <c r="W452" s="107"/>
      <c r="X452" s="107"/>
      <c r="Y452" s="107"/>
      <c r="Z452" s="107"/>
      <c r="AA452" s="107"/>
      <c r="AB452" s="107"/>
      <c r="AC452" s="107"/>
      <c r="AD452" s="107"/>
      <c r="AE452" s="107"/>
      <c r="AF452" s="107"/>
    </row>
    <row r="453" spans="2:32" ht="15" customHeight="1"/>
    <row r="454" spans="2:32" ht="15" customHeight="1"/>
    <row r="455" spans="2:32" ht="15" customHeight="1"/>
    <row r="456" spans="2:32" ht="15" customHeight="1"/>
    <row r="457" spans="2:32" ht="15" customHeight="1"/>
    <row r="458" spans="2:32" ht="15" customHeight="1"/>
    <row r="459" spans="2:32" ht="15" customHeight="1"/>
    <row r="460" spans="2:32" ht="12" customHeight="1"/>
    <row r="461" spans="2:32" ht="12" customHeight="1"/>
    <row r="462" spans="2:32" ht="12" customHeight="1"/>
    <row r="463" spans="2:32" ht="12" customHeight="1"/>
    <row r="464" spans="2:32" ht="12" customHeight="1"/>
    <row r="465" ht="12" customHeight="1"/>
    <row r="466" ht="12" customHeight="1"/>
    <row r="467" ht="12" customHeight="1"/>
    <row r="468" ht="12" customHeight="1"/>
    <row r="469" ht="12" customHeight="1"/>
    <row r="470" ht="12" customHeight="1"/>
    <row r="471" ht="12" customHeight="1"/>
    <row r="472" ht="12" customHeight="1"/>
    <row r="473" ht="12" customHeight="1"/>
    <row r="474" ht="12" customHeight="1"/>
    <row r="475" ht="12" customHeight="1"/>
    <row r="476" ht="12" customHeight="1"/>
    <row r="477" ht="12" customHeight="1"/>
    <row r="478" ht="12" customHeight="1"/>
    <row r="479" ht="12" customHeight="1"/>
    <row r="480" ht="12" customHeight="1"/>
    <row r="481" ht="12" customHeight="1"/>
    <row r="482" ht="12" customHeight="1"/>
    <row r="483" ht="12" customHeight="1"/>
    <row r="484" ht="12" customHeight="1"/>
    <row r="485" ht="12" customHeight="1"/>
    <row r="486" ht="12" customHeight="1"/>
    <row r="487" ht="12" customHeight="1"/>
    <row r="488" ht="12" customHeight="1"/>
    <row r="489" ht="12" customHeight="1"/>
    <row r="490" ht="12" customHeight="1"/>
    <row r="491" ht="12" customHeight="1"/>
    <row r="492" ht="12" customHeight="1"/>
    <row r="493" ht="12" customHeight="1"/>
    <row r="494" ht="12" customHeight="1"/>
    <row r="495" ht="12" customHeight="1"/>
    <row r="496" ht="12" customHeight="1"/>
    <row r="497" ht="12" customHeight="1"/>
    <row r="498" ht="12" customHeight="1"/>
    <row r="499" ht="12" customHeight="1"/>
    <row r="500" ht="15" customHeight="1"/>
    <row r="501" ht="15" customHeight="1"/>
    <row r="502" ht="15" customHeight="1"/>
    <row r="503" ht="15" customHeight="1"/>
    <row r="504" ht="15" customHeight="1"/>
    <row r="505" ht="15" customHeight="1"/>
    <row r="506" ht="15" customHeight="1"/>
    <row r="507" ht="15" customHeight="1"/>
    <row r="508" ht="15" customHeight="1"/>
    <row r="509" ht="15" customHeight="1"/>
    <row r="510" ht="12" customHeight="1"/>
    <row r="511" ht="15" customHeight="1"/>
    <row r="512" ht="15" customHeight="1"/>
    <row r="513" ht="15" customHeight="1"/>
    <row r="514" ht="15" customHeight="1"/>
    <row r="515" ht="15" customHeight="1"/>
    <row r="516" ht="15" customHeight="1"/>
    <row r="517" ht="15" customHeight="1"/>
    <row r="518" ht="15" customHeight="1"/>
    <row r="519" ht="15" customHeight="1"/>
    <row r="520" ht="15" customHeight="1"/>
    <row r="521" ht="15" customHeight="1"/>
    <row r="522" ht="15" customHeight="1"/>
    <row r="523" ht="15" customHeight="1"/>
    <row r="524" ht="15" customHeight="1"/>
    <row r="525" ht="15" customHeight="1"/>
    <row r="526" ht="15" customHeight="1"/>
    <row r="527" ht="12" customHeight="1"/>
    <row r="528" ht="15" customHeight="1"/>
    <row r="529" ht="12" customHeight="1"/>
    <row r="530" ht="15" customHeight="1"/>
    <row r="531" ht="15" customHeight="1"/>
    <row r="532" ht="15" customHeight="1"/>
    <row r="533" ht="15" customHeight="1"/>
    <row r="534" ht="15" customHeight="1"/>
    <row r="535" ht="12" customHeight="1"/>
    <row r="536" ht="15" customHeight="1"/>
    <row r="537" ht="15" customHeight="1"/>
    <row r="538" ht="15" customHeight="1"/>
    <row r="539" ht="15" customHeight="1"/>
    <row r="540" ht="15" customHeight="1"/>
    <row r="541" ht="15" customHeight="1"/>
    <row r="542" ht="15" customHeight="1"/>
    <row r="543" ht="15" customHeight="1"/>
    <row r="544" ht="15" customHeight="1"/>
    <row r="545" spans="2:32" ht="15" customHeight="1"/>
    <row r="546" spans="2:32" ht="15" customHeight="1"/>
    <row r="547" spans="2:32" ht="15" customHeight="1"/>
    <row r="548" spans="2:32" ht="15" customHeight="1"/>
    <row r="549" spans="2:32" ht="15" customHeight="1"/>
    <row r="550" spans="2:32" ht="15" customHeight="1"/>
    <row r="551" spans="2:32" ht="15" customHeight="1"/>
    <row r="552" spans="2:32" ht="12" customHeight="1"/>
    <row r="553" spans="2:32" ht="15" customHeight="1"/>
    <row r="554" spans="2:32" ht="12" customHeight="1"/>
    <row r="555" spans="2:32" ht="15" customHeight="1"/>
    <row r="556" spans="2:32" ht="15" customHeight="1"/>
    <row r="557" spans="2:32" ht="15" customHeight="1">
      <c r="B557" s="107"/>
      <c r="C557" s="107"/>
      <c r="D557" s="107"/>
      <c r="E557" s="107"/>
      <c r="F557" s="107"/>
      <c r="G557" s="107"/>
      <c r="H557" s="107"/>
      <c r="I557" s="107"/>
      <c r="J557" s="107"/>
      <c r="K557" s="107"/>
      <c r="L557" s="107"/>
      <c r="M557" s="107"/>
      <c r="N557" s="107"/>
      <c r="O557" s="107"/>
      <c r="P557" s="107"/>
      <c r="Q557" s="107"/>
      <c r="R557" s="107"/>
      <c r="S557" s="107"/>
      <c r="T557" s="107"/>
      <c r="U557" s="107"/>
      <c r="V557" s="107"/>
      <c r="W557" s="107"/>
      <c r="X557" s="107"/>
      <c r="Y557" s="107"/>
      <c r="Z557" s="107"/>
      <c r="AA557" s="107"/>
      <c r="AB557" s="107"/>
      <c r="AC557" s="107"/>
      <c r="AD557" s="107"/>
      <c r="AE557" s="107"/>
      <c r="AF557" s="107"/>
    </row>
    <row r="558" spans="2:32" ht="15" customHeight="1"/>
    <row r="559" spans="2:32" ht="15" customHeight="1"/>
    <row r="560" spans="2:32" ht="15" customHeight="1"/>
    <row r="561" ht="15" customHeight="1"/>
    <row r="562" ht="12" customHeight="1"/>
    <row r="563" ht="12" customHeight="1"/>
    <row r="564" ht="12" customHeight="1"/>
    <row r="565" ht="12" customHeight="1"/>
    <row r="566" ht="12" customHeight="1"/>
    <row r="567" ht="12" customHeight="1"/>
    <row r="568" ht="12" customHeight="1"/>
    <row r="569" ht="12" customHeight="1"/>
    <row r="570" ht="12" customHeight="1"/>
    <row r="571" ht="12" customHeight="1"/>
    <row r="572" ht="12" customHeight="1"/>
    <row r="573" ht="12" customHeight="1"/>
    <row r="574" ht="12" customHeight="1"/>
    <row r="575" ht="15" customHeight="1"/>
    <row r="576" ht="15" customHeight="1"/>
    <row r="577" ht="15" customHeight="1"/>
    <row r="578" ht="15" customHeight="1"/>
    <row r="579" ht="15" customHeight="1"/>
    <row r="580" ht="15" customHeight="1"/>
    <row r="581" ht="15" customHeight="1"/>
    <row r="582" ht="15" customHeight="1"/>
    <row r="583" ht="15" customHeight="1"/>
    <row r="584" ht="12" customHeight="1"/>
    <row r="585" ht="15" customHeight="1"/>
    <row r="586" ht="15" customHeight="1"/>
    <row r="587" ht="15" customHeight="1"/>
    <row r="588" ht="15" customHeight="1"/>
    <row r="589" ht="15" customHeight="1"/>
    <row r="590" ht="15" customHeight="1"/>
    <row r="591" ht="15" customHeight="1"/>
    <row r="592" ht="15" customHeight="1"/>
    <row r="593" ht="15" customHeight="1"/>
    <row r="594" ht="15" customHeight="1"/>
    <row r="595" ht="15" customHeight="1"/>
    <row r="596" ht="15" customHeight="1"/>
    <row r="597" ht="15" customHeight="1"/>
    <row r="598" ht="15" customHeight="1"/>
    <row r="599" ht="15" customHeight="1"/>
    <row r="600" ht="12" customHeight="1"/>
    <row r="601" ht="15" customHeight="1"/>
    <row r="602" ht="12" customHeight="1"/>
    <row r="603" ht="15" customHeight="1"/>
    <row r="604" ht="15" customHeight="1"/>
    <row r="605" ht="15" customHeight="1"/>
    <row r="606" ht="15" customHeight="1"/>
    <row r="607" ht="12" customHeight="1"/>
    <row r="608" ht="15" customHeight="1"/>
    <row r="609" ht="15" customHeight="1"/>
    <row r="610" ht="15" customHeight="1"/>
    <row r="611" ht="15" customHeight="1"/>
    <row r="612" ht="15" customHeight="1"/>
    <row r="613" ht="15" customHeight="1"/>
    <row r="614" ht="15" customHeight="1"/>
    <row r="615" ht="15" customHeight="1"/>
    <row r="616" ht="15" customHeight="1"/>
    <row r="617" ht="15" customHeight="1"/>
    <row r="618" ht="15" customHeight="1"/>
    <row r="619" ht="15" customHeight="1"/>
    <row r="620" ht="15" customHeight="1"/>
    <row r="621" ht="15" customHeight="1"/>
    <row r="622" ht="15" customHeight="1"/>
    <row r="623" ht="12" customHeight="1"/>
    <row r="624" ht="15" customHeight="1"/>
    <row r="625" spans="2:32" ht="12" customHeight="1"/>
    <row r="626" spans="2:32" ht="15" customHeight="1"/>
    <row r="627" spans="2:32" ht="12" customHeight="1"/>
    <row r="628" spans="2:32" ht="15" customHeight="1"/>
    <row r="629" spans="2:32" ht="15" customHeight="1"/>
    <row r="630" spans="2:32" ht="12" customHeight="1"/>
    <row r="631" spans="2:32" ht="15" customHeight="1"/>
    <row r="632" spans="2:32" ht="12" customHeight="1"/>
    <row r="633" spans="2:32" ht="12" customHeight="1"/>
    <row r="634" spans="2:32" ht="15" customHeight="1"/>
    <row r="635" spans="2:32" ht="12" customHeight="1"/>
    <row r="636" spans="2:32" ht="15" customHeight="1"/>
    <row r="637" spans="2:32" ht="15" customHeight="1"/>
    <row r="638" spans="2:32" ht="15" customHeight="1">
      <c r="B638" s="107"/>
      <c r="C638" s="107"/>
      <c r="D638" s="107"/>
      <c r="E638" s="107"/>
      <c r="F638" s="107"/>
      <c r="G638" s="107"/>
      <c r="H638" s="107"/>
      <c r="I638" s="107"/>
      <c r="J638" s="107"/>
      <c r="K638" s="107"/>
      <c r="L638" s="107"/>
      <c r="M638" s="107"/>
      <c r="N638" s="107"/>
      <c r="O638" s="107"/>
      <c r="P638" s="107"/>
      <c r="Q638" s="107"/>
      <c r="R638" s="107"/>
      <c r="S638" s="107"/>
      <c r="T638" s="107"/>
      <c r="U638" s="107"/>
      <c r="V638" s="107"/>
      <c r="W638" s="107"/>
      <c r="X638" s="107"/>
      <c r="Y638" s="107"/>
      <c r="Z638" s="107"/>
      <c r="AA638" s="107"/>
      <c r="AB638" s="107"/>
      <c r="AC638" s="107"/>
      <c r="AD638" s="107"/>
      <c r="AE638" s="107"/>
      <c r="AF638" s="107"/>
    </row>
    <row r="639" spans="2:32" ht="15" customHeight="1"/>
    <row r="640" spans="2:32" ht="15" customHeight="1"/>
    <row r="641" ht="15" customHeight="1"/>
    <row r="642" ht="15" customHeight="1"/>
    <row r="643" ht="12" customHeight="1"/>
    <row r="644" ht="12" customHeight="1"/>
    <row r="645" ht="12" customHeight="1"/>
    <row r="646" ht="12" customHeight="1"/>
    <row r="647" ht="12" customHeight="1"/>
    <row r="648" ht="12" customHeight="1"/>
    <row r="649" ht="12" customHeight="1"/>
    <row r="650" ht="12" customHeight="1"/>
    <row r="651" ht="12" customHeight="1"/>
    <row r="652" ht="12" customHeight="1"/>
    <row r="653" ht="12" customHeight="1"/>
    <row r="654" ht="12" customHeight="1"/>
    <row r="655" ht="12" customHeight="1"/>
    <row r="656" ht="12" customHeight="1"/>
    <row r="657" ht="12" customHeight="1"/>
    <row r="658" ht="12" customHeight="1"/>
    <row r="659" ht="12" customHeight="1"/>
    <row r="660" ht="12" customHeight="1"/>
    <row r="661" ht="12" customHeight="1"/>
    <row r="662" ht="12" customHeight="1"/>
    <row r="663" ht="12" customHeight="1"/>
    <row r="664" ht="12" customHeight="1"/>
    <row r="665" ht="12" customHeight="1"/>
    <row r="666" ht="12" customHeight="1"/>
    <row r="667" ht="12" customHeight="1"/>
    <row r="668" ht="12" customHeight="1"/>
    <row r="669" ht="12" customHeight="1"/>
    <row r="670" ht="12" customHeight="1"/>
    <row r="671" ht="12" customHeight="1"/>
    <row r="672" ht="12" customHeight="1"/>
    <row r="673" ht="12" customHeight="1"/>
    <row r="674" ht="12" customHeight="1"/>
    <row r="675" ht="15" customHeight="1"/>
    <row r="676" ht="15" customHeight="1"/>
    <row r="677" ht="15" customHeight="1"/>
    <row r="678" ht="15" customHeight="1"/>
    <row r="679" ht="15" customHeight="1"/>
    <row r="680" ht="15" customHeight="1"/>
    <row r="681" ht="15" customHeight="1"/>
    <row r="682" ht="12" customHeight="1"/>
    <row r="683" ht="15" customHeight="1"/>
    <row r="684" ht="15" customHeight="1"/>
    <row r="685" ht="15" customHeight="1"/>
    <row r="686" ht="15" customHeight="1"/>
    <row r="687" ht="15" customHeight="1"/>
    <row r="688" ht="15" customHeight="1"/>
    <row r="689" ht="15" customHeight="1"/>
    <row r="690" ht="15" customHeight="1"/>
    <row r="691" ht="15" customHeight="1"/>
    <row r="692" ht="15" customHeight="1"/>
    <row r="693" ht="15" customHeight="1"/>
    <row r="694" ht="15" customHeight="1"/>
    <row r="695" ht="15" customHeight="1"/>
    <row r="696" ht="15" customHeight="1"/>
    <row r="697" ht="15" customHeight="1"/>
    <row r="698" ht="12" customHeight="1"/>
    <row r="699" ht="15" customHeight="1"/>
    <row r="700" ht="15" customHeight="1"/>
    <row r="701" ht="15" customHeight="1"/>
    <row r="702" ht="15" customHeight="1"/>
    <row r="703" ht="12" customHeight="1"/>
    <row r="704" ht="15" customHeight="1"/>
    <row r="705" spans="2:32" ht="15" customHeight="1"/>
    <row r="706" spans="2:32" ht="15" customHeight="1"/>
    <row r="707" spans="2:32" ht="15" customHeight="1"/>
    <row r="708" spans="2:32" ht="15" customHeight="1"/>
    <row r="709" spans="2:32" ht="15" customHeight="1"/>
    <row r="710" spans="2:32" ht="15" customHeight="1">
      <c r="B710" s="107"/>
      <c r="C710" s="107"/>
      <c r="D710" s="107"/>
      <c r="E710" s="107"/>
      <c r="F710" s="107"/>
      <c r="G710" s="107"/>
      <c r="H710" s="107"/>
      <c r="I710" s="107"/>
      <c r="J710" s="107"/>
      <c r="K710" s="107"/>
      <c r="L710" s="107"/>
      <c r="M710" s="107"/>
      <c r="N710" s="107"/>
      <c r="O710" s="107"/>
      <c r="P710" s="107"/>
      <c r="Q710" s="107"/>
      <c r="R710" s="107"/>
      <c r="S710" s="107"/>
      <c r="T710" s="107"/>
      <c r="U710" s="107"/>
      <c r="V710" s="107"/>
      <c r="W710" s="107"/>
      <c r="X710" s="107"/>
      <c r="Y710" s="107"/>
      <c r="Z710" s="107"/>
      <c r="AA710" s="107"/>
      <c r="AB710" s="107"/>
      <c r="AC710" s="107"/>
      <c r="AD710" s="107"/>
      <c r="AE710" s="107"/>
      <c r="AF710" s="107"/>
    </row>
    <row r="711" spans="2:32" ht="15" customHeight="1"/>
    <row r="712" spans="2:32" ht="15" customHeight="1"/>
    <row r="713" spans="2:32" ht="15" customHeight="1"/>
    <row r="714" spans="2:32" ht="15" customHeight="1"/>
    <row r="715" spans="2:32" ht="15" customHeight="1"/>
    <row r="716" spans="2:32" ht="12" customHeight="1"/>
    <row r="717" spans="2:32" ht="12" customHeight="1"/>
    <row r="718" spans="2:32" ht="12" customHeight="1"/>
    <row r="719" spans="2:32" ht="12" customHeight="1"/>
    <row r="720" spans="2:32" ht="12" customHeight="1"/>
    <row r="721" ht="12" customHeight="1"/>
    <row r="722" ht="12" customHeight="1"/>
    <row r="723" ht="12" customHeight="1"/>
    <row r="724" ht="12" customHeight="1"/>
    <row r="725" ht="12" customHeight="1"/>
    <row r="726" ht="12" customHeight="1"/>
    <row r="727" ht="12" customHeight="1"/>
    <row r="728" ht="12" customHeight="1"/>
    <row r="729" ht="12" customHeight="1"/>
    <row r="730" ht="12" customHeight="1"/>
    <row r="731" ht="12" customHeight="1"/>
    <row r="732" ht="12" customHeight="1"/>
    <row r="733" ht="12" customHeight="1"/>
    <row r="734" ht="12" customHeight="1"/>
    <row r="735" ht="12" customHeight="1"/>
    <row r="736" ht="12" customHeight="1"/>
    <row r="737" ht="12" customHeight="1"/>
    <row r="738" ht="12" customHeight="1"/>
    <row r="739" ht="12" customHeight="1"/>
    <row r="740" ht="12" customHeight="1"/>
    <row r="741" ht="12" customHeight="1"/>
    <row r="742" ht="12" customHeight="1"/>
    <row r="743" ht="12" customHeight="1"/>
    <row r="744" ht="12" customHeight="1"/>
    <row r="745" ht="12" customHeight="1"/>
    <row r="746" ht="12" customHeight="1"/>
    <row r="747" ht="12" customHeight="1"/>
    <row r="748" ht="12" customHeight="1"/>
    <row r="749" ht="12" customHeight="1"/>
    <row r="750" ht="15" customHeight="1"/>
    <row r="751" ht="15" customHeight="1"/>
    <row r="752" ht="15" customHeight="1"/>
    <row r="753" ht="15" customHeight="1"/>
    <row r="754" ht="15" customHeight="1"/>
    <row r="755" ht="15" customHeight="1"/>
    <row r="756" ht="15" customHeight="1"/>
    <row r="757" ht="15" customHeight="1"/>
    <row r="758" ht="15" customHeight="1"/>
    <row r="759" ht="15" customHeight="1"/>
    <row r="760" ht="15" customHeight="1"/>
    <row r="761" ht="15" customHeight="1"/>
    <row r="762" ht="15" customHeight="1"/>
    <row r="763" ht="15" customHeight="1"/>
    <row r="764" ht="15" customHeight="1"/>
    <row r="765" ht="15" customHeight="1"/>
    <row r="766" ht="15" customHeight="1"/>
    <row r="767" ht="15" customHeight="1"/>
    <row r="768" ht="12" customHeight="1"/>
    <row r="769" ht="15" customHeight="1"/>
    <row r="770" ht="15" customHeight="1"/>
    <row r="771" ht="15" customHeight="1"/>
    <row r="772" ht="15" customHeight="1"/>
    <row r="773" ht="15" customHeight="1"/>
    <row r="774" ht="15" customHeight="1"/>
    <row r="775" ht="15" customHeight="1"/>
    <row r="776" ht="15" customHeight="1"/>
    <row r="777" ht="15" customHeight="1"/>
    <row r="778" ht="15" customHeight="1"/>
    <row r="779" ht="15" customHeight="1"/>
    <row r="780" ht="12" customHeight="1"/>
    <row r="781" ht="15" customHeight="1"/>
    <row r="782" ht="15" customHeight="1"/>
    <row r="783" ht="15" customHeight="1"/>
    <row r="784" ht="12" customHeight="1"/>
    <row r="785" ht="15" customHeight="1"/>
    <row r="786" ht="15" customHeight="1"/>
    <row r="787" ht="15" customHeight="1"/>
    <row r="788" ht="15" customHeight="1"/>
    <row r="789" ht="15" customHeight="1"/>
    <row r="790" ht="15" customHeight="1"/>
    <row r="791" ht="15" customHeight="1"/>
    <row r="792" ht="15" customHeight="1"/>
    <row r="793" ht="15" customHeight="1"/>
    <row r="794" ht="15" customHeight="1"/>
    <row r="795" ht="15" customHeight="1"/>
    <row r="796" ht="12" customHeight="1"/>
    <row r="797" ht="15" customHeight="1"/>
    <row r="798" ht="15" customHeight="1"/>
    <row r="799" ht="15" customHeight="1"/>
    <row r="800" ht="15" customHeight="1"/>
    <row r="801" ht="15" customHeight="1"/>
    <row r="802" ht="15" customHeight="1"/>
    <row r="803" ht="15" customHeight="1"/>
    <row r="804" ht="15" customHeight="1"/>
    <row r="805" ht="15" customHeight="1"/>
    <row r="806" ht="15" customHeight="1"/>
    <row r="807" ht="15" customHeight="1"/>
    <row r="808" ht="15" customHeight="1"/>
    <row r="809" ht="15" customHeight="1"/>
    <row r="810" ht="12" customHeight="1"/>
    <row r="811" ht="15" customHeight="1"/>
    <row r="812" ht="15" customHeight="1"/>
    <row r="813" ht="15" customHeight="1"/>
    <row r="814" ht="12" customHeight="1"/>
    <row r="815" ht="15" customHeight="1"/>
    <row r="816" ht="15" customHeight="1"/>
    <row r="817" ht="15" customHeight="1"/>
    <row r="818" ht="15" customHeight="1"/>
    <row r="819" ht="15" customHeight="1"/>
    <row r="820" ht="15" customHeight="1"/>
    <row r="821" ht="15" customHeight="1"/>
    <row r="822" ht="15" customHeight="1"/>
    <row r="823" ht="15" customHeight="1"/>
    <row r="824" ht="15" customHeight="1"/>
    <row r="825" ht="12" customHeight="1"/>
    <row r="826" ht="15" customHeight="1"/>
    <row r="827" ht="15" customHeight="1"/>
    <row r="828" ht="15" customHeight="1"/>
    <row r="829" ht="15" customHeight="1"/>
    <row r="830" ht="15" customHeight="1"/>
    <row r="831" ht="15" customHeight="1"/>
    <row r="832" ht="15" customHeight="1"/>
    <row r="833" ht="15" customHeight="1"/>
    <row r="834" ht="15" customHeight="1"/>
    <row r="835" ht="12" customHeight="1"/>
    <row r="836" ht="15" customHeight="1"/>
    <row r="837" ht="15" customHeight="1"/>
    <row r="838" ht="15" customHeight="1"/>
    <row r="839" ht="15" customHeight="1"/>
    <row r="840" ht="15" customHeight="1"/>
    <row r="841" ht="15" customHeight="1"/>
    <row r="842" ht="15" customHeight="1"/>
    <row r="843" ht="15" customHeight="1"/>
    <row r="844" ht="15" customHeight="1"/>
    <row r="845" ht="15" customHeight="1"/>
    <row r="846" ht="15" customHeight="1"/>
    <row r="847" ht="12" customHeight="1"/>
    <row r="848" ht="15" customHeight="1"/>
    <row r="849" ht="15" customHeight="1"/>
    <row r="850" ht="15" customHeight="1"/>
    <row r="851" ht="15" customHeight="1"/>
    <row r="852" ht="15" customHeight="1"/>
    <row r="853" ht="15" customHeight="1"/>
    <row r="854" ht="15" customHeight="1"/>
    <row r="855" ht="15" customHeight="1"/>
    <row r="856" ht="15" customHeight="1"/>
    <row r="857" ht="15" customHeight="1"/>
    <row r="858" ht="12" customHeight="1"/>
    <row r="859" ht="15" customHeight="1"/>
    <row r="860" ht="15" customHeight="1"/>
    <row r="861" ht="15" customHeight="1"/>
    <row r="862" ht="15" customHeight="1"/>
    <row r="863" ht="15" customHeight="1"/>
    <row r="864" ht="15" customHeight="1"/>
    <row r="865" ht="15" customHeight="1"/>
    <row r="866" ht="15" customHeight="1"/>
    <row r="867" ht="15" customHeight="1"/>
    <row r="868" ht="15" customHeight="1"/>
    <row r="869" ht="15" customHeight="1"/>
    <row r="870" ht="12" customHeight="1"/>
    <row r="871" ht="15" customHeight="1"/>
    <row r="872" ht="15" customHeight="1"/>
    <row r="873" ht="15" customHeight="1"/>
    <row r="874" ht="15" customHeight="1"/>
    <row r="875" ht="15" customHeight="1"/>
    <row r="876" ht="15" customHeight="1"/>
    <row r="877" ht="15" customHeight="1"/>
    <row r="878" ht="15" customHeight="1"/>
    <row r="879" ht="15" customHeight="1"/>
    <row r="880" ht="15" customHeight="1"/>
    <row r="881" spans="2:32" ht="12" customHeight="1"/>
    <row r="882" spans="2:32" ht="15" customHeight="1"/>
    <row r="883" spans="2:32" ht="15" customHeight="1"/>
    <row r="884" spans="2:32" ht="15" customHeight="1"/>
    <row r="885" spans="2:32" ht="15" customHeight="1"/>
    <row r="886" spans="2:32" ht="15" customHeight="1">
      <c r="B886" s="107"/>
      <c r="C886" s="107"/>
      <c r="D886" s="107"/>
      <c r="E886" s="107"/>
      <c r="F886" s="107"/>
      <c r="G886" s="107"/>
      <c r="H886" s="107"/>
      <c r="I886" s="107"/>
      <c r="J886" s="107"/>
      <c r="K886" s="107"/>
      <c r="L886" s="107"/>
      <c r="M886" s="107"/>
      <c r="N886" s="107"/>
      <c r="O886" s="107"/>
      <c r="P886" s="107"/>
      <c r="Q886" s="107"/>
      <c r="R886" s="107"/>
      <c r="S886" s="107"/>
      <c r="T886" s="107"/>
      <c r="U886" s="107"/>
      <c r="V886" s="107"/>
      <c r="W886" s="107"/>
      <c r="X886" s="107"/>
      <c r="Y886" s="107"/>
      <c r="Z886" s="107"/>
      <c r="AA886" s="107"/>
      <c r="AB886" s="107"/>
      <c r="AC886" s="107"/>
      <c r="AD886" s="107"/>
      <c r="AE886" s="107"/>
      <c r="AF886" s="107"/>
    </row>
    <row r="887" spans="2:32" ht="15" customHeight="1"/>
    <row r="888" spans="2:32" ht="15" customHeight="1"/>
    <row r="889" spans="2:32" ht="12" customHeight="1"/>
    <row r="890" spans="2:32" ht="12" customHeight="1"/>
    <row r="891" spans="2:32" ht="12" customHeight="1"/>
    <row r="892" spans="2:32" ht="12" customHeight="1"/>
    <row r="893" spans="2:32" ht="12" customHeight="1"/>
    <row r="894" spans="2:32" ht="12" customHeight="1"/>
    <row r="895" spans="2:32" ht="12" customHeight="1"/>
    <row r="896" spans="2:32" ht="12" customHeight="1"/>
    <row r="897" ht="12" customHeight="1"/>
    <row r="898" ht="12" customHeight="1"/>
    <row r="899" ht="12" customHeight="1"/>
    <row r="900" ht="15" customHeight="1"/>
    <row r="901" ht="15" customHeight="1"/>
    <row r="902" ht="15" customHeight="1"/>
    <row r="903" ht="15" customHeight="1"/>
    <row r="904" ht="15" customHeight="1"/>
    <row r="905" ht="15" customHeight="1"/>
    <row r="906" ht="15" customHeight="1"/>
    <row r="907" ht="15" customHeight="1"/>
    <row r="908" ht="15" customHeight="1"/>
    <row r="909" ht="15" customHeight="1"/>
    <row r="910" ht="12" customHeight="1"/>
    <row r="911" ht="15" customHeight="1"/>
    <row r="912" ht="15" customHeight="1"/>
    <row r="913" ht="15" customHeight="1"/>
    <row r="914" ht="15" customHeight="1"/>
    <row r="915" ht="15" customHeight="1"/>
    <row r="916" ht="15" customHeight="1"/>
    <row r="917" ht="15" customHeight="1"/>
    <row r="918" ht="15" customHeight="1"/>
    <row r="919" ht="15" customHeight="1"/>
    <row r="920" ht="15" customHeight="1"/>
    <row r="921" ht="15" customHeight="1"/>
    <row r="922" ht="15" customHeight="1"/>
    <row r="923" ht="15" customHeight="1"/>
    <row r="924" ht="15" customHeight="1"/>
    <row r="925" ht="15" customHeight="1"/>
    <row r="926" ht="15" customHeight="1"/>
    <row r="927" ht="12" customHeight="1"/>
    <row r="928" ht="15" customHeight="1"/>
    <row r="929" ht="12" customHeight="1"/>
    <row r="930" ht="15" customHeight="1"/>
    <row r="931" ht="15" customHeight="1"/>
    <row r="932" ht="15" customHeight="1"/>
    <row r="933" ht="15" customHeight="1"/>
    <row r="934" ht="15" customHeight="1"/>
    <row r="935" ht="12" customHeight="1"/>
    <row r="936" ht="15" customHeight="1"/>
    <row r="937" ht="15" customHeight="1"/>
    <row r="938" ht="15" customHeight="1"/>
    <row r="939" ht="15" customHeight="1"/>
    <row r="940" ht="15" customHeight="1"/>
    <row r="941" ht="15" customHeight="1"/>
    <row r="942" ht="15" customHeight="1"/>
    <row r="943" ht="15" customHeight="1"/>
    <row r="944" ht="15" customHeight="1"/>
    <row r="945" ht="15" customHeight="1"/>
    <row r="946" ht="15" customHeight="1"/>
    <row r="947" ht="15" customHeight="1"/>
    <row r="948" ht="15" customHeight="1"/>
    <row r="949" ht="15" customHeight="1"/>
    <row r="950" ht="15" customHeight="1"/>
    <row r="951" ht="15" customHeight="1"/>
    <row r="952" ht="12" customHeight="1"/>
    <row r="953" ht="15" customHeight="1"/>
    <row r="954" ht="12" customHeight="1"/>
    <row r="955" ht="15" customHeight="1"/>
    <row r="956" ht="12" customHeight="1"/>
    <row r="957" ht="15" customHeight="1"/>
    <row r="958" ht="15" customHeight="1"/>
    <row r="959" ht="15" customHeight="1"/>
    <row r="960" ht="15" customHeight="1"/>
    <row r="961" spans="2:32" ht="15" customHeight="1"/>
    <row r="962" spans="2:32" ht="15" customHeight="1"/>
    <row r="963" spans="2:32" ht="15" customHeight="1"/>
    <row r="964" spans="2:32" ht="15" customHeight="1"/>
    <row r="965" spans="2:32" ht="15" customHeight="1"/>
    <row r="966" spans="2:32" ht="15" customHeight="1"/>
    <row r="967" spans="2:32" ht="15" customHeight="1"/>
    <row r="968" spans="2:32" ht="15" customHeight="1"/>
    <row r="969" spans="2:32" ht="15" customHeight="1">
      <c r="B969" s="107"/>
      <c r="C969" s="107"/>
      <c r="D969" s="107"/>
      <c r="E969" s="107"/>
      <c r="F969" s="107"/>
      <c r="G969" s="107"/>
      <c r="H969" s="107"/>
      <c r="I969" s="107"/>
      <c r="J969" s="107"/>
      <c r="K969" s="107"/>
      <c r="L969" s="107"/>
      <c r="M969" s="107"/>
      <c r="N969" s="107"/>
      <c r="O969" s="107"/>
      <c r="P969" s="107"/>
      <c r="Q969" s="107"/>
      <c r="R969" s="107"/>
      <c r="S969" s="107"/>
      <c r="T969" s="107"/>
      <c r="U969" s="107"/>
      <c r="V969" s="107"/>
      <c r="W969" s="107"/>
      <c r="X969" s="107"/>
      <c r="Y969" s="107"/>
      <c r="Z969" s="107"/>
      <c r="AA969" s="107"/>
      <c r="AB969" s="107"/>
      <c r="AC969" s="107"/>
      <c r="AD969" s="107"/>
      <c r="AE969" s="107"/>
      <c r="AF969" s="107"/>
    </row>
    <row r="970" spans="2:32" ht="15" customHeight="1"/>
    <row r="971" spans="2:32" ht="15" customHeight="1"/>
    <row r="972" spans="2:32" ht="15" customHeight="1"/>
    <row r="973" spans="2:32" ht="15" customHeight="1"/>
    <row r="974" spans="2:32" ht="15" customHeight="1"/>
    <row r="975" spans="2:32" ht="12" customHeight="1"/>
    <row r="976" spans="2:32" ht="12" customHeight="1"/>
    <row r="977" ht="12" customHeight="1"/>
    <row r="978" ht="12" customHeight="1"/>
    <row r="979" ht="12" customHeight="1"/>
    <row r="980" ht="12" customHeight="1"/>
    <row r="981" ht="12" customHeight="1"/>
    <row r="982" ht="12" customHeight="1"/>
    <row r="983" ht="12" customHeight="1"/>
    <row r="984" ht="12" customHeight="1"/>
    <row r="985" ht="12" customHeight="1"/>
    <row r="986" ht="12" customHeight="1"/>
    <row r="987" ht="12" customHeight="1"/>
    <row r="988" ht="12" customHeight="1"/>
    <row r="989" ht="12" customHeight="1"/>
    <row r="990" ht="12" customHeight="1"/>
    <row r="991" ht="12" customHeight="1"/>
    <row r="992" ht="12" customHeight="1"/>
    <row r="993" ht="12" customHeight="1"/>
    <row r="994" ht="12" customHeight="1"/>
    <row r="995" ht="12" customHeight="1"/>
    <row r="996" ht="12" customHeight="1"/>
    <row r="997" ht="12" customHeight="1"/>
    <row r="998" ht="12" customHeight="1"/>
    <row r="999" ht="12" customHeight="1"/>
    <row r="1000" ht="15" customHeight="1"/>
    <row r="1001" ht="15" customHeight="1"/>
    <row r="1002" ht="15" customHeight="1"/>
    <row r="1003" ht="15" customHeight="1"/>
    <row r="1004" ht="15" customHeight="1"/>
    <row r="1005" ht="15" customHeight="1"/>
    <row r="1006" ht="15" customHeight="1"/>
    <row r="1007" ht="15" customHeight="1"/>
    <row r="1008" ht="15" customHeight="1"/>
    <row r="1009" ht="15" customHeight="1"/>
    <row r="1010" ht="12" customHeight="1"/>
    <row r="1011" ht="15" customHeight="1"/>
    <row r="1012" ht="15" customHeight="1"/>
    <row r="1013" ht="15" customHeight="1"/>
    <row r="1014" ht="15" customHeight="1"/>
    <row r="1015" ht="15" customHeight="1"/>
    <row r="1016" ht="15" customHeight="1"/>
    <row r="1017" ht="15" customHeight="1"/>
    <row r="1018" ht="15" customHeight="1"/>
    <row r="1019" ht="15" customHeight="1"/>
    <row r="1020" ht="15" customHeight="1"/>
    <row r="1021" ht="15" customHeight="1"/>
    <row r="1022" ht="15" customHeight="1"/>
    <row r="1023" ht="15" customHeight="1"/>
    <row r="1024" ht="15" customHeight="1"/>
    <row r="1025" ht="15" customHeight="1"/>
    <row r="1026" ht="15" customHeight="1"/>
    <row r="1027" ht="12" customHeight="1"/>
    <row r="1028" ht="15" customHeight="1"/>
    <row r="1029" ht="15" customHeight="1"/>
    <row r="1030" ht="12" customHeight="1"/>
    <row r="1031" ht="15" customHeight="1"/>
    <row r="1032" ht="15" customHeight="1"/>
    <row r="1033" ht="15" customHeight="1"/>
    <row r="1034" ht="15" customHeight="1"/>
    <row r="1035" ht="15" customHeight="1"/>
    <row r="1036" ht="12" customHeight="1"/>
    <row r="1037" ht="15" customHeight="1"/>
    <row r="1038" ht="15" customHeight="1"/>
    <row r="1039" ht="15" customHeight="1"/>
    <row r="1040" ht="15" customHeight="1"/>
    <row r="1041" ht="15" customHeight="1"/>
    <row r="1042" ht="15" customHeight="1"/>
    <row r="1043" ht="15" customHeight="1"/>
    <row r="1044" ht="15" customHeight="1"/>
    <row r="1045" ht="15" customHeight="1"/>
    <row r="1046" ht="15" customHeight="1"/>
    <row r="1047" ht="15" customHeight="1"/>
    <row r="1048" ht="15" customHeight="1"/>
    <row r="1049" ht="15" customHeight="1"/>
    <row r="1050" ht="15" customHeight="1"/>
    <row r="1051" ht="15" customHeight="1"/>
    <row r="1052" ht="15" customHeight="1"/>
    <row r="1053" ht="12" customHeight="1"/>
    <row r="1054" ht="15" customHeight="1"/>
    <row r="1055" ht="15" customHeight="1"/>
    <row r="1056" ht="12" customHeight="1"/>
    <row r="1057" spans="2:32" ht="15" customHeight="1"/>
    <row r="1058" spans="2:32" ht="12" customHeight="1"/>
    <row r="1059" spans="2:32" ht="15" customHeight="1"/>
    <row r="1060" spans="2:32" ht="15" customHeight="1"/>
    <row r="1061" spans="2:32" ht="15" customHeight="1"/>
    <row r="1062" spans="2:32" ht="15" customHeight="1"/>
    <row r="1063" spans="2:32" ht="15" customHeight="1"/>
    <row r="1064" spans="2:32" ht="15" customHeight="1"/>
    <row r="1065" spans="2:32" ht="15" customHeight="1"/>
    <row r="1066" spans="2:32" ht="15" customHeight="1"/>
    <row r="1067" spans="2:32" ht="15" customHeight="1"/>
    <row r="1068" spans="2:32" ht="15" customHeight="1"/>
    <row r="1069" spans="2:32" ht="15" customHeight="1"/>
    <row r="1070" spans="2:32" ht="15" customHeight="1"/>
    <row r="1071" spans="2:32" ht="15" customHeight="1">
      <c r="B1071" s="107"/>
      <c r="C1071" s="107"/>
      <c r="D1071" s="107"/>
      <c r="E1071" s="107"/>
      <c r="F1071" s="107"/>
      <c r="G1071" s="107"/>
      <c r="H1071" s="107"/>
      <c r="I1071" s="107"/>
      <c r="J1071" s="107"/>
      <c r="K1071" s="107"/>
      <c r="L1071" s="107"/>
      <c r="M1071" s="107"/>
      <c r="N1071" s="107"/>
      <c r="O1071" s="107"/>
      <c r="P1071" s="107"/>
      <c r="Q1071" s="107"/>
      <c r="R1071" s="107"/>
      <c r="S1071" s="107"/>
      <c r="T1071" s="107"/>
      <c r="U1071" s="107"/>
      <c r="V1071" s="107"/>
      <c r="W1071" s="107"/>
      <c r="X1071" s="107"/>
      <c r="Y1071" s="107"/>
      <c r="Z1071" s="107"/>
      <c r="AA1071" s="107"/>
      <c r="AB1071" s="107"/>
      <c r="AC1071" s="107"/>
      <c r="AD1071" s="107"/>
      <c r="AE1071" s="107"/>
      <c r="AF1071" s="107"/>
    </row>
    <row r="1072" spans="2:32" ht="15" customHeight="1"/>
    <row r="1073" ht="15" customHeight="1"/>
    <row r="1074" ht="15" customHeight="1"/>
    <row r="1075" ht="15" customHeight="1"/>
    <row r="1076" ht="15" customHeight="1"/>
    <row r="1077" ht="12" customHeight="1"/>
    <row r="1078" ht="12" customHeight="1"/>
    <row r="1079" ht="12" customHeight="1"/>
    <row r="1080" ht="12" customHeight="1"/>
    <row r="1081" ht="12" customHeight="1"/>
    <row r="1082" ht="12" customHeight="1"/>
    <row r="1083" ht="12" customHeight="1"/>
    <row r="1084" ht="12" customHeight="1"/>
    <row r="1085" ht="12" customHeight="1"/>
    <row r="1086" ht="12" customHeight="1"/>
    <row r="1087" ht="12" customHeight="1"/>
    <row r="1088" ht="12" customHeight="1"/>
    <row r="1089" ht="12" customHeight="1"/>
    <row r="1090" ht="12" customHeight="1"/>
    <row r="1091" ht="12" customHeight="1"/>
    <row r="1092" ht="12" customHeight="1"/>
    <row r="1093" ht="12" customHeight="1"/>
    <row r="1094" ht="12" customHeight="1"/>
    <row r="1095" ht="12" customHeight="1"/>
    <row r="1096" ht="12" customHeight="1"/>
    <row r="1097" ht="12" customHeight="1"/>
    <row r="1098" ht="12" customHeight="1"/>
    <row r="1099" ht="12" customHeight="1"/>
    <row r="1100" ht="15" customHeight="1"/>
    <row r="1101" ht="15" customHeight="1"/>
    <row r="1102" ht="15" customHeight="1"/>
    <row r="1103" ht="15" customHeight="1"/>
    <row r="1104" ht="15" customHeight="1"/>
    <row r="1105" ht="15" customHeight="1"/>
    <row r="1106" ht="15" customHeight="1"/>
    <row r="1107" ht="15" customHeight="1"/>
    <row r="1108" ht="15" customHeight="1"/>
    <row r="1109" ht="15" customHeight="1"/>
    <row r="1110" ht="12" customHeight="1"/>
    <row r="1111" ht="15" customHeight="1"/>
    <row r="1112" ht="15" customHeight="1"/>
    <row r="1113" ht="15" customHeight="1"/>
    <row r="1114" ht="15" customHeight="1"/>
    <row r="1115" ht="15" customHeight="1"/>
    <row r="1116" ht="15" customHeight="1"/>
    <row r="1117" ht="15" customHeight="1"/>
    <row r="1118" ht="15" customHeight="1"/>
    <row r="1119" ht="15" customHeight="1"/>
    <row r="1120" ht="15" customHeight="1"/>
    <row r="1121" ht="15" customHeight="1"/>
    <row r="1122" ht="15" customHeight="1"/>
    <row r="1123" ht="15" customHeight="1"/>
    <row r="1124" ht="15" customHeight="1"/>
    <row r="1125" ht="15" customHeight="1"/>
    <row r="1126" ht="15" customHeight="1"/>
    <row r="1127" ht="12" customHeight="1"/>
    <row r="1128" ht="15" customHeight="1"/>
    <row r="1129" ht="12" customHeight="1"/>
    <row r="1130" ht="15" customHeight="1"/>
    <row r="1131" ht="15" customHeight="1"/>
    <row r="1132" ht="15" customHeight="1"/>
    <row r="1133" ht="15" customHeight="1"/>
    <row r="1134" ht="15" customHeight="1"/>
    <row r="1135" ht="12" customHeight="1"/>
    <row r="1136" ht="15" customHeight="1"/>
    <row r="1137" ht="15" customHeight="1"/>
    <row r="1138" ht="15" customHeight="1"/>
    <row r="1139" ht="15" customHeight="1"/>
    <row r="1140" ht="15" customHeight="1"/>
    <row r="1141" ht="15" customHeight="1"/>
    <row r="1142" ht="15" customHeight="1"/>
    <row r="1143" ht="15" customHeight="1"/>
    <row r="1144" ht="15" customHeight="1"/>
    <row r="1145" ht="15" customHeight="1"/>
    <row r="1146" ht="15" customHeight="1"/>
    <row r="1147" ht="15" customHeight="1"/>
    <row r="1148" ht="15" customHeight="1"/>
    <row r="1149" ht="15" customHeight="1"/>
    <row r="1150" ht="15" customHeight="1"/>
    <row r="1151" ht="15" customHeight="1"/>
    <row r="1152" ht="12" customHeight="1"/>
    <row r="1153" ht="15" customHeight="1"/>
    <row r="1154" ht="12" customHeight="1"/>
    <row r="1155" ht="15" customHeight="1"/>
    <row r="1156" ht="12" customHeight="1"/>
    <row r="1157" ht="15" customHeight="1"/>
    <row r="1158" ht="15" customHeight="1"/>
    <row r="1159" ht="15" customHeight="1"/>
    <row r="1160" ht="15" customHeight="1"/>
    <row r="1161" ht="15" customHeight="1"/>
    <row r="1162" ht="15" customHeight="1"/>
    <row r="1163" ht="15" customHeight="1"/>
    <row r="1164" ht="15" customHeight="1"/>
    <row r="1165" ht="15" customHeight="1"/>
    <row r="1166" ht="15" customHeight="1"/>
    <row r="1167" ht="15" customHeight="1"/>
    <row r="1168" ht="15" customHeight="1"/>
    <row r="1169" spans="2:32" ht="15" customHeight="1">
      <c r="B1169" s="107"/>
      <c r="C1169" s="107"/>
      <c r="D1169" s="107"/>
      <c r="E1169" s="107"/>
      <c r="F1169" s="107"/>
      <c r="G1169" s="107"/>
      <c r="H1169" s="107"/>
      <c r="I1169" s="107"/>
      <c r="J1169" s="107"/>
      <c r="K1169" s="107"/>
      <c r="L1169" s="107"/>
      <c r="M1169" s="107"/>
      <c r="N1169" s="107"/>
      <c r="O1169" s="107"/>
      <c r="P1169" s="107"/>
      <c r="Q1169" s="107"/>
      <c r="R1169" s="107"/>
      <c r="S1169" s="107"/>
      <c r="T1169" s="107"/>
      <c r="U1169" s="107"/>
      <c r="V1169" s="107"/>
      <c r="W1169" s="107"/>
      <c r="X1169" s="107"/>
      <c r="Y1169" s="107"/>
      <c r="Z1169" s="107"/>
      <c r="AA1169" s="107"/>
      <c r="AB1169" s="107"/>
      <c r="AC1169" s="107"/>
      <c r="AD1169" s="107"/>
      <c r="AE1169" s="107"/>
      <c r="AF1169" s="107"/>
    </row>
    <row r="1170" spans="2:32" ht="15" customHeight="1"/>
    <row r="1171" spans="2:32" ht="15" customHeight="1"/>
    <row r="1172" spans="2:32" ht="15" customHeight="1"/>
    <row r="1173" spans="2:32" ht="15" customHeight="1"/>
    <row r="1174" spans="2:32" ht="15" customHeight="1"/>
    <row r="1175" spans="2:32" ht="12" customHeight="1"/>
    <row r="1176" spans="2:32" ht="12" customHeight="1"/>
    <row r="1177" spans="2:32" ht="12" customHeight="1"/>
    <row r="1178" spans="2:32" ht="12" customHeight="1"/>
    <row r="1179" spans="2:32" ht="12" customHeight="1"/>
    <row r="1180" spans="2:32" ht="12" customHeight="1"/>
    <row r="1181" spans="2:32" ht="12" customHeight="1"/>
    <row r="1182" spans="2:32" ht="12" customHeight="1"/>
    <row r="1183" spans="2:32" ht="12" customHeight="1"/>
    <row r="1184" spans="2:32" ht="12" customHeight="1"/>
    <row r="1185" ht="12" customHeight="1"/>
    <row r="1186" ht="12" customHeight="1"/>
    <row r="1187" ht="12" customHeight="1"/>
    <row r="1188" ht="12" customHeight="1"/>
    <row r="1189" ht="12" customHeight="1"/>
    <row r="1190" ht="12" customHeight="1"/>
    <row r="1191" ht="12" customHeight="1"/>
    <row r="1192" ht="12" customHeight="1"/>
    <row r="1193" ht="12" customHeight="1"/>
    <row r="1194" ht="12" customHeight="1"/>
    <row r="1195" ht="12" customHeight="1"/>
    <row r="1196" ht="12" customHeight="1"/>
    <row r="1197" ht="12" customHeight="1"/>
    <row r="1198" ht="12" customHeight="1"/>
    <row r="1199" ht="12" customHeight="1"/>
    <row r="1200" ht="15" customHeight="1"/>
    <row r="1201" ht="15" customHeight="1"/>
    <row r="1202" ht="15" customHeight="1"/>
    <row r="1203" ht="15" customHeight="1"/>
    <row r="1204" ht="15" customHeight="1"/>
    <row r="1205" ht="15" customHeight="1"/>
    <row r="1206" ht="15" customHeight="1"/>
    <row r="1207" ht="15" customHeight="1"/>
    <row r="1208" ht="15" customHeight="1"/>
    <row r="1209" ht="15" customHeight="1"/>
    <row r="1210" ht="12" customHeight="1"/>
    <row r="1211" ht="15" customHeight="1"/>
    <row r="1212" ht="15" customHeight="1"/>
    <row r="1213" ht="15" customHeight="1"/>
    <row r="1214" ht="15" customHeight="1"/>
    <row r="1215" ht="15" customHeight="1"/>
    <row r="1216" ht="15" customHeight="1"/>
    <row r="1217" ht="15" customHeight="1"/>
    <row r="1218" ht="15" customHeight="1"/>
    <row r="1219" ht="15" customHeight="1"/>
    <row r="1220" ht="15" customHeight="1"/>
    <row r="1221" ht="15" customHeight="1"/>
    <row r="1222" ht="15" customHeight="1"/>
    <row r="1223" ht="15" customHeight="1"/>
    <row r="1224" ht="15" customHeight="1"/>
    <row r="1225" ht="15" customHeight="1"/>
    <row r="1226" ht="15" customHeight="1"/>
    <row r="1227" ht="12" customHeight="1"/>
    <row r="1228" ht="15" customHeight="1"/>
    <row r="1229" ht="12" customHeight="1"/>
    <row r="1230" ht="15" customHeight="1"/>
    <row r="1231" ht="15" customHeight="1"/>
    <row r="1232" ht="15" customHeight="1"/>
    <row r="1233" ht="15" customHeight="1"/>
    <row r="1234" ht="15" customHeight="1"/>
    <row r="1235" ht="12" customHeight="1"/>
    <row r="1236" ht="15" customHeight="1"/>
    <row r="1237" ht="15" customHeight="1"/>
    <row r="1238" ht="15" customHeight="1"/>
    <row r="1239" ht="15" customHeight="1"/>
    <row r="1240" ht="15" customHeight="1"/>
    <row r="1241" ht="15" customHeight="1"/>
    <row r="1242" ht="15" customHeight="1"/>
    <row r="1243" ht="15" customHeight="1"/>
    <row r="1244" ht="15" customHeight="1"/>
    <row r="1245" ht="15" customHeight="1"/>
    <row r="1246" ht="15" customHeight="1"/>
    <row r="1247" ht="15" customHeight="1"/>
    <row r="1248" ht="15" customHeight="1"/>
    <row r="1249" ht="15" customHeight="1"/>
    <row r="1250" ht="15" customHeight="1"/>
    <row r="1251" ht="15" customHeight="1"/>
    <row r="1252" ht="12" customHeight="1"/>
    <row r="1253" ht="15" customHeight="1"/>
    <row r="1254" ht="12" customHeight="1"/>
    <row r="1255" ht="15" customHeight="1"/>
    <row r="1256" ht="12" customHeight="1"/>
    <row r="1257" ht="15" customHeight="1"/>
    <row r="1258" ht="15" customHeight="1"/>
    <row r="1259" ht="15" customHeight="1"/>
    <row r="1260" ht="15" customHeight="1"/>
    <row r="1261" ht="15" customHeight="1"/>
    <row r="1262" ht="15" customHeight="1"/>
    <row r="1263" ht="15" customHeight="1"/>
    <row r="1264" ht="15" customHeight="1"/>
    <row r="1265" spans="2:32" ht="15" customHeight="1"/>
    <row r="1266" spans="2:32" ht="15" customHeight="1"/>
    <row r="1267" spans="2:32" ht="15" customHeight="1"/>
    <row r="1268" spans="2:32" ht="15" customHeight="1"/>
    <row r="1269" spans="2:32" ht="15" customHeight="1">
      <c r="B1269" s="107"/>
      <c r="C1269" s="107"/>
      <c r="D1269" s="107"/>
      <c r="E1269" s="107"/>
      <c r="F1269" s="107"/>
      <c r="G1269" s="107"/>
      <c r="H1269" s="107"/>
      <c r="I1269" s="107"/>
      <c r="J1269" s="107"/>
      <c r="K1269" s="107"/>
      <c r="L1269" s="107"/>
      <c r="M1269" s="107"/>
      <c r="N1269" s="107"/>
      <c r="O1269" s="107"/>
      <c r="P1269" s="107"/>
      <c r="Q1269" s="107"/>
      <c r="R1269" s="107"/>
      <c r="S1269" s="107"/>
      <c r="T1269" s="107"/>
      <c r="U1269" s="107"/>
      <c r="V1269" s="107"/>
      <c r="W1269" s="107"/>
      <c r="X1269" s="107"/>
      <c r="Y1269" s="107"/>
      <c r="Z1269" s="107"/>
      <c r="AA1269" s="107"/>
      <c r="AB1269" s="107"/>
      <c r="AC1269" s="107"/>
      <c r="AD1269" s="107"/>
      <c r="AE1269" s="107"/>
      <c r="AF1269" s="107"/>
    </row>
    <row r="1270" spans="2:32" ht="15" customHeight="1"/>
    <row r="1271" spans="2:32" ht="15" customHeight="1"/>
    <row r="1272" spans="2:32" ht="15" customHeight="1"/>
    <row r="1273" spans="2:32" ht="15" customHeight="1"/>
    <row r="1274" spans="2:32" ht="15" customHeight="1"/>
    <row r="1275" spans="2:32" ht="12" customHeight="1"/>
    <row r="1276" spans="2:32" ht="12" customHeight="1"/>
    <row r="1277" spans="2:32" ht="12" customHeight="1"/>
    <row r="1278" spans="2:32" ht="12" customHeight="1"/>
    <row r="1279" spans="2:32" ht="12" customHeight="1"/>
    <row r="1280" spans="2:32" ht="12" customHeight="1"/>
    <row r="1281" ht="12" customHeight="1"/>
    <row r="1282" ht="12" customHeight="1"/>
    <row r="1283" ht="12" customHeight="1"/>
    <row r="1284" ht="12" customHeight="1"/>
    <row r="1285" ht="12" customHeight="1"/>
    <row r="1286" ht="12" customHeight="1"/>
    <row r="1287" ht="12" customHeight="1"/>
    <row r="1288" ht="12" customHeight="1"/>
    <row r="1289" ht="12" customHeight="1"/>
    <row r="1290" ht="12" customHeight="1"/>
    <row r="1291" ht="12" customHeight="1"/>
    <row r="1292" ht="12" customHeight="1"/>
    <row r="1293" ht="12" customHeight="1"/>
    <row r="1294" ht="12" customHeight="1"/>
    <row r="1295" ht="12" customHeight="1"/>
    <row r="1296" ht="12" customHeight="1"/>
    <row r="1297" ht="12" customHeight="1"/>
    <row r="1298" ht="12" customHeight="1"/>
    <row r="1299" ht="12" customHeight="1"/>
    <row r="1300" ht="15" customHeight="1"/>
    <row r="1301" ht="15" customHeight="1"/>
    <row r="1302" ht="15" customHeight="1"/>
    <row r="1303" ht="15" customHeight="1"/>
    <row r="1304" ht="15" customHeight="1"/>
    <row r="1305" ht="15" customHeight="1"/>
    <row r="1306" ht="12" customHeight="1"/>
    <row r="1307" ht="15" customHeight="1"/>
    <row r="1308" ht="15" customHeight="1"/>
    <row r="1309" ht="15" customHeight="1"/>
    <row r="1310" ht="15" customHeight="1"/>
    <row r="1311" ht="12" customHeight="1"/>
    <row r="1312" ht="15" customHeight="1"/>
    <row r="1313" ht="15" customHeight="1"/>
    <row r="1314" ht="15" customHeight="1"/>
    <row r="1315" ht="12" customHeight="1"/>
    <row r="1316" ht="15" customHeight="1"/>
    <row r="1317" ht="15" customHeight="1"/>
    <row r="1318" ht="15" customHeight="1"/>
    <row r="1319" ht="15" customHeight="1"/>
    <row r="1320" ht="15" customHeight="1"/>
    <row r="1321" ht="15" customHeight="1"/>
    <row r="1322" ht="15" customHeight="1"/>
    <row r="1323" ht="15" customHeight="1"/>
    <row r="1324" ht="15" customHeight="1"/>
    <row r="1325" ht="15" customHeight="1"/>
    <row r="1326" ht="15" customHeight="1"/>
    <row r="1327" ht="15" customHeight="1"/>
    <row r="1328" ht="15" customHeight="1"/>
    <row r="1329" ht="15" customHeight="1"/>
    <row r="1330" ht="15" customHeight="1"/>
    <row r="1331" ht="12" customHeight="1"/>
    <row r="1332" ht="15" customHeight="1"/>
    <row r="1333" ht="15" customHeight="1"/>
    <row r="1334" ht="15" customHeight="1"/>
    <row r="1335" ht="15" customHeight="1"/>
    <row r="1336" ht="15" customHeight="1"/>
    <row r="1337" ht="15" customHeight="1"/>
    <row r="1338" ht="15" customHeight="1"/>
    <row r="1339" ht="15" customHeight="1"/>
    <row r="1340" ht="15" customHeight="1"/>
    <row r="1341" ht="15" customHeight="1"/>
    <row r="1342" ht="15" customHeight="1"/>
    <row r="1343" ht="15" customHeight="1"/>
    <row r="1344" ht="15" customHeight="1"/>
    <row r="1345" ht="15" customHeight="1"/>
    <row r="1346" ht="15" customHeight="1"/>
    <row r="1347" ht="15" customHeight="1"/>
    <row r="1348" ht="15" customHeight="1"/>
    <row r="1349" ht="15" customHeight="1"/>
    <row r="1350" ht="15" customHeight="1"/>
    <row r="1351" ht="15" customHeight="1"/>
    <row r="1352" ht="15" customHeight="1"/>
    <row r="1353" ht="15" customHeight="1"/>
    <row r="1354" ht="15" customHeight="1"/>
    <row r="1355" ht="15" customHeight="1"/>
    <row r="1356" ht="15" customHeight="1"/>
    <row r="1357" ht="15" customHeight="1"/>
    <row r="1358" ht="15" customHeight="1"/>
    <row r="1359" ht="15" customHeight="1"/>
    <row r="1360" ht="15" customHeight="1"/>
    <row r="1361" ht="15" customHeight="1"/>
    <row r="1362" ht="12" customHeight="1"/>
    <row r="1363" ht="15" customHeight="1"/>
    <row r="1364" ht="15" customHeight="1"/>
    <row r="1365" ht="15" customHeight="1"/>
    <row r="1366" ht="15" customHeight="1"/>
    <row r="1367" ht="15" customHeight="1"/>
    <row r="1368" ht="15" customHeight="1"/>
    <row r="1369" ht="15" customHeight="1"/>
    <row r="1370" ht="15" customHeight="1"/>
    <row r="1371" ht="15" customHeight="1"/>
    <row r="1372" ht="15" customHeight="1"/>
    <row r="1373" ht="15" customHeight="1"/>
    <row r="1374" ht="15" customHeight="1"/>
    <row r="1375" ht="15" customHeight="1"/>
    <row r="1376" ht="15" customHeight="1"/>
    <row r="1377" ht="15" customHeight="1"/>
    <row r="1378" ht="12" customHeight="1"/>
    <row r="1379" ht="15" customHeight="1"/>
    <row r="1380" ht="15" customHeight="1"/>
    <row r="1381" ht="15" customHeight="1"/>
    <row r="1382" ht="15" customHeight="1"/>
    <row r="1383" ht="15" customHeight="1"/>
    <row r="1384" ht="15" customHeight="1"/>
    <row r="1385" ht="15" customHeight="1"/>
    <row r="1386" ht="15" customHeight="1"/>
    <row r="1387" ht="15" customHeight="1"/>
    <row r="1388" ht="15" customHeight="1"/>
    <row r="1389" ht="15" customHeight="1"/>
    <row r="1390" ht="15" customHeight="1"/>
    <row r="1391" ht="15" customHeight="1"/>
    <row r="1392" ht="15" customHeight="1"/>
    <row r="1393" ht="15" customHeight="1"/>
    <row r="1394" ht="15" customHeight="1"/>
    <row r="1395" ht="15" customHeight="1"/>
    <row r="1396" ht="15" customHeight="1"/>
    <row r="1397" ht="12" customHeight="1"/>
    <row r="1398" ht="15" customHeight="1"/>
    <row r="1399" ht="15" customHeight="1"/>
    <row r="1400" ht="15" customHeight="1"/>
    <row r="1401" ht="15" customHeight="1"/>
    <row r="1402" ht="15" customHeight="1"/>
    <row r="1403" ht="15" customHeight="1"/>
    <row r="1404" ht="15" customHeight="1"/>
    <row r="1405" ht="15" customHeight="1"/>
    <row r="1406" ht="15" customHeight="1"/>
    <row r="1407" ht="15" customHeight="1"/>
    <row r="1408" ht="15" customHeight="1"/>
    <row r="1409" ht="15" customHeight="1"/>
    <row r="1410" ht="15" customHeight="1"/>
    <row r="1411" ht="15" customHeight="1"/>
    <row r="1412" ht="15" customHeight="1"/>
    <row r="1413" ht="15" customHeight="1"/>
    <row r="1414" ht="15" customHeight="1"/>
    <row r="1415" ht="15" customHeight="1"/>
    <row r="1416" ht="15" customHeight="1"/>
    <row r="1417" ht="15" customHeight="1"/>
    <row r="1418" ht="15" customHeight="1"/>
    <row r="1419" ht="15" customHeight="1"/>
    <row r="1420" ht="15" customHeight="1"/>
    <row r="1421" ht="15" customHeight="1"/>
    <row r="1422" ht="15" customHeight="1"/>
    <row r="1423" ht="15" customHeight="1"/>
    <row r="1424" ht="15" customHeight="1"/>
    <row r="1425" ht="15" customHeight="1"/>
    <row r="1426" ht="15" customHeight="1"/>
    <row r="1427" ht="15" customHeight="1"/>
    <row r="1428" ht="15" customHeight="1"/>
    <row r="1429" ht="15" customHeight="1"/>
    <row r="1430" ht="15" customHeight="1"/>
    <row r="1431" ht="15" customHeight="1"/>
    <row r="1432" ht="15" customHeight="1"/>
    <row r="1433" ht="15" customHeight="1"/>
    <row r="1434" ht="15" customHeight="1"/>
    <row r="1435" ht="15" customHeight="1"/>
    <row r="1436" ht="15" customHeight="1"/>
    <row r="1437" ht="15" customHeight="1"/>
    <row r="1438" ht="15" customHeight="1"/>
    <row r="1439" ht="15" customHeight="1"/>
    <row r="1440" ht="15" customHeight="1"/>
    <row r="1441" ht="15" customHeight="1"/>
    <row r="1442" ht="15" customHeight="1"/>
    <row r="1443" ht="15" customHeight="1"/>
    <row r="1444" ht="15" customHeight="1"/>
    <row r="1445" ht="15" customHeight="1"/>
    <row r="1446" ht="15" customHeight="1"/>
    <row r="1447" ht="15" customHeight="1"/>
    <row r="1448" ht="15" customHeight="1"/>
    <row r="1449" ht="15" customHeight="1"/>
    <row r="1450" ht="15" customHeight="1"/>
    <row r="1451" ht="15" customHeight="1"/>
    <row r="1452" ht="12" customHeight="1"/>
    <row r="1453" ht="15" customHeight="1"/>
    <row r="1454" ht="15" customHeight="1"/>
    <row r="1455" ht="15" customHeight="1"/>
    <row r="1456" ht="15" customHeight="1"/>
    <row r="1457" ht="15" customHeight="1"/>
    <row r="1458" ht="15" customHeight="1"/>
    <row r="1459" ht="15" customHeight="1"/>
    <row r="1460" ht="15" customHeight="1"/>
    <row r="1461" ht="15" customHeight="1"/>
    <row r="1462" ht="15" customHeight="1"/>
    <row r="1463" ht="15" customHeight="1"/>
    <row r="1464" ht="12" customHeight="1"/>
    <row r="1465" ht="15" customHeight="1"/>
    <row r="1466" ht="15" customHeight="1"/>
    <row r="1467" ht="15" customHeight="1"/>
    <row r="1468" ht="15" customHeight="1"/>
    <row r="1469" ht="15" customHeight="1"/>
    <row r="1470" ht="15" customHeight="1"/>
    <row r="1471" ht="15" customHeight="1"/>
    <row r="1472" ht="15" customHeight="1"/>
    <row r="1473" spans="2:32" ht="15" customHeight="1"/>
    <row r="1474" spans="2:32" ht="15" customHeight="1"/>
    <row r="1475" spans="2:32" ht="15" customHeight="1"/>
    <row r="1476" spans="2:32" ht="15" customHeight="1"/>
    <row r="1477" spans="2:32" ht="15" customHeight="1"/>
    <row r="1478" spans="2:32" ht="15" customHeight="1"/>
    <row r="1479" spans="2:32" ht="15" customHeight="1"/>
    <row r="1480" spans="2:32" ht="15" customHeight="1"/>
    <row r="1481" spans="2:32" ht="15" customHeight="1"/>
    <row r="1482" spans="2:32" ht="15" customHeight="1"/>
    <row r="1483" spans="2:32" ht="15" customHeight="1"/>
    <row r="1484" spans="2:32" ht="15" customHeight="1">
      <c r="B1484" s="107"/>
      <c r="C1484" s="107"/>
      <c r="D1484" s="107"/>
      <c r="E1484" s="107"/>
      <c r="F1484" s="107"/>
      <c r="G1484" s="107"/>
      <c r="H1484" s="107"/>
      <c r="I1484" s="107"/>
      <c r="J1484" s="107"/>
      <c r="K1484" s="107"/>
      <c r="L1484" s="107"/>
      <c r="M1484" s="107"/>
      <c r="N1484" s="107"/>
      <c r="O1484" s="107"/>
      <c r="P1484" s="107"/>
      <c r="Q1484" s="107"/>
      <c r="R1484" s="107"/>
      <c r="S1484" s="107"/>
      <c r="T1484" s="107"/>
      <c r="U1484" s="107"/>
      <c r="V1484" s="107"/>
      <c r="W1484" s="107"/>
      <c r="X1484" s="107"/>
      <c r="Y1484" s="107"/>
      <c r="Z1484" s="107"/>
      <c r="AA1484" s="107"/>
      <c r="AB1484" s="107"/>
      <c r="AC1484" s="107"/>
      <c r="AD1484" s="107"/>
      <c r="AE1484" s="107"/>
      <c r="AF1484" s="107"/>
    </row>
    <row r="1485" spans="2:32" ht="15" customHeight="1"/>
    <row r="1486" spans="2:32" ht="15" customHeight="1"/>
    <row r="1487" spans="2:32" ht="15" customHeight="1"/>
    <row r="1488" spans="2:32" ht="15" customHeight="1"/>
    <row r="1489" ht="15" customHeight="1"/>
    <row r="1490" ht="15" customHeight="1"/>
    <row r="1491" ht="15" customHeight="1"/>
    <row r="1492" ht="15" customHeight="1"/>
    <row r="1493" ht="15" customHeight="1"/>
    <row r="1494" ht="12" customHeight="1"/>
    <row r="1495" ht="12" customHeight="1"/>
    <row r="1496" ht="12" customHeight="1"/>
    <row r="1497" ht="12" customHeight="1"/>
    <row r="1498" ht="12" customHeight="1"/>
    <row r="1499" ht="12" customHeight="1"/>
    <row r="1500" ht="12" customHeight="1"/>
    <row r="1501" ht="12" customHeight="1"/>
    <row r="1502" ht="12" customHeight="1"/>
    <row r="1503" ht="12" customHeight="1"/>
    <row r="1504" ht="12" customHeight="1"/>
    <row r="1505" ht="12" customHeight="1"/>
    <row r="1506" ht="12" customHeight="1"/>
    <row r="1507" ht="12" customHeight="1"/>
    <row r="1508" ht="12" customHeight="1"/>
    <row r="1509" ht="12" customHeight="1"/>
    <row r="1510" ht="12" customHeight="1"/>
    <row r="1511" ht="12" customHeight="1"/>
    <row r="1512" ht="12" customHeight="1"/>
    <row r="1513" ht="12" customHeight="1"/>
    <row r="1514" ht="12" customHeight="1"/>
    <row r="1515" ht="12" customHeight="1"/>
    <row r="1516" ht="12" customHeight="1"/>
    <row r="1517" ht="12" customHeight="1"/>
    <row r="1518" ht="12" customHeight="1"/>
    <row r="1519" ht="12" customHeight="1"/>
    <row r="1520" ht="12" customHeight="1"/>
    <row r="1521" ht="12" customHeight="1"/>
    <row r="1522" ht="12" customHeight="1"/>
    <row r="1523" ht="12" customHeight="1"/>
    <row r="1524" ht="12" customHeight="1"/>
    <row r="1525" ht="15" customHeight="1"/>
    <row r="1526" ht="15" customHeight="1"/>
    <row r="1527" ht="15" customHeight="1"/>
    <row r="1528" ht="15" customHeight="1"/>
    <row r="1529" ht="15" customHeight="1"/>
    <row r="1530" ht="15" customHeight="1"/>
    <row r="1531" ht="15" customHeight="1"/>
    <row r="1532" ht="15" customHeight="1"/>
    <row r="1533" ht="15" customHeight="1"/>
    <row r="1534" ht="15" customHeight="1"/>
    <row r="1535" ht="15" customHeight="1"/>
    <row r="1536" ht="15" customHeight="1"/>
    <row r="1537" ht="15" customHeight="1"/>
    <row r="1538" ht="15" customHeight="1"/>
    <row r="1539" ht="15" customHeight="1"/>
    <row r="1540" ht="15" customHeight="1"/>
    <row r="1541" ht="15" customHeight="1"/>
    <row r="1542" ht="15" customHeight="1"/>
    <row r="1543" ht="15" customHeight="1"/>
    <row r="1544" ht="15" customHeight="1"/>
    <row r="1545" ht="15" customHeight="1"/>
    <row r="1546" ht="15" customHeight="1"/>
    <row r="1547" ht="15" customHeight="1"/>
    <row r="1548" ht="15" customHeight="1"/>
    <row r="1549" ht="15" customHeight="1"/>
    <row r="1550" ht="15" customHeight="1"/>
    <row r="1551" ht="15" customHeight="1"/>
    <row r="1552" ht="15" customHeight="1"/>
    <row r="1553" ht="15" customHeight="1"/>
    <row r="1554" ht="15" customHeight="1"/>
    <row r="1555" ht="15" customHeight="1"/>
    <row r="1556" ht="15" customHeight="1"/>
    <row r="1557" ht="15" customHeight="1"/>
    <row r="1558" ht="15" customHeight="1"/>
    <row r="1559" ht="15" customHeight="1"/>
    <row r="1560" ht="15" customHeight="1"/>
    <row r="1561" ht="15" customHeight="1"/>
    <row r="1562" ht="15" customHeight="1"/>
    <row r="1563" ht="15" customHeight="1"/>
    <row r="1564" ht="15" customHeight="1"/>
    <row r="1565" ht="15" customHeight="1"/>
    <row r="1566" ht="15" customHeight="1"/>
    <row r="1567" ht="15" customHeight="1"/>
    <row r="1568" ht="15" customHeight="1"/>
    <row r="1569" ht="15" customHeight="1"/>
    <row r="1570" ht="15" customHeight="1"/>
    <row r="1571" ht="15" customHeight="1"/>
    <row r="1572" ht="15" customHeight="1"/>
    <row r="1573" ht="15" customHeight="1"/>
    <row r="1574" ht="15" customHeight="1"/>
    <row r="1575" ht="15" customHeight="1"/>
    <row r="1576" ht="15" customHeight="1"/>
    <row r="1577" ht="15" customHeight="1"/>
    <row r="1578" ht="15" customHeight="1"/>
    <row r="1579" ht="15" customHeight="1"/>
    <row r="1580" ht="15" customHeight="1"/>
    <row r="1581" ht="15" customHeight="1"/>
    <row r="1582" ht="15" customHeight="1"/>
    <row r="1583" ht="15" customHeight="1"/>
    <row r="1584" ht="12" customHeight="1"/>
    <row r="1585" ht="12" customHeight="1"/>
    <row r="1586" ht="15" customHeight="1"/>
    <row r="1587" ht="15" customHeight="1"/>
    <row r="1588" ht="15" customHeight="1"/>
    <row r="1589" ht="15" customHeight="1"/>
    <row r="1590" ht="15" customHeight="1"/>
    <row r="1591" ht="15" customHeight="1"/>
    <row r="1592" ht="15" customHeight="1"/>
    <row r="1593" ht="15" customHeight="1"/>
    <row r="1594" ht="15" customHeight="1"/>
    <row r="1595" ht="15" customHeight="1"/>
    <row r="1596" ht="15" customHeight="1"/>
    <row r="1597" ht="15" customHeight="1"/>
    <row r="1598" ht="15" customHeight="1"/>
    <row r="1599" ht="15" customHeight="1"/>
    <row r="1600" ht="15" customHeight="1"/>
    <row r="1601" ht="15" customHeight="1"/>
    <row r="1602" ht="15" customHeight="1"/>
    <row r="1603" ht="15" customHeight="1"/>
    <row r="1604" ht="15" customHeight="1"/>
    <row r="1605" ht="15" customHeight="1"/>
    <row r="1606" ht="15" customHeight="1"/>
    <row r="1607" ht="15" customHeight="1"/>
    <row r="1608" ht="15" customHeight="1"/>
    <row r="1609" ht="15" customHeight="1"/>
    <row r="1610" ht="15" customHeight="1"/>
    <row r="1611" ht="15" customHeight="1"/>
    <row r="1612" ht="15" customHeight="1"/>
    <row r="1613" ht="15" customHeight="1"/>
    <row r="1614" ht="15" customHeight="1"/>
    <row r="1615" ht="15" customHeight="1"/>
    <row r="1616" ht="15" customHeight="1"/>
    <row r="1617" ht="15" customHeight="1"/>
    <row r="1618" ht="15" customHeight="1"/>
    <row r="1619" ht="15" customHeight="1"/>
    <row r="1620" ht="15" customHeight="1"/>
    <row r="1621" ht="15" customHeight="1"/>
    <row r="1622" ht="15" customHeight="1"/>
    <row r="1623" ht="15" customHeight="1"/>
    <row r="1624" ht="15" customHeight="1"/>
    <row r="1625" ht="15" customHeight="1"/>
    <row r="1626" ht="15" customHeight="1"/>
    <row r="1627" ht="15" customHeight="1"/>
    <row r="1628" ht="15" customHeight="1"/>
    <row r="1629" ht="15" customHeight="1"/>
    <row r="1630" ht="15" customHeight="1"/>
    <row r="1631" ht="15" customHeight="1"/>
    <row r="1632" ht="15" customHeight="1"/>
    <row r="1633" ht="15" customHeight="1"/>
    <row r="1634" ht="15" customHeight="1"/>
    <row r="1635" ht="15" customHeight="1"/>
    <row r="1636" ht="15" customHeight="1"/>
    <row r="1637" ht="15" customHeight="1"/>
    <row r="1638" ht="15" customHeight="1"/>
    <row r="1639" ht="15" customHeight="1"/>
    <row r="1640" ht="12" customHeight="1"/>
    <row r="1641" ht="12" customHeight="1"/>
    <row r="1642" ht="15" customHeight="1"/>
    <row r="1643" ht="15" customHeight="1"/>
    <row r="1644" ht="15" customHeight="1"/>
    <row r="1645" ht="15" customHeight="1"/>
    <row r="1646" ht="15" customHeight="1"/>
    <row r="1647" ht="15" customHeight="1"/>
    <row r="1648" ht="15" customHeight="1"/>
    <row r="1649" ht="15" customHeight="1"/>
    <row r="1650" ht="15" customHeight="1"/>
    <row r="1651" ht="15" customHeight="1"/>
    <row r="1652" ht="15" customHeight="1"/>
    <row r="1653" ht="15" customHeight="1"/>
    <row r="1654" ht="15" customHeight="1"/>
    <row r="1655" ht="15" customHeight="1"/>
    <row r="1656" ht="15" customHeight="1"/>
    <row r="1657" ht="15" customHeight="1"/>
    <row r="1658" ht="15" customHeight="1"/>
    <row r="1659" ht="15" customHeight="1"/>
    <row r="1660" ht="15" customHeight="1"/>
    <row r="1661" ht="15" customHeight="1"/>
    <row r="1662" ht="15" customHeight="1"/>
    <row r="1663" ht="15" customHeight="1"/>
    <row r="1664" ht="15" customHeight="1"/>
    <row r="1665" ht="15" customHeight="1"/>
    <row r="1666" ht="15" customHeight="1"/>
    <row r="1667" ht="15" customHeight="1"/>
    <row r="1668" ht="15" customHeight="1"/>
    <row r="1669" ht="15" customHeight="1"/>
    <row r="1670" ht="15" customHeight="1"/>
    <row r="1671" ht="15" customHeight="1"/>
    <row r="1672" ht="15" customHeight="1"/>
    <row r="1673" ht="15" customHeight="1"/>
    <row r="1674" ht="15" customHeight="1"/>
    <row r="1675" ht="15" customHeight="1"/>
    <row r="1676" ht="15" customHeight="1"/>
    <row r="1677" ht="15" customHeight="1"/>
    <row r="1678" ht="15" customHeight="1"/>
    <row r="1679" ht="15" customHeight="1"/>
    <row r="1680" ht="15" customHeight="1"/>
    <row r="1681" ht="15" customHeight="1"/>
    <row r="1682" ht="15" customHeight="1"/>
    <row r="1683" ht="15" customHeight="1"/>
    <row r="1684" ht="15" customHeight="1"/>
    <row r="1685" ht="15" customHeight="1"/>
    <row r="1686" ht="15" customHeight="1"/>
    <row r="1687" ht="15" customHeight="1"/>
    <row r="1688" ht="15" customHeight="1"/>
    <row r="1689" ht="15" customHeight="1"/>
    <row r="1690" ht="15" customHeight="1"/>
    <row r="1691" ht="15" customHeight="1"/>
    <row r="1692" ht="15" customHeight="1"/>
    <row r="1693" ht="15" customHeight="1"/>
    <row r="1694" ht="15" customHeight="1"/>
    <row r="1695" ht="15" customHeight="1"/>
    <row r="1696" ht="12" customHeight="1"/>
    <row r="1697" ht="12" customHeight="1"/>
    <row r="1698" ht="15" customHeight="1"/>
    <row r="1699" ht="15" customHeight="1"/>
    <row r="1700" ht="15" customHeight="1"/>
    <row r="1701" ht="15" customHeight="1"/>
    <row r="1702" ht="15" customHeight="1"/>
    <row r="1703" ht="15" customHeight="1"/>
    <row r="1704" ht="15" customHeight="1"/>
    <row r="1705" ht="15" customHeight="1"/>
    <row r="1706" ht="15" customHeight="1"/>
    <row r="1707" ht="15" customHeight="1"/>
    <row r="1708" ht="15" customHeight="1"/>
    <row r="1709" ht="15" customHeight="1"/>
    <row r="1710" ht="15" customHeight="1"/>
    <row r="1711" ht="15" customHeight="1"/>
    <row r="1712" ht="15" customHeight="1"/>
    <row r="1713" spans="2:32" ht="15" customHeight="1">
      <c r="B1713" s="107"/>
      <c r="C1713" s="107"/>
      <c r="D1713" s="107"/>
      <c r="E1713" s="107"/>
      <c r="F1713" s="107"/>
      <c r="G1713" s="107"/>
      <c r="H1713" s="107"/>
      <c r="I1713" s="107"/>
      <c r="J1713" s="107"/>
      <c r="K1713" s="107"/>
      <c r="L1713" s="107"/>
      <c r="M1713" s="107"/>
      <c r="N1713" s="107"/>
      <c r="O1713" s="107"/>
      <c r="P1713" s="107"/>
      <c r="Q1713" s="107"/>
      <c r="R1713" s="107"/>
      <c r="S1713" s="107"/>
      <c r="T1713" s="107"/>
      <c r="U1713" s="107"/>
      <c r="V1713" s="107"/>
      <c r="W1713" s="107"/>
      <c r="X1713" s="107"/>
      <c r="Y1713" s="107"/>
      <c r="Z1713" s="107"/>
      <c r="AA1713" s="107"/>
      <c r="AB1713" s="107"/>
      <c r="AC1713" s="107"/>
      <c r="AD1713" s="107"/>
      <c r="AE1713" s="107"/>
      <c r="AF1713" s="107"/>
    </row>
    <row r="1714" spans="2:32" ht="12" customHeight="1"/>
    <row r="1715" spans="2:32" ht="12" customHeight="1"/>
    <row r="1716" spans="2:32" ht="12" customHeight="1"/>
    <row r="1717" spans="2:32" ht="12" customHeight="1"/>
    <row r="1718" spans="2:32" ht="12" customHeight="1"/>
    <row r="1719" spans="2:32" ht="12" customHeight="1"/>
    <row r="1720" spans="2:32" ht="12" customHeight="1"/>
    <row r="1721" spans="2:32" ht="12" customHeight="1"/>
    <row r="1722" spans="2:32" ht="12" customHeight="1"/>
    <row r="1723" spans="2:32" ht="12" customHeight="1"/>
    <row r="1724" spans="2:32" ht="12" customHeight="1"/>
    <row r="1725" spans="2:32" ht="15" customHeight="1"/>
    <row r="1726" spans="2:32" ht="15" customHeight="1"/>
    <row r="1727" spans="2:32" ht="15" customHeight="1"/>
    <row r="1728" spans="2:32" ht="15" customHeight="1"/>
    <row r="1729" ht="15" customHeight="1"/>
    <row r="1730" ht="15" customHeight="1"/>
    <row r="1731" ht="12" customHeight="1"/>
    <row r="1732" ht="15" customHeight="1"/>
    <row r="1733" ht="15" customHeight="1"/>
    <row r="1734" ht="15" customHeight="1"/>
    <row r="1735" ht="15" customHeight="1"/>
    <row r="1736" ht="15" customHeight="1"/>
    <row r="1737" ht="15" customHeight="1"/>
    <row r="1738" ht="15" customHeight="1"/>
    <row r="1739" ht="15" customHeight="1"/>
    <row r="1740" ht="15" customHeight="1"/>
    <row r="1741" ht="15" customHeight="1"/>
    <row r="1742" ht="15" customHeight="1"/>
    <row r="1743" ht="15" customHeight="1"/>
    <row r="1744" ht="15" customHeight="1"/>
    <row r="1745" ht="15" customHeight="1"/>
    <row r="1746" ht="15" customHeight="1"/>
    <row r="1747" ht="15" customHeight="1"/>
    <row r="1748" ht="15" customHeight="1"/>
    <row r="1749" ht="15" customHeight="1"/>
    <row r="1750" ht="15" customHeight="1"/>
    <row r="1751" ht="15" customHeight="1"/>
    <row r="1752" ht="15" customHeight="1"/>
    <row r="1753" ht="15" customHeight="1"/>
    <row r="1754" ht="15" customHeight="1"/>
    <row r="1755" ht="15" customHeight="1"/>
    <row r="1756" ht="15" customHeight="1"/>
    <row r="1757" ht="15" customHeight="1"/>
    <row r="1758" ht="15" customHeight="1"/>
    <row r="1759" ht="15" customHeight="1"/>
    <row r="1760" ht="15" customHeight="1"/>
    <row r="1761" ht="15" customHeight="1"/>
    <row r="1762" ht="15" customHeight="1"/>
    <row r="1763" ht="15" customHeight="1"/>
    <row r="1764" ht="15" customHeight="1"/>
    <row r="1765" ht="15" customHeight="1"/>
    <row r="1766" ht="15" customHeight="1"/>
    <row r="1767" ht="12" customHeight="1"/>
    <row r="1768" ht="15" customHeight="1"/>
    <row r="1769" ht="15" customHeight="1"/>
    <row r="1770" ht="15" customHeight="1"/>
    <row r="1771" ht="15" customHeight="1"/>
    <row r="1772" ht="15" customHeight="1"/>
    <row r="1773" ht="15" customHeight="1"/>
    <row r="1774" ht="15" customHeight="1"/>
    <row r="1775" ht="15" customHeight="1"/>
    <row r="1776" ht="15" customHeight="1"/>
    <row r="1777" ht="15" customHeight="1"/>
    <row r="1778" ht="15" customHeight="1"/>
    <row r="1779" ht="15" customHeight="1"/>
    <row r="1780" ht="15" customHeight="1"/>
    <row r="1781" ht="15" customHeight="1"/>
    <row r="1782" ht="15" customHeight="1"/>
    <row r="1783" ht="15" customHeight="1"/>
    <row r="1784" ht="15" customHeight="1"/>
    <row r="1785" ht="15" customHeight="1"/>
    <row r="1786" ht="15" customHeight="1"/>
    <row r="1787" ht="15" customHeight="1"/>
    <row r="1788" ht="15" customHeight="1"/>
    <row r="1789" ht="15" customHeight="1"/>
    <row r="1790" ht="15" customHeight="1"/>
    <row r="1791" ht="15" customHeight="1"/>
    <row r="1792" ht="15" customHeight="1"/>
    <row r="1793" ht="15" customHeight="1"/>
    <row r="1794" ht="15" customHeight="1"/>
    <row r="1795" ht="15" customHeight="1"/>
    <row r="1796" ht="15" customHeight="1"/>
    <row r="1797" ht="15" customHeight="1"/>
    <row r="1798" ht="15" customHeight="1"/>
    <row r="1799" ht="15" customHeight="1"/>
    <row r="1800" ht="15" customHeight="1"/>
    <row r="1801" ht="15" customHeight="1"/>
    <row r="1802" ht="15" customHeight="1"/>
    <row r="1803" ht="15" customHeight="1"/>
    <row r="1804" ht="15" customHeight="1"/>
    <row r="1805" ht="15" customHeight="1"/>
    <row r="1806" ht="15" customHeight="1"/>
    <row r="1807" ht="15" customHeight="1"/>
    <row r="1808" ht="15" customHeight="1"/>
    <row r="1809" ht="15" customHeight="1"/>
    <row r="1810" ht="15" customHeight="1"/>
    <row r="1811" ht="15" customHeight="1"/>
    <row r="1812" ht="15" customHeight="1"/>
    <row r="1813" ht="12" customHeight="1"/>
    <row r="1814" ht="15" customHeight="1"/>
    <row r="1815" ht="15" customHeight="1"/>
    <row r="1816" ht="15" customHeight="1"/>
    <row r="1817" ht="15" customHeight="1"/>
    <row r="1818" ht="15" customHeight="1"/>
    <row r="1819" ht="15" customHeight="1"/>
    <row r="1820" ht="15" customHeight="1"/>
    <row r="1821" ht="15" customHeight="1"/>
    <row r="1822" ht="15" customHeight="1"/>
    <row r="1823" ht="15" customHeight="1"/>
    <row r="1824" ht="15" customHeight="1"/>
    <row r="1825" ht="15" customHeight="1"/>
    <row r="1826" ht="15" customHeight="1"/>
    <row r="1827" ht="15" customHeight="1"/>
    <row r="1828" ht="15" customHeight="1"/>
    <row r="1829" ht="15" customHeight="1"/>
    <row r="1830" ht="15" customHeight="1"/>
    <row r="1831" ht="15" customHeight="1"/>
    <row r="1832" ht="15" customHeight="1"/>
    <row r="1833" ht="15" customHeight="1"/>
    <row r="1834" ht="15" customHeight="1"/>
    <row r="1835" ht="15" customHeight="1"/>
    <row r="1836" ht="15" customHeight="1"/>
    <row r="1837" ht="15" customHeight="1"/>
    <row r="1838" ht="15" customHeight="1"/>
    <row r="1839" ht="15" customHeight="1"/>
    <row r="1840" ht="15" customHeight="1"/>
    <row r="1841" ht="15" customHeight="1"/>
    <row r="1842" ht="15" customHeight="1"/>
    <row r="1843" ht="15" customHeight="1"/>
    <row r="1844" ht="15" customHeight="1"/>
    <row r="1845" ht="15" customHeight="1"/>
    <row r="1846" ht="15" customHeight="1"/>
    <row r="1847" ht="15" customHeight="1"/>
    <row r="1848" ht="15" customHeight="1"/>
    <row r="1849" ht="12" customHeight="1"/>
    <row r="1850" ht="15" customHeight="1"/>
    <row r="1851" ht="15" customHeight="1"/>
    <row r="1852" ht="15" customHeight="1"/>
    <row r="1853" ht="15" customHeight="1"/>
    <row r="1854" ht="15" customHeight="1"/>
    <row r="1855" ht="15" customHeight="1"/>
    <row r="1856" ht="15" customHeight="1"/>
    <row r="1857" ht="15" customHeight="1"/>
    <row r="1858" ht="15" customHeight="1"/>
    <row r="1859" ht="15" customHeight="1"/>
    <row r="1860" ht="15" customHeight="1"/>
    <row r="1861" ht="15" customHeight="1"/>
    <row r="1862" ht="15" customHeight="1"/>
    <row r="1863" ht="15" customHeight="1"/>
    <row r="1864" ht="15" customHeight="1"/>
    <row r="1865" ht="15" customHeight="1"/>
    <row r="1866" ht="15" customHeight="1"/>
    <row r="1867" ht="15" customHeight="1"/>
    <row r="1868" ht="15" customHeight="1"/>
    <row r="1869" ht="15" customHeight="1"/>
    <row r="1870" ht="15" customHeight="1"/>
    <row r="1871" ht="15" customHeight="1"/>
    <row r="1872" ht="15" customHeight="1"/>
    <row r="1873" ht="15" customHeight="1"/>
    <row r="1874" ht="15" customHeight="1"/>
    <row r="1875" ht="15" customHeight="1"/>
    <row r="1876" ht="15" customHeight="1"/>
    <row r="1877" ht="15" customHeight="1"/>
    <row r="1878" ht="15" customHeight="1"/>
    <row r="1879" ht="15" customHeight="1"/>
    <row r="1880" ht="15" customHeight="1"/>
    <row r="1881" ht="15" customHeight="1"/>
    <row r="1882" ht="15" customHeight="1"/>
    <row r="1883" ht="15" customHeight="1"/>
    <row r="1884" ht="15" customHeight="1"/>
    <row r="1885" ht="12" customHeight="1"/>
    <row r="1886" ht="15" customHeight="1"/>
    <row r="1887" ht="12" customHeight="1"/>
    <row r="1888" ht="15" customHeight="1"/>
    <row r="1889" ht="15" customHeight="1"/>
    <row r="1890" ht="15" customHeight="1"/>
    <row r="1891" ht="15" customHeight="1"/>
    <row r="1892" ht="15" customHeight="1"/>
    <row r="1893" ht="15" customHeight="1"/>
    <row r="1894" ht="15" customHeight="1"/>
    <row r="1895" ht="15" customHeight="1"/>
    <row r="1896" ht="15" customHeight="1"/>
    <row r="1897" ht="15" customHeight="1"/>
    <row r="1898" ht="15" customHeight="1"/>
    <row r="1899" ht="15" customHeight="1"/>
    <row r="1900" ht="15" customHeight="1"/>
    <row r="1901" ht="15" customHeight="1"/>
    <row r="1902" ht="15" customHeight="1"/>
    <row r="1903" ht="15" customHeight="1"/>
    <row r="1904" ht="15" customHeight="1"/>
    <row r="1905" ht="15" customHeight="1"/>
    <row r="1906" ht="15" customHeight="1"/>
    <row r="1907" ht="15" customHeight="1"/>
    <row r="1908" ht="15" customHeight="1"/>
    <row r="1909" ht="15" customHeight="1"/>
    <row r="1910" ht="15" customHeight="1"/>
    <row r="1911" ht="15" customHeight="1"/>
    <row r="1912" ht="15" customHeight="1"/>
    <row r="1913" ht="15" customHeight="1"/>
    <row r="1914" ht="15" customHeight="1"/>
    <row r="1915" ht="15" customHeight="1"/>
    <row r="1916" ht="15" customHeight="1"/>
    <row r="1917" ht="15" customHeight="1"/>
    <row r="1918" ht="15" customHeight="1"/>
    <row r="1919" ht="15" customHeight="1"/>
    <row r="1920" ht="15" customHeight="1"/>
    <row r="1921" ht="15" customHeight="1"/>
    <row r="1922" ht="15" customHeight="1"/>
    <row r="1923" ht="12" customHeight="1"/>
    <row r="1924" ht="15" customHeight="1"/>
    <row r="1925" ht="15" customHeight="1"/>
    <row r="1926" ht="15" customHeight="1"/>
    <row r="1927" ht="15" customHeight="1"/>
    <row r="1928" ht="15" customHeight="1"/>
    <row r="1929" ht="15" customHeight="1"/>
    <row r="1930" ht="15" customHeight="1"/>
    <row r="1931" ht="15" customHeight="1"/>
    <row r="1932" ht="15" customHeight="1"/>
    <row r="1933" ht="15" customHeight="1"/>
    <row r="1934" ht="15" customHeight="1"/>
    <row r="1935" ht="15" customHeight="1"/>
    <row r="1936" ht="15" customHeight="1"/>
    <row r="1937" ht="15" customHeight="1"/>
    <row r="1938" ht="15" customHeight="1"/>
    <row r="1939" ht="15" customHeight="1"/>
    <row r="1940" ht="15" customHeight="1"/>
    <row r="1941" ht="15" customHeight="1"/>
    <row r="1942" ht="15" customHeight="1"/>
    <row r="1943" ht="15" customHeight="1"/>
    <row r="1944" ht="15" customHeight="1"/>
    <row r="1945" ht="15" customHeight="1"/>
    <row r="1946" ht="15" customHeight="1"/>
    <row r="1947" ht="15" customHeight="1"/>
    <row r="1948" ht="15" customHeight="1"/>
    <row r="1949" ht="15" customHeight="1"/>
    <row r="1950" ht="15" customHeight="1"/>
    <row r="1951" ht="15" customHeight="1"/>
    <row r="1952" ht="15" customHeight="1"/>
    <row r="1953" ht="15" customHeight="1"/>
    <row r="1954" ht="15" customHeight="1"/>
    <row r="1955" ht="15" customHeight="1"/>
    <row r="1956" ht="15" customHeight="1"/>
    <row r="1957" ht="15" customHeight="1"/>
    <row r="1958" ht="15" customHeight="1"/>
    <row r="1959" ht="12" customHeight="1"/>
    <row r="1960" ht="12" customHeight="1"/>
    <row r="1961" ht="12" customHeight="1"/>
    <row r="1962" ht="15" customHeight="1"/>
    <row r="1963" ht="15" customHeight="1"/>
    <row r="1964" ht="15" customHeight="1"/>
    <row r="1965" ht="15" customHeight="1"/>
    <row r="1966" ht="15" customHeight="1"/>
    <row r="1967" ht="15" customHeight="1"/>
    <row r="1968" ht="15" customHeight="1"/>
    <row r="1969" ht="15" customHeight="1"/>
    <row r="1970" ht="12" customHeight="1"/>
    <row r="1971" ht="15" customHeight="1"/>
    <row r="1972" ht="15" customHeight="1"/>
    <row r="1973" ht="15" customHeight="1"/>
    <row r="1974" ht="15" customHeight="1"/>
    <row r="1975" ht="15" customHeight="1"/>
    <row r="1976" ht="15" customHeight="1"/>
    <row r="1977" ht="15" customHeight="1"/>
    <row r="1978" ht="15" customHeight="1"/>
    <row r="1979" ht="12" customHeight="1"/>
    <row r="1980" ht="15" customHeight="1"/>
    <row r="1981" ht="15" customHeight="1"/>
    <row r="1982" ht="15" customHeight="1"/>
    <row r="1983" ht="15" customHeight="1"/>
    <row r="1984" ht="15" customHeight="1"/>
    <row r="1985" spans="2:32" ht="15" customHeight="1"/>
    <row r="1986" spans="2:32" ht="15" customHeight="1"/>
    <row r="1987" spans="2:32" ht="15" customHeight="1"/>
    <row r="1988" spans="2:32" ht="15" customHeight="1"/>
    <row r="1989" spans="2:32" ht="15" customHeight="1"/>
    <row r="1990" spans="2:32" ht="15" customHeight="1">
      <c r="B1990" s="107"/>
      <c r="C1990" s="107"/>
      <c r="D1990" s="107"/>
      <c r="E1990" s="107"/>
      <c r="F1990" s="107"/>
      <c r="G1990" s="107"/>
      <c r="H1990" s="107"/>
      <c r="I1990" s="107"/>
      <c r="J1990" s="107"/>
      <c r="K1990" s="107"/>
      <c r="L1990" s="107"/>
      <c r="M1990" s="107"/>
      <c r="N1990" s="107"/>
      <c r="O1990" s="107"/>
      <c r="P1990" s="107"/>
      <c r="Q1990" s="107"/>
      <c r="R1990" s="107"/>
      <c r="S1990" s="107"/>
      <c r="T1990" s="107"/>
      <c r="U1990" s="107"/>
      <c r="V1990" s="107"/>
      <c r="W1990" s="107"/>
      <c r="X1990" s="107"/>
      <c r="Y1990" s="107"/>
      <c r="Z1990" s="107"/>
      <c r="AA1990" s="107"/>
      <c r="AB1990" s="107"/>
      <c r="AC1990" s="107"/>
      <c r="AD1990" s="107"/>
      <c r="AE1990" s="107"/>
      <c r="AF1990" s="107"/>
    </row>
    <row r="1991" spans="2:32" ht="15" customHeight="1"/>
    <row r="1992" spans="2:32" ht="15" customHeight="1"/>
    <row r="1993" spans="2:32" ht="15" customHeight="1"/>
    <row r="1994" spans="2:32" ht="15" customHeight="1"/>
    <row r="1995" spans="2:32" ht="15" customHeight="1"/>
    <row r="1996" spans="2:32" ht="15" customHeight="1"/>
    <row r="1997" spans="2:32" ht="15" customHeight="1"/>
    <row r="1998" spans="2:32" ht="12" customHeight="1"/>
    <row r="1999" spans="2:32" ht="12" customHeight="1"/>
    <row r="2000" spans="2:32" ht="12" customHeight="1"/>
    <row r="2001" ht="12" customHeight="1"/>
    <row r="2002" ht="12" customHeight="1"/>
    <row r="2003" ht="12" customHeight="1"/>
    <row r="2004" ht="12" customHeight="1"/>
    <row r="2005" ht="12" customHeight="1"/>
    <row r="2006" ht="12" customHeight="1"/>
    <row r="2007" ht="12" customHeight="1"/>
    <row r="2008" ht="12" customHeight="1"/>
    <row r="2009" ht="12" customHeight="1"/>
    <row r="2010" ht="12" customHeight="1"/>
    <row r="2011" ht="12" customHeight="1"/>
    <row r="2012" ht="12" customHeight="1"/>
    <row r="2013" ht="12" customHeight="1"/>
    <row r="2014" ht="12" customHeight="1"/>
    <row r="2015" ht="12" customHeight="1"/>
    <row r="2016" ht="12" customHeight="1"/>
    <row r="2017" ht="12" customHeight="1"/>
    <row r="2018" ht="12" customHeight="1"/>
    <row r="2019" ht="12" customHeight="1"/>
    <row r="2020" ht="12" customHeight="1"/>
    <row r="2021" ht="12" customHeight="1"/>
    <row r="2022" ht="12" customHeight="1"/>
    <row r="2023" ht="12" customHeight="1"/>
    <row r="2024" ht="12" customHeight="1"/>
    <row r="2025" ht="12" customHeight="1"/>
    <row r="2026" ht="12" customHeight="1"/>
    <row r="2027" ht="12" customHeight="1"/>
    <row r="2028" ht="12" customHeight="1"/>
    <row r="2029" ht="12" customHeight="1"/>
    <row r="2030" ht="12" customHeight="1"/>
    <row r="2031" ht="12" customHeight="1"/>
    <row r="2032" ht="12" customHeight="1"/>
    <row r="2033" ht="12" customHeight="1"/>
    <row r="2034" ht="12" customHeight="1"/>
    <row r="2035" ht="12" customHeight="1"/>
    <row r="2036" ht="12" customHeight="1"/>
    <row r="2037" ht="12" customHeight="1"/>
    <row r="2038" ht="12" customHeight="1"/>
    <row r="2039" ht="12" customHeight="1"/>
    <row r="2040" ht="12" customHeight="1"/>
    <row r="2041" ht="12" customHeight="1"/>
    <row r="2042" ht="12" customHeight="1"/>
    <row r="2043" ht="12" customHeight="1"/>
    <row r="2044" ht="12" customHeight="1"/>
    <row r="2045" ht="12" customHeight="1"/>
    <row r="2046" ht="12" customHeight="1"/>
    <row r="2047" ht="12" customHeight="1"/>
    <row r="2048" ht="12" customHeight="1"/>
    <row r="2049" ht="12" customHeight="1"/>
    <row r="2050" ht="15" customHeight="1"/>
    <row r="2051" ht="15" customHeight="1"/>
    <row r="2052" ht="15" customHeight="1"/>
    <row r="2053" ht="15" customHeight="1"/>
    <row r="2054" ht="15" customHeight="1"/>
    <row r="2055" ht="15" customHeight="1"/>
    <row r="2056" ht="15" customHeight="1"/>
    <row r="2057" ht="15" customHeight="1"/>
    <row r="2058" ht="15" customHeight="1"/>
    <row r="2059" ht="15" customHeight="1"/>
    <row r="2060" ht="15" customHeight="1"/>
    <row r="2061" ht="15" customHeight="1"/>
    <row r="2062" ht="15" customHeight="1"/>
    <row r="2063" ht="15" customHeight="1"/>
    <row r="2064" ht="15" customHeight="1"/>
    <row r="2065" ht="15" customHeight="1"/>
    <row r="2066" ht="15" customHeight="1"/>
    <row r="2067" ht="15" customHeight="1"/>
    <row r="2068" ht="15" customHeight="1"/>
    <row r="2069" ht="15" customHeight="1"/>
    <row r="2070" ht="15" customHeight="1"/>
    <row r="2071" ht="15" customHeight="1"/>
    <row r="2072" ht="15" customHeight="1"/>
    <row r="2073" ht="15" customHeight="1"/>
    <row r="2074" ht="15" customHeight="1"/>
    <row r="2075" ht="15" customHeight="1"/>
    <row r="2076" ht="15" customHeight="1"/>
    <row r="2077" ht="15" customHeight="1"/>
    <row r="2078" ht="15" customHeight="1"/>
    <row r="2079" ht="15" customHeight="1"/>
    <row r="2080" ht="15" customHeight="1"/>
    <row r="2081" ht="15" customHeight="1"/>
    <row r="2082" ht="15" customHeight="1"/>
    <row r="2083" ht="15" customHeight="1"/>
    <row r="2084" ht="15" customHeight="1"/>
    <row r="2085" ht="15" customHeight="1"/>
    <row r="2086" ht="15" customHeight="1"/>
    <row r="2087" ht="15" customHeight="1"/>
    <row r="2088" ht="15" customHeight="1"/>
    <row r="2089" ht="15" customHeight="1"/>
    <row r="2090" ht="15" customHeight="1"/>
    <row r="2091" ht="15" customHeight="1"/>
    <row r="2092" ht="15" customHeight="1"/>
    <row r="2093" ht="15" customHeight="1"/>
    <row r="2094" ht="15" customHeight="1"/>
    <row r="2095" ht="15" customHeight="1"/>
    <row r="2096" ht="15" customHeight="1"/>
    <row r="2097" ht="15" customHeight="1"/>
    <row r="2098" ht="15" customHeight="1"/>
    <row r="2099" ht="15" customHeight="1"/>
    <row r="2100" ht="15" customHeight="1"/>
    <row r="2101" ht="15" customHeight="1"/>
    <row r="2102" ht="15" customHeight="1"/>
    <row r="2103" ht="15" customHeight="1"/>
    <row r="2104" ht="15" customHeight="1"/>
    <row r="2105" ht="15" customHeight="1"/>
    <row r="2106" ht="15" customHeight="1"/>
    <row r="2107" ht="15" customHeight="1"/>
    <row r="2108" ht="15" customHeight="1"/>
    <row r="2109" ht="15" customHeight="1"/>
    <row r="2110" ht="15" customHeight="1"/>
    <row r="2111" ht="15" customHeight="1"/>
    <row r="2112" ht="15" customHeight="1"/>
    <row r="2113" ht="15" customHeight="1"/>
    <row r="2114" ht="15" customHeight="1"/>
    <row r="2115" ht="15" customHeight="1"/>
    <row r="2116" ht="15" customHeight="1"/>
    <row r="2117" ht="15" customHeight="1"/>
    <row r="2118" ht="15" customHeight="1"/>
    <row r="2119" ht="15" customHeight="1"/>
    <row r="2120" ht="15" customHeight="1"/>
    <row r="2121" ht="15" customHeight="1"/>
    <row r="2122" ht="15" customHeight="1"/>
    <row r="2123" ht="15" customHeight="1"/>
    <row r="2124" ht="15" customHeight="1"/>
    <row r="2125" ht="15" customHeight="1"/>
    <row r="2126" ht="15" customHeight="1"/>
    <row r="2127" ht="15" customHeight="1"/>
    <row r="2128" ht="15" customHeight="1"/>
    <row r="2129" ht="15" customHeight="1"/>
    <row r="2130" ht="15" customHeight="1"/>
    <row r="2131" ht="15" customHeight="1"/>
    <row r="2132" ht="15" customHeight="1"/>
    <row r="2133" ht="15" customHeight="1"/>
    <row r="2134" ht="15" customHeight="1"/>
    <row r="2135" ht="15" customHeight="1"/>
    <row r="2136" ht="15" customHeight="1"/>
    <row r="2137" ht="15" customHeight="1"/>
    <row r="2138" ht="15" customHeight="1"/>
    <row r="2139" ht="15" customHeight="1"/>
    <row r="2140" ht="15" customHeight="1"/>
    <row r="2141" ht="15" customHeight="1"/>
    <row r="2142" ht="15" customHeight="1"/>
    <row r="2143" ht="15" customHeight="1"/>
    <row r="2144" ht="12" customHeight="1"/>
    <row r="2145" ht="15" customHeight="1"/>
    <row r="2146" ht="15" customHeight="1"/>
    <row r="2147" ht="15" customHeight="1"/>
    <row r="2148" ht="15" customHeight="1"/>
    <row r="2149" ht="15" customHeight="1"/>
    <row r="2150" ht="15" customHeight="1"/>
    <row r="2151" ht="15" customHeight="1"/>
    <row r="2152" ht="15" customHeight="1"/>
    <row r="2153" ht="15" customHeight="1"/>
    <row r="2154" ht="15" customHeight="1"/>
    <row r="2155" ht="15" customHeight="1"/>
    <row r="2156" ht="15" customHeight="1"/>
    <row r="2157" ht="15" customHeight="1"/>
    <row r="2158" ht="15" customHeight="1"/>
    <row r="2159" ht="15" customHeight="1"/>
    <row r="2160" ht="15" customHeight="1"/>
    <row r="2161" ht="15" customHeight="1"/>
    <row r="2162" ht="15" customHeight="1"/>
    <row r="2163" ht="15" customHeight="1"/>
    <row r="2164" ht="15" customHeight="1"/>
    <row r="2165" ht="15" customHeight="1"/>
    <row r="2166" ht="15" customHeight="1"/>
    <row r="2167" ht="15" customHeight="1"/>
    <row r="2168" ht="15" customHeight="1"/>
    <row r="2169" ht="15" customHeight="1"/>
    <row r="2170" ht="15" customHeight="1"/>
    <row r="2171" ht="15" customHeight="1"/>
    <row r="2172" ht="15" customHeight="1"/>
    <row r="2173" ht="15" customHeight="1"/>
    <row r="2174" ht="15" customHeight="1"/>
    <row r="2175" ht="15" customHeight="1"/>
    <row r="2176" ht="15" customHeight="1"/>
    <row r="2177" ht="15" customHeight="1"/>
    <row r="2178" ht="15" customHeight="1"/>
    <row r="2179" ht="15" customHeight="1"/>
    <row r="2180" ht="15" customHeight="1"/>
    <row r="2181" ht="15" customHeight="1"/>
    <row r="2182" ht="15" customHeight="1"/>
    <row r="2183" ht="15" customHeight="1"/>
    <row r="2184" ht="15" customHeight="1"/>
    <row r="2185" ht="15" customHeight="1"/>
    <row r="2186" ht="15" customHeight="1"/>
    <row r="2187" ht="15" customHeight="1"/>
    <row r="2188" ht="15" customHeight="1"/>
    <row r="2189" ht="15" customHeight="1"/>
    <row r="2190" ht="15" customHeight="1"/>
    <row r="2191" ht="15" customHeight="1"/>
    <row r="2192" ht="15" customHeight="1"/>
    <row r="2193" ht="15" customHeight="1"/>
    <row r="2194" ht="15" customHeight="1"/>
    <row r="2195" ht="15" customHeight="1"/>
    <row r="2196" ht="15" customHeight="1"/>
    <row r="2197" ht="15" customHeight="1"/>
    <row r="2198" ht="15" customHeight="1"/>
    <row r="2199" ht="15" customHeight="1"/>
    <row r="2200" ht="15" customHeight="1"/>
    <row r="2201" ht="15" customHeight="1"/>
    <row r="2202" ht="15" customHeight="1"/>
    <row r="2203" ht="15" customHeight="1"/>
    <row r="2204" ht="15" customHeight="1"/>
    <row r="2205" ht="15" customHeight="1"/>
    <row r="2206" ht="15" customHeight="1"/>
    <row r="2207" ht="15" customHeight="1"/>
    <row r="2208" ht="15" customHeight="1"/>
    <row r="2209" ht="15" customHeight="1"/>
    <row r="2210" ht="15" customHeight="1"/>
    <row r="2211" ht="15" customHeight="1"/>
    <row r="2212" ht="15" customHeight="1"/>
    <row r="2213" ht="15" customHeight="1"/>
    <row r="2214" ht="15" customHeight="1"/>
    <row r="2215" ht="15" customHeight="1"/>
    <row r="2216" ht="15" customHeight="1"/>
    <row r="2217" ht="15" customHeight="1"/>
    <row r="2218" ht="15" customHeight="1"/>
    <row r="2219" ht="15" customHeight="1"/>
    <row r="2220" ht="15" customHeight="1"/>
    <row r="2221" ht="15" customHeight="1"/>
    <row r="2222" ht="15" customHeight="1"/>
    <row r="2223" ht="15" customHeight="1"/>
    <row r="2224" ht="15" customHeight="1"/>
    <row r="2225" ht="15" customHeight="1"/>
    <row r="2226" ht="15" customHeight="1"/>
    <row r="2227" ht="15" customHeight="1"/>
    <row r="2228" ht="15" customHeight="1"/>
    <row r="2229" ht="15" customHeight="1"/>
    <row r="2230" ht="15" customHeight="1"/>
    <row r="2231" ht="15" customHeight="1"/>
    <row r="2232" ht="15" customHeight="1"/>
    <row r="2233" ht="15" customHeight="1"/>
    <row r="2234" ht="12" customHeight="1"/>
    <row r="2235" ht="15" customHeight="1"/>
    <row r="2236" ht="15" customHeight="1"/>
    <row r="2237" ht="15" customHeight="1"/>
    <row r="2238" ht="15" customHeight="1"/>
    <row r="2239" ht="15" customHeight="1"/>
    <row r="2240" ht="15" customHeight="1"/>
    <row r="2241" ht="15" customHeight="1"/>
    <row r="2242" ht="15" customHeight="1"/>
    <row r="2243" ht="15" customHeight="1"/>
    <row r="2244" ht="15" customHeight="1"/>
    <row r="2245" ht="15" customHeight="1"/>
    <row r="2246" ht="15" customHeight="1"/>
    <row r="2247" ht="15" customHeight="1"/>
    <row r="2248" ht="15" customHeight="1"/>
    <row r="2249" ht="15" customHeight="1"/>
    <row r="2250" ht="15" customHeight="1"/>
    <row r="2251" ht="15" customHeight="1"/>
    <row r="2252" ht="15" customHeight="1"/>
    <row r="2253" ht="15" customHeight="1"/>
    <row r="2254" ht="15" customHeight="1"/>
    <row r="2255" ht="15" customHeight="1"/>
    <row r="2256" ht="15" customHeight="1"/>
    <row r="2257" ht="15" customHeight="1"/>
    <row r="2258" ht="15" customHeight="1"/>
    <row r="2259" ht="15" customHeight="1"/>
    <row r="2260" ht="15" customHeight="1"/>
    <row r="2261" ht="15" customHeight="1"/>
    <row r="2262" ht="15" customHeight="1"/>
    <row r="2263" ht="15" customHeight="1"/>
    <row r="2264" ht="15" customHeight="1"/>
    <row r="2265" ht="15" customHeight="1"/>
    <row r="2266" ht="15" customHeight="1"/>
    <row r="2267" ht="15" customHeight="1"/>
    <row r="2268" ht="15" customHeight="1"/>
    <row r="2269" ht="15" customHeight="1"/>
    <row r="2270" ht="15" customHeight="1"/>
    <row r="2271" ht="15" customHeight="1"/>
    <row r="2272" ht="15" customHeight="1"/>
    <row r="2273" ht="15" customHeight="1"/>
    <row r="2274" ht="15" customHeight="1"/>
    <row r="2275" ht="15" customHeight="1"/>
    <row r="2276" ht="15" customHeight="1"/>
    <row r="2277" ht="15" customHeight="1"/>
    <row r="2278" ht="15" customHeight="1"/>
    <row r="2279" ht="15" customHeight="1"/>
    <row r="2280" ht="15" customHeight="1"/>
    <row r="2281" ht="15" customHeight="1"/>
    <row r="2282" ht="15" customHeight="1"/>
    <row r="2283" ht="15" customHeight="1"/>
    <row r="2284" ht="15" customHeight="1"/>
    <row r="2285" ht="15" customHeight="1"/>
    <row r="2286" ht="15" customHeight="1"/>
    <row r="2287" ht="15" customHeight="1"/>
    <row r="2288" ht="15" customHeight="1"/>
    <row r="2289" ht="15" customHeight="1"/>
    <row r="2290" ht="15" customHeight="1"/>
    <row r="2291" ht="15" customHeight="1"/>
    <row r="2292" ht="15" customHeight="1"/>
    <row r="2293" ht="15" customHeight="1"/>
    <row r="2294" ht="15" customHeight="1"/>
    <row r="2295" ht="15" customHeight="1"/>
    <row r="2296" ht="15" customHeight="1"/>
    <row r="2297" ht="15" customHeight="1"/>
    <row r="2298" ht="15" customHeight="1"/>
    <row r="2299" ht="15" customHeight="1"/>
    <row r="2300" ht="15" customHeight="1"/>
    <row r="2301" ht="15" customHeight="1"/>
    <row r="2302" ht="15" customHeight="1"/>
    <row r="2303" ht="15" customHeight="1"/>
    <row r="2304" ht="15" customHeight="1"/>
    <row r="2305" ht="15" customHeight="1"/>
    <row r="2306" ht="15" customHeight="1"/>
    <row r="2307" ht="15" customHeight="1"/>
    <row r="2308" ht="15" customHeight="1"/>
    <row r="2309" ht="15" customHeight="1"/>
    <row r="2310" ht="15" customHeight="1"/>
    <row r="2311" ht="15" customHeight="1"/>
    <row r="2312" ht="15" customHeight="1"/>
    <row r="2313" ht="15" customHeight="1"/>
    <row r="2314" ht="15" customHeight="1"/>
    <row r="2315" ht="15" customHeight="1"/>
    <row r="2316" ht="15" customHeight="1"/>
    <row r="2317" ht="15" customHeight="1"/>
    <row r="2318" ht="15" customHeight="1"/>
    <row r="2319" ht="15" customHeight="1"/>
    <row r="2320" ht="15" customHeight="1"/>
    <row r="2321" spans="2:32" ht="15" customHeight="1"/>
    <row r="2322" spans="2:32" ht="15" customHeight="1"/>
    <row r="2323" spans="2:32" ht="15" customHeight="1"/>
    <row r="2324" spans="2:32" ht="15" customHeight="1"/>
    <row r="2325" spans="2:32" ht="15" customHeight="1">
      <c r="B2325" s="107"/>
      <c r="C2325" s="107"/>
      <c r="D2325" s="107"/>
      <c r="E2325" s="107"/>
      <c r="F2325" s="107"/>
      <c r="G2325" s="107"/>
      <c r="H2325" s="107"/>
      <c r="I2325" s="107"/>
      <c r="J2325" s="107"/>
      <c r="K2325" s="107"/>
      <c r="L2325" s="107"/>
      <c r="M2325" s="107"/>
      <c r="N2325" s="107"/>
      <c r="O2325" s="107"/>
      <c r="P2325" s="107"/>
      <c r="Q2325" s="107"/>
      <c r="R2325" s="107"/>
      <c r="S2325" s="107"/>
      <c r="T2325" s="107"/>
      <c r="U2325" s="107"/>
      <c r="V2325" s="107"/>
      <c r="W2325" s="107"/>
      <c r="X2325" s="107"/>
      <c r="Y2325" s="107"/>
      <c r="Z2325" s="107"/>
      <c r="AA2325" s="107"/>
      <c r="AB2325" s="107"/>
      <c r="AC2325" s="107"/>
      <c r="AD2325" s="107"/>
      <c r="AE2325" s="107"/>
      <c r="AF2325" s="107"/>
    </row>
    <row r="2326" spans="2:32" ht="15" customHeight="1"/>
    <row r="2327" spans="2:32" ht="12" customHeight="1"/>
    <row r="2328" spans="2:32" ht="12" customHeight="1"/>
    <row r="2329" spans="2:32" ht="12" customHeight="1"/>
    <row r="2330" spans="2:32" ht="12" customHeight="1"/>
    <row r="2331" spans="2:32" ht="12" customHeight="1"/>
    <row r="2332" spans="2:32" ht="12" customHeight="1"/>
    <row r="2333" spans="2:32" ht="12" customHeight="1"/>
    <row r="2334" spans="2:32" ht="12" customHeight="1"/>
    <row r="2335" spans="2:32" ht="12" customHeight="1"/>
    <row r="2336" spans="2:32" ht="12" customHeight="1"/>
    <row r="2337" ht="12" customHeight="1"/>
    <row r="2338" ht="12" customHeight="1"/>
    <row r="2339" ht="12" customHeight="1"/>
    <row r="2340" ht="12" customHeight="1"/>
    <row r="2341" ht="12" customHeight="1"/>
    <row r="2342" ht="12" customHeight="1"/>
    <row r="2343" ht="12" customHeight="1"/>
    <row r="2344" ht="12" customHeight="1"/>
    <row r="2345" ht="12" customHeight="1"/>
    <row r="2346" ht="12" customHeight="1"/>
    <row r="2347" ht="12" customHeight="1"/>
    <row r="2348" ht="12" customHeight="1"/>
    <row r="2349" ht="12" customHeight="1"/>
    <row r="2350" ht="15" customHeight="1"/>
    <row r="2351" ht="15" customHeight="1"/>
    <row r="2352" ht="15" customHeight="1"/>
    <row r="2353" ht="15" customHeight="1"/>
    <row r="2354" ht="15" customHeight="1"/>
    <row r="2355" ht="15" customHeight="1"/>
    <row r="2356" ht="15" customHeight="1"/>
    <row r="2357" ht="15" customHeight="1"/>
    <row r="2358" ht="15" customHeight="1"/>
    <row r="2359" ht="15" customHeight="1"/>
    <row r="2360" ht="15" customHeight="1"/>
    <row r="2361" ht="15" customHeight="1"/>
    <row r="2362" ht="15" customHeight="1"/>
    <row r="2363" ht="15" customHeight="1"/>
    <row r="2364" ht="15" customHeight="1"/>
    <row r="2365" ht="15" customHeight="1"/>
    <row r="2366" ht="15" customHeight="1"/>
    <row r="2367" ht="15" customHeight="1"/>
    <row r="2368" ht="15" customHeight="1"/>
    <row r="2369" ht="15" customHeight="1"/>
    <row r="2370" ht="15" customHeight="1"/>
    <row r="2371" ht="15" customHeight="1"/>
    <row r="2372" ht="12" customHeight="1"/>
    <row r="2373" ht="15" customHeight="1"/>
    <row r="2374" ht="15" customHeight="1"/>
    <row r="2375" ht="15" customHeight="1"/>
    <row r="2376" ht="15" customHeight="1"/>
    <row r="2377" ht="15" customHeight="1"/>
    <row r="2378" ht="15" customHeight="1"/>
    <row r="2379" ht="15" customHeight="1"/>
    <row r="2380" ht="15" customHeight="1"/>
    <row r="2381" ht="15" customHeight="1"/>
    <row r="2382" ht="15" customHeight="1"/>
    <row r="2383" ht="15" customHeight="1"/>
    <row r="2384" ht="15" customHeight="1"/>
    <row r="2385" ht="15" customHeight="1"/>
    <row r="2386" ht="15" customHeight="1"/>
    <row r="2387" ht="15" customHeight="1"/>
    <row r="2388" ht="15" customHeight="1"/>
    <row r="2389" ht="15" customHeight="1"/>
    <row r="2390" ht="12" customHeight="1"/>
    <row r="2391" ht="15" customHeight="1"/>
    <row r="2392" ht="15" customHeight="1"/>
    <row r="2393" ht="15" customHeight="1"/>
    <row r="2394" ht="15" customHeight="1"/>
    <row r="2395" ht="15" customHeight="1"/>
    <row r="2396" ht="15" customHeight="1"/>
    <row r="2397" ht="15" customHeight="1"/>
    <row r="2398" ht="15" customHeight="1"/>
    <row r="2399" ht="15" customHeight="1"/>
    <row r="2400" ht="15" customHeight="1"/>
    <row r="2401" ht="15" customHeight="1"/>
    <row r="2402" ht="15" customHeight="1"/>
    <row r="2403" ht="15" customHeight="1"/>
    <row r="2404" ht="15" customHeight="1"/>
    <row r="2405" ht="15" customHeight="1"/>
    <row r="2406" ht="15" customHeight="1"/>
    <row r="2407" ht="15" customHeight="1"/>
    <row r="2408" ht="12" customHeight="1"/>
    <row r="2409" ht="15" customHeight="1"/>
    <row r="2410" ht="15" customHeight="1"/>
    <row r="2411" ht="15" customHeight="1"/>
    <row r="2412" ht="15" customHeight="1"/>
    <row r="2413" ht="15" customHeight="1"/>
    <row r="2414" ht="15" customHeight="1"/>
    <row r="2415" ht="15" customHeight="1"/>
    <row r="2416" ht="15" customHeight="1"/>
    <row r="2417" ht="15" customHeight="1"/>
    <row r="2418" ht="15" customHeight="1"/>
    <row r="2419" ht="15" customHeight="1"/>
    <row r="2420" ht="15" customHeight="1"/>
    <row r="2421" ht="15" customHeight="1"/>
    <row r="2422" ht="15" customHeight="1"/>
    <row r="2423" ht="15" customHeight="1"/>
    <row r="2424" ht="15" customHeight="1"/>
    <row r="2425" ht="15" customHeight="1"/>
    <row r="2426" ht="12" customHeight="1"/>
    <row r="2427" ht="15" customHeight="1"/>
    <row r="2428" ht="15" customHeight="1"/>
    <row r="2429" ht="15" customHeight="1"/>
    <row r="2430" ht="15" customHeight="1"/>
    <row r="2431" ht="15" customHeight="1"/>
    <row r="2432" ht="15" customHeight="1"/>
    <row r="2433" ht="15" customHeight="1"/>
    <row r="2434" ht="15" customHeight="1"/>
    <row r="2435" ht="15" customHeight="1"/>
    <row r="2436" ht="15" customHeight="1"/>
    <row r="2437" ht="15" customHeight="1"/>
    <row r="2438" ht="15" customHeight="1"/>
    <row r="2439" ht="15" customHeight="1"/>
    <row r="2440" ht="15" customHeight="1"/>
    <row r="2441" ht="15" customHeight="1"/>
    <row r="2442" ht="15" customHeight="1"/>
    <row r="2443" ht="15" customHeight="1"/>
    <row r="2444" ht="12" customHeight="1"/>
    <row r="2445" ht="15" customHeight="1"/>
    <row r="2446" ht="15" customHeight="1"/>
    <row r="2447" ht="15" customHeight="1"/>
    <row r="2448" ht="15" customHeight="1"/>
    <row r="2449" ht="15" customHeight="1"/>
    <row r="2450" ht="15" customHeight="1"/>
    <row r="2451" ht="15" customHeight="1"/>
    <row r="2452" ht="15" customHeight="1"/>
    <row r="2453" ht="15" customHeight="1"/>
    <row r="2454" ht="15" customHeight="1"/>
    <row r="2455" ht="15" customHeight="1"/>
    <row r="2456" ht="15" customHeight="1"/>
    <row r="2457" ht="15" customHeight="1"/>
    <row r="2458" ht="15" customHeight="1"/>
    <row r="2459" ht="15" customHeight="1"/>
    <row r="2460" ht="15" customHeight="1"/>
    <row r="2461" ht="15" customHeight="1"/>
    <row r="2462" ht="12" customHeight="1"/>
    <row r="2463" ht="12" customHeight="1"/>
    <row r="2464" ht="15" customHeight="1"/>
    <row r="2465" ht="15" customHeight="1"/>
    <row r="2466" ht="15" customHeight="1"/>
    <row r="2467" ht="15" customHeight="1"/>
    <row r="2468" ht="15" customHeight="1"/>
    <row r="2469" ht="15" customHeight="1"/>
    <row r="2470" ht="15" customHeight="1"/>
    <row r="2471" ht="15" customHeight="1"/>
    <row r="2472" ht="15" customHeight="1"/>
    <row r="2473" ht="15" customHeight="1"/>
    <row r="2474" ht="15" customHeight="1"/>
    <row r="2475" ht="15" customHeight="1"/>
    <row r="2476" ht="15" customHeight="1"/>
    <row r="2477" ht="15" customHeight="1"/>
    <row r="2478" ht="15" customHeight="1"/>
    <row r="2479" ht="15" customHeight="1"/>
    <row r="2480" ht="15" customHeight="1"/>
    <row r="2481" ht="12" customHeight="1"/>
    <row r="2482" ht="15" customHeight="1"/>
    <row r="2483" ht="15" customHeight="1"/>
    <row r="2484" ht="15" customHeight="1"/>
    <row r="2485" ht="15" customHeight="1"/>
    <row r="2486" ht="15" customHeight="1"/>
    <row r="2487" ht="15" customHeight="1"/>
    <row r="2488" ht="15" customHeight="1"/>
    <row r="2489" ht="15" customHeight="1"/>
    <row r="2490" ht="15" customHeight="1"/>
    <row r="2491" ht="15" customHeight="1"/>
    <row r="2492" ht="15" customHeight="1"/>
    <row r="2493" ht="15" customHeight="1"/>
    <row r="2494" ht="15" customHeight="1"/>
    <row r="2495" ht="15" customHeight="1"/>
    <row r="2496" ht="15" customHeight="1"/>
    <row r="2497" ht="15" customHeight="1"/>
    <row r="2498" ht="15" customHeight="1"/>
    <row r="2499" ht="12" customHeight="1"/>
    <row r="2500" ht="15" customHeight="1"/>
    <row r="2501" ht="15" customHeight="1"/>
    <row r="2502" ht="15" customHeight="1"/>
    <row r="2503" ht="15" customHeight="1"/>
    <row r="2504" ht="15" customHeight="1"/>
    <row r="2505" ht="15" customHeight="1"/>
    <row r="2506" ht="15" customHeight="1"/>
    <row r="2507" ht="15" customHeight="1"/>
    <row r="2508" ht="15" customHeight="1"/>
    <row r="2509" ht="15" customHeight="1"/>
    <row r="2510" ht="15" customHeight="1"/>
    <row r="2511" ht="15" customHeight="1"/>
    <row r="2512" ht="15" customHeight="1"/>
    <row r="2513" ht="15" customHeight="1"/>
    <row r="2514" ht="15" customHeight="1"/>
    <row r="2515" ht="15" customHeight="1"/>
    <row r="2516" ht="15" customHeight="1"/>
    <row r="2517" ht="12" customHeight="1"/>
    <row r="2518" ht="12" customHeight="1"/>
    <row r="2519" ht="15" customHeight="1"/>
    <row r="2520" ht="15" customHeight="1"/>
    <row r="2521" ht="15" customHeight="1"/>
    <row r="2522" ht="15" customHeight="1"/>
    <row r="2523" ht="15" customHeight="1"/>
    <row r="2524" ht="15" customHeight="1"/>
    <row r="2525" ht="15" customHeight="1"/>
    <row r="2526" ht="15" customHeight="1"/>
    <row r="2527" ht="15" customHeight="1"/>
    <row r="2528" ht="15" customHeight="1"/>
    <row r="2529" ht="15" customHeight="1"/>
    <row r="2530" ht="15" customHeight="1"/>
    <row r="2531" ht="15" customHeight="1"/>
    <row r="2532" ht="15" customHeight="1"/>
    <row r="2533" ht="15" customHeight="1"/>
    <row r="2534" ht="15" customHeight="1"/>
    <row r="2535" ht="15" customHeight="1"/>
    <row r="2536" ht="12" customHeight="1"/>
    <row r="2537" ht="15" customHeight="1"/>
    <row r="2538" ht="15" customHeight="1"/>
    <row r="2539" ht="15" customHeight="1"/>
    <row r="2540" ht="15" customHeight="1"/>
    <row r="2541" ht="15" customHeight="1"/>
    <row r="2542" ht="15" customHeight="1"/>
    <row r="2543" ht="15" customHeight="1"/>
    <row r="2544" ht="15" customHeight="1"/>
    <row r="2545" ht="15" customHeight="1"/>
    <row r="2546" ht="15" customHeight="1"/>
    <row r="2547" ht="15" customHeight="1"/>
    <row r="2548" ht="15" customHeight="1"/>
    <row r="2549" ht="15" customHeight="1"/>
    <row r="2550" ht="15" customHeight="1"/>
    <row r="2551" ht="15" customHeight="1"/>
    <row r="2552" ht="15" customHeight="1"/>
    <row r="2553" ht="15" customHeight="1"/>
    <row r="2554" ht="12" customHeight="1"/>
    <row r="2555" ht="15" customHeight="1"/>
    <row r="2556" ht="15" customHeight="1"/>
    <row r="2557" ht="15" customHeight="1"/>
    <row r="2558" ht="15" customHeight="1"/>
    <row r="2559" ht="15" customHeight="1"/>
    <row r="2560" ht="15" customHeight="1"/>
    <row r="2561" ht="15" customHeight="1"/>
    <row r="2562" ht="15" customHeight="1"/>
    <row r="2563" ht="15" customHeight="1"/>
    <row r="2564" ht="15" customHeight="1"/>
    <row r="2565" ht="15" customHeight="1"/>
    <row r="2566" ht="15" customHeight="1"/>
    <row r="2567" ht="15" customHeight="1"/>
    <row r="2568" ht="15" customHeight="1"/>
    <row r="2569" ht="15" customHeight="1"/>
    <row r="2570" ht="15" customHeight="1"/>
    <row r="2571" ht="15" customHeight="1"/>
    <row r="2572" ht="12" customHeight="1"/>
    <row r="2573" ht="15" customHeight="1"/>
    <row r="2574" ht="15" customHeight="1"/>
    <row r="2575" ht="15" customHeight="1"/>
    <row r="2576" ht="15" customHeight="1"/>
    <row r="2577" ht="15" customHeight="1"/>
    <row r="2578" ht="15" customHeight="1"/>
    <row r="2579" ht="15" customHeight="1"/>
    <row r="2580" ht="15" customHeight="1"/>
    <row r="2581" ht="15" customHeight="1"/>
    <row r="2582" ht="15" customHeight="1"/>
    <row r="2583" ht="15" customHeight="1"/>
    <row r="2584" ht="15" customHeight="1"/>
    <row r="2585" ht="15" customHeight="1"/>
    <row r="2586" ht="15" customHeight="1"/>
    <row r="2587" ht="15" customHeight="1"/>
    <row r="2588" ht="15" customHeight="1"/>
    <row r="2589" ht="15" customHeight="1"/>
    <row r="2590" ht="12" customHeight="1"/>
    <row r="2591" ht="15" customHeight="1"/>
    <row r="2592" ht="15" customHeight="1"/>
    <row r="2593" ht="15" customHeight="1"/>
    <row r="2594" ht="15" customHeight="1"/>
    <row r="2595" ht="15" customHeight="1"/>
    <row r="2596" ht="15" customHeight="1"/>
    <row r="2597" ht="15" customHeight="1"/>
    <row r="2598" ht="15" customHeight="1"/>
    <row r="2599" ht="15" customHeight="1"/>
    <row r="2600" ht="15" customHeight="1"/>
    <row r="2601" ht="15" customHeight="1"/>
    <row r="2602" ht="15" customHeight="1"/>
    <row r="2603" ht="15" customHeight="1"/>
    <row r="2604" ht="15" customHeight="1"/>
    <row r="2605" ht="15" customHeight="1"/>
    <row r="2606" ht="15" customHeight="1"/>
    <row r="2607" ht="15" customHeight="1"/>
    <row r="2608" ht="12" customHeight="1"/>
    <row r="2609" ht="15" customHeight="1"/>
    <row r="2610" ht="15" customHeight="1"/>
    <row r="2611" ht="15" customHeight="1"/>
    <row r="2612" ht="15" customHeight="1"/>
    <row r="2613" ht="15" customHeight="1"/>
    <row r="2614" ht="15" customHeight="1"/>
    <row r="2615" ht="15" customHeight="1"/>
    <row r="2616" ht="15" customHeight="1"/>
    <row r="2617" ht="15" customHeight="1"/>
    <row r="2618" ht="15" customHeight="1"/>
    <row r="2619" ht="15" customHeight="1"/>
    <row r="2620" ht="15" customHeight="1"/>
    <row r="2621" ht="15" customHeight="1"/>
    <row r="2622" ht="15" customHeight="1"/>
    <row r="2623" ht="15" customHeight="1"/>
    <row r="2624" ht="15" customHeight="1"/>
    <row r="2625" ht="15" customHeight="1"/>
    <row r="2626" ht="12" customHeight="1"/>
    <row r="2627" ht="15" customHeight="1"/>
    <row r="2628" ht="15" customHeight="1"/>
    <row r="2629" ht="15" customHeight="1"/>
    <row r="2630" ht="15" customHeight="1"/>
    <row r="2631" ht="15" customHeight="1"/>
    <row r="2632" ht="15" customHeight="1"/>
    <row r="2633" ht="15" customHeight="1"/>
    <row r="2634" ht="15" customHeight="1"/>
    <row r="2635" ht="15" customHeight="1"/>
    <row r="2636" ht="15" customHeight="1"/>
    <row r="2637" ht="15" customHeight="1"/>
    <row r="2638" ht="15" customHeight="1"/>
    <row r="2639" ht="15" customHeight="1"/>
    <row r="2640" ht="15" customHeight="1"/>
    <row r="2641" spans="2:32" ht="15" customHeight="1"/>
    <row r="2642" spans="2:32" ht="15" customHeight="1"/>
    <row r="2643" spans="2:32" ht="15" customHeight="1"/>
    <row r="2644" spans="2:32" ht="15" customHeight="1"/>
    <row r="2645" spans="2:32" ht="15" customHeight="1">
      <c r="B2645" s="107"/>
      <c r="C2645" s="107"/>
      <c r="D2645" s="107"/>
      <c r="E2645" s="107"/>
      <c r="F2645" s="107"/>
      <c r="G2645" s="107"/>
      <c r="H2645" s="107"/>
      <c r="I2645" s="107"/>
      <c r="J2645" s="107"/>
      <c r="K2645" s="107"/>
      <c r="L2645" s="107"/>
      <c r="M2645" s="107"/>
      <c r="N2645" s="107"/>
      <c r="O2645" s="107"/>
      <c r="P2645" s="107"/>
      <c r="Q2645" s="107"/>
      <c r="R2645" s="107"/>
      <c r="S2645" s="107"/>
      <c r="T2645" s="107"/>
      <c r="U2645" s="107"/>
      <c r="V2645" s="107"/>
      <c r="W2645" s="107"/>
      <c r="X2645" s="107"/>
      <c r="Y2645" s="107"/>
      <c r="Z2645" s="107"/>
      <c r="AA2645" s="107"/>
      <c r="AB2645" s="107"/>
      <c r="AC2645" s="107"/>
      <c r="AD2645" s="107"/>
      <c r="AE2645" s="107"/>
      <c r="AF2645" s="107"/>
    </row>
    <row r="2646" spans="2:32" ht="15" customHeight="1"/>
    <row r="2647" spans="2:32" ht="12" customHeight="1"/>
    <row r="2648" spans="2:32" ht="12" customHeight="1"/>
    <row r="2649" spans="2:32" ht="12" customHeight="1"/>
    <row r="2650" spans="2:32" ht="12" customHeight="1"/>
    <row r="2651" spans="2:32" ht="12" customHeight="1"/>
    <row r="2652" spans="2:32" ht="12" customHeight="1"/>
    <row r="2653" spans="2:32" ht="12" customHeight="1"/>
    <row r="2654" spans="2:32" ht="12" customHeight="1"/>
    <row r="2655" spans="2:32" ht="12" customHeight="1"/>
    <row r="2656" spans="2:32" ht="12" customHeight="1"/>
    <row r="2657" ht="12" customHeight="1"/>
    <row r="2658" ht="12" customHeight="1"/>
    <row r="2659" ht="12" customHeight="1"/>
    <row r="2660" ht="12" customHeight="1"/>
    <row r="2661" ht="12" customHeight="1"/>
    <row r="2662" ht="12" customHeight="1"/>
    <row r="2663" ht="12" customHeight="1"/>
    <row r="2664" ht="12" customHeight="1"/>
    <row r="2665" ht="12" customHeight="1"/>
    <row r="2666" ht="12" customHeight="1"/>
    <row r="2667" ht="12" customHeight="1"/>
    <row r="2668" ht="12" customHeight="1"/>
    <row r="2669" ht="12" customHeight="1"/>
    <row r="2670" ht="12" customHeight="1"/>
    <row r="2671" ht="12" customHeight="1"/>
    <row r="2672" ht="12" customHeight="1"/>
    <row r="2673" ht="12" customHeight="1"/>
    <row r="2674" ht="12" customHeight="1"/>
    <row r="2675" ht="15" customHeight="1"/>
    <row r="2676" ht="15" customHeight="1"/>
    <row r="2677" ht="15" customHeight="1"/>
    <row r="2678" ht="15" customHeight="1"/>
    <row r="2679" ht="15" customHeight="1"/>
    <row r="2680" ht="15" customHeight="1"/>
    <row r="2681" ht="15" customHeight="1"/>
    <row r="2682" ht="15" customHeight="1"/>
    <row r="2683" ht="15" customHeight="1"/>
    <row r="2684" ht="15" customHeight="1"/>
    <row r="2685" ht="15" customHeight="1"/>
    <row r="2686" ht="15" customHeight="1"/>
    <row r="2687" ht="15" customHeight="1"/>
    <row r="2688" ht="15" customHeight="1"/>
    <row r="2689" ht="15" customHeight="1"/>
    <row r="2690" ht="15" customHeight="1"/>
    <row r="2691" ht="15" customHeight="1"/>
    <row r="2692" ht="15" customHeight="1"/>
    <row r="2693" ht="15" customHeight="1"/>
    <row r="2694" ht="15" customHeight="1"/>
    <row r="2695" ht="15" customHeight="1"/>
    <row r="2696" ht="15" customHeight="1"/>
    <row r="2697" ht="12" customHeight="1"/>
    <row r="2698" ht="15" customHeight="1"/>
    <row r="2699" ht="15" customHeight="1"/>
    <row r="2700" ht="15" customHeight="1"/>
    <row r="2701" ht="15" customHeight="1"/>
    <row r="2702" ht="15" customHeight="1"/>
    <row r="2703" ht="15" customHeight="1"/>
    <row r="2704" ht="15" customHeight="1"/>
    <row r="2705" ht="15" customHeight="1"/>
    <row r="2706" ht="15" customHeight="1"/>
    <row r="2707" ht="15" customHeight="1"/>
    <row r="2708" ht="15" customHeight="1"/>
    <row r="2709" ht="15" customHeight="1"/>
    <row r="2710" ht="15" customHeight="1"/>
    <row r="2711" ht="15" customHeight="1"/>
    <row r="2712" ht="15" customHeight="1"/>
    <row r="2713" ht="15" customHeight="1"/>
    <row r="2714" ht="15" customHeight="1"/>
    <row r="2715" ht="12" customHeight="1"/>
    <row r="2716" ht="15" customHeight="1"/>
    <row r="2717" ht="15" customHeight="1"/>
    <row r="2718" ht="15" customHeight="1"/>
    <row r="2719" ht="15" customHeight="1"/>
    <row r="2720" ht="15" customHeight="1"/>
    <row r="2721" ht="15" customHeight="1"/>
    <row r="2722" ht="15" customHeight="1"/>
    <row r="2723" ht="15" customHeight="1"/>
    <row r="2724" ht="15" customHeight="1"/>
    <row r="2725" ht="15" customHeight="1"/>
    <row r="2726" ht="15" customHeight="1"/>
    <row r="2727" ht="15" customHeight="1"/>
    <row r="2728" ht="15" customHeight="1"/>
    <row r="2729" ht="15" customHeight="1"/>
    <row r="2730" ht="15" customHeight="1"/>
    <row r="2731" ht="15" customHeight="1"/>
    <row r="2732" ht="15" customHeight="1"/>
    <row r="2733" ht="12" customHeight="1"/>
    <row r="2734" ht="15" customHeight="1"/>
    <row r="2735" ht="15" customHeight="1"/>
    <row r="2736" ht="15" customHeight="1"/>
    <row r="2737" ht="15" customHeight="1"/>
    <row r="2738" ht="15" customHeight="1"/>
    <row r="2739" ht="15" customHeight="1"/>
    <row r="2740" ht="15" customHeight="1"/>
    <row r="2741" ht="15" customHeight="1"/>
    <row r="2742" ht="15" customHeight="1"/>
    <row r="2743" ht="15" customHeight="1"/>
    <row r="2744" ht="15" customHeight="1"/>
    <row r="2745" ht="15" customHeight="1"/>
    <row r="2746" ht="15" customHeight="1"/>
    <row r="2747" ht="15" customHeight="1"/>
    <row r="2748" ht="15" customHeight="1"/>
    <row r="2749" ht="15" customHeight="1"/>
    <row r="2750" ht="15" customHeight="1"/>
    <row r="2751" ht="12" customHeight="1"/>
    <row r="2752" ht="15" customHeight="1"/>
    <row r="2753" ht="15" customHeight="1"/>
    <row r="2754" ht="15" customHeight="1"/>
    <row r="2755" ht="15" customHeight="1"/>
    <row r="2756" ht="15" customHeight="1"/>
    <row r="2757" ht="15" customHeight="1"/>
    <row r="2758" ht="15" customHeight="1"/>
    <row r="2759" ht="15" customHeight="1"/>
    <row r="2760" ht="15" customHeight="1"/>
    <row r="2761" ht="15" customHeight="1"/>
    <row r="2762" ht="15" customHeight="1"/>
    <row r="2763" ht="15" customHeight="1"/>
    <row r="2764" ht="15" customHeight="1"/>
    <row r="2765" ht="15" customHeight="1"/>
    <row r="2766" ht="15" customHeight="1"/>
    <row r="2767" ht="15" customHeight="1"/>
    <row r="2768" ht="15" customHeight="1"/>
    <row r="2769" ht="15" customHeight="1"/>
    <row r="2770" ht="15" customHeight="1"/>
    <row r="2771" ht="15" customHeight="1"/>
    <row r="2772" ht="15" customHeight="1"/>
    <row r="2773" ht="15" customHeight="1"/>
    <row r="2774" ht="15" customHeight="1"/>
    <row r="2775" ht="15" customHeight="1"/>
    <row r="2776" ht="15" customHeight="1"/>
    <row r="2777" ht="15" customHeight="1"/>
    <row r="2778" ht="15" customHeight="1"/>
    <row r="2779" ht="15" customHeight="1"/>
    <row r="2780" ht="15" customHeight="1"/>
    <row r="2781" ht="15" customHeight="1"/>
    <row r="2782" ht="15" customHeight="1"/>
    <row r="2783" ht="15" customHeight="1"/>
    <row r="2784" ht="15" customHeight="1"/>
    <row r="2785" ht="15" customHeight="1"/>
    <row r="2786" ht="12" customHeight="1"/>
    <row r="2787" ht="15" customHeight="1"/>
    <row r="2788" ht="15" customHeight="1"/>
    <row r="2789" ht="15" customHeight="1"/>
    <row r="2790" ht="15" customHeight="1"/>
    <row r="2791" ht="15" customHeight="1"/>
    <row r="2792" ht="15" customHeight="1"/>
    <row r="2793" ht="15" customHeight="1"/>
    <row r="2794" ht="15" customHeight="1"/>
    <row r="2795" ht="15" customHeight="1"/>
    <row r="2796" ht="15" customHeight="1"/>
    <row r="2797" ht="15" customHeight="1"/>
    <row r="2798" ht="15" customHeight="1"/>
    <row r="2799" ht="15" customHeight="1"/>
    <row r="2800" ht="15" customHeight="1"/>
    <row r="2801" ht="15" customHeight="1"/>
    <row r="2802" ht="15" customHeight="1"/>
    <row r="2803" ht="15" customHeight="1"/>
    <row r="2804" ht="12" customHeight="1"/>
    <row r="2805" ht="15" customHeight="1"/>
    <row r="2806" ht="15" customHeight="1"/>
    <row r="2807" ht="15" customHeight="1"/>
    <row r="2808" ht="15" customHeight="1"/>
    <row r="2809" ht="15" customHeight="1"/>
    <row r="2810" ht="15" customHeight="1"/>
    <row r="2811" ht="15" customHeight="1"/>
    <row r="2812" ht="15" customHeight="1"/>
    <row r="2813" ht="15" customHeight="1"/>
    <row r="2814" ht="15" customHeight="1"/>
    <row r="2815" ht="15" customHeight="1"/>
    <row r="2816" ht="15" customHeight="1"/>
    <row r="2817" ht="15" customHeight="1"/>
    <row r="2818" ht="15" customHeight="1"/>
    <row r="2819" ht="15" customHeight="1"/>
    <row r="2820" ht="15" customHeight="1"/>
    <row r="2821" ht="15" customHeight="1"/>
    <row r="2822" ht="15" customHeight="1"/>
    <row r="2823" ht="15" customHeight="1"/>
    <row r="2824" ht="15" customHeight="1"/>
    <row r="2825" ht="15" customHeight="1"/>
    <row r="2826" ht="15" customHeight="1"/>
    <row r="2827" ht="15" customHeight="1"/>
    <row r="2828" ht="15" customHeight="1"/>
    <row r="2829" ht="15" customHeight="1"/>
    <row r="2830" ht="15" customHeight="1"/>
    <row r="2831" ht="15" customHeight="1"/>
    <row r="2832" ht="15" customHeight="1"/>
    <row r="2833" ht="15" customHeight="1"/>
    <row r="2834" ht="15" customHeight="1"/>
    <row r="2835" ht="15" customHeight="1"/>
    <row r="2836" ht="15" customHeight="1"/>
    <row r="2837" ht="15" customHeight="1"/>
    <row r="2838" ht="15" customHeight="1"/>
    <row r="2839" ht="12" customHeight="1"/>
    <row r="2840" ht="15" customHeight="1"/>
    <row r="2841" ht="15" customHeight="1"/>
    <row r="2842" ht="15" customHeight="1"/>
    <row r="2843" ht="15" customHeight="1"/>
    <row r="2844" ht="15" customHeight="1"/>
    <row r="2845" ht="15" customHeight="1"/>
    <row r="2846" ht="15" customHeight="1"/>
    <row r="2847" ht="15" customHeight="1"/>
    <row r="2848" ht="15" customHeight="1"/>
    <row r="2849" ht="15" customHeight="1"/>
    <row r="2850" ht="15" customHeight="1"/>
    <row r="2851" ht="15" customHeight="1"/>
    <row r="2852" ht="15" customHeight="1"/>
    <row r="2853" ht="15" customHeight="1"/>
    <row r="2854" ht="15" customHeight="1"/>
    <row r="2855" ht="15" customHeight="1"/>
    <row r="2856" ht="15" customHeight="1"/>
    <row r="2857" ht="12" customHeight="1"/>
    <row r="2858" ht="15" customHeight="1"/>
    <row r="2859" ht="15" customHeight="1"/>
    <row r="2860" ht="15" customHeight="1"/>
    <row r="2861" ht="15" customHeight="1"/>
    <row r="2862" ht="15" customHeight="1"/>
    <row r="2863" ht="15" customHeight="1"/>
    <row r="2864" ht="15" customHeight="1"/>
    <row r="2865" ht="15" customHeight="1"/>
    <row r="2866" ht="15" customHeight="1"/>
    <row r="2867" ht="15" customHeight="1"/>
    <row r="2868" ht="15" customHeight="1"/>
    <row r="2869" ht="15" customHeight="1"/>
    <row r="2870" ht="15" customHeight="1"/>
    <row r="2871" ht="15" customHeight="1"/>
    <row r="2872" ht="15" customHeight="1"/>
    <row r="2873" ht="15" customHeight="1"/>
    <row r="2874" ht="15" customHeight="1"/>
    <row r="2875" ht="12" customHeight="1"/>
    <row r="2876" ht="15" customHeight="1"/>
    <row r="2877" ht="15" customHeight="1"/>
    <row r="2878" ht="15" customHeight="1"/>
    <row r="2879" ht="15" customHeight="1"/>
    <row r="2880" ht="15" customHeight="1"/>
    <row r="2881" ht="15" customHeight="1"/>
    <row r="2882" ht="15" customHeight="1"/>
    <row r="2883" ht="15" customHeight="1"/>
    <row r="2884" ht="15" customHeight="1"/>
    <row r="2885" ht="15" customHeight="1"/>
    <row r="2886" ht="15" customHeight="1"/>
    <row r="2887" ht="15" customHeight="1"/>
    <row r="2888" ht="15" customHeight="1"/>
    <row r="2889" ht="15" customHeight="1"/>
    <row r="2890" ht="15" customHeight="1"/>
    <row r="2891" ht="15" customHeight="1"/>
    <row r="2892" ht="15" customHeight="1"/>
    <row r="2893" ht="12" customHeight="1"/>
    <row r="2894" ht="15" customHeight="1"/>
    <row r="2895" ht="15" customHeight="1"/>
    <row r="2896" ht="15" customHeight="1"/>
    <row r="2897" ht="15" customHeight="1"/>
    <row r="2898" ht="15" customHeight="1"/>
    <row r="2899" ht="15" customHeight="1"/>
    <row r="2900" ht="15" customHeight="1"/>
    <row r="2901" ht="15" customHeight="1"/>
    <row r="2902" ht="15" customHeight="1"/>
    <row r="2903" ht="15" customHeight="1"/>
    <row r="2904" ht="15" customHeight="1"/>
    <row r="2905" ht="15" customHeight="1"/>
    <row r="2906" ht="15" customHeight="1"/>
    <row r="2907" ht="15" customHeight="1"/>
    <row r="2908" ht="15" customHeight="1"/>
    <row r="2909" ht="15" customHeight="1"/>
    <row r="2910" ht="15" customHeight="1"/>
    <row r="2911" ht="12" customHeight="1"/>
    <row r="2912" ht="15" customHeight="1"/>
    <row r="2913" ht="15" customHeight="1"/>
    <row r="2914" ht="15" customHeight="1"/>
    <row r="2915" ht="15" customHeight="1"/>
    <row r="2916" ht="15" customHeight="1"/>
    <row r="2917" ht="15" customHeight="1"/>
    <row r="2918" ht="15" customHeight="1"/>
    <row r="2919" ht="15" customHeight="1"/>
    <row r="2920" ht="15" customHeight="1"/>
    <row r="2921" ht="15" customHeight="1"/>
    <row r="2922" ht="15" customHeight="1"/>
    <row r="2923" ht="15" customHeight="1"/>
    <row r="2924" ht="15" customHeight="1"/>
    <row r="2925" ht="15" customHeight="1"/>
    <row r="2926" ht="15" customHeight="1"/>
    <row r="2927" ht="15" customHeight="1"/>
    <row r="2928" ht="15" customHeight="1"/>
    <row r="2929" ht="12" customHeight="1"/>
    <row r="2930" ht="15" customHeight="1"/>
    <row r="2931" ht="15" customHeight="1"/>
    <row r="2932" ht="15" customHeight="1"/>
    <row r="2933" ht="15" customHeight="1"/>
    <row r="2934" ht="15" customHeight="1"/>
    <row r="2935" ht="15" customHeight="1"/>
    <row r="2936" ht="15" customHeight="1"/>
    <row r="2937" ht="15" customHeight="1"/>
    <row r="2938" ht="15" customHeight="1"/>
    <row r="2939" ht="15" customHeight="1"/>
    <row r="2940" ht="15" customHeight="1"/>
    <row r="2941" ht="15" customHeight="1"/>
    <row r="2942" ht="15" customHeight="1"/>
    <row r="2943" ht="15" customHeight="1"/>
    <row r="2944" ht="15" customHeight="1"/>
    <row r="2945" ht="15" customHeight="1"/>
    <row r="2946" ht="15" customHeight="1"/>
    <row r="2947" ht="12" customHeight="1"/>
    <row r="2948" ht="15" customHeight="1"/>
    <row r="2949" ht="15" customHeight="1"/>
    <row r="2950" ht="15" customHeight="1"/>
    <row r="2951" ht="15" customHeight="1"/>
    <row r="2952" ht="15" customHeight="1"/>
    <row r="2953" ht="15" customHeight="1"/>
    <row r="2954" ht="15" customHeight="1"/>
    <row r="2955" ht="15" customHeight="1"/>
    <row r="2956" ht="15" customHeight="1"/>
    <row r="2957" ht="15" customHeight="1"/>
    <row r="2958" ht="15" customHeight="1"/>
    <row r="2959" ht="15" customHeight="1"/>
    <row r="2960" ht="15" customHeight="1"/>
    <row r="2961" spans="2:32" ht="15" customHeight="1"/>
    <row r="2962" spans="2:32" ht="15" customHeight="1"/>
    <row r="2963" spans="2:32" ht="15" customHeight="1"/>
    <row r="2964" spans="2:32" ht="15" customHeight="1"/>
    <row r="2965" spans="2:32" ht="12" customHeight="1"/>
    <row r="2966" spans="2:32" ht="15" customHeight="1"/>
    <row r="2967" spans="2:32" ht="15" customHeight="1"/>
    <row r="2968" spans="2:32" ht="15" customHeight="1"/>
    <row r="2969" spans="2:32" ht="15" customHeight="1"/>
    <row r="2970" spans="2:32" ht="15" customHeight="1"/>
    <row r="2971" spans="2:32" ht="15" customHeight="1">
      <c r="B2971" s="107"/>
      <c r="C2971" s="107"/>
      <c r="D2971" s="107"/>
      <c r="E2971" s="107"/>
      <c r="F2971" s="107"/>
      <c r="G2971" s="107"/>
      <c r="H2971" s="107"/>
      <c r="I2971" s="107"/>
      <c r="J2971" s="107"/>
      <c r="K2971" s="107"/>
      <c r="L2971" s="107"/>
      <c r="M2971" s="107"/>
      <c r="N2971" s="107"/>
      <c r="O2971" s="107"/>
      <c r="P2971" s="107"/>
      <c r="Q2971" s="107"/>
      <c r="R2971" s="107"/>
      <c r="S2971" s="107"/>
      <c r="T2971" s="107"/>
      <c r="U2971" s="107"/>
      <c r="V2971" s="107"/>
      <c r="W2971" s="107"/>
      <c r="X2971" s="107"/>
      <c r="Y2971" s="107"/>
      <c r="Z2971" s="107"/>
      <c r="AA2971" s="107"/>
      <c r="AB2971" s="107"/>
      <c r="AC2971" s="107"/>
      <c r="AD2971" s="107"/>
      <c r="AE2971" s="107"/>
      <c r="AF2971" s="107"/>
    </row>
    <row r="2972" spans="2:32" ht="15" customHeight="1"/>
    <row r="2973" spans="2:32" ht="12" customHeight="1"/>
    <row r="2974" spans="2:32" ht="12" customHeight="1"/>
    <row r="2975" spans="2:32" ht="12" customHeight="1"/>
    <row r="2976" spans="2:32" ht="12" customHeight="1"/>
    <row r="2977" ht="12" customHeight="1"/>
    <row r="2978" ht="12" customHeight="1"/>
    <row r="2979" ht="12" customHeight="1"/>
    <row r="2980" ht="12" customHeight="1"/>
    <row r="2981" ht="12" customHeight="1"/>
    <row r="2982" ht="12" customHeight="1"/>
    <row r="2983" ht="12" customHeight="1"/>
    <row r="2984" ht="12" customHeight="1"/>
    <row r="2985" ht="12" customHeight="1"/>
    <row r="2986" ht="12" customHeight="1"/>
    <row r="2987" ht="12" customHeight="1"/>
    <row r="2988" ht="12" customHeight="1"/>
    <row r="2989" ht="12" customHeight="1"/>
    <row r="2990" ht="12" customHeight="1"/>
    <row r="2991" ht="12" customHeight="1"/>
    <row r="2992" ht="12" customHeight="1"/>
    <row r="2993" ht="12" customHeight="1"/>
    <row r="2994" ht="12" customHeight="1"/>
    <row r="2995" ht="12" customHeight="1"/>
    <row r="2996" ht="12" customHeight="1"/>
    <row r="2997" ht="12" customHeight="1"/>
    <row r="2998" ht="12" customHeight="1"/>
    <row r="2999" ht="12" customHeight="1"/>
    <row r="3000" ht="15" customHeight="1"/>
    <row r="3001" ht="15" customHeight="1"/>
    <row r="3002" ht="15" customHeight="1"/>
    <row r="3003" ht="15" customHeight="1"/>
    <row r="3004" ht="15" customHeight="1"/>
    <row r="3005" ht="15" customHeight="1"/>
    <row r="3006" ht="15" customHeight="1"/>
    <row r="3007" ht="15" customHeight="1"/>
    <row r="3008" ht="15" customHeight="1"/>
    <row r="3009" ht="15" customHeight="1"/>
    <row r="3010" ht="15" customHeight="1"/>
    <row r="3011" ht="15" customHeight="1"/>
    <row r="3012" ht="15" customHeight="1"/>
    <row r="3013" ht="15" customHeight="1"/>
    <row r="3014" ht="15" customHeight="1"/>
    <row r="3015" ht="15" customHeight="1"/>
    <row r="3016" ht="15" customHeight="1"/>
    <row r="3017" ht="15" customHeight="1"/>
    <row r="3018" ht="15" customHeight="1"/>
    <row r="3019" ht="15" customHeight="1"/>
    <row r="3020" ht="15" customHeight="1"/>
    <row r="3021" ht="15" customHeight="1"/>
    <row r="3022" ht="12" customHeight="1"/>
    <row r="3023" ht="15" customHeight="1"/>
    <row r="3024" ht="15" customHeight="1"/>
    <row r="3025" ht="15" customHeight="1"/>
    <row r="3026" ht="15" customHeight="1"/>
    <row r="3027" ht="15" customHeight="1"/>
    <row r="3028" ht="15" customHeight="1"/>
    <row r="3029" ht="15" customHeight="1"/>
    <row r="3030" ht="15" customHeight="1"/>
    <row r="3031" ht="15" customHeight="1"/>
    <row r="3032" ht="15" customHeight="1"/>
    <row r="3033" ht="15" customHeight="1"/>
    <row r="3034" ht="15" customHeight="1"/>
    <row r="3035" ht="15" customHeight="1"/>
    <row r="3036" ht="15" customHeight="1"/>
    <row r="3037" ht="15" customHeight="1"/>
    <row r="3038" ht="15" customHeight="1"/>
    <row r="3039" ht="15" customHeight="1"/>
    <row r="3040" ht="12" customHeight="1"/>
    <row r="3041" ht="15" customHeight="1"/>
    <row r="3042" ht="15" customHeight="1"/>
    <row r="3043" ht="15" customHeight="1"/>
    <row r="3044" ht="15" customHeight="1"/>
    <row r="3045" ht="15" customHeight="1"/>
    <row r="3046" ht="15" customHeight="1"/>
    <row r="3047" ht="15" customHeight="1"/>
    <row r="3048" ht="15" customHeight="1"/>
    <row r="3049" ht="15" customHeight="1"/>
    <row r="3050" ht="15" customHeight="1"/>
    <row r="3051" ht="15" customHeight="1"/>
    <row r="3052" ht="15" customHeight="1"/>
    <row r="3053" ht="15" customHeight="1"/>
    <row r="3054" ht="15" customHeight="1"/>
    <row r="3055" ht="15" customHeight="1"/>
    <row r="3056" ht="15" customHeight="1"/>
    <row r="3057" ht="15" customHeight="1"/>
    <row r="3058" ht="12" customHeight="1"/>
    <row r="3059" ht="15" customHeight="1"/>
    <row r="3060" ht="15" customHeight="1"/>
    <row r="3061" ht="15" customHeight="1"/>
    <row r="3062" ht="15" customHeight="1"/>
    <row r="3063" ht="15" customHeight="1"/>
    <row r="3064" ht="15" customHeight="1"/>
    <row r="3065" ht="15" customHeight="1"/>
    <row r="3066" ht="15" customHeight="1"/>
    <row r="3067" ht="15" customHeight="1"/>
    <row r="3068" ht="15" customHeight="1"/>
    <row r="3069" ht="15" customHeight="1"/>
    <row r="3070" ht="15" customHeight="1"/>
    <row r="3071" ht="15" customHeight="1"/>
    <row r="3072" ht="15" customHeight="1"/>
    <row r="3073" ht="15" customHeight="1"/>
    <row r="3074" ht="15" customHeight="1"/>
    <row r="3075" ht="15" customHeight="1"/>
    <row r="3076" ht="12" customHeight="1"/>
    <row r="3077" ht="15" customHeight="1"/>
    <row r="3078" ht="15" customHeight="1"/>
    <row r="3079" ht="15" customHeight="1"/>
    <row r="3080" ht="15" customHeight="1"/>
    <row r="3081" ht="15" customHeight="1"/>
    <row r="3082" ht="15" customHeight="1"/>
    <row r="3083" ht="15" customHeight="1"/>
    <row r="3084" ht="15" customHeight="1"/>
    <row r="3085" ht="15" customHeight="1"/>
    <row r="3086" ht="15" customHeight="1"/>
    <row r="3087" ht="15" customHeight="1"/>
    <row r="3088" ht="15" customHeight="1"/>
    <row r="3089" ht="15" customHeight="1"/>
    <row r="3090" ht="15" customHeight="1"/>
    <row r="3091" ht="15" customHeight="1"/>
    <row r="3092" ht="15" customHeight="1"/>
    <row r="3093" ht="15" customHeight="1"/>
    <row r="3094" ht="15" customHeight="1"/>
    <row r="3095" ht="15" customHeight="1"/>
    <row r="3096" ht="15" customHeight="1"/>
    <row r="3097" ht="15" customHeight="1"/>
    <row r="3098" ht="15" customHeight="1"/>
    <row r="3099" ht="15" customHeight="1"/>
    <row r="3100" ht="15" customHeight="1"/>
    <row r="3101" ht="15" customHeight="1"/>
    <row r="3102" ht="15" customHeight="1"/>
    <row r="3103" ht="15" customHeight="1"/>
    <row r="3104" ht="15" customHeight="1"/>
    <row r="3105" ht="15" customHeight="1"/>
    <row r="3106" ht="15" customHeight="1"/>
    <row r="3107" ht="15" customHeight="1"/>
    <row r="3108" ht="15" customHeight="1"/>
    <row r="3109" ht="15" customHeight="1"/>
    <row r="3110" ht="15" customHeight="1"/>
    <row r="3111" ht="12" customHeight="1"/>
    <row r="3112" ht="15" customHeight="1"/>
    <row r="3113" ht="15" customHeight="1"/>
    <row r="3114" ht="15" customHeight="1"/>
    <row r="3115" ht="15" customHeight="1"/>
    <row r="3116" ht="15" customHeight="1"/>
    <row r="3117" ht="15" customHeight="1"/>
    <row r="3118" ht="15" customHeight="1"/>
    <row r="3119" ht="15" customHeight="1"/>
    <row r="3120" ht="15" customHeight="1"/>
    <row r="3121" ht="15" customHeight="1"/>
    <row r="3122" ht="15" customHeight="1"/>
    <row r="3123" ht="15" customHeight="1"/>
    <row r="3124" ht="15" customHeight="1"/>
    <row r="3125" ht="15" customHeight="1"/>
    <row r="3126" ht="15" customHeight="1"/>
    <row r="3127" ht="15" customHeight="1"/>
    <row r="3128" ht="15" customHeight="1"/>
    <row r="3129" ht="12" customHeight="1"/>
    <row r="3130" ht="15" customHeight="1"/>
    <row r="3131" ht="15" customHeight="1"/>
    <row r="3132" ht="15" customHeight="1"/>
    <row r="3133" ht="15" customHeight="1"/>
    <row r="3134" ht="15" customHeight="1"/>
    <row r="3135" ht="15" customHeight="1"/>
    <row r="3136" ht="15" customHeight="1"/>
    <row r="3137" ht="15" customHeight="1"/>
    <row r="3138" ht="15" customHeight="1"/>
    <row r="3139" ht="15" customHeight="1"/>
    <row r="3140" ht="15" customHeight="1"/>
    <row r="3141" ht="15" customHeight="1"/>
    <row r="3142" ht="15" customHeight="1"/>
    <row r="3143" ht="15" customHeight="1"/>
    <row r="3144" ht="15" customHeight="1"/>
    <row r="3145" ht="15" customHeight="1"/>
    <row r="3146" ht="15" customHeight="1"/>
    <row r="3147" ht="12" customHeight="1"/>
    <row r="3148" ht="15" customHeight="1"/>
    <row r="3149" ht="15" customHeight="1"/>
    <row r="3150" ht="15" customHeight="1"/>
    <row r="3151" ht="15" customHeight="1"/>
    <row r="3152" ht="15" customHeight="1"/>
    <row r="3153" ht="15" customHeight="1"/>
    <row r="3154" ht="15" customHeight="1"/>
    <row r="3155" ht="15" customHeight="1"/>
    <row r="3156" ht="15" customHeight="1"/>
    <row r="3157" ht="15" customHeight="1"/>
    <row r="3158" ht="15" customHeight="1"/>
    <row r="3159" ht="15" customHeight="1"/>
    <row r="3160" ht="15" customHeight="1"/>
    <row r="3161" ht="15" customHeight="1"/>
    <row r="3162" ht="15" customHeight="1"/>
    <row r="3163" ht="15" customHeight="1"/>
    <row r="3164" ht="15" customHeight="1"/>
    <row r="3165" ht="12" customHeight="1"/>
    <row r="3166" ht="12" customHeight="1"/>
    <row r="3167" ht="15" customHeight="1"/>
    <row r="3168" ht="15" customHeight="1"/>
    <row r="3169" ht="15" customHeight="1"/>
    <row r="3170" ht="15" customHeight="1"/>
    <row r="3171" ht="15" customHeight="1"/>
    <row r="3172" ht="15" customHeight="1"/>
    <row r="3173" ht="15" customHeight="1"/>
    <row r="3174" ht="15" customHeight="1"/>
    <row r="3175" ht="15" customHeight="1"/>
    <row r="3176" ht="15" customHeight="1"/>
    <row r="3177" ht="15" customHeight="1"/>
    <row r="3178" ht="15" customHeight="1"/>
    <row r="3179" ht="15" customHeight="1"/>
    <row r="3180" ht="15" customHeight="1"/>
    <row r="3181" ht="15" customHeight="1"/>
    <row r="3182" ht="15" customHeight="1"/>
    <row r="3183" ht="15" customHeight="1"/>
    <row r="3184" ht="12" customHeight="1"/>
    <row r="3185" ht="15" customHeight="1"/>
    <row r="3186" ht="15" customHeight="1"/>
    <row r="3187" ht="15" customHeight="1"/>
    <row r="3188" ht="15" customHeight="1"/>
    <row r="3189" ht="15" customHeight="1"/>
    <row r="3190" ht="15" customHeight="1"/>
    <row r="3191" ht="15" customHeight="1"/>
    <row r="3192" ht="15" customHeight="1"/>
    <row r="3193" ht="15" customHeight="1"/>
    <row r="3194" ht="15" customHeight="1"/>
    <row r="3195" ht="15" customHeight="1"/>
    <row r="3196" ht="15" customHeight="1"/>
    <row r="3197" ht="15" customHeight="1"/>
    <row r="3198" ht="15" customHeight="1"/>
    <row r="3199" ht="15" customHeight="1"/>
    <row r="3200" ht="15" customHeight="1"/>
    <row r="3201" ht="15" customHeight="1"/>
    <row r="3202" ht="12" customHeight="1"/>
    <row r="3203" ht="15" customHeight="1"/>
    <row r="3204" ht="15" customHeight="1"/>
    <row r="3205" ht="15" customHeight="1"/>
    <row r="3206" ht="15" customHeight="1"/>
    <row r="3207" ht="15" customHeight="1"/>
    <row r="3208" ht="15" customHeight="1"/>
    <row r="3209" ht="15" customHeight="1"/>
    <row r="3210" ht="15" customHeight="1"/>
    <row r="3211" ht="15" customHeight="1"/>
    <row r="3212" ht="15" customHeight="1"/>
    <row r="3213" ht="15" customHeight="1"/>
    <row r="3214" ht="15" customHeight="1"/>
    <row r="3215" ht="15" customHeight="1"/>
    <row r="3216" ht="15" customHeight="1"/>
    <row r="3217" ht="15" customHeight="1"/>
    <row r="3218" ht="15" customHeight="1"/>
    <row r="3219" ht="15" customHeight="1"/>
    <row r="3220" ht="12" customHeight="1"/>
    <row r="3221" ht="15" customHeight="1"/>
    <row r="3222" ht="15" customHeight="1"/>
    <row r="3223" ht="15" customHeight="1"/>
    <row r="3224" ht="15" customHeight="1"/>
    <row r="3225" ht="15" customHeight="1"/>
    <row r="3226" ht="15" customHeight="1"/>
    <row r="3227" ht="15" customHeight="1"/>
    <row r="3228" ht="15" customHeight="1"/>
    <row r="3229" ht="15" customHeight="1"/>
    <row r="3230" ht="15" customHeight="1"/>
    <row r="3231" ht="15" customHeight="1"/>
    <row r="3232" ht="15" customHeight="1"/>
    <row r="3233" ht="15" customHeight="1"/>
    <row r="3234" ht="15" customHeight="1"/>
    <row r="3235" ht="15" customHeight="1"/>
    <row r="3236" ht="15" customHeight="1"/>
    <row r="3237" ht="15" customHeight="1"/>
    <row r="3238" ht="12" customHeight="1"/>
    <row r="3239" ht="15" customHeight="1"/>
    <row r="3240" ht="15" customHeight="1"/>
    <row r="3241" ht="15" customHeight="1"/>
    <row r="3242" ht="15" customHeight="1"/>
    <row r="3243" ht="15" customHeight="1"/>
    <row r="3244" ht="15" customHeight="1"/>
    <row r="3245" ht="15" customHeight="1"/>
    <row r="3246" ht="15" customHeight="1"/>
    <row r="3247" ht="15" customHeight="1"/>
    <row r="3248" ht="15" customHeight="1"/>
    <row r="3249" ht="15" customHeight="1"/>
    <row r="3250" ht="15" customHeight="1"/>
    <row r="3251" ht="15" customHeight="1"/>
    <row r="3252" ht="15" customHeight="1"/>
    <row r="3253" ht="15" customHeight="1"/>
    <row r="3254" ht="15" customHeight="1"/>
    <row r="3255" ht="15" customHeight="1"/>
    <row r="3256" ht="12" customHeight="1"/>
    <row r="3257" ht="15" customHeight="1"/>
    <row r="3258" ht="15" customHeight="1"/>
    <row r="3259" ht="15" customHeight="1"/>
    <row r="3260" ht="15" customHeight="1"/>
    <row r="3261" ht="15" customHeight="1"/>
    <row r="3262" ht="15" customHeight="1"/>
    <row r="3263" ht="15" customHeight="1"/>
    <row r="3264" ht="15" customHeight="1"/>
    <row r="3265" ht="15" customHeight="1"/>
    <row r="3266" ht="15" customHeight="1"/>
    <row r="3267" ht="15" customHeight="1"/>
    <row r="3268" ht="15" customHeight="1"/>
    <row r="3269" ht="15" customHeight="1"/>
    <row r="3270" ht="15" customHeight="1"/>
    <row r="3271" ht="15" customHeight="1"/>
    <row r="3272" ht="15" customHeight="1"/>
    <row r="3273" ht="15" customHeight="1"/>
    <row r="3274" ht="12" customHeight="1"/>
    <row r="3275" ht="15" customHeight="1"/>
    <row r="3276" ht="15" customHeight="1"/>
    <row r="3277" ht="15" customHeight="1"/>
    <row r="3278" ht="15" customHeight="1"/>
    <row r="3279" ht="15" customHeight="1"/>
    <row r="3280" ht="15" customHeight="1"/>
    <row r="3281" spans="2:32" ht="15" customHeight="1"/>
    <row r="3282" spans="2:32" ht="15" customHeight="1"/>
    <row r="3283" spans="2:32" ht="15" customHeight="1"/>
    <row r="3284" spans="2:32" ht="15" customHeight="1"/>
    <row r="3285" spans="2:32" ht="15" customHeight="1"/>
    <row r="3286" spans="2:32" ht="15" customHeight="1"/>
    <row r="3287" spans="2:32" ht="15" customHeight="1"/>
    <row r="3288" spans="2:32" ht="15" customHeight="1"/>
    <row r="3289" spans="2:32" ht="15" customHeight="1"/>
    <row r="3290" spans="2:32" ht="15" customHeight="1"/>
    <row r="3291" spans="2:32" ht="15" customHeight="1"/>
    <row r="3292" spans="2:32" ht="15" customHeight="1"/>
    <row r="3293" spans="2:32" ht="15" customHeight="1">
      <c r="B3293" s="107"/>
      <c r="C3293" s="107"/>
      <c r="D3293" s="107"/>
      <c r="E3293" s="107"/>
      <c r="F3293" s="107"/>
      <c r="G3293" s="107"/>
      <c r="H3293" s="107"/>
      <c r="I3293" s="107"/>
      <c r="J3293" s="107"/>
      <c r="K3293" s="107"/>
      <c r="L3293" s="107"/>
      <c r="M3293" s="107"/>
      <c r="N3293" s="107"/>
      <c r="O3293" s="107"/>
      <c r="P3293" s="107"/>
      <c r="Q3293" s="107"/>
      <c r="R3293" s="107"/>
      <c r="S3293" s="107"/>
      <c r="T3293" s="107"/>
      <c r="U3293" s="107"/>
      <c r="V3293" s="107"/>
      <c r="W3293" s="107"/>
      <c r="X3293" s="107"/>
      <c r="Y3293" s="107"/>
      <c r="Z3293" s="107"/>
      <c r="AA3293" s="107"/>
      <c r="AB3293" s="107"/>
      <c r="AC3293" s="107"/>
      <c r="AD3293" s="107"/>
      <c r="AE3293" s="107"/>
      <c r="AF3293" s="107"/>
    </row>
    <row r="3294" spans="2:32" ht="12" customHeight="1"/>
    <row r="3295" spans="2:32" ht="12" customHeight="1"/>
    <row r="3296" spans="2:32" ht="12" customHeight="1"/>
    <row r="3297" ht="12" customHeight="1"/>
    <row r="3298" ht="12" customHeight="1"/>
    <row r="3299" ht="12" customHeight="1"/>
    <row r="3300" ht="12" customHeight="1"/>
    <row r="3301" ht="12" customHeight="1"/>
    <row r="3302" ht="12" customHeight="1"/>
    <row r="3303" ht="12" customHeight="1"/>
    <row r="3304" ht="12" customHeight="1"/>
    <row r="3305" ht="12" customHeight="1"/>
    <row r="3306" ht="12" customHeight="1"/>
    <row r="3307" ht="12" customHeight="1"/>
    <row r="3308" ht="12" customHeight="1"/>
    <row r="3309" ht="12" customHeight="1"/>
    <row r="3310" ht="12" customHeight="1"/>
    <row r="3311" ht="12" customHeight="1"/>
    <row r="3312" ht="12" customHeight="1"/>
    <row r="3313" ht="12" customHeight="1"/>
    <row r="3314" ht="12" customHeight="1"/>
    <row r="3315" ht="12" customHeight="1"/>
    <row r="3316" ht="12" customHeight="1"/>
    <row r="3317" ht="12" customHeight="1"/>
    <row r="3318" ht="12" customHeight="1"/>
    <row r="3319" ht="12" customHeight="1"/>
    <row r="3320" ht="12" customHeight="1"/>
    <row r="3321" ht="12" customHeight="1"/>
    <row r="3322" ht="12" customHeight="1"/>
    <row r="3323" ht="12" customHeight="1"/>
    <row r="3324" ht="12" customHeight="1"/>
    <row r="3325" ht="15" customHeight="1"/>
    <row r="3326" ht="15" customHeight="1"/>
    <row r="3327" ht="15" customHeight="1"/>
    <row r="3328" ht="15" customHeight="1"/>
    <row r="3329" ht="15" customHeight="1"/>
    <row r="3330" ht="15" customHeight="1"/>
    <row r="3331" ht="15" customHeight="1"/>
    <row r="3332" ht="15" customHeight="1"/>
    <row r="3333" ht="15" customHeight="1"/>
    <row r="3334" ht="15" customHeight="1"/>
    <row r="3335" ht="12" customHeight="1"/>
    <row r="3336" ht="15" customHeight="1"/>
    <row r="3337" ht="15" customHeight="1"/>
    <row r="3338" ht="15" customHeight="1"/>
    <row r="3339" ht="15" customHeight="1"/>
    <row r="3340" ht="15" customHeight="1"/>
    <row r="3341" ht="15" customHeight="1"/>
    <row r="3342" ht="15" customHeight="1"/>
    <row r="3343" ht="15" customHeight="1"/>
    <row r="3344" ht="15" customHeight="1"/>
    <row r="3345" ht="15" customHeight="1"/>
    <row r="3346" ht="15" customHeight="1"/>
    <row r="3347" ht="15" customHeight="1"/>
    <row r="3348" ht="15" customHeight="1"/>
    <row r="3349" ht="15" customHeight="1"/>
    <row r="3350" ht="15" customHeight="1"/>
    <row r="3351" ht="15" customHeight="1"/>
    <row r="3352" ht="12" customHeight="1"/>
    <row r="3353" ht="15" customHeight="1"/>
    <row r="3354" ht="15" customHeight="1"/>
    <row r="3355" ht="12" customHeight="1"/>
    <row r="3356" ht="15" customHeight="1"/>
    <row r="3357" ht="15" customHeight="1"/>
    <row r="3358" ht="15" customHeight="1"/>
    <row r="3359" ht="15" customHeight="1"/>
    <row r="3360" ht="15" customHeight="1"/>
    <row r="3361" ht="12" customHeight="1"/>
    <row r="3362" ht="15" customHeight="1"/>
    <row r="3363" ht="15" customHeight="1"/>
    <row r="3364" ht="15" customHeight="1"/>
    <row r="3365" ht="15" customHeight="1"/>
    <row r="3366" ht="15" customHeight="1"/>
    <row r="3367" ht="15" customHeight="1"/>
    <row r="3368" ht="15" customHeight="1"/>
    <row r="3369" ht="15" customHeight="1"/>
    <row r="3370" ht="15" customHeight="1"/>
    <row r="3371" ht="15" customHeight="1"/>
    <row r="3372" ht="15" customHeight="1"/>
    <row r="3373" ht="15" customHeight="1"/>
    <row r="3374" ht="15" customHeight="1"/>
    <row r="3375" ht="15" customHeight="1"/>
    <row r="3376" ht="15" customHeight="1"/>
    <row r="3377" ht="15" customHeight="1"/>
    <row r="3378" ht="12" customHeight="1"/>
    <row r="3379" ht="15" customHeight="1"/>
    <row r="3380" ht="15" customHeight="1"/>
    <row r="3381" ht="12" customHeight="1"/>
    <row r="3382" ht="15" customHeight="1"/>
    <row r="3383" ht="15" customHeight="1"/>
    <row r="3384" ht="15" customHeight="1"/>
    <row r="3385" ht="12" customHeight="1"/>
    <row r="3386" ht="15" customHeight="1"/>
    <row r="3387" ht="15" customHeight="1"/>
    <row r="3388" ht="15" customHeight="1"/>
    <row r="3389" ht="15" customHeight="1"/>
    <row r="3390" ht="15" customHeight="1"/>
    <row r="3391" ht="15" customHeight="1"/>
    <row r="3392" ht="15" customHeight="1"/>
    <row r="3393" spans="2:32" ht="15" customHeight="1"/>
    <row r="3394" spans="2:32" ht="15" customHeight="1"/>
    <row r="3395" spans="2:32" ht="15" customHeight="1"/>
    <row r="3396" spans="2:32" ht="12" customHeight="1"/>
    <row r="3397" spans="2:32" ht="15" customHeight="1"/>
    <row r="3398" spans="2:32" ht="15" customHeight="1"/>
    <row r="3399" spans="2:32" ht="12" customHeight="1"/>
    <row r="3400" spans="2:32" ht="15" customHeight="1"/>
    <row r="3401" spans="2:32" ht="15" customHeight="1"/>
    <row r="3402" spans="2:32" ht="15" customHeight="1">
      <c r="B3402" s="107"/>
      <c r="C3402" s="107"/>
      <c r="D3402" s="107"/>
      <c r="E3402" s="107"/>
      <c r="F3402" s="107"/>
      <c r="G3402" s="107"/>
      <c r="H3402" s="107"/>
      <c r="I3402" s="107"/>
      <c r="J3402" s="107"/>
      <c r="K3402" s="107"/>
      <c r="L3402" s="107"/>
      <c r="M3402" s="107"/>
      <c r="N3402" s="107"/>
      <c r="O3402" s="107"/>
      <c r="P3402" s="107"/>
      <c r="Q3402" s="107"/>
      <c r="R3402" s="107"/>
      <c r="S3402" s="107"/>
      <c r="T3402" s="107"/>
      <c r="U3402" s="107"/>
      <c r="V3402" s="107"/>
      <c r="W3402" s="107"/>
      <c r="X3402" s="107"/>
      <c r="Y3402" s="107"/>
      <c r="Z3402" s="107"/>
      <c r="AA3402" s="107"/>
      <c r="AB3402" s="107"/>
      <c r="AC3402" s="107"/>
      <c r="AD3402" s="107"/>
      <c r="AE3402" s="107"/>
      <c r="AF3402" s="107"/>
    </row>
    <row r="3403" spans="2:32" ht="15" customHeight="1"/>
    <row r="3404" spans="2:32" ht="15" customHeight="1"/>
    <row r="3405" spans="2:32" ht="15" customHeight="1"/>
    <row r="3406" spans="2:32" ht="15" customHeight="1"/>
    <row r="3407" spans="2:32" ht="15" customHeight="1"/>
    <row r="3408" spans="2:32" ht="15" customHeight="1"/>
    <row r="3409" ht="15" customHeight="1"/>
    <row r="3410" ht="12" customHeight="1"/>
    <row r="3411" ht="12" customHeight="1"/>
    <row r="3412" ht="12" customHeight="1"/>
    <row r="3413" ht="12" customHeight="1"/>
    <row r="3414" ht="12" customHeight="1"/>
    <row r="3415" ht="12" customHeight="1"/>
    <row r="3416" ht="12" customHeight="1"/>
    <row r="3417" ht="12" customHeight="1"/>
    <row r="3418" ht="12" customHeight="1"/>
    <row r="3419" ht="12" customHeight="1"/>
    <row r="3420" ht="12" customHeight="1"/>
    <row r="3421" ht="12" customHeight="1"/>
    <row r="3422" ht="12" customHeight="1"/>
    <row r="3423" ht="12" customHeight="1"/>
    <row r="3424" ht="12" customHeight="1"/>
    <row r="3425" ht="12" customHeight="1"/>
    <row r="3426" ht="12" customHeight="1"/>
    <row r="3427" ht="12" customHeight="1"/>
    <row r="3428" ht="12" customHeight="1"/>
    <row r="3429" ht="12" customHeight="1"/>
    <row r="3430" ht="12" customHeight="1"/>
    <row r="3431" ht="12" customHeight="1"/>
    <row r="3432" ht="12" customHeight="1"/>
    <row r="3433" ht="12" customHeight="1"/>
    <row r="3434" ht="12" customHeight="1"/>
    <row r="3435" ht="12" customHeight="1"/>
    <row r="3436" ht="12" customHeight="1"/>
    <row r="3437" ht="12" customHeight="1"/>
    <row r="3438" ht="12" customHeight="1"/>
    <row r="3439" ht="12" customHeight="1"/>
    <row r="3440" ht="12" customHeight="1"/>
    <row r="3441" ht="12" customHeight="1"/>
    <row r="3442" ht="12" customHeight="1"/>
    <row r="3443" ht="12" customHeight="1"/>
    <row r="3444" ht="12" customHeight="1"/>
    <row r="3445" ht="12" customHeight="1"/>
    <row r="3446" ht="12" customHeight="1"/>
    <row r="3447" ht="12" customHeight="1"/>
    <row r="3448" ht="12" customHeight="1"/>
    <row r="3449" ht="12" customHeight="1"/>
    <row r="3450" ht="15" customHeight="1"/>
    <row r="3451" ht="15" customHeight="1"/>
    <row r="3452" ht="15" customHeight="1"/>
    <row r="3453" ht="15" customHeight="1"/>
    <row r="3454" ht="15" customHeight="1"/>
    <row r="3455" ht="15" customHeight="1"/>
    <row r="3456" ht="15" customHeight="1"/>
    <row r="3457" ht="15" customHeight="1"/>
    <row r="3458" ht="15" customHeight="1"/>
    <row r="3459" ht="15" customHeight="1"/>
    <row r="3460" ht="12" customHeight="1"/>
    <row r="3461" ht="15" customHeight="1"/>
    <row r="3462" ht="15" customHeight="1"/>
    <row r="3463" ht="15" customHeight="1"/>
    <row r="3464" ht="15" customHeight="1"/>
    <row r="3465" ht="15" customHeight="1"/>
    <row r="3466" ht="15" customHeight="1"/>
    <row r="3467" ht="15" customHeight="1"/>
    <row r="3468" ht="15" customHeight="1"/>
    <row r="3469" ht="15" customHeight="1"/>
    <row r="3470" ht="15" customHeight="1"/>
    <row r="3471" ht="15" customHeight="1"/>
    <row r="3472" ht="15" customHeight="1"/>
    <row r="3473" ht="15" customHeight="1"/>
    <row r="3474" ht="15" customHeight="1"/>
    <row r="3475" ht="15" customHeight="1"/>
    <row r="3476" ht="15" customHeight="1"/>
    <row r="3477" ht="12" customHeight="1"/>
    <row r="3478" ht="15" customHeight="1"/>
    <row r="3479" ht="15" customHeight="1"/>
    <row r="3480" ht="12" customHeight="1"/>
    <row r="3481" ht="15" customHeight="1"/>
    <row r="3482" ht="15" customHeight="1"/>
    <row r="3483" ht="15" customHeight="1"/>
    <row r="3484" ht="15" customHeight="1"/>
    <row r="3485" ht="15" customHeight="1"/>
    <row r="3486" ht="12" customHeight="1"/>
    <row r="3487" ht="15" customHeight="1"/>
    <row r="3488" ht="15" customHeight="1"/>
    <row r="3489" ht="15" customHeight="1"/>
    <row r="3490" ht="15" customHeight="1"/>
    <row r="3491" ht="15" customHeight="1"/>
    <row r="3492" ht="15" customHeight="1"/>
    <row r="3493" ht="15" customHeight="1"/>
    <row r="3494" ht="15" customHeight="1"/>
    <row r="3495" ht="15" customHeight="1"/>
    <row r="3496" ht="15" customHeight="1"/>
    <row r="3497" ht="15" customHeight="1"/>
    <row r="3498" ht="15" customHeight="1"/>
    <row r="3499" ht="15" customHeight="1"/>
    <row r="3500" ht="15" customHeight="1"/>
    <row r="3501" ht="15" customHeight="1"/>
    <row r="3502" ht="15" customHeight="1"/>
    <row r="3503" ht="12" customHeight="1"/>
    <row r="3504" ht="15" customHeight="1"/>
    <row r="3505" ht="15" customHeight="1"/>
    <row r="3506" ht="12" customHeight="1"/>
    <row r="3507" ht="15" customHeight="1"/>
    <row r="3508" ht="15" customHeight="1"/>
    <row r="3509" ht="15" customHeight="1"/>
    <row r="3510" ht="12" customHeight="1"/>
    <row r="3511" ht="15" customHeight="1"/>
    <row r="3512" ht="15" customHeight="1"/>
    <row r="3513" ht="15" customHeight="1"/>
    <row r="3514" ht="15" customHeight="1"/>
    <row r="3515" ht="15" customHeight="1"/>
    <row r="3516" ht="15" customHeight="1"/>
    <row r="3517" ht="15" customHeight="1"/>
    <row r="3518" ht="15" customHeight="1"/>
    <row r="3519" ht="15" customHeight="1"/>
    <row r="3520" ht="15" customHeight="1"/>
    <row r="3521" spans="2:32" ht="12" customHeight="1"/>
    <row r="3522" spans="2:32" ht="15" customHeight="1"/>
    <row r="3523" spans="2:32" ht="15" customHeight="1"/>
    <row r="3524" spans="2:32" ht="12" customHeight="1"/>
    <row r="3525" spans="2:32" ht="15" customHeight="1"/>
    <row r="3526" spans="2:32" ht="15" customHeight="1"/>
    <row r="3527" spans="2:32" ht="15" customHeight="1">
      <c r="B3527" s="107"/>
      <c r="C3527" s="107"/>
      <c r="D3527" s="107"/>
      <c r="E3527" s="107"/>
      <c r="F3527" s="107"/>
      <c r="G3527" s="107"/>
      <c r="H3527" s="107"/>
      <c r="I3527" s="107"/>
      <c r="J3527" s="107"/>
      <c r="K3527" s="107"/>
      <c r="L3527" s="107"/>
      <c r="M3527" s="107"/>
      <c r="N3527" s="107"/>
      <c r="O3527" s="107"/>
      <c r="P3527" s="107"/>
      <c r="Q3527" s="107"/>
      <c r="R3527" s="107"/>
      <c r="S3527" s="107"/>
      <c r="T3527" s="107"/>
      <c r="U3527" s="107"/>
      <c r="V3527" s="107"/>
      <c r="W3527" s="107"/>
      <c r="X3527" s="107"/>
      <c r="Y3527" s="107"/>
      <c r="Z3527" s="107"/>
      <c r="AA3527" s="107"/>
      <c r="AB3527" s="107"/>
      <c r="AC3527" s="107"/>
      <c r="AD3527" s="107"/>
      <c r="AE3527" s="107"/>
      <c r="AF3527" s="107"/>
    </row>
    <row r="3528" spans="2:32" ht="15" customHeight="1"/>
    <row r="3529" spans="2:32" ht="15" customHeight="1"/>
    <row r="3530" spans="2:32" ht="15" customHeight="1"/>
    <row r="3531" spans="2:32" ht="15" customHeight="1"/>
    <row r="3532" spans="2:32" ht="15" customHeight="1"/>
    <row r="3533" spans="2:32" ht="15" customHeight="1"/>
    <row r="3534" spans="2:32" ht="15" customHeight="1"/>
    <row r="3535" spans="2:32" ht="12" customHeight="1"/>
    <row r="3536" spans="2:32" ht="12" customHeight="1"/>
    <row r="3537" ht="12" customHeight="1"/>
    <row r="3538" ht="12" customHeight="1"/>
    <row r="3539" ht="12" customHeight="1"/>
    <row r="3540" ht="12" customHeight="1"/>
    <row r="3541" ht="12" customHeight="1"/>
    <row r="3542" ht="12" customHeight="1"/>
    <row r="3543" ht="12" customHeight="1"/>
    <row r="3544" ht="12" customHeight="1"/>
    <row r="3545" ht="12" customHeight="1"/>
    <row r="3546" ht="12" customHeight="1"/>
    <row r="3547" ht="12" customHeight="1"/>
    <row r="3548" ht="12" customHeight="1"/>
    <row r="3549" ht="12" customHeight="1"/>
    <row r="3550" ht="12" customHeight="1"/>
    <row r="3551" ht="12" customHeight="1"/>
    <row r="3552" ht="12" customHeight="1"/>
    <row r="3553" ht="12" customHeight="1"/>
    <row r="3554" ht="12" customHeight="1"/>
    <row r="3555" ht="12" customHeight="1"/>
    <row r="3556" ht="12" customHeight="1"/>
    <row r="3557" ht="12" customHeight="1"/>
    <row r="3558" ht="12" customHeight="1"/>
    <row r="3559" ht="12" customHeight="1"/>
    <row r="3560" ht="12" customHeight="1"/>
    <row r="3561" ht="12" customHeight="1"/>
    <row r="3562" ht="12" customHeight="1"/>
    <row r="3563" ht="12" customHeight="1"/>
    <row r="3564" ht="12" customHeight="1"/>
    <row r="3565" ht="12" customHeight="1"/>
    <row r="3566" ht="12" customHeight="1"/>
    <row r="3567" ht="12" customHeight="1"/>
    <row r="3568" ht="12" customHeight="1"/>
    <row r="3569" ht="12" customHeight="1"/>
    <row r="3570" ht="12" customHeight="1"/>
    <row r="3571" ht="12" customHeight="1"/>
    <row r="3572" ht="12" customHeight="1"/>
    <row r="3573" ht="12" customHeight="1"/>
    <row r="3574" ht="12" customHeight="1"/>
    <row r="3575" ht="15" customHeight="1"/>
    <row r="3576" ht="15" customHeight="1"/>
    <row r="3577" ht="15" customHeight="1"/>
    <row r="3578" ht="15" customHeight="1"/>
    <row r="3579" ht="15" customHeight="1"/>
    <row r="3580" ht="15" customHeight="1"/>
    <row r="3581" ht="15" customHeight="1"/>
    <row r="3582" ht="15" customHeight="1"/>
    <row r="3583" ht="15" customHeight="1"/>
    <row r="3584" ht="15" customHeight="1"/>
    <row r="3585" ht="12" customHeight="1"/>
    <row r="3586" ht="15" customHeight="1"/>
    <row r="3587" ht="15" customHeight="1"/>
    <row r="3588" ht="15" customHeight="1"/>
    <row r="3589" ht="15" customHeight="1"/>
    <row r="3590" ht="15" customHeight="1"/>
    <row r="3591" ht="15" customHeight="1"/>
    <row r="3592" ht="15" customHeight="1"/>
    <row r="3593" ht="15" customHeight="1"/>
    <row r="3594" ht="15" customHeight="1"/>
    <row r="3595" ht="15" customHeight="1"/>
    <row r="3596" ht="15" customHeight="1"/>
    <row r="3597" ht="15" customHeight="1"/>
    <row r="3598" ht="15" customHeight="1"/>
    <row r="3599" ht="15" customHeight="1"/>
    <row r="3600" ht="15" customHeight="1"/>
    <row r="3601" ht="15" customHeight="1"/>
    <row r="3602" ht="12" customHeight="1"/>
    <row r="3603" ht="15" customHeight="1"/>
    <row r="3604" ht="15" customHeight="1"/>
    <row r="3605" ht="12" customHeight="1"/>
    <row r="3606" ht="15" customHeight="1"/>
    <row r="3607" ht="15" customHeight="1"/>
    <row r="3608" ht="15" customHeight="1"/>
    <row r="3609" ht="15" customHeight="1"/>
    <row r="3610" ht="15" customHeight="1"/>
    <row r="3611" ht="12" customHeight="1"/>
    <row r="3612" ht="15" customHeight="1"/>
    <row r="3613" ht="15" customHeight="1"/>
    <row r="3614" ht="15" customHeight="1"/>
    <row r="3615" ht="15" customHeight="1"/>
    <row r="3616" ht="15" customHeight="1"/>
    <row r="3617" ht="15" customHeight="1"/>
    <row r="3618" ht="15" customHeight="1"/>
    <row r="3619" ht="15" customHeight="1"/>
    <row r="3620" ht="15" customHeight="1"/>
    <row r="3621" ht="15" customHeight="1"/>
    <row r="3622" ht="15" customHeight="1"/>
    <row r="3623" ht="15" customHeight="1"/>
    <row r="3624" ht="15" customHeight="1"/>
    <row r="3625" ht="15" customHeight="1"/>
    <row r="3626" ht="15" customHeight="1"/>
    <row r="3627" ht="15" customHeight="1"/>
    <row r="3628" ht="12" customHeight="1"/>
    <row r="3629" ht="15" customHeight="1"/>
    <row r="3630" ht="15" customHeight="1"/>
    <row r="3631" ht="12" customHeight="1"/>
    <row r="3632" ht="15" customHeight="1"/>
    <row r="3633" ht="15" customHeight="1"/>
    <row r="3634" ht="15" customHeight="1"/>
    <row r="3635" ht="12" customHeight="1"/>
    <row r="3636" ht="15" customHeight="1"/>
    <row r="3637" ht="15" customHeight="1"/>
    <row r="3638" ht="15" customHeight="1"/>
    <row r="3639" ht="15" customHeight="1"/>
    <row r="3640" ht="15" customHeight="1"/>
    <row r="3641" ht="15" customHeight="1"/>
    <row r="3642" ht="15" customHeight="1"/>
    <row r="3643" ht="15" customHeight="1"/>
    <row r="3644" ht="15" customHeight="1"/>
    <row r="3645" ht="15" customHeight="1"/>
    <row r="3646" ht="12" customHeight="1"/>
    <row r="3647" ht="15" customHeight="1"/>
    <row r="3648" ht="15" customHeight="1"/>
    <row r="3649" spans="2:32" ht="12" customHeight="1"/>
    <row r="3650" spans="2:32" ht="15" customHeight="1"/>
    <row r="3651" spans="2:32" ht="15" customHeight="1"/>
    <row r="3652" spans="2:32" ht="15" customHeight="1">
      <c r="B3652" s="107"/>
      <c r="C3652" s="107"/>
      <c r="D3652" s="107"/>
      <c r="E3652" s="107"/>
      <c r="F3652" s="107"/>
      <c r="G3652" s="107"/>
      <c r="H3652" s="107"/>
      <c r="I3652" s="107"/>
      <c r="J3652" s="107"/>
      <c r="K3652" s="107"/>
      <c r="L3652" s="107"/>
      <c r="M3652" s="107"/>
      <c r="N3652" s="107"/>
      <c r="O3652" s="107"/>
      <c r="P3652" s="107"/>
      <c r="Q3652" s="107"/>
      <c r="R3652" s="107"/>
      <c r="S3652" s="107"/>
      <c r="T3652" s="107"/>
      <c r="U3652" s="107"/>
      <c r="V3652" s="107"/>
      <c r="W3652" s="107"/>
      <c r="X3652" s="107"/>
      <c r="Y3652" s="107"/>
      <c r="Z3652" s="107"/>
      <c r="AA3652" s="107"/>
      <c r="AB3652" s="107"/>
      <c r="AC3652" s="107"/>
      <c r="AD3652" s="107"/>
      <c r="AE3652" s="107"/>
      <c r="AF3652" s="107"/>
    </row>
    <row r="3653" spans="2:32" ht="15" customHeight="1"/>
    <row r="3654" spans="2:32" ht="15" customHeight="1"/>
    <row r="3655" spans="2:32" ht="15" customHeight="1"/>
    <row r="3656" spans="2:32" ht="15" customHeight="1"/>
    <row r="3657" spans="2:32" ht="15" customHeight="1"/>
    <row r="3658" spans="2:32" ht="15" customHeight="1"/>
    <row r="3659" spans="2:32" ht="15" customHeight="1"/>
    <row r="3660" spans="2:32" ht="12" customHeight="1"/>
    <row r="3661" spans="2:32" ht="12" customHeight="1"/>
    <row r="3662" spans="2:32" ht="12" customHeight="1"/>
    <row r="3663" spans="2:32" ht="12" customHeight="1"/>
    <row r="3664" spans="2:32" ht="12" customHeight="1"/>
    <row r="3665" ht="12" customHeight="1"/>
    <row r="3666" ht="12" customHeight="1"/>
    <row r="3667" ht="12" customHeight="1"/>
    <row r="3668" ht="12" customHeight="1"/>
    <row r="3669" ht="12" customHeight="1"/>
    <row r="3670" ht="12" customHeight="1"/>
    <row r="3671" ht="12" customHeight="1"/>
    <row r="3672" ht="12" customHeight="1"/>
    <row r="3673" ht="12" customHeight="1"/>
    <row r="3674" ht="12" customHeight="1"/>
    <row r="3675" ht="12" customHeight="1"/>
    <row r="3676" ht="12" customHeight="1"/>
    <row r="3677" ht="12" customHeight="1"/>
    <row r="3678" ht="12" customHeight="1"/>
    <row r="3679" ht="12" customHeight="1"/>
    <row r="3680" ht="12" customHeight="1"/>
    <row r="3681" ht="12" customHeight="1"/>
    <row r="3682" ht="12" customHeight="1"/>
    <row r="3683" ht="12" customHeight="1"/>
    <row r="3684" ht="12" customHeight="1"/>
    <row r="3685" ht="12" customHeight="1"/>
    <row r="3686" ht="12" customHeight="1"/>
    <row r="3687" ht="12" customHeight="1"/>
    <row r="3688" ht="12" customHeight="1"/>
    <row r="3689" ht="12" customHeight="1"/>
    <row r="3690" ht="12" customHeight="1"/>
    <row r="3691" ht="12" customHeight="1"/>
    <row r="3692" ht="12" customHeight="1"/>
    <row r="3693" ht="12" customHeight="1"/>
    <row r="3694" ht="12" customHeight="1"/>
    <row r="3695" ht="12" customHeight="1"/>
    <row r="3696" ht="12" customHeight="1"/>
    <row r="3697" ht="12" customHeight="1"/>
    <row r="3698" ht="12" customHeight="1"/>
    <row r="3699" ht="12" customHeight="1"/>
    <row r="3700" ht="15" customHeight="1"/>
    <row r="3701" ht="15" customHeight="1"/>
    <row r="3702" ht="15" customHeight="1"/>
    <row r="3703" ht="15" customHeight="1"/>
    <row r="3704" ht="15" customHeight="1"/>
    <row r="3705" ht="15" customHeight="1"/>
    <row r="3706" ht="15" customHeight="1"/>
    <row r="3707" ht="15" customHeight="1"/>
    <row r="3708" ht="15" customHeight="1"/>
    <row r="3709" ht="15" customHeight="1"/>
    <row r="3710" ht="12" customHeight="1"/>
    <row r="3711" ht="15" customHeight="1"/>
    <row r="3712" ht="15" customHeight="1"/>
    <row r="3713" ht="15" customHeight="1"/>
    <row r="3714" ht="15" customHeight="1"/>
    <row r="3715" ht="15" customHeight="1"/>
    <row r="3716" ht="15" customHeight="1"/>
    <row r="3717" ht="15" customHeight="1"/>
    <row r="3718" ht="15" customHeight="1"/>
    <row r="3719" ht="15" customHeight="1"/>
    <row r="3720" ht="15" customHeight="1"/>
    <row r="3721" ht="15" customHeight="1"/>
    <row r="3722" ht="15" customHeight="1"/>
    <row r="3723" ht="15" customHeight="1"/>
    <row r="3724" ht="15" customHeight="1"/>
    <row r="3725" ht="15" customHeight="1"/>
    <row r="3726" ht="15" customHeight="1"/>
    <row r="3727" ht="12" customHeight="1"/>
    <row r="3728" ht="15" customHeight="1"/>
    <row r="3729" ht="15" customHeight="1"/>
    <row r="3730" ht="12" customHeight="1"/>
    <row r="3731" ht="15" customHeight="1"/>
    <row r="3732" ht="15" customHeight="1"/>
    <row r="3733" ht="15" customHeight="1"/>
    <row r="3734" ht="15" customHeight="1"/>
    <row r="3735" ht="15" customHeight="1"/>
    <row r="3736" ht="12" customHeight="1"/>
    <row r="3737" ht="15" customHeight="1"/>
    <row r="3738" ht="15" customHeight="1"/>
    <row r="3739" ht="15" customHeight="1"/>
    <row r="3740" ht="15" customHeight="1"/>
    <row r="3741" ht="15" customHeight="1"/>
    <row r="3742" ht="15" customHeight="1"/>
    <row r="3743" ht="15" customHeight="1"/>
    <row r="3744" ht="15" customHeight="1"/>
    <row r="3745" ht="15" customHeight="1"/>
    <row r="3746" ht="15" customHeight="1"/>
    <row r="3747" ht="15" customHeight="1"/>
    <row r="3748" ht="15" customHeight="1"/>
    <row r="3749" ht="15" customHeight="1"/>
    <row r="3750" ht="15" customHeight="1"/>
    <row r="3751" ht="15" customHeight="1"/>
    <row r="3752" ht="15" customHeight="1"/>
    <row r="3753" ht="12" customHeight="1"/>
    <row r="3754" ht="15" customHeight="1"/>
    <row r="3755" ht="15" customHeight="1"/>
    <row r="3756" ht="12" customHeight="1"/>
    <row r="3757" ht="15" customHeight="1"/>
    <row r="3758" ht="15" customHeight="1"/>
    <row r="3759" ht="15" customHeight="1"/>
    <row r="3760" ht="12" customHeight="1"/>
    <row r="3761" ht="15" customHeight="1"/>
    <row r="3762" ht="15" customHeight="1"/>
    <row r="3763" ht="15" customHeight="1"/>
    <row r="3764" ht="15" customHeight="1"/>
    <row r="3765" ht="15" customHeight="1"/>
    <row r="3766" ht="15" customHeight="1"/>
    <row r="3767" ht="15" customHeight="1"/>
    <row r="3768" ht="15" customHeight="1"/>
    <row r="3769" ht="15" customHeight="1"/>
    <row r="3770" ht="15" customHeight="1"/>
    <row r="3771" ht="12" customHeight="1"/>
    <row r="3772" ht="15" customHeight="1"/>
    <row r="3773" ht="15" customHeight="1"/>
    <row r="3774" ht="12" customHeight="1"/>
    <row r="3775" ht="15" customHeight="1"/>
    <row r="3776" ht="15" customHeight="1"/>
    <row r="3777" spans="2:32" ht="15" customHeight="1">
      <c r="B3777" s="107"/>
      <c r="C3777" s="107"/>
      <c r="D3777" s="107"/>
      <c r="E3777" s="107"/>
      <c r="F3777" s="107"/>
      <c r="G3777" s="107"/>
      <c r="H3777" s="107"/>
      <c r="I3777" s="107"/>
      <c r="J3777" s="107"/>
      <c r="K3777" s="107"/>
      <c r="L3777" s="107"/>
      <c r="M3777" s="107"/>
      <c r="N3777" s="107"/>
      <c r="O3777" s="107"/>
      <c r="P3777" s="107"/>
      <c r="Q3777" s="107"/>
      <c r="R3777" s="107"/>
      <c r="S3777" s="107"/>
      <c r="T3777" s="107"/>
      <c r="U3777" s="107"/>
      <c r="V3777" s="107"/>
      <c r="W3777" s="107"/>
      <c r="X3777" s="107"/>
      <c r="Y3777" s="107"/>
      <c r="Z3777" s="107"/>
      <c r="AA3777" s="107"/>
      <c r="AB3777" s="107"/>
      <c r="AC3777" s="107"/>
      <c r="AD3777" s="107"/>
      <c r="AE3777" s="107"/>
      <c r="AF3777" s="107"/>
    </row>
    <row r="3778" spans="2:32" ht="15" customHeight="1"/>
    <row r="3779" spans="2:32" ht="15" customHeight="1"/>
    <row r="3780" spans="2:32" ht="15" customHeight="1"/>
    <row r="3781" spans="2:32" ht="15" customHeight="1"/>
    <row r="3782" spans="2:32" ht="15" customHeight="1"/>
    <row r="3783" spans="2:32" ht="15" customHeight="1"/>
    <row r="3784" spans="2:32" ht="15" customHeight="1"/>
    <row r="3785" spans="2:32" ht="12" customHeight="1"/>
    <row r="3786" spans="2:32" ht="12" customHeight="1"/>
    <row r="3787" spans="2:32" ht="12" customHeight="1"/>
    <row r="3788" spans="2:32" ht="12" customHeight="1"/>
    <row r="3789" spans="2:32" ht="12" customHeight="1"/>
    <row r="3790" spans="2:32" ht="12" customHeight="1"/>
    <row r="3791" spans="2:32" ht="12" customHeight="1"/>
    <row r="3792" spans="2:32" ht="12" customHeight="1"/>
    <row r="3793" ht="12" customHeight="1"/>
    <row r="3794" ht="12" customHeight="1"/>
    <row r="3795" ht="12" customHeight="1"/>
    <row r="3796" ht="12" customHeight="1"/>
    <row r="3797" ht="12" customHeight="1"/>
    <row r="3798" ht="12" customHeight="1"/>
    <row r="3799" ht="12" customHeight="1"/>
    <row r="3800" ht="12" customHeight="1"/>
    <row r="3801" ht="12" customHeight="1"/>
    <row r="3802" ht="12" customHeight="1"/>
    <row r="3803" ht="12" customHeight="1"/>
    <row r="3804" ht="12" customHeight="1"/>
    <row r="3805" ht="12" customHeight="1"/>
    <row r="3806" ht="12" customHeight="1"/>
    <row r="3807" ht="12" customHeight="1"/>
    <row r="3808" ht="12" customHeight="1"/>
    <row r="3809" ht="12" customHeight="1"/>
    <row r="3810" ht="12" customHeight="1"/>
    <row r="3811" ht="12" customHeight="1"/>
    <row r="3812" ht="12" customHeight="1"/>
    <row r="3813" ht="12" customHeight="1"/>
    <row r="3814" ht="12" customHeight="1"/>
    <row r="3815" ht="12" customHeight="1"/>
    <row r="3816" ht="12" customHeight="1"/>
    <row r="3817" ht="12" customHeight="1"/>
    <row r="3818" ht="12" customHeight="1"/>
    <row r="3819" ht="12" customHeight="1"/>
    <row r="3820" ht="12" customHeight="1"/>
    <row r="3821" ht="12" customHeight="1"/>
    <row r="3822" ht="12" customHeight="1"/>
    <row r="3823" ht="12" customHeight="1"/>
    <row r="3824" ht="12" customHeight="1"/>
    <row r="3825" ht="15" customHeight="1"/>
    <row r="3826" ht="15" customHeight="1"/>
    <row r="3827" ht="15" customHeight="1"/>
    <row r="3828" ht="15" customHeight="1"/>
    <row r="3829" ht="15" customHeight="1"/>
    <row r="3830" ht="15" customHeight="1"/>
    <row r="3831" ht="15" customHeight="1"/>
    <row r="3832" ht="15" customHeight="1"/>
    <row r="3833" ht="15" customHeight="1"/>
    <row r="3834" ht="15" customHeight="1"/>
    <row r="3835" ht="12" customHeight="1"/>
    <row r="3836" ht="15" customHeight="1"/>
    <row r="3837" ht="15" customHeight="1"/>
    <row r="3838" ht="15" customHeight="1"/>
    <row r="3839" ht="15" customHeight="1"/>
    <row r="3840" ht="15" customHeight="1"/>
    <row r="3841" ht="15" customHeight="1"/>
    <row r="3842" ht="15" customHeight="1"/>
    <row r="3843" ht="15" customHeight="1"/>
    <row r="3844" ht="15" customHeight="1"/>
    <row r="3845" ht="15" customHeight="1"/>
    <row r="3846" ht="15" customHeight="1"/>
    <row r="3847" ht="15" customHeight="1"/>
    <row r="3848" ht="15" customHeight="1"/>
    <row r="3849" ht="15" customHeight="1"/>
    <row r="3850" ht="15" customHeight="1"/>
    <row r="3851" ht="15" customHeight="1"/>
    <row r="3852" ht="12" customHeight="1"/>
    <row r="3853" ht="15" customHeight="1"/>
    <row r="3854" ht="15" customHeight="1"/>
    <row r="3855" ht="12" customHeight="1"/>
    <row r="3856" ht="15" customHeight="1"/>
    <row r="3857" ht="15" customHeight="1"/>
    <row r="3858" ht="15" customHeight="1"/>
    <row r="3859" ht="15" customHeight="1"/>
    <row r="3860" ht="15" customHeight="1"/>
    <row r="3861" ht="12" customHeight="1"/>
    <row r="3862" ht="15" customHeight="1"/>
    <row r="3863" ht="15" customHeight="1"/>
    <row r="3864" ht="15" customHeight="1"/>
    <row r="3865" ht="15" customHeight="1"/>
    <row r="3866" ht="15" customHeight="1"/>
    <row r="3867" ht="15" customHeight="1"/>
    <row r="3868" ht="15" customHeight="1"/>
    <row r="3869" ht="15" customHeight="1"/>
    <row r="3870" ht="15" customHeight="1"/>
    <row r="3871" ht="15" customHeight="1"/>
    <row r="3872" ht="15" customHeight="1"/>
    <row r="3873" ht="15" customHeight="1"/>
    <row r="3874" ht="15" customHeight="1"/>
    <row r="3875" ht="15" customHeight="1"/>
    <row r="3876" ht="15" customHeight="1"/>
    <row r="3877" ht="15" customHeight="1"/>
    <row r="3878" ht="12" customHeight="1"/>
    <row r="3879" ht="15" customHeight="1"/>
    <row r="3880" ht="15" customHeight="1"/>
    <row r="3881" ht="12" customHeight="1"/>
    <row r="3882" ht="15" customHeight="1"/>
    <row r="3883" ht="15" customHeight="1"/>
    <row r="3884" ht="15" customHeight="1"/>
    <row r="3885" ht="12" customHeight="1"/>
    <row r="3886" ht="15" customHeight="1"/>
    <row r="3887" ht="15" customHeight="1"/>
    <row r="3888" ht="15" customHeight="1"/>
    <row r="3889" spans="2:32" ht="15" customHeight="1"/>
    <row r="3890" spans="2:32" ht="15" customHeight="1"/>
    <row r="3891" spans="2:32" ht="15" customHeight="1"/>
    <row r="3892" spans="2:32" ht="15" customHeight="1"/>
    <row r="3893" spans="2:32" ht="15" customHeight="1"/>
    <row r="3894" spans="2:32" ht="15" customHeight="1"/>
    <row r="3895" spans="2:32" ht="15" customHeight="1"/>
    <row r="3896" spans="2:32" ht="12" customHeight="1"/>
    <row r="3897" spans="2:32" ht="15" customHeight="1"/>
    <row r="3898" spans="2:32" ht="15" customHeight="1"/>
    <row r="3899" spans="2:32" ht="12" customHeight="1"/>
    <row r="3900" spans="2:32" ht="15" customHeight="1"/>
    <row r="3901" spans="2:32" ht="15" customHeight="1"/>
    <row r="3902" spans="2:32" ht="15" customHeight="1">
      <c r="B3902" s="107"/>
      <c r="C3902" s="107"/>
      <c r="D3902" s="107"/>
      <c r="E3902" s="107"/>
      <c r="F3902" s="107"/>
      <c r="G3902" s="107"/>
      <c r="H3902" s="107"/>
      <c r="I3902" s="107"/>
      <c r="J3902" s="107"/>
      <c r="K3902" s="107"/>
      <c r="L3902" s="107"/>
      <c r="M3902" s="107"/>
      <c r="N3902" s="107"/>
      <c r="O3902" s="107"/>
      <c r="P3902" s="107"/>
      <c r="Q3902" s="107"/>
      <c r="R3902" s="107"/>
      <c r="S3902" s="107"/>
      <c r="T3902" s="107"/>
      <c r="U3902" s="107"/>
      <c r="V3902" s="107"/>
      <c r="W3902" s="107"/>
      <c r="X3902" s="107"/>
      <c r="Y3902" s="107"/>
      <c r="Z3902" s="107"/>
      <c r="AA3902" s="107"/>
      <c r="AB3902" s="107"/>
      <c r="AC3902" s="107"/>
      <c r="AD3902" s="107"/>
      <c r="AE3902" s="107"/>
      <c r="AF3902" s="107"/>
    </row>
    <row r="3903" spans="2:32" ht="15" customHeight="1"/>
    <row r="3904" spans="2:32" ht="15" customHeight="1"/>
    <row r="3905" ht="15" customHeight="1"/>
    <row r="3906" ht="15" customHeight="1"/>
    <row r="3907" ht="15" customHeight="1"/>
    <row r="3908" ht="15" customHeight="1"/>
    <row r="3909" ht="15" customHeight="1"/>
    <row r="3910" ht="12" customHeight="1"/>
    <row r="3911" ht="12" customHeight="1"/>
    <row r="3912" ht="12" customHeight="1"/>
    <row r="3913" ht="12" customHeight="1"/>
    <row r="3914" ht="12" customHeight="1"/>
    <row r="3915" ht="12" customHeight="1"/>
    <row r="3916" ht="12" customHeight="1"/>
    <row r="3917" ht="12" customHeight="1"/>
    <row r="3918" ht="12" customHeight="1"/>
    <row r="3919" ht="12" customHeight="1"/>
    <row r="3920" ht="12" customHeight="1"/>
    <row r="3921" ht="12" customHeight="1"/>
    <row r="3922" ht="12" customHeight="1"/>
    <row r="3923" ht="12" customHeight="1"/>
    <row r="3924" ht="12" customHeight="1"/>
    <row r="3925" ht="12" customHeight="1"/>
    <row r="3926" ht="12" customHeight="1"/>
    <row r="3927" ht="12" customHeight="1"/>
    <row r="3928" ht="12" customHeight="1"/>
    <row r="3929" ht="12" customHeight="1"/>
    <row r="3930" ht="12" customHeight="1"/>
    <row r="3931" ht="12" customHeight="1"/>
    <row r="3932" ht="12" customHeight="1"/>
    <row r="3933" ht="12" customHeight="1"/>
    <row r="3934" ht="12" customHeight="1"/>
    <row r="3935" ht="12" customHeight="1"/>
    <row r="3936" ht="12" customHeight="1"/>
    <row r="3937" ht="12" customHeight="1"/>
    <row r="3938" ht="12" customHeight="1"/>
    <row r="3939" ht="12" customHeight="1"/>
    <row r="3940" ht="12" customHeight="1"/>
    <row r="3941" ht="12" customHeight="1"/>
    <row r="3942" ht="12" customHeight="1"/>
    <row r="3943" ht="12" customHeight="1"/>
    <row r="3944" ht="12" customHeight="1"/>
    <row r="3945" ht="12" customHeight="1"/>
    <row r="3946" ht="12" customHeight="1"/>
    <row r="3947" ht="12" customHeight="1"/>
    <row r="3948" ht="12" customHeight="1"/>
    <row r="3949" ht="12" customHeight="1"/>
    <row r="3950" ht="15" customHeight="1"/>
    <row r="3951" ht="15" customHeight="1"/>
    <row r="3952" ht="15" customHeight="1"/>
    <row r="3953" ht="15" customHeight="1"/>
    <row r="3954" ht="15" customHeight="1"/>
    <row r="3955" ht="15" customHeight="1"/>
    <row r="3956" ht="15" customHeight="1"/>
    <row r="3957" ht="15" customHeight="1"/>
    <row r="3958" ht="15" customHeight="1"/>
    <row r="3959" ht="15" customHeight="1"/>
    <row r="3960" ht="12" customHeight="1"/>
    <row r="3961" ht="15" customHeight="1"/>
    <row r="3962" ht="15" customHeight="1"/>
    <row r="3963" ht="15" customHeight="1"/>
    <row r="3964" ht="15" customHeight="1"/>
    <row r="3965" ht="15" customHeight="1"/>
    <row r="3966" ht="15" customHeight="1"/>
    <row r="3967" ht="15" customHeight="1"/>
    <row r="3968" ht="15" customHeight="1"/>
    <row r="3969" ht="15" customHeight="1"/>
    <row r="3970" ht="15" customHeight="1"/>
    <row r="3971" ht="15" customHeight="1"/>
    <row r="3972" ht="15" customHeight="1"/>
    <row r="3973" ht="15" customHeight="1"/>
    <row r="3974" ht="15" customHeight="1"/>
    <row r="3975" ht="15" customHeight="1"/>
    <row r="3976" ht="15" customHeight="1"/>
    <row r="3977" ht="12" customHeight="1"/>
    <row r="3978" ht="15" customHeight="1"/>
    <row r="3979" ht="15" customHeight="1"/>
    <row r="3980" ht="12" customHeight="1"/>
    <row r="3981" ht="15" customHeight="1"/>
    <row r="3982" ht="15" customHeight="1"/>
    <row r="3983" ht="15" customHeight="1"/>
    <row r="3984" ht="15" customHeight="1"/>
    <row r="3985" ht="15" customHeight="1"/>
    <row r="3986" ht="12" customHeight="1"/>
    <row r="3987" ht="15" customHeight="1"/>
    <row r="3988" ht="15" customHeight="1"/>
    <row r="3989" ht="15" customHeight="1"/>
    <row r="3990" ht="15" customHeight="1"/>
    <row r="3991" ht="15" customHeight="1"/>
    <row r="3992" ht="15" customHeight="1"/>
    <row r="3993" ht="15" customHeight="1"/>
    <row r="3994" ht="15" customHeight="1"/>
    <row r="3995" ht="15" customHeight="1"/>
    <row r="3996" ht="15" customHeight="1"/>
    <row r="3997" ht="15" customHeight="1"/>
    <row r="3998" ht="15" customHeight="1"/>
    <row r="3999" ht="15" customHeight="1"/>
    <row r="4000" ht="15" customHeight="1"/>
    <row r="4001" ht="15" customHeight="1"/>
    <row r="4002" ht="15" customHeight="1"/>
    <row r="4003" ht="12" customHeight="1"/>
    <row r="4004" ht="15" customHeight="1"/>
    <row r="4005" ht="15" customHeight="1"/>
    <row r="4006" ht="12" customHeight="1"/>
    <row r="4007" ht="15" customHeight="1"/>
    <row r="4008" ht="15" customHeight="1"/>
    <row r="4009" ht="15" customHeight="1"/>
    <row r="4010" ht="12" customHeight="1"/>
    <row r="4011" ht="15" customHeight="1"/>
    <row r="4012" ht="15" customHeight="1"/>
    <row r="4013" ht="15" customHeight="1"/>
    <row r="4014" ht="15" customHeight="1"/>
    <row r="4015" ht="15" customHeight="1"/>
    <row r="4016" ht="15" customHeight="1"/>
    <row r="4017" spans="2:32" ht="15" customHeight="1"/>
    <row r="4018" spans="2:32" ht="15" customHeight="1"/>
    <row r="4019" spans="2:32" ht="15" customHeight="1"/>
    <row r="4020" spans="2:32" ht="15" customHeight="1"/>
    <row r="4021" spans="2:32" ht="12" customHeight="1"/>
    <row r="4022" spans="2:32" ht="15" customHeight="1"/>
    <row r="4023" spans="2:32" ht="15" customHeight="1"/>
    <row r="4024" spans="2:32" ht="12" customHeight="1"/>
    <row r="4025" spans="2:32" ht="15" customHeight="1"/>
    <row r="4026" spans="2:32" ht="15" customHeight="1"/>
    <row r="4027" spans="2:32" ht="15" customHeight="1">
      <c r="B4027" s="107"/>
      <c r="C4027" s="107"/>
      <c r="D4027" s="107"/>
      <c r="E4027" s="107"/>
      <c r="F4027" s="107"/>
      <c r="G4027" s="107"/>
      <c r="H4027" s="107"/>
      <c r="I4027" s="107"/>
      <c r="J4027" s="107"/>
      <c r="K4027" s="107"/>
      <c r="L4027" s="107"/>
      <c r="M4027" s="107"/>
      <c r="N4027" s="107"/>
      <c r="O4027" s="107"/>
      <c r="P4027" s="107"/>
      <c r="Q4027" s="107"/>
      <c r="R4027" s="107"/>
      <c r="S4027" s="107"/>
      <c r="T4027" s="107"/>
      <c r="U4027" s="107"/>
      <c r="V4027" s="107"/>
      <c r="W4027" s="107"/>
      <c r="X4027" s="107"/>
      <c r="Y4027" s="107"/>
      <c r="Z4027" s="107"/>
      <c r="AA4027" s="107"/>
      <c r="AB4027" s="107"/>
      <c r="AC4027" s="107"/>
      <c r="AD4027" s="107"/>
      <c r="AE4027" s="107"/>
      <c r="AF4027" s="107"/>
    </row>
    <row r="4028" spans="2:32" ht="15" customHeight="1"/>
    <row r="4029" spans="2:32" ht="15" customHeight="1"/>
    <row r="4030" spans="2:32" ht="15" customHeight="1"/>
    <row r="4031" spans="2:32" ht="15" customHeight="1"/>
    <row r="4032" spans="2:32" ht="15" customHeight="1"/>
    <row r="4033" ht="15" customHeight="1"/>
    <row r="4034" ht="15" customHeight="1"/>
    <row r="4035" ht="12" customHeight="1"/>
    <row r="4036" ht="12" customHeight="1"/>
    <row r="4037" ht="12" customHeight="1"/>
    <row r="4038" ht="12" customHeight="1"/>
    <row r="4039" ht="12" customHeight="1"/>
    <row r="4040" ht="12" customHeight="1"/>
    <row r="4041" ht="12" customHeight="1"/>
    <row r="4042" ht="12" customHeight="1"/>
    <row r="4043" ht="12" customHeight="1"/>
    <row r="4044" ht="12" customHeight="1"/>
    <row r="4045" ht="12" customHeight="1"/>
    <row r="4046" ht="12" customHeight="1"/>
    <row r="4047" ht="12" customHeight="1"/>
    <row r="4048" ht="12" customHeight="1"/>
    <row r="4049" ht="12" customHeight="1"/>
    <row r="4050" ht="12" customHeight="1"/>
    <row r="4051" ht="12" customHeight="1"/>
    <row r="4052" ht="12" customHeight="1"/>
    <row r="4053" ht="12" customHeight="1"/>
    <row r="4054" ht="12" customHeight="1"/>
    <row r="4055" ht="12" customHeight="1"/>
    <row r="4056" ht="12" customHeight="1"/>
    <row r="4057" ht="12" customHeight="1"/>
    <row r="4058" ht="12" customHeight="1"/>
    <row r="4059" ht="12" customHeight="1"/>
    <row r="4060" ht="12" customHeight="1"/>
    <row r="4061" ht="12" customHeight="1"/>
    <row r="4062" ht="12" customHeight="1"/>
    <row r="4063" ht="12" customHeight="1"/>
    <row r="4064" ht="12" customHeight="1"/>
    <row r="4065" ht="12" customHeight="1"/>
    <row r="4066" ht="12" customHeight="1"/>
    <row r="4067" ht="12" customHeight="1"/>
    <row r="4068" ht="12" customHeight="1"/>
    <row r="4069" ht="12" customHeight="1"/>
    <row r="4070" ht="12" customHeight="1"/>
    <row r="4071" ht="12" customHeight="1"/>
    <row r="4072" ht="12" customHeight="1"/>
    <row r="4073" ht="12" customHeight="1"/>
    <row r="4074" ht="12" customHeight="1"/>
    <row r="4075" ht="15" customHeight="1"/>
    <row r="4076" ht="15" customHeight="1"/>
    <row r="4077" ht="15" customHeight="1"/>
    <row r="4078" ht="15" customHeight="1"/>
    <row r="4079" ht="15" customHeight="1"/>
    <row r="4080" ht="15" customHeight="1"/>
    <row r="4081" ht="15" customHeight="1"/>
    <row r="4082" ht="15" customHeight="1"/>
    <row r="4083" ht="15" customHeight="1"/>
    <row r="4084" ht="15" customHeight="1"/>
    <row r="4085" ht="12" customHeight="1"/>
    <row r="4086" ht="15" customHeight="1"/>
    <row r="4087" ht="15" customHeight="1"/>
    <row r="4088" ht="15" customHeight="1"/>
    <row r="4089" ht="15" customHeight="1"/>
    <row r="4090" ht="15" customHeight="1"/>
    <row r="4091" ht="15" customHeight="1"/>
    <row r="4092" ht="15" customHeight="1"/>
    <row r="4093" ht="15" customHeight="1"/>
    <row r="4094" ht="15" customHeight="1"/>
    <row r="4095" ht="15" customHeight="1"/>
    <row r="4096" ht="15" customHeight="1"/>
    <row r="4097" ht="15" customHeight="1"/>
    <row r="4098" ht="15" customHeight="1"/>
    <row r="4099" ht="15" customHeight="1"/>
    <row r="4100" ht="15" customHeight="1"/>
    <row r="4101" ht="15" customHeight="1"/>
    <row r="4102" ht="12" customHeight="1"/>
    <row r="4103" ht="15" customHeight="1"/>
    <row r="4104" ht="15" customHeight="1"/>
    <row r="4105" ht="12" customHeight="1"/>
    <row r="4106" ht="15" customHeight="1"/>
    <row r="4107" ht="15" customHeight="1"/>
    <row r="4108" ht="15" customHeight="1"/>
    <row r="4109" ht="15" customHeight="1"/>
    <row r="4110" ht="15" customHeight="1"/>
    <row r="4111" ht="12" customHeight="1"/>
    <row r="4112" ht="15" customHeight="1"/>
    <row r="4113" ht="15" customHeight="1"/>
    <row r="4114" ht="15" customHeight="1"/>
    <row r="4115" ht="15" customHeight="1"/>
    <row r="4116" ht="15" customHeight="1"/>
    <row r="4117" ht="15" customHeight="1"/>
    <row r="4118" ht="15" customHeight="1"/>
    <row r="4119" ht="15" customHeight="1"/>
    <row r="4120" ht="15" customHeight="1"/>
    <row r="4121" ht="15" customHeight="1"/>
    <row r="4122" ht="15" customHeight="1"/>
    <row r="4123" ht="15" customHeight="1"/>
    <row r="4124" ht="15" customHeight="1"/>
    <row r="4125" ht="15" customHeight="1"/>
    <row r="4126" ht="15" customHeight="1"/>
    <row r="4127" ht="15" customHeight="1"/>
    <row r="4128" ht="12" customHeight="1"/>
    <row r="4129" ht="15" customHeight="1"/>
    <row r="4130" ht="15" customHeight="1"/>
    <row r="4131" ht="12" customHeight="1"/>
    <row r="4132" ht="15" customHeight="1"/>
    <row r="4133" ht="15" customHeight="1"/>
    <row r="4134" ht="15" customHeight="1"/>
    <row r="4135" ht="12" customHeight="1"/>
    <row r="4136" ht="15" customHeight="1"/>
    <row r="4137" ht="15" customHeight="1"/>
    <row r="4138" ht="15" customHeight="1"/>
    <row r="4139" ht="15" customHeight="1"/>
    <row r="4140" ht="15" customHeight="1"/>
    <row r="4141" ht="15" customHeight="1"/>
    <row r="4142" ht="15" customHeight="1"/>
    <row r="4143" ht="15" customHeight="1"/>
    <row r="4144" ht="15" customHeight="1"/>
    <row r="4145" spans="2:32" ht="15" customHeight="1"/>
    <row r="4146" spans="2:32" ht="12" customHeight="1"/>
    <row r="4147" spans="2:32" ht="15" customHeight="1"/>
    <row r="4148" spans="2:32" ht="15" customHeight="1"/>
    <row r="4149" spans="2:32" ht="12" customHeight="1"/>
    <row r="4150" spans="2:32" ht="15" customHeight="1"/>
    <row r="4151" spans="2:32" ht="15" customHeight="1"/>
    <row r="4152" spans="2:32" ht="15" customHeight="1">
      <c r="B4152" s="107"/>
      <c r="C4152" s="107"/>
      <c r="D4152" s="107"/>
      <c r="E4152" s="107"/>
      <c r="F4152" s="107"/>
      <c r="G4152" s="107"/>
      <c r="H4152" s="107"/>
      <c r="I4152" s="107"/>
      <c r="J4152" s="107"/>
      <c r="K4152" s="107"/>
      <c r="L4152" s="107"/>
      <c r="M4152" s="107"/>
      <c r="N4152" s="107"/>
      <c r="O4152" s="107"/>
      <c r="P4152" s="107"/>
      <c r="Q4152" s="107"/>
      <c r="R4152" s="107"/>
      <c r="S4152" s="107"/>
      <c r="T4152" s="107"/>
      <c r="U4152" s="107"/>
      <c r="V4152" s="107"/>
      <c r="W4152" s="107"/>
      <c r="X4152" s="107"/>
      <c r="Y4152" s="107"/>
      <c r="Z4152" s="107"/>
      <c r="AA4152" s="107"/>
      <c r="AB4152" s="107"/>
      <c r="AC4152" s="107"/>
      <c r="AD4152" s="107"/>
      <c r="AE4152" s="107"/>
      <c r="AF4152" s="107"/>
    </row>
    <row r="4153" spans="2:32" ht="15" customHeight="1"/>
    <row r="4154" spans="2:32" ht="15" customHeight="1"/>
    <row r="4155" spans="2:32" ht="15" customHeight="1"/>
    <row r="4156" spans="2:32" ht="15" customHeight="1"/>
    <row r="4157" spans="2:32" ht="15" customHeight="1"/>
    <row r="4158" spans="2:32" ht="15" customHeight="1"/>
    <row r="4159" spans="2:32" ht="15" customHeight="1"/>
    <row r="4160" spans="2:32" ht="12" customHeight="1"/>
    <row r="4161" ht="12" customHeight="1"/>
    <row r="4162" ht="12" customHeight="1"/>
    <row r="4163" ht="12" customHeight="1"/>
    <row r="4164" ht="12" customHeight="1"/>
    <row r="4165" ht="12" customHeight="1"/>
    <row r="4166" ht="12" customHeight="1"/>
    <row r="4167" ht="12" customHeight="1"/>
    <row r="4168" ht="12" customHeight="1"/>
    <row r="4169" ht="12" customHeight="1"/>
    <row r="4170" ht="12" customHeight="1"/>
    <row r="4171" ht="12" customHeight="1"/>
    <row r="4172" ht="12" customHeight="1"/>
    <row r="4173" ht="12" customHeight="1"/>
    <row r="4174" ht="12" customHeight="1"/>
    <row r="4175" ht="12" customHeight="1"/>
    <row r="4176" ht="12" customHeight="1"/>
    <row r="4177" ht="12" customHeight="1"/>
    <row r="4178" ht="12" customHeight="1"/>
    <row r="4179" ht="12" customHeight="1"/>
    <row r="4180" ht="12" customHeight="1"/>
    <row r="4181" ht="12" customHeight="1"/>
    <row r="4182" ht="12" customHeight="1"/>
    <row r="4183" ht="12" customHeight="1"/>
    <row r="4184" ht="12" customHeight="1"/>
    <row r="4185" ht="12" customHeight="1"/>
    <row r="4186" ht="12" customHeight="1"/>
    <row r="4187" ht="12" customHeight="1"/>
    <row r="4188" ht="12" customHeight="1"/>
    <row r="4189" ht="12" customHeight="1"/>
    <row r="4190" ht="12" customHeight="1"/>
    <row r="4191" ht="12" customHeight="1"/>
    <row r="4192" ht="12" customHeight="1"/>
    <row r="4193" ht="12" customHeight="1"/>
    <row r="4194" ht="12" customHeight="1"/>
    <row r="4195" ht="12" customHeight="1"/>
    <row r="4196" ht="12" customHeight="1"/>
    <row r="4197" ht="12" customHeight="1"/>
    <row r="4198" ht="12" customHeight="1"/>
    <row r="4199" ht="12" customHeight="1"/>
    <row r="4200" ht="15" customHeight="1"/>
    <row r="4201" ht="15" customHeight="1"/>
    <row r="4202" ht="15" customHeight="1"/>
    <row r="4203" ht="15" customHeight="1"/>
    <row r="4204" ht="15" customHeight="1"/>
    <row r="4205" ht="15" customHeight="1"/>
    <row r="4206" ht="15" customHeight="1"/>
    <row r="4207" ht="15" customHeight="1"/>
    <row r="4208" ht="15" customHeight="1"/>
    <row r="4209" ht="15" customHeight="1"/>
    <row r="4210" ht="12" customHeight="1"/>
    <row r="4211" ht="15" customHeight="1"/>
    <row r="4212" ht="15" customHeight="1"/>
    <row r="4213" ht="15" customHeight="1"/>
    <row r="4214" ht="15" customHeight="1"/>
    <row r="4215" ht="15" customHeight="1"/>
    <row r="4216" ht="15" customHeight="1"/>
    <row r="4217" ht="15" customHeight="1"/>
    <row r="4218" ht="15" customHeight="1"/>
    <row r="4219" ht="15" customHeight="1"/>
    <row r="4220" ht="15" customHeight="1"/>
    <row r="4221" ht="15" customHeight="1"/>
    <row r="4222" ht="15" customHeight="1"/>
    <row r="4223" ht="15" customHeight="1"/>
    <row r="4224" ht="15" customHeight="1"/>
    <row r="4225" ht="15" customHeight="1"/>
    <row r="4226" ht="15" customHeight="1"/>
    <row r="4227" ht="12" customHeight="1"/>
    <row r="4228" ht="15" customHeight="1"/>
    <row r="4229" ht="15" customHeight="1"/>
    <row r="4230" ht="12" customHeight="1"/>
    <row r="4231" ht="15" customHeight="1"/>
    <row r="4232" ht="15" customHeight="1"/>
    <row r="4233" ht="15" customHeight="1"/>
    <row r="4234" ht="15" customHeight="1"/>
    <row r="4235" ht="15" customHeight="1"/>
    <row r="4236" ht="12" customHeight="1"/>
    <row r="4237" ht="15" customHeight="1"/>
    <row r="4238" ht="15" customHeight="1"/>
    <row r="4239" ht="15" customHeight="1"/>
    <row r="4240" ht="15" customHeight="1"/>
    <row r="4241" ht="15" customHeight="1"/>
    <row r="4242" ht="15" customHeight="1"/>
    <row r="4243" ht="15" customHeight="1"/>
    <row r="4244" ht="15" customHeight="1"/>
    <row r="4245" ht="15" customHeight="1"/>
    <row r="4246" ht="15" customHeight="1"/>
    <row r="4247" ht="15" customHeight="1"/>
    <row r="4248" ht="15" customHeight="1"/>
    <row r="4249" ht="15" customHeight="1"/>
    <row r="4250" ht="15" customHeight="1"/>
    <row r="4251" ht="15" customHeight="1"/>
    <row r="4252" ht="15" customHeight="1"/>
    <row r="4253" ht="12" customHeight="1"/>
    <row r="4254" ht="15" customHeight="1"/>
    <row r="4255" ht="15" customHeight="1"/>
    <row r="4256" ht="12" customHeight="1"/>
    <row r="4257" ht="15" customHeight="1"/>
    <row r="4258" ht="15" customHeight="1"/>
    <row r="4259" ht="15" customHeight="1"/>
    <row r="4260" ht="12" customHeight="1"/>
    <row r="4261" ht="15" customHeight="1"/>
    <row r="4262" ht="15" customHeight="1"/>
    <row r="4263" ht="15" customHeight="1"/>
    <row r="4264" ht="15" customHeight="1"/>
    <row r="4265" ht="15" customHeight="1"/>
    <row r="4266" ht="15" customHeight="1"/>
    <row r="4267" ht="15" customHeight="1"/>
    <row r="4268" ht="15" customHeight="1"/>
    <row r="4269" ht="15" customHeight="1"/>
    <row r="4270" ht="15" customHeight="1"/>
    <row r="4271" ht="12" customHeight="1"/>
    <row r="4272" ht="15" customHeight="1"/>
    <row r="4273" spans="2:32" ht="15" customHeight="1"/>
    <row r="4274" spans="2:32" ht="12" customHeight="1"/>
    <row r="4275" spans="2:32" ht="15" customHeight="1"/>
    <row r="4276" spans="2:32" ht="15" customHeight="1"/>
    <row r="4277" spans="2:32" ht="15" customHeight="1">
      <c r="B4277" s="107"/>
      <c r="C4277" s="107"/>
      <c r="D4277" s="107"/>
      <c r="E4277" s="107"/>
      <c r="F4277" s="107"/>
      <c r="G4277" s="107"/>
      <c r="H4277" s="107"/>
      <c r="I4277" s="107"/>
      <c r="J4277" s="107"/>
      <c r="K4277" s="107"/>
      <c r="L4277" s="107"/>
      <c r="M4277" s="107"/>
      <c r="N4277" s="107"/>
      <c r="O4277" s="107"/>
      <c r="P4277" s="107"/>
      <c r="Q4277" s="107"/>
      <c r="R4277" s="107"/>
      <c r="S4277" s="107"/>
      <c r="T4277" s="107"/>
      <c r="U4277" s="107"/>
      <c r="V4277" s="107"/>
      <c r="W4277" s="107"/>
      <c r="X4277" s="107"/>
      <c r="Y4277" s="107"/>
      <c r="Z4277" s="107"/>
      <c r="AA4277" s="107"/>
      <c r="AB4277" s="107"/>
      <c r="AC4277" s="107"/>
      <c r="AD4277" s="107"/>
      <c r="AE4277" s="107"/>
      <c r="AF4277" s="107"/>
    </row>
    <row r="4278" spans="2:32" ht="15" customHeight="1"/>
    <row r="4279" spans="2:32" ht="15" customHeight="1"/>
    <row r="4280" spans="2:32" ht="15" customHeight="1"/>
    <row r="4281" spans="2:32" ht="15" customHeight="1"/>
    <row r="4282" spans="2:32" ht="15" customHeight="1"/>
    <row r="4283" spans="2:32" ht="15" customHeight="1"/>
    <row r="4284" spans="2:32" ht="15" customHeight="1"/>
    <row r="4285" spans="2:32" ht="12" customHeight="1"/>
    <row r="4286" spans="2:32" ht="12" customHeight="1"/>
    <row r="4287" spans="2:32" ht="12" customHeight="1"/>
    <row r="4288" spans="2:32" ht="12" customHeight="1"/>
    <row r="4289" ht="12" customHeight="1"/>
    <row r="4290" ht="12" customHeight="1"/>
    <row r="4291" ht="12" customHeight="1"/>
    <row r="4292" ht="12" customHeight="1"/>
    <row r="4293" ht="12" customHeight="1"/>
    <row r="4294" ht="12" customHeight="1"/>
    <row r="4295" ht="12" customHeight="1"/>
    <row r="4296" ht="12" customHeight="1"/>
    <row r="4297" ht="12" customHeight="1"/>
    <row r="4298" ht="12" customHeight="1"/>
    <row r="4299" ht="12" customHeight="1"/>
    <row r="4300" ht="12" customHeight="1"/>
    <row r="4301" ht="12" customHeight="1"/>
    <row r="4302" ht="12" customHeight="1"/>
    <row r="4303" ht="12" customHeight="1"/>
    <row r="4304" ht="12" customHeight="1"/>
    <row r="4305" ht="12" customHeight="1"/>
    <row r="4306" ht="12" customHeight="1"/>
    <row r="4307" ht="12" customHeight="1"/>
    <row r="4308" ht="12" customHeight="1"/>
    <row r="4309" ht="12" customHeight="1"/>
    <row r="4310" ht="12" customHeight="1"/>
    <row r="4311" ht="12" customHeight="1"/>
    <row r="4312" ht="12" customHeight="1"/>
    <row r="4313" ht="12" customHeight="1"/>
    <row r="4314" ht="12" customHeight="1"/>
    <row r="4315" ht="12" customHeight="1"/>
    <row r="4316" ht="12" customHeight="1"/>
    <row r="4317" ht="12" customHeight="1"/>
    <row r="4318" ht="12" customHeight="1"/>
    <row r="4319" ht="12" customHeight="1"/>
    <row r="4320" ht="12" customHeight="1"/>
    <row r="4321" ht="12" customHeight="1"/>
    <row r="4322" ht="12" customHeight="1"/>
    <row r="4323" ht="12" customHeight="1"/>
    <row r="4324" ht="12" customHeight="1"/>
    <row r="4325" ht="15" customHeight="1"/>
    <row r="4326" ht="15" customHeight="1"/>
    <row r="4327" ht="15" customHeight="1"/>
    <row r="4328" ht="15" customHeight="1"/>
    <row r="4329" ht="15" customHeight="1"/>
    <row r="4330" ht="15" customHeight="1"/>
    <row r="4331" ht="15" customHeight="1"/>
    <row r="4332" ht="15" customHeight="1"/>
    <row r="4333" ht="15" customHeight="1"/>
    <row r="4334" ht="15" customHeight="1"/>
    <row r="4335" ht="12" customHeight="1"/>
    <row r="4336" ht="15" customHeight="1"/>
    <row r="4337" ht="15" customHeight="1"/>
    <row r="4338" ht="15" customHeight="1"/>
    <row r="4339" ht="15" customHeight="1"/>
    <row r="4340" ht="15" customHeight="1"/>
    <row r="4341" ht="15" customHeight="1"/>
    <row r="4342" ht="15" customHeight="1"/>
    <row r="4343" ht="15" customHeight="1"/>
    <row r="4344" ht="15" customHeight="1"/>
    <row r="4345" ht="15" customHeight="1"/>
    <row r="4346" ht="15" customHeight="1"/>
    <row r="4347" ht="15" customHeight="1"/>
    <row r="4348" ht="15" customHeight="1"/>
    <row r="4349" ht="15" customHeight="1"/>
    <row r="4350" ht="15" customHeight="1"/>
    <row r="4351" ht="15" customHeight="1"/>
    <row r="4352" ht="12" customHeight="1"/>
    <row r="4353" ht="15" customHeight="1"/>
    <row r="4354" ht="15" customHeight="1"/>
    <row r="4355" ht="12" customHeight="1"/>
    <row r="4356" ht="15" customHeight="1"/>
    <row r="4357" ht="15" customHeight="1"/>
    <row r="4358" ht="15" customHeight="1"/>
    <row r="4359" ht="15" customHeight="1"/>
    <row r="4360" ht="15" customHeight="1"/>
    <row r="4361" ht="12" customHeight="1"/>
    <row r="4362" ht="15" customHeight="1"/>
    <row r="4363" ht="15" customHeight="1"/>
    <row r="4364" ht="15" customHeight="1"/>
    <row r="4365" ht="15" customHeight="1"/>
    <row r="4366" ht="15" customHeight="1"/>
    <row r="4367" ht="15" customHeight="1"/>
    <row r="4368" ht="15" customHeight="1"/>
    <row r="4369" ht="15" customHeight="1"/>
    <row r="4370" ht="15" customHeight="1"/>
    <row r="4371" ht="15" customHeight="1"/>
    <row r="4372" ht="15" customHeight="1"/>
    <row r="4373" ht="15" customHeight="1"/>
    <row r="4374" ht="15" customHeight="1"/>
    <row r="4375" ht="15" customHeight="1"/>
    <row r="4376" ht="15" customHeight="1"/>
    <row r="4377" ht="15" customHeight="1"/>
    <row r="4378" ht="12" customHeight="1"/>
    <row r="4379" ht="15" customHeight="1"/>
    <row r="4380" ht="15" customHeight="1"/>
    <row r="4381" ht="12" customHeight="1"/>
    <row r="4382" ht="15" customHeight="1"/>
    <row r="4383" ht="15" customHeight="1"/>
    <row r="4384" ht="15" customHeight="1"/>
    <row r="4385" ht="12" customHeight="1"/>
    <row r="4386" ht="15" customHeight="1"/>
    <row r="4387" ht="15" customHeight="1"/>
    <row r="4388" ht="15" customHeight="1"/>
    <row r="4389" ht="15" customHeight="1"/>
    <row r="4390" ht="15" customHeight="1"/>
    <row r="4391" ht="15" customHeight="1"/>
    <row r="4392" ht="15" customHeight="1"/>
    <row r="4393" ht="15" customHeight="1"/>
    <row r="4394" ht="15" customHeight="1"/>
    <row r="4395" ht="15" customHeight="1"/>
    <row r="4396" ht="12" customHeight="1"/>
    <row r="4397" ht="15" customHeight="1"/>
    <row r="4398" ht="15" customHeight="1"/>
    <row r="4399" ht="12" customHeight="1"/>
    <row r="4400" ht="15" customHeight="1"/>
    <row r="4401" spans="2:32" ht="15" customHeight="1"/>
    <row r="4402" spans="2:32" ht="15" customHeight="1">
      <c r="B4402" s="107"/>
      <c r="C4402" s="107"/>
      <c r="D4402" s="107"/>
      <c r="E4402" s="107"/>
      <c r="F4402" s="107"/>
      <c r="G4402" s="107"/>
      <c r="H4402" s="107"/>
      <c r="I4402" s="107"/>
      <c r="J4402" s="107"/>
      <c r="K4402" s="107"/>
      <c r="L4402" s="107"/>
      <c r="M4402" s="107"/>
      <c r="N4402" s="107"/>
      <c r="O4402" s="107"/>
      <c r="P4402" s="107"/>
      <c r="Q4402" s="107"/>
      <c r="R4402" s="107"/>
      <c r="S4402" s="107"/>
      <c r="T4402" s="107"/>
      <c r="U4402" s="107"/>
      <c r="V4402" s="107"/>
      <c r="W4402" s="107"/>
      <c r="X4402" s="107"/>
      <c r="Y4402" s="107"/>
      <c r="Z4402" s="107"/>
      <c r="AA4402" s="107"/>
      <c r="AB4402" s="107"/>
      <c r="AC4402" s="107"/>
      <c r="AD4402" s="107"/>
      <c r="AE4402" s="107"/>
      <c r="AF4402" s="107"/>
    </row>
    <row r="4403" spans="2:32" ht="15" customHeight="1"/>
    <row r="4404" spans="2:32" ht="15" customHeight="1"/>
    <row r="4405" spans="2:32" ht="15" customHeight="1"/>
    <row r="4406" spans="2:32" ht="15" customHeight="1"/>
    <row r="4407" spans="2:32" ht="15" customHeight="1"/>
    <row r="4408" spans="2:32" ht="15" customHeight="1"/>
    <row r="4409" spans="2:32" ht="15" customHeight="1"/>
  </sheetData>
  <mergeCells count="29">
    <mergeCell ref="B1169:AF1169"/>
    <mergeCell ref="B79:AF79"/>
    <mergeCell ref="B116:AF116"/>
    <mergeCell ref="B258:AF258"/>
    <mergeCell ref="B340:AF340"/>
    <mergeCell ref="B452:AF452"/>
    <mergeCell ref="B557:AF557"/>
    <mergeCell ref="B638:AF638"/>
    <mergeCell ref="B710:AF710"/>
    <mergeCell ref="B886:AF886"/>
    <mergeCell ref="B969:AF969"/>
    <mergeCell ref="B1071:AF1071"/>
    <mergeCell ref="B3777:AF3777"/>
    <mergeCell ref="B1269:AF1269"/>
    <mergeCell ref="B1484:AF1484"/>
    <mergeCell ref="B1713:AF1713"/>
    <mergeCell ref="B1990:AF1990"/>
    <mergeCell ref="B2325:AF2325"/>
    <mergeCell ref="B2645:AF2645"/>
    <mergeCell ref="B2971:AF2971"/>
    <mergeCell ref="B3293:AF3293"/>
    <mergeCell ref="B3402:AF3402"/>
    <mergeCell ref="B3527:AF3527"/>
    <mergeCell ref="B3652:AF3652"/>
    <mergeCell ref="B3902:AF3902"/>
    <mergeCell ref="B4027:AF4027"/>
    <mergeCell ref="B4152:AF4152"/>
    <mergeCell ref="B4277:AF4277"/>
    <mergeCell ref="B4402:AF4402"/>
  </mergeCells>
  <pageMargins left="0.7" right="0.7" top="0.75" bottom="0.75" header="0.3" footer="0.3"/>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FC57CB-0741-47E7-AC37-7A41823DD319}">
  <sheetPr>
    <tabColor theme="6" tint="0.79998168889431442"/>
  </sheetPr>
  <dimension ref="A1:AJ256"/>
  <sheetViews>
    <sheetView workbookViewId="0"/>
  </sheetViews>
  <sheetFormatPr defaultRowHeight="15"/>
  <sheetData>
    <row r="1" spans="1:35">
      <c r="A1" t="s">
        <v>228</v>
      </c>
    </row>
    <row r="2" spans="1:35">
      <c r="A2" t="s">
        <v>1244</v>
      </c>
    </row>
    <row r="3" spans="1:35">
      <c r="A3" t="s">
        <v>1245</v>
      </c>
    </row>
    <row r="4" spans="1:35">
      <c r="A4" t="s">
        <v>146</v>
      </c>
    </row>
    <row r="5" spans="1:35">
      <c r="B5" t="s">
        <v>198</v>
      </c>
      <c r="C5" t="s">
        <v>199</v>
      </c>
      <c r="D5" t="s">
        <v>200</v>
      </c>
      <c r="E5">
        <v>2021</v>
      </c>
      <c r="F5">
        <v>2022</v>
      </c>
      <c r="G5">
        <v>2023</v>
      </c>
      <c r="H5">
        <v>2024</v>
      </c>
      <c r="I5">
        <v>2025</v>
      </c>
      <c r="J5">
        <v>2026</v>
      </c>
      <c r="K5">
        <v>2027</v>
      </c>
      <c r="L5">
        <v>2028</v>
      </c>
      <c r="M5">
        <v>2029</v>
      </c>
      <c r="N5">
        <v>2030</v>
      </c>
      <c r="O5">
        <v>2031</v>
      </c>
      <c r="P5">
        <v>2032</v>
      </c>
      <c r="Q5">
        <v>2033</v>
      </c>
      <c r="R5">
        <v>2034</v>
      </c>
      <c r="S5">
        <v>2035</v>
      </c>
      <c r="T5">
        <v>2036</v>
      </c>
      <c r="U5">
        <v>2037</v>
      </c>
      <c r="V5">
        <v>2038</v>
      </c>
      <c r="W5">
        <v>2039</v>
      </c>
      <c r="X5">
        <v>2040</v>
      </c>
      <c r="Y5">
        <v>2041</v>
      </c>
      <c r="Z5">
        <v>2042</v>
      </c>
      <c r="AA5">
        <v>2043</v>
      </c>
      <c r="AB5">
        <v>2044</v>
      </c>
      <c r="AC5">
        <v>2045</v>
      </c>
      <c r="AD5">
        <v>2046</v>
      </c>
      <c r="AE5">
        <v>2047</v>
      </c>
      <c r="AF5">
        <v>2048</v>
      </c>
      <c r="AG5">
        <v>2049</v>
      </c>
      <c r="AH5">
        <v>2050</v>
      </c>
      <c r="AI5" t="s">
        <v>1042</v>
      </c>
    </row>
    <row r="6" spans="1:35">
      <c r="A6" t="s">
        <v>118</v>
      </c>
      <c r="B6" t="s">
        <v>1246</v>
      </c>
      <c r="C6" t="s">
        <v>1247</v>
      </c>
      <c r="D6" t="s">
        <v>229</v>
      </c>
      <c r="F6">
        <v>12.017455999999999</v>
      </c>
      <c r="G6">
        <v>10.142488999999999</v>
      </c>
      <c r="H6">
        <v>9.6291329999999995</v>
      </c>
      <c r="I6">
        <v>8.8153430000000004</v>
      </c>
      <c r="J6">
        <v>8.6369710000000008</v>
      </c>
      <c r="K6">
        <v>8.5386919999999993</v>
      </c>
      <c r="L6">
        <v>8.4677810000000004</v>
      </c>
      <c r="M6">
        <v>8.5231809999999992</v>
      </c>
      <c r="N6">
        <v>8.5248640000000009</v>
      </c>
      <c r="O6">
        <v>8.6209439999999997</v>
      </c>
      <c r="P6">
        <v>8.6936859999999996</v>
      </c>
      <c r="Q6">
        <v>8.7233520000000002</v>
      </c>
      <c r="R6">
        <v>8.768338</v>
      </c>
      <c r="S6">
        <v>8.8004990000000003</v>
      </c>
      <c r="T6">
        <v>8.8639519999999994</v>
      </c>
      <c r="U6">
        <v>8.9274159999999991</v>
      </c>
      <c r="V6">
        <v>8.9745659999999994</v>
      </c>
      <c r="W6">
        <v>9.0225600000000004</v>
      </c>
      <c r="X6">
        <v>9.0468820000000001</v>
      </c>
      <c r="Y6">
        <v>9.1106800000000003</v>
      </c>
      <c r="Z6">
        <v>9.1524070000000002</v>
      </c>
      <c r="AA6">
        <v>9.2163819999999994</v>
      </c>
      <c r="AB6">
        <v>9.2366349999999997</v>
      </c>
      <c r="AC6">
        <v>9.2684709999999999</v>
      </c>
      <c r="AD6">
        <v>9.2813680000000005</v>
      </c>
      <c r="AE6">
        <v>9.3098810000000007</v>
      </c>
      <c r="AF6">
        <v>9.3955520000000003</v>
      </c>
      <c r="AG6">
        <v>9.359451</v>
      </c>
      <c r="AH6">
        <v>9.3784320000000001</v>
      </c>
      <c r="AI6" s="22">
        <v>-8.9999999999999993E-3</v>
      </c>
    </row>
    <row r="7" spans="1:35">
      <c r="A7" t="s">
        <v>116</v>
      </c>
    </row>
    <row r="8" spans="1:35">
      <c r="A8" t="s">
        <v>208</v>
      </c>
      <c r="B8" t="s">
        <v>1248</v>
      </c>
      <c r="C8" t="s">
        <v>1249</v>
      </c>
      <c r="D8" t="s">
        <v>230</v>
      </c>
      <c r="F8">
        <v>0.83399999999999996</v>
      </c>
      <c r="G8">
        <v>0.84161200000000003</v>
      </c>
      <c r="H8">
        <v>0.84922399999999998</v>
      </c>
      <c r="I8">
        <v>0.85819500000000004</v>
      </c>
      <c r="J8">
        <v>0.85914699999999999</v>
      </c>
      <c r="K8">
        <v>0.85999800000000004</v>
      </c>
      <c r="L8">
        <v>0.86075900000000005</v>
      </c>
      <c r="M8">
        <v>0.86144100000000001</v>
      </c>
      <c r="N8">
        <v>0.86205399999999999</v>
      </c>
      <c r="O8">
        <v>0.86260499999999996</v>
      </c>
      <c r="P8">
        <v>0.86310500000000001</v>
      </c>
      <c r="Q8">
        <v>0.86355800000000005</v>
      </c>
      <c r="R8">
        <v>0.86397199999999996</v>
      </c>
      <c r="S8">
        <v>0.86434999999999995</v>
      </c>
      <c r="T8">
        <v>0.86469700000000005</v>
      </c>
      <c r="U8">
        <v>0.86501700000000004</v>
      </c>
      <c r="V8">
        <v>0.86531199999999997</v>
      </c>
      <c r="W8">
        <v>0.86558500000000005</v>
      </c>
      <c r="X8">
        <v>0.86587999999999998</v>
      </c>
      <c r="Y8">
        <v>0.86617599999999995</v>
      </c>
      <c r="Z8">
        <v>0.86647099999999999</v>
      </c>
      <c r="AA8">
        <v>0.86676699999999995</v>
      </c>
      <c r="AB8">
        <v>0.867062</v>
      </c>
      <c r="AC8">
        <v>0.86735799999999996</v>
      </c>
      <c r="AD8">
        <v>0.86765400000000004</v>
      </c>
      <c r="AE8">
        <v>0.86795</v>
      </c>
      <c r="AF8">
        <v>0.86824599999999996</v>
      </c>
      <c r="AG8">
        <v>0.86854200000000004</v>
      </c>
      <c r="AH8">
        <v>0.868838</v>
      </c>
      <c r="AI8" s="22">
        <v>1E-3</v>
      </c>
    </row>
    <row r="9" spans="1:35">
      <c r="A9" t="s">
        <v>209</v>
      </c>
      <c r="B9" t="s">
        <v>1250</v>
      </c>
      <c r="C9" t="s">
        <v>1251</v>
      </c>
      <c r="D9" t="s">
        <v>230</v>
      </c>
      <c r="F9">
        <v>0.75600000000000001</v>
      </c>
      <c r="G9">
        <v>0.77562600000000004</v>
      </c>
      <c r="H9">
        <v>0.79525100000000004</v>
      </c>
      <c r="I9">
        <v>0.81487699999999996</v>
      </c>
      <c r="J9">
        <v>0.81492500000000001</v>
      </c>
      <c r="K9">
        <v>0.81497399999999998</v>
      </c>
      <c r="L9">
        <v>0.81501900000000005</v>
      </c>
      <c r="M9">
        <v>0.81506400000000001</v>
      </c>
      <c r="N9">
        <v>0.81510800000000005</v>
      </c>
      <c r="O9">
        <v>0.81515000000000004</v>
      </c>
      <c r="P9">
        <v>0.81519399999999997</v>
      </c>
      <c r="Q9">
        <v>0.81523599999999996</v>
      </c>
      <c r="R9">
        <v>0.81527899999999998</v>
      </c>
      <c r="S9">
        <v>0.81532099999999996</v>
      </c>
      <c r="T9">
        <v>0.81536399999999998</v>
      </c>
      <c r="U9">
        <v>0.81540500000000005</v>
      </c>
      <c r="V9">
        <v>0.81544499999999998</v>
      </c>
      <c r="W9">
        <v>0.81548399999999999</v>
      </c>
      <c r="X9">
        <v>0.81552400000000003</v>
      </c>
      <c r="Y9">
        <v>0.81556399999999996</v>
      </c>
      <c r="Z9">
        <v>0.815604</v>
      </c>
      <c r="AA9">
        <v>0.81564499999999995</v>
      </c>
      <c r="AB9">
        <v>0.81568499999999999</v>
      </c>
      <c r="AC9">
        <v>0.81572500000000003</v>
      </c>
      <c r="AD9">
        <v>0.81576499999999996</v>
      </c>
      <c r="AE9">
        <v>0.815805</v>
      </c>
      <c r="AF9">
        <v>0.81584500000000004</v>
      </c>
      <c r="AG9">
        <v>0.81588499999999997</v>
      </c>
      <c r="AH9">
        <v>0.81592600000000004</v>
      </c>
      <c r="AI9" s="22">
        <v>3.0000000000000001E-3</v>
      </c>
    </row>
    <row r="10" spans="1:35">
      <c r="A10" t="s">
        <v>115</v>
      </c>
    </row>
    <row r="11" spans="1:35">
      <c r="A11" t="s">
        <v>210</v>
      </c>
    </row>
    <row r="12" spans="1:35">
      <c r="A12" t="s">
        <v>211</v>
      </c>
      <c r="B12" t="s">
        <v>1252</v>
      </c>
      <c r="C12" t="s">
        <v>1253</v>
      </c>
      <c r="D12" t="s">
        <v>231</v>
      </c>
      <c r="F12">
        <v>333.07171599999998</v>
      </c>
      <c r="G12">
        <v>334.15060399999999</v>
      </c>
      <c r="H12">
        <v>335.301514</v>
      </c>
      <c r="I12">
        <v>336.492188</v>
      </c>
      <c r="J12">
        <v>337.68255599999998</v>
      </c>
      <c r="K12">
        <v>338.87805200000003</v>
      </c>
      <c r="L12">
        <v>340.07302900000002</v>
      </c>
      <c r="M12">
        <v>341.25787400000002</v>
      </c>
      <c r="N12">
        <v>342.43310500000001</v>
      </c>
      <c r="O12">
        <v>343.56900000000002</v>
      </c>
      <c r="P12">
        <v>344.657715</v>
      </c>
      <c r="Q12">
        <v>345.69821200000001</v>
      </c>
      <c r="R12">
        <v>346.68133499999999</v>
      </c>
      <c r="S12">
        <v>347.60263099999997</v>
      </c>
      <c r="T12">
        <v>348.45822099999998</v>
      </c>
      <c r="U12">
        <v>349.248199</v>
      </c>
      <c r="V12">
        <v>349.97842400000002</v>
      </c>
      <c r="W12">
        <v>350.65200800000002</v>
      </c>
      <c r="X12">
        <v>351.27362099999999</v>
      </c>
      <c r="Y12">
        <v>351.850616</v>
      </c>
      <c r="Z12">
        <v>352.390625</v>
      </c>
      <c r="AA12">
        <v>352.89798000000002</v>
      </c>
      <c r="AB12">
        <v>353.37573200000003</v>
      </c>
      <c r="AC12">
        <v>353.82507299999997</v>
      </c>
      <c r="AD12">
        <v>354.24816900000002</v>
      </c>
      <c r="AE12">
        <v>354.651794</v>
      </c>
      <c r="AF12">
        <v>355.03872699999999</v>
      </c>
      <c r="AG12">
        <v>355.40960699999999</v>
      </c>
      <c r="AH12">
        <v>355.767944</v>
      </c>
      <c r="AI12" s="22">
        <v>2E-3</v>
      </c>
    </row>
    <row r="13" spans="1:35">
      <c r="A13" t="s">
        <v>212</v>
      </c>
      <c r="B13" t="s">
        <v>1254</v>
      </c>
      <c r="C13" t="s">
        <v>1255</v>
      </c>
      <c r="D13" t="s">
        <v>231</v>
      </c>
      <c r="F13">
        <v>38.694321000000002</v>
      </c>
      <c r="G13">
        <v>39.102600000000002</v>
      </c>
      <c r="H13">
        <v>39.509079</v>
      </c>
      <c r="I13">
        <v>39.913521000000003</v>
      </c>
      <c r="J13">
        <v>40.315201000000002</v>
      </c>
      <c r="K13">
        <v>40.713901999999997</v>
      </c>
      <c r="L13">
        <v>41.109200000000001</v>
      </c>
      <c r="M13">
        <v>41.500670999999997</v>
      </c>
      <c r="N13">
        <v>41.888100000000001</v>
      </c>
      <c r="O13">
        <v>42.271000000000001</v>
      </c>
      <c r="P13">
        <v>42.649299999999997</v>
      </c>
      <c r="Q13">
        <v>43.022799999999997</v>
      </c>
      <c r="R13">
        <v>43.391499000000003</v>
      </c>
      <c r="S13">
        <v>43.755501000000002</v>
      </c>
      <c r="T13">
        <v>44.114730999999999</v>
      </c>
      <c r="U13">
        <v>44.469397999999998</v>
      </c>
      <c r="V13">
        <v>44.819481000000003</v>
      </c>
      <c r="W13">
        <v>45.165298</v>
      </c>
      <c r="X13">
        <v>45.506802</v>
      </c>
      <c r="Y13">
        <v>45.843879999999999</v>
      </c>
      <c r="Z13">
        <v>46.176898999999999</v>
      </c>
      <c r="AA13">
        <v>46.505600000000001</v>
      </c>
      <c r="AB13">
        <v>46.831772000000001</v>
      </c>
      <c r="AC13">
        <v>47.156199999999998</v>
      </c>
      <c r="AD13">
        <v>47.479069000000003</v>
      </c>
      <c r="AE13">
        <v>47.800800000000002</v>
      </c>
      <c r="AF13">
        <v>48.121670000000002</v>
      </c>
      <c r="AG13">
        <v>48.442321999999997</v>
      </c>
      <c r="AH13">
        <v>48.763081</v>
      </c>
      <c r="AI13" s="22">
        <v>8.0000000000000002E-3</v>
      </c>
    </row>
    <row r="14" spans="1:35">
      <c r="A14" t="s">
        <v>1256</v>
      </c>
      <c r="B14" t="s">
        <v>1257</v>
      </c>
      <c r="C14" t="s">
        <v>1258</v>
      </c>
      <c r="D14" t="s">
        <v>231</v>
      </c>
      <c r="F14">
        <v>211.18936199999999</v>
      </c>
      <c r="G14">
        <v>212.813278</v>
      </c>
      <c r="H14">
        <v>214.37699900000001</v>
      </c>
      <c r="I14">
        <v>215.94142199999999</v>
      </c>
      <c r="J14">
        <v>217.513779</v>
      </c>
      <c r="K14">
        <v>219.08682300000001</v>
      </c>
      <c r="L14">
        <v>220.646591</v>
      </c>
      <c r="M14">
        <v>222.169174</v>
      </c>
      <c r="N14">
        <v>223.635864</v>
      </c>
      <c r="O14">
        <v>225.026138</v>
      </c>
      <c r="P14">
        <v>226.368347</v>
      </c>
      <c r="Q14">
        <v>227.658051</v>
      </c>
      <c r="R14">
        <v>228.89286799999999</v>
      </c>
      <c r="S14">
        <v>230.07032799999999</v>
      </c>
      <c r="T14">
        <v>231.18978899999999</v>
      </c>
      <c r="U14">
        <v>232.25276199999999</v>
      </c>
      <c r="V14">
        <v>233.26014699999999</v>
      </c>
      <c r="W14">
        <v>234.21229600000001</v>
      </c>
      <c r="X14">
        <v>235.110443</v>
      </c>
      <c r="Y14">
        <v>235.95292699999999</v>
      </c>
      <c r="Z14">
        <v>236.741455</v>
      </c>
      <c r="AA14">
        <v>237.476685</v>
      </c>
      <c r="AB14">
        <v>238.15965299999999</v>
      </c>
      <c r="AC14">
        <v>238.78855899999999</v>
      </c>
      <c r="AD14">
        <v>239.34922800000001</v>
      </c>
      <c r="AE14">
        <v>239.846619</v>
      </c>
      <c r="AF14">
        <v>240.30192600000001</v>
      </c>
      <c r="AG14">
        <v>240.737549</v>
      </c>
      <c r="AH14">
        <v>241.16894500000001</v>
      </c>
      <c r="AI14" s="22">
        <v>5.0000000000000001E-3</v>
      </c>
    </row>
    <row r="15" spans="1:35">
      <c r="A15" t="s">
        <v>1259</v>
      </c>
      <c r="B15" t="s">
        <v>1260</v>
      </c>
      <c r="C15" t="s">
        <v>1261</v>
      </c>
      <c r="D15" t="s">
        <v>231</v>
      </c>
      <c r="F15">
        <v>593.35406499999999</v>
      </c>
      <c r="G15">
        <v>594.89343299999996</v>
      </c>
      <c r="H15">
        <v>596.012878</v>
      </c>
      <c r="I15">
        <v>597.10223399999995</v>
      </c>
      <c r="J15">
        <v>598.16387899999995</v>
      </c>
      <c r="K15">
        <v>599.16955600000006</v>
      </c>
      <c r="L15">
        <v>600.12353499999995</v>
      </c>
      <c r="M15">
        <v>601.03643799999998</v>
      </c>
      <c r="N15">
        <v>601.92193599999996</v>
      </c>
      <c r="O15">
        <v>602.79125999999997</v>
      </c>
      <c r="P15">
        <v>603.64050299999997</v>
      </c>
      <c r="Q15">
        <v>604.45330799999999</v>
      </c>
      <c r="R15">
        <v>605.215149</v>
      </c>
      <c r="S15">
        <v>605.91265899999996</v>
      </c>
      <c r="T15">
        <v>606.54968299999996</v>
      </c>
      <c r="U15">
        <v>607.13714600000003</v>
      </c>
      <c r="V15">
        <v>607.67242399999998</v>
      </c>
      <c r="W15">
        <v>608.15136700000005</v>
      </c>
      <c r="X15">
        <v>608.57037400000002</v>
      </c>
      <c r="Y15">
        <v>608.92956500000003</v>
      </c>
      <c r="Z15">
        <v>609.22717299999999</v>
      </c>
      <c r="AA15">
        <v>609.459656</v>
      </c>
      <c r="AB15">
        <v>609.62506099999996</v>
      </c>
      <c r="AC15">
        <v>609.71997099999999</v>
      </c>
      <c r="AD15">
        <v>609.73303199999998</v>
      </c>
      <c r="AE15">
        <v>609.66314699999998</v>
      </c>
      <c r="AF15">
        <v>609.52264400000001</v>
      </c>
      <c r="AG15">
        <v>609.32611099999997</v>
      </c>
      <c r="AH15">
        <v>609.08605999999997</v>
      </c>
      <c r="AI15" s="22">
        <v>1E-3</v>
      </c>
    </row>
    <row r="16" spans="1:35">
      <c r="A16" t="s">
        <v>1262</v>
      </c>
      <c r="B16" t="s">
        <v>1263</v>
      </c>
      <c r="C16" t="s">
        <v>1264</v>
      </c>
      <c r="D16" t="s">
        <v>231</v>
      </c>
      <c r="F16">
        <v>125.59050000000001</v>
      </c>
      <c r="G16">
        <v>125.10549899999999</v>
      </c>
      <c r="H16">
        <v>124.587502</v>
      </c>
      <c r="I16">
        <v>124.038498</v>
      </c>
      <c r="J16">
        <v>123.461304</v>
      </c>
      <c r="K16">
        <v>122.858299</v>
      </c>
      <c r="L16">
        <v>122.231796</v>
      </c>
      <c r="M16">
        <v>121.584999</v>
      </c>
      <c r="N16">
        <v>120.91950199999999</v>
      </c>
      <c r="O16">
        <v>120.237801</v>
      </c>
      <c r="P16">
        <v>119.54180100000001</v>
      </c>
      <c r="Q16">
        <v>118.832497</v>
      </c>
      <c r="R16">
        <v>118.113297</v>
      </c>
      <c r="S16">
        <v>117.385002</v>
      </c>
      <c r="T16">
        <v>116.648499</v>
      </c>
      <c r="U16">
        <v>115.9058</v>
      </c>
      <c r="V16">
        <v>115.157799</v>
      </c>
      <c r="W16">
        <v>114.4058</v>
      </c>
      <c r="X16">
        <v>113.650497</v>
      </c>
      <c r="Y16">
        <v>112.893997</v>
      </c>
      <c r="Z16">
        <v>112.136803</v>
      </c>
      <c r="AA16">
        <v>111.37979900000001</v>
      </c>
      <c r="AB16">
        <v>110.624802</v>
      </c>
      <c r="AC16">
        <v>109.871002</v>
      </c>
      <c r="AD16">
        <v>109.120003</v>
      </c>
      <c r="AE16">
        <v>108.371803</v>
      </c>
      <c r="AF16">
        <v>107.62599899999999</v>
      </c>
      <c r="AG16">
        <v>106.882301</v>
      </c>
      <c r="AH16">
        <v>106.140297</v>
      </c>
      <c r="AI16" s="22">
        <v>-6.0000000000000001E-3</v>
      </c>
    </row>
    <row r="17" spans="1:35">
      <c r="A17" t="s">
        <v>1265</v>
      </c>
      <c r="B17" t="s">
        <v>1266</v>
      </c>
      <c r="C17" t="s">
        <v>1267</v>
      </c>
      <c r="D17" t="s">
        <v>231</v>
      </c>
      <c r="F17">
        <v>31.123239999999999</v>
      </c>
      <c r="G17">
        <v>31.552336</v>
      </c>
      <c r="H17">
        <v>31.987663000000001</v>
      </c>
      <c r="I17">
        <v>32.409657000000003</v>
      </c>
      <c r="J17">
        <v>32.829383999999997</v>
      </c>
      <c r="K17">
        <v>33.245941000000002</v>
      </c>
      <c r="L17">
        <v>33.658962000000002</v>
      </c>
      <c r="M17">
        <v>34.068351999999997</v>
      </c>
      <c r="N17">
        <v>34.474316000000002</v>
      </c>
      <c r="O17">
        <v>34.877040999999998</v>
      </c>
      <c r="P17">
        <v>35.276363000000003</v>
      </c>
      <c r="Q17">
        <v>35.672787</v>
      </c>
      <c r="R17">
        <v>36.066764999999997</v>
      </c>
      <c r="S17">
        <v>36.458548999999998</v>
      </c>
      <c r="T17">
        <v>36.848582999999998</v>
      </c>
      <c r="U17">
        <v>37.237124999999999</v>
      </c>
      <c r="V17">
        <v>37.624454</v>
      </c>
      <c r="W17">
        <v>38.010421999999998</v>
      </c>
      <c r="X17">
        <v>38.394981000000001</v>
      </c>
      <c r="Y17">
        <v>38.777881999999998</v>
      </c>
      <c r="Z17">
        <v>39.158962000000002</v>
      </c>
      <c r="AA17">
        <v>39.537841999999998</v>
      </c>
      <c r="AB17">
        <v>39.914402000000003</v>
      </c>
      <c r="AC17">
        <v>40.288212000000001</v>
      </c>
      <c r="AD17">
        <v>40.659004000000003</v>
      </c>
      <c r="AE17">
        <v>41.026546000000003</v>
      </c>
      <c r="AF17">
        <v>41.390678000000001</v>
      </c>
      <c r="AG17">
        <v>41.751362</v>
      </c>
      <c r="AH17">
        <v>42.10857</v>
      </c>
      <c r="AI17" s="22">
        <v>1.0999999999999999E-2</v>
      </c>
    </row>
    <row r="18" spans="1:35">
      <c r="A18" t="s">
        <v>1268</v>
      </c>
      <c r="B18" t="s">
        <v>1269</v>
      </c>
      <c r="C18" t="s">
        <v>1270</v>
      </c>
      <c r="D18" t="s">
        <v>231</v>
      </c>
      <c r="F18">
        <v>51.338450999999999</v>
      </c>
      <c r="G18">
        <v>51.348171000000001</v>
      </c>
      <c r="H18">
        <v>51.347050000000003</v>
      </c>
      <c r="I18">
        <v>51.337631000000002</v>
      </c>
      <c r="J18">
        <v>51.319881000000002</v>
      </c>
      <c r="K18">
        <v>51.29213</v>
      </c>
      <c r="L18">
        <v>51.253830000000001</v>
      </c>
      <c r="M18">
        <v>51.20438</v>
      </c>
      <c r="N18">
        <v>51.143799000000001</v>
      </c>
      <c r="O18">
        <v>51.07423</v>
      </c>
      <c r="P18">
        <v>50.995398999999999</v>
      </c>
      <c r="Q18">
        <v>50.903751</v>
      </c>
      <c r="R18">
        <v>50.795448</v>
      </c>
      <c r="S18">
        <v>50.667171000000003</v>
      </c>
      <c r="T18">
        <v>50.518929</v>
      </c>
      <c r="U18">
        <v>50.352901000000003</v>
      </c>
      <c r="V18">
        <v>50.169829999999997</v>
      </c>
      <c r="W18">
        <v>49.970500999999999</v>
      </c>
      <c r="X18">
        <v>49.755482000000001</v>
      </c>
      <c r="Y18">
        <v>49.523800000000001</v>
      </c>
      <c r="Z18">
        <v>49.275317999999999</v>
      </c>
      <c r="AA18">
        <v>49.011378999999998</v>
      </c>
      <c r="AB18">
        <v>48.733330000000002</v>
      </c>
      <c r="AC18">
        <v>48.442248999999997</v>
      </c>
      <c r="AD18">
        <v>48.137829000000004</v>
      </c>
      <c r="AE18">
        <v>47.819248000000002</v>
      </c>
      <c r="AF18">
        <v>47.487099000000001</v>
      </c>
      <c r="AG18">
        <v>47.141972000000003</v>
      </c>
      <c r="AH18">
        <v>46.783932</v>
      </c>
      <c r="AI18" s="22">
        <v>-3.0000000000000001E-3</v>
      </c>
    </row>
    <row r="19" spans="1:35">
      <c r="A19" t="s">
        <v>1271</v>
      </c>
      <c r="B19" t="s">
        <v>1272</v>
      </c>
      <c r="C19" t="s">
        <v>1273</v>
      </c>
      <c r="D19" t="s">
        <v>231</v>
      </c>
      <c r="F19">
        <v>145.765793</v>
      </c>
      <c r="G19">
        <v>145.581299</v>
      </c>
      <c r="H19">
        <v>145.35380599999999</v>
      </c>
      <c r="I19">
        <v>145.098007</v>
      </c>
      <c r="J19">
        <v>144.80479399999999</v>
      </c>
      <c r="K19">
        <v>144.464493</v>
      </c>
      <c r="L19">
        <v>144.09150700000001</v>
      </c>
      <c r="M19">
        <v>143.69850199999999</v>
      </c>
      <c r="N19">
        <v>143.296494</v>
      </c>
      <c r="O19">
        <v>142.87550400000001</v>
      </c>
      <c r="P19">
        <v>142.430801</v>
      </c>
      <c r="Q19">
        <v>141.97500600000001</v>
      </c>
      <c r="R19">
        <v>141.520996</v>
      </c>
      <c r="S19">
        <v>141.079498</v>
      </c>
      <c r="T19">
        <v>140.645996</v>
      </c>
      <c r="U19">
        <v>140.21350100000001</v>
      </c>
      <c r="V19">
        <v>139.788498</v>
      </c>
      <c r="W19">
        <v>139.376801</v>
      </c>
      <c r="X19">
        <v>138.984802</v>
      </c>
      <c r="Y19">
        <v>138.612503</v>
      </c>
      <c r="Z19">
        <v>138.25649999999999</v>
      </c>
      <c r="AA19">
        <v>137.91400100000001</v>
      </c>
      <c r="AB19">
        <v>137.58230599999999</v>
      </c>
      <c r="AC19">
        <v>137.25950599999999</v>
      </c>
      <c r="AD19">
        <v>136.95030199999999</v>
      </c>
      <c r="AE19">
        <v>136.65379300000001</v>
      </c>
      <c r="AF19">
        <v>136.36480700000001</v>
      </c>
      <c r="AG19">
        <v>136.078506</v>
      </c>
      <c r="AH19">
        <v>135.788803</v>
      </c>
      <c r="AI19" s="22">
        <v>-3.0000000000000001E-3</v>
      </c>
    </row>
    <row r="20" spans="1:35">
      <c r="A20" t="s">
        <v>1274</v>
      </c>
      <c r="B20" t="s">
        <v>1275</v>
      </c>
      <c r="C20" t="s">
        <v>1276</v>
      </c>
      <c r="D20" t="s">
        <v>231</v>
      </c>
      <c r="F20">
        <v>196.40559400000001</v>
      </c>
      <c r="G20">
        <v>196.88909899999999</v>
      </c>
      <c r="H20">
        <v>197.34137000000001</v>
      </c>
      <c r="I20">
        <v>197.77439899999999</v>
      </c>
      <c r="J20">
        <v>198.13687100000001</v>
      </c>
      <c r="K20">
        <v>198.47818000000001</v>
      </c>
      <c r="L20">
        <v>198.80619799999999</v>
      </c>
      <c r="M20">
        <v>199.13061500000001</v>
      </c>
      <c r="N20">
        <v>199.45709199999999</v>
      </c>
      <c r="O20">
        <v>199.80789200000001</v>
      </c>
      <c r="P20">
        <v>200.15795900000001</v>
      </c>
      <c r="Q20">
        <v>200.50091599999999</v>
      </c>
      <c r="R20">
        <v>200.82986500000001</v>
      </c>
      <c r="S20">
        <v>201.143112</v>
      </c>
      <c r="T20">
        <v>201.48429899999999</v>
      </c>
      <c r="U20">
        <v>201.810699</v>
      </c>
      <c r="V20">
        <v>202.12439000000001</v>
      </c>
      <c r="W20">
        <v>202.427155</v>
      </c>
      <c r="X20">
        <v>202.71910099999999</v>
      </c>
      <c r="Y20">
        <v>202.99388099999999</v>
      </c>
      <c r="Z20">
        <v>203.25671399999999</v>
      </c>
      <c r="AA20">
        <v>203.50079299999999</v>
      </c>
      <c r="AB20">
        <v>203.71812399999999</v>
      </c>
      <c r="AC20">
        <v>203.905441</v>
      </c>
      <c r="AD20">
        <v>204.02444499999999</v>
      </c>
      <c r="AE20">
        <v>204.116028</v>
      </c>
      <c r="AF20">
        <v>204.18514999999999</v>
      </c>
      <c r="AG20">
        <v>204.23820499999999</v>
      </c>
      <c r="AH20">
        <v>204.278717</v>
      </c>
      <c r="AI20" s="22">
        <v>1E-3</v>
      </c>
    </row>
    <row r="21" spans="1:35">
      <c r="A21" t="s">
        <v>214</v>
      </c>
      <c r="B21" t="s">
        <v>1277</v>
      </c>
      <c r="C21" t="s">
        <v>1278</v>
      </c>
      <c r="D21" t="s">
        <v>231</v>
      </c>
      <c r="F21">
        <v>1448.8129879999999</v>
      </c>
      <c r="G21">
        <v>1452.4229740000001</v>
      </c>
      <c r="H21">
        <v>1455.5429690000001</v>
      </c>
      <c r="I21">
        <v>1458.1979980000001</v>
      </c>
      <c r="J21">
        <v>1460.3530270000001</v>
      </c>
      <c r="K21">
        <v>1461.9849850000001</v>
      </c>
      <c r="L21">
        <v>1463.160034</v>
      </c>
      <c r="M21">
        <v>1463.9399410000001</v>
      </c>
      <c r="N21">
        <v>1464.36499</v>
      </c>
      <c r="O21">
        <v>1464.4229740000001</v>
      </c>
      <c r="P21">
        <v>1464.084961</v>
      </c>
      <c r="Q21">
        <v>1463.36499</v>
      </c>
      <c r="R21">
        <v>1462.290039</v>
      </c>
      <c r="S21">
        <v>1460.878052</v>
      </c>
      <c r="T21">
        <v>1459.1080320000001</v>
      </c>
      <c r="U21">
        <v>1456.968018</v>
      </c>
      <c r="V21">
        <v>1454.4930420000001</v>
      </c>
      <c r="W21">
        <v>1451.7030030000001</v>
      </c>
      <c r="X21">
        <v>1448.623047</v>
      </c>
      <c r="Y21">
        <v>1445.244995</v>
      </c>
      <c r="Z21">
        <v>1441.5550539999999</v>
      </c>
      <c r="AA21">
        <v>1437.5629879999999</v>
      </c>
      <c r="AB21">
        <v>1433.2829589999999</v>
      </c>
      <c r="AC21">
        <v>1428.718018</v>
      </c>
      <c r="AD21">
        <v>1423.849976</v>
      </c>
      <c r="AE21">
        <v>1418.6829829999999</v>
      </c>
      <c r="AF21">
        <v>1413.23999</v>
      </c>
      <c r="AG21">
        <v>1407.5550539999999</v>
      </c>
      <c r="AH21">
        <v>1401.650024</v>
      </c>
      <c r="AI21" s="22">
        <v>-1E-3</v>
      </c>
    </row>
    <row r="22" spans="1:35">
      <c r="A22" t="s">
        <v>1279</v>
      </c>
      <c r="B22" t="s">
        <v>1280</v>
      </c>
      <c r="C22" t="s">
        <v>1281</v>
      </c>
      <c r="D22" t="s">
        <v>231</v>
      </c>
      <c r="F22">
        <v>1408.3000489999999</v>
      </c>
      <c r="G22">
        <v>1421.3079829999999</v>
      </c>
      <c r="H22">
        <v>1434.0699460000001</v>
      </c>
      <c r="I22">
        <v>1446.5550539999999</v>
      </c>
      <c r="J22">
        <v>1458.8000489999999</v>
      </c>
      <c r="K22">
        <v>1470.8129879999999</v>
      </c>
      <c r="L22">
        <v>1482.5529790000001</v>
      </c>
      <c r="M22">
        <v>1493.959961</v>
      </c>
      <c r="N22">
        <v>1504.9930420000001</v>
      </c>
      <c r="O22">
        <v>1515.6979980000001</v>
      </c>
      <c r="P22">
        <v>1526.094971</v>
      </c>
      <c r="Q22">
        <v>1536.123047</v>
      </c>
      <c r="R22">
        <v>1545.714966</v>
      </c>
      <c r="S22">
        <v>1554.8199460000001</v>
      </c>
      <c r="T22">
        <v>1563.4499510000001</v>
      </c>
      <c r="U22">
        <v>1571.625</v>
      </c>
      <c r="V22">
        <v>1579.3630370000001</v>
      </c>
      <c r="W22">
        <v>1586.6579589999999</v>
      </c>
      <c r="X22">
        <v>1593.51001</v>
      </c>
      <c r="Y22">
        <v>1599.8929439999999</v>
      </c>
      <c r="Z22">
        <v>1605.8129879999999</v>
      </c>
      <c r="AA22">
        <v>1611.3079829999999</v>
      </c>
      <c r="AB22">
        <v>1616.420044</v>
      </c>
      <c r="AC22">
        <v>1621.1850589999999</v>
      </c>
      <c r="AD22">
        <v>1625.5830080000001</v>
      </c>
      <c r="AE22">
        <v>1629.593018</v>
      </c>
      <c r="AF22">
        <v>1633.2380370000001</v>
      </c>
      <c r="AG22">
        <v>1636.5429690000001</v>
      </c>
      <c r="AH22">
        <v>1639.525024</v>
      </c>
      <c r="AI22" s="22">
        <v>5.0000000000000001E-3</v>
      </c>
    </row>
    <row r="23" spans="1:35">
      <c r="A23" t="s">
        <v>1282</v>
      </c>
      <c r="B23" t="s">
        <v>1283</v>
      </c>
      <c r="C23" t="s">
        <v>1284</v>
      </c>
      <c r="D23" t="s">
        <v>231</v>
      </c>
      <c r="F23">
        <v>1245.615967</v>
      </c>
      <c r="G23">
        <v>1259.7116699999999</v>
      </c>
      <c r="H23">
        <v>1273.62915</v>
      </c>
      <c r="I23">
        <v>1287.3408199999999</v>
      </c>
      <c r="J23">
        <v>1300.336182</v>
      </c>
      <c r="K23">
        <v>1313.135254</v>
      </c>
      <c r="L23">
        <v>1325.7388920000001</v>
      </c>
      <c r="M23">
        <v>1338.14978</v>
      </c>
      <c r="N23">
        <v>1350.362183</v>
      </c>
      <c r="O23">
        <v>1361.7928469999999</v>
      </c>
      <c r="P23">
        <v>1373.0439449999999</v>
      </c>
      <c r="Q23">
        <v>1384.1104740000001</v>
      </c>
      <c r="R23">
        <v>1394.9650879999999</v>
      </c>
      <c r="S23">
        <v>1405.6123050000001</v>
      </c>
      <c r="T23">
        <v>1415.5485839999999</v>
      </c>
      <c r="U23">
        <v>1425.296143</v>
      </c>
      <c r="V23">
        <v>1434.834351</v>
      </c>
      <c r="W23">
        <v>1444.1679690000001</v>
      </c>
      <c r="X23">
        <v>1453.3126219999999</v>
      </c>
      <c r="Y23">
        <v>1461.786987</v>
      </c>
      <c r="Z23">
        <v>1470.0507809999999</v>
      </c>
      <c r="AA23">
        <v>1478.1164550000001</v>
      </c>
      <c r="AB23">
        <v>1485.9938959999999</v>
      </c>
      <c r="AC23">
        <v>1493.684814</v>
      </c>
      <c r="AD23">
        <v>1500.5679929999999</v>
      </c>
      <c r="AE23">
        <v>1507.2523189999999</v>
      </c>
      <c r="AF23">
        <v>1513.752197</v>
      </c>
      <c r="AG23">
        <v>1520.0760499999999</v>
      </c>
      <c r="AH23">
        <v>1526.2166749999999</v>
      </c>
      <c r="AI23" s="22">
        <v>7.0000000000000001E-3</v>
      </c>
    </row>
    <row r="24" spans="1:35">
      <c r="A24" t="s">
        <v>1285</v>
      </c>
      <c r="B24" t="s">
        <v>1286</v>
      </c>
      <c r="C24" t="s">
        <v>1287</v>
      </c>
      <c r="D24" t="s">
        <v>231</v>
      </c>
      <c r="F24">
        <v>261.10183699999999</v>
      </c>
      <c r="G24">
        <v>266.300995</v>
      </c>
      <c r="H24">
        <v>271.39819299999999</v>
      </c>
      <c r="I24">
        <v>276.418274</v>
      </c>
      <c r="J24">
        <v>280.84103399999998</v>
      </c>
      <c r="K24">
        <v>285.21560699999998</v>
      </c>
      <c r="L24">
        <v>289.57656900000001</v>
      </c>
      <c r="M24">
        <v>293.90484600000002</v>
      </c>
      <c r="N24">
        <v>298.09335299999998</v>
      </c>
      <c r="O24">
        <v>301.73696899999999</v>
      </c>
      <c r="P24">
        <v>305.35867300000001</v>
      </c>
      <c r="Q24">
        <v>308.96170000000001</v>
      </c>
      <c r="R24">
        <v>312.54541</v>
      </c>
      <c r="S24">
        <v>316.10913099999999</v>
      </c>
      <c r="T24">
        <v>319.498199</v>
      </c>
      <c r="U24">
        <v>322.86215199999998</v>
      </c>
      <c r="V24">
        <v>326.19833399999999</v>
      </c>
      <c r="W24">
        <v>329.50210600000003</v>
      </c>
      <c r="X24">
        <v>332.77383400000002</v>
      </c>
      <c r="Y24">
        <v>335.88980099999998</v>
      </c>
      <c r="Z24">
        <v>338.96798699999999</v>
      </c>
      <c r="AA24">
        <v>342.00610399999999</v>
      </c>
      <c r="AB24">
        <v>345.00186200000002</v>
      </c>
      <c r="AC24">
        <v>347.957672</v>
      </c>
      <c r="AD24">
        <v>350.72204599999998</v>
      </c>
      <c r="AE24">
        <v>353.440674</v>
      </c>
      <c r="AF24">
        <v>356.113495</v>
      </c>
      <c r="AG24">
        <v>358.73825099999999</v>
      </c>
      <c r="AH24">
        <v>361.31408699999997</v>
      </c>
      <c r="AI24" s="22">
        <v>1.2E-2</v>
      </c>
    </row>
    <row r="25" spans="1:35">
      <c r="A25" t="s">
        <v>213</v>
      </c>
      <c r="B25" t="s">
        <v>1288</v>
      </c>
      <c r="C25" t="s">
        <v>1289</v>
      </c>
      <c r="D25" t="s">
        <v>231</v>
      </c>
      <c r="F25">
        <v>1406.816284</v>
      </c>
      <c r="G25">
        <v>1440.4285890000001</v>
      </c>
      <c r="H25">
        <v>1474.159302</v>
      </c>
      <c r="I25">
        <v>1508.036865</v>
      </c>
      <c r="J25">
        <v>1543.6094969999999</v>
      </c>
      <c r="K25">
        <v>1579.3232419999999</v>
      </c>
      <c r="L25">
        <v>1615.1782229999999</v>
      </c>
      <c r="M25">
        <v>1651.1739500000001</v>
      </c>
      <c r="N25">
        <v>1687.309937</v>
      </c>
      <c r="O25">
        <v>1725.00647</v>
      </c>
      <c r="P25">
        <v>1762.836914</v>
      </c>
      <c r="Q25">
        <v>1800.7958980000001</v>
      </c>
      <c r="R25">
        <v>1838.8767089999999</v>
      </c>
      <c r="S25">
        <v>1877.0699460000001</v>
      </c>
      <c r="T25">
        <v>1916.586182</v>
      </c>
      <c r="U25">
        <v>1956.201904</v>
      </c>
      <c r="V25">
        <v>1995.9060059999999</v>
      </c>
      <c r="W25">
        <v>2035.682129</v>
      </c>
      <c r="X25">
        <v>2075.5166020000001</v>
      </c>
      <c r="Y25">
        <v>2116.3789059999999</v>
      </c>
      <c r="Z25">
        <v>2157.2849120000001</v>
      </c>
      <c r="AA25">
        <v>2198.218018</v>
      </c>
      <c r="AB25">
        <v>2239.1657709999999</v>
      </c>
      <c r="AC25">
        <v>2280.1120609999998</v>
      </c>
      <c r="AD25">
        <v>2321.6833499999998</v>
      </c>
      <c r="AE25">
        <v>2363.233643</v>
      </c>
      <c r="AF25">
        <v>2404.77124</v>
      </c>
      <c r="AG25">
        <v>2446.304932</v>
      </c>
      <c r="AH25">
        <v>2487.8393550000001</v>
      </c>
      <c r="AI25" s="22">
        <v>2.1000000000000001E-2</v>
      </c>
    </row>
    <row r="26" spans="1:35">
      <c r="A26" t="s">
        <v>1290</v>
      </c>
      <c r="B26" t="s">
        <v>1291</v>
      </c>
      <c r="C26" t="s">
        <v>1292</v>
      </c>
      <c r="D26" t="s">
        <v>231</v>
      </c>
      <c r="F26">
        <v>215.50250199999999</v>
      </c>
      <c r="G26">
        <v>216.787003</v>
      </c>
      <c r="H26">
        <v>218.005798</v>
      </c>
      <c r="I26">
        <v>219.15980500000001</v>
      </c>
      <c r="J26">
        <v>220.245499</v>
      </c>
      <c r="K26">
        <v>221.26480100000001</v>
      </c>
      <c r="L26">
        <v>222.22030599999999</v>
      </c>
      <c r="M26">
        <v>223.115005</v>
      </c>
      <c r="N26">
        <v>223.951797</v>
      </c>
      <c r="O26">
        <v>224.729996</v>
      </c>
      <c r="P26">
        <v>225.447495</v>
      </c>
      <c r="Q26">
        <v>226.105301</v>
      </c>
      <c r="R26">
        <v>226.704498</v>
      </c>
      <c r="S26">
        <v>227.24650600000001</v>
      </c>
      <c r="T26">
        <v>227.72830200000001</v>
      </c>
      <c r="U26">
        <v>228.15029899999999</v>
      </c>
      <c r="V26">
        <v>228.515503</v>
      </c>
      <c r="W26">
        <v>228.82730100000001</v>
      </c>
      <c r="X26">
        <v>229.087006</v>
      </c>
      <c r="Y26">
        <v>229.29299900000001</v>
      </c>
      <c r="Z26">
        <v>229.44380200000001</v>
      </c>
      <c r="AA26">
        <v>229.54299900000001</v>
      </c>
      <c r="AB26">
        <v>229.59530599999999</v>
      </c>
      <c r="AC26">
        <v>229.60000600000001</v>
      </c>
      <c r="AD26">
        <v>229.541</v>
      </c>
      <c r="AE26">
        <v>229.420807</v>
      </c>
      <c r="AF26">
        <v>229.26629600000001</v>
      </c>
      <c r="AG26">
        <v>229.10699500000001</v>
      </c>
      <c r="AH26">
        <v>228.962997</v>
      </c>
      <c r="AI26" s="22">
        <v>2E-3</v>
      </c>
    </row>
    <row r="27" spans="1:35">
      <c r="A27" t="s">
        <v>1293</v>
      </c>
      <c r="B27" t="s">
        <v>1294</v>
      </c>
      <c r="C27" t="s">
        <v>1295</v>
      </c>
      <c r="D27" t="s">
        <v>231</v>
      </c>
      <c r="F27">
        <v>239.305511</v>
      </c>
      <c r="G27">
        <v>242.13305700000001</v>
      </c>
      <c r="H27">
        <v>244.95889299999999</v>
      </c>
      <c r="I27">
        <v>247.68708799999999</v>
      </c>
      <c r="J27">
        <v>250.28230300000001</v>
      </c>
      <c r="K27">
        <v>252.77761799999999</v>
      </c>
      <c r="L27">
        <v>255.17982499999999</v>
      </c>
      <c r="M27">
        <v>257.50900300000001</v>
      </c>
      <c r="N27">
        <v>259.78024299999998</v>
      </c>
      <c r="O27">
        <v>261.96649200000002</v>
      </c>
      <c r="P27">
        <v>264.080872</v>
      </c>
      <c r="Q27">
        <v>266.13140900000002</v>
      </c>
      <c r="R27">
        <v>268.12866200000002</v>
      </c>
      <c r="S27">
        <v>270.08139</v>
      </c>
      <c r="T27">
        <v>271.964966</v>
      </c>
      <c r="U27">
        <v>273.805634</v>
      </c>
      <c r="V27">
        <v>275.60214200000001</v>
      </c>
      <c r="W27">
        <v>277.35290500000002</v>
      </c>
      <c r="X27">
        <v>279.05569500000001</v>
      </c>
      <c r="Y27">
        <v>280.68167099999999</v>
      </c>
      <c r="Z27">
        <v>282.26147500000002</v>
      </c>
      <c r="AA27">
        <v>283.79553199999998</v>
      </c>
      <c r="AB27">
        <v>285.28445399999998</v>
      </c>
      <c r="AC27">
        <v>286.727417</v>
      </c>
      <c r="AD27">
        <v>288.09207199999997</v>
      </c>
      <c r="AE27">
        <v>289.408478</v>
      </c>
      <c r="AF27">
        <v>290.681061</v>
      </c>
      <c r="AG27">
        <v>291.913025</v>
      </c>
      <c r="AH27">
        <v>293.10772700000001</v>
      </c>
      <c r="AI27" s="22">
        <v>7.0000000000000001E-3</v>
      </c>
    </row>
    <row r="28" spans="1:35">
      <c r="A28" t="s">
        <v>114</v>
      </c>
    </row>
    <row r="29" spans="1:35">
      <c r="A29" t="s">
        <v>215</v>
      </c>
    </row>
    <row r="30" spans="1:35">
      <c r="A30" t="s">
        <v>206</v>
      </c>
    </row>
    <row r="31" spans="1:35">
      <c r="A31" t="s">
        <v>211</v>
      </c>
      <c r="B31" t="s">
        <v>1296</v>
      </c>
      <c r="C31" t="s">
        <v>1297</v>
      </c>
      <c r="D31" t="s">
        <v>202</v>
      </c>
      <c r="F31">
        <v>710.078979</v>
      </c>
      <c r="G31">
        <v>745.46997099999999</v>
      </c>
      <c r="H31">
        <v>736.68206799999996</v>
      </c>
      <c r="I31">
        <v>738.70519999999999</v>
      </c>
      <c r="J31">
        <v>748.32171600000004</v>
      </c>
      <c r="K31">
        <v>757.27587900000003</v>
      </c>
      <c r="L31">
        <v>766.14733899999999</v>
      </c>
      <c r="M31">
        <v>772.89410399999997</v>
      </c>
      <c r="N31">
        <v>777.79357900000002</v>
      </c>
      <c r="O31">
        <v>783.99468999999999</v>
      </c>
      <c r="P31">
        <v>794.75061000000005</v>
      </c>
      <c r="Q31">
        <v>805.91589399999998</v>
      </c>
      <c r="R31">
        <v>813.78576699999996</v>
      </c>
      <c r="S31">
        <v>821.34020999999996</v>
      </c>
      <c r="T31">
        <v>830.72882100000004</v>
      </c>
      <c r="U31">
        <v>842.31744400000002</v>
      </c>
      <c r="V31">
        <v>856.212402</v>
      </c>
      <c r="W31">
        <v>871.08654799999999</v>
      </c>
      <c r="X31">
        <v>888.00317399999994</v>
      </c>
      <c r="Y31">
        <v>904.34942599999999</v>
      </c>
      <c r="Z31">
        <v>921.39001499999995</v>
      </c>
      <c r="AA31">
        <v>938.95989999999995</v>
      </c>
      <c r="AB31">
        <v>956.99127199999998</v>
      </c>
      <c r="AC31">
        <v>974.60882600000002</v>
      </c>
      <c r="AD31">
        <v>993.36712599999998</v>
      </c>
      <c r="AE31">
        <v>1013.58374</v>
      </c>
      <c r="AF31">
        <v>1035.090698</v>
      </c>
      <c r="AG31">
        <v>1057.723755</v>
      </c>
      <c r="AH31">
        <v>1081.9085689999999</v>
      </c>
      <c r="AI31" s="22">
        <v>1.4999999999999999E-2</v>
      </c>
    </row>
    <row r="32" spans="1:35">
      <c r="A32" t="s">
        <v>212</v>
      </c>
      <c r="B32" t="s">
        <v>1298</v>
      </c>
      <c r="C32" t="s">
        <v>1299</v>
      </c>
      <c r="D32" t="s">
        <v>202</v>
      </c>
      <c r="F32">
        <v>33.891998000000001</v>
      </c>
      <c r="G32">
        <v>36.630001</v>
      </c>
      <c r="H32">
        <v>37.250919000000003</v>
      </c>
      <c r="I32">
        <v>37.928448000000003</v>
      </c>
      <c r="J32">
        <v>38.582844000000001</v>
      </c>
      <c r="K32">
        <v>39.201327999999997</v>
      </c>
      <c r="L32">
        <v>39.822952000000001</v>
      </c>
      <c r="M32">
        <v>40.457236999999999</v>
      </c>
      <c r="N32">
        <v>41.099151999999997</v>
      </c>
      <c r="O32">
        <v>41.750576000000002</v>
      </c>
      <c r="P32">
        <v>42.408977999999998</v>
      </c>
      <c r="Q32">
        <v>43.071007000000002</v>
      </c>
      <c r="R32">
        <v>43.736645000000003</v>
      </c>
      <c r="S32">
        <v>44.405921999999997</v>
      </c>
      <c r="T32">
        <v>45.078777000000002</v>
      </c>
      <c r="U32">
        <v>45.755299000000001</v>
      </c>
      <c r="V32">
        <v>46.435478000000003</v>
      </c>
      <c r="W32">
        <v>47.119484</v>
      </c>
      <c r="X32">
        <v>47.807274</v>
      </c>
      <c r="Y32">
        <v>48.498725999999998</v>
      </c>
      <c r="Z32">
        <v>49.194065000000002</v>
      </c>
      <c r="AA32">
        <v>49.893104999999998</v>
      </c>
      <c r="AB32">
        <v>50.597079999999998</v>
      </c>
      <c r="AC32">
        <v>51.306601999999998</v>
      </c>
      <c r="AD32">
        <v>52.021793000000002</v>
      </c>
      <c r="AE32">
        <v>52.742984999999997</v>
      </c>
      <c r="AF32">
        <v>53.470382999999998</v>
      </c>
      <c r="AG32">
        <v>54.204514000000003</v>
      </c>
      <c r="AH32">
        <v>54.945633000000001</v>
      </c>
      <c r="AI32" s="22">
        <v>1.7000000000000001E-2</v>
      </c>
    </row>
    <row r="33" spans="1:35">
      <c r="A33" t="s">
        <v>1256</v>
      </c>
      <c r="B33" t="s">
        <v>1300</v>
      </c>
      <c r="C33" t="s">
        <v>1301</v>
      </c>
      <c r="D33" t="s">
        <v>202</v>
      </c>
      <c r="F33">
        <v>50.740718999999999</v>
      </c>
      <c r="G33">
        <v>56.534430999999998</v>
      </c>
      <c r="H33">
        <v>60.376579</v>
      </c>
      <c r="I33">
        <v>62.836734999999997</v>
      </c>
      <c r="J33">
        <v>65.337990000000005</v>
      </c>
      <c r="K33">
        <v>67.897064</v>
      </c>
      <c r="L33">
        <v>70.512161000000006</v>
      </c>
      <c r="M33">
        <v>73.204375999999996</v>
      </c>
      <c r="N33">
        <v>75.988669999999999</v>
      </c>
      <c r="O33">
        <v>78.861144999999993</v>
      </c>
      <c r="P33">
        <v>81.841094999999996</v>
      </c>
      <c r="Q33">
        <v>84.912086000000002</v>
      </c>
      <c r="R33">
        <v>88.077208999999996</v>
      </c>
      <c r="S33">
        <v>91.337661999999995</v>
      </c>
      <c r="T33">
        <v>94.683143999999999</v>
      </c>
      <c r="U33">
        <v>98.125945999999999</v>
      </c>
      <c r="V33">
        <v>101.669319</v>
      </c>
      <c r="W33">
        <v>105.31547500000001</v>
      </c>
      <c r="X33">
        <v>109.06652099999999</v>
      </c>
      <c r="Y33">
        <v>112.89244100000001</v>
      </c>
      <c r="Z33">
        <v>116.824089</v>
      </c>
      <c r="AA33">
        <v>120.86422</v>
      </c>
      <c r="AB33">
        <v>125.015038</v>
      </c>
      <c r="AC33">
        <v>129.27801500000001</v>
      </c>
      <c r="AD33">
        <v>133.62089499999999</v>
      </c>
      <c r="AE33">
        <v>138.07399000000001</v>
      </c>
      <c r="AF33">
        <v>142.646118</v>
      </c>
      <c r="AG33">
        <v>147.34742700000001</v>
      </c>
      <c r="AH33">
        <v>152.18673699999999</v>
      </c>
      <c r="AI33" s="22">
        <v>0.04</v>
      </c>
    </row>
    <row r="34" spans="1:35">
      <c r="A34" t="s">
        <v>1259</v>
      </c>
      <c r="B34" t="s">
        <v>1302</v>
      </c>
      <c r="C34" t="s">
        <v>1303</v>
      </c>
      <c r="D34" t="s">
        <v>202</v>
      </c>
      <c r="F34">
        <v>315.62841800000001</v>
      </c>
      <c r="G34">
        <v>422.74731400000002</v>
      </c>
      <c r="H34">
        <v>501.79760700000003</v>
      </c>
      <c r="I34">
        <v>547.62390100000005</v>
      </c>
      <c r="J34">
        <v>567.10003700000004</v>
      </c>
      <c r="K34">
        <v>580.01007100000004</v>
      </c>
      <c r="L34">
        <v>593.03802499999995</v>
      </c>
      <c r="M34">
        <v>606.25683600000002</v>
      </c>
      <c r="N34">
        <v>619.70391800000004</v>
      </c>
      <c r="O34">
        <v>633.394226</v>
      </c>
      <c r="P34">
        <v>647.34759499999996</v>
      </c>
      <c r="Q34">
        <v>661.58007799999996</v>
      </c>
      <c r="R34">
        <v>676.07147199999997</v>
      </c>
      <c r="S34">
        <v>690.78887899999995</v>
      </c>
      <c r="T34">
        <v>705.776794</v>
      </c>
      <c r="U34">
        <v>721.07025099999998</v>
      </c>
      <c r="V34">
        <v>736.65130599999998</v>
      </c>
      <c r="W34">
        <v>752.51965299999995</v>
      </c>
      <c r="X34">
        <v>768.69628899999998</v>
      </c>
      <c r="Y34">
        <v>785.15838599999995</v>
      </c>
      <c r="Z34">
        <v>801.90203899999995</v>
      </c>
      <c r="AA34">
        <v>818.92358400000001</v>
      </c>
      <c r="AB34">
        <v>836.21734600000002</v>
      </c>
      <c r="AC34">
        <v>853.78289800000005</v>
      </c>
      <c r="AD34">
        <v>871.62298599999997</v>
      </c>
      <c r="AE34">
        <v>889.74096699999996</v>
      </c>
      <c r="AF34">
        <v>908.15856900000006</v>
      </c>
      <c r="AG34">
        <v>926.90478499999995</v>
      </c>
      <c r="AH34">
        <v>945.99829099999999</v>
      </c>
      <c r="AI34" s="22">
        <v>0.04</v>
      </c>
    </row>
    <row r="35" spans="1:35">
      <c r="A35" t="s">
        <v>1262</v>
      </c>
      <c r="B35" t="s">
        <v>1304</v>
      </c>
      <c r="C35" t="s">
        <v>1305</v>
      </c>
      <c r="D35" t="s">
        <v>202</v>
      </c>
      <c r="F35">
        <v>26.969999000000001</v>
      </c>
      <c r="G35">
        <v>47.43</v>
      </c>
      <c r="H35">
        <v>59.271999000000001</v>
      </c>
      <c r="I35">
        <v>61.380001</v>
      </c>
      <c r="J35">
        <v>61.920161999999998</v>
      </c>
      <c r="K35">
        <v>62.41534</v>
      </c>
      <c r="L35">
        <v>62.870857000000001</v>
      </c>
      <c r="M35">
        <v>63.294476000000003</v>
      </c>
      <c r="N35">
        <v>63.689357999999999</v>
      </c>
      <c r="O35">
        <v>64.061240999999995</v>
      </c>
      <c r="P35">
        <v>64.419899000000001</v>
      </c>
      <c r="Q35">
        <v>64.773528999999996</v>
      </c>
      <c r="R35">
        <v>65.123833000000005</v>
      </c>
      <c r="S35">
        <v>65.470909000000006</v>
      </c>
      <c r="T35">
        <v>65.814910999999995</v>
      </c>
      <c r="U35">
        <v>66.156433000000007</v>
      </c>
      <c r="V35">
        <v>66.495697000000007</v>
      </c>
      <c r="W35">
        <v>66.832970000000003</v>
      </c>
      <c r="X35">
        <v>67.168334999999999</v>
      </c>
      <c r="Y35">
        <v>67.502707999999998</v>
      </c>
      <c r="Z35">
        <v>67.836005999999998</v>
      </c>
      <c r="AA35">
        <v>68.168655000000001</v>
      </c>
      <c r="AB35">
        <v>68.502373000000006</v>
      </c>
      <c r="AC35">
        <v>68.839500000000001</v>
      </c>
      <c r="AD35">
        <v>69.182654999999997</v>
      </c>
      <c r="AE35">
        <v>69.532364000000001</v>
      </c>
      <c r="AF35">
        <v>69.888549999999995</v>
      </c>
      <c r="AG35">
        <v>70.251152000000005</v>
      </c>
      <c r="AH35">
        <v>70.620002999999997</v>
      </c>
      <c r="AI35" s="22">
        <v>3.5000000000000003E-2</v>
      </c>
    </row>
    <row r="36" spans="1:35">
      <c r="A36" t="s">
        <v>1265</v>
      </c>
      <c r="B36" t="s">
        <v>1306</v>
      </c>
      <c r="C36" t="s">
        <v>1307</v>
      </c>
      <c r="D36" t="s">
        <v>202</v>
      </c>
      <c r="F36">
        <v>32.485492999999998</v>
      </c>
      <c r="G36">
        <v>45.917563999999999</v>
      </c>
      <c r="H36">
        <v>54.438347</v>
      </c>
      <c r="I36">
        <v>58.580399</v>
      </c>
      <c r="J36">
        <v>60.373111999999999</v>
      </c>
      <c r="K36">
        <v>62.175818999999997</v>
      </c>
      <c r="L36">
        <v>63.987071999999998</v>
      </c>
      <c r="M36">
        <v>65.816010000000006</v>
      </c>
      <c r="N36">
        <v>67.672150000000002</v>
      </c>
      <c r="O36">
        <v>69.540038999999993</v>
      </c>
      <c r="P36">
        <v>71.392394999999993</v>
      </c>
      <c r="Q36">
        <v>73.242050000000006</v>
      </c>
      <c r="R36">
        <v>75.092895999999996</v>
      </c>
      <c r="S36">
        <v>76.872742000000002</v>
      </c>
      <c r="T36">
        <v>78.633728000000005</v>
      </c>
      <c r="U36">
        <v>80.435424999999995</v>
      </c>
      <c r="V36">
        <v>82.260277000000002</v>
      </c>
      <c r="W36">
        <v>84.062126000000006</v>
      </c>
      <c r="X36">
        <v>85.845725999999999</v>
      </c>
      <c r="Y36">
        <v>87.640495000000001</v>
      </c>
      <c r="Z36">
        <v>89.452477000000002</v>
      </c>
      <c r="AA36">
        <v>91.281104999999997</v>
      </c>
      <c r="AB36">
        <v>93.125473</v>
      </c>
      <c r="AC36">
        <v>94.983176999999998</v>
      </c>
      <c r="AD36">
        <v>96.849968000000004</v>
      </c>
      <c r="AE36">
        <v>98.726249999999993</v>
      </c>
      <c r="AF36">
        <v>100.62426000000001</v>
      </c>
      <c r="AG36">
        <v>102.54549400000001</v>
      </c>
      <c r="AH36">
        <v>104.48915100000001</v>
      </c>
      <c r="AI36" s="22">
        <v>4.2999999999999997E-2</v>
      </c>
    </row>
    <row r="37" spans="1:35">
      <c r="A37" t="s">
        <v>1268</v>
      </c>
      <c r="B37" t="s">
        <v>1308</v>
      </c>
      <c r="C37" t="s">
        <v>1309</v>
      </c>
      <c r="D37" t="s">
        <v>202</v>
      </c>
      <c r="F37">
        <v>7.1724589999999999</v>
      </c>
      <c r="G37">
        <v>8.457884</v>
      </c>
      <c r="H37">
        <v>9.5488759999999999</v>
      </c>
      <c r="I37">
        <v>10.326612000000001</v>
      </c>
      <c r="J37">
        <v>10.693877000000001</v>
      </c>
      <c r="K37">
        <v>10.870692</v>
      </c>
      <c r="L37">
        <v>11.037345</v>
      </c>
      <c r="M37">
        <v>11.193871</v>
      </c>
      <c r="N37">
        <v>11.34094</v>
      </c>
      <c r="O37">
        <v>11.454879</v>
      </c>
      <c r="P37">
        <v>11.523292</v>
      </c>
      <c r="Q37">
        <v>11.581455</v>
      </c>
      <c r="R37">
        <v>11.636729000000001</v>
      </c>
      <c r="S37">
        <v>11.687825999999999</v>
      </c>
      <c r="T37">
        <v>11.736679000000001</v>
      </c>
      <c r="U37">
        <v>11.776113</v>
      </c>
      <c r="V37">
        <v>11.806799</v>
      </c>
      <c r="W37">
        <v>11.835800000000001</v>
      </c>
      <c r="X37">
        <v>11.867737999999999</v>
      </c>
      <c r="Y37">
        <v>11.907171999999999</v>
      </c>
      <c r="Z37">
        <v>11.952139000000001</v>
      </c>
      <c r="AA37">
        <v>11.998142</v>
      </c>
      <c r="AB37">
        <v>12.043982</v>
      </c>
      <c r="AC37">
        <v>12.087415</v>
      </c>
      <c r="AD37">
        <v>12.125690000000001</v>
      </c>
      <c r="AE37">
        <v>12.1586</v>
      </c>
      <c r="AF37">
        <v>12.189465</v>
      </c>
      <c r="AG37">
        <v>12.221159999999999</v>
      </c>
      <c r="AH37">
        <v>12.255587</v>
      </c>
      <c r="AI37" s="22">
        <v>1.9E-2</v>
      </c>
    </row>
    <row r="38" spans="1:35">
      <c r="A38" t="s">
        <v>1271</v>
      </c>
      <c r="B38" t="s">
        <v>1310</v>
      </c>
      <c r="C38" t="s">
        <v>1311</v>
      </c>
      <c r="D38" t="s">
        <v>202</v>
      </c>
      <c r="F38">
        <v>96.943595999999999</v>
      </c>
      <c r="G38">
        <v>96.375838999999999</v>
      </c>
      <c r="H38">
        <v>98.188980000000001</v>
      </c>
      <c r="I38">
        <v>99.832595999999995</v>
      </c>
      <c r="J38">
        <v>101.372215</v>
      </c>
      <c r="K38">
        <v>102.851097</v>
      </c>
      <c r="L38">
        <v>104.335266</v>
      </c>
      <c r="M38">
        <v>105.832863</v>
      </c>
      <c r="N38">
        <v>107.348007</v>
      </c>
      <c r="O38">
        <v>108.917366</v>
      </c>
      <c r="P38">
        <v>110.521828</v>
      </c>
      <c r="Q38">
        <v>112.14489</v>
      </c>
      <c r="R38">
        <v>113.791878</v>
      </c>
      <c r="S38">
        <v>115.46772</v>
      </c>
      <c r="T38">
        <v>117.171211</v>
      </c>
      <c r="U38">
        <v>118.89960499999999</v>
      </c>
      <c r="V38">
        <v>120.656273</v>
      </c>
      <c r="W38">
        <v>122.44444300000001</v>
      </c>
      <c r="X38">
        <v>124.26765399999999</v>
      </c>
      <c r="Y38">
        <v>126.12685399999999</v>
      </c>
      <c r="Z38">
        <v>128.02136200000001</v>
      </c>
      <c r="AA38">
        <v>129.95013399999999</v>
      </c>
      <c r="AB38">
        <v>131.91334499999999</v>
      </c>
      <c r="AC38">
        <v>133.910202</v>
      </c>
      <c r="AD38">
        <v>135.94387800000001</v>
      </c>
      <c r="AE38">
        <v>138.014771</v>
      </c>
      <c r="AF38">
        <v>140.12088</v>
      </c>
      <c r="AG38">
        <v>142.26033000000001</v>
      </c>
      <c r="AH38">
        <v>144.430115</v>
      </c>
      <c r="AI38" s="22">
        <v>1.4E-2</v>
      </c>
    </row>
    <row r="39" spans="1:35">
      <c r="A39" t="s">
        <v>1274</v>
      </c>
      <c r="B39" t="s">
        <v>1312</v>
      </c>
      <c r="C39" t="s">
        <v>1313</v>
      </c>
      <c r="D39" t="s">
        <v>202</v>
      </c>
      <c r="F39">
        <v>5.5833570000000003</v>
      </c>
      <c r="G39">
        <v>6.899108</v>
      </c>
      <c r="H39">
        <v>8.7525999999999993</v>
      </c>
      <c r="I39">
        <v>10.320059000000001</v>
      </c>
      <c r="J39">
        <v>11.326893999999999</v>
      </c>
      <c r="K39">
        <v>11.649971000000001</v>
      </c>
      <c r="L39">
        <v>11.976704</v>
      </c>
      <c r="M39">
        <v>12.309505</v>
      </c>
      <c r="N39">
        <v>12.650805999999999</v>
      </c>
      <c r="O39">
        <v>13.010585000000001</v>
      </c>
      <c r="P39">
        <v>13.382293000000001</v>
      </c>
      <c r="Q39">
        <v>13.763350000000001</v>
      </c>
      <c r="R39">
        <v>14.154275999999999</v>
      </c>
      <c r="S39">
        <v>14.556096999999999</v>
      </c>
      <c r="T39">
        <v>14.956531</v>
      </c>
      <c r="U39">
        <v>15.366565</v>
      </c>
      <c r="V39">
        <v>15.786690999999999</v>
      </c>
      <c r="W39">
        <v>16.216818</v>
      </c>
      <c r="X39">
        <v>16.657633000000001</v>
      </c>
      <c r="Y39">
        <v>17.097104999999999</v>
      </c>
      <c r="Z39">
        <v>17.546858</v>
      </c>
      <c r="AA39">
        <v>18.007286000000001</v>
      </c>
      <c r="AB39">
        <v>18.478339999999999</v>
      </c>
      <c r="AC39">
        <v>18.960153999999999</v>
      </c>
      <c r="AD39">
        <v>19.440370999999999</v>
      </c>
      <c r="AE39">
        <v>19.930873999999999</v>
      </c>
      <c r="AF39">
        <v>20.432293000000001</v>
      </c>
      <c r="AG39">
        <v>20.944868</v>
      </c>
      <c r="AH39">
        <v>21.468855000000001</v>
      </c>
      <c r="AI39" s="22">
        <v>4.9000000000000002E-2</v>
      </c>
    </row>
    <row r="40" spans="1:35">
      <c r="A40" t="s">
        <v>214</v>
      </c>
      <c r="B40" t="s">
        <v>1314</v>
      </c>
      <c r="C40" t="s">
        <v>1315</v>
      </c>
      <c r="D40" t="s">
        <v>202</v>
      </c>
      <c r="F40">
        <v>445.94699100000003</v>
      </c>
      <c r="G40">
        <v>487.20901500000002</v>
      </c>
      <c r="H40">
        <v>523.71002199999998</v>
      </c>
      <c r="I40">
        <v>560.38824499999998</v>
      </c>
      <c r="J40">
        <v>597.47442599999999</v>
      </c>
      <c r="K40">
        <v>634.90472399999999</v>
      </c>
      <c r="L40">
        <v>672.73303199999998</v>
      </c>
      <c r="M40">
        <v>710.81597899999997</v>
      </c>
      <c r="N40">
        <v>748.88952600000005</v>
      </c>
      <c r="O40">
        <v>787.29797399999995</v>
      </c>
      <c r="P40">
        <v>826.023865</v>
      </c>
      <c r="Q40">
        <v>864.93164100000001</v>
      </c>
      <c r="R40">
        <v>904.114868</v>
      </c>
      <c r="S40">
        <v>943.79315199999996</v>
      </c>
      <c r="T40">
        <v>983.87207000000001</v>
      </c>
      <c r="U40">
        <v>1024.044312</v>
      </c>
      <c r="V40">
        <v>1064.332764</v>
      </c>
      <c r="W40">
        <v>1104.986206</v>
      </c>
      <c r="X40">
        <v>1146.439697</v>
      </c>
      <c r="Y40">
        <v>1189.1207280000001</v>
      </c>
      <c r="Z40">
        <v>1232.996216</v>
      </c>
      <c r="AA40">
        <v>1277.6727289999999</v>
      </c>
      <c r="AB40">
        <v>1322.664673</v>
      </c>
      <c r="AC40">
        <v>1367.44165</v>
      </c>
      <c r="AD40">
        <v>1411.900024</v>
      </c>
      <c r="AE40">
        <v>1456.2844239999999</v>
      </c>
      <c r="AF40">
        <v>1500.4047849999999</v>
      </c>
      <c r="AG40">
        <v>1543.762573</v>
      </c>
      <c r="AH40">
        <v>1585.8328859999999</v>
      </c>
      <c r="AI40" s="22">
        <v>4.5999999999999999E-2</v>
      </c>
    </row>
    <row r="41" spans="1:35">
      <c r="A41" t="s">
        <v>1279</v>
      </c>
      <c r="B41" t="s">
        <v>1316</v>
      </c>
      <c r="C41" t="s">
        <v>1317</v>
      </c>
      <c r="D41" t="s">
        <v>202</v>
      </c>
      <c r="F41">
        <v>64.328002999999995</v>
      </c>
      <c r="G41">
        <v>75.594002000000003</v>
      </c>
      <c r="H41">
        <v>81.957999999999998</v>
      </c>
      <c r="I41">
        <v>85.139999000000003</v>
      </c>
      <c r="J41">
        <v>93.982192999999995</v>
      </c>
      <c r="K41">
        <v>103.36318199999999</v>
      </c>
      <c r="L41">
        <v>113.16532100000001</v>
      </c>
      <c r="M41">
        <v>123.31379699999999</v>
      </c>
      <c r="N41">
        <v>133.73538199999999</v>
      </c>
      <c r="O41">
        <v>144.346588</v>
      </c>
      <c r="P41">
        <v>155.08763099999999</v>
      </c>
      <c r="Q41">
        <v>165.88197299999999</v>
      </c>
      <c r="R41">
        <v>176.64450099999999</v>
      </c>
      <c r="S41">
        <v>187.40939299999999</v>
      </c>
      <c r="T41">
        <v>198.268677</v>
      </c>
      <c r="U41">
        <v>209.41423</v>
      </c>
      <c r="V41">
        <v>220.845947</v>
      </c>
      <c r="W41">
        <v>232.543701</v>
      </c>
      <c r="X41">
        <v>244.48284899999999</v>
      </c>
      <c r="Y41">
        <v>256.64562999999998</v>
      </c>
      <c r="Z41">
        <v>269.010651</v>
      </c>
      <c r="AA41">
        <v>281.56417800000003</v>
      </c>
      <c r="AB41">
        <v>294.26825000000002</v>
      </c>
      <c r="AC41">
        <v>307.09204099999999</v>
      </c>
      <c r="AD41">
        <v>320.00271600000002</v>
      </c>
      <c r="AE41">
        <v>332.96649200000002</v>
      </c>
      <c r="AF41">
        <v>345.94287100000003</v>
      </c>
      <c r="AG41">
        <v>358.890961</v>
      </c>
      <c r="AH41">
        <v>371.77322400000003</v>
      </c>
      <c r="AI41" s="22">
        <v>6.5000000000000002E-2</v>
      </c>
    </row>
    <row r="42" spans="1:35">
      <c r="A42" t="s">
        <v>1282</v>
      </c>
      <c r="B42" t="s">
        <v>1318</v>
      </c>
      <c r="C42" t="s">
        <v>1319</v>
      </c>
      <c r="D42" t="s">
        <v>202</v>
      </c>
      <c r="F42">
        <v>121.340279</v>
      </c>
      <c r="G42">
        <v>154.57797199999999</v>
      </c>
      <c r="H42">
        <v>184.62844799999999</v>
      </c>
      <c r="I42">
        <v>208.98757900000001</v>
      </c>
      <c r="J42">
        <v>225.37876900000001</v>
      </c>
      <c r="K42">
        <v>238.34477200000001</v>
      </c>
      <c r="L42">
        <v>251.587997</v>
      </c>
      <c r="M42">
        <v>265.00787400000002</v>
      </c>
      <c r="N42">
        <v>278.52264400000001</v>
      </c>
      <c r="O42">
        <v>292.37914999999998</v>
      </c>
      <c r="P42">
        <v>306.63424700000002</v>
      </c>
      <c r="Q42">
        <v>321.28695699999997</v>
      </c>
      <c r="R42">
        <v>336.38125600000001</v>
      </c>
      <c r="S42">
        <v>351.955963</v>
      </c>
      <c r="T42">
        <v>367.83340500000003</v>
      </c>
      <c r="U42">
        <v>384.15817299999998</v>
      </c>
      <c r="V42">
        <v>400.97872899999999</v>
      </c>
      <c r="W42">
        <v>418.281586</v>
      </c>
      <c r="X42">
        <v>436.11956800000002</v>
      </c>
      <c r="Y42">
        <v>454.223206</v>
      </c>
      <c r="Z42">
        <v>472.74136399999998</v>
      </c>
      <c r="AA42">
        <v>491.70300300000002</v>
      </c>
      <c r="AB42">
        <v>511.12606799999998</v>
      </c>
      <c r="AC42">
        <v>530.98492399999998</v>
      </c>
      <c r="AD42">
        <v>550.75610400000005</v>
      </c>
      <c r="AE42">
        <v>570.81701699999996</v>
      </c>
      <c r="AF42">
        <v>591.32055700000001</v>
      </c>
      <c r="AG42">
        <v>612.31854199999998</v>
      </c>
      <c r="AH42">
        <v>633.87719700000002</v>
      </c>
      <c r="AI42" s="22">
        <v>6.0999999999999999E-2</v>
      </c>
    </row>
    <row r="43" spans="1:35">
      <c r="A43" t="s">
        <v>1285</v>
      </c>
      <c r="B43" t="s">
        <v>1320</v>
      </c>
      <c r="C43" t="s">
        <v>1321</v>
      </c>
      <c r="D43" t="s">
        <v>202</v>
      </c>
      <c r="F43">
        <v>25.162047999999999</v>
      </c>
      <c r="G43">
        <v>33.757781999999999</v>
      </c>
      <c r="H43">
        <v>43.291224999999997</v>
      </c>
      <c r="I43">
        <v>49.386383000000002</v>
      </c>
      <c r="J43">
        <v>51.574387000000002</v>
      </c>
      <c r="K43">
        <v>53.530833999999999</v>
      </c>
      <c r="L43">
        <v>55.570011000000001</v>
      </c>
      <c r="M43">
        <v>57.661495000000002</v>
      </c>
      <c r="N43">
        <v>59.811988999999997</v>
      </c>
      <c r="O43">
        <v>61.987437999999997</v>
      </c>
      <c r="P43">
        <v>64.196487000000005</v>
      </c>
      <c r="Q43">
        <v>66.463004999999995</v>
      </c>
      <c r="R43">
        <v>68.793846000000002</v>
      </c>
      <c r="S43">
        <v>71.198943999999997</v>
      </c>
      <c r="T43">
        <v>73.662277000000003</v>
      </c>
      <c r="U43">
        <v>76.193236999999996</v>
      </c>
      <c r="V43">
        <v>78.792975999999996</v>
      </c>
      <c r="W43">
        <v>81.454643000000004</v>
      </c>
      <c r="X43">
        <v>84.179428000000001</v>
      </c>
      <c r="Y43">
        <v>86.959701999999993</v>
      </c>
      <c r="Z43">
        <v>89.805481</v>
      </c>
      <c r="AA43">
        <v>92.720855999999998</v>
      </c>
      <c r="AB43">
        <v>95.706917000000004</v>
      </c>
      <c r="AC43">
        <v>98.766266000000002</v>
      </c>
      <c r="AD43">
        <v>101.88080600000001</v>
      </c>
      <c r="AE43">
        <v>105.06590300000001</v>
      </c>
      <c r="AF43">
        <v>108.32765999999999</v>
      </c>
      <c r="AG43">
        <v>111.667374</v>
      </c>
      <c r="AH43">
        <v>115.087654</v>
      </c>
      <c r="AI43" s="22">
        <v>5.6000000000000001E-2</v>
      </c>
    </row>
    <row r="44" spans="1:35">
      <c r="A44" t="s">
        <v>213</v>
      </c>
      <c r="B44" t="s">
        <v>1322</v>
      </c>
      <c r="C44" t="s">
        <v>1323</v>
      </c>
      <c r="D44" t="s">
        <v>202</v>
      </c>
      <c r="F44">
        <v>21.436751999999998</v>
      </c>
      <c r="G44">
        <v>27.598734</v>
      </c>
      <c r="H44">
        <v>35.583275</v>
      </c>
      <c r="I44">
        <v>40.530216000000003</v>
      </c>
      <c r="J44">
        <v>42.960293</v>
      </c>
      <c r="K44">
        <v>45.071503</v>
      </c>
      <c r="L44">
        <v>47.258926000000002</v>
      </c>
      <c r="M44">
        <v>49.535010999999997</v>
      </c>
      <c r="N44">
        <v>51.919395000000002</v>
      </c>
      <c r="O44">
        <v>54.415638000000001</v>
      </c>
      <c r="P44">
        <v>57.007767000000001</v>
      </c>
      <c r="Q44">
        <v>59.691803</v>
      </c>
      <c r="R44">
        <v>62.468406999999999</v>
      </c>
      <c r="S44">
        <v>65.338493</v>
      </c>
      <c r="T44">
        <v>68.332961999999995</v>
      </c>
      <c r="U44">
        <v>71.430465999999996</v>
      </c>
      <c r="V44">
        <v>74.628899000000004</v>
      </c>
      <c r="W44">
        <v>77.928932000000003</v>
      </c>
      <c r="X44">
        <v>81.334746999999993</v>
      </c>
      <c r="Y44">
        <v>84.875998999999993</v>
      </c>
      <c r="Z44">
        <v>88.529678000000004</v>
      </c>
      <c r="AA44">
        <v>92.295119999999997</v>
      </c>
      <c r="AB44">
        <v>96.174530000000004</v>
      </c>
      <c r="AC44">
        <v>100.172386</v>
      </c>
      <c r="AD44">
        <v>104.314087</v>
      </c>
      <c r="AE44">
        <v>108.579628</v>
      </c>
      <c r="AF44">
        <v>112.96938299999999</v>
      </c>
      <c r="AG44">
        <v>117.485657</v>
      </c>
      <c r="AH44">
        <v>122.13298</v>
      </c>
      <c r="AI44" s="22">
        <v>6.4000000000000001E-2</v>
      </c>
    </row>
    <row r="45" spans="1:35">
      <c r="A45" t="s">
        <v>1290</v>
      </c>
      <c r="B45" t="s">
        <v>1324</v>
      </c>
      <c r="C45" t="s">
        <v>1325</v>
      </c>
      <c r="D45" t="s">
        <v>202</v>
      </c>
      <c r="F45">
        <v>48.393002000000003</v>
      </c>
      <c r="G45">
        <v>52.212001999999998</v>
      </c>
      <c r="H45">
        <v>54.320999</v>
      </c>
      <c r="I45">
        <v>56.43</v>
      </c>
      <c r="J45">
        <v>57.815392000000003</v>
      </c>
      <c r="K45">
        <v>59.144066000000002</v>
      </c>
      <c r="L45">
        <v>60.473391999999997</v>
      </c>
      <c r="M45">
        <v>61.790427999999999</v>
      </c>
      <c r="N45">
        <v>63.030360999999999</v>
      </c>
      <c r="O45">
        <v>64.167816000000002</v>
      </c>
      <c r="P45">
        <v>65.257767000000001</v>
      </c>
      <c r="Q45">
        <v>66.297470000000004</v>
      </c>
      <c r="R45">
        <v>67.283569</v>
      </c>
      <c r="S45">
        <v>68.213134999999994</v>
      </c>
      <c r="T45">
        <v>69.085907000000006</v>
      </c>
      <c r="U45">
        <v>69.909248000000005</v>
      </c>
      <c r="V45">
        <v>70.688300999999996</v>
      </c>
      <c r="W45">
        <v>71.428200000000004</v>
      </c>
      <c r="X45">
        <v>72.133858000000004</v>
      </c>
      <c r="Y45">
        <v>72.808730999999995</v>
      </c>
      <c r="Z45">
        <v>73.454993999999999</v>
      </c>
      <c r="AA45">
        <v>74.074744999999993</v>
      </c>
      <c r="AB45">
        <v>74.669487000000004</v>
      </c>
      <c r="AC45">
        <v>75.240584999999996</v>
      </c>
      <c r="AD45">
        <v>75.790413000000001</v>
      </c>
      <c r="AE45">
        <v>76.318916000000002</v>
      </c>
      <c r="AF45">
        <v>76.827270999999996</v>
      </c>
      <c r="AG45">
        <v>77.315162999999998</v>
      </c>
      <c r="AH45">
        <v>77.784637000000004</v>
      </c>
      <c r="AI45" s="22">
        <v>1.7000000000000001E-2</v>
      </c>
    </row>
    <row r="46" spans="1:35">
      <c r="A46" t="s">
        <v>1293</v>
      </c>
      <c r="B46" t="s">
        <v>1326</v>
      </c>
      <c r="C46" t="s">
        <v>1327</v>
      </c>
      <c r="D46" t="s">
        <v>202</v>
      </c>
      <c r="F46">
        <v>25.34132</v>
      </c>
      <c r="G46">
        <v>30.831939999999999</v>
      </c>
      <c r="H46">
        <v>34.844315000000002</v>
      </c>
      <c r="I46">
        <v>35.958019</v>
      </c>
      <c r="J46">
        <v>37.186523000000001</v>
      </c>
      <c r="K46">
        <v>38.400398000000003</v>
      </c>
      <c r="L46">
        <v>39.597152999999999</v>
      </c>
      <c r="M46">
        <v>40.775063000000003</v>
      </c>
      <c r="N46">
        <v>41.934654000000002</v>
      </c>
      <c r="O46">
        <v>43.060527999999998</v>
      </c>
      <c r="P46">
        <v>44.201756000000003</v>
      </c>
      <c r="Q46">
        <v>45.363827000000001</v>
      </c>
      <c r="R46">
        <v>46.548321000000001</v>
      </c>
      <c r="S46">
        <v>47.756633999999998</v>
      </c>
      <c r="T46">
        <v>48.983604</v>
      </c>
      <c r="U46">
        <v>50.236697999999997</v>
      </c>
      <c r="V46">
        <v>51.516010000000001</v>
      </c>
      <c r="W46">
        <v>52.821052999999999</v>
      </c>
      <c r="X46">
        <v>54.150795000000002</v>
      </c>
      <c r="Y46">
        <v>55.505904999999998</v>
      </c>
      <c r="Z46">
        <v>56.886997000000001</v>
      </c>
      <c r="AA46">
        <v>58.293770000000002</v>
      </c>
      <c r="AB46">
        <v>59.725966999999997</v>
      </c>
      <c r="AC46">
        <v>61.183010000000003</v>
      </c>
      <c r="AD46">
        <v>62.647793</v>
      </c>
      <c r="AE46">
        <v>64.137566000000007</v>
      </c>
      <c r="AF46">
        <v>65.652901</v>
      </c>
      <c r="AG46">
        <v>67.194282999999999</v>
      </c>
      <c r="AH46">
        <v>68.761512999999994</v>
      </c>
      <c r="AI46" s="22">
        <v>3.5999999999999997E-2</v>
      </c>
    </row>
    <row r="47" spans="1:35">
      <c r="A47" t="s">
        <v>1328</v>
      </c>
      <c r="B47" t="s">
        <v>1329</v>
      </c>
      <c r="C47" t="s">
        <v>1330</v>
      </c>
      <c r="D47" t="s">
        <v>202</v>
      </c>
      <c r="F47">
        <v>2031.443481</v>
      </c>
      <c r="G47">
        <v>2328.2434079999998</v>
      </c>
      <c r="H47">
        <v>2524.6442870000001</v>
      </c>
      <c r="I47">
        <v>2664.3542480000001</v>
      </c>
      <c r="J47">
        <v>2771.4008789999998</v>
      </c>
      <c r="K47">
        <v>2867.1066890000002</v>
      </c>
      <c r="L47">
        <v>2964.1140140000002</v>
      </c>
      <c r="M47">
        <v>3060.1589359999998</v>
      </c>
      <c r="N47">
        <v>3155.1308589999999</v>
      </c>
      <c r="O47">
        <v>3252.639893</v>
      </c>
      <c r="P47">
        <v>3355.9975589999999</v>
      </c>
      <c r="Q47">
        <v>3460.9008789999998</v>
      </c>
      <c r="R47">
        <v>3563.7053219999998</v>
      </c>
      <c r="S47">
        <v>3667.5942380000001</v>
      </c>
      <c r="T47">
        <v>3774.619385</v>
      </c>
      <c r="U47">
        <v>3885.2897950000001</v>
      </c>
      <c r="V47">
        <v>3999.758057</v>
      </c>
      <c r="W47">
        <v>4116.8779299999997</v>
      </c>
      <c r="X47">
        <v>4238.2216799999997</v>
      </c>
      <c r="Y47">
        <v>4361.3129879999997</v>
      </c>
      <c r="Z47">
        <v>4487.5444340000004</v>
      </c>
      <c r="AA47">
        <v>4616.3706050000001</v>
      </c>
      <c r="AB47">
        <v>4747.2202150000003</v>
      </c>
      <c r="AC47">
        <v>4878.6381840000004</v>
      </c>
      <c r="AD47">
        <v>5011.4672849999997</v>
      </c>
      <c r="AE47">
        <v>5146.673828</v>
      </c>
      <c r="AF47">
        <v>5284.0668949999999</v>
      </c>
      <c r="AG47">
        <v>5423.0380859999996</v>
      </c>
      <c r="AH47">
        <v>5563.5517579999996</v>
      </c>
      <c r="AI47" s="22">
        <v>3.6999999999999998E-2</v>
      </c>
    </row>
    <row r="48" spans="1:35">
      <c r="A48" t="s">
        <v>207</v>
      </c>
    </row>
    <row r="49" spans="1:35">
      <c r="A49" t="s">
        <v>211</v>
      </c>
      <c r="B49" t="s">
        <v>1331</v>
      </c>
      <c r="C49" t="s">
        <v>1332</v>
      </c>
      <c r="D49" t="s">
        <v>202</v>
      </c>
      <c r="F49">
        <v>243.14546200000001</v>
      </c>
      <c r="G49">
        <v>335.79156499999999</v>
      </c>
      <c r="H49">
        <v>383.935181</v>
      </c>
      <c r="I49">
        <v>400.52246100000002</v>
      </c>
      <c r="J49">
        <v>407.61910999999998</v>
      </c>
      <c r="K49">
        <v>414.49111900000003</v>
      </c>
      <c r="L49">
        <v>421.393036</v>
      </c>
      <c r="M49">
        <v>427.40426600000001</v>
      </c>
      <c r="N49">
        <v>432.63568099999998</v>
      </c>
      <c r="O49">
        <v>438.49890099999999</v>
      </c>
      <c r="P49">
        <v>446.48907500000001</v>
      </c>
      <c r="Q49">
        <v>454.73223899999999</v>
      </c>
      <c r="R49">
        <v>461.52075200000002</v>
      </c>
      <c r="S49">
        <v>468.21243299999998</v>
      </c>
      <c r="T49">
        <v>475.80575599999997</v>
      </c>
      <c r="U49">
        <v>484.48400900000001</v>
      </c>
      <c r="V49">
        <v>494.31170700000001</v>
      </c>
      <c r="W49">
        <v>504.67654399999998</v>
      </c>
      <c r="X49">
        <v>516.08764599999995</v>
      </c>
      <c r="Y49">
        <v>527.31774900000005</v>
      </c>
      <c r="Z49">
        <v>538.96856700000001</v>
      </c>
      <c r="AA49">
        <v>550.96636999999998</v>
      </c>
      <c r="AB49">
        <v>563.28277600000001</v>
      </c>
      <c r="AC49">
        <v>575.50067100000001</v>
      </c>
      <c r="AD49">
        <v>588.36859100000004</v>
      </c>
      <c r="AE49">
        <v>602.04803500000003</v>
      </c>
      <c r="AF49">
        <v>616.46588099999997</v>
      </c>
      <c r="AG49">
        <v>631.54870600000004</v>
      </c>
      <c r="AH49">
        <v>647.51074200000005</v>
      </c>
      <c r="AI49" s="22">
        <v>3.5999999999999997E-2</v>
      </c>
    </row>
    <row r="50" spans="1:35">
      <c r="A50" t="s">
        <v>212</v>
      </c>
      <c r="B50" t="s">
        <v>1333</v>
      </c>
      <c r="C50" t="s">
        <v>1334</v>
      </c>
      <c r="D50" t="s">
        <v>202</v>
      </c>
      <c r="F50">
        <v>44.242100000000001</v>
      </c>
      <c r="G50">
        <v>57.959876999999999</v>
      </c>
      <c r="H50">
        <v>69.951576000000003</v>
      </c>
      <c r="I50">
        <v>78.945351000000002</v>
      </c>
      <c r="J50">
        <v>84.759506000000002</v>
      </c>
      <c r="K50">
        <v>89.937743999999995</v>
      </c>
      <c r="L50">
        <v>92.223777999999996</v>
      </c>
      <c r="M50">
        <v>94.555144999999996</v>
      </c>
      <c r="N50">
        <v>96.929855000000003</v>
      </c>
      <c r="O50">
        <v>99.348456999999996</v>
      </c>
      <c r="P50">
        <v>101.810303</v>
      </c>
      <c r="Q50">
        <v>104.31398</v>
      </c>
      <c r="R50">
        <v>106.860016</v>
      </c>
      <c r="S50">
        <v>109.449196</v>
      </c>
      <c r="T50">
        <v>112.081863</v>
      </c>
      <c r="U50">
        <v>114.759064</v>
      </c>
      <c r="V50">
        <v>117.48131600000001</v>
      </c>
      <c r="W50">
        <v>120.24996899999999</v>
      </c>
      <c r="X50">
        <v>123.06551399999999</v>
      </c>
      <c r="Y50">
        <v>125.92826100000001</v>
      </c>
      <c r="Z50">
        <v>128.839752</v>
      </c>
      <c r="AA50">
        <v>131.79995700000001</v>
      </c>
      <c r="AB50">
        <v>134.81431599999999</v>
      </c>
      <c r="AC50">
        <v>137.88580300000001</v>
      </c>
      <c r="AD50">
        <v>141.01591500000001</v>
      </c>
      <c r="AE50">
        <v>144.20684800000001</v>
      </c>
      <c r="AF50">
        <v>147.46043399999999</v>
      </c>
      <c r="AG50">
        <v>150.77969400000001</v>
      </c>
      <c r="AH50">
        <v>154.16679400000001</v>
      </c>
      <c r="AI50" s="22">
        <v>4.5999999999999999E-2</v>
      </c>
    </row>
    <row r="51" spans="1:35">
      <c r="A51" t="s">
        <v>1256</v>
      </c>
      <c r="B51" t="s">
        <v>1335</v>
      </c>
      <c r="C51" t="s">
        <v>1336</v>
      </c>
      <c r="D51" t="s">
        <v>202</v>
      </c>
      <c r="F51">
        <v>29.798960000000001</v>
      </c>
      <c r="G51">
        <v>40.311973999999999</v>
      </c>
      <c r="H51">
        <v>50.607475000000001</v>
      </c>
      <c r="I51">
        <v>59.090389000000002</v>
      </c>
      <c r="J51">
        <v>65.108185000000006</v>
      </c>
      <c r="K51">
        <v>68.878365000000002</v>
      </c>
      <c r="L51">
        <v>71.778519000000003</v>
      </c>
      <c r="M51">
        <v>74.124474000000006</v>
      </c>
      <c r="N51">
        <v>76.529831000000001</v>
      </c>
      <c r="O51">
        <v>78.988663000000003</v>
      </c>
      <c r="P51">
        <v>81.514861999999994</v>
      </c>
      <c r="Q51">
        <v>84.099945000000005</v>
      </c>
      <c r="R51">
        <v>86.744704999999996</v>
      </c>
      <c r="S51">
        <v>89.448975000000004</v>
      </c>
      <c r="T51">
        <v>92.207825</v>
      </c>
      <c r="U51">
        <v>95.026832999999996</v>
      </c>
      <c r="V51">
        <v>97.907409999999999</v>
      </c>
      <c r="W51">
        <v>100.85034899999999</v>
      </c>
      <c r="X51">
        <v>103.85659800000001</v>
      </c>
      <c r="Y51">
        <v>106.912582</v>
      </c>
      <c r="Z51">
        <v>110.031853</v>
      </c>
      <c r="AA51">
        <v>113.21547700000001</v>
      </c>
      <c r="AB51">
        <v>116.464378</v>
      </c>
      <c r="AC51">
        <v>119.778374</v>
      </c>
      <c r="AD51">
        <v>123.13962600000001</v>
      </c>
      <c r="AE51">
        <v>126.56178300000001</v>
      </c>
      <c r="AF51">
        <v>130.05413799999999</v>
      </c>
      <c r="AG51">
        <v>133.62745699999999</v>
      </c>
      <c r="AH51">
        <v>137.290436</v>
      </c>
      <c r="AI51" s="22">
        <v>5.6000000000000001E-2</v>
      </c>
    </row>
    <row r="52" spans="1:35">
      <c r="A52" t="s">
        <v>1259</v>
      </c>
      <c r="B52" t="s">
        <v>1337</v>
      </c>
      <c r="C52" t="s">
        <v>1338</v>
      </c>
      <c r="D52" t="s">
        <v>202</v>
      </c>
      <c r="F52">
        <v>280.836365</v>
      </c>
      <c r="G52">
        <v>391.70883199999997</v>
      </c>
      <c r="H52">
        <v>486.74243200000001</v>
      </c>
      <c r="I52">
        <v>550.70733600000005</v>
      </c>
      <c r="J52">
        <v>603.09759499999996</v>
      </c>
      <c r="K52">
        <v>615.40289299999995</v>
      </c>
      <c r="L52">
        <v>627.85687299999995</v>
      </c>
      <c r="M52">
        <v>640.49560499999995</v>
      </c>
      <c r="N52">
        <v>653.34362799999997</v>
      </c>
      <c r="O52">
        <v>666.416382</v>
      </c>
      <c r="P52">
        <v>679.72045900000001</v>
      </c>
      <c r="Q52">
        <v>693.25176999999996</v>
      </c>
      <c r="R52">
        <v>706.99322500000005</v>
      </c>
      <c r="S52">
        <v>720.92309599999999</v>
      </c>
      <c r="T52">
        <v>735.06103499999995</v>
      </c>
      <c r="U52">
        <v>749.42907700000001</v>
      </c>
      <c r="V52">
        <v>764.01898200000005</v>
      </c>
      <c r="W52">
        <v>778.82794200000001</v>
      </c>
      <c r="X52">
        <v>793.86084000000005</v>
      </c>
      <c r="Y52">
        <v>809.10955799999999</v>
      </c>
      <c r="Z52">
        <v>824.57147199999997</v>
      </c>
      <c r="AA52">
        <v>840.24200399999995</v>
      </c>
      <c r="AB52">
        <v>856.11712599999998</v>
      </c>
      <c r="AC52">
        <v>872.19311500000003</v>
      </c>
      <c r="AD52">
        <v>888.45996100000002</v>
      </c>
      <c r="AE52">
        <v>904.91650400000003</v>
      </c>
      <c r="AF52">
        <v>921.58117700000003</v>
      </c>
      <c r="AG52">
        <v>938.47827099999995</v>
      </c>
      <c r="AH52">
        <v>955.62683100000004</v>
      </c>
      <c r="AI52" s="22">
        <v>4.4999999999999998E-2</v>
      </c>
    </row>
    <row r="53" spans="1:35">
      <c r="A53" t="s">
        <v>1262</v>
      </c>
      <c r="B53" t="s">
        <v>1339</v>
      </c>
      <c r="C53" t="s">
        <v>1340</v>
      </c>
      <c r="D53" t="s">
        <v>202</v>
      </c>
      <c r="F53">
        <v>26.796666999999999</v>
      </c>
      <c r="G53">
        <v>45.314689999999999</v>
      </c>
      <c r="H53">
        <v>64.486289999999997</v>
      </c>
      <c r="I53">
        <v>81.043578999999994</v>
      </c>
      <c r="J53">
        <v>93.134765999999999</v>
      </c>
      <c r="K53">
        <v>100.868759</v>
      </c>
      <c r="L53">
        <v>107.840248</v>
      </c>
      <c r="M53">
        <v>108.36943100000001</v>
      </c>
      <c r="N53">
        <v>108.73043800000001</v>
      </c>
      <c r="O53">
        <v>108.962463</v>
      </c>
      <c r="P53">
        <v>109.136337</v>
      </c>
      <c r="Q53">
        <v>109.31253100000001</v>
      </c>
      <c r="R53">
        <v>109.494522</v>
      </c>
      <c r="S53">
        <v>109.682007</v>
      </c>
      <c r="T53">
        <v>109.874374</v>
      </c>
      <c r="U53">
        <v>110.07062500000001</v>
      </c>
      <c r="V53">
        <v>110.27067599999999</v>
      </c>
      <c r="W53">
        <v>110.472984</v>
      </c>
      <c r="X53">
        <v>110.676666</v>
      </c>
      <c r="Y53">
        <v>110.88208</v>
      </c>
      <c r="Z53">
        <v>111.08747099999999</v>
      </c>
      <c r="AA53">
        <v>111.293312</v>
      </c>
      <c r="AB53">
        <v>111.50631</v>
      </c>
      <c r="AC53">
        <v>111.74614699999999</v>
      </c>
      <c r="AD53">
        <v>112.02600099999999</v>
      </c>
      <c r="AE53">
        <v>112.349495</v>
      </c>
      <c r="AF53">
        <v>112.717384</v>
      </c>
      <c r="AG53">
        <v>113.130196</v>
      </c>
      <c r="AH53">
        <v>113.58820299999999</v>
      </c>
      <c r="AI53" s="22">
        <v>5.2999999999999999E-2</v>
      </c>
    </row>
    <row r="54" spans="1:35">
      <c r="A54" t="s">
        <v>1265</v>
      </c>
      <c r="B54" t="s">
        <v>1341</v>
      </c>
      <c r="C54" t="s">
        <v>1342</v>
      </c>
      <c r="D54" t="s">
        <v>202</v>
      </c>
      <c r="F54">
        <v>25.196525999999999</v>
      </c>
      <c r="G54">
        <v>42.608761000000001</v>
      </c>
      <c r="H54">
        <v>60.635548</v>
      </c>
      <c r="I54">
        <v>76.204123999999993</v>
      </c>
      <c r="J54">
        <v>87.573295999999999</v>
      </c>
      <c r="K54">
        <v>94.845459000000005</v>
      </c>
      <c r="L54">
        <v>101.40065800000001</v>
      </c>
      <c r="M54">
        <v>104.595985</v>
      </c>
      <c r="N54">
        <v>107.86273199999999</v>
      </c>
      <c r="O54">
        <v>111.197243</v>
      </c>
      <c r="P54">
        <v>114.59079</v>
      </c>
      <c r="Q54">
        <v>118.050285</v>
      </c>
      <c r="R54">
        <v>121.579582</v>
      </c>
      <c r="S54">
        <v>125.155067</v>
      </c>
      <c r="T54">
        <v>128.797516</v>
      </c>
      <c r="U54">
        <v>132.53035</v>
      </c>
      <c r="V54">
        <v>136.34974700000001</v>
      </c>
      <c r="W54">
        <v>140.240295</v>
      </c>
      <c r="X54">
        <v>144.20495600000001</v>
      </c>
      <c r="Y54">
        <v>148.25529499999999</v>
      </c>
      <c r="Z54">
        <v>152.394699</v>
      </c>
      <c r="AA54">
        <v>156.62347399999999</v>
      </c>
      <c r="AB54">
        <v>160.942566</v>
      </c>
      <c r="AC54">
        <v>165.35136399999999</v>
      </c>
      <c r="AD54">
        <v>169.848938</v>
      </c>
      <c r="AE54">
        <v>174.436218</v>
      </c>
      <c r="AF54">
        <v>179.11892700000001</v>
      </c>
      <c r="AG54">
        <v>183.89915500000001</v>
      </c>
      <c r="AH54">
        <v>188.77813699999999</v>
      </c>
      <c r="AI54" s="22">
        <v>7.4999999999999997E-2</v>
      </c>
    </row>
    <row r="55" spans="1:35">
      <c r="A55" t="s">
        <v>1268</v>
      </c>
      <c r="B55" t="s">
        <v>1343</v>
      </c>
      <c r="C55" t="s">
        <v>1344</v>
      </c>
      <c r="D55" t="s">
        <v>202</v>
      </c>
      <c r="F55">
        <v>19.641961999999999</v>
      </c>
      <c r="G55">
        <v>33.215679000000002</v>
      </c>
      <c r="H55">
        <v>47.268467000000001</v>
      </c>
      <c r="I55">
        <v>59.404961</v>
      </c>
      <c r="J55">
        <v>68.267807000000005</v>
      </c>
      <c r="K55">
        <v>73.936829000000003</v>
      </c>
      <c r="L55">
        <v>79.046927999999994</v>
      </c>
      <c r="M55">
        <v>81.697327000000001</v>
      </c>
      <c r="N55">
        <v>84.197013999999996</v>
      </c>
      <c r="O55">
        <v>85.953468000000001</v>
      </c>
      <c r="P55">
        <v>86.642052000000007</v>
      </c>
      <c r="Q55">
        <v>87.126075999999998</v>
      </c>
      <c r="R55">
        <v>87.600150999999997</v>
      </c>
      <c r="S55">
        <v>88.047066000000001</v>
      </c>
      <c r="T55">
        <v>88.515472000000003</v>
      </c>
      <c r="U55">
        <v>88.823288000000005</v>
      </c>
      <c r="V55">
        <v>88.985320999999999</v>
      </c>
      <c r="W55">
        <v>89.172111999999998</v>
      </c>
      <c r="X55">
        <v>89.495384000000001</v>
      </c>
      <c r="Y55">
        <v>90.072411000000002</v>
      </c>
      <c r="Z55">
        <v>90.859511999999995</v>
      </c>
      <c r="AA55">
        <v>91.744774000000007</v>
      </c>
      <c r="AB55">
        <v>92.696106</v>
      </c>
      <c r="AC55">
        <v>93.655745999999994</v>
      </c>
      <c r="AD55">
        <v>94.557418999999996</v>
      </c>
      <c r="AE55">
        <v>95.400192000000004</v>
      </c>
      <c r="AF55">
        <v>96.266959999999997</v>
      </c>
      <c r="AG55">
        <v>97.231399999999994</v>
      </c>
      <c r="AH55">
        <v>98.346619000000004</v>
      </c>
      <c r="AI55" s="22">
        <v>5.8999999999999997E-2</v>
      </c>
    </row>
    <row r="56" spans="1:35">
      <c r="A56" t="s">
        <v>1271</v>
      </c>
      <c r="B56" t="s">
        <v>1345</v>
      </c>
      <c r="C56" t="s">
        <v>1346</v>
      </c>
      <c r="D56" t="s">
        <v>202</v>
      </c>
      <c r="F56">
        <v>21.804157</v>
      </c>
      <c r="G56">
        <v>29.275511000000002</v>
      </c>
      <c r="H56">
        <v>36.391086999999999</v>
      </c>
      <c r="I56">
        <v>42.134377000000001</v>
      </c>
      <c r="J56">
        <v>46.149593000000003</v>
      </c>
      <c r="K56">
        <v>48.538395000000001</v>
      </c>
      <c r="L56">
        <v>50.317287</v>
      </c>
      <c r="M56">
        <v>51.333579999999998</v>
      </c>
      <c r="N56">
        <v>52.367713999999999</v>
      </c>
      <c r="O56">
        <v>53.428528</v>
      </c>
      <c r="P56">
        <v>54.510128000000002</v>
      </c>
      <c r="Q56">
        <v>55.610111000000003</v>
      </c>
      <c r="R56">
        <v>56.732365000000001</v>
      </c>
      <c r="S56">
        <v>57.880558000000001</v>
      </c>
      <c r="T56">
        <v>59.054034999999999</v>
      </c>
      <c r="U56">
        <v>60.251175000000003</v>
      </c>
      <c r="V56">
        <v>61.474559999999997</v>
      </c>
      <c r="W56">
        <v>62.726730000000003</v>
      </c>
      <c r="X56">
        <v>64.010589999999993</v>
      </c>
      <c r="Y56">
        <v>65.327087000000006</v>
      </c>
      <c r="Z56">
        <v>66.676070999999993</v>
      </c>
      <c r="AA56">
        <v>68.057311999999996</v>
      </c>
      <c r="AB56">
        <v>69.470946999999995</v>
      </c>
      <c r="AC56">
        <v>70.916954000000004</v>
      </c>
      <c r="AD56">
        <v>72.397980000000004</v>
      </c>
      <c r="AE56">
        <v>73.914649999999995</v>
      </c>
      <c r="AF56">
        <v>75.465866000000005</v>
      </c>
      <c r="AG56">
        <v>77.050514000000007</v>
      </c>
      <c r="AH56">
        <v>78.666718000000003</v>
      </c>
      <c r="AI56" s="22">
        <v>4.7E-2</v>
      </c>
    </row>
    <row r="57" spans="1:35">
      <c r="A57" t="s">
        <v>1274</v>
      </c>
      <c r="B57" t="s">
        <v>1347</v>
      </c>
      <c r="C57" t="s">
        <v>1348</v>
      </c>
      <c r="D57" t="s">
        <v>202</v>
      </c>
      <c r="F57">
        <v>29.001909000000001</v>
      </c>
      <c r="G57">
        <v>38.939624999999999</v>
      </c>
      <c r="H57">
        <v>48.404114</v>
      </c>
      <c r="I57">
        <v>56.043312</v>
      </c>
      <c r="J57">
        <v>61.383991000000002</v>
      </c>
      <c r="K57">
        <v>64.561356000000004</v>
      </c>
      <c r="L57">
        <v>66.927482999999995</v>
      </c>
      <c r="M57">
        <v>68.857924999999994</v>
      </c>
      <c r="N57">
        <v>70.841437999999997</v>
      </c>
      <c r="O57">
        <v>72.918564000000003</v>
      </c>
      <c r="P57">
        <v>75.062759</v>
      </c>
      <c r="Q57">
        <v>77.264267000000004</v>
      </c>
      <c r="R57">
        <v>79.524733999999995</v>
      </c>
      <c r="S57">
        <v>81.848335000000006</v>
      </c>
      <c r="T57">
        <v>84.195853999999997</v>
      </c>
      <c r="U57">
        <v>86.603179999999995</v>
      </c>
      <c r="V57">
        <v>89.073074000000005</v>
      </c>
      <c r="W57">
        <v>91.606102000000007</v>
      </c>
      <c r="X57">
        <v>94.205521000000005</v>
      </c>
      <c r="Y57">
        <v>96.825774999999993</v>
      </c>
      <c r="Z57">
        <v>99.511925000000005</v>
      </c>
      <c r="AA57">
        <v>102.264999</v>
      </c>
      <c r="AB57">
        <v>105.084068</v>
      </c>
      <c r="AC57">
        <v>107.969559</v>
      </c>
      <c r="AD57">
        <v>110.868172</v>
      </c>
      <c r="AE57">
        <v>113.832314</v>
      </c>
      <c r="AF57">
        <v>116.86582900000001</v>
      </c>
      <c r="AG57">
        <v>119.971458</v>
      </c>
      <c r="AH57">
        <v>123.15158099999999</v>
      </c>
      <c r="AI57" s="22">
        <v>5.2999999999999999E-2</v>
      </c>
    </row>
    <row r="58" spans="1:35">
      <c r="A58" t="s">
        <v>214</v>
      </c>
      <c r="B58" t="s">
        <v>1349</v>
      </c>
      <c r="C58" t="s">
        <v>1350</v>
      </c>
      <c r="D58" t="s">
        <v>202</v>
      </c>
      <c r="F58">
        <v>43.401493000000002</v>
      </c>
      <c r="G58">
        <v>79.040122999999994</v>
      </c>
      <c r="H58">
        <v>115.73732800000001</v>
      </c>
      <c r="I58">
        <v>144.31880200000001</v>
      </c>
      <c r="J58">
        <v>161.96167</v>
      </c>
      <c r="K58">
        <v>174.66456600000001</v>
      </c>
      <c r="L58">
        <v>184.330566</v>
      </c>
      <c r="M58">
        <v>194.21669</v>
      </c>
      <c r="N58">
        <v>204.29608200000001</v>
      </c>
      <c r="O58">
        <v>214.626465</v>
      </c>
      <c r="P58">
        <v>225.21134900000001</v>
      </c>
      <c r="Q58">
        <v>236.03950499999999</v>
      </c>
      <c r="R58">
        <v>247.13400300000001</v>
      </c>
      <c r="S58">
        <v>258.53561400000001</v>
      </c>
      <c r="T58">
        <v>270.23638899999997</v>
      </c>
      <c r="U58">
        <v>282.19741800000003</v>
      </c>
      <c r="V58">
        <v>294.43173200000001</v>
      </c>
      <c r="W58">
        <v>306.98468000000003</v>
      </c>
      <c r="X58">
        <v>319.93069500000001</v>
      </c>
      <c r="Y58">
        <v>333.34088100000002</v>
      </c>
      <c r="Z58">
        <v>347.21804800000001</v>
      </c>
      <c r="AA58">
        <v>361.513214</v>
      </c>
      <c r="AB58">
        <v>376.16323899999998</v>
      </c>
      <c r="AC58">
        <v>391.09524499999998</v>
      </c>
      <c r="AD58">
        <v>406.29702800000001</v>
      </c>
      <c r="AE58">
        <v>421.81195100000002</v>
      </c>
      <c r="AF58">
        <v>437.61935399999999</v>
      </c>
      <c r="AG58">
        <v>453.65158100000002</v>
      </c>
      <c r="AH58">
        <v>469.833099</v>
      </c>
      <c r="AI58" s="22">
        <v>8.8999999999999996E-2</v>
      </c>
    </row>
    <row r="59" spans="1:35">
      <c r="A59" t="s">
        <v>1279</v>
      </c>
      <c r="B59" t="s">
        <v>1351</v>
      </c>
      <c r="C59" t="s">
        <v>1352</v>
      </c>
      <c r="D59" t="s">
        <v>202</v>
      </c>
      <c r="F59">
        <v>17.711981000000002</v>
      </c>
      <c r="G59">
        <v>29.951968999999998</v>
      </c>
      <c r="H59">
        <v>42.623955000000002</v>
      </c>
      <c r="I59">
        <v>53.567936000000003</v>
      </c>
      <c r="J59">
        <v>61.559933000000001</v>
      </c>
      <c r="K59">
        <v>66.671927999999994</v>
      </c>
      <c r="L59">
        <v>71.279921999999999</v>
      </c>
      <c r="M59">
        <v>76.662291999999994</v>
      </c>
      <c r="N59">
        <v>82.150413999999998</v>
      </c>
      <c r="O59">
        <v>87.709571999999994</v>
      </c>
      <c r="P59">
        <v>93.316719000000006</v>
      </c>
      <c r="Q59">
        <v>98.940490999999994</v>
      </c>
      <c r="R59">
        <v>104.546043</v>
      </c>
      <c r="S59">
        <v>110.151779</v>
      </c>
      <c r="T59">
        <v>115.801529</v>
      </c>
      <c r="U59">
        <v>121.581558</v>
      </c>
      <c r="V59">
        <v>127.492592</v>
      </c>
      <c r="W59">
        <v>133.52624499999999</v>
      </c>
      <c r="X59">
        <v>139.67248499999999</v>
      </c>
      <c r="Y59">
        <v>145.92378199999999</v>
      </c>
      <c r="Z59">
        <v>152.271759</v>
      </c>
      <c r="AA59">
        <v>158.712219</v>
      </c>
      <c r="AB59">
        <v>165.230942</v>
      </c>
      <c r="AC59">
        <v>171.81689499999999</v>
      </c>
      <c r="AD59">
        <v>178.45689400000001</v>
      </c>
      <c r="AE59">
        <v>185.13732899999999</v>
      </c>
      <c r="AF59">
        <v>191.84298699999999</v>
      </c>
      <c r="AG59">
        <v>198.55867000000001</v>
      </c>
      <c r="AH59">
        <v>205.27046200000001</v>
      </c>
      <c r="AI59" s="22">
        <v>9.0999999999999998E-2</v>
      </c>
    </row>
    <row r="60" spans="1:35">
      <c r="A60" t="s">
        <v>1282</v>
      </c>
      <c r="B60" t="s">
        <v>1353</v>
      </c>
      <c r="C60" t="s">
        <v>1354</v>
      </c>
      <c r="D60" t="s">
        <v>202</v>
      </c>
      <c r="F60">
        <v>91.279387999999997</v>
      </c>
      <c r="G60">
        <v>154.35865799999999</v>
      </c>
      <c r="H60">
        <v>219.66423</v>
      </c>
      <c r="I60">
        <v>276.06451399999997</v>
      </c>
      <c r="J60">
        <v>317.25155599999999</v>
      </c>
      <c r="K60">
        <v>343.596405</v>
      </c>
      <c r="L60">
        <v>367.34390300000001</v>
      </c>
      <c r="M60">
        <v>382.82449300000002</v>
      </c>
      <c r="N60">
        <v>398.53997800000002</v>
      </c>
      <c r="O60">
        <v>414.53860500000002</v>
      </c>
      <c r="P60">
        <v>430.96127300000001</v>
      </c>
      <c r="Q60">
        <v>447.81228599999997</v>
      </c>
      <c r="R60">
        <v>465.11679099999998</v>
      </c>
      <c r="S60">
        <v>482.90234400000003</v>
      </c>
      <c r="T60">
        <v>500.96951300000001</v>
      </c>
      <c r="U60">
        <v>519.50836200000003</v>
      </c>
      <c r="V60">
        <v>538.54644800000005</v>
      </c>
      <c r="W60">
        <v>558.08233600000005</v>
      </c>
      <c r="X60">
        <v>578.15362500000003</v>
      </c>
      <c r="Y60">
        <v>598.50408900000002</v>
      </c>
      <c r="Z60">
        <v>619.32586700000002</v>
      </c>
      <c r="AA60">
        <v>640.64349400000003</v>
      </c>
      <c r="AB60">
        <v>662.47534199999996</v>
      </c>
      <c r="AC60">
        <v>684.81463599999995</v>
      </c>
      <c r="AD60">
        <v>707.22051999999996</v>
      </c>
      <c r="AE60">
        <v>730.06036400000005</v>
      </c>
      <c r="AF60">
        <v>753.42486599999995</v>
      </c>
      <c r="AG60">
        <v>777.34991500000001</v>
      </c>
      <c r="AH60">
        <v>801.87402299999997</v>
      </c>
      <c r="AI60" s="22">
        <v>8.1000000000000003E-2</v>
      </c>
    </row>
    <row r="61" spans="1:35">
      <c r="A61" t="s">
        <v>1285</v>
      </c>
      <c r="B61" t="s">
        <v>1355</v>
      </c>
      <c r="C61" t="s">
        <v>1356</v>
      </c>
      <c r="D61" t="s">
        <v>202</v>
      </c>
      <c r="F61">
        <v>90.713904999999997</v>
      </c>
      <c r="G61">
        <v>125.583687</v>
      </c>
      <c r="H61">
        <v>164.386169</v>
      </c>
      <c r="I61">
        <v>199.255966</v>
      </c>
      <c r="J61">
        <v>225.73603800000001</v>
      </c>
      <c r="K61">
        <v>243.039841</v>
      </c>
      <c r="L61">
        <v>259.55712899999997</v>
      </c>
      <c r="M61">
        <v>272.453125</v>
      </c>
      <c r="N61">
        <v>285.794647</v>
      </c>
      <c r="O61">
        <v>299.19274899999999</v>
      </c>
      <c r="P61">
        <v>313.14953600000001</v>
      </c>
      <c r="Q61">
        <v>327.69116200000002</v>
      </c>
      <c r="R61">
        <v>342.84011800000002</v>
      </c>
      <c r="S61">
        <v>358.61981200000002</v>
      </c>
      <c r="T61">
        <v>374.87417599999998</v>
      </c>
      <c r="U61">
        <v>391.79058800000001</v>
      </c>
      <c r="V61">
        <v>409.39093000000003</v>
      </c>
      <c r="W61">
        <v>427.69464099999999</v>
      </c>
      <c r="X61">
        <v>446.72839399999998</v>
      </c>
      <c r="Y61">
        <v>466.348389</v>
      </c>
      <c r="Z61">
        <v>486.73355099999998</v>
      </c>
      <c r="AA61">
        <v>507.90823399999999</v>
      </c>
      <c r="AB61">
        <v>529.89691200000004</v>
      </c>
      <c r="AC61">
        <v>552.73230000000001</v>
      </c>
      <c r="AD61">
        <v>576.19653300000004</v>
      </c>
      <c r="AE61">
        <v>600.54156499999999</v>
      </c>
      <c r="AF61">
        <v>625.79742399999998</v>
      </c>
      <c r="AG61">
        <v>651.99127199999998</v>
      </c>
      <c r="AH61">
        <v>679.15313700000002</v>
      </c>
      <c r="AI61" s="22">
        <v>7.4999999999999997E-2</v>
      </c>
    </row>
    <row r="62" spans="1:35">
      <c r="A62" t="s">
        <v>213</v>
      </c>
      <c r="B62" t="s">
        <v>1357</v>
      </c>
      <c r="C62" t="s">
        <v>1358</v>
      </c>
      <c r="D62" t="s">
        <v>202</v>
      </c>
      <c r="F62">
        <v>41.477749000000003</v>
      </c>
      <c r="G62">
        <v>56.116959000000001</v>
      </c>
      <c r="H62">
        <v>70.654503000000005</v>
      </c>
      <c r="I62">
        <v>82.650513000000004</v>
      </c>
      <c r="J62">
        <v>91.190062999999995</v>
      </c>
      <c r="K62">
        <v>96.476439999999997</v>
      </c>
      <c r="L62">
        <v>100.644547</v>
      </c>
      <c r="M62">
        <v>105.10861199999999</v>
      </c>
      <c r="N62">
        <v>109.777794</v>
      </c>
      <c r="O62">
        <v>114.634125</v>
      </c>
      <c r="P62">
        <v>119.654022</v>
      </c>
      <c r="Q62">
        <v>124.82345599999999</v>
      </c>
      <c r="R62">
        <v>130.140533</v>
      </c>
      <c r="S62">
        <v>135.60420199999999</v>
      </c>
      <c r="T62">
        <v>141.26831100000001</v>
      </c>
      <c r="U62">
        <v>147.09477200000001</v>
      </c>
      <c r="V62">
        <v>153.074432</v>
      </c>
      <c r="W62">
        <v>159.205353</v>
      </c>
      <c r="X62">
        <v>165.49443099999999</v>
      </c>
      <c r="Y62">
        <v>171.99311800000001</v>
      </c>
      <c r="Z62">
        <v>178.657501</v>
      </c>
      <c r="AA62">
        <v>185.48194899999999</v>
      </c>
      <c r="AB62">
        <v>192.46803299999999</v>
      </c>
      <c r="AC62">
        <v>199.62287900000001</v>
      </c>
      <c r="AD62">
        <v>206.99113500000001</v>
      </c>
      <c r="AE62">
        <v>214.53208900000001</v>
      </c>
      <c r="AF62">
        <v>222.241882</v>
      </c>
      <c r="AG62">
        <v>230.12132299999999</v>
      </c>
      <c r="AH62">
        <v>238.176727</v>
      </c>
      <c r="AI62" s="22">
        <v>6.4000000000000001E-2</v>
      </c>
    </row>
    <row r="63" spans="1:35">
      <c r="A63" t="s">
        <v>1290</v>
      </c>
      <c r="B63" t="s">
        <v>1359</v>
      </c>
      <c r="C63" t="s">
        <v>1360</v>
      </c>
      <c r="D63" t="s">
        <v>202</v>
      </c>
      <c r="F63">
        <v>18.422384000000001</v>
      </c>
      <c r="G63">
        <v>24.921766000000002</v>
      </c>
      <c r="H63">
        <v>31.286677999999998</v>
      </c>
      <c r="I63">
        <v>36.531010000000002</v>
      </c>
      <c r="J63">
        <v>40.251339000000002</v>
      </c>
      <c r="K63">
        <v>42.582152999999998</v>
      </c>
      <c r="L63">
        <v>44.375087999999998</v>
      </c>
      <c r="M63">
        <v>45.552967000000002</v>
      </c>
      <c r="N63">
        <v>46.643486000000003</v>
      </c>
      <c r="O63">
        <v>47.615417000000001</v>
      </c>
      <c r="P63">
        <v>48.534264</v>
      </c>
      <c r="Q63">
        <v>49.396385000000002</v>
      </c>
      <c r="R63">
        <v>50.197502</v>
      </c>
      <c r="S63">
        <v>50.933815000000003</v>
      </c>
      <c r="T63">
        <v>51.605465000000002</v>
      </c>
      <c r="U63">
        <v>52.221404999999997</v>
      </c>
      <c r="V63">
        <v>52.787604999999999</v>
      </c>
      <c r="W63">
        <v>53.310012999999998</v>
      </c>
      <c r="X63">
        <v>53.794593999999996</v>
      </c>
      <c r="Y63">
        <v>54.246001999999997</v>
      </c>
      <c r="Z63">
        <v>54.667313</v>
      </c>
      <c r="AA63">
        <v>55.060822000000002</v>
      </c>
      <c r="AB63">
        <v>55.427867999999997</v>
      </c>
      <c r="AC63">
        <v>55.770457999999998</v>
      </c>
      <c r="AD63">
        <v>56.094085999999997</v>
      </c>
      <c r="AE63">
        <v>56.398609</v>
      </c>
      <c r="AF63">
        <v>56.681601999999998</v>
      </c>
      <c r="AG63">
        <v>56.938384999999997</v>
      </c>
      <c r="AH63">
        <v>57.168449000000003</v>
      </c>
      <c r="AI63" s="22">
        <v>4.1000000000000002E-2</v>
      </c>
    </row>
    <row r="64" spans="1:35">
      <c r="A64" t="s">
        <v>1293</v>
      </c>
      <c r="B64" t="s">
        <v>1361</v>
      </c>
      <c r="C64" t="s">
        <v>1362</v>
      </c>
      <c r="D64" t="s">
        <v>202</v>
      </c>
      <c r="F64">
        <v>37.358677</v>
      </c>
      <c r="G64">
        <v>50.538738000000002</v>
      </c>
      <c r="H64">
        <v>63.446117000000001</v>
      </c>
      <c r="I64">
        <v>74.081069999999997</v>
      </c>
      <c r="J64">
        <v>81.625525999999994</v>
      </c>
      <c r="K64">
        <v>86.352164999999999</v>
      </c>
      <c r="L64">
        <v>89.988045</v>
      </c>
      <c r="M64">
        <v>93.229279000000005</v>
      </c>
      <c r="N64">
        <v>96.518051</v>
      </c>
      <c r="O64">
        <v>99.834007</v>
      </c>
      <c r="P64">
        <v>103.228836</v>
      </c>
      <c r="Q64">
        <v>106.711052</v>
      </c>
      <c r="R64">
        <v>110.286186</v>
      </c>
      <c r="S64">
        <v>113.95946499999999</v>
      </c>
      <c r="T64">
        <v>117.72137499999999</v>
      </c>
      <c r="U64">
        <v>121.58760100000001</v>
      </c>
      <c r="V64">
        <v>125.559944</v>
      </c>
      <c r="W64">
        <v>129.63948099999999</v>
      </c>
      <c r="X64">
        <v>133.82646199999999</v>
      </c>
      <c r="Y64">
        <v>138.11544799999999</v>
      </c>
      <c r="Z64">
        <v>142.51733400000001</v>
      </c>
      <c r="AA64">
        <v>147.03389000000001</v>
      </c>
      <c r="AB64">
        <v>151.667145</v>
      </c>
      <c r="AC64">
        <v>156.41830400000001</v>
      </c>
      <c r="AD64">
        <v>161.26028400000001</v>
      </c>
      <c r="AE64">
        <v>166.222961</v>
      </c>
      <c r="AF64">
        <v>171.310562</v>
      </c>
      <c r="AG64">
        <v>176.52694700000001</v>
      </c>
      <c r="AH64">
        <v>181.87539699999999</v>
      </c>
      <c r="AI64" s="22">
        <v>5.8000000000000003E-2</v>
      </c>
    </row>
    <row r="65" spans="1:35">
      <c r="A65" t="s">
        <v>1363</v>
      </c>
      <c r="B65" t="s">
        <v>1364</v>
      </c>
      <c r="C65" t="s">
        <v>1365</v>
      </c>
      <c r="D65" t="s">
        <v>202</v>
      </c>
      <c r="F65">
        <v>1060.8295900000001</v>
      </c>
      <c r="G65">
        <v>1535.6385499999999</v>
      </c>
      <c r="H65">
        <v>1956.2210689999999</v>
      </c>
      <c r="I65">
        <v>2270.5656739999999</v>
      </c>
      <c r="J65">
        <v>2496.6696780000002</v>
      </c>
      <c r="K65">
        <v>2624.844482</v>
      </c>
      <c r="L65">
        <v>2736.3034670000002</v>
      </c>
      <c r="M65">
        <v>2821.4812010000001</v>
      </c>
      <c r="N65">
        <v>2907.1589359999998</v>
      </c>
      <c r="O65">
        <v>2993.8640140000002</v>
      </c>
      <c r="P65">
        <v>3083.5327149999998</v>
      </c>
      <c r="Q65">
        <v>3175.1757809999999</v>
      </c>
      <c r="R65">
        <v>3267.311279</v>
      </c>
      <c r="S65">
        <v>3361.35376</v>
      </c>
      <c r="T65">
        <v>3458.070557</v>
      </c>
      <c r="U65">
        <v>3557.9589839999999</v>
      </c>
      <c r="V65">
        <v>3661.1564939999998</v>
      </c>
      <c r="W65">
        <v>3767.2658689999998</v>
      </c>
      <c r="X65">
        <v>3877.064453</v>
      </c>
      <c r="Y65">
        <v>3989.1020509999998</v>
      </c>
      <c r="Z65">
        <v>4104.3325199999999</v>
      </c>
      <c r="AA65">
        <v>4222.5615230000003</v>
      </c>
      <c r="AB65">
        <v>4343.7075199999999</v>
      </c>
      <c r="AC65">
        <v>4467.2685549999997</v>
      </c>
      <c r="AD65">
        <v>4593.1997069999998</v>
      </c>
      <c r="AE65">
        <v>4722.3706050000001</v>
      </c>
      <c r="AF65">
        <v>4854.9150390000004</v>
      </c>
      <c r="AG65">
        <v>4990.8554690000001</v>
      </c>
      <c r="AH65">
        <v>5130.4770509999998</v>
      </c>
      <c r="AI65" s="22">
        <v>5.8000000000000003E-2</v>
      </c>
    </row>
    <row r="66" spans="1:35">
      <c r="A66" t="s">
        <v>112</v>
      </c>
      <c r="B66" t="s">
        <v>1366</v>
      </c>
      <c r="C66" t="s">
        <v>1365</v>
      </c>
      <c r="D66" t="s">
        <v>202</v>
      </c>
      <c r="F66">
        <v>3092.2739259999998</v>
      </c>
      <c r="G66">
        <v>3863.8820799999999</v>
      </c>
      <c r="H66">
        <v>4480.8652339999999</v>
      </c>
      <c r="I66">
        <v>4934.919922</v>
      </c>
      <c r="J66">
        <v>5268.0708009999998</v>
      </c>
      <c r="K66">
        <v>5491.9516599999997</v>
      </c>
      <c r="L66">
        <v>5700.4174800000001</v>
      </c>
      <c r="M66">
        <v>5881.640625</v>
      </c>
      <c r="N66">
        <v>6062.2890619999998</v>
      </c>
      <c r="O66">
        <v>6246.5034180000002</v>
      </c>
      <c r="P66">
        <v>6439.5307620000003</v>
      </c>
      <c r="Q66">
        <v>6636.0771480000003</v>
      </c>
      <c r="R66">
        <v>6831.0161129999997</v>
      </c>
      <c r="S66">
        <v>7028.9487300000001</v>
      </c>
      <c r="T66">
        <v>7232.6904299999997</v>
      </c>
      <c r="U66">
        <v>7443.2495120000003</v>
      </c>
      <c r="V66">
        <v>7660.9145509999998</v>
      </c>
      <c r="W66">
        <v>7884.1440430000002</v>
      </c>
      <c r="X66">
        <v>8115.2856449999999</v>
      </c>
      <c r="Y66">
        <v>8350.4160159999992</v>
      </c>
      <c r="Z66">
        <v>8591.8769530000009</v>
      </c>
      <c r="AA66">
        <v>8838.9326170000004</v>
      </c>
      <c r="AB66">
        <v>9090.9277340000008</v>
      </c>
      <c r="AC66">
        <v>9345.90625</v>
      </c>
      <c r="AD66">
        <v>9604.6660159999992</v>
      </c>
      <c r="AE66">
        <v>9869.0458980000003</v>
      </c>
      <c r="AF66">
        <v>10138.983398</v>
      </c>
      <c r="AG66">
        <v>10413.891602</v>
      </c>
      <c r="AH66">
        <v>10694.028319999999</v>
      </c>
      <c r="AI66" s="22">
        <v>4.4999999999999998E-2</v>
      </c>
    </row>
    <row r="67" spans="1:35">
      <c r="A67" t="s">
        <v>216</v>
      </c>
    </row>
    <row r="68" spans="1:35">
      <c r="A68" t="s">
        <v>211</v>
      </c>
      <c r="B68" t="s">
        <v>1367</v>
      </c>
      <c r="C68" t="s">
        <v>1368</v>
      </c>
      <c r="D68" t="s">
        <v>202</v>
      </c>
      <c r="F68">
        <v>47.423141000000001</v>
      </c>
      <c r="G68">
        <v>46.367550000000001</v>
      </c>
      <c r="H68">
        <v>46.121803</v>
      </c>
      <c r="I68">
        <v>46.319042000000003</v>
      </c>
      <c r="J68">
        <v>46.842078999999998</v>
      </c>
      <c r="K68">
        <v>47.387383</v>
      </c>
      <c r="L68">
        <v>47.970078000000001</v>
      </c>
      <c r="M68">
        <v>48.509177999999999</v>
      </c>
      <c r="N68">
        <v>49.009602000000001</v>
      </c>
      <c r="O68">
        <v>49.582680000000003</v>
      </c>
      <c r="P68">
        <v>50.348796999999998</v>
      </c>
      <c r="Q68">
        <v>51.150725999999999</v>
      </c>
      <c r="R68">
        <v>51.844681000000001</v>
      </c>
      <c r="S68">
        <v>52.540646000000002</v>
      </c>
      <c r="T68">
        <v>53.319443</v>
      </c>
      <c r="U68">
        <v>54.194930999999997</v>
      </c>
      <c r="V68">
        <v>55.171546999999997</v>
      </c>
      <c r="W68">
        <v>56.197688999999997</v>
      </c>
      <c r="X68">
        <v>57.314678000000001</v>
      </c>
      <c r="Y68">
        <v>58.420783999999998</v>
      </c>
      <c r="Z68">
        <v>59.565468000000003</v>
      </c>
      <c r="AA68">
        <v>60.742359</v>
      </c>
      <c r="AB68">
        <v>61.948818000000003</v>
      </c>
      <c r="AC68">
        <v>63.150246000000003</v>
      </c>
      <c r="AD68">
        <v>64.407889999999995</v>
      </c>
      <c r="AE68">
        <v>65.735016000000002</v>
      </c>
      <c r="AF68">
        <v>67.125388999999998</v>
      </c>
      <c r="AG68">
        <v>68.572693000000001</v>
      </c>
      <c r="AH68">
        <v>70.094299000000007</v>
      </c>
      <c r="AI68" s="22">
        <v>1.4E-2</v>
      </c>
    </row>
    <row r="69" spans="1:35">
      <c r="A69" t="s">
        <v>212</v>
      </c>
      <c r="B69" t="s">
        <v>1369</v>
      </c>
      <c r="C69" t="s">
        <v>1370</v>
      </c>
      <c r="D69" t="s">
        <v>202</v>
      </c>
      <c r="F69">
        <v>1.0062629999999999</v>
      </c>
      <c r="G69">
        <v>1.0441499999999999</v>
      </c>
      <c r="H69">
        <v>1.0762890000000001</v>
      </c>
      <c r="I69">
        <v>1.1045970000000001</v>
      </c>
      <c r="J69">
        <v>1.1287959999999999</v>
      </c>
      <c r="K69">
        <v>1.1493180000000001</v>
      </c>
      <c r="L69">
        <v>1.1671069999999999</v>
      </c>
      <c r="M69">
        <v>1.1826779999999999</v>
      </c>
      <c r="N69">
        <v>1.1963220000000001</v>
      </c>
      <c r="O69">
        <v>1.208356</v>
      </c>
      <c r="P69">
        <v>1.219001</v>
      </c>
      <c r="Q69">
        <v>1.2284360000000001</v>
      </c>
      <c r="R69">
        <v>1.2368399999999999</v>
      </c>
      <c r="S69">
        <v>1.2443679999999999</v>
      </c>
      <c r="T69">
        <v>1.2511509999999999</v>
      </c>
      <c r="U69">
        <v>1.2572989999999999</v>
      </c>
      <c r="V69">
        <v>1.2629079999999999</v>
      </c>
      <c r="W69">
        <v>1.2680560000000001</v>
      </c>
      <c r="X69">
        <v>1.2728120000000001</v>
      </c>
      <c r="Y69">
        <v>1.2772349999999999</v>
      </c>
      <c r="Z69">
        <v>1.281374</v>
      </c>
      <c r="AA69">
        <v>1.285269</v>
      </c>
      <c r="AB69">
        <v>1.2889569999999999</v>
      </c>
      <c r="AC69">
        <v>1.2924690000000001</v>
      </c>
      <c r="AD69">
        <v>1.2958289999999999</v>
      </c>
      <c r="AE69">
        <v>1.299059</v>
      </c>
      <c r="AF69">
        <v>1.302179</v>
      </c>
      <c r="AG69">
        <v>1.3052029999999999</v>
      </c>
      <c r="AH69">
        <v>1.3081449999999999</v>
      </c>
      <c r="AI69" s="22">
        <v>8.9999999999999993E-3</v>
      </c>
    </row>
    <row r="70" spans="1:35">
      <c r="A70" t="s">
        <v>1256</v>
      </c>
      <c r="B70" t="s">
        <v>1371</v>
      </c>
      <c r="C70" t="s">
        <v>1372</v>
      </c>
      <c r="D70" t="s">
        <v>202</v>
      </c>
      <c r="F70">
        <v>2.2818999999999998</v>
      </c>
      <c r="G70">
        <v>2.3426399999999998</v>
      </c>
      <c r="H70">
        <v>2.4650479999999999</v>
      </c>
      <c r="I70">
        <v>2.5995650000000001</v>
      </c>
      <c r="J70">
        <v>2.734801</v>
      </c>
      <c r="K70">
        <v>2.8735569999999999</v>
      </c>
      <c r="L70">
        <v>3.0144679999999999</v>
      </c>
      <c r="M70">
        <v>3.1632699999999998</v>
      </c>
      <c r="N70">
        <v>3.3243580000000001</v>
      </c>
      <c r="O70">
        <v>3.4972789999999998</v>
      </c>
      <c r="P70">
        <v>3.6855220000000002</v>
      </c>
      <c r="Q70">
        <v>3.8840870000000001</v>
      </c>
      <c r="R70">
        <v>4.0934869999999997</v>
      </c>
      <c r="S70">
        <v>4.3137239999999997</v>
      </c>
      <c r="T70">
        <v>4.5410490000000001</v>
      </c>
      <c r="U70">
        <v>4.7785919999999997</v>
      </c>
      <c r="V70">
        <v>5.0267689999999998</v>
      </c>
      <c r="W70">
        <v>5.2857289999999999</v>
      </c>
      <c r="X70">
        <v>5.555498</v>
      </c>
      <c r="Y70">
        <v>5.8253459999999997</v>
      </c>
      <c r="Z70">
        <v>6.1047849999999997</v>
      </c>
      <c r="AA70">
        <v>6.3940640000000002</v>
      </c>
      <c r="AB70">
        <v>6.693174</v>
      </c>
      <c r="AC70">
        <v>7.0021630000000004</v>
      </c>
      <c r="AD70">
        <v>7.3102840000000002</v>
      </c>
      <c r="AE70">
        <v>7.6272060000000002</v>
      </c>
      <c r="AF70">
        <v>7.9528179999999997</v>
      </c>
      <c r="AG70">
        <v>8.2870039999999996</v>
      </c>
      <c r="AH70">
        <v>8.6297200000000007</v>
      </c>
      <c r="AI70" s="22">
        <v>4.9000000000000002E-2</v>
      </c>
    </row>
    <row r="71" spans="1:35">
      <c r="A71" t="s">
        <v>1259</v>
      </c>
      <c r="B71" t="s">
        <v>1373</v>
      </c>
      <c r="C71" t="s">
        <v>1374</v>
      </c>
      <c r="D71" t="s">
        <v>202</v>
      </c>
      <c r="F71">
        <v>21.343447000000001</v>
      </c>
      <c r="G71">
        <v>23.328316000000001</v>
      </c>
      <c r="H71">
        <v>25.259329000000001</v>
      </c>
      <c r="I71">
        <v>26.844503</v>
      </c>
      <c r="J71">
        <v>28.220020000000002</v>
      </c>
      <c r="K71">
        <v>29.476091</v>
      </c>
      <c r="L71">
        <v>30.638822999999999</v>
      </c>
      <c r="M71">
        <v>31.743164</v>
      </c>
      <c r="N71">
        <v>32.806507000000003</v>
      </c>
      <c r="O71">
        <v>33.836029000000003</v>
      </c>
      <c r="P71">
        <v>34.844954999999999</v>
      </c>
      <c r="Q71">
        <v>35.848754999999997</v>
      </c>
      <c r="R71">
        <v>36.846347999999999</v>
      </c>
      <c r="S71">
        <v>37.830382999999998</v>
      </c>
      <c r="T71">
        <v>38.820450000000001</v>
      </c>
      <c r="U71">
        <v>39.828896</v>
      </c>
      <c r="V71">
        <v>40.849742999999997</v>
      </c>
      <c r="W71">
        <v>41.884875999999998</v>
      </c>
      <c r="X71">
        <v>42.945388999999999</v>
      </c>
      <c r="Y71">
        <v>44.021434999999997</v>
      </c>
      <c r="Z71">
        <v>45.112003000000001</v>
      </c>
      <c r="AA71">
        <v>46.216866000000003</v>
      </c>
      <c r="AB71">
        <v>47.334282000000002</v>
      </c>
      <c r="AC71">
        <v>48.465243999999998</v>
      </c>
      <c r="AD71">
        <v>49.616309999999999</v>
      </c>
      <c r="AE71">
        <v>50.789515999999999</v>
      </c>
      <c r="AF71">
        <v>51.988506000000001</v>
      </c>
      <c r="AG71">
        <v>53.218521000000003</v>
      </c>
      <c r="AH71">
        <v>54.480499000000002</v>
      </c>
      <c r="AI71" s="22">
        <v>3.4000000000000002E-2</v>
      </c>
    </row>
    <row r="72" spans="1:35">
      <c r="A72" t="s">
        <v>1262</v>
      </c>
      <c r="B72" t="s">
        <v>1375</v>
      </c>
      <c r="C72" t="s">
        <v>1376</v>
      </c>
      <c r="D72" t="s">
        <v>202</v>
      </c>
      <c r="F72">
        <v>4.273352</v>
      </c>
      <c r="G72">
        <v>4.4791809999999996</v>
      </c>
      <c r="H72">
        <v>4.6452540000000004</v>
      </c>
      <c r="I72">
        <v>4.7855220000000003</v>
      </c>
      <c r="J72">
        <v>4.8974130000000002</v>
      </c>
      <c r="K72">
        <v>4.9908710000000003</v>
      </c>
      <c r="L72">
        <v>5.0685380000000002</v>
      </c>
      <c r="M72">
        <v>5.1330119999999999</v>
      </c>
      <c r="N72">
        <v>5.1861550000000003</v>
      </c>
      <c r="O72">
        <v>5.229876</v>
      </c>
      <c r="P72">
        <v>5.2663859999999998</v>
      </c>
      <c r="Q72">
        <v>5.2975640000000004</v>
      </c>
      <c r="R72">
        <v>5.3242719999999997</v>
      </c>
      <c r="S72">
        <v>5.3471760000000002</v>
      </c>
      <c r="T72">
        <v>5.3668380000000004</v>
      </c>
      <c r="U72">
        <v>5.3837380000000001</v>
      </c>
      <c r="V72">
        <v>5.398288</v>
      </c>
      <c r="W72">
        <v>5.4108229999999997</v>
      </c>
      <c r="X72">
        <v>5.4216280000000001</v>
      </c>
      <c r="Y72">
        <v>5.4309770000000004</v>
      </c>
      <c r="Z72">
        <v>5.4390599999999996</v>
      </c>
      <c r="AA72">
        <v>5.4460730000000002</v>
      </c>
      <c r="AB72">
        <v>5.4522899999999996</v>
      </c>
      <c r="AC72">
        <v>5.4581390000000001</v>
      </c>
      <c r="AD72">
        <v>5.4639499999999996</v>
      </c>
      <c r="AE72">
        <v>5.4698690000000001</v>
      </c>
      <c r="AF72">
        <v>5.4759849999999997</v>
      </c>
      <c r="AG72">
        <v>5.4823639999999996</v>
      </c>
      <c r="AH72">
        <v>5.4890670000000004</v>
      </c>
      <c r="AI72" s="22">
        <v>8.9999999999999993E-3</v>
      </c>
    </row>
    <row r="73" spans="1:35">
      <c r="A73" t="s">
        <v>1265</v>
      </c>
      <c r="B73" t="s">
        <v>1377</v>
      </c>
      <c r="C73" t="s">
        <v>1378</v>
      </c>
      <c r="D73" t="s">
        <v>202</v>
      </c>
      <c r="F73">
        <v>1.375221</v>
      </c>
      <c r="G73">
        <v>1.4571829999999999</v>
      </c>
      <c r="H73">
        <v>1.532079</v>
      </c>
      <c r="I73">
        <v>1.599677</v>
      </c>
      <c r="J73">
        <v>1.6609389999999999</v>
      </c>
      <c r="K73">
        <v>1.716998</v>
      </c>
      <c r="L73">
        <v>1.7685759999999999</v>
      </c>
      <c r="M73">
        <v>1.8164849999999999</v>
      </c>
      <c r="N73">
        <v>1.861445</v>
      </c>
      <c r="O73">
        <v>1.9036090000000001</v>
      </c>
      <c r="P73">
        <v>1.9428510000000001</v>
      </c>
      <c r="Q73">
        <v>1.979757</v>
      </c>
      <c r="R73">
        <v>2.0146850000000001</v>
      </c>
      <c r="S73">
        <v>2.0465460000000002</v>
      </c>
      <c r="T73">
        <v>2.0765380000000002</v>
      </c>
      <c r="U73">
        <v>2.105925</v>
      </c>
      <c r="V73">
        <v>2.1345260000000001</v>
      </c>
      <c r="W73">
        <v>2.1616379999999999</v>
      </c>
      <c r="X73">
        <v>2.187468</v>
      </c>
      <c r="Y73">
        <v>2.2126380000000001</v>
      </c>
      <c r="Z73">
        <v>2.2373310000000002</v>
      </c>
      <c r="AA73">
        <v>2.2616049999999999</v>
      </c>
      <c r="AB73">
        <v>2.2854969999999999</v>
      </c>
      <c r="AC73">
        <v>2.309015</v>
      </c>
      <c r="AD73">
        <v>2.332131</v>
      </c>
      <c r="AE73">
        <v>2.3548879999999999</v>
      </c>
      <c r="AF73">
        <v>2.3775210000000002</v>
      </c>
      <c r="AG73">
        <v>2.4000759999999999</v>
      </c>
      <c r="AH73">
        <v>2.4225569999999998</v>
      </c>
      <c r="AI73" s="22">
        <v>0.02</v>
      </c>
    </row>
    <row r="74" spans="1:35">
      <c r="A74" t="s">
        <v>1268</v>
      </c>
      <c r="B74" t="s">
        <v>1379</v>
      </c>
      <c r="C74" t="s">
        <v>1380</v>
      </c>
      <c r="D74" t="s">
        <v>202</v>
      </c>
      <c r="F74">
        <v>5.6156360000000003</v>
      </c>
      <c r="G74">
        <v>5.721063</v>
      </c>
      <c r="H74">
        <v>5.844652</v>
      </c>
      <c r="I74">
        <v>5.9630590000000003</v>
      </c>
      <c r="J74">
        <v>6.0691499999999996</v>
      </c>
      <c r="K74">
        <v>6.1706940000000001</v>
      </c>
      <c r="L74">
        <v>6.2710540000000004</v>
      </c>
      <c r="M74">
        <v>6.3695250000000003</v>
      </c>
      <c r="N74">
        <v>6.4658889999999998</v>
      </c>
      <c r="O74">
        <v>6.5450280000000003</v>
      </c>
      <c r="P74">
        <v>6.5985740000000002</v>
      </c>
      <c r="Q74">
        <v>6.6477339999999998</v>
      </c>
      <c r="R74">
        <v>6.6966850000000004</v>
      </c>
      <c r="S74">
        <v>6.7442919999999997</v>
      </c>
      <c r="T74">
        <v>6.7915340000000004</v>
      </c>
      <c r="U74">
        <v>6.833717</v>
      </c>
      <c r="V74">
        <v>6.8710649999999998</v>
      </c>
      <c r="W74">
        <v>6.9078999999999997</v>
      </c>
      <c r="X74">
        <v>6.9470710000000002</v>
      </c>
      <c r="Y74">
        <v>6.9914050000000003</v>
      </c>
      <c r="Z74">
        <v>7.0396000000000001</v>
      </c>
      <c r="AA74">
        <v>7.0887419999999999</v>
      </c>
      <c r="AB74">
        <v>7.1380210000000002</v>
      </c>
      <c r="AC74">
        <v>7.185943</v>
      </c>
      <c r="AD74">
        <v>7.2306369999999998</v>
      </c>
      <c r="AE74">
        <v>7.2718730000000003</v>
      </c>
      <c r="AF74">
        <v>7.3117710000000002</v>
      </c>
      <c r="AG74">
        <v>7.3521929999999998</v>
      </c>
      <c r="AH74">
        <v>7.3943680000000001</v>
      </c>
      <c r="AI74" s="22">
        <v>0.01</v>
      </c>
    </row>
    <row r="75" spans="1:35">
      <c r="A75" t="s">
        <v>1271</v>
      </c>
      <c r="B75" t="s">
        <v>1381</v>
      </c>
      <c r="C75" t="s">
        <v>1382</v>
      </c>
      <c r="D75" t="s">
        <v>202</v>
      </c>
      <c r="F75">
        <v>0.63681100000000002</v>
      </c>
      <c r="G75">
        <v>0.61521599999999999</v>
      </c>
      <c r="H75">
        <v>0.63014599999999998</v>
      </c>
      <c r="I75">
        <v>0.64219700000000002</v>
      </c>
      <c r="J75">
        <v>0.65244100000000005</v>
      </c>
      <c r="K75">
        <v>0.66163000000000005</v>
      </c>
      <c r="L75">
        <v>0.67073499999999997</v>
      </c>
      <c r="M75">
        <v>0.67983400000000005</v>
      </c>
      <c r="N75">
        <v>0.68894900000000003</v>
      </c>
      <c r="O75">
        <v>0.69872299999999998</v>
      </c>
      <c r="P75">
        <v>0.70891099999999996</v>
      </c>
      <c r="Q75">
        <v>0.719198</v>
      </c>
      <c r="R75">
        <v>0.72959399999999996</v>
      </c>
      <c r="S75">
        <v>0.74011099999999996</v>
      </c>
      <c r="T75">
        <v>0.75076200000000004</v>
      </c>
      <c r="U75">
        <v>0.76155399999999995</v>
      </c>
      <c r="V75">
        <v>0.77249699999999999</v>
      </c>
      <c r="W75">
        <v>0.78360099999999999</v>
      </c>
      <c r="X75">
        <v>0.79486900000000005</v>
      </c>
      <c r="Y75">
        <v>0.80631200000000003</v>
      </c>
      <c r="Z75">
        <v>0.81793700000000003</v>
      </c>
      <c r="AA75">
        <v>0.82974300000000001</v>
      </c>
      <c r="AB75">
        <v>0.84174700000000002</v>
      </c>
      <c r="AC75">
        <v>0.85394800000000004</v>
      </c>
      <c r="AD75">
        <v>0.86635099999999998</v>
      </c>
      <c r="AE75">
        <v>0.87896399999999997</v>
      </c>
      <c r="AF75">
        <v>0.89179200000000003</v>
      </c>
      <c r="AG75">
        <v>0.90484100000000001</v>
      </c>
      <c r="AH75">
        <v>0.91811299999999996</v>
      </c>
      <c r="AI75" s="22">
        <v>1.2999999999999999E-2</v>
      </c>
    </row>
    <row r="76" spans="1:35">
      <c r="A76" t="s">
        <v>1274</v>
      </c>
      <c r="B76" t="s">
        <v>1383</v>
      </c>
      <c r="C76" t="s">
        <v>1384</v>
      </c>
      <c r="D76" t="s">
        <v>202</v>
      </c>
      <c r="F76">
        <v>6.5872E-2</v>
      </c>
      <c r="G76">
        <v>7.6454999999999995E-2</v>
      </c>
      <c r="H76">
        <v>8.6470000000000005E-2</v>
      </c>
      <c r="I76">
        <v>9.5138E-2</v>
      </c>
      <c r="J76">
        <v>0.102715</v>
      </c>
      <c r="K76">
        <v>0.109502</v>
      </c>
      <c r="L76">
        <v>0.115657</v>
      </c>
      <c r="M76">
        <v>0.12130299999999999</v>
      </c>
      <c r="N76">
        <v>0.12654799999999999</v>
      </c>
      <c r="O76">
        <v>0.13158</v>
      </c>
      <c r="P76">
        <v>0.136382</v>
      </c>
      <c r="Q76">
        <v>0.14097000000000001</v>
      </c>
      <c r="R76">
        <v>0.145394</v>
      </c>
      <c r="S76">
        <v>0.149704</v>
      </c>
      <c r="T76">
        <v>0.15374499999999999</v>
      </c>
      <c r="U76">
        <v>0.15770600000000001</v>
      </c>
      <c r="V76">
        <v>0.16161400000000001</v>
      </c>
      <c r="W76">
        <v>0.16548399999999999</v>
      </c>
      <c r="X76">
        <v>0.16933799999999999</v>
      </c>
      <c r="Y76">
        <v>0.17303499999999999</v>
      </c>
      <c r="Z76">
        <v>0.176734</v>
      </c>
      <c r="AA76">
        <v>0.180452</v>
      </c>
      <c r="AB76">
        <v>0.184201</v>
      </c>
      <c r="AC76">
        <v>0.18798899999999999</v>
      </c>
      <c r="AD76">
        <v>0.191688</v>
      </c>
      <c r="AE76">
        <v>0.19542999999999999</v>
      </c>
      <c r="AF76">
        <v>0.19922300000000001</v>
      </c>
      <c r="AG76">
        <v>0.203068</v>
      </c>
      <c r="AH76">
        <v>0.20696800000000001</v>
      </c>
      <c r="AI76" s="22">
        <v>4.2000000000000003E-2</v>
      </c>
    </row>
    <row r="77" spans="1:35">
      <c r="A77" t="s">
        <v>214</v>
      </c>
      <c r="B77" t="s">
        <v>1385</v>
      </c>
      <c r="C77" t="s">
        <v>1386</v>
      </c>
      <c r="D77" t="s">
        <v>202</v>
      </c>
      <c r="F77">
        <v>14.291022999999999</v>
      </c>
      <c r="G77">
        <v>15.403852000000001</v>
      </c>
      <c r="H77">
        <v>16.466524</v>
      </c>
      <c r="I77">
        <v>17.484112</v>
      </c>
      <c r="J77">
        <v>18.438578</v>
      </c>
      <c r="K77">
        <v>19.337043999999999</v>
      </c>
      <c r="L77">
        <v>20.187798000000001</v>
      </c>
      <c r="M77">
        <v>20.994629</v>
      </c>
      <c r="N77">
        <v>21.758624999999999</v>
      </c>
      <c r="O77">
        <v>22.490202</v>
      </c>
      <c r="P77">
        <v>23.192791</v>
      </c>
      <c r="Q77">
        <v>23.867598000000001</v>
      </c>
      <c r="R77">
        <v>24.519058000000001</v>
      </c>
      <c r="S77">
        <v>25.152920000000002</v>
      </c>
      <c r="T77">
        <v>25.769638</v>
      </c>
      <c r="U77">
        <v>26.36647</v>
      </c>
      <c r="V77">
        <v>26.945543000000001</v>
      </c>
      <c r="W77">
        <v>27.511816</v>
      </c>
      <c r="X77">
        <v>28.072358999999999</v>
      </c>
      <c r="Y77">
        <v>28.633461</v>
      </c>
      <c r="Z77">
        <v>29.194868</v>
      </c>
      <c r="AA77">
        <v>29.751711</v>
      </c>
      <c r="AB77">
        <v>30.298272999999998</v>
      </c>
      <c r="AC77">
        <v>30.82856</v>
      </c>
      <c r="AD77">
        <v>31.342054000000001</v>
      </c>
      <c r="AE77">
        <v>31.842524000000001</v>
      </c>
      <c r="AF77">
        <v>32.328381</v>
      </c>
      <c r="AG77">
        <v>32.794552000000003</v>
      </c>
      <c r="AH77">
        <v>33.235858999999998</v>
      </c>
      <c r="AI77" s="22">
        <v>3.1E-2</v>
      </c>
    </row>
    <row r="78" spans="1:35">
      <c r="A78" t="s">
        <v>1279</v>
      </c>
      <c r="B78" t="s">
        <v>1387</v>
      </c>
      <c r="C78" t="s">
        <v>1388</v>
      </c>
      <c r="D78" t="s">
        <v>202</v>
      </c>
      <c r="F78">
        <v>1.729398</v>
      </c>
      <c r="G78">
        <v>1.9405060000000001</v>
      </c>
      <c r="H78">
        <v>2.1560890000000001</v>
      </c>
      <c r="I78">
        <v>2.37439</v>
      </c>
      <c r="J78">
        <v>2.5902090000000002</v>
      </c>
      <c r="K78">
        <v>2.7969189999999999</v>
      </c>
      <c r="L78">
        <v>2.9946679999999999</v>
      </c>
      <c r="M78">
        <v>3.1840839999999999</v>
      </c>
      <c r="N78">
        <v>3.365723</v>
      </c>
      <c r="O78">
        <v>3.5399889999999998</v>
      </c>
      <c r="P78">
        <v>3.7074400000000001</v>
      </c>
      <c r="Q78">
        <v>3.868322</v>
      </c>
      <c r="R78">
        <v>4.0227149999999998</v>
      </c>
      <c r="S78">
        <v>4.1717719999999998</v>
      </c>
      <c r="T78">
        <v>4.3170520000000003</v>
      </c>
      <c r="U78">
        <v>4.4608340000000002</v>
      </c>
      <c r="V78">
        <v>4.6034769999999998</v>
      </c>
      <c r="W78">
        <v>4.7450979999999996</v>
      </c>
      <c r="X78">
        <v>4.8857530000000002</v>
      </c>
      <c r="Y78">
        <v>5.0255089999999996</v>
      </c>
      <c r="Z78">
        <v>5.164409</v>
      </c>
      <c r="AA78">
        <v>5.3025580000000003</v>
      </c>
      <c r="AB78">
        <v>5.4398660000000003</v>
      </c>
      <c r="AC78">
        <v>5.5762869999999998</v>
      </c>
      <c r="AD78">
        <v>5.7117120000000003</v>
      </c>
      <c r="AE78">
        <v>5.8460159999999997</v>
      </c>
      <c r="AF78">
        <v>5.9790609999999997</v>
      </c>
      <c r="AG78">
        <v>6.1107060000000004</v>
      </c>
      <c r="AH78">
        <v>6.2408289999999997</v>
      </c>
      <c r="AI78" s="22">
        <v>4.7E-2</v>
      </c>
    </row>
    <row r="79" spans="1:35">
      <c r="A79" t="s">
        <v>1282</v>
      </c>
      <c r="B79" t="s">
        <v>1389</v>
      </c>
      <c r="C79" t="s">
        <v>1390</v>
      </c>
      <c r="D79" t="s">
        <v>202</v>
      </c>
      <c r="F79">
        <v>10.97953</v>
      </c>
      <c r="G79">
        <v>11.478201</v>
      </c>
      <c r="H79">
        <v>11.913265000000001</v>
      </c>
      <c r="I79">
        <v>12.294639</v>
      </c>
      <c r="J79">
        <v>12.627687999999999</v>
      </c>
      <c r="K79">
        <v>12.920790999999999</v>
      </c>
      <c r="L79">
        <v>13.179679999999999</v>
      </c>
      <c r="M79">
        <v>13.408682000000001</v>
      </c>
      <c r="N79">
        <v>13.611603000000001</v>
      </c>
      <c r="O79">
        <v>13.793385000000001</v>
      </c>
      <c r="P79">
        <v>13.957406000000001</v>
      </c>
      <c r="Q79">
        <v>14.106166999999999</v>
      </c>
      <c r="R79">
        <v>14.242005000000001</v>
      </c>
      <c r="S79">
        <v>14.366897</v>
      </c>
      <c r="T79">
        <v>14.481479999999999</v>
      </c>
      <c r="U79">
        <v>14.587826</v>
      </c>
      <c r="V79">
        <v>14.687233000000001</v>
      </c>
      <c r="W79">
        <v>14.780568000000001</v>
      </c>
      <c r="X79">
        <v>14.868819999999999</v>
      </c>
      <c r="Y79">
        <v>14.951580999999999</v>
      </c>
      <c r="Z79">
        <v>15.030099999999999</v>
      </c>
      <c r="AA79">
        <v>15.104990000000001</v>
      </c>
      <c r="AB79">
        <v>15.176742000000001</v>
      </c>
      <c r="AC79">
        <v>15.245628</v>
      </c>
      <c r="AD79">
        <v>15.310263000000001</v>
      </c>
      <c r="AE79">
        <v>15.372285</v>
      </c>
      <c r="AF79">
        <v>15.432404999999999</v>
      </c>
      <c r="AG79">
        <v>15.490957999999999</v>
      </c>
      <c r="AH79">
        <v>15.548268</v>
      </c>
      <c r="AI79" s="22">
        <v>1.2999999999999999E-2</v>
      </c>
    </row>
    <row r="80" spans="1:35">
      <c r="A80" t="s">
        <v>1285</v>
      </c>
      <c r="B80" t="s">
        <v>1391</v>
      </c>
      <c r="C80" t="s">
        <v>1392</v>
      </c>
      <c r="D80" t="s">
        <v>202</v>
      </c>
      <c r="F80">
        <v>1.034492</v>
      </c>
      <c r="G80">
        <v>0.99601099999999998</v>
      </c>
      <c r="H80">
        <v>0.96615300000000004</v>
      </c>
      <c r="I80">
        <v>0.94137499999999996</v>
      </c>
      <c r="J80">
        <v>0.91805400000000004</v>
      </c>
      <c r="K80">
        <v>0.89600199999999997</v>
      </c>
      <c r="L80">
        <v>0.87472399999999995</v>
      </c>
      <c r="M80">
        <v>0.85463800000000001</v>
      </c>
      <c r="N80">
        <v>0.83557300000000001</v>
      </c>
      <c r="O80">
        <v>0.81794</v>
      </c>
      <c r="P80">
        <v>0.80143900000000001</v>
      </c>
      <c r="Q80">
        <v>0.785694</v>
      </c>
      <c r="R80">
        <v>0.77058400000000005</v>
      </c>
      <c r="S80">
        <v>0.75597400000000003</v>
      </c>
      <c r="T80">
        <v>0.74202599999999996</v>
      </c>
      <c r="U80">
        <v>0.728599</v>
      </c>
      <c r="V80">
        <v>0.71566300000000005</v>
      </c>
      <c r="W80">
        <v>0.70325800000000005</v>
      </c>
      <c r="X80">
        <v>0.69134799999999996</v>
      </c>
      <c r="Y80">
        <v>0.67998099999999995</v>
      </c>
      <c r="Z80">
        <v>0.66904200000000003</v>
      </c>
      <c r="AA80">
        <v>0.65848600000000002</v>
      </c>
      <c r="AB80">
        <v>0.64829400000000004</v>
      </c>
      <c r="AC80">
        <v>0.63843799999999995</v>
      </c>
      <c r="AD80">
        <v>0.62902999999999998</v>
      </c>
      <c r="AE80">
        <v>0.61994700000000003</v>
      </c>
      <c r="AF80">
        <v>0.61114500000000005</v>
      </c>
      <c r="AG80">
        <v>0.60261200000000004</v>
      </c>
      <c r="AH80">
        <v>0.59433100000000005</v>
      </c>
      <c r="AI80" s="22">
        <v>-0.02</v>
      </c>
    </row>
    <row r="81" spans="1:35">
      <c r="A81" t="s">
        <v>213</v>
      </c>
      <c r="B81" t="s">
        <v>1393</v>
      </c>
      <c r="C81" t="s">
        <v>1394</v>
      </c>
      <c r="D81" t="s">
        <v>202</v>
      </c>
      <c r="F81">
        <v>2.056041</v>
      </c>
      <c r="G81">
        <v>2.2239300000000002</v>
      </c>
      <c r="H81">
        <v>2.3859140000000001</v>
      </c>
      <c r="I81">
        <v>2.5383819999999999</v>
      </c>
      <c r="J81">
        <v>2.6863220000000001</v>
      </c>
      <c r="K81">
        <v>2.8267340000000001</v>
      </c>
      <c r="L81">
        <v>2.9619110000000002</v>
      </c>
      <c r="M81">
        <v>3.0936409999999999</v>
      </c>
      <c r="N81">
        <v>3.224078</v>
      </c>
      <c r="O81">
        <v>3.35331</v>
      </c>
      <c r="P81">
        <v>3.4810599999999998</v>
      </c>
      <c r="Q81">
        <v>3.6073309999999998</v>
      </c>
      <c r="R81">
        <v>3.7324109999999999</v>
      </c>
      <c r="S81">
        <v>3.856554</v>
      </c>
      <c r="T81">
        <v>3.9815369999999999</v>
      </c>
      <c r="U81">
        <v>4.1063970000000003</v>
      </c>
      <c r="V81">
        <v>4.2310189999999999</v>
      </c>
      <c r="W81">
        <v>4.3554599999999999</v>
      </c>
      <c r="X81">
        <v>4.4799889999999998</v>
      </c>
      <c r="Y81">
        <v>4.6060540000000003</v>
      </c>
      <c r="Z81">
        <v>4.7324640000000002</v>
      </c>
      <c r="AA81">
        <v>4.8590929999999997</v>
      </c>
      <c r="AB81">
        <v>4.9859879999999999</v>
      </c>
      <c r="AC81">
        <v>5.113321</v>
      </c>
      <c r="AD81">
        <v>5.2422110000000002</v>
      </c>
      <c r="AE81">
        <v>5.3715659999999996</v>
      </c>
      <c r="AF81">
        <v>5.5012590000000001</v>
      </c>
      <c r="AG81">
        <v>5.6312749999999996</v>
      </c>
      <c r="AH81">
        <v>5.7617219999999998</v>
      </c>
      <c r="AI81" s="22">
        <v>3.6999999999999998E-2</v>
      </c>
    </row>
    <row r="82" spans="1:35">
      <c r="A82" t="s">
        <v>1290</v>
      </c>
      <c r="B82" t="s">
        <v>1395</v>
      </c>
      <c r="C82" t="s">
        <v>1396</v>
      </c>
      <c r="D82" t="s">
        <v>202</v>
      </c>
      <c r="F82">
        <v>1.315159</v>
      </c>
      <c r="G82">
        <v>1.3515710000000001</v>
      </c>
      <c r="H82">
        <v>1.401203</v>
      </c>
      <c r="I82">
        <v>1.448269</v>
      </c>
      <c r="J82">
        <v>1.490272</v>
      </c>
      <c r="K82">
        <v>1.528861</v>
      </c>
      <c r="L82">
        <v>1.5658209999999999</v>
      </c>
      <c r="M82">
        <v>1.6010279999999999</v>
      </c>
      <c r="N82">
        <v>1.632976</v>
      </c>
      <c r="O82">
        <v>1.661187</v>
      </c>
      <c r="P82">
        <v>1.687252</v>
      </c>
      <c r="Q82">
        <v>1.71123</v>
      </c>
      <c r="R82">
        <v>1.7331449999999999</v>
      </c>
      <c r="S82">
        <v>1.75302</v>
      </c>
      <c r="T82">
        <v>1.770937</v>
      </c>
      <c r="U82">
        <v>1.787161</v>
      </c>
      <c r="V82">
        <v>1.801885</v>
      </c>
      <c r="W82">
        <v>1.815293</v>
      </c>
      <c r="X82">
        <v>1.827555</v>
      </c>
      <c r="Y82">
        <v>1.8388009999999999</v>
      </c>
      <c r="Z82">
        <v>1.849121</v>
      </c>
      <c r="AA82">
        <v>1.8585959999999999</v>
      </c>
      <c r="AB82">
        <v>1.8672869999999999</v>
      </c>
      <c r="AC82">
        <v>1.8752530000000001</v>
      </c>
      <c r="AD82">
        <v>1.8825810000000001</v>
      </c>
      <c r="AE82">
        <v>1.8892880000000001</v>
      </c>
      <c r="AF82">
        <v>1.8954009999999999</v>
      </c>
      <c r="AG82">
        <v>1.900908</v>
      </c>
      <c r="AH82">
        <v>1.9058569999999999</v>
      </c>
      <c r="AI82" s="22">
        <v>1.2999999999999999E-2</v>
      </c>
    </row>
    <row r="83" spans="1:35">
      <c r="A83" t="s">
        <v>1293</v>
      </c>
      <c r="B83" t="s">
        <v>1397</v>
      </c>
      <c r="C83" t="s">
        <v>1398</v>
      </c>
      <c r="D83" t="s">
        <v>202</v>
      </c>
      <c r="F83">
        <v>1.3873660000000001</v>
      </c>
      <c r="G83">
        <v>1.5061150000000001</v>
      </c>
      <c r="H83">
        <v>1.6128100000000001</v>
      </c>
      <c r="I83">
        <v>1.7258629999999999</v>
      </c>
      <c r="J83">
        <v>1.854373</v>
      </c>
      <c r="K83">
        <v>1.978618</v>
      </c>
      <c r="L83">
        <v>2.0982919999999998</v>
      </c>
      <c r="M83">
        <v>2.212968</v>
      </c>
      <c r="N83">
        <v>2.3225889999999998</v>
      </c>
      <c r="O83">
        <v>2.4248690000000002</v>
      </c>
      <c r="P83">
        <v>2.5281760000000002</v>
      </c>
      <c r="Q83">
        <v>2.6335980000000001</v>
      </c>
      <c r="R83">
        <v>2.7414800000000001</v>
      </c>
      <c r="S83">
        <v>2.8521390000000002</v>
      </c>
      <c r="T83">
        <v>2.9651719999999999</v>
      </c>
      <c r="U83">
        <v>3.081699</v>
      </c>
      <c r="V83">
        <v>3.2019039999999999</v>
      </c>
      <c r="W83">
        <v>3.3258559999999999</v>
      </c>
      <c r="X83">
        <v>3.4535149999999999</v>
      </c>
      <c r="Y83">
        <v>3.585645</v>
      </c>
      <c r="Z83">
        <v>3.7219479999999998</v>
      </c>
      <c r="AA83">
        <v>3.8624550000000002</v>
      </c>
      <c r="AB83">
        <v>4.0071919999999999</v>
      </c>
      <c r="AC83">
        <v>4.1561370000000002</v>
      </c>
      <c r="AD83">
        <v>4.3064840000000002</v>
      </c>
      <c r="AE83">
        <v>4.4612210000000001</v>
      </c>
      <c r="AF83">
        <v>4.620444</v>
      </c>
      <c r="AG83">
        <v>4.7842510000000003</v>
      </c>
      <c r="AH83">
        <v>4.9525699999999997</v>
      </c>
      <c r="AI83" s="22">
        <v>4.5999999999999999E-2</v>
      </c>
    </row>
    <row r="84" spans="1:35">
      <c r="A84" t="s">
        <v>1328</v>
      </c>
      <c r="B84" t="s">
        <v>1399</v>
      </c>
      <c r="C84" t="s">
        <v>1400</v>
      </c>
      <c r="D84" t="s">
        <v>202</v>
      </c>
      <c r="F84">
        <v>33.362082999999998</v>
      </c>
      <c r="G84">
        <v>33.291046000000001</v>
      </c>
      <c r="H84">
        <v>33.543773999999999</v>
      </c>
      <c r="I84">
        <v>33.943812999999999</v>
      </c>
      <c r="J84">
        <v>34.447868</v>
      </c>
      <c r="K84">
        <v>34.956932000000002</v>
      </c>
      <c r="L84">
        <v>35.476719000000003</v>
      </c>
      <c r="M84">
        <v>35.983359999999998</v>
      </c>
      <c r="N84">
        <v>36.478530999999997</v>
      </c>
      <c r="O84">
        <v>36.997509000000001</v>
      </c>
      <c r="P84">
        <v>37.577545000000001</v>
      </c>
      <c r="Q84">
        <v>38.168385000000001</v>
      </c>
      <c r="R84">
        <v>38.726424999999999</v>
      </c>
      <c r="S84">
        <v>39.286076000000001</v>
      </c>
      <c r="T84">
        <v>39.871765000000003</v>
      </c>
      <c r="U84">
        <v>40.487602000000003</v>
      </c>
      <c r="V84">
        <v>41.134417999999997</v>
      </c>
      <c r="W84">
        <v>41.797691</v>
      </c>
      <c r="X84">
        <v>42.491652999999999</v>
      </c>
      <c r="Y84">
        <v>43.184508999999998</v>
      </c>
      <c r="Z84">
        <v>43.892471</v>
      </c>
      <c r="AA84">
        <v>44.611888999999998</v>
      </c>
      <c r="AB84">
        <v>45.339897000000001</v>
      </c>
      <c r="AC84">
        <v>46.064582999999999</v>
      </c>
      <c r="AD84">
        <v>46.800407</v>
      </c>
      <c r="AE84">
        <v>47.554264000000003</v>
      </c>
      <c r="AF84">
        <v>48.323734000000002</v>
      </c>
      <c r="AG84">
        <v>49.105536999999998</v>
      </c>
      <c r="AH84">
        <v>49.902842999999997</v>
      </c>
      <c r="AI84" s="22">
        <v>1.4E-2</v>
      </c>
    </row>
    <row r="85" spans="1:35">
      <c r="A85" t="s">
        <v>1363</v>
      </c>
      <c r="B85" t="s">
        <v>1401</v>
      </c>
      <c r="C85" t="s">
        <v>1400</v>
      </c>
      <c r="D85" t="s">
        <v>202</v>
      </c>
      <c r="F85">
        <v>83.452560000000005</v>
      </c>
      <c r="G85">
        <v>87.040908999999999</v>
      </c>
      <c r="H85">
        <v>91.019249000000002</v>
      </c>
      <c r="I85">
        <v>94.816528000000005</v>
      </c>
      <c r="J85">
        <v>98.465987999999996</v>
      </c>
      <c r="K85">
        <v>101.86409</v>
      </c>
      <c r="L85">
        <v>105.071213</v>
      </c>
      <c r="M85">
        <v>108.08477000000001</v>
      </c>
      <c r="N85">
        <v>110.938408</v>
      </c>
      <c r="O85">
        <v>113.716522</v>
      </c>
      <c r="P85">
        <v>116.52939600000001</v>
      </c>
      <c r="Q85">
        <v>119.30880000000001</v>
      </c>
      <c r="R85">
        <v>121.966949</v>
      </c>
      <c r="S85">
        <v>124.580147</v>
      </c>
      <c r="T85">
        <v>127.227577</v>
      </c>
      <c r="U85">
        <v>129.93373099999999</v>
      </c>
      <c r="V85">
        <v>132.70126300000001</v>
      </c>
      <c r="W85">
        <v>135.505447</v>
      </c>
      <c r="X85">
        <v>138.39643899999999</v>
      </c>
      <c r="Y85">
        <v>141.29568499999999</v>
      </c>
      <c r="Z85">
        <v>144.24375900000001</v>
      </c>
      <c r="AA85">
        <v>147.23117099999999</v>
      </c>
      <c r="AB85">
        <v>150.25071700000001</v>
      </c>
      <c r="AC85">
        <v>153.27423099999999</v>
      </c>
      <c r="AD85">
        <v>156.33902</v>
      </c>
      <c r="AE85">
        <v>159.47041300000001</v>
      </c>
      <c r="AF85">
        <v>162.66952499999999</v>
      </c>
      <c r="AG85">
        <v>165.93566899999999</v>
      </c>
      <c r="AH85">
        <v>169.28036499999999</v>
      </c>
      <c r="AI85" s="22">
        <v>2.5999999999999999E-2</v>
      </c>
    </row>
    <row r="86" spans="1:35">
      <c r="A86" t="s">
        <v>112</v>
      </c>
      <c r="B86" t="s">
        <v>1402</v>
      </c>
      <c r="C86" t="s">
        <v>1400</v>
      </c>
      <c r="D86" t="s">
        <v>202</v>
      </c>
      <c r="F86">
        <v>116.81465900000001</v>
      </c>
      <c r="G86">
        <v>120.331947</v>
      </c>
      <c r="H86">
        <v>124.563034</v>
      </c>
      <c r="I86">
        <v>128.76033000000001</v>
      </c>
      <c r="J86">
        <v>132.91386399999999</v>
      </c>
      <c r="K86">
        <v>136.820999</v>
      </c>
      <c r="L86">
        <v>140.54792800000001</v>
      </c>
      <c r="M86">
        <v>144.06811500000001</v>
      </c>
      <c r="N86">
        <v>147.41693100000001</v>
      </c>
      <c r="O86">
        <v>150.71400499999999</v>
      </c>
      <c r="P86">
        <v>154.10694899999999</v>
      </c>
      <c r="Q86">
        <v>157.47714199999999</v>
      </c>
      <c r="R86">
        <v>160.69338999999999</v>
      </c>
      <c r="S86">
        <v>163.86622600000001</v>
      </c>
      <c r="T86">
        <v>167.09934999999999</v>
      </c>
      <c r="U86">
        <v>170.42132599999999</v>
      </c>
      <c r="V86">
        <v>173.835678</v>
      </c>
      <c r="W86">
        <v>177.303146</v>
      </c>
      <c r="X86">
        <v>180.888092</v>
      </c>
      <c r="Y86">
        <v>184.480209</v>
      </c>
      <c r="Z86">
        <v>188.13623000000001</v>
      </c>
      <c r="AA86">
        <v>191.843063</v>
      </c>
      <c r="AB86">
        <v>195.59063699999999</v>
      </c>
      <c r="AC86">
        <v>199.33880600000001</v>
      </c>
      <c r="AD86">
        <v>203.13940400000001</v>
      </c>
      <c r="AE86">
        <v>207.02465799999999</v>
      </c>
      <c r="AF86">
        <v>210.99328600000001</v>
      </c>
      <c r="AG86">
        <v>215.04122899999999</v>
      </c>
      <c r="AH86">
        <v>219.183167</v>
      </c>
      <c r="AI86" s="22">
        <v>2.3E-2</v>
      </c>
    </row>
    <row r="87" spans="1:35">
      <c r="A87" t="s">
        <v>113</v>
      </c>
    </row>
    <row r="88" spans="1:35">
      <c r="A88" t="s">
        <v>211</v>
      </c>
      <c r="B88" t="s">
        <v>1403</v>
      </c>
      <c r="C88" t="s">
        <v>1404</v>
      </c>
      <c r="D88" t="s">
        <v>202</v>
      </c>
      <c r="F88">
        <v>1173.034668</v>
      </c>
      <c r="G88">
        <v>1318.6945800000001</v>
      </c>
      <c r="H88">
        <v>1350.2619629999999</v>
      </c>
      <c r="I88">
        <v>1352.2789310000001</v>
      </c>
      <c r="J88">
        <v>1371.197754</v>
      </c>
      <c r="K88">
        <v>1389.149414</v>
      </c>
      <c r="L88">
        <v>1407.1179199999999</v>
      </c>
      <c r="M88">
        <v>1421.592529</v>
      </c>
      <c r="N88">
        <v>1433.0273440000001</v>
      </c>
      <c r="O88">
        <v>1446.8048100000001</v>
      </c>
      <c r="P88">
        <v>1468.513672</v>
      </c>
      <c r="Q88">
        <v>1491.042236</v>
      </c>
      <c r="R88">
        <v>1508.001831</v>
      </c>
      <c r="S88">
        <v>1524.5074460000001</v>
      </c>
      <c r="T88">
        <v>1544.2664789999999</v>
      </c>
      <c r="U88">
        <v>1567.9221190000001</v>
      </c>
      <c r="V88">
        <v>1595.6707759999999</v>
      </c>
      <c r="W88">
        <v>1625.223389</v>
      </c>
      <c r="X88">
        <v>1658.3792719999999</v>
      </c>
      <c r="Y88">
        <v>1690.6396480000001</v>
      </c>
      <c r="Z88">
        <v>1724.2036129999999</v>
      </c>
      <c r="AA88">
        <v>1758.7885739999999</v>
      </c>
      <c r="AB88">
        <v>1794.2814940000001</v>
      </c>
      <c r="AC88">
        <v>1829.1610109999999</v>
      </c>
      <c r="AD88">
        <v>1866.1365969999999</v>
      </c>
      <c r="AE88">
        <v>1905.77124</v>
      </c>
      <c r="AF88">
        <v>1947.779663</v>
      </c>
      <c r="AG88">
        <v>1991.880981</v>
      </c>
      <c r="AH88">
        <v>2038.8267820000001</v>
      </c>
      <c r="AI88" s="22">
        <v>0.02</v>
      </c>
    </row>
    <row r="89" spans="1:35">
      <c r="A89" t="s">
        <v>217</v>
      </c>
      <c r="B89" t="s">
        <v>1405</v>
      </c>
      <c r="C89" t="s">
        <v>1406</v>
      </c>
      <c r="D89" t="s">
        <v>202</v>
      </c>
      <c r="F89">
        <v>771.93774399999995</v>
      </c>
      <c r="G89">
        <v>826.14868200000001</v>
      </c>
      <c r="H89">
        <v>825.03100600000005</v>
      </c>
      <c r="I89">
        <v>821.41747999999995</v>
      </c>
      <c r="J89">
        <v>831.81805399999996</v>
      </c>
      <c r="K89">
        <v>841.58648700000003</v>
      </c>
      <c r="L89">
        <v>851.34570299999996</v>
      </c>
      <c r="M89">
        <v>858.87561000000005</v>
      </c>
      <c r="N89">
        <v>864.46972700000003</v>
      </c>
      <c r="O89">
        <v>871.53289800000005</v>
      </c>
      <c r="P89">
        <v>883.58019999999999</v>
      </c>
      <c r="Q89">
        <v>896.11834699999997</v>
      </c>
      <c r="R89">
        <v>905.12927200000001</v>
      </c>
      <c r="S89">
        <v>913.83673099999999</v>
      </c>
      <c r="T89">
        <v>924.56738299999995</v>
      </c>
      <c r="U89">
        <v>937.716858</v>
      </c>
      <c r="V89">
        <v>953.39996299999996</v>
      </c>
      <c r="W89">
        <v>970.17730700000004</v>
      </c>
      <c r="X89">
        <v>989.16076699999996</v>
      </c>
      <c r="Y89">
        <v>1007.538635</v>
      </c>
      <c r="Z89">
        <v>1026.6834719999999</v>
      </c>
      <c r="AA89">
        <v>1046.4167480000001</v>
      </c>
      <c r="AB89">
        <v>1066.6655270000001</v>
      </c>
      <c r="AC89">
        <v>1086.4807129999999</v>
      </c>
      <c r="AD89">
        <v>1107.5491939999999</v>
      </c>
      <c r="AE89">
        <v>1130.216553</v>
      </c>
      <c r="AF89">
        <v>1154.3011469999999</v>
      </c>
      <c r="AG89">
        <v>1179.6252440000001</v>
      </c>
      <c r="AH89">
        <v>1206.6517329999999</v>
      </c>
      <c r="AI89" s="22">
        <v>1.6E-2</v>
      </c>
    </row>
    <row r="90" spans="1:35">
      <c r="A90" t="s">
        <v>218</v>
      </c>
      <c r="B90" t="s">
        <v>1407</v>
      </c>
      <c r="C90" t="s">
        <v>1408</v>
      </c>
      <c r="D90" t="s">
        <v>202</v>
      </c>
      <c r="F90">
        <v>291.44287100000003</v>
      </c>
      <c r="G90">
        <v>376.62927200000001</v>
      </c>
      <c r="H90">
        <v>410.172821</v>
      </c>
      <c r="I90">
        <v>416.49899299999998</v>
      </c>
      <c r="J90">
        <v>423.612549</v>
      </c>
      <c r="K90">
        <v>430.48113999999998</v>
      </c>
      <c r="L90">
        <v>437.37762500000002</v>
      </c>
      <c r="M90">
        <v>443.32412699999998</v>
      </c>
      <c r="N90">
        <v>448.44000199999999</v>
      </c>
      <c r="O90">
        <v>454.22287</v>
      </c>
      <c r="P90">
        <v>462.25238000000002</v>
      </c>
      <c r="Q90">
        <v>470.542755</v>
      </c>
      <c r="R90">
        <v>477.288544</v>
      </c>
      <c r="S90">
        <v>483.92678799999999</v>
      </c>
      <c r="T90">
        <v>491.51174900000001</v>
      </c>
      <c r="U90">
        <v>500.235657</v>
      </c>
      <c r="V90">
        <v>510.16430700000001</v>
      </c>
      <c r="W90">
        <v>520.65051300000005</v>
      </c>
      <c r="X90">
        <v>532.22595200000001</v>
      </c>
      <c r="Y90">
        <v>543.59844999999996</v>
      </c>
      <c r="Z90">
        <v>555.40142800000001</v>
      </c>
      <c r="AA90">
        <v>567.55664100000001</v>
      </c>
      <c r="AB90">
        <v>580.03369099999998</v>
      </c>
      <c r="AC90">
        <v>592.39367700000003</v>
      </c>
      <c r="AD90">
        <v>605.42309599999999</v>
      </c>
      <c r="AE90">
        <v>619.29064900000003</v>
      </c>
      <c r="AF90">
        <v>633.91833499999996</v>
      </c>
      <c r="AG90">
        <v>649.228027</v>
      </c>
      <c r="AH90">
        <v>665.44378700000004</v>
      </c>
      <c r="AI90" s="22">
        <v>0.03</v>
      </c>
    </row>
    <row r="91" spans="1:35">
      <c r="A91" t="s">
        <v>219</v>
      </c>
      <c r="B91" t="s">
        <v>1409</v>
      </c>
      <c r="C91" t="s">
        <v>1410</v>
      </c>
      <c r="D91" t="s">
        <v>202</v>
      </c>
      <c r="F91">
        <v>109.65400700000001</v>
      </c>
      <c r="G91">
        <v>115.916664</v>
      </c>
      <c r="H91">
        <v>115.05811300000001</v>
      </c>
      <c r="I91">
        <v>114.36243399999999</v>
      </c>
      <c r="J91">
        <v>115.767021</v>
      </c>
      <c r="K91">
        <v>117.08181</v>
      </c>
      <c r="L91">
        <v>118.394547</v>
      </c>
      <c r="M91">
        <v>119.392647</v>
      </c>
      <c r="N91">
        <v>120.11769099999999</v>
      </c>
      <c r="O91">
        <v>121.049088</v>
      </c>
      <c r="P91">
        <v>122.68103000000001</v>
      </c>
      <c r="Q91">
        <v>124.381058</v>
      </c>
      <c r="R91">
        <v>125.584198</v>
      </c>
      <c r="S91">
        <v>126.74402600000001</v>
      </c>
      <c r="T91">
        <v>128.187408</v>
      </c>
      <c r="U91">
        <v>129.96958900000001</v>
      </c>
      <c r="V91">
        <v>132.106415</v>
      </c>
      <c r="W91">
        <v>134.39553799999999</v>
      </c>
      <c r="X91">
        <v>136.99246199999999</v>
      </c>
      <c r="Y91">
        <v>139.50266999999999</v>
      </c>
      <c r="Z91">
        <v>142.11863700000001</v>
      </c>
      <c r="AA91">
        <v>144.81526199999999</v>
      </c>
      <c r="AB91">
        <v>147.582245</v>
      </c>
      <c r="AC91">
        <v>150.28645299999999</v>
      </c>
      <c r="AD91">
        <v>153.16430700000001</v>
      </c>
      <c r="AE91">
        <v>156.26412999999999</v>
      </c>
      <c r="AF91">
        <v>159.560318</v>
      </c>
      <c r="AG91">
        <v>163.027771</v>
      </c>
      <c r="AH91">
        <v>166.73127700000001</v>
      </c>
      <c r="AI91" s="22">
        <v>1.4999999999999999E-2</v>
      </c>
    </row>
    <row r="92" spans="1:35">
      <c r="A92" t="s">
        <v>212</v>
      </c>
      <c r="B92" t="s">
        <v>1411</v>
      </c>
      <c r="C92" t="s">
        <v>1412</v>
      </c>
      <c r="D92" t="s">
        <v>202</v>
      </c>
      <c r="F92">
        <v>97.788550999999998</v>
      </c>
      <c r="G92">
        <v>116.537071</v>
      </c>
      <c r="H92">
        <v>129.851135</v>
      </c>
      <c r="I92">
        <v>138.94378699999999</v>
      </c>
      <c r="J92">
        <v>146.62851000000001</v>
      </c>
      <c r="K92">
        <v>153.51113900000001</v>
      </c>
      <c r="L92">
        <v>156.930206</v>
      </c>
      <c r="M92">
        <v>160.421234</v>
      </c>
      <c r="N92">
        <v>163.97563199999999</v>
      </c>
      <c r="O92">
        <v>167.596069</v>
      </c>
      <c r="P92">
        <v>171.27801500000001</v>
      </c>
      <c r="Q92">
        <v>175.01597599999999</v>
      </c>
      <c r="R92">
        <v>178.81019599999999</v>
      </c>
      <c r="S92">
        <v>182.661438</v>
      </c>
      <c r="T92">
        <v>186.56987000000001</v>
      </c>
      <c r="U92">
        <v>190.536957</v>
      </c>
      <c r="V92">
        <v>194.563095</v>
      </c>
      <c r="W92">
        <v>198.65008499999999</v>
      </c>
      <c r="X92">
        <v>202.795197</v>
      </c>
      <c r="Y92">
        <v>207.00029000000001</v>
      </c>
      <c r="Z92">
        <v>211.267471</v>
      </c>
      <c r="AA92">
        <v>215.59639000000001</v>
      </c>
      <c r="AB92">
        <v>219.99505600000001</v>
      </c>
      <c r="AC92">
        <v>224.46772799999999</v>
      </c>
      <c r="AD92">
        <v>229.01632699999999</v>
      </c>
      <c r="AE92">
        <v>233.64376799999999</v>
      </c>
      <c r="AF92">
        <v>238.35256999999999</v>
      </c>
      <c r="AG92">
        <v>243.14686599999999</v>
      </c>
      <c r="AH92">
        <v>248.029572</v>
      </c>
      <c r="AI92" s="22">
        <v>3.4000000000000002E-2</v>
      </c>
    </row>
    <row r="93" spans="1:35">
      <c r="A93" t="s">
        <v>217</v>
      </c>
      <c r="B93" t="s">
        <v>1413</v>
      </c>
      <c r="C93" t="s">
        <v>1414</v>
      </c>
      <c r="D93" t="s">
        <v>202</v>
      </c>
      <c r="F93">
        <v>46.483733999999998</v>
      </c>
      <c r="G93">
        <v>52.576613999999999</v>
      </c>
      <c r="H93">
        <v>56.012763999999997</v>
      </c>
      <c r="I93">
        <v>58.483322000000001</v>
      </c>
      <c r="J93">
        <v>60.800694</v>
      </c>
      <c r="K93">
        <v>62.895470000000003</v>
      </c>
      <c r="L93">
        <v>64.119736000000003</v>
      </c>
      <c r="M93">
        <v>65.371596999999994</v>
      </c>
      <c r="N93">
        <v>66.645554000000004</v>
      </c>
      <c r="O93">
        <v>67.943336000000002</v>
      </c>
      <c r="P93">
        <v>69.261993000000004</v>
      </c>
      <c r="Q93">
        <v>70.597969000000006</v>
      </c>
      <c r="R93">
        <v>71.951194999999998</v>
      </c>
      <c r="S93">
        <v>73.321762000000007</v>
      </c>
      <c r="T93">
        <v>74.709625000000003</v>
      </c>
      <c r="U93">
        <v>76.115097000000006</v>
      </c>
      <c r="V93">
        <v>77.538216000000006</v>
      </c>
      <c r="W93">
        <v>78.979500000000002</v>
      </c>
      <c r="X93">
        <v>80.436768000000001</v>
      </c>
      <c r="Y93">
        <v>81.911124999999998</v>
      </c>
      <c r="Z93">
        <v>83.403251999999995</v>
      </c>
      <c r="AA93">
        <v>84.912941000000004</v>
      </c>
      <c r="AB93">
        <v>86.442954999999998</v>
      </c>
      <c r="AC93">
        <v>87.994750999999994</v>
      </c>
      <c r="AD93">
        <v>89.568877999999998</v>
      </c>
      <c r="AE93">
        <v>91.166283000000007</v>
      </c>
      <c r="AF93">
        <v>92.787719999999993</v>
      </c>
      <c r="AG93">
        <v>94.434532000000004</v>
      </c>
      <c r="AH93">
        <v>96.107642999999996</v>
      </c>
      <c r="AI93" s="22">
        <v>2.5999999999999999E-2</v>
      </c>
    </row>
    <row r="94" spans="1:35">
      <c r="A94" t="s">
        <v>218</v>
      </c>
      <c r="B94" t="s">
        <v>1415</v>
      </c>
      <c r="C94" t="s">
        <v>1416</v>
      </c>
      <c r="D94" t="s">
        <v>202</v>
      </c>
      <c r="F94">
        <v>44.320006999999997</v>
      </c>
      <c r="G94">
        <v>56.016773000000001</v>
      </c>
      <c r="H94">
        <v>65.242180000000005</v>
      </c>
      <c r="I94">
        <v>71.493279000000001</v>
      </c>
      <c r="J94">
        <v>76.510611999999995</v>
      </c>
      <c r="K94">
        <v>80.981887999999998</v>
      </c>
      <c r="L94">
        <v>82.990195999999997</v>
      </c>
      <c r="M94">
        <v>85.038689000000005</v>
      </c>
      <c r="N94">
        <v>87.125076000000007</v>
      </c>
      <c r="O94">
        <v>89.250031000000007</v>
      </c>
      <c r="P94">
        <v>91.412482999999995</v>
      </c>
      <c r="Q94">
        <v>93.610962000000001</v>
      </c>
      <c r="R94">
        <v>95.845900999999998</v>
      </c>
      <c r="S94">
        <v>98.117858999999996</v>
      </c>
      <c r="T94">
        <v>100.427132</v>
      </c>
      <c r="U94">
        <v>102.77475</v>
      </c>
      <c r="V94">
        <v>105.161118</v>
      </c>
      <c r="W94">
        <v>107.58744</v>
      </c>
      <c r="X94">
        <v>110.053513</v>
      </c>
      <c r="Y94">
        <v>112.55989099999999</v>
      </c>
      <c r="Z94">
        <v>115.107895</v>
      </c>
      <c r="AA94">
        <v>117.697464</v>
      </c>
      <c r="AB94">
        <v>120.33337400000001</v>
      </c>
      <c r="AC94">
        <v>123.01821099999999</v>
      </c>
      <c r="AD94">
        <v>125.753281</v>
      </c>
      <c r="AE94">
        <v>128.54042100000001</v>
      </c>
      <c r="AF94">
        <v>131.38125600000001</v>
      </c>
      <c r="AG94">
        <v>134.27836600000001</v>
      </c>
      <c r="AH94">
        <v>137.233643</v>
      </c>
      <c r="AI94" s="22">
        <v>4.1000000000000002E-2</v>
      </c>
    </row>
    <row r="95" spans="1:35">
      <c r="A95" t="s">
        <v>219</v>
      </c>
      <c r="B95" t="s">
        <v>1417</v>
      </c>
      <c r="C95" t="s">
        <v>1418</v>
      </c>
      <c r="D95" t="s">
        <v>202</v>
      </c>
      <c r="F95">
        <v>6.9848179999999997</v>
      </c>
      <c r="G95">
        <v>7.9436809999999998</v>
      </c>
      <c r="H95">
        <v>8.5961859999999994</v>
      </c>
      <c r="I95">
        <v>8.9671769999999995</v>
      </c>
      <c r="J95">
        <v>9.3172130000000006</v>
      </c>
      <c r="K95">
        <v>9.6337810000000008</v>
      </c>
      <c r="L95">
        <v>9.8202590000000001</v>
      </c>
      <c r="M95">
        <v>10.010951</v>
      </c>
      <c r="N95">
        <v>10.205007999999999</v>
      </c>
      <c r="O95">
        <v>10.402691000000001</v>
      </c>
      <c r="P95">
        <v>10.603547000000001</v>
      </c>
      <c r="Q95">
        <v>10.807024</v>
      </c>
      <c r="R95">
        <v>11.013108000000001</v>
      </c>
      <c r="S95">
        <v>11.221814</v>
      </c>
      <c r="T95">
        <v>11.433130999999999</v>
      </c>
      <c r="U95">
        <v>11.647105</v>
      </c>
      <c r="V95">
        <v>11.863749</v>
      </c>
      <c r="W95">
        <v>12.083130000000001</v>
      </c>
      <c r="X95">
        <v>12.304914999999999</v>
      </c>
      <c r="Y95">
        <v>12.529273999999999</v>
      </c>
      <c r="Z95">
        <v>12.756309</v>
      </c>
      <c r="AA95">
        <v>12.985987</v>
      </c>
      <c r="AB95">
        <v>13.218731</v>
      </c>
      <c r="AC95">
        <v>13.45476</v>
      </c>
      <c r="AD95">
        <v>13.694159000000001</v>
      </c>
      <c r="AE95">
        <v>13.937068</v>
      </c>
      <c r="AF95">
        <v>14.183602</v>
      </c>
      <c r="AG95">
        <v>14.433968999999999</v>
      </c>
      <c r="AH95">
        <v>14.688302999999999</v>
      </c>
      <c r="AI95" s="22">
        <v>2.7E-2</v>
      </c>
    </row>
    <row r="96" spans="1:35">
      <c r="A96" t="s">
        <v>1256</v>
      </c>
      <c r="B96" t="s">
        <v>1419</v>
      </c>
      <c r="C96" t="s">
        <v>1420</v>
      </c>
      <c r="D96" t="s">
        <v>202</v>
      </c>
      <c r="F96">
        <v>99.841224999999994</v>
      </c>
      <c r="G96">
        <v>121.38716100000001</v>
      </c>
      <c r="H96">
        <v>140.14009100000001</v>
      </c>
      <c r="I96">
        <v>151.262756</v>
      </c>
      <c r="J96">
        <v>161.67996199999999</v>
      </c>
      <c r="K96">
        <v>169.41802999999999</v>
      </c>
      <c r="L96">
        <v>176.163284</v>
      </c>
      <c r="M96">
        <v>182.32843</v>
      </c>
      <c r="N96">
        <v>188.683502</v>
      </c>
      <c r="O96">
        <v>195.21624800000001</v>
      </c>
      <c r="P96">
        <v>201.96676600000001</v>
      </c>
      <c r="Q96">
        <v>208.904144</v>
      </c>
      <c r="R96">
        <v>216.03270000000001</v>
      </c>
      <c r="S96">
        <v>223.35351600000001</v>
      </c>
      <c r="T96">
        <v>230.84750399999999</v>
      </c>
      <c r="U96">
        <v>238.536697</v>
      </c>
      <c r="V96">
        <v>246.42671200000001</v>
      </c>
      <c r="W96">
        <v>254.52114900000001</v>
      </c>
      <c r="X96">
        <v>262.81677200000001</v>
      </c>
      <c r="Y96">
        <v>271.26284800000002</v>
      </c>
      <c r="Z96">
        <v>279.914154</v>
      </c>
      <c r="AA96">
        <v>288.77542099999999</v>
      </c>
      <c r="AB96">
        <v>297.85025000000002</v>
      </c>
      <c r="AC96">
        <v>307.14016700000002</v>
      </c>
      <c r="AD96">
        <v>316.583099</v>
      </c>
      <c r="AE96">
        <v>326.23324600000001</v>
      </c>
      <c r="AF96">
        <v>336.11285400000003</v>
      </c>
      <c r="AG96">
        <v>346.24740600000001</v>
      </c>
      <c r="AH96">
        <v>356.65838600000001</v>
      </c>
      <c r="AI96" s="22">
        <v>4.7E-2</v>
      </c>
    </row>
    <row r="97" spans="1:35">
      <c r="A97" t="s">
        <v>217</v>
      </c>
      <c r="B97" t="s">
        <v>1421</v>
      </c>
      <c r="C97" t="s">
        <v>1422</v>
      </c>
      <c r="D97" t="s">
        <v>202</v>
      </c>
      <c r="F97">
        <v>69.764510999999999</v>
      </c>
      <c r="G97">
        <v>84.004554999999996</v>
      </c>
      <c r="H97">
        <v>96.466919000000004</v>
      </c>
      <c r="I97">
        <v>103.140091</v>
      </c>
      <c r="J97">
        <v>109.625092</v>
      </c>
      <c r="K97">
        <v>114.665237</v>
      </c>
      <c r="L97">
        <v>119.181656</v>
      </c>
      <c r="M97">
        <v>123.406693</v>
      </c>
      <c r="N97">
        <v>127.766006</v>
      </c>
      <c r="O97">
        <v>132.25155599999999</v>
      </c>
      <c r="P97">
        <v>136.891357</v>
      </c>
      <c r="Q97">
        <v>141.66313199999999</v>
      </c>
      <c r="R97">
        <v>146.57012900000001</v>
      </c>
      <c r="S97">
        <v>151.61326600000001</v>
      </c>
      <c r="T97">
        <v>156.778717</v>
      </c>
      <c r="U97">
        <v>162.08247399999999</v>
      </c>
      <c r="V97">
        <v>167.52858000000001</v>
      </c>
      <c r="W97">
        <v>173.11968999999999</v>
      </c>
      <c r="X97">
        <v>178.852982</v>
      </c>
      <c r="Y97">
        <v>184.691833</v>
      </c>
      <c r="Z97">
        <v>190.676163</v>
      </c>
      <c r="AA97">
        <v>196.80931100000001</v>
      </c>
      <c r="AB97">
        <v>203.09402499999999</v>
      </c>
      <c r="AC97">
        <v>209.53149400000001</v>
      </c>
      <c r="AD97">
        <v>216.077438</v>
      </c>
      <c r="AE97">
        <v>222.77117899999999</v>
      </c>
      <c r="AF97">
        <v>229.627655</v>
      </c>
      <c r="AG97">
        <v>236.664062</v>
      </c>
      <c r="AH97">
        <v>243.894913</v>
      </c>
      <c r="AI97" s="22">
        <v>4.5999999999999999E-2</v>
      </c>
    </row>
    <row r="98" spans="1:35">
      <c r="A98" t="s">
        <v>218</v>
      </c>
      <c r="B98" t="s">
        <v>1423</v>
      </c>
      <c r="C98" t="s">
        <v>1424</v>
      </c>
      <c r="D98" t="s">
        <v>202</v>
      </c>
      <c r="F98">
        <v>22.082386</v>
      </c>
      <c r="G98">
        <v>27.943691000000001</v>
      </c>
      <c r="H98">
        <v>32.981406999999997</v>
      </c>
      <c r="I98">
        <v>36.874682999999997</v>
      </c>
      <c r="J98">
        <v>40.216048999999998</v>
      </c>
      <c r="K98">
        <v>42.408810000000003</v>
      </c>
      <c r="L98">
        <v>44.160705999999998</v>
      </c>
      <c r="M98">
        <v>45.636051000000002</v>
      </c>
      <c r="N98">
        <v>47.151519999999998</v>
      </c>
      <c r="O98">
        <v>48.703654999999998</v>
      </c>
      <c r="P98">
        <v>50.301430000000003</v>
      </c>
      <c r="Q98">
        <v>51.938842999999999</v>
      </c>
      <c r="R98">
        <v>53.616570000000003</v>
      </c>
      <c r="S98">
        <v>55.334595</v>
      </c>
      <c r="T98">
        <v>57.089325000000002</v>
      </c>
      <c r="U98">
        <v>58.884922000000003</v>
      </c>
      <c r="V98">
        <v>60.722434999999997</v>
      </c>
      <c r="W98">
        <v>62.602508999999998</v>
      </c>
      <c r="X98">
        <v>64.525108000000003</v>
      </c>
      <c r="Y98">
        <v>66.480514999999997</v>
      </c>
      <c r="Z98">
        <v>68.478851000000006</v>
      </c>
      <c r="AA98">
        <v>70.520927</v>
      </c>
      <c r="AB98">
        <v>72.607429999999994</v>
      </c>
      <c r="AC98">
        <v>74.738403000000005</v>
      </c>
      <c r="AD98">
        <v>76.901359999999997</v>
      </c>
      <c r="AE98">
        <v>79.106399999999994</v>
      </c>
      <c r="AF98">
        <v>81.359183999999999</v>
      </c>
      <c r="AG98">
        <v>83.666259999999994</v>
      </c>
      <c r="AH98">
        <v>86.032966999999999</v>
      </c>
      <c r="AI98" s="22">
        <v>0.05</v>
      </c>
    </row>
    <row r="99" spans="1:35">
      <c r="A99" t="s">
        <v>219</v>
      </c>
      <c r="B99" t="s">
        <v>1425</v>
      </c>
      <c r="C99" t="s">
        <v>1426</v>
      </c>
      <c r="D99" t="s">
        <v>202</v>
      </c>
      <c r="F99">
        <v>7.9943369999999998</v>
      </c>
      <c r="G99">
        <v>9.4389260000000004</v>
      </c>
      <c r="H99">
        <v>10.691757000000001</v>
      </c>
      <c r="I99">
        <v>11.247966999999999</v>
      </c>
      <c r="J99">
        <v>11.838803</v>
      </c>
      <c r="K99">
        <v>12.343989000000001</v>
      </c>
      <c r="L99">
        <v>12.820919</v>
      </c>
      <c r="M99">
        <v>13.285686999999999</v>
      </c>
      <c r="N99">
        <v>13.765993</v>
      </c>
      <c r="O99">
        <v>14.261029000000001</v>
      </c>
      <c r="P99">
        <v>14.773972000000001</v>
      </c>
      <c r="Q99">
        <v>15.302161999999999</v>
      </c>
      <c r="R99">
        <v>15.846017</v>
      </c>
      <c r="S99">
        <v>16.405667999999999</v>
      </c>
      <c r="T99">
        <v>16.97946</v>
      </c>
      <c r="U99">
        <v>17.569309000000001</v>
      </c>
      <c r="V99">
        <v>18.175705000000001</v>
      </c>
      <c r="W99">
        <v>18.798973</v>
      </c>
      <c r="X99">
        <v>19.438686000000001</v>
      </c>
      <c r="Y99">
        <v>20.090475000000001</v>
      </c>
      <c r="Z99">
        <v>20.759160999999999</v>
      </c>
      <c r="AA99">
        <v>21.445156000000001</v>
      </c>
      <c r="AB99">
        <v>22.148788</v>
      </c>
      <c r="AC99">
        <v>22.870235000000001</v>
      </c>
      <c r="AD99">
        <v>23.604284</v>
      </c>
      <c r="AE99">
        <v>24.355677</v>
      </c>
      <c r="AF99">
        <v>25.126003000000001</v>
      </c>
      <c r="AG99">
        <v>25.917096999999998</v>
      </c>
      <c r="AH99">
        <v>26.730518</v>
      </c>
      <c r="AI99" s="22">
        <v>4.3999999999999997E-2</v>
      </c>
    </row>
    <row r="100" spans="1:35">
      <c r="A100" t="s">
        <v>1259</v>
      </c>
      <c r="B100" t="s">
        <v>1427</v>
      </c>
      <c r="C100" t="s">
        <v>1428</v>
      </c>
      <c r="D100" t="s">
        <v>202</v>
      </c>
      <c r="F100">
        <v>877.59985400000005</v>
      </c>
      <c r="G100">
        <v>1119.4864500000001</v>
      </c>
      <c r="H100">
        <v>1274.9530030000001</v>
      </c>
      <c r="I100">
        <v>1333.865112</v>
      </c>
      <c r="J100">
        <v>1422.423706</v>
      </c>
      <c r="K100">
        <v>1452.9285890000001</v>
      </c>
      <c r="L100">
        <v>1483.7619629999999</v>
      </c>
      <c r="M100">
        <v>1515.0489500000001</v>
      </c>
      <c r="N100">
        <v>1546.865112</v>
      </c>
      <c r="O100">
        <v>1579.2467039999999</v>
      </c>
      <c r="P100">
        <v>1612.2222899999999</v>
      </c>
      <c r="Q100">
        <v>1645.8079829999999</v>
      </c>
      <c r="R100">
        <v>1679.958496</v>
      </c>
      <c r="S100">
        <v>1714.6062010000001</v>
      </c>
      <c r="T100">
        <v>1749.828857</v>
      </c>
      <c r="U100">
        <v>1785.697144</v>
      </c>
      <c r="V100">
        <v>1822.179932</v>
      </c>
      <c r="W100">
        <v>1859.2739260000001</v>
      </c>
      <c r="X100">
        <v>1897.0032960000001</v>
      </c>
      <c r="Y100">
        <v>1935.334351</v>
      </c>
      <c r="Z100">
        <v>1974.259033</v>
      </c>
      <c r="AA100">
        <v>2013.7669679999999</v>
      </c>
      <c r="AB100">
        <v>2053.8469239999999</v>
      </c>
      <c r="AC100">
        <v>2094.4934079999998</v>
      </c>
      <c r="AD100">
        <v>2135.6967770000001</v>
      </c>
      <c r="AE100">
        <v>2177.4594729999999</v>
      </c>
      <c r="AF100">
        <v>2219.830078</v>
      </c>
      <c r="AG100">
        <v>2262.873047</v>
      </c>
      <c r="AH100">
        <v>2306.6342770000001</v>
      </c>
      <c r="AI100" s="22">
        <v>3.5000000000000003E-2</v>
      </c>
    </row>
    <row r="101" spans="1:35">
      <c r="A101" t="s">
        <v>217</v>
      </c>
      <c r="B101" t="s">
        <v>1429</v>
      </c>
      <c r="C101" t="s">
        <v>1430</v>
      </c>
      <c r="D101" t="s">
        <v>202</v>
      </c>
      <c r="F101">
        <v>457.99380500000001</v>
      </c>
      <c r="G101">
        <v>580.28509499999996</v>
      </c>
      <c r="H101">
        <v>654.986267</v>
      </c>
      <c r="I101">
        <v>680.76531999999997</v>
      </c>
      <c r="J101">
        <v>711.43078600000001</v>
      </c>
      <c r="K101">
        <v>727.30053699999996</v>
      </c>
      <c r="L101">
        <v>743.324524</v>
      </c>
      <c r="M101">
        <v>759.58312999999998</v>
      </c>
      <c r="N101">
        <v>776.12072799999999</v>
      </c>
      <c r="O101">
        <v>792.95568800000001</v>
      </c>
      <c r="P101">
        <v>810.10845900000004</v>
      </c>
      <c r="Q101">
        <v>827.59625200000005</v>
      </c>
      <c r="R101">
        <v>845.394409</v>
      </c>
      <c r="S101">
        <v>863.46362299999998</v>
      </c>
      <c r="T101">
        <v>881.85449200000005</v>
      </c>
      <c r="U101">
        <v>900.60906999999997</v>
      </c>
      <c r="V101">
        <v>919.70696999999996</v>
      </c>
      <c r="W101">
        <v>939.14758300000005</v>
      </c>
      <c r="X101">
        <v>958.95074499999998</v>
      </c>
      <c r="Y101">
        <v>979.09222399999999</v>
      </c>
      <c r="Z101">
        <v>999.56774900000005</v>
      </c>
      <c r="AA101">
        <v>1020.372314</v>
      </c>
      <c r="AB101">
        <v>1041.499268</v>
      </c>
      <c r="AC101">
        <v>1062.9472659999999</v>
      </c>
      <c r="AD101">
        <v>1084.717163</v>
      </c>
      <c r="AE101">
        <v>1106.8122559999999</v>
      </c>
      <c r="AF101">
        <v>1129.258789</v>
      </c>
      <c r="AG101">
        <v>1152.091797</v>
      </c>
      <c r="AH101">
        <v>1175.3342290000001</v>
      </c>
      <c r="AI101" s="22">
        <v>3.4000000000000002E-2</v>
      </c>
    </row>
    <row r="102" spans="1:35">
      <c r="A102" t="s">
        <v>218</v>
      </c>
      <c r="B102" t="s">
        <v>1431</v>
      </c>
      <c r="C102" t="s">
        <v>1432</v>
      </c>
      <c r="D102" t="s">
        <v>202</v>
      </c>
      <c r="F102">
        <v>384.73519900000002</v>
      </c>
      <c r="G102">
        <v>494.32092299999999</v>
      </c>
      <c r="H102">
        <v>568.28112799999997</v>
      </c>
      <c r="I102">
        <v>599.45251499999995</v>
      </c>
      <c r="J102">
        <v>655.16479500000003</v>
      </c>
      <c r="K102">
        <v>668.54449499999998</v>
      </c>
      <c r="L102">
        <v>682.08648700000003</v>
      </c>
      <c r="M102">
        <v>695.82885699999997</v>
      </c>
      <c r="N102">
        <v>709.79925500000002</v>
      </c>
      <c r="O102">
        <v>724.01422100000002</v>
      </c>
      <c r="P102">
        <v>738.48004200000003</v>
      </c>
      <c r="Q102">
        <v>753.19427499999995</v>
      </c>
      <c r="R102">
        <v>768.13793899999996</v>
      </c>
      <c r="S102">
        <v>783.28631600000006</v>
      </c>
      <c r="T102">
        <v>798.66192599999999</v>
      </c>
      <c r="U102">
        <v>814.29058799999996</v>
      </c>
      <c r="V102">
        <v>830.162598</v>
      </c>
      <c r="W102">
        <v>846.27569600000004</v>
      </c>
      <c r="X102">
        <v>862.63250700000003</v>
      </c>
      <c r="Y102">
        <v>879.22540300000003</v>
      </c>
      <c r="Z102">
        <v>896.05114700000001</v>
      </c>
      <c r="AA102">
        <v>913.104736</v>
      </c>
      <c r="AB102">
        <v>930.38195800000005</v>
      </c>
      <c r="AC102">
        <v>947.878601</v>
      </c>
      <c r="AD102">
        <v>965.584473</v>
      </c>
      <c r="AE102">
        <v>983.49823000000004</v>
      </c>
      <c r="AF102">
        <v>1001.6401980000001</v>
      </c>
      <c r="AG102">
        <v>1020.036865</v>
      </c>
      <c r="AH102">
        <v>1038.7089840000001</v>
      </c>
      <c r="AI102" s="22">
        <v>3.5999999999999997E-2</v>
      </c>
    </row>
    <row r="103" spans="1:35">
      <c r="A103" t="s">
        <v>219</v>
      </c>
      <c r="B103" t="s">
        <v>1433</v>
      </c>
      <c r="C103" t="s">
        <v>1434</v>
      </c>
      <c r="D103" t="s">
        <v>202</v>
      </c>
      <c r="F103">
        <v>34.870902999999998</v>
      </c>
      <c r="G103">
        <v>44.880547</v>
      </c>
      <c r="H103">
        <v>51.685589</v>
      </c>
      <c r="I103">
        <v>53.647475999999997</v>
      </c>
      <c r="J103">
        <v>55.828116999999999</v>
      </c>
      <c r="K103">
        <v>57.083621999999998</v>
      </c>
      <c r="L103">
        <v>58.351047999999999</v>
      </c>
      <c r="M103">
        <v>59.637023999999997</v>
      </c>
      <c r="N103">
        <v>60.945126000000002</v>
      </c>
      <c r="O103">
        <v>62.276809999999998</v>
      </c>
      <c r="P103">
        <v>63.633769999999998</v>
      </c>
      <c r="Q103">
        <v>65.017516999999998</v>
      </c>
      <c r="R103">
        <v>66.426085999999998</v>
      </c>
      <c r="S103">
        <v>67.856292999999994</v>
      </c>
      <c r="T103">
        <v>69.312302000000003</v>
      </c>
      <c r="U103">
        <v>70.797531000000006</v>
      </c>
      <c r="V103">
        <v>72.310294999999996</v>
      </c>
      <c r="W103">
        <v>73.850562999999994</v>
      </c>
      <c r="X103">
        <v>75.420029</v>
      </c>
      <c r="Y103">
        <v>77.016670000000005</v>
      </c>
      <c r="Z103">
        <v>78.640129000000002</v>
      </c>
      <c r="AA103">
        <v>80.290030999999999</v>
      </c>
      <c r="AB103">
        <v>81.965835999999996</v>
      </c>
      <c r="AC103">
        <v>83.667450000000002</v>
      </c>
      <c r="AD103">
        <v>85.395065000000002</v>
      </c>
      <c r="AE103">
        <v>87.148910999999998</v>
      </c>
      <c r="AF103">
        <v>88.931160000000006</v>
      </c>
      <c r="AG103">
        <v>90.744545000000002</v>
      </c>
      <c r="AH103">
        <v>92.590896999999998</v>
      </c>
      <c r="AI103" s="22">
        <v>3.5000000000000003E-2</v>
      </c>
    </row>
    <row r="104" spans="1:35">
      <c r="A104" t="s">
        <v>1262</v>
      </c>
      <c r="B104" t="s">
        <v>1435</v>
      </c>
      <c r="C104" t="s">
        <v>1436</v>
      </c>
      <c r="D104" t="s">
        <v>202</v>
      </c>
      <c r="F104">
        <v>101.69902</v>
      </c>
      <c r="G104">
        <v>148.23710600000001</v>
      </c>
      <c r="H104">
        <v>171.55920399999999</v>
      </c>
      <c r="I104">
        <v>184.58833300000001</v>
      </c>
      <c r="J104">
        <v>200.47425799999999</v>
      </c>
      <c r="K104">
        <v>210.807739</v>
      </c>
      <c r="L104">
        <v>220.13314800000001</v>
      </c>
      <c r="M104">
        <v>221.292801</v>
      </c>
      <c r="N104">
        <v>222.20796200000001</v>
      </c>
      <c r="O104">
        <v>222.935303</v>
      </c>
      <c r="P104">
        <v>223.57605000000001</v>
      </c>
      <c r="Q104">
        <v>224.21723900000001</v>
      </c>
      <c r="R104">
        <v>224.86488299999999</v>
      </c>
      <c r="S104">
        <v>225.51828</v>
      </c>
      <c r="T104">
        <v>226.176514</v>
      </c>
      <c r="U104">
        <v>226.83900499999999</v>
      </c>
      <c r="V104">
        <v>227.50564600000001</v>
      </c>
      <c r="W104">
        <v>228.174622</v>
      </c>
      <c r="X104">
        <v>228.840012</v>
      </c>
      <c r="Y104">
        <v>229.505966</v>
      </c>
      <c r="Z104">
        <v>230.17013499999999</v>
      </c>
      <c r="AA104">
        <v>230.83374000000001</v>
      </c>
      <c r="AB104">
        <v>231.507385</v>
      </c>
      <c r="AC104">
        <v>232.219131</v>
      </c>
      <c r="AD104">
        <v>232.98898299999999</v>
      </c>
      <c r="AE104">
        <v>233.82221999999999</v>
      </c>
      <c r="AF104">
        <v>234.71961999999999</v>
      </c>
      <c r="AG104">
        <v>235.681839</v>
      </c>
      <c r="AH104">
        <v>236.708923</v>
      </c>
      <c r="AI104" s="22">
        <v>3.1E-2</v>
      </c>
    </row>
    <row r="105" spans="1:35">
      <c r="A105" t="s">
        <v>217</v>
      </c>
      <c r="B105" t="s">
        <v>1437</v>
      </c>
      <c r="C105" t="s">
        <v>1438</v>
      </c>
      <c r="D105" t="s">
        <v>202</v>
      </c>
      <c r="F105">
        <v>50.248626999999999</v>
      </c>
      <c r="G105">
        <v>73.327492000000007</v>
      </c>
      <c r="H105">
        <v>80.386336999999997</v>
      </c>
      <c r="I105">
        <v>83.712601000000006</v>
      </c>
      <c r="J105">
        <v>86.558563000000007</v>
      </c>
      <c r="K105">
        <v>88.524124</v>
      </c>
      <c r="L105">
        <v>90.305572999999995</v>
      </c>
      <c r="M105">
        <v>90.819534000000004</v>
      </c>
      <c r="N105">
        <v>91.274376000000004</v>
      </c>
      <c r="O105">
        <v>91.683593999999999</v>
      </c>
      <c r="P105">
        <v>92.070815999999994</v>
      </c>
      <c r="Q105">
        <v>92.456360000000004</v>
      </c>
      <c r="R105">
        <v>92.842277999999993</v>
      </c>
      <c r="S105">
        <v>93.228309999999993</v>
      </c>
      <c r="T105">
        <v>93.614204000000001</v>
      </c>
      <c r="U105">
        <v>94.000174999999999</v>
      </c>
      <c r="V105">
        <v>94.386238000000006</v>
      </c>
      <c r="W105">
        <v>94.772171</v>
      </c>
      <c r="X105">
        <v>95.154160000000005</v>
      </c>
      <c r="Y105">
        <v>95.535126000000005</v>
      </c>
      <c r="Z105">
        <v>95.914664999999999</v>
      </c>
      <c r="AA105">
        <v>96.293319999999994</v>
      </c>
      <c r="AB105">
        <v>96.674294000000003</v>
      </c>
      <c r="AC105">
        <v>97.063903999999994</v>
      </c>
      <c r="AD105">
        <v>97.467574999999997</v>
      </c>
      <c r="AE105">
        <v>97.886573999999996</v>
      </c>
      <c r="AF105">
        <v>98.320922999999993</v>
      </c>
      <c r="AG105">
        <v>98.770683000000005</v>
      </c>
      <c r="AH105">
        <v>99.235695000000007</v>
      </c>
      <c r="AI105" s="22">
        <v>2.5000000000000001E-2</v>
      </c>
    </row>
    <row r="106" spans="1:35">
      <c r="A106" t="s">
        <v>218</v>
      </c>
      <c r="B106" t="s">
        <v>1439</v>
      </c>
      <c r="C106" t="s">
        <v>1440</v>
      </c>
      <c r="D106" t="s">
        <v>202</v>
      </c>
      <c r="F106">
        <v>45.078837999999998</v>
      </c>
      <c r="G106">
        <v>65.604156000000003</v>
      </c>
      <c r="H106">
        <v>81.211539999999999</v>
      </c>
      <c r="I106">
        <v>90.667961000000005</v>
      </c>
      <c r="J106">
        <v>103.62951700000001</v>
      </c>
      <c r="K106">
        <v>111.925438</v>
      </c>
      <c r="L106">
        <v>119.40303</v>
      </c>
      <c r="M106">
        <v>119.986786</v>
      </c>
      <c r="N106">
        <v>120.389191</v>
      </c>
      <c r="O106">
        <v>120.652519</v>
      </c>
      <c r="P106">
        <v>120.852875</v>
      </c>
      <c r="Q106">
        <v>121.055656</v>
      </c>
      <c r="R106">
        <v>121.264656</v>
      </c>
      <c r="S106">
        <v>121.479401</v>
      </c>
      <c r="T106">
        <v>121.69931</v>
      </c>
      <c r="U106">
        <v>121.9235</v>
      </c>
      <c r="V106">
        <v>122.151825</v>
      </c>
      <c r="W106">
        <v>122.382729</v>
      </c>
      <c r="X106">
        <v>122.61462400000001</v>
      </c>
      <c r="Y106">
        <v>122.848282</v>
      </c>
      <c r="Z106">
        <v>123.08181</v>
      </c>
      <c r="AA106">
        <v>123.315765</v>
      </c>
      <c r="AB106">
        <v>123.557365</v>
      </c>
      <c r="AC106">
        <v>123.82785</v>
      </c>
      <c r="AD106">
        <v>124.141457</v>
      </c>
      <c r="AE106">
        <v>124.50206799999999</v>
      </c>
      <c r="AF106">
        <v>124.910492</v>
      </c>
      <c r="AG106">
        <v>125.36726400000001</v>
      </c>
      <c r="AH106">
        <v>125.872688</v>
      </c>
      <c r="AI106" s="22">
        <v>3.6999999999999998E-2</v>
      </c>
    </row>
    <row r="107" spans="1:35">
      <c r="A107" t="s">
        <v>219</v>
      </c>
      <c r="B107" t="s">
        <v>1441</v>
      </c>
      <c r="C107" t="s">
        <v>1442</v>
      </c>
      <c r="D107" t="s">
        <v>202</v>
      </c>
      <c r="F107">
        <v>6.3715529999999996</v>
      </c>
      <c r="G107">
        <v>9.3054469999999991</v>
      </c>
      <c r="H107">
        <v>9.9613259999999997</v>
      </c>
      <c r="I107">
        <v>10.207762000000001</v>
      </c>
      <c r="J107">
        <v>10.286180999999999</v>
      </c>
      <c r="K107">
        <v>10.358179</v>
      </c>
      <c r="L107">
        <v>10.424552</v>
      </c>
      <c r="M107">
        <v>10.486485999999999</v>
      </c>
      <c r="N107">
        <v>10.544403000000001</v>
      </c>
      <c r="O107">
        <v>10.599194000000001</v>
      </c>
      <c r="P107">
        <v>10.652366000000001</v>
      </c>
      <c r="Q107">
        <v>10.705219</v>
      </c>
      <c r="R107">
        <v>10.757960000000001</v>
      </c>
      <c r="S107">
        <v>10.810561</v>
      </c>
      <c r="T107">
        <v>10.863001000000001</v>
      </c>
      <c r="U107">
        <v>10.915336</v>
      </c>
      <c r="V107">
        <v>10.967572000000001</v>
      </c>
      <c r="W107">
        <v>11.019721000000001</v>
      </c>
      <c r="X107">
        <v>11.071241000000001</v>
      </c>
      <c r="Y107">
        <v>11.122562</v>
      </c>
      <c r="Z107">
        <v>11.17367</v>
      </c>
      <c r="AA107">
        <v>11.224634</v>
      </c>
      <c r="AB107">
        <v>11.275739</v>
      </c>
      <c r="AC107">
        <v>11.327367000000001</v>
      </c>
      <c r="AD107">
        <v>11.379951</v>
      </c>
      <c r="AE107">
        <v>11.433577</v>
      </c>
      <c r="AF107">
        <v>11.488227</v>
      </c>
      <c r="AG107">
        <v>11.543894</v>
      </c>
      <c r="AH107">
        <v>11.600548</v>
      </c>
      <c r="AI107" s="22">
        <v>2.1999999999999999E-2</v>
      </c>
    </row>
    <row r="108" spans="1:35">
      <c r="A108" t="s">
        <v>1265</v>
      </c>
      <c r="B108" t="s">
        <v>1443</v>
      </c>
      <c r="C108" t="s">
        <v>1444</v>
      </c>
      <c r="D108" t="s">
        <v>202</v>
      </c>
      <c r="F108">
        <v>83.549149</v>
      </c>
      <c r="G108">
        <v>121.20388</v>
      </c>
      <c r="H108">
        <v>149.299881</v>
      </c>
      <c r="I108">
        <v>168.68980400000001</v>
      </c>
      <c r="J108">
        <v>185.26075700000001</v>
      </c>
      <c r="K108">
        <v>196.63462799999999</v>
      </c>
      <c r="L108">
        <v>207.11045799999999</v>
      </c>
      <c r="M108">
        <v>213.33717300000001</v>
      </c>
      <c r="N108">
        <v>219.69072</v>
      </c>
      <c r="O108">
        <v>226.14747600000001</v>
      </c>
      <c r="P108">
        <v>232.66215500000001</v>
      </c>
      <c r="Q108">
        <v>239.25929300000001</v>
      </c>
      <c r="R108">
        <v>245.94813500000001</v>
      </c>
      <c r="S108">
        <v>252.61059599999999</v>
      </c>
      <c r="T108">
        <v>259.33639499999998</v>
      </c>
      <c r="U108">
        <v>266.22772200000003</v>
      </c>
      <c r="V108">
        <v>273.25830100000002</v>
      </c>
      <c r="W108">
        <v>280.35229500000003</v>
      </c>
      <c r="X108">
        <v>287.51351899999997</v>
      </c>
      <c r="Y108">
        <v>294.79525799999999</v>
      </c>
      <c r="Z108">
        <v>302.209137</v>
      </c>
      <c r="AA108">
        <v>309.75473</v>
      </c>
      <c r="AB108">
        <v>317.43218999999999</v>
      </c>
      <c r="AC108">
        <v>325.23773199999999</v>
      </c>
      <c r="AD108">
        <v>333.16507000000001</v>
      </c>
      <c r="AE108">
        <v>341.21582000000001</v>
      </c>
      <c r="AF108">
        <v>349.41198700000001</v>
      </c>
      <c r="AG108">
        <v>357.75805700000001</v>
      </c>
      <c r="AH108">
        <v>366.25451700000002</v>
      </c>
      <c r="AI108" s="22">
        <v>5.3999999999999999E-2</v>
      </c>
    </row>
    <row r="109" spans="1:35">
      <c r="A109" t="s">
        <v>217</v>
      </c>
      <c r="B109" t="s">
        <v>1445</v>
      </c>
      <c r="C109" t="s">
        <v>1446</v>
      </c>
      <c r="D109" t="s">
        <v>202</v>
      </c>
      <c r="F109">
        <v>36.610782999999998</v>
      </c>
      <c r="G109">
        <v>49.266624</v>
      </c>
      <c r="H109">
        <v>55.787475999999998</v>
      </c>
      <c r="I109">
        <v>59.812798000000001</v>
      </c>
      <c r="J109">
        <v>62.062618000000001</v>
      </c>
      <c r="K109">
        <v>64.106048999999999</v>
      </c>
      <c r="L109">
        <v>66.122321999999997</v>
      </c>
      <c r="M109">
        <v>67.978454999999997</v>
      </c>
      <c r="N109">
        <v>69.866577000000007</v>
      </c>
      <c r="O109">
        <v>71.771736000000004</v>
      </c>
      <c r="P109">
        <v>73.667175</v>
      </c>
      <c r="Q109">
        <v>75.565291999999999</v>
      </c>
      <c r="R109">
        <v>77.469703999999993</v>
      </c>
      <c r="S109">
        <v>79.310828999999998</v>
      </c>
      <c r="T109">
        <v>81.138930999999999</v>
      </c>
      <c r="U109">
        <v>83.011398</v>
      </c>
      <c r="V109">
        <v>84.911300999999995</v>
      </c>
      <c r="W109">
        <v>86.794128000000001</v>
      </c>
      <c r="X109">
        <v>88.660561000000001</v>
      </c>
      <c r="Y109">
        <v>90.540947000000003</v>
      </c>
      <c r="Z109">
        <v>92.441147000000001</v>
      </c>
      <c r="AA109">
        <v>94.360625999999996</v>
      </c>
      <c r="AB109">
        <v>96.298569000000001</v>
      </c>
      <c r="AC109">
        <v>98.252655000000004</v>
      </c>
      <c r="AD109">
        <v>100.218834</v>
      </c>
      <c r="AE109">
        <v>102.197517</v>
      </c>
      <c r="AF109">
        <v>104.200531</v>
      </c>
      <c r="AG109">
        <v>106.229347</v>
      </c>
      <c r="AH109">
        <v>108.28325700000001</v>
      </c>
      <c r="AI109" s="22">
        <v>3.9E-2</v>
      </c>
    </row>
    <row r="110" spans="1:35">
      <c r="A110" t="s">
        <v>218</v>
      </c>
      <c r="B110" t="s">
        <v>1447</v>
      </c>
      <c r="C110" t="s">
        <v>1448</v>
      </c>
      <c r="D110" t="s">
        <v>202</v>
      </c>
      <c r="F110">
        <v>42.035438999999997</v>
      </c>
      <c r="G110">
        <v>65.305633999999998</v>
      </c>
      <c r="H110">
        <v>85.952704999999995</v>
      </c>
      <c r="I110">
        <v>100.826874</v>
      </c>
      <c r="J110">
        <v>114.9105</v>
      </c>
      <c r="K110">
        <v>124.001762</v>
      </c>
      <c r="L110">
        <v>132.22051999999999</v>
      </c>
      <c r="M110">
        <v>136.34762599999999</v>
      </c>
      <c r="N110">
        <v>140.56552099999999</v>
      </c>
      <c r="O110">
        <v>144.867615</v>
      </c>
      <c r="P110">
        <v>149.23921200000001</v>
      </c>
      <c r="Q110">
        <v>153.69073499999999</v>
      </c>
      <c r="R110">
        <v>158.22726399999999</v>
      </c>
      <c r="S110">
        <v>162.81016500000001</v>
      </c>
      <c r="T110">
        <v>167.47184799999999</v>
      </c>
      <c r="U110">
        <v>172.249008</v>
      </c>
      <c r="V110">
        <v>177.13464400000001</v>
      </c>
      <c r="W110">
        <v>182.10375999999999</v>
      </c>
      <c r="X110">
        <v>187.15948499999999</v>
      </c>
      <c r="Y110">
        <v>192.320404</v>
      </c>
      <c r="Z110">
        <v>197.591431</v>
      </c>
      <c r="AA110">
        <v>202.97283899999999</v>
      </c>
      <c r="AB110">
        <v>208.46565200000001</v>
      </c>
      <c r="AC110">
        <v>214.06880200000001</v>
      </c>
      <c r="AD110">
        <v>219.78054800000001</v>
      </c>
      <c r="AE110">
        <v>225.60205099999999</v>
      </c>
      <c r="AF110">
        <v>231.54188500000001</v>
      </c>
      <c r="AG110">
        <v>237.602844</v>
      </c>
      <c r="AH110">
        <v>243.78623999999999</v>
      </c>
      <c r="AI110" s="22">
        <v>6.5000000000000002E-2</v>
      </c>
    </row>
    <row r="111" spans="1:35">
      <c r="A111" t="s">
        <v>219</v>
      </c>
      <c r="B111" t="s">
        <v>1449</v>
      </c>
      <c r="C111" t="s">
        <v>1450</v>
      </c>
      <c r="D111" t="s">
        <v>202</v>
      </c>
      <c r="F111">
        <v>4.9029309999999997</v>
      </c>
      <c r="G111">
        <v>6.6316170000000003</v>
      </c>
      <c r="H111">
        <v>7.559685</v>
      </c>
      <c r="I111">
        <v>8.050122</v>
      </c>
      <c r="J111">
        <v>8.2876220000000007</v>
      </c>
      <c r="K111">
        <v>8.5268130000000006</v>
      </c>
      <c r="L111">
        <v>8.7675959999999993</v>
      </c>
      <c r="M111">
        <v>9.0110759999999992</v>
      </c>
      <c r="N111">
        <v>9.2586300000000001</v>
      </c>
      <c r="O111">
        <v>9.5081220000000002</v>
      </c>
      <c r="P111">
        <v>9.7557609999999997</v>
      </c>
      <c r="Q111">
        <v>10.003282</v>
      </c>
      <c r="R111">
        <v>10.25118</v>
      </c>
      <c r="S111">
        <v>10.489587</v>
      </c>
      <c r="T111">
        <v>10.725602</v>
      </c>
      <c r="U111">
        <v>10.967332000000001</v>
      </c>
      <c r="V111">
        <v>11.212358</v>
      </c>
      <c r="W111">
        <v>11.454371999999999</v>
      </c>
      <c r="X111">
        <v>11.693458</v>
      </c>
      <c r="Y111">
        <v>11.933901000000001</v>
      </c>
      <c r="Z111">
        <v>12.176525</v>
      </c>
      <c r="AA111">
        <v>12.421250000000001</v>
      </c>
      <c r="AB111">
        <v>12.667951</v>
      </c>
      <c r="AC111">
        <v>12.916296000000001</v>
      </c>
      <c r="AD111">
        <v>13.165709</v>
      </c>
      <c r="AE111">
        <v>13.416244000000001</v>
      </c>
      <c r="AF111">
        <v>13.669560000000001</v>
      </c>
      <c r="AG111">
        <v>13.925858</v>
      </c>
      <c r="AH111">
        <v>14.185025</v>
      </c>
      <c r="AI111" s="22">
        <v>3.9E-2</v>
      </c>
    </row>
    <row r="112" spans="1:35">
      <c r="A112" t="s">
        <v>1268</v>
      </c>
      <c r="B112" t="s">
        <v>1451</v>
      </c>
      <c r="C112" t="s">
        <v>1452</v>
      </c>
      <c r="D112" t="s">
        <v>202</v>
      </c>
      <c r="F112">
        <v>47.442936000000003</v>
      </c>
      <c r="G112">
        <v>63.984814</v>
      </c>
      <c r="H112">
        <v>76.679648999999998</v>
      </c>
      <c r="I112">
        <v>84.804374999999993</v>
      </c>
      <c r="J112">
        <v>96.071860999999998</v>
      </c>
      <c r="K112">
        <v>103.20470400000001</v>
      </c>
      <c r="L112">
        <v>109.64166299999999</v>
      </c>
      <c r="M112">
        <v>113.054253</v>
      </c>
      <c r="N112">
        <v>116.271835</v>
      </c>
      <c r="O112">
        <v>118.54128300000001</v>
      </c>
      <c r="P112">
        <v>119.45050000000001</v>
      </c>
      <c r="Q112">
        <v>120.097984</v>
      </c>
      <c r="R112">
        <v>120.730469</v>
      </c>
      <c r="S112">
        <v>121.325287</v>
      </c>
      <c r="T112">
        <v>121.94425200000001</v>
      </c>
      <c r="U112">
        <v>122.356194</v>
      </c>
      <c r="V112">
        <v>122.580017</v>
      </c>
      <c r="W112">
        <v>122.83268700000001</v>
      </c>
      <c r="X112">
        <v>123.255264</v>
      </c>
      <c r="Y112">
        <v>123.997055</v>
      </c>
      <c r="Z112">
        <v>125.002296</v>
      </c>
      <c r="AA112">
        <v>126.128738</v>
      </c>
      <c r="AB112">
        <v>127.33571600000001</v>
      </c>
      <c r="AC112">
        <v>128.549927</v>
      </c>
      <c r="AD112">
        <v>129.68714900000001</v>
      </c>
      <c r="AE112">
        <v>130.74594099999999</v>
      </c>
      <c r="AF112">
        <v>131.83163500000001</v>
      </c>
      <c r="AG112">
        <v>133.03767400000001</v>
      </c>
      <c r="AH112">
        <v>134.431183</v>
      </c>
      <c r="AI112" s="22">
        <v>3.7999999999999999E-2</v>
      </c>
    </row>
    <row r="113" spans="1:35">
      <c r="A113" t="s">
        <v>217</v>
      </c>
      <c r="B113" t="s">
        <v>1453</v>
      </c>
      <c r="C113" t="s">
        <v>1454</v>
      </c>
      <c r="D113" t="s">
        <v>202</v>
      </c>
      <c r="F113">
        <v>18.514890999999999</v>
      </c>
      <c r="G113">
        <v>23.544308000000001</v>
      </c>
      <c r="H113">
        <v>27.278258999999998</v>
      </c>
      <c r="I113">
        <v>29.958317000000001</v>
      </c>
      <c r="J113">
        <v>33.320217</v>
      </c>
      <c r="K113">
        <v>35.412486999999999</v>
      </c>
      <c r="L113">
        <v>37.304820999999997</v>
      </c>
      <c r="M113">
        <v>38.347121999999999</v>
      </c>
      <c r="N113">
        <v>39.329655000000002</v>
      </c>
      <c r="O113">
        <v>40.027821000000003</v>
      </c>
      <c r="P113">
        <v>40.319026999999998</v>
      </c>
      <c r="Q113">
        <v>40.531295999999998</v>
      </c>
      <c r="R113">
        <v>40.737929999999999</v>
      </c>
      <c r="S113">
        <v>40.931778000000001</v>
      </c>
      <c r="T113">
        <v>41.131241000000003</v>
      </c>
      <c r="U113">
        <v>41.267432999999997</v>
      </c>
      <c r="V113">
        <v>41.346015999999999</v>
      </c>
      <c r="W113">
        <v>41.431797000000003</v>
      </c>
      <c r="X113">
        <v>41.566597000000002</v>
      </c>
      <c r="Y113">
        <v>41.795025000000003</v>
      </c>
      <c r="Z113">
        <v>42.100310999999998</v>
      </c>
      <c r="AA113">
        <v>42.440052000000001</v>
      </c>
      <c r="AB113">
        <v>42.802154999999999</v>
      </c>
      <c r="AC113">
        <v>43.164817999999997</v>
      </c>
      <c r="AD113">
        <v>43.502853000000002</v>
      </c>
      <c r="AE113">
        <v>43.815761999999999</v>
      </c>
      <c r="AF113">
        <v>44.134929999999997</v>
      </c>
      <c r="AG113">
        <v>44.488182000000002</v>
      </c>
      <c r="AH113">
        <v>44.895415999999997</v>
      </c>
      <c r="AI113" s="22">
        <v>3.2000000000000001E-2</v>
      </c>
    </row>
    <row r="114" spans="1:35">
      <c r="A114" t="s">
        <v>218</v>
      </c>
      <c r="B114" t="s">
        <v>1455</v>
      </c>
      <c r="C114" t="s">
        <v>1456</v>
      </c>
      <c r="D114" t="s">
        <v>202</v>
      </c>
      <c r="F114">
        <v>28.078714000000002</v>
      </c>
      <c r="G114">
        <v>39.546764000000003</v>
      </c>
      <c r="H114">
        <v>48.440437000000003</v>
      </c>
      <c r="I114">
        <v>53.814338999999997</v>
      </c>
      <c r="J114">
        <v>61.674225</v>
      </c>
      <c r="K114">
        <v>66.691176999999996</v>
      </c>
      <c r="L114">
        <v>71.213875000000002</v>
      </c>
      <c r="M114">
        <v>73.566772</v>
      </c>
      <c r="N114">
        <v>75.785445999999993</v>
      </c>
      <c r="O114">
        <v>77.344414</v>
      </c>
      <c r="P114">
        <v>77.955794999999995</v>
      </c>
      <c r="Q114">
        <v>78.385551000000007</v>
      </c>
      <c r="R114">
        <v>78.806213</v>
      </c>
      <c r="S114">
        <v>79.202354</v>
      </c>
      <c r="T114">
        <v>79.617142000000001</v>
      </c>
      <c r="U114">
        <v>79.889267000000004</v>
      </c>
      <c r="V114">
        <v>80.031859999999995</v>
      </c>
      <c r="W114">
        <v>80.196190000000001</v>
      </c>
      <c r="X114">
        <v>80.480971999999994</v>
      </c>
      <c r="Y114">
        <v>80.990279999999998</v>
      </c>
      <c r="Z114">
        <v>81.685349000000002</v>
      </c>
      <c r="AA114">
        <v>82.466942000000003</v>
      </c>
      <c r="AB114">
        <v>83.306633000000005</v>
      </c>
      <c r="AC114">
        <v>84.153221000000002</v>
      </c>
      <c r="AD114">
        <v>84.947968000000003</v>
      </c>
      <c r="AE114">
        <v>85.690010000000001</v>
      </c>
      <c r="AF114">
        <v>86.452820000000003</v>
      </c>
      <c r="AG114">
        <v>87.301688999999996</v>
      </c>
      <c r="AH114">
        <v>88.283600000000007</v>
      </c>
      <c r="AI114" s="22">
        <v>4.2000000000000003E-2</v>
      </c>
    </row>
    <row r="115" spans="1:35">
      <c r="A115" t="s">
        <v>219</v>
      </c>
      <c r="B115" t="s">
        <v>1457</v>
      </c>
      <c r="C115" t="s">
        <v>1458</v>
      </c>
      <c r="D115" t="s">
        <v>202</v>
      </c>
      <c r="F115">
        <v>0.84932799999999997</v>
      </c>
      <c r="G115">
        <v>0.89373599999999997</v>
      </c>
      <c r="H115">
        <v>0.960955</v>
      </c>
      <c r="I115">
        <v>1.031712</v>
      </c>
      <c r="J115">
        <v>1.077413</v>
      </c>
      <c r="K115">
        <v>1.10103</v>
      </c>
      <c r="L115">
        <v>1.1229610000000001</v>
      </c>
      <c r="M115">
        <v>1.14036</v>
      </c>
      <c r="N115">
        <v>1.1567350000000001</v>
      </c>
      <c r="O115">
        <v>1.169046</v>
      </c>
      <c r="P115">
        <v>1.1756770000000001</v>
      </c>
      <c r="Q115">
        <v>1.1811229999999999</v>
      </c>
      <c r="R115">
        <v>1.186334</v>
      </c>
      <c r="S115">
        <v>1.1911659999999999</v>
      </c>
      <c r="T115">
        <v>1.1958610000000001</v>
      </c>
      <c r="U115">
        <v>1.1994929999999999</v>
      </c>
      <c r="V115">
        <v>1.2021440000000001</v>
      </c>
      <c r="W115">
        <v>1.2047049999999999</v>
      </c>
      <c r="X115">
        <v>1.2077059999999999</v>
      </c>
      <c r="Y115">
        <v>1.2117629999999999</v>
      </c>
      <c r="Z115">
        <v>1.2166319999999999</v>
      </c>
      <c r="AA115">
        <v>1.221738</v>
      </c>
      <c r="AB115">
        <v>1.226926</v>
      </c>
      <c r="AC115">
        <v>1.231905</v>
      </c>
      <c r="AD115">
        <v>1.2363299999999999</v>
      </c>
      <c r="AE115">
        <v>1.2401800000000001</v>
      </c>
      <c r="AF115">
        <v>1.243879</v>
      </c>
      <c r="AG115">
        <v>1.247797</v>
      </c>
      <c r="AH115">
        <v>1.2521850000000001</v>
      </c>
      <c r="AI115" s="22">
        <v>1.4E-2</v>
      </c>
    </row>
    <row r="116" spans="1:35">
      <c r="A116" t="s">
        <v>1271</v>
      </c>
      <c r="B116" t="s">
        <v>1459</v>
      </c>
      <c r="C116" t="s">
        <v>1460</v>
      </c>
      <c r="D116" t="s">
        <v>202</v>
      </c>
      <c r="F116">
        <v>142.31442300000001</v>
      </c>
      <c r="G116">
        <v>151.89007599999999</v>
      </c>
      <c r="H116">
        <v>163.864655</v>
      </c>
      <c r="I116">
        <v>171.73625200000001</v>
      </c>
      <c r="J116">
        <v>178.46945199999999</v>
      </c>
      <c r="K116">
        <v>183.10032699999999</v>
      </c>
      <c r="L116">
        <v>186.982193</v>
      </c>
      <c r="M116">
        <v>189.93190000000001</v>
      </c>
      <c r="N116">
        <v>192.93220500000001</v>
      </c>
      <c r="O116">
        <v>196.037003</v>
      </c>
      <c r="P116">
        <v>199.21478300000001</v>
      </c>
      <c r="Q116">
        <v>202.44252</v>
      </c>
      <c r="R116">
        <v>205.73057600000001</v>
      </c>
      <c r="S116">
        <v>209.08891299999999</v>
      </c>
      <c r="T116">
        <v>212.51480100000001</v>
      </c>
      <c r="U116">
        <v>216.002655</v>
      </c>
      <c r="V116">
        <v>219.55929599999999</v>
      </c>
      <c r="W116">
        <v>223.19146699999999</v>
      </c>
      <c r="X116">
        <v>226.899384</v>
      </c>
      <c r="Y116">
        <v>230.68907200000001</v>
      </c>
      <c r="Z116">
        <v>234.55947900000001</v>
      </c>
      <c r="AA116">
        <v>238.509064</v>
      </c>
      <c r="AB116">
        <v>242.53810100000001</v>
      </c>
      <c r="AC116">
        <v>246.64561499999999</v>
      </c>
      <c r="AD116">
        <v>250.83862300000001</v>
      </c>
      <c r="AE116">
        <v>255.11831699999999</v>
      </c>
      <c r="AF116">
        <v>259.48089599999997</v>
      </c>
      <c r="AG116">
        <v>263.92275999999998</v>
      </c>
      <c r="AH116">
        <v>268.437927</v>
      </c>
      <c r="AI116" s="22">
        <v>2.3E-2</v>
      </c>
    </row>
    <row r="117" spans="1:35">
      <c r="A117" t="s">
        <v>217</v>
      </c>
      <c r="B117" t="s">
        <v>1461</v>
      </c>
      <c r="C117" t="s">
        <v>1462</v>
      </c>
      <c r="D117" t="s">
        <v>202</v>
      </c>
      <c r="F117">
        <v>110.081108</v>
      </c>
      <c r="G117">
        <v>115.58123000000001</v>
      </c>
      <c r="H117">
        <v>122.967361</v>
      </c>
      <c r="I117">
        <v>127.819969</v>
      </c>
      <c r="J117">
        <v>132.20107999999999</v>
      </c>
      <c r="K117">
        <v>135.314087</v>
      </c>
      <c r="L117">
        <v>137.98341400000001</v>
      </c>
      <c r="M117">
        <v>140.101517</v>
      </c>
      <c r="N117">
        <v>142.25581399999999</v>
      </c>
      <c r="O117">
        <v>144.48762500000001</v>
      </c>
      <c r="P117">
        <v>146.77302599999999</v>
      </c>
      <c r="Q117">
        <v>149.094009</v>
      </c>
      <c r="R117">
        <v>151.45791600000001</v>
      </c>
      <c r="S117">
        <v>153.87184099999999</v>
      </c>
      <c r="T117">
        <v>156.33377100000001</v>
      </c>
      <c r="U117">
        <v>158.83955399999999</v>
      </c>
      <c r="V117">
        <v>161.39404300000001</v>
      </c>
      <c r="W117">
        <v>164.00202899999999</v>
      </c>
      <c r="X117">
        <v>166.662949</v>
      </c>
      <c r="Y117">
        <v>169.381439</v>
      </c>
      <c r="Z117">
        <v>172.15664699999999</v>
      </c>
      <c r="AA117">
        <v>174.987381</v>
      </c>
      <c r="AB117">
        <v>177.87385599999999</v>
      </c>
      <c r="AC117">
        <v>180.81530799999999</v>
      </c>
      <c r="AD117">
        <v>183.81668099999999</v>
      </c>
      <c r="AE117">
        <v>186.878784</v>
      </c>
      <c r="AF117">
        <v>189.99884</v>
      </c>
      <c r="AG117">
        <v>193.17420999999999</v>
      </c>
      <c r="AH117">
        <v>196.40057400000001</v>
      </c>
      <c r="AI117" s="22">
        <v>2.1000000000000001E-2</v>
      </c>
    </row>
    <row r="118" spans="1:35">
      <c r="A118" t="s">
        <v>218</v>
      </c>
      <c r="B118" t="s">
        <v>1463</v>
      </c>
      <c r="C118" t="s">
        <v>1464</v>
      </c>
      <c r="D118" t="s">
        <v>202</v>
      </c>
      <c r="F118">
        <v>17.723891999999999</v>
      </c>
      <c r="G118">
        <v>21.558128</v>
      </c>
      <c r="H118">
        <v>25.640647999999999</v>
      </c>
      <c r="I118">
        <v>28.409416</v>
      </c>
      <c r="J118">
        <v>30.442050999999999</v>
      </c>
      <c r="K118">
        <v>31.694476999999999</v>
      </c>
      <c r="L118">
        <v>32.657162</v>
      </c>
      <c r="M118">
        <v>33.257838999999997</v>
      </c>
      <c r="N118">
        <v>33.868983999999998</v>
      </c>
      <c r="O118">
        <v>34.497799000000001</v>
      </c>
      <c r="P118">
        <v>35.139740000000003</v>
      </c>
      <c r="Q118">
        <v>35.792296999999998</v>
      </c>
      <c r="R118">
        <v>36.457706000000002</v>
      </c>
      <c r="S118">
        <v>37.138069000000002</v>
      </c>
      <c r="T118">
        <v>37.832951000000001</v>
      </c>
      <c r="U118">
        <v>38.541350999999999</v>
      </c>
      <c r="V118">
        <v>39.264755000000001</v>
      </c>
      <c r="W118">
        <v>40.004631000000003</v>
      </c>
      <c r="X118">
        <v>40.762042999999998</v>
      </c>
      <c r="Y118">
        <v>41.537818999999999</v>
      </c>
      <c r="Z118">
        <v>42.331817999999998</v>
      </c>
      <c r="AA118">
        <v>43.143847999999998</v>
      </c>
      <c r="AB118">
        <v>43.973972000000003</v>
      </c>
      <c r="AC118">
        <v>44.822124000000002</v>
      </c>
      <c r="AD118">
        <v>45.689816</v>
      </c>
      <c r="AE118">
        <v>46.577365999999998</v>
      </c>
      <c r="AF118">
        <v>47.484093000000001</v>
      </c>
      <c r="AG118">
        <v>48.409294000000003</v>
      </c>
      <c r="AH118">
        <v>49.351832999999999</v>
      </c>
      <c r="AI118" s="22">
        <v>3.6999999999999998E-2</v>
      </c>
    </row>
    <row r="119" spans="1:35">
      <c r="A119" t="s">
        <v>219</v>
      </c>
      <c r="B119" t="s">
        <v>1465</v>
      </c>
      <c r="C119" t="s">
        <v>1466</v>
      </c>
      <c r="D119" t="s">
        <v>202</v>
      </c>
      <c r="F119">
        <v>14.50943</v>
      </c>
      <c r="G119">
        <v>14.750728000000001</v>
      </c>
      <c r="H119">
        <v>15.256656</v>
      </c>
      <c r="I119">
        <v>15.506875000000001</v>
      </c>
      <c r="J119">
        <v>15.82633</v>
      </c>
      <c r="K119">
        <v>16.091740000000001</v>
      </c>
      <c r="L119">
        <v>16.341602000000002</v>
      </c>
      <c r="M119">
        <v>16.572548000000001</v>
      </c>
      <c r="N119">
        <v>16.807404999999999</v>
      </c>
      <c r="O119">
        <v>17.051577000000002</v>
      </c>
      <c r="P119">
        <v>17.302004</v>
      </c>
      <c r="Q119">
        <v>17.556206</v>
      </c>
      <c r="R119">
        <v>17.814955000000001</v>
      </c>
      <c r="S119">
        <v>18.079001999999999</v>
      </c>
      <c r="T119">
        <v>18.348101</v>
      </c>
      <c r="U119">
        <v>18.621765</v>
      </c>
      <c r="V119">
        <v>18.900500999999998</v>
      </c>
      <c r="W119">
        <v>19.184811</v>
      </c>
      <c r="X119">
        <v>19.474388000000001</v>
      </c>
      <c r="Y119">
        <v>19.769831</v>
      </c>
      <c r="Z119">
        <v>20.071031999999999</v>
      </c>
      <c r="AA119">
        <v>20.377831</v>
      </c>
      <c r="AB119">
        <v>20.690248</v>
      </c>
      <c r="AC119">
        <v>21.008171000000001</v>
      </c>
      <c r="AD119">
        <v>21.332118999999999</v>
      </c>
      <c r="AE119">
        <v>21.662158999999999</v>
      </c>
      <c r="AF119">
        <v>21.997971</v>
      </c>
      <c r="AG119">
        <v>22.339255999999999</v>
      </c>
      <c r="AH119">
        <v>22.685524000000001</v>
      </c>
      <c r="AI119" s="22">
        <v>1.6E-2</v>
      </c>
    </row>
    <row r="120" spans="1:35">
      <c r="A120" t="s">
        <v>1274</v>
      </c>
      <c r="B120" t="s">
        <v>1467</v>
      </c>
      <c r="C120" t="s">
        <v>1468</v>
      </c>
      <c r="D120" t="s">
        <v>202</v>
      </c>
      <c r="F120">
        <v>48.721522999999998</v>
      </c>
      <c r="G120">
        <v>61.768990000000002</v>
      </c>
      <c r="H120">
        <v>73.845116000000004</v>
      </c>
      <c r="I120">
        <v>82.664268000000007</v>
      </c>
      <c r="J120">
        <v>90.551765000000003</v>
      </c>
      <c r="K120">
        <v>94.869156000000004</v>
      </c>
      <c r="L120">
        <v>98.194419999999994</v>
      </c>
      <c r="M120">
        <v>100.99239300000001</v>
      </c>
      <c r="N120">
        <v>103.867386</v>
      </c>
      <c r="O120">
        <v>106.882401</v>
      </c>
      <c r="P120">
        <v>109.995766</v>
      </c>
      <c r="Q120">
        <v>113.19216900000001</v>
      </c>
      <c r="R120">
        <v>116.47422</v>
      </c>
      <c r="S120">
        <v>119.84822800000001</v>
      </c>
      <c r="T120">
        <v>123.249786</v>
      </c>
      <c r="U120">
        <v>126.73764799999999</v>
      </c>
      <c r="V120">
        <v>130.315765</v>
      </c>
      <c r="W120">
        <v>133.98472599999999</v>
      </c>
      <c r="X120">
        <v>137.747986</v>
      </c>
      <c r="Y120">
        <v>141.534378</v>
      </c>
      <c r="Z120">
        <v>145.41456600000001</v>
      </c>
      <c r="AA120">
        <v>149.39035000000001</v>
      </c>
      <c r="AB120">
        <v>153.46047999999999</v>
      </c>
      <c r="AC120">
        <v>157.62562600000001</v>
      </c>
      <c r="AD120">
        <v>161.804001</v>
      </c>
      <c r="AE120">
        <v>166.075638</v>
      </c>
      <c r="AF120">
        <v>170.446091</v>
      </c>
      <c r="AG120">
        <v>174.919006</v>
      </c>
      <c r="AH120">
        <v>179.497559</v>
      </c>
      <c r="AI120" s="22">
        <v>4.8000000000000001E-2</v>
      </c>
    </row>
    <row r="121" spans="1:35">
      <c r="A121" t="s">
        <v>217</v>
      </c>
      <c r="B121" t="s">
        <v>1469</v>
      </c>
      <c r="C121" t="s">
        <v>1470</v>
      </c>
      <c r="D121" t="s">
        <v>202</v>
      </c>
      <c r="F121">
        <v>40.367882000000002</v>
      </c>
      <c r="G121">
        <v>51.182053000000003</v>
      </c>
      <c r="H121">
        <v>61.307991000000001</v>
      </c>
      <c r="I121">
        <v>68.604468999999995</v>
      </c>
      <c r="J121">
        <v>75.149856999999997</v>
      </c>
      <c r="K121">
        <v>78.746758</v>
      </c>
      <c r="L121">
        <v>81.512482000000006</v>
      </c>
      <c r="M121">
        <v>83.836219999999997</v>
      </c>
      <c r="N121">
        <v>86.223915000000005</v>
      </c>
      <c r="O121">
        <v>88.727737000000005</v>
      </c>
      <c r="P121">
        <v>91.313179000000005</v>
      </c>
      <c r="Q121">
        <v>93.967590000000001</v>
      </c>
      <c r="R121">
        <v>96.693107999999995</v>
      </c>
      <c r="S121">
        <v>99.494986999999995</v>
      </c>
      <c r="T121">
        <v>102.32</v>
      </c>
      <c r="U121">
        <v>105.216705</v>
      </c>
      <c r="V121">
        <v>108.188377</v>
      </c>
      <c r="W121">
        <v>111.235527</v>
      </c>
      <c r="X121">
        <v>114.361046</v>
      </c>
      <c r="Y121">
        <v>117.506035</v>
      </c>
      <c r="Z121">
        <v>120.728973</v>
      </c>
      <c r="AA121">
        <v>124.031364</v>
      </c>
      <c r="AB121">
        <v>127.412148</v>
      </c>
      <c r="AC121">
        <v>130.871872</v>
      </c>
      <c r="AD121">
        <v>134.342804</v>
      </c>
      <c r="AE121">
        <v>137.89123499999999</v>
      </c>
      <c r="AF121">
        <v>141.52177399999999</v>
      </c>
      <c r="AG121">
        <v>145.23748800000001</v>
      </c>
      <c r="AH121">
        <v>149.04101600000001</v>
      </c>
      <c r="AI121" s="22">
        <v>4.8000000000000001E-2</v>
      </c>
    </row>
    <row r="122" spans="1:35">
      <c r="A122" t="s">
        <v>218</v>
      </c>
      <c r="B122" t="s">
        <v>1471</v>
      </c>
      <c r="C122" t="s">
        <v>1472</v>
      </c>
      <c r="D122" t="s">
        <v>202</v>
      </c>
      <c r="F122">
        <v>4.8107499999999996</v>
      </c>
      <c r="G122">
        <v>6.1307200000000002</v>
      </c>
      <c r="H122">
        <v>7.171532</v>
      </c>
      <c r="I122">
        <v>7.9921449999999998</v>
      </c>
      <c r="J122">
        <v>8.7539029999999993</v>
      </c>
      <c r="K122">
        <v>9.1908320000000003</v>
      </c>
      <c r="L122">
        <v>9.5208630000000003</v>
      </c>
      <c r="M122">
        <v>9.7937060000000002</v>
      </c>
      <c r="N122">
        <v>10.074055</v>
      </c>
      <c r="O122">
        <v>10.367825</v>
      </c>
      <c r="P122">
        <v>10.671106999999999</v>
      </c>
      <c r="Q122">
        <v>10.982485</v>
      </c>
      <c r="R122">
        <v>11.302196</v>
      </c>
      <c r="S122">
        <v>11.630836</v>
      </c>
      <c r="T122">
        <v>11.962536999999999</v>
      </c>
      <c r="U122">
        <v>12.302671</v>
      </c>
      <c r="V122">
        <v>12.651629</v>
      </c>
      <c r="W122">
        <v>13.009482</v>
      </c>
      <c r="X122">
        <v>13.376611</v>
      </c>
      <c r="Y122">
        <v>13.746362</v>
      </c>
      <c r="Z122">
        <v>14.125339</v>
      </c>
      <c r="AA122">
        <v>14.513700999999999</v>
      </c>
      <c r="AB122">
        <v>14.911319000000001</v>
      </c>
      <c r="AC122">
        <v>15.318254</v>
      </c>
      <c r="AD122">
        <v>15.726773</v>
      </c>
      <c r="AE122">
        <v>16.144462999999998</v>
      </c>
      <c r="AF122">
        <v>16.571867000000001</v>
      </c>
      <c r="AG122">
        <v>17.009353999999998</v>
      </c>
      <c r="AH122">
        <v>17.457253999999999</v>
      </c>
      <c r="AI122" s="22">
        <v>4.7E-2</v>
      </c>
    </row>
    <row r="123" spans="1:35">
      <c r="A123" t="s">
        <v>219</v>
      </c>
      <c r="B123" t="s">
        <v>1473</v>
      </c>
      <c r="C123" t="s">
        <v>1474</v>
      </c>
      <c r="D123" t="s">
        <v>202</v>
      </c>
      <c r="F123">
        <v>3.542891</v>
      </c>
      <c r="G123">
        <v>4.4562160000000004</v>
      </c>
      <c r="H123">
        <v>5.3655970000000002</v>
      </c>
      <c r="I123">
        <v>6.0676459999999999</v>
      </c>
      <c r="J123">
        <v>6.6479980000000003</v>
      </c>
      <c r="K123">
        <v>6.9315740000000003</v>
      </c>
      <c r="L123">
        <v>7.161073</v>
      </c>
      <c r="M123">
        <v>7.3624660000000004</v>
      </c>
      <c r="N123">
        <v>7.5694160000000004</v>
      </c>
      <c r="O123">
        <v>7.7868430000000002</v>
      </c>
      <c r="P123">
        <v>8.0114780000000003</v>
      </c>
      <c r="Q123">
        <v>8.2420969999999993</v>
      </c>
      <c r="R123">
        <v>8.4789100000000008</v>
      </c>
      <c r="S123">
        <v>8.7224079999999997</v>
      </c>
      <c r="T123">
        <v>8.9672540000000005</v>
      </c>
      <c r="U123">
        <v>9.2182739999999992</v>
      </c>
      <c r="V123">
        <v>9.4757580000000008</v>
      </c>
      <c r="W123">
        <v>9.7397179999999999</v>
      </c>
      <c r="X123">
        <v>10.010329</v>
      </c>
      <c r="Y123">
        <v>10.281976999999999</v>
      </c>
      <c r="Z123">
        <v>10.560243</v>
      </c>
      <c r="AA123">
        <v>10.845281999999999</v>
      </c>
      <c r="AB123">
        <v>11.137014000000001</v>
      </c>
      <c r="AC123">
        <v>11.435499999999999</v>
      </c>
      <c r="AD123">
        <v>11.734435</v>
      </c>
      <c r="AE123">
        <v>12.039953000000001</v>
      </c>
      <c r="AF123">
        <v>12.352451</v>
      </c>
      <c r="AG123">
        <v>12.67216</v>
      </c>
      <c r="AH123">
        <v>12.999294000000001</v>
      </c>
      <c r="AI123" s="22">
        <v>4.8000000000000001E-2</v>
      </c>
    </row>
    <row r="124" spans="1:35">
      <c r="A124" t="s">
        <v>214</v>
      </c>
      <c r="B124" t="s">
        <v>1475</v>
      </c>
      <c r="C124" t="s">
        <v>1476</v>
      </c>
      <c r="D124" t="s">
        <v>202</v>
      </c>
      <c r="F124">
        <v>782.72277799999995</v>
      </c>
      <c r="G124">
        <v>779.99255400000004</v>
      </c>
      <c r="H124">
        <v>777.24194299999999</v>
      </c>
      <c r="I124">
        <v>836.20019500000001</v>
      </c>
      <c r="J124">
        <v>900.88647500000002</v>
      </c>
      <c r="K124">
        <v>959.77856399999996</v>
      </c>
      <c r="L124">
        <v>1015.328857</v>
      </c>
      <c r="M124">
        <v>1071.4494629999999</v>
      </c>
      <c r="N124">
        <v>1127.8001710000001</v>
      </c>
      <c r="O124">
        <v>1184.857544</v>
      </c>
      <c r="P124">
        <v>1242.602173</v>
      </c>
      <c r="Q124">
        <v>1300.8637699999999</v>
      </c>
      <c r="R124">
        <v>1359.7788089999999</v>
      </c>
      <c r="S124">
        <v>1419.6533199999999</v>
      </c>
      <c r="T124">
        <v>1480.3670649999999</v>
      </c>
      <c r="U124">
        <v>1541.5150149999999</v>
      </c>
      <c r="V124">
        <v>1603.139404</v>
      </c>
      <c r="W124">
        <v>1665.5854489999999</v>
      </c>
      <c r="X124">
        <v>1729.3858640000001</v>
      </c>
      <c r="Y124">
        <v>1795.155029</v>
      </c>
      <c r="Z124">
        <v>1862.857422</v>
      </c>
      <c r="AA124">
        <v>1931.973999</v>
      </c>
      <c r="AB124">
        <v>2001.8626710000001</v>
      </c>
      <c r="AC124">
        <v>2071.8183589999999</v>
      </c>
      <c r="AD124">
        <v>2141.7058109999998</v>
      </c>
      <c r="AE124">
        <v>2211.8625489999999</v>
      </c>
      <c r="AF124">
        <v>2282.0432129999999</v>
      </c>
      <c r="AG124">
        <v>2351.5871579999998</v>
      </c>
      <c r="AH124">
        <v>2419.7944339999999</v>
      </c>
      <c r="AI124" s="22">
        <v>4.1000000000000002E-2</v>
      </c>
    </row>
    <row r="125" spans="1:35">
      <c r="A125" t="s">
        <v>217</v>
      </c>
      <c r="B125" t="s">
        <v>1477</v>
      </c>
      <c r="C125" t="s">
        <v>1478</v>
      </c>
      <c r="D125" t="s">
        <v>202</v>
      </c>
      <c r="F125">
        <v>607.629639</v>
      </c>
      <c r="G125">
        <v>579.78564500000005</v>
      </c>
      <c r="H125">
        <v>554.85424799999998</v>
      </c>
      <c r="I125">
        <v>591.023865</v>
      </c>
      <c r="J125">
        <v>632.18890399999998</v>
      </c>
      <c r="K125">
        <v>672.03393600000004</v>
      </c>
      <c r="L125">
        <v>711.24945100000002</v>
      </c>
      <c r="M125">
        <v>750.78301999999996</v>
      </c>
      <c r="N125">
        <v>790.37164299999995</v>
      </c>
      <c r="O125">
        <v>830.36956799999996</v>
      </c>
      <c r="P125">
        <v>870.75842299999999</v>
      </c>
      <c r="Q125">
        <v>911.40508999999997</v>
      </c>
      <c r="R125">
        <v>952.40625</v>
      </c>
      <c r="S125">
        <v>993.98687700000005</v>
      </c>
      <c r="T125">
        <v>1036.053101</v>
      </c>
      <c r="U125">
        <v>1078.296143</v>
      </c>
      <c r="V125">
        <v>1120.742432</v>
      </c>
      <c r="W125">
        <v>1163.6453859999999</v>
      </c>
      <c r="X125">
        <v>1207.394775</v>
      </c>
      <c r="Y125">
        <v>1252.449341</v>
      </c>
      <c r="Z125">
        <v>1298.7775879999999</v>
      </c>
      <c r="AA125">
        <v>1345.984375</v>
      </c>
      <c r="AB125">
        <v>1393.5820309999999</v>
      </c>
      <c r="AC125">
        <v>1441.0375979999999</v>
      </c>
      <c r="AD125">
        <v>1488.2482910000001</v>
      </c>
      <c r="AE125">
        <v>1535.4626459999999</v>
      </c>
      <c r="AF125">
        <v>1582.492432</v>
      </c>
      <c r="AG125">
        <v>1628.837769</v>
      </c>
      <c r="AH125">
        <v>1673.9719239999999</v>
      </c>
      <c r="AI125" s="22">
        <v>3.6999999999999998E-2</v>
      </c>
    </row>
    <row r="126" spans="1:35">
      <c r="A126" t="s">
        <v>218</v>
      </c>
      <c r="B126" t="s">
        <v>1479</v>
      </c>
      <c r="C126" t="s">
        <v>1480</v>
      </c>
      <c r="D126" t="s">
        <v>202</v>
      </c>
      <c r="F126">
        <v>87.702171000000007</v>
      </c>
      <c r="G126">
        <v>118.64717899999999</v>
      </c>
      <c r="H126">
        <v>145.718872</v>
      </c>
      <c r="I126">
        <v>163.990128</v>
      </c>
      <c r="J126">
        <v>182.23019400000001</v>
      </c>
      <c r="K126">
        <v>195.94972200000001</v>
      </c>
      <c r="L126">
        <v>206.901611</v>
      </c>
      <c r="M126">
        <v>218.06899999999999</v>
      </c>
      <c r="N126">
        <v>229.41262800000001</v>
      </c>
      <c r="O126">
        <v>241.004807</v>
      </c>
      <c r="P126">
        <v>252.84724399999999</v>
      </c>
      <c r="Q126">
        <v>264.92242399999998</v>
      </c>
      <c r="R126">
        <v>277.25662199999999</v>
      </c>
      <c r="S126">
        <v>289.89932299999998</v>
      </c>
      <c r="T126">
        <v>302.83795199999997</v>
      </c>
      <c r="U126">
        <v>316.01998900000001</v>
      </c>
      <c r="V126">
        <v>329.458618</v>
      </c>
      <c r="W126">
        <v>343.209473</v>
      </c>
      <c r="X126">
        <v>357.36090100000001</v>
      </c>
      <c r="Y126">
        <v>372.00381499999997</v>
      </c>
      <c r="Z126">
        <v>387.13888500000002</v>
      </c>
      <c r="AA126">
        <v>402.69903599999998</v>
      </c>
      <c r="AB126">
        <v>418.59939600000001</v>
      </c>
      <c r="AC126">
        <v>434.743561</v>
      </c>
      <c r="AD126">
        <v>451.11456299999998</v>
      </c>
      <c r="AE126">
        <v>467.76574699999998</v>
      </c>
      <c r="AF126">
        <v>484.66757200000001</v>
      </c>
      <c r="AG126">
        <v>501.73037699999998</v>
      </c>
      <c r="AH126">
        <v>518.85571300000004</v>
      </c>
      <c r="AI126" s="22">
        <v>6.6000000000000003E-2</v>
      </c>
    </row>
    <row r="127" spans="1:35">
      <c r="A127" t="s">
        <v>219</v>
      </c>
      <c r="B127" t="s">
        <v>1481</v>
      </c>
      <c r="C127" t="s">
        <v>1482</v>
      </c>
      <c r="D127" t="s">
        <v>202</v>
      </c>
      <c r="F127">
        <v>87.390906999999999</v>
      </c>
      <c r="G127">
        <v>81.559792000000002</v>
      </c>
      <c r="H127">
        <v>76.668800000000005</v>
      </c>
      <c r="I127">
        <v>81.186179999999993</v>
      </c>
      <c r="J127">
        <v>86.467392000000004</v>
      </c>
      <c r="K127">
        <v>91.794830000000005</v>
      </c>
      <c r="L127">
        <v>97.177802999999997</v>
      </c>
      <c r="M127">
        <v>102.597488</v>
      </c>
      <c r="N127">
        <v>108.01593800000001</v>
      </c>
      <c r="O127">
        <v>113.483192</v>
      </c>
      <c r="P127">
        <v>118.996407</v>
      </c>
      <c r="Q127">
        <v>124.536186</v>
      </c>
      <c r="R127">
        <v>130.11586</v>
      </c>
      <c r="S127">
        <v>135.76705899999999</v>
      </c>
      <c r="T127">
        <v>141.47612000000001</v>
      </c>
      <c r="U127">
        <v>147.198837</v>
      </c>
      <c r="V127">
        <v>152.938492</v>
      </c>
      <c r="W127">
        <v>158.73074299999999</v>
      </c>
      <c r="X127">
        <v>164.63017300000001</v>
      </c>
      <c r="Y127">
        <v>170.70181299999999</v>
      </c>
      <c r="Z127">
        <v>176.94079600000001</v>
      </c>
      <c r="AA127">
        <v>183.29051200000001</v>
      </c>
      <c r="AB127">
        <v>189.68124399999999</v>
      </c>
      <c r="AC127">
        <v>196.03698700000001</v>
      </c>
      <c r="AD127">
        <v>202.342896</v>
      </c>
      <c r="AE127">
        <v>208.634064</v>
      </c>
      <c r="AF127">
        <v>214.88330099999999</v>
      </c>
      <c r="AG127">
        <v>221.019318</v>
      </c>
      <c r="AH127">
        <v>226.96713299999999</v>
      </c>
      <c r="AI127" s="22">
        <v>3.5000000000000003E-2</v>
      </c>
    </row>
    <row r="128" spans="1:35">
      <c r="A128" t="s">
        <v>1279</v>
      </c>
      <c r="B128" t="s">
        <v>1483</v>
      </c>
      <c r="C128" t="s">
        <v>1484</v>
      </c>
      <c r="D128" t="s">
        <v>202</v>
      </c>
      <c r="F128">
        <v>105.801849</v>
      </c>
      <c r="G128">
        <v>131.08637999999999</v>
      </c>
      <c r="H128">
        <v>148.97323600000001</v>
      </c>
      <c r="I128">
        <v>162.49697900000001</v>
      </c>
      <c r="J128">
        <v>182.242538</v>
      </c>
      <c r="K128">
        <v>199.04045099999999</v>
      </c>
      <c r="L128">
        <v>215.68579099999999</v>
      </c>
      <c r="M128">
        <v>233.66879299999999</v>
      </c>
      <c r="N128">
        <v>252.08363299999999</v>
      </c>
      <c r="O128">
        <v>270.79431199999999</v>
      </c>
      <c r="P128">
        <v>289.70480300000003</v>
      </c>
      <c r="Q128">
        <v>308.69137599999999</v>
      </c>
      <c r="R128">
        <v>327.61547899999999</v>
      </c>
      <c r="S128">
        <v>346.53881799999999</v>
      </c>
      <c r="T128">
        <v>365.61932400000001</v>
      </c>
      <c r="U128">
        <v>385.17947400000003</v>
      </c>
      <c r="V128">
        <v>405.21984900000001</v>
      </c>
      <c r="W128">
        <v>425.707581</v>
      </c>
      <c r="X128">
        <v>446.58886699999999</v>
      </c>
      <c r="Y128">
        <v>467.84079000000003</v>
      </c>
      <c r="Z128">
        <v>489.42877199999998</v>
      </c>
      <c r="AA128">
        <v>511.33187900000001</v>
      </c>
      <c r="AB128">
        <v>533.48980700000004</v>
      </c>
      <c r="AC128">
        <v>555.85424799999998</v>
      </c>
      <c r="AD128">
        <v>578.37213099999997</v>
      </c>
      <c r="AE128">
        <v>600.98870799999997</v>
      </c>
      <c r="AF128">
        <v>623.63964799999997</v>
      </c>
      <c r="AG128">
        <v>646.26062000000002</v>
      </c>
      <c r="AH128">
        <v>668.79229699999996</v>
      </c>
      <c r="AI128" s="22">
        <v>6.8000000000000005E-2</v>
      </c>
    </row>
    <row r="129" spans="1:35">
      <c r="A129" t="s">
        <v>217</v>
      </c>
      <c r="B129" t="s">
        <v>1485</v>
      </c>
      <c r="C129" t="s">
        <v>1486</v>
      </c>
      <c r="D129" t="s">
        <v>202</v>
      </c>
      <c r="F129">
        <v>75.193489</v>
      </c>
      <c r="G129">
        <v>88.749320999999995</v>
      </c>
      <c r="H129">
        <v>96.573020999999997</v>
      </c>
      <c r="I129">
        <v>102.475159</v>
      </c>
      <c r="J129">
        <v>114.042053</v>
      </c>
      <c r="K129">
        <v>124.892517</v>
      </c>
      <c r="L129">
        <v>135.918442</v>
      </c>
      <c r="M129">
        <v>147.58873</v>
      </c>
      <c r="N129">
        <v>159.55355800000001</v>
      </c>
      <c r="O129">
        <v>171.721115</v>
      </c>
      <c r="P129">
        <v>184.025848</v>
      </c>
      <c r="Q129">
        <v>196.38386499999999</v>
      </c>
      <c r="R129">
        <v>208.70137</v>
      </c>
      <c r="S129">
        <v>221.01852400000001</v>
      </c>
      <c r="T129">
        <v>233.43985000000001</v>
      </c>
      <c r="U129">
        <v>246.18055699999999</v>
      </c>
      <c r="V129">
        <v>259.24078400000002</v>
      </c>
      <c r="W129">
        <v>272.59823599999999</v>
      </c>
      <c r="X129">
        <v>286.21472199999999</v>
      </c>
      <c r="Y129">
        <v>300.07556199999999</v>
      </c>
      <c r="Z129">
        <v>314.157196</v>
      </c>
      <c r="AA129">
        <v>328.44482399999998</v>
      </c>
      <c r="AB129">
        <v>342.89700299999998</v>
      </c>
      <c r="AC129">
        <v>357.48037699999998</v>
      </c>
      <c r="AD129">
        <v>372.15881300000001</v>
      </c>
      <c r="AE129">
        <v>386.89511099999999</v>
      </c>
      <c r="AF129">
        <v>401.64532500000001</v>
      </c>
      <c r="AG129">
        <v>416.36498999999998</v>
      </c>
      <c r="AH129">
        <v>431.01361100000003</v>
      </c>
      <c r="AI129" s="22">
        <v>6.4000000000000001E-2</v>
      </c>
    </row>
    <row r="130" spans="1:35">
      <c r="A130" t="s">
        <v>218</v>
      </c>
      <c r="B130" t="s">
        <v>1487</v>
      </c>
      <c r="C130" t="s">
        <v>1488</v>
      </c>
      <c r="D130" t="s">
        <v>202</v>
      </c>
      <c r="F130">
        <v>20.681094999999999</v>
      </c>
      <c r="G130">
        <v>31.151104</v>
      </c>
      <c r="H130">
        <v>40.734214999999999</v>
      </c>
      <c r="I130">
        <v>48.025737999999997</v>
      </c>
      <c r="J130">
        <v>54.971947</v>
      </c>
      <c r="K130">
        <v>59.613852999999999</v>
      </c>
      <c r="L130">
        <v>63.869911000000002</v>
      </c>
      <c r="M130">
        <v>68.771148999999994</v>
      </c>
      <c r="N130">
        <v>73.772148000000001</v>
      </c>
      <c r="O130">
        <v>78.840309000000005</v>
      </c>
      <c r="P130">
        <v>83.953598</v>
      </c>
      <c r="Q130">
        <v>89.082618999999994</v>
      </c>
      <c r="R130">
        <v>94.194580000000002</v>
      </c>
      <c r="S130">
        <v>99.306160000000006</v>
      </c>
      <c r="T130">
        <v>104.45790100000001</v>
      </c>
      <c r="U130">
        <v>109.730125</v>
      </c>
      <c r="V130">
        <v>115.12342099999999</v>
      </c>
      <c r="W130">
        <v>120.629929</v>
      </c>
      <c r="X130">
        <v>126.239189</v>
      </c>
      <c r="Y130">
        <v>131.944626</v>
      </c>
      <c r="Z130">
        <v>137.73826600000001</v>
      </c>
      <c r="AA130">
        <v>143.61595199999999</v>
      </c>
      <c r="AB130">
        <v>149.56410199999999</v>
      </c>
      <c r="AC130">
        <v>155.57214400000001</v>
      </c>
      <c r="AD130">
        <v>161.627579</v>
      </c>
      <c r="AE130">
        <v>167.71759</v>
      </c>
      <c r="AF130">
        <v>173.827698</v>
      </c>
      <c r="AG130">
        <v>179.94335899999999</v>
      </c>
      <c r="AH130">
        <v>186.051331</v>
      </c>
      <c r="AI130" s="22">
        <v>8.2000000000000003E-2</v>
      </c>
    </row>
    <row r="131" spans="1:35">
      <c r="A131" t="s">
        <v>219</v>
      </c>
      <c r="B131" t="s">
        <v>1489</v>
      </c>
      <c r="C131" t="s">
        <v>1490</v>
      </c>
      <c r="D131" t="s">
        <v>202</v>
      </c>
      <c r="F131">
        <v>9.9272690000000008</v>
      </c>
      <c r="G131">
        <v>11.185945</v>
      </c>
      <c r="H131">
        <v>11.666002000000001</v>
      </c>
      <c r="I131">
        <v>11.996092000000001</v>
      </c>
      <c r="J131">
        <v>13.228529999999999</v>
      </c>
      <c r="K131">
        <v>14.534067</v>
      </c>
      <c r="L131">
        <v>15.897460000000001</v>
      </c>
      <c r="M131">
        <v>17.308926</v>
      </c>
      <c r="N131">
        <v>18.757919000000001</v>
      </c>
      <c r="O131">
        <v>20.232868</v>
      </c>
      <c r="P131">
        <v>21.725401000000002</v>
      </c>
      <c r="Q131">
        <v>23.224907000000002</v>
      </c>
      <c r="R131">
        <v>24.719524</v>
      </c>
      <c r="S131">
        <v>26.214109000000001</v>
      </c>
      <c r="T131">
        <v>27.721582000000001</v>
      </c>
      <c r="U131">
        <v>29.26877</v>
      </c>
      <c r="V131">
        <v>30.855650000000001</v>
      </c>
      <c r="W131">
        <v>32.479407999999999</v>
      </c>
      <c r="X131">
        <v>34.134968000000001</v>
      </c>
      <c r="Y131">
        <v>35.820602000000001</v>
      </c>
      <c r="Z131">
        <v>37.533295000000003</v>
      </c>
      <c r="AA131">
        <v>39.271095000000003</v>
      </c>
      <c r="AB131">
        <v>41.028694000000002</v>
      </c>
      <c r="AC131">
        <v>42.801788000000002</v>
      </c>
      <c r="AD131">
        <v>44.585773000000003</v>
      </c>
      <c r="AE131">
        <v>46.375937999999998</v>
      </c>
      <c r="AF131">
        <v>48.166649</v>
      </c>
      <c r="AG131">
        <v>49.952205999999997</v>
      </c>
      <c r="AH131">
        <v>51.727398000000001</v>
      </c>
      <c r="AI131" s="22">
        <v>6.0999999999999999E-2</v>
      </c>
    </row>
    <row r="132" spans="1:35">
      <c r="A132" t="s">
        <v>1282</v>
      </c>
      <c r="B132" t="s">
        <v>1491</v>
      </c>
      <c r="C132" t="s">
        <v>1492</v>
      </c>
      <c r="D132" t="s">
        <v>202</v>
      </c>
      <c r="F132">
        <v>375.91976899999997</v>
      </c>
      <c r="G132">
        <v>481.70532200000002</v>
      </c>
      <c r="H132">
        <v>566.80071999999996</v>
      </c>
      <c r="I132">
        <v>619.48498500000005</v>
      </c>
      <c r="J132">
        <v>692.50787400000002</v>
      </c>
      <c r="K132">
        <v>742.44305399999996</v>
      </c>
      <c r="L132">
        <v>789.48498500000005</v>
      </c>
      <c r="M132">
        <v>826.39794900000004</v>
      </c>
      <c r="N132">
        <v>863.72631799999999</v>
      </c>
      <c r="O132">
        <v>901.85369900000001</v>
      </c>
      <c r="P132">
        <v>941.02893100000006</v>
      </c>
      <c r="Q132">
        <v>981.25726299999997</v>
      </c>
      <c r="R132">
        <v>1022.627808</v>
      </c>
      <c r="S132">
        <v>1065.224731</v>
      </c>
      <c r="T132">
        <v>1108.5661620000001</v>
      </c>
      <c r="U132">
        <v>1153.0804439999999</v>
      </c>
      <c r="V132">
        <v>1198.8654790000001</v>
      </c>
      <c r="W132">
        <v>1245.9023440000001</v>
      </c>
      <c r="X132">
        <v>1294.303101</v>
      </c>
      <c r="Y132">
        <v>1343.3957519999999</v>
      </c>
      <c r="Z132">
        <v>1393.615845</v>
      </c>
      <c r="AA132">
        <v>1445.0317379999999</v>
      </c>
      <c r="AB132">
        <v>1497.6895750000001</v>
      </c>
      <c r="AC132">
        <v>1551.5473629999999</v>
      </c>
      <c r="AD132">
        <v>1605.368774</v>
      </c>
      <c r="AE132">
        <v>1660.1064449999999</v>
      </c>
      <c r="AF132">
        <v>1716.0744629999999</v>
      </c>
      <c r="AG132">
        <v>1773.384644</v>
      </c>
      <c r="AH132">
        <v>1832.1719969999999</v>
      </c>
      <c r="AI132" s="22">
        <v>5.8000000000000003E-2</v>
      </c>
    </row>
    <row r="133" spans="1:35">
      <c r="A133" t="s">
        <v>217</v>
      </c>
      <c r="B133" t="s">
        <v>1493</v>
      </c>
      <c r="C133" t="s">
        <v>1494</v>
      </c>
      <c r="D133" t="s">
        <v>202</v>
      </c>
      <c r="F133">
        <v>202.08255</v>
      </c>
      <c r="G133">
        <v>239.99041700000001</v>
      </c>
      <c r="H133">
        <v>264.53637700000002</v>
      </c>
      <c r="I133">
        <v>278.37924199999998</v>
      </c>
      <c r="J133">
        <v>305.40206899999998</v>
      </c>
      <c r="K133">
        <v>325.109375</v>
      </c>
      <c r="L133">
        <v>344.39532500000001</v>
      </c>
      <c r="M133">
        <v>361.64950599999997</v>
      </c>
      <c r="N133">
        <v>379.05777</v>
      </c>
      <c r="O133">
        <v>396.874908</v>
      </c>
      <c r="P133">
        <v>415.19317599999999</v>
      </c>
      <c r="Q133">
        <v>434.01336700000002</v>
      </c>
      <c r="R133">
        <v>453.38519300000002</v>
      </c>
      <c r="S133">
        <v>473.35357699999997</v>
      </c>
      <c r="T133">
        <v>493.69140599999997</v>
      </c>
      <c r="U133">
        <v>514.59161400000005</v>
      </c>
      <c r="V133">
        <v>536.10888699999998</v>
      </c>
      <c r="W133">
        <v>558.22985800000004</v>
      </c>
      <c r="X133">
        <v>581.01440400000001</v>
      </c>
      <c r="Y133">
        <v>604.13098100000002</v>
      </c>
      <c r="Z133">
        <v>627.776794</v>
      </c>
      <c r="AA133">
        <v>651.98644999999999</v>
      </c>
      <c r="AB133">
        <v>676.78234899999995</v>
      </c>
      <c r="AC133">
        <v>702.13751200000002</v>
      </c>
      <c r="AD133">
        <v>727.42218000000003</v>
      </c>
      <c r="AE133">
        <v>753.10339399999998</v>
      </c>
      <c r="AF133">
        <v>779.35504200000003</v>
      </c>
      <c r="AG133">
        <v>806.23724400000003</v>
      </c>
      <c r="AH133">
        <v>833.82495100000006</v>
      </c>
      <c r="AI133" s="22">
        <v>5.1999999999999998E-2</v>
      </c>
    </row>
    <row r="134" spans="1:35">
      <c r="A134" t="s">
        <v>218</v>
      </c>
      <c r="B134" t="s">
        <v>1495</v>
      </c>
      <c r="C134" t="s">
        <v>1496</v>
      </c>
      <c r="D134" t="s">
        <v>202</v>
      </c>
      <c r="F134">
        <v>155.46173099999999</v>
      </c>
      <c r="G134">
        <v>220.74285900000001</v>
      </c>
      <c r="H134">
        <v>279.43624899999998</v>
      </c>
      <c r="I134">
        <v>317.849243</v>
      </c>
      <c r="J134">
        <v>362.02066000000002</v>
      </c>
      <c r="K134">
        <v>390.80450400000001</v>
      </c>
      <c r="L134">
        <v>417.08648699999998</v>
      </c>
      <c r="M134">
        <v>435.25451700000002</v>
      </c>
      <c r="N134">
        <v>453.67334</v>
      </c>
      <c r="O134">
        <v>472.444458</v>
      </c>
      <c r="P134">
        <v>491.71816999999999</v>
      </c>
      <c r="Q134">
        <v>511.49902300000002</v>
      </c>
      <c r="R134">
        <v>531.82147199999997</v>
      </c>
      <c r="S134">
        <v>552.72070299999996</v>
      </c>
      <c r="T134">
        <v>573.96124299999997</v>
      </c>
      <c r="U134">
        <v>595.76293899999996</v>
      </c>
      <c r="V134">
        <v>618.16339100000005</v>
      </c>
      <c r="W134">
        <v>641.15844700000002</v>
      </c>
      <c r="X134">
        <v>664.79449499999998</v>
      </c>
      <c r="Y134">
        <v>688.76110800000004</v>
      </c>
      <c r="Z134">
        <v>713.28021200000001</v>
      </c>
      <c r="AA134">
        <v>738.38207999999997</v>
      </c>
      <c r="AB134">
        <v>764.08868399999994</v>
      </c>
      <c r="AC134">
        <v>790.38763400000005</v>
      </c>
      <c r="AD134">
        <v>816.730591</v>
      </c>
      <c r="AE134">
        <v>843.56140100000005</v>
      </c>
      <c r="AF134">
        <v>871.00286900000003</v>
      </c>
      <c r="AG134">
        <v>899.10162400000002</v>
      </c>
      <c r="AH134">
        <v>927.90972899999997</v>
      </c>
      <c r="AI134" s="22">
        <v>6.6000000000000003E-2</v>
      </c>
    </row>
    <row r="135" spans="1:35">
      <c r="A135" t="s">
        <v>219</v>
      </c>
      <c r="B135" t="s">
        <v>1497</v>
      </c>
      <c r="C135" t="s">
        <v>1498</v>
      </c>
      <c r="D135" t="s">
        <v>202</v>
      </c>
      <c r="F135">
        <v>18.375473</v>
      </c>
      <c r="G135">
        <v>20.972035999999999</v>
      </c>
      <c r="H135">
        <v>22.828130999999999</v>
      </c>
      <c r="I135">
        <v>23.256474000000001</v>
      </c>
      <c r="J135">
        <v>25.085111999999999</v>
      </c>
      <c r="K135">
        <v>26.529171000000002</v>
      </c>
      <c r="L135">
        <v>28.003108999999998</v>
      </c>
      <c r="M135">
        <v>29.493925000000001</v>
      </c>
      <c r="N135">
        <v>30.995201000000002</v>
      </c>
      <c r="O135">
        <v>32.534325000000003</v>
      </c>
      <c r="P135">
        <v>34.117558000000002</v>
      </c>
      <c r="Q135">
        <v>35.744843000000003</v>
      </c>
      <c r="R135">
        <v>37.421059</v>
      </c>
      <c r="S135">
        <v>39.150475</v>
      </c>
      <c r="T135">
        <v>40.913345</v>
      </c>
      <c r="U135">
        <v>42.7258</v>
      </c>
      <c r="V135">
        <v>44.593226999999999</v>
      </c>
      <c r="W135">
        <v>46.514130000000002</v>
      </c>
      <c r="X135">
        <v>48.494213000000002</v>
      </c>
      <c r="Y135">
        <v>50.503624000000002</v>
      </c>
      <c r="Z135">
        <v>52.558903000000001</v>
      </c>
      <c r="AA135">
        <v>54.663254000000002</v>
      </c>
      <c r="AB135">
        <v>56.818660999999999</v>
      </c>
      <c r="AC135">
        <v>59.022284999999997</v>
      </c>
      <c r="AD135">
        <v>61.216000000000001</v>
      </c>
      <c r="AE135">
        <v>63.441715000000002</v>
      </c>
      <c r="AF135">
        <v>65.716399999999993</v>
      </c>
      <c r="AG135">
        <v>68.045783999999998</v>
      </c>
      <c r="AH135">
        <v>70.437195000000003</v>
      </c>
      <c r="AI135" s="22">
        <v>4.9000000000000002E-2</v>
      </c>
    </row>
    <row r="136" spans="1:35">
      <c r="A136" t="s">
        <v>1285</v>
      </c>
      <c r="B136" t="s">
        <v>1499</v>
      </c>
      <c r="C136" t="s">
        <v>1500</v>
      </c>
      <c r="D136" t="s">
        <v>202</v>
      </c>
      <c r="F136">
        <v>162.27954099999999</v>
      </c>
      <c r="G136">
        <v>220.34437600000001</v>
      </c>
      <c r="H136">
        <v>283.60168499999997</v>
      </c>
      <c r="I136">
        <v>335.28662100000003</v>
      </c>
      <c r="J136">
        <v>373.78436299999998</v>
      </c>
      <c r="K136">
        <v>399.65692100000001</v>
      </c>
      <c r="L136">
        <v>424.588165</v>
      </c>
      <c r="M136">
        <v>444.73553500000003</v>
      </c>
      <c r="N136">
        <v>465.55981400000002</v>
      </c>
      <c r="O136">
        <v>486.492706</v>
      </c>
      <c r="P136">
        <v>508.21795700000001</v>
      </c>
      <c r="Q136">
        <v>530.80432099999996</v>
      </c>
      <c r="R136">
        <v>554.29113800000005</v>
      </c>
      <c r="S136">
        <v>578.72289999999998</v>
      </c>
      <c r="T136">
        <v>603.86834699999997</v>
      </c>
      <c r="U136">
        <v>629.992615</v>
      </c>
      <c r="V136">
        <v>657.12609899999995</v>
      </c>
      <c r="W136">
        <v>685.28576699999996</v>
      </c>
      <c r="X136">
        <v>714.50665300000003</v>
      </c>
      <c r="Y136">
        <v>744.58624299999997</v>
      </c>
      <c r="Z136">
        <v>775.77813700000002</v>
      </c>
      <c r="AA136">
        <v>808.120544</v>
      </c>
      <c r="AB136">
        <v>841.64727800000003</v>
      </c>
      <c r="AC136">
        <v>876.40563999999995</v>
      </c>
      <c r="AD136">
        <v>912.07891800000004</v>
      </c>
      <c r="AE136">
        <v>949.02533000000005</v>
      </c>
      <c r="AF136">
        <v>987.29339600000003</v>
      </c>
      <c r="AG136">
        <v>1026.921143</v>
      </c>
      <c r="AH136">
        <v>1067.9521480000001</v>
      </c>
      <c r="AI136" s="22">
        <v>7.0000000000000007E-2</v>
      </c>
    </row>
    <row r="137" spans="1:35">
      <c r="A137" t="s">
        <v>217</v>
      </c>
      <c r="B137" t="s">
        <v>1501</v>
      </c>
      <c r="C137" t="s">
        <v>1502</v>
      </c>
      <c r="D137" t="s">
        <v>202</v>
      </c>
      <c r="F137">
        <v>47.925185999999997</v>
      </c>
      <c r="G137">
        <v>65.206665000000001</v>
      </c>
      <c r="H137">
        <v>84.260093999999995</v>
      </c>
      <c r="I137">
        <v>98.283669000000003</v>
      </c>
      <c r="J137">
        <v>106.965828</v>
      </c>
      <c r="K137">
        <v>113.162628</v>
      </c>
      <c r="L137">
        <v>119.248817</v>
      </c>
      <c r="M137">
        <v>124.49781</v>
      </c>
      <c r="N137">
        <v>129.91471899999999</v>
      </c>
      <c r="O137">
        <v>135.37001000000001</v>
      </c>
      <c r="P137">
        <v>140.99529999999999</v>
      </c>
      <c r="Q137">
        <v>146.82103000000001</v>
      </c>
      <c r="R137">
        <v>152.85952800000001</v>
      </c>
      <c r="S137">
        <v>159.126328</v>
      </c>
      <c r="T137">
        <v>165.56712300000001</v>
      </c>
      <c r="U137">
        <v>172.23751799999999</v>
      </c>
      <c r="V137">
        <v>179.143967</v>
      </c>
      <c r="W137">
        <v>186.28448499999999</v>
      </c>
      <c r="X137">
        <v>193.666122</v>
      </c>
      <c r="Y137">
        <v>201.24624600000001</v>
      </c>
      <c r="Z137">
        <v>209.07875100000001</v>
      </c>
      <c r="AA137">
        <v>217.173676</v>
      </c>
      <c r="AB137">
        <v>225.537994</v>
      </c>
      <c r="AC137">
        <v>234.18237300000001</v>
      </c>
      <c r="AD137">
        <v>243.03521699999999</v>
      </c>
      <c r="AE137">
        <v>252.17364499999999</v>
      </c>
      <c r="AF137">
        <v>261.61105300000003</v>
      </c>
      <c r="AG137">
        <v>271.35537699999998</v>
      </c>
      <c r="AH137">
        <v>281.41656499999999</v>
      </c>
      <c r="AI137" s="22">
        <v>6.5000000000000002E-2</v>
      </c>
    </row>
    <row r="138" spans="1:35">
      <c r="A138" t="s">
        <v>218</v>
      </c>
      <c r="B138" t="s">
        <v>1503</v>
      </c>
      <c r="C138" t="s">
        <v>1504</v>
      </c>
      <c r="D138" t="s">
        <v>202</v>
      </c>
      <c r="F138">
        <v>111.985527</v>
      </c>
      <c r="G138">
        <v>151.942352</v>
      </c>
      <c r="H138">
        <v>195.23732000000001</v>
      </c>
      <c r="I138">
        <v>232.306488</v>
      </c>
      <c r="J138">
        <v>261.88717700000001</v>
      </c>
      <c r="K138">
        <v>281.36276199999998</v>
      </c>
      <c r="L138">
        <v>300.00149499999998</v>
      </c>
      <c r="M138">
        <v>314.694458</v>
      </c>
      <c r="N138">
        <v>329.890533</v>
      </c>
      <c r="O138">
        <v>345.15454099999999</v>
      </c>
      <c r="P138">
        <v>361.03707900000001</v>
      </c>
      <c r="Q138">
        <v>377.57427999999999</v>
      </c>
      <c r="R138">
        <v>394.79260299999999</v>
      </c>
      <c r="S138">
        <v>412.71994000000001</v>
      </c>
      <c r="T138">
        <v>431.18127399999997</v>
      </c>
      <c r="U138">
        <v>450.384613</v>
      </c>
      <c r="V138">
        <v>470.35406499999999</v>
      </c>
      <c r="W138">
        <v>491.10906999999997</v>
      </c>
      <c r="X138">
        <v>512.677368</v>
      </c>
      <c r="Y138">
        <v>534.90020800000002</v>
      </c>
      <c r="Z138">
        <v>557.97601299999997</v>
      </c>
      <c r="AA138">
        <v>581.93243399999994</v>
      </c>
      <c r="AB138">
        <v>606.79632600000002</v>
      </c>
      <c r="AC138">
        <v>632.60412599999995</v>
      </c>
      <c r="AD138">
        <v>659.11236599999995</v>
      </c>
      <c r="AE138">
        <v>686.60070800000005</v>
      </c>
      <c r="AF138">
        <v>715.10357699999997</v>
      </c>
      <c r="AG138">
        <v>744.650757</v>
      </c>
      <c r="AH138">
        <v>775.27581799999996</v>
      </c>
      <c r="AI138" s="22">
        <v>7.1999999999999995E-2</v>
      </c>
    </row>
    <row r="139" spans="1:35">
      <c r="A139" t="s">
        <v>219</v>
      </c>
      <c r="B139" t="s">
        <v>1505</v>
      </c>
      <c r="C139" t="s">
        <v>1506</v>
      </c>
      <c r="D139" t="s">
        <v>202</v>
      </c>
      <c r="F139">
        <v>2.3688289999999999</v>
      </c>
      <c r="G139">
        <v>3.1953429999999998</v>
      </c>
      <c r="H139">
        <v>4.1042870000000002</v>
      </c>
      <c r="I139">
        <v>4.6964689999999996</v>
      </c>
      <c r="J139">
        <v>4.9313560000000001</v>
      </c>
      <c r="K139">
        <v>5.1315350000000004</v>
      </c>
      <c r="L139">
        <v>5.3378620000000003</v>
      </c>
      <c r="M139">
        <v>5.5432589999999999</v>
      </c>
      <c r="N139">
        <v>5.7545710000000003</v>
      </c>
      <c r="O139">
        <v>5.968172</v>
      </c>
      <c r="P139">
        <v>6.1855859999999998</v>
      </c>
      <c r="Q139">
        <v>6.4089879999999999</v>
      </c>
      <c r="R139">
        <v>6.6390180000000001</v>
      </c>
      <c r="S139">
        <v>6.8765869999999998</v>
      </c>
      <c r="T139">
        <v>7.1200349999999997</v>
      </c>
      <c r="U139">
        <v>7.3704929999999997</v>
      </c>
      <c r="V139">
        <v>7.6280970000000003</v>
      </c>
      <c r="W139">
        <v>7.8922679999999996</v>
      </c>
      <c r="X139">
        <v>8.1631269999999994</v>
      </c>
      <c r="Y139">
        <v>8.4397870000000008</v>
      </c>
      <c r="Z139">
        <v>8.7234130000000007</v>
      </c>
      <c r="AA139">
        <v>9.0144040000000007</v>
      </c>
      <c r="AB139">
        <v>9.3128930000000008</v>
      </c>
      <c r="AC139">
        <v>9.6191580000000005</v>
      </c>
      <c r="AD139">
        <v>9.93126</v>
      </c>
      <c r="AE139">
        <v>10.250947</v>
      </c>
      <c r="AF139">
        <v>10.578808</v>
      </c>
      <c r="AG139">
        <v>10.914996</v>
      </c>
      <c r="AH139">
        <v>11.259789</v>
      </c>
      <c r="AI139" s="22">
        <v>5.7000000000000002E-2</v>
      </c>
    </row>
    <row r="140" spans="1:35">
      <c r="A140" t="s">
        <v>213</v>
      </c>
      <c r="B140" t="s">
        <v>1507</v>
      </c>
      <c r="C140" t="s">
        <v>1508</v>
      </c>
      <c r="D140" t="s">
        <v>202</v>
      </c>
      <c r="F140">
        <v>108.068314</v>
      </c>
      <c r="G140">
        <v>134.33866900000001</v>
      </c>
      <c r="H140">
        <v>160.460846</v>
      </c>
      <c r="I140">
        <v>175.372849</v>
      </c>
      <c r="J140">
        <v>190.59790000000001</v>
      </c>
      <c r="K140">
        <v>200.96203600000001</v>
      </c>
      <c r="L140">
        <v>209.95349100000001</v>
      </c>
      <c r="M140">
        <v>219.482651</v>
      </c>
      <c r="N140">
        <v>229.459</v>
      </c>
      <c r="O140">
        <v>239.86399800000001</v>
      </c>
      <c r="P140">
        <v>250.63970900000001</v>
      </c>
      <c r="Q140">
        <v>261.76123000000001</v>
      </c>
      <c r="R140">
        <v>273.22671500000001</v>
      </c>
      <c r="S140">
        <v>285.03585800000002</v>
      </c>
      <c r="T140">
        <v>297.30960099999999</v>
      </c>
      <c r="U140">
        <v>309.96319599999998</v>
      </c>
      <c r="V140">
        <v>322.98092700000001</v>
      </c>
      <c r="W140">
        <v>336.36114500000002</v>
      </c>
      <c r="X140">
        <v>350.11276199999998</v>
      </c>
      <c r="Y140">
        <v>364.35461400000003</v>
      </c>
      <c r="Z140">
        <v>378.99136399999998</v>
      </c>
      <c r="AA140">
        <v>394.01416</v>
      </c>
      <c r="AB140">
        <v>409.428406</v>
      </c>
      <c r="AC140">
        <v>425.250519</v>
      </c>
      <c r="AD140">
        <v>441.58010899999999</v>
      </c>
      <c r="AE140">
        <v>458.33084100000002</v>
      </c>
      <c r="AF140">
        <v>475.49792500000001</v>
      </c>
      <c r="AG140">
        <v>493.08587599999998</v>
      </c>
      <c r="AH140">
        <v>511.11007699999999</v>
      </c>
      <c r="AI140" s="22">
        <v>5.7000000000000002E-2</v>
      </c>
    </row>
    <row r="141" spans="1:35">
      <c r="A141" t="s">
        <v>217</v>
      </c>
      <c r="B141" t="s">
        <v>1509</v>
      </c>
      <c r="C141" t="s">
        <v>1510</v>
      </c>
      <c r="D141" t="s">
        <v>202</v>
      </c>
      <c r="F141">
        <v>45.485579999999999</v>
      </c>
      <c r="G141">
        <v>55.676124999999999</v>
      </c>
      <c r="H141">
        <v>66.977654000000001</v>
      </c>
      <c r="I141">
        <v>72.654563999999993</v>
      </c>
      <c r="J141">
        <v>78.271675000000002</v>
      </c>
      <c r="K141">
        <v>82.364295999999996</v>
      </c>
      <c r="L141">
        <v>86.127701000000002</v>
      </c>
      <c r="M141">
        <v>90.092490999999995</v>
      </c>
      <c r="N141">
        <v>94.245590000000007</v>
      </c>
      <c r="O141">
        <v>98.584045000000003</v>
      </c>
      <c r="P141">
        <v>103.082115</v>
      </c>
      <c r="Q141">
        <v>107.73053</v>
      </c>
      <c r="R141">
        <v>112.529045</v>
      </c>
      <c r="S141">
        <v>117.478104</v>
      </c>
      <c r="T141">
        <v>122.62938699999999</v>
      </c>
      <c r="U141">
        <v>127.946747</v>
      </c>
      <c r="V141">
        <v>133.42456100000001</v>
      </c>
      <c r="W141">
        <v>139.062714</v>
      </c>
      <c r="X141">
        <v>144.863831</v>
      </c>
      <c r="Y141">
        <v>150.87931800000001</v>
      </c>
      <c r="Z141">
        <v>157.06916799999999</v>
      </c>
      <c r="AA141">
        <v>163.43048099999999</v>
      </c>
      <c r="AB141">
        <v>169.96601899999999</v>
      </c>
      <c r="AC141">
        <v>176.68287699999999</v>
      </c>
      <c r="AD141">
        <v>183.623535</v>
      </c>
      <c r="AE141">
        <v>190.75221300000001</v>
      </c>
      <c r="AF141">
        <v>198.06779499999999</v>
      </c>
      <c r="AG141">
        <v>205.57281499999999</v>
      </c>
      <c r="AH141">
        <v>213.27409399999999</v>
      </c>
      <c r="AI141" s="22">
        <v>5.7000000000000002E-2</v>
      </c>
    </row>
    <row r="142" spans="1:35">
      <c r="A142" t="s">
        <v>218</v>
      </c>
      <c r="B142" t="s">
        <v>1511</v>
      </c>
      <c r="C142" t="s">
        <v>1512</v>
      </c>
      <c r="D142" t="s">
        <v>202</v>
      </c>
      <c r="F142">
        <v>57.727024</v>
      </c>
      <c r="G142">
        <v>72.771004000000005</v>
      </c>
      <c r="H142">
        <v>86.377089999999995</v>
      </c>
      <c r="I142">
        <v>95.095618999999999</v>
      </c>
      <c r="J142">
        <v>104.223206</v>
      </c>
      <c r="K142">
        <v>110.09704600000001</v>
      </c>
      <c r="L142">
        <v>114.92420199999999</v>
      </c>
      <c r="M142">
        <v>120.06993900000001</v>
      </c>
      <c r="N142">
        <v>125.454285</v>
      </c>
      <c r="O142">
        <v>131.06126399999999</v>
      </c>
      <c r="P142">
        <v>136.86163300000001</v>
      </c>
      <c r="Q142">
        <v>142.84060700000001</v>
      </c>
      <c r="R142">
        <v>148.99646000000001</v>
      </c>
      <c r="S142">
        <v>155.32835399999999</v>
      </c>
      <c r="T142">
        <v>161.89987199999999</v>
      </c>
      <c r="U142">
        <v>168.666382</v>
      </c>
      <c r="V142">
        <v>175.618225</v>
      </c>
      <c r="W142">
        <v>182.753784</v>
      </c>
      <c r="X142">
        <v>190.07925399999999</v>
      </c>
      <c r="Y142">
        <v>197.656296</v>
      </c>
      <c r="Z142">
        <v>205.43386799999999</v>
      </c>
      <c r="AA142">
        <v>213.40623500000001</v>
      </c>
      <c r="AB142">
        <v>221.57566800000001</v>
      </c>
      <c r="AC142">
        <v>229.95066800000001</v>
      </c>
      <c r="AD142">
        <v>238.58374000000001</v>
      </c>
      <c r="AE142">
        <v>247.42799400000001</v>
      </c>
      <c r="AF142">
        <v>256.47988900000001</v>
      </c>
      <c r="AG142">
        <v>265.74093599999998</v>
      </c>
      <c r="AH142">
        <v>275.21890300000001</v>
      </c>
      <c r="AI142" s="22">
        <v>5.7000000000000002E-2</v>
      </c>
    </row>
    <row r="143" spans="1:35">
      <c r="A143" t="s">
        <v>219</v>
      </c>
      <c r="B143" t="s">
        <v>1513</v>
      </c>
      <c r="C143" t="s">
        <v>1514</v>
      </c>
      <c r="D143" t="s">
        <v>202</v>
      </c>
      <c r="F143">
        <v>4.855702</v>
      </c>
      <c r="G143">
        <v>5.891534</v>
      </c>
      <c r="H143">
        <v>7.1060939999999997</v>
      </c>
      <c r="I143">
        <v>7.6226510000000003</v>
      </c>
      <c r="J143">
        <v>8.1030320000000007</v>
      </c>
      <c r="K143">
        <v>8.5006830000000004</v>
      </c>
      <c r="L143">
        <v>8.9015810000000002</v>
      </c>
      <c r="M143">
        <v>9.3202309999999997</v>
      </c>
      <c r="N143">
        <v>9.7591210000000004</v>
      </c>
      <c r="O143">
        <v>10.218685000000001</v>
      </c>
      <c r="P143">
        <v>10.695945999999999</v>
      </c>
      <c r="Q143">
        <v>11.190096</v>
      </c>
      <c r="R143">
        <v>11.701198</v>
      </c>
      <c r="S143">
        <v>12.229378000000001</v>
      </c>
      <c r="T143">
        <v>12.780315999999999</v>
      </c>
      <c r="U143">
        <v>13.350054</v>
      </c>
      <c r="V143">
        <v>13.938138</v>
      </c>
      <c r="W143">
        <v>14.544650000000001</v>
      </c>
      <c r="X143">
        <v>15.169689</v>
      </c>
      <c r="Y143">
        <v>15.819004</v>
      </c>
      <c r="Z143">
        <v>16.488309999999998</v>
      </c>
      <c r="AA143">
        <v>17.177424999999999</v>
      </c>
      <c r="AB143">
        <v>17.886718999999999</v>
      </c>
      <c r="AC143">
        <v>18.616985</v>
      </c>
      <c r="AD143">
        <v>19.372869000000001</v>
      </c>
      <c r="AE143">
        <v>20.150623</v>
      </c>
      <c r="AF143">
        <v>20.950258000000002</v>
      </c>
      <c r="AG143">
        <v>21.772144000000001</v>
      </c>
      <c r="AH143">
        <v>22.617076999999998</v>
      </c>
      <c r="AI143" s="22">
        <v>5.6000000000000001E-2</v>
      </c>
    </row>
    <row r="144" spans="1:35">
      <c r="A144" t="s">
        <v>1290</v>
      </c>
      <c r="B144" t="s">
        <v>1515</v>
      </c>
      <c r="C144" t="s">
        <v>1516</v>
      </c>
      <c r="D144" t="s">
        <v>202</v>
      </c>
      <c r="F144">
        <v>87.274039999999999</v>
      </c>
      <c r="G144">
        <v>97.675728000000007</v>
      </c>
      <c r="H144">
        <v>104.957893</v>
      </c>
      <c r="I144">
        <v>111.186455</v>
      </c>
      <c r="J144">
        <v>117.21154</v>
      </c>
      <c r="K144">
        <v>121.512398</v>
      </c>
      <c r="L144">
        <v>125.17572</v>
      </c>
      <c r="M144">
        <v>128.093277</v>
      </c>
      <c r="N144">
        <v>130.81806900000001</v>
      </c>
      <c r="O144">
        <v>133.28259299999999</v>
      </c>
      <c r="P144">
        <v>135.629974</v>
      </c>
      <c r="Q144">
        <v>137.85252399999999</v>
      </c>
      <c r="R144">
        <v>139.94085699999999</v>
      </c>
      <c r="S144">
        <v>141.886719</v>
      </c>
      <c r="T144">
        <v>143.68980400000001</v>
      </c>
      <c r="U144">
        <v>145.369553</v>
      </c>
      <c r="V144">
        <v>146.93897999999999</v>
      </c>
      <c r="W144">
        <v>148.411224</v>
      </c>
      <c r="X144">
        <v>149.79480000000001</v>
      </c>
      <c r="Y144">
        <v>151.101685</v>
      </c>
      <c r="Z144">
        <v>152.338089</v>
      </c>
      <c r="AA144">
        <v>153.50933800000001</v>
      </c>
      <c r="AB144">
        <v>154.61885100000001</v>
      </c>
      <c r="AC144">
        <v>155.67060900000001</v>
      </c>
      <c r="AD144">
        <v>156.67411799999999</v>
      </c>
      <c r="AE144">
        <v>157.629074</v>
      </c>
      <c r="AF144">
        <v>158.53407300000001</v>
      </c>
      <c r="AG144">
        <v>159.38314800000001</v>
      </c>
      <c r="AH144">
        <v>160.178146</v>
      </c>
      <c r="AI144" s="22">
        <v>2.1999999999999999E-2</v>
      </c>
    </row>
    <row r="145" spans="1:35">
      <c r="A145" t="s">
        <v>217</v>
      </c>
      <c r="B145" t="s">
        <v>1517</v>
      </c>
      <c r="C145" t="s">
        <v>1518</v>
      </c>
      <c r="D145" t="s">
        <v>202</v>
      </c>
      <c r="F145">
        <v>55.069285999999998</v>
      </c>
      <c r="G145">
        <v>58.950187999999997</v>
      </c>
      <c r="H145">
        <v>60.784492</v>
      </c>
      <c r="I145">
        <v>63.028281999999997</v>
      </c>
      <c r="J145">
        <v>65.069220999999999</v>
      </c>
      <c r="K145">
        <v>66.783760000000001</v>
      </c>
      <c r="L145">
        <v>68.396538000000007</v>
      </c>
      <c r="M145">
        <v>69.879149999999996</v>
      </c>
      <c r="N145">
        <v>71.271529999999998</v>
      </c>
      <c r="O145">
        <v>72.542534000000003</v>
      </c>
      <c r="P145">
        <v>73.758780999999999</v>
      </c>
      <c r="Q145">
        <v>74.916718000000003</v>
      </c>
      <c r="R145">
        <v>76.011939999999996</v>
      </c>
      <c r="S145">
        <v>77.040688000000003</v>
      </c>
      <c r="T145">
        <v>78.002571000000003</v>
      </c>
      <c r="U145">
        <v>78.906502000000003</v>
      </c>
      <c r="V145">
        <v>79.758544999999998</v>
      </c>
      <c r="W145">
        <v>80.564812000000003</v>
      </c>
      <c r="X145">
        <v>81.327788999999996</v>
      </c>
      <c r="Y145">
        <v>82.053589000000002</v>
      </c>
      <c r="Z145">
        <v>82.744964999999993</v>
      </c>
      <c r="AA145">
        <v>83.404449</v>
      </c>
      <c r="AB145">
        <v>84.033835999999994</v>
      </c>
      <c r="AC145">
        <v>84.634856999999997</v>
      </c>
      <c r="AD145">
        <v>85.210953000000003</v>
      </c>
      <c r="AE145">
        <v>85.762046999999995</v>
      </c>
      <c r="AF145">
        <v>86.288871999999998</v>
      </c>
      <c r="AG145">
        <v>86.790169000000006</v>
      </c>
      <c r="AH145">
        <v>87.267905999999996</v>
      </c>
      <c r="AI145" s="22">
        <v>1.7000000000000001E-2</v>
      </c>
    </row>
    <row r="146" spans="1:35">
      <c r="A146" t="s">
        <v>218</v>
      </c>
      <c r="B146" t="s">
        <v>1519</v>
      </c>
      <c r="C146" t="s">
        <v>1520</v>
      </c>
      <c r="D146" t="s">
        <v>202</v>
      </c>
      <c r="F146">
        <v>24.418623</v>
      </c>
      <c r="G146">
        <v>30.534485</v>
      </c>
      <c r="H146">
        <v>35.821396</v>
      </c>
      <c r="I146">
        <v>39.563567999999997</v>
      </c>
      <c r="J146">
        <v>43.337069999999997</v>
      </c>
      <c r="K146">
        <v>45.72522</v>
      </c>
      <c r="L146">
        <v>47.578659000000002</v>
      </c>
      <c r="M146">
        <v>48.819865999999998</v>
      </c>
      <c r="N146">
        <v>49.969912999999998</v>
      </c>
      <c r="O146">
        <v>50.996322999999997</v>
      </c>
      <c r="P146">
        <v>51.967243000000003</v>
      </c>
      <c r="Q146">
        <v>52.878990000000002</v>
      </c>
      <c r="R146">
        <v>53.727093000000004</v>
      </c>
      <c r="S146">
        <v>54.507576</v>
      </c>
      <c r="T146">
        <v>55.220581000000003</v>
      </c>
      <c r="U146">
        <v>55.875506999999999</v>
      </c>
      <c r="V146">
        <v>56.478569</v>
      </c>
      <c r="W146">
        <v>57.035995</v>
      </c>
      <c r="X146">
        <v>57.553618999999998</v>
      </c>
      <c r="Y146">
        <v>58.036453000000002</v>
      </c>
      <c r="Z146">
        <v>58.487693999999998</v>
      </c>
      <c r="AA146">
        <v>58.909728999999999</v>
      </c>
      <c r="AB146">
        <v>59.304004999999997</v>
      </c>
      <c r="AC146">
        <v>59.672576999999997</v>
      </c>
      <c r="AD146">
        <v>60.021061000000003</v>
      </c>
      <c r="AE146">
        <v>60.349293000000003</v>
      </c>
      <c r="AF146">
        <v>60.654957000000003</v>
      </c>
      <c r="AG146">
        <v>60.933376000000003</v>
      </c>
      <c r="AH146">
        <v>61.184170000000002</v>
      </c>
      <c r="AI146" s="22">
        <v>3.3000000000000002E-2</v>
      </c>
    </row>
    <row r="147" spans="1:35">
      <c r="A147" t="s">
        <v>219</v>
      </c>
      <c r="B147" t="s">
        <v>1521</v>
      </c>
      <c r="C147" t="s">
        <v>1522</v>
      </c>
      <c r="D147" t="s">
        <v>202</v>
      </c>
      <c r="F147">
        <v>7.7861359999999999</v>
      </c>
      <c r="G147">
        <v>8.1910520000000009</v>
      </c>
      <c r="H147">
        <v>8.3520000000000003</v>
      </c>
      <c r="I147">
        <v>8.5946079999999991</v>
      </c>
      <c r="J147">
        <v>8.8052489999999999</v>
      </c>
      <c r="K147">
        <v>9.0034290000000006</v>
      </c>
      <c r="L147">
        <v>9.2005160000000004</v>
      </c>
      <c r="M147">
        <v>9.3942560000000004</v>
      </c>
      <c r="N147">
        <v>9.5766290000000005</v>
      </c>
      <c r="O147">
        <v>9.7437380000000005</v>
      </c>
      <c r="P147">
        <v>9.9039549999999998</v>
      </c>
      <c r="Q147">
        <v>10.056832999999999</v>
      </c>
      <c r="R147">
        <v>10.201817999999999</v>
      </c>
      <c r="S147">
        <v>10.338438999999999</v>
      </c>
      <c r="T147">
        <v>10.46664</v>
      </c>
      <c r="U147">
        <v>10.587524</v>
      </c>
      <c r="V147">
        <v>10.701859000000001</v>
      </c>
      <c r="W147">
        <v>10.810409999999999</v>
      </c>
      <c r="X147">
        <v>10.913398000000001</v>
      </c>
      <c r="Y147">
        <v>11.011628</v>
      </c>
      <c r="Z147">
        <v>11.105437</v>
      </c>
      <c r="AA147">
        <v>11.195148</v>
      </c>
      <c r="AB147">
        <v>11.280993</v>
      </c>
      <c r="AC147">
        <v>11.363185</v>
      </c>
      <c r="AD147">
        <v>11.442098</v>
      </c>
      <c r="AE147">
        <v>11.517728</v>
      </c>
      <c r="AF147">
        <v>11.590244</v>
      </c>
      <c r="AG147">
        <v>11.659587999999999</v>
      </c>
      <c r="AH147">
        <v>11.726065</v>
      </c>
      <c r="AI147" s="22">
        <v>1.4999999999999999E-2</v>
      </c>
    </row>
    <row r="148" spans="1:35">
      <c r="A148" t="s">
        <v>1293</v>
      </c>
      <c r="B148" t="s">
        <v>1523</v>
      </c>
      <c r="C148" t="s">
        <v>1524</v>
      </c>
      <c r="D148" t="s">
        <v>202</v>
      </c>
      <c r="F148">
        <v>79.301177999999993</v>
      </c>
      <c r="G148">
        <v>101.63005099999999</v>
      </c>
      <c r="H148">
        <v>121.146072</v>
      </c>
      <c r="I148">
        <v>133.75103799999999</v>
      </c>
      <c r="J148">
        <v>144.38346899999999</v>
      </c>
      <c r="K148">
        <v>151.58453399999999</v>
      </c>
      <c r="L148">
        <v>157.44383199999999</v>
      </c>
      <c r="M148">
        <v>162.801773</v>
      </c>
      <c r="N148">
        <v>168.194412</v>
      </c>
      <c r="O148">
        <v>173.57832300000001</v>
      </c>
      <c r="P148">
        <v>179.07577499999999</v>
      </c>
      <c r="Q148">
        <v>184.704071</v>
      </c>
      <c r="R148">
        <v>190.47181699999999</v>
      </c>
      <c r="S148">
        <v>196.386841</v>
      </c>
      <c r="T148">
        <v>202.43138099999999</v>
      </c>
      <c r="U148">
        <v>208.633804</v>
      </c>
      <c r="V148">
        <v>214.996399</v>
      </c>
      <c r="W148">
        <v>221.51997399999999</v>
      </c>
      <c r="X148">
        <v>228.20277400000001</v>
      </c>
      <c r="Y148">
        <v>235.039368</v>
      </c>
      <c r="Z148">
        <v>242.04367099999999</v>
      </c>
      <c r="AA148">
        <v>249.21748400000001</v>
      </c>
      <c r="AB148">
        <v>256.56286599999999</v>
      </c>
      <c r="AC148">
        <v>264.08050500000002</v>
      </c>
      <c r="AD148">
        <v>271.71682700000002</v>
      </c>
      <c r="AE148">
        <v>279.52886999999998</v>
      </c>
      <c r="AF148">
        <v>287.52255200000002</v>
      </c>
      <c r="AG148">
        <v>295.70309400000002</v>
      </c>
      <c r="AH148">
        <v>304.07415800000001</v>
      </c>
      <c r="AI148" s="22">
        <v>4.9000000000000002E-2</v>
      </c>
    </row>
    <row r="149" spans="1:35">
      <c r="A149" t="s">
        <v>217</v>
      </c>
      <c r="B149" t="s">
        <v>1525</v>
      </c>
      <c r="C149" t="s">
        <v>1526</v>
      </c>
      <c r="D149" t="s">
        <v>202</v>
      </c>
      <c r="F149">
        <v>47.678085000000003</v>
      </c>
      <c r="G149">
        <v>60.579250000000002</v>
      </c>
      <c r="H149">
        <v>71.433159000000003</v>
      </c>
      <c r="I149">
        <v>77.759079</v>
      </c>
      <c r="J149">
        <v>83.222747999999996</v>
      </c>
      <c r="K149">
        <v>87.090667999999994</v>
      </c>
      <c r="L149">
        <v>90.329620000000006</v>
      </c>
      <c r="M149">
        <v>93.328048999999993</v>
      </c>
      <c r="N149">
        <v>96.334464999999994</v>
      </c>
      <c r="O149">
        <v>99.321999000000005</v>
      </c>
      <c r="P149">
        <v>102.368782</v>
      </c>
      <c r="Q149">
        <v>105.485298</v>
      </c>
      <c r="R149">
        <v>108.67620100000001</v>
      </c>
      <c r="S149">
        <v>111.94573200000001</v>
      </c>
      <c r="T149">
        <v>115.283394</v>
      </c>
      <c r="U149">
        <v>118.70564299999999</v>
      </c>
      <c r="V149">
        <v>122.213562</v>
      </c>
      <c r="W149">
        <v>125.807327</v>
      </c>
      <c r="X149">
        <v>129.48561100000001</v>
      </c>
      <c r="Y149">
        <v>133.24620100000001</v>
      </c>
      <c r="Z149">
        <v>137.09582499999999</v>
      </c>
      <c r="AA149">
        <v>141.03517199999999</v>
      </c>
      <c r="AB149">
        <v>145.06509399999999</v>
      </c>
      <c r="AC149">
        <v>149.185654</v>
      </c>
      <c r="AD149">
        <v>153.36450199999999</v>
      </c>
      <c r="AE149">
        <v>157.63568100000001</v>
      </c>
      <c r="AF149">
        <v>162.00212099999999</v>
      </c>
      <c r="AG149">
        <v>166.46650700000001</v>
      </c>
      <c r="AH149">
        <v>171.03038000000001</v>
      </c>
      <c r="AI149" s="22">
        <v>4.7E-2</v>
      </c>
    </row>
    <row r="150" spans="1:35">
      <c r="A150" t="s">
        <v>218</v>
      </c>
      <c r="B150" t="s">
        <v>1527</v>
      </c>
      <c r="C150" t="s">
        <v>1528</v>
      </c>
      <c r="D150" t="s">
        <v>202</v>
      </c>
      <c r="F150">
        <v>27.672314</v>
      </c>
      <c r="G150">
        <v>36.190651000000003</v>
      </c>
      <c r="H150">
        <v>44.102626999999998</v>
      </c>
      <c r="I150">
        <v>50.092044999999999</v>
      </c>
      <c r="J150">
        <v>54.982585999999998</v>
      </c>
      <c r="K150">
        <v>58.082782999999999</v>
      </c>
      <c r="L150">
        <v>60.489162</v>
      </c>
      <c r="M150">
        <v>62.643284000000001</v>
      </c>
      <c r="N150">
        <v>64.825858999999994</v>
      </c>
      <c r="O150">
        <v>67.022644</v>
      </c>
      <c r="P150">
        <v>69.270484999999994</v>
      </c>
      <c r="Q150">
        <v>71.575378000000001</v>
      </c>
      <c r="R150">
        <v>73.940926000000005</v>
      </c>
      <c r="S150">
        <v>76.370498999999995</v>
      </c>
      <c r="T150">
        <v>78.857642999999996</v>
      </c>
      <c r="U150">
        <v>81.413055</v>
      </c>
      <c r="V150">
        <v>84.037871999999993</v>
      </c>
      <c r="W150">
        <v>86.732758000000004</v>
      </c>
      <c r="X150">
        <v>89.497505000000004</v>
      </c>
      <c r="Y150">
        <v>92.328818999999996</v>
      </c>
      <c r="Z150">
        <v>95.233681000000004</v>
      </c>
      <c r="AA150">
        <v>98.213158000000007</v>
      </c>
      <c r="AB150">
        <v>101.268517</v>
      </c>
      <c r="AC150">
        <v>104.400452</v>
      </c>
      <c r="AD150">
        <v>107.59034</v>
      </c>
      <c r="AE150">
        <v>110.858566</v>
      </c>
      <c r="AF150">
        <v>114.207832</v>
      </c>
      <c r="AG150">
        <v>117.64065600000001</v>
      </c>
      <c r="AH150">
        <v>121.159058</v>
      </c>
      <c r="AI150" s="22">
        <v>5.3999999999999999E-2</v>
      </c>
    </row>
    <row r="151" spans="1:35">
      <c r="A151" t="s">
        <v>219</v>
      </c>
      <c r="B151" t="s">
        <v>1529</v>
      </c>
      <c r="C151" t="s">
        <v>1530</v>
      </c>
      <c r="D151" t="s">
        <v>202</v>
      </c>
      <c r="F151">
        <v>3.9507759999999998</v>
      </c>
      <c r="G151">
        <v>4.8601390000000002</v>
      </c>
      <c r="H151">
        <v>5.6102879999999997</v>
      </c>
      <c r="I151">
        <v>5.8999009999999998</v>
      </c>
      <c r="J151">
        <v>6.1781309999999996</v>
      </c>
      <c r="K151">
        <v>6.4110950000000004</v>
      </c>
      <c r="L151">
        <v>6.6250410000000004</v>
      </c>
      <c r="M151">
        <v>6.8304140000000002</v>
      </c>
      <c r="N151">
        <v>7.0340759999999998</v>
      </c>
      <c r="O151">
        <v>7.2336809999999998</v>
      </c>
      <c r="P151">
        <v>7.4365009999999998</v>
      </c>
      <c r="Q151">
        <v>7.6434049999999996</v>
      </c>
      <c r="R151">
        <v>7.8546870000000002</v>
      </c>
      <c r="S151">
        <v>8.0706039999999994</v>
      </c>
      <c r="T151">
        <v>8.2903300000000009</v>
      </c>
      <c r="U151">
        <v>8.5151039999999991</v>
      </c>
      <c r="V151">
        <v>8.7449670000000008</v>
      </c>
      <c r="W151">
        <v>8.9798720000000003</v>
      </c>
      <c r="X151">
        <v>9.2196569999999998</v>
      </c>
      <c r="Y151">
        <v>9.4643420000000003</v>
      </c>
      <c r="Z151">
        <v>9.7141710000000003</v>
      </c>
      <c r="AA151">
        <v>9.9691340000000004</v>
      </c>
      <c r="AB151">
        <v>10.229227</v>
      </c>
      <c r="AC151">
        <v>10.494389999999999</v>
      </c>
      <c r="AD151">
        <v>10.761946999999999</v>
      </c>
      <c r="AE151">
        <v>11.034632999999999</v>
      </c>
      <c r="AF151">
        <v>11.31259</v>
      </c>
      <c r="AG151">
        <v>11.595942000000001</v>
      </c>
      <c r="AH151">
        <v>11.884709000000001</v>
      </c>
      <c r="AI151" s="22">
        <v>0.04</v>
      </c>
    </row>
    <row r="152" spans="1:35">
      <c r="A152" t="s">
        <v>1531</v>
      </c>
      <c r="B152" t="s">
        <v>1532</v>
      </c>
      <c r="C152" t="s">
        <v>1533</v>
      </c>
      <c r="D152" t="s">
        <v>202</v>
      </c>
      <c r="F152">
        <v>4373.3583980000003</v>
      </c>
      <c r="G152">
        <v>5169.9628910000001</v>
      </c>
      <c r="H152">
        <v>5693.6376950000003</v>
      </c>
      <c r="I152">
        <v>6042.6123049999997</v>
      </c>
      <c r="J152">
        <v>6454.3725590000004</v>
      </c>
      <c r="K152">
        <v>6728.6020509999998</v>
      </c>
      <c r="L152">
        <v>6983.6962890000004</v>
      </c>
      <c r="M152">
        <v>7204.6298829999996</v>
      </c>
      <c r="N152">
        <v>7425.1635740000002</v>
      </c>
      <c r="O152">
        <v>7650.1298829999996</v>
      </c>
      <c r="P152">
        <v>7885.779297</v>
      </c>
      <c r="Q152">
        <v>8125.9140619999998</v>
      </c>
      <c r="R152">
        <v>8364.5048829999996</v>
      </c>
      <c r="S152">
        <v>8606.9697269999997</v>
      </c>
      <c r="T152">
        <v>8856.5869139999995</v>
      </c>
      <c r="U152">
        <v>9114.5898440000001</v>
      </c>
      <c r="V152">
        <v>9381.3271480000003</v>
      </c>
      <c r="W152">
        <v>9654.9765619999998</v>
      </c>
      <c r="X152">
        <v>9938.1474610000005</v>
      </c>
      <c r="Y152">
        <v>10226.232421999999</v>
      </c>
      <c r="Z152">
        <v>10522.052734000001</v>
      </c>
      <c r="AA152">
        <v>10824.742188</v>
      </c>
      <c r="AB152">
        <v>11133.546875</v>
      </c>
      <c r="AC152">
        <v>11446.167969</v>
      </c>
      <c r="AD152">
        <v>11763.413086</v>
      </c>
      <c r="AE152">
        <v>12087.557617</v>
      </c>
      <c r="AF152">
        <v>12418.570312</v>
      </c>
      <c r="AG152">
        <v>12755.792969</v>
      </c>
      <c r="AH152">
        <v>13099.551758</v>
      </c>
      <c r="AI152" s="22">
        <v>0.04</v>
      </c>
    </row>
    <row r="153" spans="1:35">
      <c r="A153" t="s">
        <v>1534</v>
      </c>
      <c r="B153" t="s">
        <v>1535</v>
      </c>
      <c r="C153" t="s">
        <v>1536</v>
      </c>
      <c r="D153" t="s">
        <v>202</v>
      </c>
      <c r="F153">
        <v>2683.0664059999999</v>
      </c>
      <c r="G153">
        <v>3004.8544919999999</v>
      </c>
      <c r="H153">
        <v>3179.6435550000001</v>
      </c>
      <c r="I153">
        <v>3317.3186040000001</v>
      </c>
      <c r="J153">
        <v>3488.1293949999999</v>
      </c>
      <c r="K153">
        <v>3619.9882809999999</v>
      </c>
      <c r="L153">
        <v>3746.866211</v>
      </c>
      <c r="M153">
        <v>3866.138672</v>
      </c>
      <c r="N153">
        <v>3984.7014159999999</v>
      </c>
      <c r="O153">
        <v>4106.1660160000001</v>
      </c>
      <c r="P153">
        <v>4234.1674800000001</v>
      </c>
      <c r="Q153">
        <v>4364.3461909999996</v>
      </c>
      <c r="R153">
        <v>4492.8154299999997</v>
      </c>
      <c r="S153">
        <v>4623.0224609999996</v>
      </c>
      <c r="T153">
        <v>4757.1152339999999</v>
      </c>
      <c r="U153">
        <v>4895.7231449999999</v>
      </c>
      <c r="V153">
        <v>5039.0322269999997</v>
      </c>
      <c r="W153">
        <v>5185.8525390000004</v>
      </c>
      <c r="X153">
        <v>5337.7739259999998</v>
      </c>
      <c r="Y153">
        <v>5492.0742190000001</v>
      </c>
      <c r="Z153">
        <v>5650.373047</v>
      </c>
      <c r="AA153">
        <v>5812.0830079999996</v>
      </c>
      <c r="AB153">
        <v>5976.6274409999996</v>
      </c>
      <c r="AC153">
        <v>6142.4643550000001</v>
      </c>
      <c r="AD153">
        <v>6310.3242190000001</v>
      </c>
      <c r="AE153">
        <v>6481.419922</v>
      </c>
      <c r="AF153">
        <v>6655.6152339999999</v>
      </c>
      <c r="AG153">
        <v>6832.3398440000001</v>
      </c>
      <c r="AH153">
        <v>7011.6440430000002</v>
      </c>
      <c r="AI153" s="22">
        <v>3.5000000000000003E-2</v>
      </c>
    </row>
    <row r="154" spans="1:35">
      <c r="A154" t="s">
        <v>1537</v>
      </c>
      <c r="B154" t="s">
        <v>1538</v>
      </c>
      <c r="C154" t="s">
        <v>1539</v>
      </c>
      <c r="D154" t="s">
        <v>202</v>
      </c>
      <c r="F154">
        <v>1365.956543</v>
      </c>
      <c r="G154">
        <v>1815.0357670000001</v>
      </c>
      <c r="H154">
        <v>2152.5219729999999</v>
      </c>
      <c r="I154">
        <v>2352.9526369999999</v>
      </c>
      <c r="J154">
        <v>2578.5668949999999</v>
      </c>
      <c r="K154">
        <v>2707.555664</v>
      </c>
      <c r="L154">
        <v>2822.4821780000002</v>
      </c>
      <c r="M154">
        <v>2911.1027829999998</v>
      </c>
      <c r="N154">
        <v>3000.19751</v>
      </c>
      <c r="O154">
        <v>3090.4453119999998</v>
      </c>
      <c r="P154">
        <v>3183.960693</v>
      </c>
      <c r="Q154">
        <v>3279.5664059999999</v>
      </c>
      <c r="R154">
        <v>3375.6767580000001</v>
      </c>
      <c r="S154">
        <v>3473.7790530000002</v>
      </c>
      <c r="T154">
        <v>3574.6906739999999</v>
      </c>
      <c r="U154">
        <v>3678.9440920000002</v>
      </c>
      <c r="V154">
        <v>3786.679443</v>
      </c>
      <c r="W154">
        <v>3897.4423830000001</v>
      </c>
      <c r="X154">
        <v>4012.033203</v>
      </c>
      <c r="Y154">
        <v>4128.9389650000003</v>
      </c>
      <c r="Z154">
        <v>4249.1440430000002</v>
      </c>
      <c r="AA154">
        <v>4372.451172</v>
      </c>
      <c r="AB154">
        <v>4498.7680659999996</v>
      </c>
      <c r="AC154">
        <v>4627.5498049999997</v>
      </c>
      <c r="AD154">
        <v>4758.7285160000001</v>
      </c>
      <c r="AE154">
        <v>4893.2329099999997</v>
      </c>
      <c r="AF154">
        <v>5031.2045900000003</v>
      </c>
      <c r="AG154">
        <v>5172.6411129999997</v>
      </c>
      <c r="AH154">
        <v>5317.8256840000004</v>
      </c>
      <c r="AI154" s="22">
        <v>0.05</v>
      </c>
    </row>
    <row r="155" spans="1:35">
      <c r="A155" t="s">
        <v>112</v>
      </c>
      <c r="B155" t="s">
        <v>1540</v>
      </c>
      <c r="C155" t="s">
        <v>1541</v>
      </c>
      <c r="D155" t="s">
        <v>202</v>
      </c>
      <c r="F155">
        <v>324.33532700000001</v>
      </c>
      <c r="G155">
        <v>350.07336400000003</v>
      </c>
      <c r="H155">
        <v>361.47143599999998</v>
      </c>
      <c r="I155">
        <v>372.34155299999998</v>
      </c>
      <c r="J155">
        <v>387.67550699999998</v>
      </c>
      <c r="K155">
        <v>401.05737299999998</v>
      </c>
      <c r="L155">
        <v>414.347961</v>
      </c>
      <c r="M155">
        <v>427.38775600000002</v>
      </c>
      <c r="N155">
        <v>440.263824</v>
      </c>
      <c r="O155">
        <v>453.51907299999999</v>
      </c>
      <c r="P155">
        <v>467.65096999999997</v>
      </c>
      <c r="Q155">
        <v>482.00097699999998</v>
      </c>
      <c r="R155">
        <v>496.01190200000002</v>
      </c>
      <c r="S155">
        <v>510.16720600000002</v>
      </c>
      <c r="T155">
        <v>524.78045699999996</v>
      </c>
      <c r="U155">
        <v>539.92236300000002</v>
      </c>
      <c r="V155">
        <v>555.61492899999996</v>
      </c>
      <c r="W155">
        <v>571.68298300000004</v>
      </c>
      <c r="X155">
        <v>588.33850099999995</v>
      </c>
      <c r="Y155">
        <v>605.21984899999995</v>
      </c>
      <c r="Z155">
        <v>622.53668200000004</v>
      </c>
      <c r="AA155">
        <v>640.20806900000002</v>
      </c>
      <c r="AB155">
        <v>658.15197799999999</v>
      </c>
      <c r="AC155">
        <v>676.15301499999998</v>
      </c>
      <c r="AD155">
        <v>694.35919200000001</v>
      </c>
      <c r="AE155">
        <v>712.903503</v>
      </c>
      <c r="AF155">
        <v>731.75134300000002</v>
      </c>
      <c r="AG155">
        <v>750.81225600000005</v>
      </c>
      <c r="AH155">
        <v>770.08294699999999</v>
      </c>
      <c r="AI155" s="22">
        <v>3.1E-2</v>
      </c>
    </row>
    <row r="156" spans="1:35">
      <c r="A156" t="s">
        <v>637</v>
      </c>
    </row>
    <row r="157" spans="1:35">
      <c r="A157" t="s">
        <v>211</v>
      </c>
      <c r="B157" t="s">
        <v>1542</v>
      </c>
      <c r="C157" t="s">
        <v>1069</v>
      </c>
      <c r="D157" t="s">
        <v>200</v>
      </c>
      <c r="F157">
        <v>537.62969999999996</v>
      </c>
      <c r="G157">
        <v>549.83306900000002</v>
      </c>
      <c r="H157">
        <v>164.74629200000001</v>
      </c>
      <c r="I157">
        <v>138.35922199999999</v>
      </c>
      <c r="J157">
        <v>271.84619099999998</v>
      </c>
      <c r="K157">
        <v>323.99099699999999</v>
      </c>
      <c r="L157">
        <v>335.84295700000001</v>
      </c>
      <c r="M157">
        <v>325.02175899999997</v>
      </c>
      <c r="N157">
        <v>315.303406</v>
      </c>
      <c r="O157">
        <v>332.71267699999999</v>
      </c>
      <c r="P157">
        <v>378.56921399999999</v>
      </c>
      <c r="Q157">
        <v>386.39703400000002</v>
      </c>
      <c r="R157">
        <v>359.79183999999998</v>
      </c>
      <c r="S157">
        <v>359.046448</v>
      </c>
      <c r="T157">
        <v>377.765533</v>
      </c>
      <c r="U157">
        <v>400.12957799999998</v>
      </c>
      <c r="V157">
        <v>423.76574699999998</v>
      </c>
      <c r="W157">
        <v>435.87933299999997</v>
      </c>
      <c r="X157">
        <v>457.30462599999998</v>
      </c>
      <c r="Y157">
        <v>456.16915899999998</v>
      </c>
      <c r="Z157">
        <v>466.06835899999999</v>
      </c>
      <c r="AA157">
        <v>474.79116800000003</v>
      </c>
      <c r="AB157">
        <v>482.93649299999998</v>
      </c>
      <c r="AC157">
        <v>483.40219100000002</v>
      </c>
      <c r="AD157">
        <v>497.70538299999998</v>
      </c>
      <c r="AE157">
        <v>514.93347200000005</v>
      </c>
      <c r="AF157">
        <v>530.803406</v>
      </c>
      <c r="AG157">
        <v>545.38818400000002</v>
      </c>
      <c r="AH157">
        <v>563.96643100000006</v>
      </c>
      <c r="AI157" s="22">
        <v>2E-3</v>
      </c>
    </row>
    <row r="158" spans="1:35">
      <c r="A158" t="s">
        <v>217</v>
      </c>
      <c r="B158" t="s">
        <v>1543</v>
      </c>
      <c r="C158" t="s">
        <v>1069</v>
      </c>
      <c r="D158" t="s">
        <v>200</v>
      </c>
      <c r="F158">
        <v>333.763733</v>
      </c>
      <c r="G158">
        <v>345.44042999999999</v>
      </c>
      <c r="H158">
        <v>98.225448999999998</v>
      </c>
      <c r="I158">
        <v>96.679152999999999</v>
      </c>
      <c r="J158">
        <v>170.31218000000001</v>
      </c>
      <c r="K158">
        <v>174.229919</v>
      </c>
      <c r="L158">
        <v>179.999146</v>
      </c>
      <c r="M158">
        <v>174.64077800000001</v>
      </c>
      <c r="N158">
        <v>169.98704499999999</v>
      </c>
      <c r="O158">
        <v>180.47323600000001</v>
      </c>
      <c r="P158">
        <v>206.73242200000001</v>
      </c>
      <c r="Q158">
        <v>211.496094</v>
      </c>
      <c r="R158">
        <v>197.224121</v>
      </c>
      <c r="S158">
        <v>197.424072</v>
      </c>
      <c r="T158">
        <v>208.24267599999999</v>
      </c>
      <c r="U158">
        <v>220.877441</v>
      </c>
      <c r="V158">
        <v>234.07299800000001</v>
      </c>
      <c r="W158">
        <v>240.77148399999999</v>
      </c>
      <c r="X158">
        <v>252.56445299999999</v>
      </c>
      <c r="Y158">
        <v>251.70751999999999</v>
      </c>
      <c r="Z158">
        <v>257.015625</v>
      </c>
      <c r="AA158">
        <v>261.632812</v>
      </c>
      <c r="AB158">
        <v>266.01904300000001</v>
      </c>
      <c r="AC158">
        <v>266.19396999999998</v>
      </c>
      <c r="AD158">
        <v>274.21963499999998</v>
      </c>
      <c r="AE158">
        <v>283.857483</v>
      </c>
      <c r="AF158">
        <v>292.71289100000001</v>
      </c>
      <c r="AG158">
        <v>300.81787100000003</v>
      </c>
      <c r="AH158">
        <v>311.17236300000002</v>
      </c>
      <c r="AI158" s="22">
        <v>-2E-3</v>
      </c>
    </row>
    <row r="159" spans="1:35">
      <c r="A159" t="s">
        <v>218</v>
      </c>
      <c r="B159" t="s">
        <v>1544</v>
      </c>
      <c r="C159" t="s">
        <v>1069</v>
      </c>
      <c r="D159" t="s">
        <v>200</v>
      </c>
      <c r="F159">
        <v>0</v>
      </c>
      <c r="G159">
        <v>39.340881000000003</v>
      </c>
      <c r="H159">
        <v>37.988616999999998</v>
      </c>
      <c r="I159">
        <v>7.9354370000000003</v>
      </c>
      <c r="J159">
        <v>22.899474999999999</v>
      </c>
      <c r="K159">
        <v>65.770118999999994</v>
      </c>
      <c r="L159">
        <v>67.841369999999998</v>
      </c>
      <c r="M159">
        <v>64.843872000000005</v>
      </c>
      <c r="N159">
        <v>61.797545999999997</v>
      </c>
      <c r="O159">
        <v>61.889342999999997</v>
      </c>
      <c r="P159">
        <v>65.417113999999998</v>
      </c>
      <c r="Q159">
        <v>64.408493000000007</v>
      </c>
      <c r="R159">
        <v>59.074790999999998</v>
      </c>
      <c r="S159">
        <v>57.096992</v>
      </c>
      <c r="T159">
        <v>57.945704999999997</v>
      </c>
      <c r="U159">
        <v>59.668900000000001</v>
      </c>
      <c r="V159">
        <v>61.945683000000002</v>
      </c>
      <c r="W159">
        <v>63.071460999999999</v>
      </c>
      <c r="X159">
        <v>65.706481999999994</v>
      </c>
      <c r="Y159">
        <v>65.747039999999998</v>
      </c>
      <c r="Z159">
        <v>67.314468000000005</v>
      </c>
      <c r="AA159">
        <v>68.832672000000002</v>
      </c>
      <c r="AB159">
        <v>70.226035999999993</v>
      </c>
      <c r="AC159">
        <v>70.609099999999998</v>
      </c>
      <c r="AD159">
        <v>72.683494999999994</v>
      </c>
      <c r="AE159">
        <v>75.066970999999995</v>
      </c>
      <c r="AF159">
        <v>77.259933000000004</v>
      </c>
      <c r="AG159">
        <v>79.321548000000007</v>
      </c>
      <c r="AH159">
        <v>81.872428999999997</v>
      </c>
      <c r="AI159" t="s">
        <v>111</v>
      </c>
    </row>
    <row r="160" spans="1:35">
      <c r="A160" t="s">
        <v>219</v>
      </c>
      <c r="B160" t="s">
        <v>1545</v>
      </c>
      <c r="C160" t="s">
        <v>1069</v>
      </c>
      <c r="D160" t="s">
        <v>200</v>
      </c>
      <c r="F160">
        <v>203.86596700000001</v>
      </c>
      <c r="G160">
        <v>165.05175800000001</v>
      </c>
      <c r="H160">
        <v>28.532226999999999</v>
      </c>
      <c r="I160">
        <v>33.744629000000003</v>
      </c>
      <c r="J160">
        <v>78.634521000000007</v>
      </c>
      <c r="K160">
        <v>83.990966999999998</v>
      </c>
      <c r="L160">
        <v>88.002441000000005</v>
      </c>
      <c r="M160">
        <v>85.537109000000001</v>
      </c>
      <c r="N160">
        <v>83.518799000000001</v>
      </c>
      <c r="O160">
        <v>90.350098000000003</v>
      </c>
      <c r="P160">
        <v>106.419678</v>
      </c>
      <c r="Q160">
        <v>110.49243199999999</v>
      </c>
      <c r="R160">
        <v>103.49292</v>
      </c>
      <c r="S160">
        <v>104.525391</v>
      </c>
      <c r="T160">
        <v>111.57714799999999</v>
      </c>
      <c r="U160">
        <v>119.583252</v>
      </c>
      <c r="V160">
        <v>127.74706999999999</v>
      </c>
      <c r="W160">
        <v>132.03637699999999</v>
      </c>
      <c r="X160">
        <v>139.033691</v>
      </c>
      <c r="Y160">
        <v>138.71459999999999</v>
      </c>
      <c r="Z160">
        <v>141.738281</v>
      </c>
      <c r="AA160">
        <v>144.325684</v>
      </c>
      <c r="AB160">
        <v>146.691406</v>
      </c>
      <c r="AC160">
        <v>146.599121</v>
      </c>
      <c r="AD160">
        <v>150.802246</v>
      </c>
      <c r="AE160">
        <v>156.00903299999999</v>
      </c>
      <c r="AF160">
        <v>160.830566</v>
      </c>
      <c r="AG160">
        <v>165.24877900000001</v>
      </c>
      <c r="AH160">
        <v>170.92163099999999</v>
      </c>
      <c r="AI160" s="22">
        <v>-6.0000000000000001E-3</v>
      </c>
    </row>
    <row r="161" spans="1:35">
      <c r="A161" t="s">
        <v>212</v>
      </c>
      <c r="B161" t="s">
        <v>1546</v>
      </c>
      <c r="C161" t="s">
        <v>1069</v>
      </c>
      <c r="D161" t="s">
        <v>200</v>
      </c>
      <c r="F161">
        <v>0</v>
      </c>
      <c r="G161">
        <v>15.678391</v>
      </c>
      <c r="H161">
        <v>51.316887000000001</v>
      </c>
      <c r="I161">
        <v>50.117165</v>
      </c>
      <c r="J161">
        <v>52.954346000000001</v>
      </c>
      <c r="K161">
        <v>57.051322999999996</v>
      </c>
      <c r="L161">
        <v>44.861697999999997</v>
      </c>
      <c r="M161">
        <v>46.635117000000001</v>
      </c>
      <c r="N161">
        <v>49.951324</v>
      </c>
      <c r="O161">
        <v>50.769165000000001</v>
      </c>
      <c r="P161">
        <v>51.472060999999997</v>
      </c>
      <c r="Q161">
        <v>52.399932999999997</v>
      </c>
      <c r="R161">
        <v>53.103180000000002</v>
      </c>
      <c r="S161">
        <v>53.605300999999997</v>
      </c>
      <c r="T161">
        <v>56.171036000000001</v>
      </c>
      <c r="U161">
        <v>56.427169999999997</v>
      </c>
      <c r="V161">
        <v>57.608795000000001</v>
      </c>
      <c r="W161">
        <v>58.449553999999999</v>
      </c>
      <c r="X161">
        <v>58.490127999999999</v>
      </c>
      <c r="Y161">
        <v>58.666182999999997</v>
      </c>
      <c r="Z161">
        <v>58.960326999999999</v>
      </c>
      <c r="AA161">
        <v>59.343628000000002</v>
      </c>
      <c r="AB161">
        <v>59.845576999999999</v>
      </c>
      <c r="AC161">
        <v>60.470764000000003</v>
      </c>
      <c r="AD161">
        <v>61.182304000000002</v>
      </c>
      <c r="AE161">
        <v>61.965812999999997</v>
      </c>
      <c r="AF161">
        <v>62.802154999999999</v>
      </c>
      <c r="AG161">
        <v>63.733001999999999</v>
      </c>
      <c r="AH161">
        <v>64.763489000000007</v>
      </c>
      <c r="AI161" t="s">
        <v>111</v>
      </c>
    </row>
    <row r="162" spans="1:35">
      <c r="A162" t="s">
        <v>217</v>
      </c>
      <c r="B162" t="s">
        <v>1547</v>
      </c>
      <c r="C162" t="s">
        <v>1069</v>
      </c>
      <c r="D162" t="s">
        <v>200</v>
      </c>
      <c r="F162">
        <v>0</v>
      </c>
      <c r="G162">
        <v>0</v>
      </c>
      <c r="H162">
        <v>17.463474000000001</v>
      </c>
      <c r="I162">
        <v>21.329653</v>
      </c>
      <c r="J162">
        <v>24.371399</v>
      </c>
      <c r="K162">
        <v>23.494506999999999</v>
      </c>
      <c r="L162">
        <v>18.943511999999998</v>
      </c>
      <c r="M162">
        <v>19.374298</v>
      </c>
      <c r="N162">
        <v>19.766327</v>
      </c>
      <c r="O162">
        <v>20.132964999999999</v>
      </c>
      <c r="P162">
        <v>20.452881000000001</v>
      </c>
      <c r="Q162">
        <v>20.728363000000002</v>
      </c>
      <c r="R162">
        <v>20.983429000000001</v>
      </c>
      <c r="S162">
        <v>21.226134999999999</v>
      </c>
      <c r="T162">
        <v>23.542083999999999</v>
      </c>
      <c r="U162">
        <v>23.546509</v>
      </c>
      <c r="V162">
        <v>23.508330999999998</v>
      </c>
      <c r="W162">
        <v>23.525696</v>
      </c>
      <c r="X162">
        <v>23.583984000000001</v>
      </c>
      <c r="Y162">
        <v>23.695709000000001</v>
      </c>
      <c r="Z162">
        <v>23.852905</v>
      </c>
      <c r="AA162">
        <v>24.047637999999999</v>
      </c>
      <c r="AB162">
        <v>24.291533999999999</v>
      </c>
      <c r="AC162">
        <v>24.574981999999999</v>
      </c>
      <c r="AD162">
        <v>24.892365000000002</v>
      </c>
      <c r="AE162">
        <v>25.243469000000001</v>
      </c>
      <c r="AF162">
        <v>25.627898999999999</v>
      </c>
      <c r="AG162">
        <v>26.047516000000002</v>
      </c>
      <c r="AH162">
        <v>26.498474000000002</v>
      </c>
      <c r="AI162" t="s">
        <v>111</v>
      </c>
    </row>
    <row r="163" spans="1:35">
      <c r="A163" t="s">
        <v>218</v>
      </c>
      <c r="B163" t="s">
        <v>1548</v>
      </c>
      <c r="C163" t="s">
        <v>1069</v>
      </c>
      <c r="D163" t="s">
        <v>200</v>
      </c>
      <c r="F163">
        <v>0</v>
      </c>
      <c r="G163">
        <v>0</v>
      </c>
      <c r="H163">
        <v>2.6847050000000001</v>
      </c>
      <c r="I163">
        <v>8.6334879999999998</v>
      </c>
      <c r="J163">
        <v>7.5640429999999999</v>
      </c>
      <c r="K163">
        <v>7.6775729999999998</v>
      </c>
      <c r="L163">
        <v>4.8536409999999997</v>
      </c>
      <c r="M163">
        <v>5.8987879999999997</v>
      </c>
      <c r="N163">
        <v>8.4926449999999996</v>
      </c>
      <c r="O163">
        <v>8.6243289999999995</v>
      </c>
      <c r="P163">
        <v>8.7234649999999991</v>
      </c>
      <c r="Q163">
        <v>8.8013309999999993</v>
      </c>
      <c r="R163">
        <v>8.8686830000000008</v>
      </c>
      <c r="S163">
        <v>8.9318390000000001</v>
      </c>
      <c r="T163">
        <v>8.9949490000000001</v>
      </c>
      <c r="U163">
        <v>9.0618739999999995</v>
      </c>
      <c r="V163">
        <v>10.095367</v>
      </c>
      <c r="W163">
        <v>10.726288</v>
      </c>
      <c r="X163">
        <v>10.520554000000001</v>
      </c>
      <c r="Y163">
        <v>10.378677</v>
      </c>
      <c r="Z163">
        <v>10.290741000000001</v>
      </c>
      <c r="AA163">
        <v>10.238586</v>
      </c>
      <c r="AB163">
        <v>10.221401</v>
      </c>
      <c r="AC163">
        <v>10.25827</v>
      </c>
      <c r="AD163">
        <v>10.321465</v>
      </c>
      <c r="AE163">
        <v>10.393303</v>
      </c>
      <c r="AF163">
        <v>10.454742</v>
      </c>
      <c r="AG163">
        <v>10.542479999999999</v>
      </c>
      <c r="AH163">
        <v>10.666687</v>
      </c>
      <c r="AI163" t="s">
        <v>111</v>
      </c>
    </row>
    <row r="164" spans="1:35">
      <c r="A164" t="s">
        <v>219</v>
      </c>
      <c r="B164" t="s">
        <v>1549</v>
      </c>
      <c r="C164" t="s">
        <v>1069</v>
      </c>
      <c r="D164" t="s">
        <v>200</v>
      </c>
      <c r="F164">
        <v>0</v>
      </c>
      <c r="G164">
        <v>15.678391</v>
      </c>
      <c r="H164">
        <v>31.168710999999998</v>
      </c>
      <c r="I164">
        <v>20.154024</v>
      </c>
      <c r="J164">
        <v>21.018902000000001</v>
      </c>
      <c r="K164">
        <v>25.879242000000001</v>
      </c>
      <c r="L164">
        <v>21.064544999999999</v>
      </c>
      <c r="M164">
        <v>21.362030000000001</v>
      </c>
      <c r="N164">
        <v>21.692352</v>
      </c>
      <c r="O164">
        <v>22.011870999999999</v>
      </c>
      <c r="P164">
        <v>22.295715000000001</v>
      </c>
      <c r="Q164">
        <v>22.870239000000002</v>
      </c>
      <c r="R164">
        <v>23.251068</v>
      </c>
      <c r="S164">
        <v>23.447327000000001</v>
      </c>
      <c r="T164">
        <v>23.634003</v>
      </c>
      <c r="U164">
        <v>23.818787</v>
      </c>
      <c r="V164">
        <v>24.005096000000002</v>
      </c>
      <c r="W164">
        <v>24.197571</v>
      </c>
      <c r="X164">
        <v>24.385590000000001</v>
      </c>
      <c r="Y164">
        <v>24.591797</v>
      </c>
      <c r="Z164">
        <v>24.816680999999999</v>
      </c>
      <c r="AA164">
        <v>25.057403999999998</v>
      </c>
      <c r="AB164">
        <v>25.332642</v>
      </c>
      <c r="AC164">
        <v>25.637512000000001</v>
      </c>
      <c r="AD164">
        <v>25.968475000000002</v>
      </c>
      <c r="AE164">
        <v>26.329041</v>
      </c>
      <c r="AF164">
        <v>26.719512999999999</v>
      </c>
      <c r="AG164">
        <v>27.143004999999999</v>
      </c>
      <c r="AH164">
        <v>27.598327999999999</v>
      </c>
      <c r="AI164" t="s">
        <v>111</v>
      </c>
    </row>
    <row r="165" spans="1:35">
      <c r="A165" t="s">
        <v>1256</v>
      </c>
      <c r="B165" t="s">
        <v>1550</v>
      </c>
      <c r="C165" t="s">
        <v>1069</v>
      </c>
      <c r="D165" t="s">
        <v>200</v>
      </c>
      <c r="F165">
        <v>0</v>
      </c>
      <c r="G165">
        <v>22.792006000000001</v>
      </c>
      <c r="H165">
        <v>74.402717999999993</v>
      </c>
      <c r="I165">
        <v>44.716248</v>
      </c>
      <c r="J165">
        <v>57.993133999999998</v>
      </c>
      <c r="K165">
        <v>54.273457000000001</v>
      </c>
      <c r="L165">
        <v>51.795287999999999</v>
      </c>
      <c r="M165">
        <v>51.212234000000002</v>
      </c>
      <c r="N165">
        <v>52.077075999999998</v>
      </c>
      <c r="O165">
        <v>54.758178999999998</v>
      </c>
      <c r="P165">
        <v>57.779369000000003</v>
      </c>
      <c r="Q165">
        <v>61.833809000000002</v>
      </c>
      <c r="R165">
        <v>66.168610000000001</v>
      </c>
      <c r="S165">
        <v>69.022034000000005</v>
      </c>
      <c r="T165">
        <v>71.720344999999995</v>
      </c>
      <c r="U165">
        <v>74.601128000000003</v>
      </c>
      <c r="V165">
        <v>77.492294000000001</v>
      </c>
      <c r="W165">
        <v>80.764747999999997</v>
      </c>
      <c r="X165">
        <v>83.840393000000006</v>
      </c>
      <c r="Y165">
        <v>85.916290000000004</v>
      </c>
      <c r="Z165">
        <v>88.354316999999995</v>
      </c>
      <c r="AA165">
        <v>90.725646999999995</v>
      </c>
      <c r="AB165">
        <v>93.012282999999996</v>
      </c>
      <c r="AC165">
        <v>95.275702999999993</v>
      </c>
      <c r="AD165">
        <v>96.930526999999998</v>
      </c>
      <c r="AE165">
        <v>99.070449999999994</v>
      </c>
      <c r="AF165">
        <v>101.387764</v>
      </c>
      <c r="AG165">
        <v>103.807503</v>
      </c>
      <c r="AH165">
        <v>106.413315</v>
      </c>
      <c r="AI165" t="s">
        <v>111</v>
      </c>
    </row>
    <row r="166" spans="1:35">
      <c r="A166" t="s">
        <v>217</v>
      </c>
      <c r="B166" t="s">
        <v>1551</v>
      </c>
      <c r="C166" t="s">
        <v>1069</v>
      </c>
      <c r="D166" t="s">
        <v>200</v>
      </c>
      <c r="F166">
        <v>0</v>
      </c>
      <c r="G166">
        <v>3.6042939999999999</v>
      </c>
      <c r="H166">
        <v>47.323338</v>
      </c>
      <c r="I166">
        <v>25.081547</v>
      </c>
      <c r="J166">
        <v>36.088225999999999</v>
      </c>
      <c r="K166">
        <v>35.250145000000003</v>
      </c>
      <c r="L166">
        <v>33.467136000000004</v>
      </c>
      <c r="M166">
        <v>32.919186000000003</v>
      </c>
      <c r="N166">
        <v>34.377158999999999</v>
      </c>
      <c r="O166">
        <v>35.893459</v>
      </c>
      <c r="P166">
        <v>37.667839000000001</v>
      </c>
      <c r="Q166">
        <v>39.338538999999997</v>
      </c>
      <c r="R166">
        <v>41.088473999999998</v>
      </c>
      <c r="S166">
        <v>42.883583000000002</v>
      </c>
      <c r="T166">
        <v>44.583351</v>
      </c>
      <c r="U166">
        <v>46.405234999999998</v>
      </c>
      <c r="V166">
        <v>48.237968000000002</v>
      </c>
      <c r="W166">
        <v>50.054909000000002</v>
      </c>
      <c r="X166">
        <v>51.816090000000003</v>
      </c>
      <c r="Y166">
        <v>53.149906000000001</v>
      </c>
      <c r="Z166">
        <v>54.709114</v>
      </c>
      <c r="AA166">
        <v>56.237555999999998</v>
      </c>
      <c r="AB166">
        <v>57.744278000000001</v>
      </c>
      <c r="AC166">
        <v>59.240203999999999</v>
      </c>
      <c r="AD166">
        <v>60.373123</v>
      </c>
      <c r="AE166">
        <v>61.808743</v>
      </c>
      <c r="AF166">
        <v>63.379292</v>
      </c>
      <c r="AG166">
        <v>65.004767999999999</v>
      </c>
      <c r="AH166">
        <v>66.742683</v>
      </c>
      <c r="AI166" t="s">
        <v>111</v>
      </c>
    </row>
    <row r="167" spans="1:35">
      <c r="A167" t="s">
        <v>218</v>
      </c>
      <c r="B167" t="s">
        <v>1552</v>
      </c>
      <c r="C167" t="s">
        <v>1069</v>
      </c>
      <c r="D167" t="s">
        <v>200</v>
      </c>
      <c r="F167">
        <v>0</v>
      </c>
      <c r="G167">
        <v>0</v>
      </c>
      <c r="H167">
        <v>1.1706829999999999</v>
      </c>
      <c r="I167">
        <v>6.5943160000000001</v>
      </c>
      <c r="J167">
        <v>5.9159930000000003</v>
      </c>
      <c r="K167">
        <v>4.2207160000000004</v>
      </c>
      <c r="L167">
        <v>3.7680630000000002</v>
      </c>
      <c r="M167">
        <v>3.664326</v>
      </c>
      <c r="N167">
        <v>2.497312</v>
      </c>
      <c r="O167">
        <v>3.0966079999999998</v>
      </c>
      <c r="P167">
        <v>3.723773</v>
      </c>
      <c r="Q167">
        <v>5.5370480000000004</v>
      </c>
      <c r="R167">
        <v>7.546837</v>
      </c>
      <c r="S167">
        <v>8.0298370000000006</v>
      </c>
      <c r="T167">
        <v>8.4824219999999997</v>
      </c>
      <c r="U167">
        <v>8.9627379999999999</v>
      </c>
      <c r="V167">
        <v>9.4329149999999995</v>
      </c>
      <c r="W167">
        <v>9.8785399999999992</v>
      </c>
      <c r="X167">
        <v>10.28767</v>
      </c>
      <c r="Y167">
        <v>10.555084000000001</v>
      </c>
      <c r="Z167">
        <v>10.858917</v>
      </c>
      <c r="AA167">
        <v>11.105093</v>
      </c>
      <c r="AB167">
        <v>11.269012999999999</v>
      </c>
      <c r="AC167">
        <v>11.400671000000001</v>
      </c>
      <c r="AD167">
        <v>11.372805</v>
      </c>
      <c r="AE167">
        <v>11.416981</v>
      </c>
      <c r="AF167">
        <v>11.454242000000001</v>
      </c>
      <c r="AG167">
        <v>11.487852</v>
      </c>
      <c r="AH167">
        <v>11.547215</v>
      </c>
      <c r="AI167" t="s">
        <v>111</v>
      </c>
    </row>
    <row r="168" spans="1:35">
      <c r="A168" t="s">
        <v>219</v>
      </c>
      <c r="B168" t="s">
        <v>1553</v>
      </c>
      <c r="C168" t="s">
        <v>1069</v>
      </c>
      <c r="D168" t="s">
        <v>200</v>
      </c>
      <c r="F168">
        <v>0</v>
      </c>
      <c r="G168">
        <v>19.187712000000001</v>
      </c>
      <c r="H168">
        <v>25.908698999999999</v>
      </c>
      <c r="I168">
        <v>13.040388</v>
      </c>
      <c r="J168">
        <v>15.988916</v>
      </c>
      <c r="K168">
        <v>14.802597</v>
      </c>
      <c r="L168">
        <v>14.560089</v>
      </c>
      <c r="M168">
        <v>14.628723000000001</v>
      </c>
      <c r="N168">
        <v>15.202605999999999</v>
      </c>
      <c r="O168">
        <v>15.768112</v>
      </c>
      <c r="P168">
        <v>16.387756</v>
      </c>
      <c r="Q168">
        <v>16.958221000000002</v>
      </c>
      <c r="R168">
        <v>17.533294999999999</v>
      </c>
      <c r="S168">
        <v>18.108612000000001</v>
      </c>
      <c r="T168">
        <v>18.654572000000002</v>
      </c>
      <c r="U168">
        <v>19.233153999999999</v>
      </c>
      <c r="V168">
        <v>19.821411000000001</v>
      </c>
      <c r="W168">
        <v>20.831299000000001</v>
      </c>
      <c r="X168">
        <v>21.736633000000001</v>
      </c>
      <c r="Y168">
        <v>22.211303999999998</v>
      </c>
      <c r="Z168">
        <v>22.786284999999999</v>
      </c>
      <c r="AA168">
        <v>23.382995999999999</v>
      </c>
      <c r="AB168">
        <v>23.998992999999999</v>
      </c>
      <c r="AC168">
        <v>24.634827000000001</v>
      </c>
      <c r="AD168">
        <v>25.184601000000001</v>
      </c>
      <c r="AE168">
        <v>25.844726999999999</v>
      </c>
      <c r="AF168">
        <v>26.55423</v>
      </c>
      <c r="AG168">
        <v>27.314879999999999</v>
      </c>
      <c r="AH168">
        <v>28.123412999999999</v>
      </c>
      <c r="AI168" t="s">
        <v>111</v>
      </c>
    </row>
    <row r="169" spans="1:35">
      <c r="A169" t="s">
        <v>1259</v>
      </c>
      <c r="B169" t="s">
        <v>1554</v>
      </c>
      <c r="C169" t="s">
        <v>1069</v>
      </c>
      <c r="D169" t="s">
        <v>200</v>
      </c>
      <c r="F169">
        <v>0</v>
      </c>
      <c r="G169">
        <v>209.46492000000001</v>
      </c>
      <c r="H169">
        <v>460.13586400000003</v>
      </c>
      <c r="I169">
        <v>229.08583100000001</v>
      </c>
      <c r="J169">
        <v>317.47808800000001</v>
      </c>
      <c r="K169">
        <v>187.26048299999999</v>
      </c>
      <c r="L169">
        <v>214.348862</v>
      </c>
      <c r="M169">
        <v>249.834259</v>
      </c>
      <c r="N169">
        <v>296.81411700000001</v>
      </c>
      <c r="O169">
        <v>319.17443800000001</v>
      </c>
      <c r="P169">
        <v>339.22967499999999</v>
      </c>
      <c r="Q169">
        <v>397.25842299999999</v>
      </c>
      <c r="R169">
        <v>406.20275900000001</v>
      </c>
      <c r="S169">
        <v>413.12435900000003</v>
      </c>
      <c r="T169">
        <v>419.67819200000002</v>
      </c>
      <c r="U169">
        <v>426.31133999999997</v>
      </c>
      <c r="V169">
        <v>432.356964</v>
      </c>
      <c r="W169">
        <v>437.99243200000001</v>
      </c>
      <c r="X169">
        <v>444.01953099999997</v>
      </c>
      <c r="Y169">
        <v>449.06921399999999</v>
      </c>
      <c r="Z169">
        <v>453.67553700000002</v>
      </c>
      <c r="AA169">
        <v>457.88363600000002</v>
      </c>
      <c r="AB169">
        <v>461.77047700000003</v>
      </c>
      <c r="AC169">
        <v>465.51147500000002</v>
      </c>
      <c r="AD169">
        <v>469.37573200000003</v>
      </c>
      <c r="AE169">
        <v>473.366669</v>
      </c>
      <c r="AF169">
        <v>477.805969</v>
      </c>
      <c r="AG169">
        <v>483.20083599999998</v>
      </c>
      <c r="AH169">
        <v>489.35626200000002</v>
      </c>
      <c r="AI169" t="s">
        <v>111</v>
      </c>
    </row>
    <row r="170" spans="1:35">
      <c r="A170" t="s">
        <v>217</v>
      </c>
      <c r="B170" t="s">
        <v>1555</v>
      </c>
      <c r="C170" t="s">
        <v>1069</v>
      </c>
      <c r="D170" t="s">
        <v>200</v>
      </c>
      <c r="F170">
        <v>0</v>
      </c>
      <c r="G170">
        <v>0</v>
      </c>
      <c r="H170">
        <v>221.829926</v>
      </c>
      <c r="I170">
        <v>120.38294999999999</v>
      </c>
      <c r="J170">
        <v>159.10351600000001</v>
      </c>
      <c r="K170">
        <v>105.838966</v>
      </c>
      <c r="L170">
        <v>123.445007</v>
      </c>
      <c r="M170">
        <v>142.73538199999999</v>
      </c>
      <c r="N170">
        <v>161.134232</v>
      </c>
      <c r="O170">
        <v>178.18235799999999</v>
      </c>
      <c r="P170">
        <v>193.75765999999999</v>
      </c>
      <c r="Q170">
        <v>247.382935</v>
      </c>
      <c r="R170">
        <v>252.203857</v>
      </c>
      <c r="S170">
        <v>255.38964799999999</v>
      </c>
      <c r="T170">
        <v>258.36474600000003</v>
      </c>
      <c r="U170">
        <v>261.22705100000002</v>
      </c>
      <c r="V170">
        <v>263.53198200000003</v>
      </c>
      <c r="W170">
        <v>265.51074199999999</v>
      </c>
      <c r="X170">
        <v>267.742188</v>
      </c>
      <c r="Y170">
        <v>269.3125</v>
      </c>
      <c r="Z170">
        <v>270.68798800000002</v>
      </c>
      <c r="AA170">
        <v>271.945312</v>
      </c>
      <c r="AB170">
        <v>273.14111300000002</v>
      </c>
      <c r="AC170">
        <v>274.41601600000001</v>
      </c>
      <c r="AD170">
        <v>275.93505900000002</v>
      </c>
      <c r="AE170">
        <v>277.73779300000001</v>
      </c>
      <c r="AF170">
        <v>280.03198200000003</v>
      </c>
      <c r="AG170">
        <v>283.20404100000002</v>
      </c>
      <c r="AH170">
        <v>286.96154799999999</v>
      </c>
      <c r="AI170" t="s">
        <v>111</v>
      </c>
    </row>
    <row r="171" spans="1:35">
      <c r="A171" t="s">
        <v>218</v>
      </c>
      <c r="B171" t="s">
        <v>1556</v>
      </c>
      <c r="C171" t="s">
        <v>1069</v>
      </c>
      <c r="D171" t="s">
        <v>200</v>
      </c>
      <c r="F171">
        <v>0</v>
      </c>
      <c r="G171">
        <v>0</v>
      </c>
      <c r="H171">
        <v>47.794128000000001</v>
      </c>
      <c r="I171">
        <v>34.290160999999998</v>
      </c>
      <c r="J171">
        <v>78.167045999999999</v>
      </c>
      <c r="K171">
        <v>21.906136</v>
      </c>
      <c r="L171">
        <v>29.046921000000001</v>
      </c>
      <c r="M171">
        <v>42.34742</v>
      </c>
      <c r="N171">
        <v>67.976646000000002</v>
      </c>
      <c r="O171">
        <v>70.347549000000001</v>
      </c>
      <c r="P171">
        <v>71.901809999999998</v>
      </c>
      <c r="Q171">
        <v>73.409531000000001</v>
      </c>
      <c r="R171">
        <v>74.759415000000004</v>
      </c>
      <c r="S171">
        <v>75.880463000000006</v>
      </c>
      <c r="T171">
        <v>76.833099000000004</v>
      </c>
      <c r="U171">
        <v>77.983086</v>
      </c>
      <c r="V171">
        <v>79.231110000000001</v>
      </c>
      <c r="W171">
        <v>80.483269000000007</v>
      </c>
      <c r="X171">
        <v>81.913345000000007</v>
      </c>
      <c r="Y171">
        <v>83.149544000000006</v>
      </c>
      <c r="Z171">
        <v>84.208145000000002</v>
      </c>
      <c r="AA171">
        <v>85.047950999999998</v>
      </c>
      <c r="AB171">
        <v>85.678557999999995</v>
      </c>
      <c r="AC171">
        <v>86.113647</v>
      </c>
      <c r="AD171">
        <v>86.440674000000001</v>
      </c>
      <c r="AE171">
        <v>86.611412000000001</v>
      </c>
      <c r="AF171">
        <v>86.682541000000001</v>
      </c>
      <c r="AG171">
        <v>86.753997999999996</v>
      </c>
      <c r="AH171">
        <v>86.938659999999999</v>
      </c>
      <c r="AI171" t="s">
        <v>111</v>
      </c>
    </row>
    <row r="172" spans="1:35">
      <c r="A172" t="s">
        <v>219</v>
      </c>
      <c r="B172" t="s">
        <v>1557</v>
      </c>
      <c r="C172" t="s">
        <v>1069</v>
      </c>
      <c r="D172" t="s">
        <v>200</v>
      </c>
      <c r="F172">
        <v>0</v>
      </c>
      <c r="G172">
        <v>209.46492000000001</v>
      </c>
      <c r="H172">
        <v>190.51182600000001</v>
      </c>
      <c r="I172">
        <v>74.412719999999993</v>
      </c>
      <c r="J172">
        <v>80.207520000000002</v>
      </c>
      <c r="K172">
        <v>59.515380999999998</v>
      </c>
      <c r="L172">
        <v>61.856934000000003</v>
      </c>
      <c r="M172">
        <v>64.751464999999996</v>
      </c>
      <c r="N172">
        <v>67.703247000000005</v>
      </c>
      <c r="O172">
        <v>70.644531000000001</v>
      </c>
      <c r="P172">
        <v>73.570189999999997</v>
      </c>
      <c r="Q172">
        <v>76.465941999999998</v>
      </c>
      <c r="R172">
        <v>79.239502000000002</v>
      </c>
      <c r="S172">
        <v>81.854247999999998</v>
      </c>
      <c r="T172">
        <v>84.480346999999995</v>
      </c>
      <c r="U172">
        <v>87.101196000000002</v>
      </c>
      <c r="V172">
        <v>89.593872000000005</v>
      </c>
      <c r="W172">
        <v>91.998412999999999</v>
      </c>
      <c r="X172">
        <v>94.364013999999997</v>
      </c>
      <c r="Y172">
        <v>96.607178000000005</v>
      </c>
      <c r="Z172">
        <v>98.779419000000004</v>
      </c>
      <c r="AA172">
        <v>100.890381</v>
      </c>
      <c r="AB172">
        <v>102.950806</v>
      </c>
      <c r="AC172">
        <v>104.98181200000001</v>
      </c>
      <c r="AD172">
        <v>107</v>
      </c>
      <c r="AE172">
        <v>109.017456</v>
      </c>
      <c r="AF172">
        <v>111.091431</v>
      </c>
      <c r="AG172">
        <v>113.24279799999999</v>
      </c>
      <c r="AH172">
        <v>115.45605500000001</v>
      </c>
      <c r="AI172" t="s">
        <v>111</v>
      </c>
    </row>
    <row r="173" spans="1:35">
      <c r="A173" t="s">
        <v>1262</v>
      </c>
      <c r="B173" t="s">
        <v>1558</v>
      </c>
      <c r="C173" t="s">
        <v>1069</v>
      </c>
      <c r="D173" t="s">
        <v>200</v>
      </c>
      <c r="F173">
        <v>0.79372399999999999</v>
      </c>
      <c r="G173">
        <v>12.980262</v>
      </c>
      <c r="H173">
        <v>13.87327</v>
      </c>
      <c r="I173">
        <v>26.350292</v>
      </c>
      <c r="J173">
        <v>34.025683999999998</v>
      </c>
      <c r="K173">
        <v>23.44116</v>
      </c>
      <c r="L173">
        <v>23.946943000000001</v>
      </c>
      <c r="M173">
        <v>7.5498479999999999</v>
      </c>
      <c r="N173">
        <v>10.049531999999999</v>
      </c>
      <c r="O173">
        <v>12.750522999999999</v>
      </c>
      <c r="P173">
        <v>15.652850000000001</v>
      </c>
      <c r="Q173">
        <v>19.172958000000001</v>
      </c>
      <c r="R173">
        <v>21.966609999999999</v>
      </c>
      <c r="S173">
        <v>24.430050000000001</v>
      </c>
      <c r="T173">
        <v>26.608149000000001</v>
      </c>
      <c r="U173">
        <v>29.806080000000001</v>
      </c>
      <c r="V173">
        <v>31.115946000000001</v>
      </c>
      <c r="W173">
        <v>32.410407999999997</v>
      </c>
      <c r="X173">
        <v>32.874062000000002</v>
      </c>
      <c r="Y173">
        <v>33.091309000000003</v>
      </c>
      <c r="Z173">
        <v>35.272255000000001</v>
      </c>
      <c r="AA173">
        <v>35.527016000000003</v>
      </c>
      <c r="AB173">
        <v>34.892966999999999</v>
      </c>
      <c r="AC173">
        <v>34.265090999999998</v>
      </c>
      <c r="AD173">
        <v>33.642463999999997</v>
      </c>
      <c r="AE173">
        <v>33.005409</v>
      </c>
      <c r="AF173">
        <v>32.366652999999999</v>
      </c>
      <c r="AG173">
        <v>31.752213000000001</v>
      </c>
      <c r="AH173">
        <v>31.186401</v>
      </c>
      <c r="AI173" s="22">
        <v>0.14000000000000001</v>
      </c>
    </row>
    <row r="174" spans="1:35">
      <c r="A174" t="s">
        <v>217</v>
      </c>
      <c r="B174" t="s">
        <v>1559</v>
      </c>
      <c r="C174" t="s">
        <v>1069</v>
      </c>
      <c r="D174" t="s">
        <v>200</v>
      </c>
      <c r="F174">
        <v>0.79372399999999999</v>
      </c>
      <c r="G174">
        <v>7.4462910000000004</v>
      </c>
      <c r="H174">
        <v>10.540979</v>
      </c>
      <c r="I174">
        <v>9.1241839999999996</v>
      </c>
      <c r="J174">
        <v>8.5874229999999994</v>
      </c>
      <c r="K174">
        <v>6.9385599999999998</v>
      </c>
      <c r="L174">
        <v>7.4051960000000001</v>
      </c>
      <c r="M174">
        <v>4.6872920000000002</v>
      </c>
      <c r="N174">
        <v>5.5550129999999998</v>
      </c>
      <c r="O174">
        <v>6.4856889999999998</v>
      </c>
      <c r="P174">
        <v>7.4760400000000002</v>
      </c>
      <c r="Q174">
        <v>8.5032789999999991</v>
      </c>
      <c r="R174">
        <v>9.4984909999999996</v>
      </c>
      <c r="S174">
        <v>10.436935999999999</v>
      </c>
      <c r="T174">
        <v>11.300264</v>
      </c>
      <c r="U174">
        <v>12.071911</v>
      </c>
      <c r="V174">
        <v>13.071901</v>
      </c>
      <c r="W174">
        <v>14.14739</v>
      </c>
      <c r="X174">
        <v>14.482977</v>
      </c>
      <c r="Y174">
        <v>14.647125000000001</v>
      </c>
      <c r="Z174">
        <v>14.705292</v>
      </c>
      <c r="AA174">
        <v>14.677673</v>
      </c>
      <c r="AB174">
        <v>14.582153</v>
      </c>
      <c r="AC174">
        <v>14.438843</v>
      </c>
      <c r="AD174">
        <v>14.260223</v>
      </c>
      <c r="AE174">
        <v>14.050934</v>
      </c>
      <c r="AF174">
        <v>13.821960000000001</v>
      </c>
      <c r="AG174">
        <v>13.586792000000001</v>
      </c>
      <c r="AH174">
        <v>13.356964</v>
      </c>
      <c r="AI174" s="22">
        <v>0.106</v>
      </c>
    </row>
    <row r="175" spans="1:35">
      <c r="A175" t="s">
        <v>218</v>
      </c>
      <c r="B175" t="s">
        <v>1560</v>
      </c>
      <c r="C175" t="s">
        <v>1069</v>
      </c>
      <c r="D175" t="s">
        <v>200</v>
      </c>
      <c r="F175">
        <v>0</v>
      </c>
      <c r="G175">
        <v>0</v>
      </c>
      <c r="H175">
        <v>0.42932500000000001</v>
      </c>
      <c r="I175">
        <v>14.579053</v>
      </c>
      <c r="J175">
        <v>24.163519000000001</v>
      </c>
      <c r="K175">
        <v>14.927294</v>
      </c>
      <c r="L175">
        <v>14.637105999999999</v>
      </c>
      <c r="M175">
        <v>0.63064600000000004</v>
      </c>
      <c r="N175">
        <v>1.9469030000000001</v>
      </c>
      <c r="O175">
        <v>3.405764</v>
      </c>
      <c r="P175">
        <v>4.9879540000000002</v>
      </c>
      <c r="Q175">
        <v>6.6358100000000002</v>
      </c>
      <c r="R175">
        <v>8.1877010000000006</v>
      </c>
      <c r="S175">
        <v>9.5605790000000006</v>
      </c>
      <c r="T175">
        <v>10.737700999999999</v>
      </c>
      <c r="U175">
        <v>13.039307000000001</v>
      </c>
      <c r="V175">
        <v>13.238830999999999</v>
      </c>
      <c r="W175">
        <v>13.362273999999999</v>
      </c>
      <c r="X175">
        <v>13.415436</v>
      </c>
      <c r="Y175">
        <v>13.404968</v>
      </c>
      <c r="Z175">
        <v>15.479445999999999</v>
      </c>
      <c r="AA175">
        <v>15.727722</v>
      </c>
      <c r="AB175">
        <v>15.166382</v>
      </c>
      <c r="AC175">
        <v>14.668182</v>
      </c>
      <c r="AD175">
        <v>14.217926</v>
      </c>
      <c r="AE175">
        <v>13.793549000000001</v>
      </c>
      <c r="AF175">
        <v>13.395325</v>
      </c>
      <c r="AG175">
        <v>13.034515000000001</v>
      </c>
      <c r="AH175">
        <v>12.721436000000001</v>
      </c>
      <c r="AI175" t="s">
        <v>111</v>
      </c>
    </row>
    <row r="176" spans="1:35">
      <c r="A176" t="s">
        <v>219</v>
      </c>
      <c r="B176" t="s">
        <v>1561</v>
      </c>
      <c r="C176" t="s">
        <v>1069</v>
      </c>
      <c r="D176" t="s">
        <v>200</v>
      </c>
      <c r="F176">
        <v>0</v>
      </c>
      <c r="G176">
        <v>5.5339710000000002</v>
      </c>
      <c r="H176">
        <v>2.9029660000000002</v>
      </c>
      <c r="I176">
        <v>2.6470570000000002</v>
      </c>
      <c r="J176">
        <v>1.2747409999999999</v>
      </c>
      <c r="K176">
        <v>1.5753060000000001</v>
      </c>
      <c r="L176">
        <v>1.9046419999999999</v>
      </c>
      <c r="M176">
        <v>2.2319100000000001</v>
      </c>
      <c r="N176">
        <v>2.5476160000000001</v>
      </c>
      <c r="O176">
        <v>2.8590689999999999</v>
      </c>
      <c r="P176">
        <v>3.1888550000000002</v>
      </c>
      <c r="Q176">
        <v>4.0338690000000001</v>
      </c>
      <c r="R176">
        <v>4.2804180000000001</v>
      </c>
      <c r="S176">
        <v>4.4325330000000003</v>
      </c>
      <c r="T176">
        <v>4.5701830000000001</v>
      </c>
      <c r="U176">
        <v>4.6948619999999996</v>
      </c>
      <c r="V176">
        <v>4.8052140000000003</v>
      </c>
      <c r="W176">
        <v>4.9007420000000002</v>
      </c>
      <c r="X176">
        <v>4.9756470000000004</v>
      </c>
      <c r="Y176">
        <v>5.0392150000000004</v>
      </c>
      <c r="Z176">
        <v>5.0875170000000001</v>
      </c>
      <c r="AA176">
        <v>5.1216200000000001</v>
      </c>
      <c r="AB176">
        <v>5.1444320000000001</v>
      </c>
      <c r="AC176">
        <v>5.1580659999999998</v>
      </c>
      <c r="AD176">
        <v>5.1643140000000001</v>
      </c>
      <c r="AE176">
        <v>5.160927</v>
      </c>
      <c r="AF176">
        <v>5.1493679999999999</v>
      </c>
      <c r="AG176">
        <v>5.1309050000000003</v>
      </c>
      <c r="AH176">
        <v>5.1080019999999999</v>
      </c>
      <c r="AI176" t="s">
        <v>111</v>
      </c>
    </row>
    <row r="177" spans="1:35">
      <c r="A177" t="s">
        <v>1265</v>
      </c>
      <c r="B177" t="s">
        <v>1562</v>
      </c>
      <c r="C177" t="s">
        <v>1069</v>
      </c>
      <c r="D177" t="s">
        <v>200</v>
      </c>
      <c r="F177">
        <v>0</v>
      </c>
      <c r="G177">
        <v>8.2998980000000007</v>
      </c>
      <c r="H177">
        <v>38.095581000000003</v>
      </c>
      <c r="I177">
        <v>52.605324000000003</v>
      </c>
      <c r="J177">
        <v>38.831344999999999</v>
      </c>
      <c r="K177">
        <v>36.263339999999999</v>
      </c>
      <c r="L177">
        <v>38.536208999999999</v>
      </c>
      <c r="M177">
        <v>37.579514000000003</v>
      </c>
      <c r="N177">
        <v>40.607680999999999</v>
      </c>
      <c r="O177">
        <v>43.308140000000002</v>
      </c>
      <c r="P177">
        <v>45.546779999999998</v>
      </c>
      <c r="Q177">
        <v>51.024161999999997</v>
      </c>
      <c r="R177">
        <v>55.126358000000003</v>
      </c>
      <c r="S177">
        <v>55.12912</v>
      </c>
      <c r="T177">
        <v>55.547545999999997</v>
      </c>
      <c r="U177">
        <v>56.460537000000002</v>
      </c>
      <c r="V177">
        <v>57.931061</v>
      </c>
      <c r="W177">
        <v>57.521850999999998</v>
      </c>
      <c r="X177">
        <v>61.387970000000003</v>
      </c>
      <c r="Y177">
        <v>62.124954000000002</v>
      </c>
      <c r="Z177">
        <v>63.149524999999997</v>
      </c>
      <c r="AA177">
        <v>64.233458999999996</v>
      </c>
      <c r="AB177">
        <v>65.384048000000007</v>
      </c>
      <c r="AC177">
        <v>66.553618999999998</v>
      </c>
      <c r="AD177">
        <v>67.687691000000001</v>
      </c>
      <c r="AE177">
        <v>68.894240999999994</v>
      </c>
      <c r="AF177">
        <v>70.257583999999994</v>
      </c>
      <c r="AG177">
        <v>71.682845999999998</v>
      </c>
      <c r="AH177">
        <v>73.041831999999999</v>
      </c>
      <c r="AI177" t="s">
        <v>111</v>
      </c>
    </row>
    <row r="178" spans="1:35">
      <c r="A178" t="s">
        <v>217</v>
      </c>
      <c r="B178" t="s">
        <v>1563</v>
      </c>
      <c r="C178" t="s">
        <v>1069</v>
      </c>
      <c r="D178" t="s">
        <v>200</v>
      </c>
      <c r="F178">
        <v>0</v>
      </c>
      <c r="G178">
        <v>0</v>
      </c>
      <c r="H178">
        <v>2.1184859999999999</v>
      </c>
      <c r="I178">
        <v>14.333235</v>
      </c>
      <c r="J178">
        <v>8.4892459999999996</v>
      </c>
      <c r="K178">
        <v>9.3029770000000003</v>
      </c>
      <c r="L178">
        <v>11.527939</v>
      </c>
      <c r="M178">
        <v>13.043364</v>
      </c>
      <c r="N178">
        <v>15.177201</v>
      </c>
      <c r="O178">
        <v>17.062756</v>
      </c>
      <c r="P178">
        <v>18.632449999999999</v>
      </c>
      <c r="Q178">
        <v>23.383787000000002</v>
      </c>
      <c r="R178">
        <v>26.739440999999999</v>
      </c>
      <c r="S178">
        <v>26.429901000000001</v>
      </c>
      <c r="T178">
        <v>26.310669000000001</v>
      </c>
      <c r="U178">
        <v>26.42334</v>
      </c>
      <c r="V178">
        <v>26.262481999999999</v>
      </c>
      <c r="W178">
        <v>25.816986</v>
      </c>
      <c r="X178">
        <v>29.670959</v>
      </c>
      <c r="Y178">
        <v>30.239594</v>
      </c>
      <c r="Z178">
        <v>31.060184</v>
      </c>
      <c r="AA178">
        <v>31.933064000000002</v>
      </c>
      <c r="AB178">
        <v>32.858215000000001</v>
      </c>
      <c r="AC178">
        <v>33.782725999999997</v>
      </c>
      <c r="AD178">
        <v>34.653114000000002</v>
      </c>
      <c r="AE178">
        <v>35.545791999999999</v>
      </c>
      <c r="AF178">
        <v>36.475109000000003</v>
      </c>
      <c r="AG178">
        <v>37.396743999999998</v>
      </c>
      <c r="AH178">
        <v>38.194510999999999</v>
      </c>
      <c r="AI178" t="s">
        <v>111</v>
      </c>
    </row>
    <row r="179" spans="1:35">
      <c r="A179" t="s">
        <v>218</v>
      </c>
      <c r="B179" t="s">
        <v>1564</v>
      </c>
      <c r="C179" t="s">
        <v>1069</v>
      </c>
      <c r="D179" t="s">
        <v>200</v>
      </c>
      <c r="F179">
        <v>0</v>
      </c>
      <c r="G179">
        <v>0</v>
      </c>
      <c r="H179">
        <v>2.6404640000000001</v>
      </c>
      <c r="I179">
        <v>8.6513419999999996</v>
      </c>
      <c r="J179">
        <v>8.5475119999999993</v>
      </c>
      <c r="K179">
        <v>5.0834099999999998</v>
      </c>
      <c r="L179">
        <v>4.9653910000000003</v>
      </c>
      <c r="M179">
        <v>2.3322020000000001</v>
      </c>
      <c r="N179">
        <v>3.053315</v>
      </c>
      <c r="O179">
        <v>3.8036720000000002</v>
      </c>
      <c r="P179">
        <v>4.5707329999999997</v>
      </c>
      <c r="Q179">
        <v>5.3463390000000004</v>
      </c>
      <c r="R179">
        <v>6.1272130000000002</v>
      </c>
      <c r="S179">
        <v>6.8328249999999997</v>
      </c>
      <c r="T179">
        <v>7.5031720000000002</v>
      </c>
      <c r="U179">
        <v>8.1220660000000002</v>
      </c>
      <c r="V179">
        <v>9.6340640000000004</v>
      </c>
      <c r="W179">
        <v>9.7615359999999995</v>
      </c>
      <c r="X179">
        <v>9.8415529999999993</v>
      </c>
      <c r="Y179">
        <v>9.8936919999999997</v>
      </c>
      <c r="Z179">
        <v>9.9146879999999999</v>
      </c>
      <c r="AA179">
        <v>9.9091640000000005</v>
      </c>
      <c r="AB179">
        <v>9.8867650000000005</v>
      </c>
      <c r="AC179">
        <v>9.8553010000000008</v>
      </c>
      <c r="AD179">
        <v>9.8242189999999994</v>
      </c>
      <c r="AE179">
        <v>9.8048400000000004</v>
      </c>
      <c r="AF179">
        <v>9.8116149999999998</v>
      </c>
      <c r="AG179">
        <v>9.8472600000000003</v>
      </c>
      <c r="AH179">
        <v>9.9160160000000008</v>
      </c>
      <c r="AI179" t="s">
        <v>111</v>
      </c>
    </row>
    <row r="180" spans="1:35">
      <c r="A180" t="s">
        <v>219</v>
      </c>
      <c r="B180" t="s">
        <v>1565</v>
      </c>
      <c r="C180" t="s">
        <v>1069</v>
      </c>
      <c r="D180" t="s">
        <v>200</v>
      </c>
      <c r="F180">
        <v>0</v>
      </c>
      <c r="G180">
        <v>8.2998980000000007</v>
      </c>
      <c r="H180">
        <v>33.336632000000002</v>
      </c>
      <c r="I180">
        <v>29.620747000000001</v>
      </c>
      <c r="J180">
        <v>21.794585999999999</v>
      </c>
      <c r="K180">
        <v>21.876953</v>
      </c>
      <c r="L180">
        <v>22.042877000000001</v>
      </c>
      <c r="M180">
        <v>22.203949000000001</v>
      </c>
      <c r="N180">
        <v>22.377167</v>
      </c>
      <c r="O180">
        <v>22.441711000000002</v>
      </c>
      <c r="P180">
        <v>22.343596999999999</v>
      </c>
      <c r="Q180">
        <v>22.294036999999999</v>
      </c>
      <c r="R180">
        <v>22.259705</v>
      </c>
      <c r="S180">
        <v>21.866394</v>
      </c>
      <c r="T180">
        <v>21.733703999999999</v>
      </c>
      <c r="U180">
        <v>21.915130999999999</v>
      </c>
      <c r="V180">
        <v>22.034514999999999</v>
      </c>
      <c r="W180">
        <v>21.943328999999999</v>
      </c>
      <c r="X180">
        <v>21.875457999999998</v>
      </c>
      <c r="Y180">
        <v>21.991669000000002</v>
      </c>
      <c r="Z180">
        <v>22.174651999999998</v>
      </c>
      <c r="AA180">
        <v>22.391235000000002</v>
      </c>
      <c r="AB180">
        <v>22.639068999999999</v>
      </c>
      <c r="AC180">
        <v>22.915588</v>
      </c>
      <c r="AD180">
        <v>23.210357999999999</v>
      </c>
      <c r="AE180">
        <v>23.543610000000001</v>
      </c>
      <c r="AF180">
        <v>23.970856000000001</v>
      </c>
      <c r="AG180">
        <v>24.438842999999999</v>
      </c>
      <c r="AH180">
        <v>24.931304999999998</v>
      </c>
      <c r="AI180" t="s">
        <v>111</v>
      </c>
    </row>
    <row r="181" spans="1:35">
      <c r="A181" t="s">
        <v>1268</v>
      </c>
      <c r="B181" t="s">
        <v>1566</v>
      </c>
      <c r="C181" t="s">
        <v>1069</v>
      </c>
      <c r="D181" t="s">
        <v>200</v>
      </c>
      <c r="F181">
        <v>1.548062</v>
      </c>
      <c r="G181">
        <v>0.40694900000000001</v>
      </c>
      <c r="H181">
        <v>4.8166710000000004</v>
      </c>
      <c r="I181">
        <v>20.534969</v>
      </c>
      <c r="J181">
        <v>32.079707999999997</v>
      </c>
      <c r="K181">
        <v>20.609804</v>
      </c>
      <c r="L181">
        <v>20.630108</v>
      </c>
      <c r="M181">
        <v>13.326860999999999</v>
      </c>
      <c r="N181">
        <v>15.014462</v>
      </c>
      <c r="O181">
        <v>14.232529</v>
      </c>
      <c r="P181">
        <v>11.986039</v>
      </c>
      <c r="Q181">
        <v>15.703169000000001</v>
      </c>
      <c r="R181">
        <v>17.806175</v>
      </c>
      <c r="S181">
        <v>18.755282999999999</v>
      </c>
      <c r="T181">
        <v>21.919620999999999</v>
      </c>
      <c r="U181">
        <v>21.439056000000001</v>
      </c>
      <c r="V181">
        <v>20.925242999999998</v>
      </c>
      <c r="W181">
        <v>21.061748999999999</v>
      </c>
      <c r="X181">
        <v>21.5837</v>
      </c>
      <c r="Y181">
        <v>22.559345</v>
      </c>
      <c r="Z181">
        <v>23.275272000000001</v>
      </c>
      <c r="AA181">
        <v>23.497261000000002</v>
      </c>
      <c r="AB181">
        <v>23.522503</v>
      </c>
      <c r="AC181">
        <v>23.249434999999998</v>
      </c>
      <c r="AD181">
        <v>22.661169000000001</v>
      </c>
      <c r="AE181">
        <v>22.079357000000002</v>
      </c>
      <c r="AF181">
        <v>21.822834</v>
      </c>
      <c r="AG181">
        <v>21.902353000000002</v>
      </c>
      <c r="AH181">
        <v>22.206213000000002</v>
      </c>
      <c r="AI181" s="22">
        <v>0.1</v>
      </c>
    </row>
    <row r="182" spans="1:35">
      <c r="A182" t="s">
        <v>217</v>
      </c>
      <c r="B182" t="s">
        <v>1567</v>
      </c>
      <c r="C182" t="s">
        <v>1069</v>
      </c>
      <c r="D182" t="s">
        <v>200</v>
      </c>
      <c r="F182">
        <v>0</v>
      </c>
      <c r="G182">
        <v>0</v>
      </c>
      <c r="H182">
        <v>0</v>
      </c>
      <c r="I182">
        <v>10.911906999999999</v>
      </c>
      <c r="J182">
        <v>16.296938000000001</v>
      </c>
      <c r="K182">
        <v>10.302027000000001</v>
      </c>
      <c r="L182">
        <v>10.519545000000001</v>
      </c>
      <c r="M182">
        <v>7.0495219999999996</v>
      </c>
      <c r="N182">
        <v>8.0902919999999998</v>
      </c>
      <c r="O182">
        <v>7.8387279999999997</v>
      </c>
      <c r="P182">
        <v>6.8081899999999997</v>
      </c>
      <c r="Q182">
        <v>7.5327210000000004</v>
      </c>
      <c r="R182">
        <v>8.5408380000000008</v>
      </c>
      <c r="S182">
        <v>9.3576350000000001</v>
      </c>
      <c r="T182">
        <v>12.303055000000001</v>
      </c>
      <c r="U182">
        <v>12.014191</v>
      </c>
      <c r="V182">
        <v>11.662108999999999</v>
      </c>
      <c r="W182">
        <v>11.604355</v>
      </c>
      <c r="X182">
        <v>11.726746</v>
      </c>
      <c r="Y182">
        <v>12.056839</v>
      </c>
      <c r="Z182">
        <v>12.26825</v>
      </c>
      <c r="AA182">
        <v>12.228882</v>
      </c>
      <c r="AB182">
        <v>12.117050000000001</v>
      </c>
      <c r="AC182">
        <v>11.890594</v>
      </c>
      <c r="AD182">
        <v>11.539612</v>
      </c>
      <c r="AE182">
        <v>11.207397</v>
      </c>
      <c r="AF182">
        <v>11.077102999999999</v>
      </c>
      <c r="AG182">
        <v>11.135910000000001</v>
      </c>
      <c r="AH182">
        <v>11.343048</v>
      </c>
      <c r="AI182" t="s">
        <v>111</v>
      </c>
    </row>
    <row r="183" spans="1:35">
      <c r="A183" t="s">
        <v>218</v>
      </c>
      <c r="B183" t="s">
        <v>1568</v>
      </c>
      <c r="C183" t="s">
        <v>1069</v>
      </c>
      <c r="D183" t="s">
        <v>200</v>
      </c>
      <c r="F183">
        <v>0</v>
      </c>
      <c r="G183">
        <v>0</v>
      </c>
      <c r="H183">
        <v>4.2203200000000001</v>
      </c>
      <c r="I183">
        <v>8.9817909999999994</v>
      </c>
      <c r="J183">
        <v>15.300864000000001</v>
      </c>
      <c r="K183">
        <v>9.8738729999999997</v>
      </c>
      <c r="L183">
        <v>9.6676289999999998</v>
      </c>
      <c r="M183">
        <v>5.8619880000000002</v>
      </c>
      <c r="N183">
        <v>6.5125869999999999</v>
      </c>
      <c r="O183">
        <v>6.0127410000000001</v>
      </c>
      <c r="P183">
        <v>4.8427749999999996</v>
      </c>
      <c r="Q183">
        <v>7.8420709999999998</v>
      </c>
      <c r="R183">
        <v>8.9356120000000008</v>
      </c>
      <c r="S183">
        <v>9.0690570000000008</v>
      </c>
      <c r="T183">
        <v>9.2871439999999996</v>
      </c>
      <c r="U183">
        <v>9.1031060000000004</v>
      </c>
      <c r="V183">
        <v>8.948658</v>
      </c>
      <c r="W183">
        <v>9.1422129999999999</v>
      </c>
      <c r="X183">
        <v>9.5360320000000005</v>
      </c>
      <c r="Y183">
        <v>10.170254999999999</v>
      </c>
      <c r="Z183">
        <v>10.665497</v>
      </c>
      <c r="AA183">
        <v>10.922416999999999</v>
      </c>
      <c r="AB183">
        <v>11.056387000000001</v>
      </c>
      <c r="AC183">
        <v>11.009218000000001</v>
      </c>
      <c r="AD183">
        <v>10.773937999999999</v>
      </c>
      <c r="AE183">
        <v>10.526306</v>
      </c>
      <c r="AF183">
        <v>10.397843999999999</v>
      </c>
      <c r="AG183">
        <v>10.412478</v>
      </c>
      <c r="AH183">
        <v>10.500457000000001</v>
      </c>
      <c r="AI183" t="s">
        <v>111</v>
      </c>
    </row>
    <row r="184" spans="1:35">
      <c r="A184" t="s">
        <v>219</v>
      </c>
      <c r="B184" t="s">
        <v>1569</v>
      </c>
      <c r="C184" t="s">
        <v>1069</v>
      </c>
      <c r="D184" t="s">
        <v>200</v>
      </c>
      <c r="F184">
        <v>1.548062</v>
      </c>
      <c r="G184">
        <v>0.40694900000000001</v>
      </c>
      <c r="H184">
        <v>0.59635099999999996</v>
      </c>
      <c r="I184">
        <v>0.64127100000000004</v>
      </c>
      <c r="J184">
        <v>0.481906</v>
      </c>
      <c r="K184">
        <v>0.43390400000000001</v>
      </c>
      <c r="L184">
        <v>0.44293300000000002</v>
      </c>
      <c r="M184">
        <v>0.41535100000000003</v>
      </c>
      <c r="N184">
        <v>0.41158400000000001</v>
      </c>
      <c r="O184">
        <v>0.38105899999999998</v>
      </c>
      <c r="P184">
        <v>0.33507399999999998</v>
      </c>
      <c r="Q184">
        <v>0.32837699999999997</v>
      </c>
      <c r="R184">
        <v>0.32972499999999999</v>
      </c>
      <c r="S184">
        <v>0.32858900000000002</v>
      </c>
      <c r="T184">
        <v>0.32942300000000002</v>
      </c>
      <c r="U184">
        <v>0.32175900000000002</v>
      </c>
      <c r="V184">
        <v>0.31447599999999998</v>
      </c>
      <c r="W184">
        <v>0.31518099999999999</v>
      </c>
      <c r="X184">
        <v>0.32092300000000001</v>
      </c>
      <c r="Y184">
        <v>0.33225300000000002</v>
      </c>
      <c r="Z184">
        <v>0.34152500000000002</v>
      </c>
      <c r="AA184">
        <v>0.34596300000000002</v>
      </c>
      <c r="AB184">
        <v>0.34906500000000001</v>
      </c>
      <c r="AC184">
        <v>0.34962300000000002</v>
      </c>
      <c r="AD184">
        <v>0.34761999999999998</v>
      </c>
      <c r="AE184">
        <v>0.34565400000000002</v>
      </c>
      <c r="AF184">
        <v>0.347887</v>
      </c>
      <c r="AG184">
        <v>0.35396300000000003</v>
      </c>
      <c r="AH184">
        <v>0.36270599999999997</v>
      </c>
      <c r="AI184" s="22">
        <v>-5.0999999999999997E-2</v>
      </c>
    </row>
    <row r="185" spans="1:35">
      <c r="A185" t="s">
        <v>1271</v>
      </c>
      <c r="B185" t="s">
        <v>1570</v>
      </c>
      <c r="C185" t="s">
        <v>1069</v>
      </c>
      <c r="D185" t="s">
        <v>200</v>
      </c>
      <c r="F185">
        <v>42.537201000000003</v>
      </c>
      <c r="G185">
        <v>46.682068000000001</v>
      </c>
      <c r="H185">
        <v>72.607048000000006</v>
      </c>
      <c r="I185">
        <v>53.570805</v>
      </c>
      <c r="J185">
        <v>52.307175000000001</v>
      </c>
      <c r="K185">
        <v>46.307720000000003</v>
      </c>
      <c r="L185">
        <v>46.639373999999997</v>
      </c>
      <c r="M185">
        <v>44.061912999999997</v>
      </c>
      <c r="N185">
        <v>45.929980999999998</v>
      </c>
      <c r="O185">
        <v>48.113509999999998</v>
      </c>
      <c r="P185">
        <v>50.033737000000002</v>
      </c>
      <c r="Q185">
        <v>51.740509000000003</v>
      </c>
      <c r="R185">
        <v>53.489006000000003</v>
      </c>
      <c r="S185">
        <v>55.207909000000001</v>
      </c>
      <c r="T185">
        <v>56.873610999999997</v>
      </c>
      <c r="U185">
        <v>58.480736</v>
      </c>
      <c r="V185">
        <v>60.160851000000001</v>
      </c>
      <c r="W185">
        <v>63.030822999999998</v>
      </c>
      <c r="X185">
        <v>64.656334000000001</v>
      </c>
      <c r="Y185">
        <v>66.313468999999998</v>
      </c>
      <c r="Z185">
        <v>67.954903000000002</v>
      </c>
      <c r="AA185">
        <v>69.566649999999996</v>
      </c>
      <c r="AB185">
        <v>71.175880000000006</v>
      </c>
      <c r="AC185">
        <v>72.77655</v>
      </c>
      <c r="AD185">
        <v>74.328766000000002</v>
      </c>
      <c r="AE185">
        <v>75.799423000000004</v>
      </c>
      <c r="AF185">
        <v>77.223754999999997</v>
      </c>
      <c r="AG185">
        <v>78.564887999999996</v>
      </c>
      <c r="AH185">
        <v>79.808670000000006</v>
      </c>
      <c r="AI185" s="22">
        <v>2.3E-2</v>
      </c>
    </row>
    <row r="186" spans="1:35">
      <c r="A186" t="s">
        <v>217</v>
      </c>
      <c r="B186" t="s">
        <v>1571</v>
      </c>
      <c r="C186" t="s">
        <v>1069</v>
      </c>
      <c r="D186" t="s">
        <v>200</v>
      </c>
      <c r="F186">
        <v>17.589843999999999</v>
      </c>
      <c r="G186">
        <v>37.309508999999998</v>
      </c>
      <c r="H186">
        <v>48.998595999999999</v>
      </c>
      <c r="I186">
        <v>37.353088</v>
      </c>
      <c r="J186">
        <v>35.851115999999998</v>
      </c>
      <c r="K186">
        <v>30.517347000000001</v>
      </c>
      <c r="L186">
        <v>29.273925999999999</v>
      </c>
      <c r="M186">
        <v>27.503081999999999</v>
      </c>
      <c r="N186">
        <v>28.547916000000001</v>
      </c>
      <c r="O186">
        <v>29.790039</v>
      </c>
      <c r="P186">
        <v>30.867187999999999</v>
      </c>
      <c r="Q186">
        <v>31.817748999999999</v>
      </c>
      <c r="R186">
        <v>32.78302</v>
      </c>
      <c r="S186">
        <v>33.770935000000001</v>
      </c>
      <c r="T186">
        <v>34.748168999999997</v>
      </c>
      <c r="U186">
        <v>35.713684000000001</v>
      </c>
      <c r="V186">
        <v>36.717224000000002</v>
      </c>
      <c r="W186">
        <v>37.763184000000003</v>
      </c>
      <c r="X186">
        <v>38.828978999999997</v>
      </c>
      <c r="Y186">
        <v>39.938170999999997</v>
      </c>
      <c r="Z186">
        <v>41.061278999999999</v>
      </c>
      <c r="AA186">
        <v>42.187012000000003</v>
      </c>
      <c r="AB186">
        <v>43.312927000000002</v>
      </c>
      <c r="AC186">
        <v>44.426940999999999</v>
      </c>
      <c r="AD186">
        <v>45.539856</v>
      </c>
      <c r="AE186">
        <v>46.608459000000003</v>
      </c>
      <c r="AF186">
        <v>47.610962000000001</v>
      </c>
      <c r="AG186">
        <v>48.541809000000001</v>
      </c>
      <c r="AH186">
        <v>49.383423000000001</v>
      </c>
      <c r="AI186" s="22">
        <v>3.7999999999999999E-2</v>
      </c>
    </row>
    <row r="187" spans="1:35">
      <c r="A187" t="s">
        <v>218</v>
      </c>
      <c r="B187" t="s">
        <v>1572</v>
      </c>
      <c r="C187" t="s">
        <v>1069</v>
      </c>
      <c r="D187" t="s">
        <v>200</v>
      </c>
      <c r="F187">
        <v>0</v>
      </c>
      <c r="G187">
        <v>0</v>
      </c>
      <c r="H187">
        <v>8.5974660000000007</v>
      </c>
      <c r="I187">
        <v>5.9324389999999996</v>
      </c>
      <c r="J187">
        <v>4.411505</v>
      </c>
      <c r="K187">
        <v>4.3788140000000002</v>
      </c>
      <c r="L187">
        <v>5.8503109999999996</v>
      </c>
      <c r="M187">
        <v>4.9938890000000002</v>
      </c>
      <c r="N187">
        <v>5.3139500000000002</v>
      </c>
      <c r="O187">
        <v>5.6372530000000003</v>
      </c>
      <c r="P187">
        <v>5.9198459999999997</v>
      </c>
      <c r="Q187">
        <v>6.1641539999999999</v>
      </c>
      <c r="R187">
        <v>6.382225</v>
      </c>
      <c r="S187">
        <v>6.5721049999999996</v>
      </c>
      <c r="T187">
        <v>6.7250819999999996</v>
      </c>
      <c r="U187">
        <v>6.8400189999999998</v>
      </c>
      <c r="V187">
        <v>6.9813460000000003</v>
      </c>
      <c r="W187">
        <v>8.2631530000000009</v>
      </c>
      <c r="X187">
        <v>8.2911000000000001</v>
      </c>
      <c r="Y187">
        <v>8.3037030000000005</v>
      </c>
      <c r="Z187">
        <v>8.2986830000000005</v>
      </c>
      <c r="AA187">
        <v>8.2781040000000008</v>
      </c>
      <c r="AB187">
        <v>8.2707879999999996</v>
      </c>
      <c r="AC187">
        <v>8.2884239999999991</v>
      </c>
      <c r="AD187">
        <v>8.2699239999999996</v>
      </c>
      <c r="AE187">
        <v>8.2352419999999995</v>
      </c>
      <c r="AF187">
        <v>8.2510630000000003</v>
      </c>
      <c r="AG187">
        <v>8.2850420000000007</v>
      </c>
      <c r="AH187">
        <v>8.3432750000000002</v>
      </c>
      <c r="AI187" t="s">
        <v>111</v>
      </c>
    </row>
    <row r="188" spans="1:35">
      <c r="A188" t="s">
        <v>219</v>
      </c>
      <c r="B188" t="s">
        <v>1573</v>
      </c>
      <c r="C188" t="s">
        <v>1069</v>
      </c>
      <c r="D188" t="s">
        <v>200</v>
      </c>
      <c r="F188">
        <v>24.947357</v>
      </c>
      <c r="G188">
        <v>9.3725590000000008</v>
      </c>
      <c r="H188">
        <v>15.010986000000001</v>
      </c>
      <c r="I188">
        <v>10.285278</v>
      </c>
      <c r="J188">
        <v>12.044556</v>
      </c>
      <c r="K188">
        <v>11.41156</v>
      </c>
      <c r="L188">
        <v>11.515136999999999</v>
      </c>
      <c r="M188">
        <v>11.564940999999999</v>
      </c>
      <c r="N188">
        <v>12.068115000000001</v>
      </c>
      <c r="O188">
        <v>12.686218</v>
      </c>
      <c r="P188">
        <v>13.246703999999999</v>
      </c>
      <c r="Q188">
        <v>13.758606</v>
      </c>
      <c r="R188">
        <v>14.323760999999999</v>
      </c>
      <c r="S188">
        <v>14.864868</v>
      </c>
      <c r="T188">
        <v>15.400359999999999</v>
      </c>
      <c r="U188">
        <v>15.927032000000001</v>
      </c>
      <c r="V188">
        <v>16.46228</v>
      </c>
      <c r="W188">
        <v>17.004486</v>
      </c>
      <c r="X188">
        <v>17.536255000000001</v>
      </c>
      <c r="Y188">
        <v>18.071594000000001</v>
      </c>
      <c r="Z188">
        <v>18.594940000000001</v>
      </c>
      <c r="AA188">
        <v>19.101531999999999</v>
      </c>
      <c r="AB188">
        <v>19.592162999999999</v>
      </c>
      <c r="AC188">
        <v>20.061188000000001</v>
      </c>
      <c r="AD188">
        <v>20.518982000000001</v>
      </c>
      <c r="AE188">
        <v>20.955718999999998</v>
      </c>
      <c r="AF188">
        <v>21.361725</v>
      </c>
      <c r="AG188">
        <v>21.738036999999998</v>
      </c>
      <c r="AH188">
        <v>22.081969999999998</v>
      </c>
      <c r="AI188" s="22">
        <v>-4.0000000000000001E-3</v>
      </c>
    </row>
    <row r="189" spans="1:35">
      <c r="A189" t="s">
        <v>1274</v>
      </c>
      <c r="B189" t="s">
        <v>1574</v>
      </c>
      <c r="C189" t="s">
        <v>1069</v>
      </c>
      <c r="D189" t="s">
        <v>200</v>
      </c>
      <c r="F189">
        <v>0</v>
      </c>
      <c r="G189">
        <v>0</v>
      </c>
      <c r="H189">
        <v>11.400624000000001</v>
      </c>
      <c r="I189">
        <v>28.608160000000002</v>
      </c>
      <c r="J189">
        <v>27.450500000000002</v>
      </c>
      <c r="K189">
        <v>10.437824000000001</v>
      </c>
      <c r="L189">
        <v>10.705201000000001</v>
      </c>
      <c r="M189">
        <v>17.573795</v>
      </c>
      <c r="N189">
        <v>23.538584</v>
      </c>
      <c r="O189">
        <v>34.001067999999997</v>
      </c>
      <c r="P189">
        <v>45.988883999999999</v>
      </c>
      <c r="Q189">
        <v>48.363425999999997</v>
      </c>
      <c r="R189">
        <v>49.233001999999999</v>
      </c>
      <c r="S189">
        <v>50.046734000000001</v>
      </c>
      <c r="T189">
        <v>50.387711000000003</v>
      </c>
      <c r="U189">
        <v>51.022582999999997</v>
      </c>
      <c r="V189">
        <v>51.635016999999998</v>
      </c>
      <c r="W189">
        <v>52.211258000000001</v>
      </c>
      <c r="X189">
        <v>54.691260999999997</v>
      </c>
      <c r="Y189">
        <v>56.252898999999999</v>
      </c>
      <c r="Z189">
        <v>56.312221999999998</v>
      </c>
      <c r="AA189">
        <v>56.506599000000001</v>
      </c>
      <c r="AB189">
        <v>56.766818999999998</v>
      </c>
      <c r="AC189">
        <v>57.069298000000003</v>
      </c>
      <c r="AD189">
        <v>56.914524</v>
      </c>
      <c r="AE189">
        <v>57.307701000000002</v>
      </c>
      <c r="AF189">
        <v>57.811962000000001</v>
      </c>
      <c r="AG189">
        <v>58.449829000000001</v>
      </c>
      <c r="AH189">
        <v>59.263297999999999</v>
      </c>
      <c r="AI189" t="s">
        <v>111</v>
      </c>
    </row>
    <row r="190" spans="1:35">
      <c r="A190" t="s">
        <v>217</v>
      </c>
      <c r="B190" t="s">
        <v>1575</v>
      </c>
      <c r="C190" t="s">
        <v>1069</v>
      </c>
      <c r="D190" t="s">
        <v>200</v>
      </c>
      <c r="F190">
        <v>0</v>
      </c>
      <c r="G190">
        <v>0</v>
      </c>
      <c r="H190">
        <v>0</v>
      </c>
      <c r="I190">
        <v>13.281041999999999</v>
      </c>
      <c r="J190">
        <v>13.797884</v>
      </c>
      <c r="K190">
        <v>3.919664</v>
      </c>
      <c r="L190">
        <v>4.5410389999999996</v>
      </c>
      <c r="M190">
        <v>7.1247809999999996</v>
      </c>
      <c r="N190">
        <v>11.895087999999999</v>
      </c>
      <c r="O190">
        <v>21.353241000000001</v>
      </c>
      <c r="P190">
        <v>32.486815999999997</v>
      </c>
      <c r="Q190">
        <v>33.063201999999997</v>
      </c>
      <c r="R190">
        <v>33.509796000000001</v>
      </c>
      <c r="S190">
        <v>33.918151999999999</v>
      </c>
      <c r="T190">
        <v>34.029724000000002</v>
      </c>
      <c r="U190">
        <v>34.326202000000002</v>
      </c>
      <c r="V190">
        <v>34.609985000000002</v>
      </c>
      <c r="W190">
        <v>34.874054000000001</v>
      </c>
      <c r="X190">
        <v>36.248077000000002</v>
      </c>
      <c r="Y190">
        <v>36.147308000000002</v>
      </c>
      <c r="Z190">
        <v>36.240234000000001</v>
      </c>
      <c r="AA190">
        <v>36.358215000000001</v>
      </c>
      <c r="AB190">
        <v>36.489319000000002</v>
      </c>
      <c r="AC190">
        <v>36.645752000000002</v>
      </c>
      <c r="AD190">
        <v>36.515503000000002</v>
      </c>
      <c r="AE190">
        <v>36.736145</v>
      </c>
      <c r="AF190">
        <v>37.036681999999999</v>
      </c>
      <c r="AG190">
        <v>37.424804999999999</v>
      </c>
      <c r="AH190">
        <v>37.911926000000001</v>
      </c>
      <c r="AI190" t="s">
        <v>111</v>
      </c>
    </row>
    <row r="191" spans="1:35">
      <c r="A191" t="s">
        <v>218</v>
      </c>
      <c r="B191" t="s">
        <v>1576</v>
      </c>
      <c r="C191" t="s">
        <v>1069</v>
      </c>
      <c r="D191" t="s">
        <v>200</v>
      </c>
      <c r="F191">
        <v>0</v>
      </c>
      <c r="G191">
        <v>0</v>
      </c>
      <c r="H191">
        <v>0</v>
      </c>
      <c r="I191">
        <v>1.662442</v>
      </c>
      <c r="J191">
        <v>1.7636639999999999</v>
      </c>
      <c r="K191">
        <v>0.694241</v>
      </c>
      <c r="L191">
        <v>0.65227100000000005</v>
      </c>
      <c r="M191">
        <v>0.86325600000000002</v>
      </c>
      <c r="N191">
        <v>1.358935</v>
      </c>
      <c r="O191">
        <v>1.874633</v>
      </c>
      <c r="P191">
        <v>2.333412</v>
      </c>
      <c r="Q191">
        <v>3.7786330000000001</v>
      </c>
      <c r="R191">
        <v>3.8557130000000002</v>
      </c>
      <c r="S191">
        <v>3.914669</v>
      </c>
      <c r="T191">
        <v>3.931702</v>
      </c>
      <c r="U191">
        <v>3.9577330000000002</v>
      </c>
      <c r="V191">
        <v>3.9734729999999998</v>
      </c>
      <c r="W191">
        <v>3.979263</v>
      </c>
      <c r="X191">
        <v>4.7802809999999996</v>
      </c>
      <c r="Y191">
        <v>6.2711940000000004</v>
      </c>
      <c r="Z191">
        <v>5.9429439999999998</v>
      </c>
      <c r="AA191">
        <v>5.7203900000000001</v>
      </c>
      <c r="AB191">
        <v>5.5504810000000004</v>
      </c>
      <c r="AC191">
        <v>5.3932409999999997</v>
      </c>
      <c r="AD191">
        <v>5.2043340000000002</v>
      </c>
      <c r="AE191">
        <v>5.0682010000000002</v>
      </c>
      <c r="AF191">
        <v>4.9422410000000001</v>
      </c>
      <c r="AG191">
        <v>4.8455830000000004</v>
      </c>
      <c r="AH191">
        <v>4.8084319999999998</v>
      </c>
      <c r="AI191" t="s">
        <v>111</v>
      </c>
    </row>
    <row r="192" spans="1:35">
      <c r="A192" t="s">
        <v>219</v>
      </c>
      <c r="B192" t="s">
        <v>1577</v>
      </c>
      <c r="C192" t="s">
        <v>1069</v>
      </c>
      <c r="D192" t="s">
        <v>200</v>
      </c>
      <c r="F192">
        <v>0</v>
      </c>
      <c r="G192">
        <v>0</v>
      </c>
      <c r="H192">
        <v>11.400624000000001</v>
      </c>
      <c r="I192">
        <v>13.664676999999999</v>
      </c>
      <c r="J192">
        <v>11.888952</v>
      </c>
      <c r="K192">
        <v>5.8239190000000001</v>
      </c>
      <c r="L192">
        <v>5.5118910000000003</v>
      </c>
      <c r="M192">
        <v>9.5857600000000005</v>
      </c>
      <c r="N192">
        <v>10.284561</v>
      </c>
      <c r="O192">
        <v>10.773192999999999</v>
      </c>
      <c r="P192">
        <v>11.168654999999999</v>
      </c>
      <c r="Q192">
        <v>11.521591000000001</v>
      </c>
      <c r="R192">
        <v>11.867493</v>
      </c>
      <c r="S192">
        <v>12.213913</v>
      </c>
      <c r="T192">
        <v>12.426285</v>
      </c>
      <c r="U192">
        <v>12.738647</v>
      </c>
      <c r="V192">
        <v>13.051558999999999</v>
      </c>
      <c r="W192">
        <v>13.357941</v>
      </c>
      <c r="X192">
        <v>13.662903</v>
      </c>
      <c r="Y192">
        <v>13.834396</v>
      </c>
      <c r="Z192">
        <v>14.129044</v>
      </c>
      <c r="AA192">
        <v>14.427994</v>
      </c>
      <c r="AB192">
        <v>14.72702</v>
      </c>
      <c r="AC192">
        <v>15.030303999999999</v>
      </c>
      <c r="AD192">
        <v>15.194687</v>
      </c>
      <c r="AE192">
        <v>15.503356999999999</v>
      </c>
      <c r="AF192">
        <v>15.833038</v>
      </c>
      <c r="AG192">
        <v>16.179442999999999</v>
      </c>
      <c r="AH192">
        <v>16.542937999999999</v>
      </c>
      <c r="AI192" t="s">
        <v>111</v>
      </c>
    </row>
    <row r="193" spans="1:35">
      <c r="A193" t="s">
        <v>214</v>
      </c>
      <c r="B193" t="s">
        <v>1578</v>
      </c>
      <c r="C193" t="s">
        <v>1069</v>
      </c>
      <c r="D193" t="s">
        <v>200</v>
      </c>
      <c r="F193">
        <v>317.549194</v>
      </c>
      <c r="G193">
        <v>1.758273</v>
      </c>
      <c r="H193">
        <v>168.91333</v>
      </c>
      <c r="I193">
        <v>238.54864499999999</v>
      </c>
      <c r="J193">
        <v>283.53619400000002</v>
      </c>
      <c r="K193">
        <v>274.57504299999999</v>
      </c>
      <c r="L193">
        <v>283.61230499999999</v>
      </c>
      <c r="M193">
        <v>303.40252700000002</v>
      </c>
      <c r="N193">
        <v>320.147583</v>
      </c>
      <c r="O193">
        <v>340.08663899999999</v>
      </c>
      <c r="P193">
        <v>360.24667399999998</v>
      </c>
      <c r="Q193">
        <v>383.15853900000002</v>
      </c>
      <c r="R193">
        <v>410.91729700000002</v>
      </c>
      <c r="S193">
        <v>441.58975199999998</v>
      </c>
      <c r="T193">
        <v>469.80987499999998</v>
      </c>
      <c r="U193">
        <v>483.945831</v>
      </c>
      <c r="V193">
        <v>497.86975100000001</v>
      </c>
      <c r="W193">
        <v>512.85089100000005</v>
      </c>
      <c r="X193">
        <v>529.68298300000004</v>
      </c>
      <c r="Y193">
        <v>548.31646699999999</v>
      </c>
      <c r="Z193">
        <v>565.95513900000003</v>
      </c>
      <c r="AA193">
        <v>580.40490699999998</v>
      </c>
      <c r="AB193">
        <v>591.05664100000001</v>
      </c>
      <c r="AC193">
        <v>597.67596400000002</v>
      </c>
      <c r="AD193">
        <v>603.14685099999997</v>
      </c>
      <c r="AE193">
        <v>609.84252900000001</v>
      </c>
      <c r="AF193">
        <v>615.32525599999997</v>
      </c>
      <c r="AG193">
        <v>617.96179199999995</v>
      </c>
      <c r="AH193">
        <v>617.78692599999999</v>
      </c>
      <c r="AI193" s="22">
        <v>2.4E-2</v>
      </c>
    </row>
    <row r="194" spans="1:35">
      <c r="A194" t="s">
        <v>217</v>
      </c>
      <c r="B194" t="s">
        <v>1579</v>
      </c>
      <c r="C194" t="s">
        <v>1069</v>
      </c>
      <c r="D194" t="s">
        <v>200</v>
      </c>
      <c r="F194">
        <v>257.63265999999999</v>
      </c>
      <c r="G194">
        <v>0</v>
      </c>
      <c r="H194">
        <v>107.223663</v>
      </c>
      <c r="I194">
        <v>181.98464999999999</v>
      </c>
      <c r="J194">
        <v>220.65786700000001</v>
      </c>
      <c r="K194">
        <v>225.57939099999999</v>
      </c>
      <c r="L194">
        <v>234.46928399999999</v>
      </c>
      <c r="M194">
        <v>248.778381</v>
      </c>
      <c r="N194">
        <v>262.13681000000003</v>
      </c>
      <c r="O194">
        <v>277.70367399999998</v>
      </c>
      <c r="P194">
        <v>293.36627199999998</v>
      </c>
      <c r="Q194">
        <v>308.38406400000002</v>
      </c>
      <c r="R194">
        <v>323.80810500000001</v>
      </c>
      <c r="S194">
        <v>350.23843399999998</v>
      </c>
      <c r="T194">
        <v>374.19927999999999</v>
      </c>
      <c r="U194">
        <v>384.34942599999999</v>
      </c>
      <c r="V194">
        <v>394.26177999999999</v>
      </c>
      <c r="W194">
        <v>405.03121900000002</v>
      </c>
      <c r="X194">
        <v>417.30566399999998</v>
      </c>
      <c r="Y194">
        <v>431.12255900000002</v>
      </c>
      <c r="Z194">
        <v>444.23486300000002</v>
      </c>
      <c r="AA194">
        <v>454.86328099999997</v>
      </c>
      <c r="AB194">
        <v>462.55566399999998</v>
      </c>
      <c r="AC194">
        <v>467.16845699999999</v>
      </c>
      <c r="AD194">
        <v>470.984375</v>
      </c>
      <c r="AE194">
        <v>475.98486300000002</v>
      </c>
      <c r="AF194">
        <v>480.09179699999999</v>
      </c>
      <c r="AG194">
        <v>481.84716800000001</v>
      </c>
      <c r="AH194">
        <v>481.23046900000003</v>
      </c>
      <c r="AI194" s="22">
        <v>2.3E-2</v>
      </c>
    </row>
    <row r="195" spans="1:35">
      <c r="A195" t="s">
        <v>218</v>
      </c>
      <c r="B195" t="s">
        <v>1580</v>
      </c>
      <c r="C195" t="s">
        <v>1069</v>
      </c>
      <c r="D195" t="s">
        <v>200</v>
      </c>
      <c r="F195">
        <v>0</v>
      </c>
      <c r="G195">
        <v>1.758273</v>
      </c>
      <c r="H195">
        <v>40.168472000000001</v>
      </c>
      <c r="I195">
        <v>50.282882999999998</v>
      </c>
      <c r="J195">
        <v>53.445442</v>
      </c>
      <c r="K195">
        <v>38.153796999999997</v>
      </c>
      <c r="L195">
        <v>36.912163</v>
      </c>
      <c r="M195">
        <v>37.020930999999997</v>
      </c>
      <c r="N195">
        <v>37.949924000000003</v>
      </c>
      <c r="O195">
        <v>41.662593999999999</v>
      </c>
      <c r="P195">
        <v>45.507534</v>
      </c>
      <c r="Q195">
        <v>52.775832999999999</v>
      </c>
      <c r="R195">
        <v>64.423462000000001</v>
      </c>
      <c r="S195">
        <v>67.867737000000005</v>
      </c>
      <c r="T195">
        <v>71.344559000000004</v>
      </c>
      <c r="U195">
        <v>74.652694999999994</v>
      </c>
      <c r="V195">
        <v>77.966949</v>
      </c>
      <c r="W195">
        <v>81.374542000000005</v>
      </c>
      <c r="X195">
        <v>84.935364000000007</v>
      </c>
      <c r="Y195">
        <v>88.598358000000005</v>
      </c>
      <c r="Z195">
        <v>91.978866999999994</v>
      </c>
      <c r="AA195">
        <v>94.808730999999995</v>
      </c>
      <c r="AB195">
        <v>96.973022</v>
      </c>
      <c r="AC195">
        <v>98.404961</v>
      </c>
      <c r="AD195">
        <v>99.545792000000006</v>
      </c>
      <c r="AE195">
        <v>100.646912</v>
      </c>
      <c r="AF195">
        <v>101.51385500000001</v>
      </c>
      <c r="AG195">
        <v>102.091965</v>
      </c>
      <c r="AH195">
        <v>102.451241</v>
      </c>
      <c r="AI195" t="s">
        <v>111</v>
      </c>
    </row>
    <row r="196" spans="1:35">
      <c r="A196" t="s">
        <v>219</v>
      </c>
      <c r="B196" t="s">
        <v>1581</v>
      </c>
      <c r="C196" t="s">
        <v>1069</v>
      </c>
      <c r="D196" t="s">
        <v>200</v>
      </c>
      <c r="F196">
        <v>59.916533999999999</v>
      </c>
      <c r="G196">
        <v>0</v>
      </c>
      <c r="H196">
        <v>21.5212</v>
      </c>
      <c r="I196">
        <v>6.2811130000000004</v>
      </c>
      <c r="J196">
        <v>9.4328769999999995</v>
      </c>
      <c r="K196">
        <v>10.841856999999999</v>
      </c>
      <c r="L196">
        <v>12.230865</v>
      </c>
      <c r="M196">
        <v>17.603210000000001</v>
      </c>
      <c r="N196">
        <v>20.060842999999998</v>
      </c>
      <c r="O196">
        <v>20.720371</v>
      </c>
      <c r="P196">
        <v>21.372868</v>
      </c>
      <c r="Q196">
        <v>21.998633999999999</v>
      </c>
      <c r="R196">
        <v>22.685734</v>
      </c>
      <c r="S196">
        <v>23.483592999999999</v>
      </c>
      <c r="T196">
        <v>24.266041000000001</v>
      </c>
      <c r="U196">
        <v>24.943691000000001</v>
      </c>
      <c r="V196">
        <v>25.641026</v>
      </c>
      <c r="W196">
        <v>26.445122000000001</v>
      </c>
      <c r="X196">
        <v>27.441925000000001</v>
      </c>
      <c r="Y196">
        <v>28.595510000000001</v>
      </c>
      <c r="Z196">
        <v>29.741382999999999</v>
      </c>
      <c r="AA196">
        <v>30.732894999999999</v>
      </c>
      <c r="AB196">
        <v>31.527985000000001</v>
      </c>
      <c r="AC196">
        <v>32.102539</v>
      </c>
      <c r="AD196">
        <v>32.616669000000002</v>
      </c>
      <c r="AE196">
        <v>33.210754000000001</v>
      </c>
      <c r="AF196">
        <v>33.719603999999997</v>
      </c>
      <c r="AG196">
        <v>34.022644</v>
      </c>
      <c r="AH196">
        <v>34.105224999999997</v>
      </c>
      <c r="AI196" s="22">
        <v>-0.02</v>
      </c>
    </row>
    <row r="197" spans="1:35">
      <c r="A197" t="s">
        <v>1279</v>
      </c>
      <c r="B197" t="s">
        <v>1582</v>
      </c>
      <c r="C197" t="s">
        <v>1069</v>
      </c>
      <c r="D197" t="s">
        <v>200</v>
      </c>
      <c r="F197">
        <v>0</v>
      </c>
      <c r="G197">
        <v>0</v>
      </c>
      <c r="H197">
        <v>5.0176939999999997</v>
      </c>
      <c r="I197">
        <v>23.650314000000002</v>
      </c>
      <c r="J197">
        <v>59.674458000000001</v>
      </c>
      <c r="K197">
        <v>59.042358</v>
      </c>
      <c r="L197">
        <v>64.032500999999996</v>
      </c>
      <c r="M197">
        <v>71.131805</v>
      </c>
      <c r="N197">
        <v>76.315956</v>
      </c>
      <c r="O197">
        <v>80.666138000000004</v>
      </c>
      <c r="P197">
        <v>84.930260000000004</v>
      </c>
      <c r="Q197">
        <v>88.747298999999998</v>
      </c>
      <c r="R197">
        <v>92.026611000000003</v>
      </c>
      <c r="S197">
        <v>95.498016000000007</v>
      </c>
      <c r="T197">
        <v>100.07872</v>
      </c>
      <c r="U197">
        <v>109.75142700000001</v>
      </c>
      <c r="V197">
        <v>113.69274900000001</v>
      </c>
      <c r="W197">
        <v>117.415527</v>
      </c>
      <c r="X197">
        <v>120.846054</v>
      </c>
      <c r="Y197">
        <v>124.081642</v>
      </c>
      <c r="Z197">
        <v>127.11803399999999</v>
      </c>
      <c r="AA197">
        <v>130.02526900000001</v>
      </c>
      <c r="AB197">
        <v>132.669983</v>
      </c>
      <c r="AC197">
        <v>135.120575</v>
      </c>
      <c r="AD197">
        <v>137.38848899999999</v>
      </c>
      <c r="AE197">
        <v>139.49830600000001</v>
      </c>
      <c r="AF197">
        <v>141.44528199999999</v>
      </c>
      <c r="AG197">
        <v>143.25952100000001</v>
      </c>
      <c r="AH197">
        <v>144.991547</v>
      </c>
      <c r="AI197" t="s">
        <v>111</v>
      </c>
    </row>
    <row r="198" spans="1:35">
      <c r="A198" t="s">
        <v>217</v>
      </c>
      <c r="B198" t="s">
        <v>1583</v>
      </c>
      <c r="C198" t="s">
        <v>1069</v>
      </c>
      <c r="D198" t="s">
        <v>200</v>
      </c>
      <c r="F198">
        <v>0</v>
      </c>
      <c r="G198">
        <v>0</v>
      </c>
      <c r="H198">
        <v>0</v>
      </c>
      <c r="I198">
        <v>16.618320000000001</v>
      </c>
      <c r="J198">
        <v>45.079574999999998</v>
      </c>
      <c r="K198">
        <v>44.557136999999997</v>
      </c>
      <c r="L198">
        <v>47.969909999999999</v>
      </c>
      <c r="M198">
        <v>53.577140999999997</v>
      </c>
      <c r="N198">
        <v>57.730133000000002</v>
      </c>
      <c r="O198">
        <v>61.515498999999998</v>
      </c>
      <c r="P198">
        <v>65.042045999999999</v>
      </c>
      <c r="Q198">
        <v>68.204193000000004</v>
      </c>
      <c r="R198">
        <v>70.926841999999994</v>
      </c>
      <c r="S198">
        <v>73.773292999999995</v>
      </c>
      <c r="T198">
        <v>76.994392000000005</v>
      </c>
      <c r="U198">
        <v>85.720061999999999</v>
      </c>
      <c r="V198">
        <v>88.710341999999997</v>
      </c>
      <c r="W198">
        <v>91.517082000000002</v>
      </c>
      <c r="X198">
        <v>94.093506000000005</v>
      </c>
      <c r="Y198">
        <v>96.513794000000004</v>
      </c>
      <c r="Z198">
        <v>98.782959000000005</v>
      </c>
      <c r="AA198">
        <v>100.95996100000001</v>
      </c>
      <c r="AB198">
        <v>102.94433600000001</v>
      </c>
      <c r="AC198">
        <v>104.78613300000001</v>
      </c>
      <c r="AD198">
        <v>106.494141</v>
      </c>
      <c r="AE198">
        <v>108.08606</v>
      </c>
      <c r="AF198">
        <v>109.558228</v>
      </c>
      <c r="AG198">
        <v>110.934326</v>
      </c>
      <c r="AH198">
        <v>112.253906</v>
      </c>
      <c r="AI198" t="s">
        <v>111</v>
      </c>
    </row>
    <row r="199" spans="1:35">
      <c r="A199" t="s">
        <v>218</v>
      </c>
      <c r="B199" t="s">
        <v>1584</v>
      </c>
      <c r="C199" t="s">
        <v>1069</v>
      </c>
      <c r="D199" t="s">
        <v>200</v>
      </c>
      <c r="F199">
        <v>0</v>
      </c>
      <c r="G199">
        <v>0</v>
      </c>
      <c r="H199">
        <v>2.534602</v>
      </c>
      <c r="I199">
        <v>4.97403</v>
      </c>
      <c r="J199">
        <v>4.8972329999999999</v>
      </c>
      <c r="K199">
        <v>3.1133090000000001</v>
      </c>
      <c r="L199">
        <v>3.0171329999999998</v>
      </c>
      <c r="M199">
        <v>3.8845890000000001</v>
      </c>
      <c r="N199">
        <v>4.3719729999999997</v>
      </c>
      <c r="O199">
        <v>4.4676119999999999</v>
      </c>
      <c r="P199">
        <v>4.7862999999999998</v>
      </c>
      <c r="Q199">
        <v>5.0911</v>
      </c>
      <c r="R199">
        <v>5.3782629999999996</v>
      </c>
      <c r="S199">
        <v>5.6866300000000001</v>
      </c>
      <c r="T199">
        <v>6.6198379999999997</v>
      </c>
      <c r="U199">
        <v>6.9235670000000002</v>
      </c>
      <c r="V199">
        <v>7.2199619999999998</v>
      </c>
      <c r="W199">
        <v>7.4963300000000004</v>
      </c>
      <c r="X199">
        <v>7.7454999999999998</v>
      </c>
      <c r="Y199">
        <v>7.9671079999999996</v>
      </c>
      <c r="Z199">
        <v>8.1587720000000008</v>
      </c>
      <c r="AA199">
        <v>8.3243179999999999</v>
      </c>
      <c r="AB199">
        <v>8.4554369999999999</v>
      </c>
      <c r="AC199">
        <v>8.5629650000000002</v>
      </c>
      <c r="AD199">
        <v>8.6511150000000008</v>
      </c>
      <c r="AE199">
        <v>8.7259060000000002</v>
      </c>
      <c r="AF199">
        <v>8.7922969999999996</v>
      </c>
      <c r="AG199">
        <v>8.8566590000000005</v>
      </c>
      <c r="AH199">
        <v>8.9255069999999996</v>
      </c>
      <c r="AI199" t="s">
        <v>111</v>
      </c>
    </row>
    <row r="200" spans="1:35">
      <c r="A200" t="s">
        <v>219</v>
      </c>
      <c r="B200" t="s">
        <v>1585</v>
      </c>
      <c r="C200" t="s">
        <v>1069</v>
      </c>
      <c r="D200" t="s">
        <v>200</v>
      </c>
      <c r="F200">
        <v>0</v>
      </c>
      <c r="G200">
        <v>0</v>
      </c>
      <c r="H200">
        <v>2.4830920000000001</v>
      </c>
      <c r="I200">
        <v>2.0579640000000001</v>
      </c>
      <c r="J200">
        <v>9.6976519999999997</v>
      </c>
      <c r="K200">
        <v>11.371916000000001</v>
      </c>
      <c r="L200">
        <v>13.045462000000001</v>
      </c>
      <c r="M200">
        <v>13.670071</v>
      </c>
      <c r="N200">
        <v>14.213851</v>
      </c>
      <c r="O200">
        <v>14.683032000000001</v>
      </c>
      <c r="P200">
        <v>15.101913</v>
      </c>
      <c r="Q200">
        <v>15.452002999999999</v>
      </c>
      <c r="R200">
        <v>15.721505000000001</v>
      </c>
      <c r="S200">
        <v>16.038094000000001</v>
      </c>
      <c r="T200">
        <v>16.464493000000001</v>
      </c>
      <c r="U200">
        <v>17.107793999999998</v>
      </c>
      <c r="V200">
        <v>17.762445</v>
      </c>
      <c r="W200">
        <v>18.402114999999998</v>
      </c>
      <c r="X200">
        <v>19.00705</v>
      </c>
      <c r="Y200">
        <v>19.600739000000001</v>
      </c>
      <c r="Z200">
        <v>20.176300000000001</v>
      </c>
      <c r="AA200">
        <v>20.740997</v>
      </c>
      <c r="AB200">
        <v>21.270202999999999</v>
      </c>
      <c r="AC200">
        <v>21.771484000000001</v>
      </c>
      <c r="AD200">
        <v>22.243224999999999</v>
      </c>
      <c r="AE200">
        <v>22.686340000000001</v>
      </c>
      <c r="AF200">
        <v>23.094757000000001</v>
      </c>
      <c r="AG200">
        <v>23.468536</v>
      </c>
      <c r="AH200">
        <v>23.812134</v>
      </c>
      <c r="AI200" t="s">
        <v>111</v>
      </c>
    </row>
    <row r="201" spans="1:35">
      <c r="A201" t="s">
        <v>1282</v>
      </c>
      <c r="B201" t="s">
        <v>1586</v>
      </c>
      <c r="C201" t="s">
        <v>1069</v>
      </c>
      <c r="D201" t="s">
        <v>200</v>
      </c>
      <c r="F201">
        <v>0</v>
      </c>
      <c r="G201">
        <v>5.4372860000000003</v>
      </c>
      <c r="H201">
        <v>112.70214799999999</v>
      </c>
      <c r="I201">
        <v>89.573447999999999</v>
      </c>
      <c r="J201">
        <v>185.740646</v>
      </c>
      <c r="K201">
        <v>138.78949</v>
      </c>
      <c r="L201">
        <v>162.21469099999999</v>
      </c>
      <c r="M201">
        <v>154.65458699999999</v>
      </c>
      <c r="N201">
        <v>162.83642599999999</v>
      </c>
      <c r="O201">
        <v>173.161102</v>
      </c>
      <c r="P201">
        <v>184.47088600000001</v>
      </c>
      <c r="Q201">
        <v>196.08961500000001</v>
      </c>
      <c r="R201">
        <v>208.08810399999999</v>
      </c>
      <c r="S201">
        <v>221.18241900000001</v>
      </c>
      <c r="T201">
        <v>239.93948399999999</v>
      </c>
      <c r="U201">
        <v>249.20379600000001</v>
      </c>
      <c r="V201">
        <v>258.58880599999998</v>
      </c>
      <c r="W201">
        <v>267.52673299999998</v>
      </c>
      <c r="X201">
        <v>276.525757</v>
      </c>
      <c r="Y201">
        <v>282.98516799999999</v>
      </c>
      <c r="Z201">
        <v>290.41168199999998</v>
      </c>
      <c r="AA201">
        <v>297.73962399999999</v>
      </c>
      <c r="AB201">
        <v>304.91387900000001</v>
      </c>
      <c r="AC201">
        <v>311.67602499999998</v>
      </c>
      <c r="AD201">
        <v>314.135559</v>
      </c>
      <c r="AE201">
        <v>319.592285</v>
      </c>
      <c r="AF201">
        <v>326.29675300000002</v>
      </c>
      <c r="AG201">
        <v>333.62133799999998</v>
      </c>
      <c r="AH201">
        <v>341.78308099999998</v>
      </c>
      <c r="AI201" t="s">
        <v>111</v>
      </c>
    </row>
    <row r="202" spans="1:35">
      <c r="A202" t="s">
        <v>217</v>
      </c>
      <c r="B202" t="s">
        <v>1587</v>
      </c>
      <c r="C202" t="s">
        <v>1069</v>
      </c>
      <c r="D202" t="s">
        <v>200</v>
      </c>
      <c r="F202">
        <v>0</v>
      </c>
      <c r="G202">
        <v>5.4372860000000003</v>
      </c>
      <c r="H202">
        <v>76.470284000000007</v>
      </c>
      <c r="I202">
        <v>49.427382999999999</v>
      </c>
      <c r="J202">
        <v>106.27594000000001</v>
      </c>
      <c r="K202">
        <v>82.392234999999999</v>
      </c>
      <c r="L202">
        <v>99.058036999999999</v>
      </c>
      <c r="M202">
        <v>96.598495</v>
      </c>
      <c r="N202">
        <v>99.957886000000002</v>
      </c>
      <c r="O202">
        <v>104.55500000000001</v>
      </c>
      <c r="P202">
        <v>109.671745</v>
      </c>
      <c r="Q202">
        <v>114.907211</v>
      </c>
      <c r="R202">
        <v>120.39743</v>
      </c>
      <c r="S202">
        <v>126.07197600000001</v>
      </c>
      <c r="T202">
        <v>130.83337399999999</v>
      </c>
      <c r="U202">
        <v>136.22524999999999</v>
      </c>
      <c r="V202">
        <v>141.68043499999999</v>
      </c>
      <c r="W202">
        <v>146.903076</v>
      </c>
      <c r="X202">
        <v>152.11596700000001</v>
      </c>
      <c r="Y202">
        <v>155.854736</v>
      </c>
      <c r="Z202">
        <v>160.12011699999999</v>
      </c>
      <c r="AA202">
        <v>164.33935500000001</v>
      </c>
      <c r="AB202">
        <v>168.50756799999999</v>
      </c>
      <c r="AC202">
        <v>172.49243200000001</v>
      </c>
      <c r="AD202">
        <v>174.09106399999999</v>
      </c>
      <c r="AE202">
        <v>177.482178</v>
      </c>
      <c r="AF202">
        <v>181.68945299999999</v>
      </c>
      <c r="AG202">
        <v>186.32226600000001</v>
      </c>
      <c r="AH202">
        <v>191.489014</v>
      </c>
      <c r="AI202" t="s">
        <v>111</v>
      </c>
    </row>
    <row r="203" spans="1:35">
      <c r="A203" t="s">
        <v>218</v>
      </c>
      <c r="B203" t="s">
        <v>1588</v>
      </c>
      <c r="C203" t="s">
        <v>1069</v>
      </c>
      <c r="D203" t="s">
        <v>200</v>
      </c>
      <c r="F203">
        <v>0</v>
      </c>
      <c r="G203">
        <v>0</v>
      </c>
      <c r="H203">
        <v>7.4641489999999999</v>
      </c>
      <c r="I203">
        <v>32.670985999999999</v>
      </c>
      <c r="J203">
        <v>43.411385000000003</v>
      </c>
      <c r="K203">
        <v>25.061415</v>
      </c>
      <c r="L203">
        <v>24.533463000000001</v>
      </c>
      <c r="M203">
        <v>16.549866000000002</v>
      </c>
      <c r="N203">
        <v>20.238346</v>
      </c>
      <c r="O203">
        <v>24.344996999999999</v>
      </c>
      <c r="P203">
        <v>28.787796</v>
      </c>
      <c r="Q203">
        <v>33.417084000000003</v>
      </c>
      <c r="R203">
        <v>38.081116000000002</v>
      </c>
      <c r="S203">
        <v>43.577418999999999</v>
      </c>
      <c r="T203">
        <v>56.013511999999999</v>
      </c>
      <c r="U203">
        <v>58.042262999999998</v>
      </c>
      <c r="V203">
        <v>60.030822999999998</v>
      </c>
      <c r="W203">
        <v>61.834105999999998</v>
      </c>
      <c r="X203">
        <v>63.609253000000002</v>
      </c>
      <c r="Y203">
        <v>64.860718000000006</v>
      </c>
      <c r="Z203">
        <v>66.264893000000001</v>
      </c>
      <c r="AA203">
        <v>67.550292999999996</v>
      </c>
      <c r="AB203">
        <v>68.688903999999994</v>
      </c>
      <c r="AC203">
        <v>69.633422999999993</v>
      </c>
      <c r="AD203">
        <v>69.6922</v>
      </c>
      <c r="AE203">
        <v>70.197143999999994</v>
      </c>
      <c r="AF203">
        <v>70.779906999999994</v>
      </c>
      <c r="AG203">
        <v>71.402343999999999</v>
      </c>
      <c r="AH203">
        <v>72.140868999999995</v>
      </c>
      <c r="AI203" t="s">
        <v>111</v>
      </c>
    </row>
    <row r="204" spans="1:35">
      <c r="A204" t="s">
        <v>219</v>
      </c>
      <c r="B204" t="s">
        <v>1589</v>
      </c>
      <c r="C204" t="s">
        <v>1069</v>
      </c>
      <c r="D204" t="s">
        <v>200</v>
      </c>
      <c r="F204">
        <v>0</v>
      </c>
      <c r="G204">
        <v>0</v>
      </c>
      <c r="H204">
        <v>28.767719</v>
      </c>
      <c r="I204">
        <v>7.4750750000000004</v>
      </c>
      <c r="J204">
        <v>36.053328999999998</v>
      </c>
      <c r="K204">
        <v>31.335837999999999</v>
      </c>
      <c r="L204">
        <v>38.623184000000002</v>
      </c>
      <c r="M204">
        <v>41.506225999999998</v>
      </c>
      <c r="N204">
        <v>42.640197999999998</v>
      </c>
      <c r="O204">
        <v>44.261108</v>
      </c>
      <c r="P204">
        <v>46.011353</v>
      </c>
      <c r="Q204">
        <v>47.765320000000003</v>
      </c>
      <c r="R204">
        <v>49.609558</v>
      </c>
      <c r="S204">
        <v>51.53302</v>
      </c>
      <c r="T204">
        <v>53.092590000000001</v>
      </c>
      <c r="U204">
        <v>54.936278999999999</v>
      </c>
      <c r="V204">
        <v>56.877563000000002</v>
      </c>
      <c r="W204">
        <v>58.789551000000003</v>
      </c>
      <c r="X204">
        <v>60.800536999999998</v>
      </c>
      <c r="Y204">
        <v>62.269714</v>
      </c>
      <c r="Z204">
        <v>64.026672000000005</v>
      </c>
      <c r="AA204">
        <v>65.849975999999998</v>
      </c>
      <c r="AB204">
        <v>67.717406999999994</v>
      </c>
      <c r="AC204">
        <v>69.550171000000006</v>
      </c>
      <c r="AD204">
        <v>70.352294999999998</v>
      </c>
      <c r="AE204">
        <v>71.912964000000002</v>
      </c>
      <c r="AF204">
        <v>73.827393000000001</v>
      </c>
      <c r="AG204">
        <v>75.896728999999993</v>
      </c>
      <c r="AH204">
        <v>78.153198000000003</v>
      </c>
      <c r="AI204" t="s">
        <v>111</v>
      </c>
    </row>
    <row r="205" spans="1:35">
      <c r="A205" t="s">
        <v>1285</v>
      </c>
      <c r="B205" t="s">
        <v>1590</v>
      </c>
      <c r="C205" t="s">
        <v>1069</v>
      </c>
      <c r="D205" t="s">
        <v>200</v>
      </c>
      <c r="F205">
        <v>0</v>
      </c>
      <c r="G205">
        <v>6.4839760000000002</v>
      </c>
      <c r="H205">
        <v>65.655174000000002</v>
      </c>
      <c r="I205">
        <v>136.72659300000001</v>
      </c>
      <c r="J205">
        <v>87.343277</v>
      </c>
      <c r="K205">
        <v>59.887782999999999</v>
      </c>
      <c r="L205">
        <v>65.008987000000005</v>
      </c>
      <c r="M205">
        <v>59.581435999999997</v>
      </c>
      <c r="N205">
        <v>69.668128999999993</v>
      </c>
      <c r="O205">
        <v>78.167664000000002</v>
      </c>
      <c r="P205">
        <v>97.479079999999996</v>
      </c>
      <c r="Q205">
        <v>107.185974</v>
      </c>
      <c r="R205">
        <v>115.742386</v>
      </c>
      <c r="S205">
        <v>124.491539</v>
      </c>
      <c r="T205">
        <v>132.53221099999999</v>
      </c>
      <c r="U205">
        <v>149.129074</v>
      </c>
      <c r="V205">
        <v>155.356628</v>
      </c>
      <c r="W205">
        <v>161.377319</v>
      </c>
      <c r="X205">
        <v>167.24667400000001</v>
      </c>
      <c r="Y205">
        <v>172.74606299999999</v>
      </c>
      <c r="Z205">
        <v>178.09411600000001</v>
      </c>
      <c r="AA205">
        <v>183.263733</v>
      </c>
      <c r="AB205">
        <v>188.24258399999999</v>
      </c>
      <c r="AC205">
        <v>193.104645</v>
      </c>
      <c r="AD205">
        <v>196.84274300000001</v>
      </c>
      <c r="AE205">
        <v>204.55044599999999</v>
      </c>
      <c r="AF205">
        <v>210.32486</v>
      </c>
      <c r="AG205">
        <v>214.87603799999999</v>
      </c>
      <c r="AH205">
        <v>219.82165499999999</v>
      </c>
      <c r="AI205" t="s">
        <v>111</v>
      </c>
    </row>
    <row r="206" spans="1:35">
      <c r="A206" t="s">
        <v>217</v>
      </c>
      <c r="B206" t="s">
        <v>1591</v>
      </c>
      <c r="C206" t="s">
        <v>1069</v>
      </c>
      <c r="D206" t="s">
        <v>200</v>
      </c>
      <c r="F206">
        <v>0</v>
      </c>
      <c r="G206">
        <v>0</v>
      </c>
      <c r="H206">
        <v>33.785888999999997</v>
      </c>
      <c r="I206">
        <v>53.847774999999999</v>
      </c>
      <c r="J206">
        <v>30.331448000000002</v>
      </c>
      <c r="K206">
        <v>21.30883</v>
      </c>
      <c r="L206">
        <v>24.555008000000001</v>
      </c>
      <c r="M206">
        <v>24.473627</v>
      </c>
      <c r="N206">
        <v>29.460901</v>
      </c>
      <c r="O206">
        <v>33.729008</v>
      </c>
      <c r="P206">
        <v>47.309856000000003</v>
      </c>
      <c r="Q206">
        <v>50.860106999999999</v>
      </c>
      <c r="R206">
        <v>52.923949999999998</v>
      </c>
      <c r="S206">
        <v>55.029541000000002</v>
      </c>
      <c r="T206">
        <v>56.84375</v>
      </c>
      <c r="U206">
        <v>58.885559000000001</v>
      </c>
      <c r="V206">
        <v>60.913879000000001</v>
      </c>
      <c r="W206">
        <v>62.880614999999999</v>
      </c>
      <c r="X206">
        <v>64.824768000000006</v>
      </c>
      <c r="Y206">
        <v>67.001830999999996</v>
      </c>
      <c r="Z206">
        <v>68.808166999999997</v>
      </c>
      <c r="AA206">
        <v>70.631591999999998</v>
      </c>
      <c r="AB206">
        <v>72.473877000000002</v>
      </c>
      <c r="AC206">
        <v>74.368774000000002</v>
      </c>
      <c r="AD206">
        <v>75.949950999999999</v>
      </c>
      <c r="AE206">
        <v>77.937134</v>
      </c>
      <c r="AF206">
        <v>80.061035000000004</v>
      </c>
      <c r="AG206">
        <v>82.315674000000001</v>
      </c>
      <c r="AH206">
        <v>84.728271000000007</v>
      </c>
      <c r="AI206" t="s">
        <v>111</v>
      </c>
    </row>
    <row r="207" spans="1:35">
      <c r="A207" t="s">
        <v>218</v>
      </c>
      <c r="B207" t="s">
        <v>1592</v>
      </c>
      <c r="C207" t="s">
        <v>1069</v>
      </c>
      <c r="D207" t="s">
        <v>200</v>
      </c>
      <c r="F207">
        <v>0</v>
      </c>
      <c r="G207">
        <v>0</v>
      </c>
      <c r="H207">
        <v>1.237724</v>
      </c>
      <c r="I207">
        <v>60.396301000000001</v>
      </c>
      <c r="J207">
        <v>46.365257</v>
      </c>
      <c r="K207">
        <v>26.417698000000001</v>
      </c>
      <c r="L207">
        <v>27.912457</v>
      </c>
      <c r="M207">
        <v>22.461169999999999</v>
      </c>
      <c r="N207">
        <v>27.240627</v>
      </c>
      <c r="O207">
        <v>31.278912999999999</v>
      </c>
      <c r="P207">
        <v>36.773018</v>
      </c>
      <c r="Q207">
        <v>42.622314000000003</v>
      </c>
      <c r="R207">
        <v>48.784022999999998</v>
      </c>
      <c r="S207">
        <v>55.06176</v>
      </c>
      <c r="T207">
        <v>60.969836999999998</v>
      </c>
      <c r="U207">
        <v>75.160156000000001</v>
      </c>
      <c r="V207">
        <v>78.977294999999998</v>
      </c>
      <c r="W207">
        <v>82.653198000000003</v>
      </c>
      <c r="X207">
        <v>86.182495000000003</v>
      </c>
      <c r="Y207">
        <v>89.120604999999998</v>
      </c>
      <c r="Z207">
        <v>92.220703</v>
      </c>
      <c r="AA207">
        <v>95.091187000000005</v>
      </c>
      <c r="AB207">
        <v>97.725464000000002</v>
      </c>
      <c r="AC207">
        <v>100.159424</v>
      </c>
      <c r="AD207">
        <v>101.824219</v>
      </c>
      <c r="AE207">
        <v>106.975708</v>
      </c>
      <c r="AF207">
        <v>110.01696800000001</v>
      </c>
      <c r="AG207">
        <v>111.678955</v>
      </c>
      <c r="AH207">
        <v>113.550415</v>
      </c>
      <c r="AI207" t="s">
        <v>111</v>
      </c>
    </row>
    <row r="208" spans="1:35">
      <c r="A208" t="s">
        <v>219</v>
      </c>
      <c r="B208" t="s">
        <v>1593</v>
      </c>
      <c r="C208" t="s">
        <v>1069</v>
      </c>
      <c r="D208" t="s">
        <v>200</v>
      </c>
      <c r="F208">
        <v>0</v>
      </c>
      <c r="G208">
        <v>6.4839760000000002</v>
      </c>
      <c r="H208">
        <v>30.631561000000001</v>
      </c>
      <c r="I208">
        <v>22.482513000000001</v>
      </c>
      <c r="J208">
        <v>10.646577000000001</v>
      </c>
      <c r="K208">
        <v>12.161255000000001</v>
      </c>
      <c r="L208">
        <v>12.541518999999999</v>
      </c>
      <c r="M208">
        <v>12.646637</v>
      </c>
      <c r="N208">
        <v>12.966599</v>
      </c>
      <c r="O208">
        <v>13.159744</v>
      </c>
      <c r="P208">
        <v>13.39621</v>
      </c>
      <c r="Q208">
        <v>13.703552</v>
      </c>
      <c r="R208">
        <v>14.034409</v>
      </c>
      <c r="S208">
        <v>14.400238</v>
      </c>
      <c r="T208">
        <v>14.718628000000001</v>
      </c>
      <c r="U208">
        <v>15.083359</v>
      </c>
      <c r="V208">
        <v>15.465453999999999</v>
      </c>
      <c r="W208">
        <v>15.843506</v>
      </c>
      <c r="X208">
        <v>16.239409999999999</v>
      </c>
      <c r="Y208">
        <v>16.623626999999999</v>
      </c>
      <c r="Z208">
        <v>17.065246999999999</v>
      </c>
      <c r="AA208">
        <v>17.540955</v>
      </c>
      <c r="AB208">
        <v>18.043243</v>
      </c>
      <c r="AC208">
        <v>18.576447000000002</v>
      </c>
      <c r="AD208">
        <v>19.068573000000001</v>
      </c>
      <c r="AE208">
        <v>19.637604</v>
      </c>
      <c r="AF208">
        <v>20.246856999999999</v>
      </c>
      <c r="AG208">
        <v>20.881409000000001</v>
      </c>
      <c r="AH208">
        <v>21.542968999999999</v>
      </c>
      <c r="AI208" t="s">
        <v>111</v>
      </c>
    </row>
    <row r="209" spans="1:35">
      <c r="A209" t="s">
        <v>213</v>
      </c>
      <c r="B209" t="s">
        <v>1594</v>
      </c>
      <c r="C209" t="s">
        <v>1069</v>
      </c>
      <c r="D209" t="s">
        <v>200</v>
      </c>
      <c r="F209">
        <v>0</v>
      </c>
      <c r="G209">
        <v>95.570221000000004</v>
      </c>
      <c r="H209">
        <v>158.937592</v>
      </c>
      <c r="I209">
        <v>90.262816999999998</v>
      </c>
      <c r="J209">
        <v>103.488022</v>
      </c>
      <c r="K209">
        <v>86.662529000000006</v>
      </c>
      <c r="L209">
        <v>93.80986</v>
      </c>
      <c r="M209">
        <v>106.975342</v>
      </c>
      <c r="N209">
        <v>111.882698</v>
      </c>
      <c r="O209">
        <v>116.59922</v>
      </c>
      <c r="P209">
        <v>122.813896</v>
      </c>
      <c r="Q209">
        <v>126.772369</v>
      </c>
      <c r="R209">
        <v>130.55931100000001</v>
      </c>
      <c r="S209">
        <v>134.30990600000001</v>
      </c>
      <c r="T209">
        <v>138.94132999999999</v>
      </c>
      <c r="U209">
        <v>143.02919</v>
      </c>
      <c r="V209">
        <v>147.11927800000001</v>
      </c>
      <c r="W209">
        <v>151.292374</v>
      </c>
      <c r="X209">
        <v>155.555115</v>
      </c>
      <c r="Y209">
        <v>160.74430799999999</v>
      </c>
      <c r="Z209">
        <v>165.402466</v>
      </c>
      <c r="AA209">
        <v>170.20541399999999</v>
      </c>
      <c r="AB209">
        <v>175.20356799999999</v>
      </c>
      <c r="AC209">
        <v>180.50953699999999</v>
      </c>
      <c r="AD209">
        <v>186.63502500000001</v>
      </c>
      <c r="AE209">
        <v>192.495499</v>
      </c>
      <c r="AF209">
        <v>198.630371</v>
      </c>
      <c r="AG209">
        <v>204.97837799999999</v>
      </c>
      <c r="AH209">
        <v>211.68373099999999</v>
      </c>
      <c r="AI209" t="s">
        <v>111</v>
      </c>
    </row>
    <row r="210" spans="1:35">
      <c r="A210" t="s">
        <v>217</v>
      </c>
      <c r="B210" t="s">
        <v>1595</v>
      </c>
      <c r="C210" t="s">
        <v>1069</v>
      </c>
      <c r="D210" t="s">
        <v>200</v>
      </c>
      <c r="F210">
        <v>0</v>
      </c>
      <c r="G210">
        <v>16.152573</v>
      </c>
      <c r="H210">
        <v>74.385323</v>
      </c>
      <c r="I210">
        <v>44.418120999999999</v>
      </c>
      <c r="J210">
        <v>56.281497999999999</v>
      </c>
      <c r="K210">
        <v>46.858376</v>
      </c>
      <c r="L210">
        <v>45.260803000000003</v>
      </c>
      <c r="M210">
        <v>47.178879000000002</v>
      </c>
      <c r="N210">
        <v>49.045569999999998</v>
      </c>
      <c r="O210">
        <v>50.850254</v>
      </c>
      <c r="P210">
        <v>52.437424</v>
      </c>
      <c r="Q210">
        <v>53.918830999999997</v>
      </c>
      <c r="R210">
        <v>55.272826999999999</v>
      </c>
      <c r="S210">
        <v>56.578246999999998</v>
      </c>
      <c r="T210">
        <v>58.250194999999998</v>
      </c>
      <c r="U210">
        <v>59.701050000000002</v>
      </c>
      <c r="V210">
        <v>61.174374</v>
      </c>
      <c r="W210">
        <v>62.695816000000001</v>
      </c>
      <c r="X210">
        <v>64.303291000000002</v>
      </c>
      <c r="Y210">
        <v>66.291870000000003</v>
      </c>
      <c r="Z210">
        <v>68.032318000000004</v>
      </c>
      <c r="AA210">
        <v>69.907364000000001</v>
      </c>
      <c r="AB210">
        <v>71.927443999999994</v>
      </c>
      <c r="AC210">
        <v>74.189528999999993</v>
      </c>
      <c r="AD210">
        <v>76.835526000000002</v>
      </c>
      <c r="AE210">
        <v>79.443588000000005</v>
      </c>
      <c r="AF210">
        <v>82.244560000000007</v>
      </c>
      <c r="AG210">
        <v>85.175903000000005</v>
      </c>
      <c r="AH210">
        <v>88.275108000000003</v>
      </c>
      <c r="AI210" t="s">
        <v>111</v>
      </c>
    </row>
    <row r="211" spans="1:35">
      <c r="A211" t="s">
        <v>218</v>
      </c>
      <c r="B211" t="s">
        <v>1596</v>
      </c>
      <c r="C211" t="s">
        <v>1069</v>
      </c>
      <c r="D211" t="s">
        <v>200</v>
      </c>
      <c r="F211">
        <v>0</v>
      </c>
      <c r="G211">
        <v>0</v>
      </c>
      <c r="H211">
        <v>13.907534</v>
      </c>
      <c r="I211">
        <v>11.581135</v>
      </c>
      <c r="J211">
        <v>13.285769</v>
      </c>
      <c r="K211">
        <v>8.7865739999999999</v>
      </c>
      <c r="L211">
        <v>11.912839999999999</v>
      </c>
      <c r="M211">
        <v>14.229506000000001</v>
      </c>
      <c r="N211">
        <v>14.96176</v>
      </c>
      <c r="O211">
        <v>15.676151000000001</v>
      </c>
      <c r="P211">
        <v>16.351693999999998</v>
      </c>
      <c r="Q211">
        <v>17.011806</v>
      </c>
      <c r="R211">
        <v>17.684864000000001</v>
      </c>
      <c r="S211">
        <v>18.374672</v>
      </c>
      <c r="T211">
        <v>19.195830999999998</v>
      </c>
      <c r="U211">
        <v>19.947098</v>
      </c>
      <c r="V211">
        <v>20.696186000000001</v>
      </c>
      <c r="W211">
        <v>21.447388</v>
      </c>
      <c r="X211">
        <v>22.153858</v>
      </c>
      <c r="Y211">
        <v>22.969529999999999</v>
      </c>
      <c r="Z211">
        <v>23.723488</v>
      </c>
      <c r="AA211">
        <v>24.439530999999999</v>
      </c>
      <c r="AB211">
        <v>25.104008</v>
      </c>
      <c r="AC211">
        <v>25.697693000000001</v>
      </c>
      <c r="AD211">
        <v>26.327818000000001</v>
      </c>
      <c r="AE211">
        <v>26.879307000000001</v>
      </c>
      <c r="AF211">
        <v>27.422423999999999</v>
      </c>
      <c r="AG211">
        <v>27.929182000000001</v>
      </c>
      <c r="AH211">
        <v>28.481864999999999</v>
      </c>
      <c r="AI211" t="s">
        <v>111</v>
      </c>
    </row>
    <row r="212" spans="1:35">
      <c r="A212" t="s">
        <v>219</v>
      </c>
      <c r="B212" t="s">
        <v>1597</v>
      </c>
      <c r="C212" t="s">
        <v>1069</v>
      </c>
      <c r="D212" t="s">
        <v>200</v>
      </c>
      <c r="F212">
        <v>0</v>
      </c>
      <c r="G212">
        <v>79.417648</v>
      </c>
      <c r="H212">
        <v>70.644729999999996</v>
      </c>
      <c r="I212">
        <v>34.263565</v>
      </c>
      <c r="J212">
        <v>33.920757000000002</v>
      </c>
      <c r="K212">
        <v>31.017579999999999</v>
      </c>
      <c r="L212">
        <v>36.636215</v>
      </c>
      <c r="M212">
        <v>45.566955999999998</v>
      </c>
      <c r="N212">
        <v>47.875366</v>
      </c>
      <c r="O212">
        <v>50.072814999999999</v>
      </c>
      <c r="P212">
        <v>54.02478</v>
      </c>
      <c r="Q212">
        <v>55.841735999999997</v>
      </c>
      <c r="R212">
        <v>57.601624000000001</v>
      </c>
      <c r="S212">
        <v>59.356994999999998</v>
      </c>
      <c r="T212">
        <v>61.4953</v>
      </c>
      <c r="U212">
        <v>63.381042000000001</v>
      </c>
      <c r="V212">
        <v>65.248717999999997</v>
      </c>
      <c r="W212">
        <v>67.149169999999998</v>
      </c>
      <c r="X212">
        <v>69.097960999999998</v>
      </c>
      <c r="Y212">
        <v>71.482910000000004</v>
      </c>
      <c r="Z212">
        <v>73.646666999999994</v>
      </c>
      <c r="AA212">
        <v>75.858520999999996</v>
      </c>
      <c r="AB212">
        <v>78.172118999999995</v>
      </c>
      <c r="AC212">
        <v>80.622314000000003</v>
      </c>
      <c r="AD212">
        <v>83.471680000000006</v>
      </c>
      <c r="AE212">
        <v>86.172606999999999</v>
      </c>
      <c r="AF212">
        <v>88.963379000000003</v>
      </c>
      <c r="AG212">
        <v>91.873290999999995</v>
      </c>
      <c r="AH212">
        <v>94.926758000000007</v>
      </c>
      <c r="AI212" t="s">
        <v>111</v>
      </c>
    </row>
    <row r="213" spans="1:35">
      <c r="A213" t="s">
        <v>1290</v>
      </c>
      <c r="B213" t="s">
        <v>1598</v>
      </c>
      <c r="C213" t="s">
        <v>1069</v>
      </c>
      <c r="D213" t="s">
        <v>200</v>
      </c>
      <c r="F213">
        <v>4.6944059999999999</v>
      </c>
      <c r="G213">
        <v>0</v>
      </c>
      <c r="H213">
        <v>9.9030819999999995</v>
      </c>
      <c r="I213">
        <v>18.713218999999999</v>
      </c>
      <c r="J213">
        <v>20.190556000000001</v>
      </c>
      <c r="K213">
        <v>24.707723999999999</v>
      </c>
      <c r="L213">
        <v>26.178903999999999</v>
      </c>
      <c r="M213">
        <v>26.187021000000001</v>
      </c>
      <c r="N213">
        <v>26.578914999999999</v>
      </c>
      <c r="O213">
        <v>26.732208</v>
      </c>
      <c r="P213">
        <v>27.393591000000001</v>
      </c>
      <c r="Q213">
        <v>27.984928</v>
      </c>
      <c r="R213">
        <v>28.617878000000001</v>
      </c>
      <c r="S213">
        <v>29.507937999999999</v>
      </c>
      <c r="T213">
        <v>29.673779</v>
      </c>
      <c r="U213">
        <v>29.754950999999998</v>
      </c>
      <c r="V213">
        <v>29.810558</v>
      </c>
      <c r="W213">
        <v>29.813227000000001</v>
      </c>
      <c r="X213">
        <v>29.743130000000001</v>
      </c>
      <c r="Y213">
        <v>29.627026000000001</v>
      </c>
      <c r="Z213">
        <v>29.397304999999999</v>
      </c>
      <c r="AA213">
        <v>29.095371</v>
      </c>
      <c r="AB213">
        <v>28.737287999999999</v>
      </c>
      <c r="AC213">
        <v>28.342614999999999</v>
      </c>
      <c r="AD213">
        <v>27.983851999999999</v>
      </c>
      <c r="AE213">
        <v>27.615227000000001</v>
      </c>
      <c r="AF213">
        <v>27.270102999999999</v>
      </c>
      <c r="AG213">
        <v>26.951415999999998</v>
      </c>
      <c r="AH213">
        <v>26.697842000000001</v>
      </c>
      <c r="AI213" s="22">
        <v>6.4000000000000001E-2</v>
      </c>
    </row>
    <row r="214" spans="1:35">
      <c r="A214" t="s">
        <v>217</v>
      </c>
      <c r="B214" t="s">
        <v>1599</v>
      </c>
      <c r="C214" t="s">
        <v>1069</v>
      </c>
      <c r="D214" t="s">
        <v>200</v>
      </c>
      <c r="F214">
        <v>4.6944059999999999</v>
      </c>
      <c r="G214">
        <v>0</v>
      </c>
      <c r="H214">
        <v>6.7475829999999997</v>
      </c>
      <c r="I214">
        <v>11.778551999999999</v>
      </c>
      <c r="J214">
        <v>12.884046</v>
      </c>
      <c r="K214">
        <v>16.942501</v>
      </c>
      <c r="L214">
        <v>17.098953000000002</v>
      </c>
      <c r="M214">
        <v>17.136088999999998</v>
      </c>
      <c r="N214">
        <v>17.307739000000002</v>
      </c>
      <c r="O214">
        <v>17.323554999999999</v>
      </c>
      <c r="P214">
        <v>17.642493999999999</v>
      </c>
      <c r="Q214">
        <v>17.916205999999999</v>
      </c>
      <c r="R214">
        <v>18.128070999999998</v>
      </c>
      <c r="S214">
        <v>18.270206000000002</v>
      </c>
      <c r="T214">
        <v>18.349886000000001</v>
      </c>
      <c r="U214">
        <v>18.360924000000001</v>
      </c>
      <c r="V214">
        <v>18.368248000000001</v>
      </c>
      <c r="W214">
        <v>18.336587999999999</v>
      </c>
      <c r="X214">
        <v>18.249237000000001</v>
      </c>
      <c r="Y214">
        <v>18.137756</v>
      </c>
      <c r="Z214">
        <v>17.946503</v>
      </c>
      <c r="AA214">
        <v>17.723602</v>
      </c>
      <c r="AB214">
        <v>17.473815999999999</v>
      </c>
      <c r="AC214">
        <v>17.208832000000001</v>
      </c>
      <c r="AD214">
        <v>16.985443</v>
      </c>
      <c r="AE214">
        <v>16.774260999999999</v>
      </c>
      <c r="AF214">
        <v>16.590485000000001</v>
      </c>
      <c r="AG214">
        <v>16.435058999999999</v>
      </c>
      <c r="AH214">
        <v>16.330780000000001</v>
      </c>
      <c r="AI214" s="22">
        <v>4.5999999999999999E-2</v>
      </c>
    </row>
    <row r="215" spans="1:35">
      <c r="A215" t="s">
        <v>218</v>
      </c>
      <c r="B215" t="s">
        <v>1600</v>
      </c>
      <c r="C215" t="s">
        <v>1069</v>
      </c>
      <c r="D215" t="s">
        <v>200</v>
      </c>
      <c r="F215">
        <v>0</v>
      </c>
      <c r="G215">
        <v>0</v>
      </c>
      <c r="H215">
        <v>0.123136</v>
      </c>
      <c r="I215">
        <v>1.9343319999999999</v>
      </c>
      <c r="J215">
        <v>2.1494490000000002</v>
      </c>
      <c r="K215">
        <v>1.225752</v>
      </c>
      <c r="L215">
        <v>1.002186</v>
      </c>
      <c r="M215">
        <v>0.72661200000000004</v>
      </c>
      <c r="N215">
        <v>0.87561500000000003</v>
      </c>
      <c r="O215">
        <v>1.0253829999999999</v>
      </c>
      <c r="P215">
        <v>1.2474810000000001</v>
      </c>
      <c r="Q215">
        <v>1.4651149999999999</v>
      </c>
      <c r="R215">
        <v>1.8116300000000001</v>
      </c>
      <c r="S215">
        <v>2.5099939999999998</v>
      </c>
      <c r="T215">
        <v>2.5653329999999999</v>
      </c>
      <c r="U215">
        <v>2.604568</v>
      </c>
      <c r="V215">
        <v>2.6278419999999998</v>
      </c>
      <c r="W215">
        <v>2.6438899999999999</v>
      </c>
      <c r="X215">
        <v>2.6589619999999998</v>
      </c>
      <c r="Y215">
        <v>2.6583519999999998</v>
      </c>
      <c r="Z215">
        <v>2.6367910000000001</v>
      </c>
      <c r="AA215">
        <v>2.5863839999999998</v>
      </c>
      <c r="AB215">
        <v>2.5181110000000002</v>
      </c>
      <c r="AC215">
        <v>2.4389129999999999</v>
      </c>
      <c r="AD215">
        <v>2.357037</v>
      </c>
      <c r="AE215">
        <v>2.2597580000000002</v>
      </c>
      <c r="AF215">
        <v>2.1587450000000001</v>
      </c>
      <c r="AG215">
        <v>2.0570369999999998</v>
      </c>
      <c r="AH215">
        <v>1.96191</v>
      </c>
      <c r="AI215" t="s">
        <v>111</v>
      </c>
    </row>
    <row r="216" spans="1:35">
      <c r="A216" t="s">
        <v>219</v>
      </c>
      <c r="B216" t="s">
        <v>1601</v>
      </c>
      <c r="C216" t="s">
        <v>1069</v>
      </c>
      <c r="D216" t="s">
        <v>200</v>
      </c>
      <c r="F216">
        <v>0</v>
      </c>
      <c r="G216">
        <v>0</v>
      </c>
      <c r="H216">
        <v>3.0323630000000001</v>
      </c>
      <c r="I216">
        <v>5.0003349999999998</v>
      </c>
      <c r="J216">
        <v>5.1570600000000004</v>
      </c>
      <c r="K216">
        <v>6.5394709999999998</v>
      </c>
      <c r="L216">
        <v>8.0777649999999994</v>
      </c>
      <c r="M216">
        <v>8.3243200000000002</v>
      </c>
      <c r="N216">
        <v>8.3955590000000004</v>
      </c>
      <c r="O216">
        <v>8.3832699999999996</v>
      </c>
      <c r="P216">
        <v>8.5036159999999992</v>
      </c>
      <c r="Q216">
        <v>8.6036070000000002</v>
      </c>
      <c r="R216">
        <v>8.6781769999999998</v>
      </c>
      <c r="S216">
        <v>8.7277369999999994</v>
      </c>
      <c r="T216">
        <v>8.7585599999999992</v>
      </c>
      <c r="U216">
        <v>8.7894590000000008</v>
      </c>
      <c r="V216">
        <v>8.8144679999999997</v>
      </c>
      <c r="W216">
        <v>8.8327480000000005</v>
      </c>
      <c r="X216">
        <v>8.8349299999999999</v>
      </c>
      <c r="Y216">
        <v>8.8309169999999995</v>
      </c>
      <c r="Z216">
        <v>8.8140110000000007</v>
      </c>
      <c r="AA216">
        <v>8.7853849999999998</v>
      </c>
      <c r="AB216">
        <v>8.7453610000000008</v>
      </c>
      <c r="AC216">
        <v>8.6948699999999999</v>
      </c>
      <c r="AD216">
        <v>8.6413729999999997</v>
      </c>
      <c r="AE216">
        <v>8.5812069999999991</v>
      </c>
      <c r="AF216">
        <v>8.5208739999999992</v>
      </c>
      <c r="AG216">
        <v>8.45932</v>
      </c>
      <c r="AH216">
        <v>8.405151</v>
      </c>
      <c r="AI216" t="s">
        <v>111</v>
      </c>
    </row>
    <row r="217" spans="1:35">
      <c r="A217" t="s">
        <v>1293</v>
      </c>
      <c r="B217" t="s">
        <v>1602</v>
      </c>
      <c r="C217" t="s">
        <v>1069</v>
      </c>
      <c r="D217" t="s">
        <v>200</v>
      </c>
      <c r="F217">
        <v>0</v>
      </c>
      <c r="G217">
        <v>16.212554999999998</v>
      </c>
      <c r="H217">
        <v>72.479491999999993</v>
      </c>
      <c r="I217">
        <v>40.945121999999998</v>
      </c>
      <c r="J217">
        <v>45.360497000000002</v>
      </c>
      <c r="K217">
        <v>47.086692999999997</v>
      </c>
      <c r="L217">
        <v>44.219219000000002</v>
      </c>
      <c r="M217">
        <v>43.437472999999997</v>
      </c>
      <c r="N217">
        <v>44.078677999999996</v>
      </c>
      <c r="O217">
        <v>44.448982000000001</v>
      </c>
      <c r="P217">
        <v>45.430968999999997</v>
      </c>
      <c r="Q217">
        <v>46.471218</v>
      </c>
      <c r="R217">
        <v>47.524146999999999</v>
      </c>
      <c r="S217">
        <v>48.588408999999999</v>
      </c>
      <c r="T217">
        <v>49.558253999999998</v>
      </c>
      <c r="U217">
        <v>50.636077999999998</v>
      </c>
      <c r="V217">
        <v>51.724097999999998</v>
      </c>
      <c r="W217">
        <v>52.793083000000003</v>
      </c>
      <c r="X217">
        <v>53.866115999999998</v>
      </c>
      <c r="Y217">
        <v>54.935673000000001</v>
      </c>
      <c r="Z217">
        <v>56.067089000000003</v>
      </c>
      <c r="AA217">
        <v>57.238425999999997</v>
      </c>
      <c r="AB217">
        <v>58.484650000000002</v>
      </c>
      <c r="AC217">
        <v>59.774197000000001</v>
      </c>
      <c r="AD217">
        <v>60.846770999999997</v>
      </c>
      <c r="AE217">
        <v>62.294235</v>
      </c>
      <c r="AF217">
        <v>63.859734000000003</v>
      </c>
      <c r="AG217">
        <v>65.543030000000002</v>
      </c>
      <c r="AH217">
        <v>67.304428000000001</v>
      </c>
      <c r="AI217" t="s">
        <v>111</v>
      </c>
    </row>
    <row r="218" spans="1:35">
      <c r="A218" t="s">
        <v>217</v>
      </c>
      <c r="B218" t="s">
        <v>1603</v>
      </c>
      <c r="C218" t="s">
        <v>1069</v>
      </c>
      <c r="D218" t="s">
        <v>200</v>
      </c>
      <c r="F218">
        <v>0</v>
      </c>
      <c r="G218">
        <v>5.8114030000000003</v>
      </c>
      <c r="H218">
        <v>42.121963999999998</v>
      </c>
      <c r="I218">
        <v>25.662416</v>
      </c>
      <c r="J218">
        <v>27.793472000000001</v>
      </c>
      <c r="K218">
        <v>28.183192999999999</v>
      </c>
      <c r="L218">
        <v>26.023641999999999</v>
      </c>
      <c r="M218">
        <v>25.516463999999999</v>
      </c>
      <c r="N218">
        <v>26.058325</v>
      </c>
      <c r="O218">
        <v>26.448975000000001</v>
      </c>
      <c r="P218">
        <v>27.170258</v>
      </c>
      <c r="Q218">
        <v>27.915710000000001</v>
      </c>
      <c r="R218">
        <v>28.664702999999999</v>
      </c>
      <c r="S218">
        <v>29.415619</v>
      </c>
      <c r="T218">
        <v>30.099364999999999</v>
      </c>
      <c r="U218">
        <v>30.841248</v>
      </c>
      <c r="V218">
        <v>31.57132</v>
      </c>
      <c r="W218">
        <v>32.287776999999998</v>
      </c>
      <c r="X218">
        <v>32.994903999999998</v>
      </c>
      <c r="Y218">
        <v>33.685364</v>
      </c>
      <c r="Z218">
        <v>34.397095</v>
      </c>
      <c r="AA218">
        <v>35.129173000000002</v>
      </c>
      <c r="AB218">
        <v>35.915416999999998</v>
      </c>
      <c r="AC218">
        <v>36.718688999999998</v>
      </c>
      <c r="AD218">
        <v>37.396667000000001</v>
      </c>
      <c r="AE218">
        <v>38.285400000000003</v>
      </c>
      <c r="AF218">
        <v>39.248534999999997</v>
      </c>
      <c r="AG218">
        <v>40.288939999999997</v>
      </c>
      <c r="AH218">
        <v>41.382384999999999</v>
      </c>
      <c r="AI218" t="s">
        <v>111</v>
      </c>
    </row>
    <row r="219" spans="1:35">
      <c r="A219" t="s">
        <v>218</v>
      </c>
      <c r="B219" t="s">
        <v>1604</v>
      </c>
      <c r="C219" t="s">
        <v>1069</v>
      </c>
      <c r="D219" t="s">
        <v>200</v>
      </c>
      <c r="F219">
        <v>0</v>
      </c>
      <c r="G219">
        <v>2.1028440000000002</v>
      </c>
      <c r="H219">
        <v>5.2317850000000004</v>
      </c>
      <c r="I219">
        <v>5.1375019999999996</v>
      </c>
      <c r="J219">
        <v>5.0140370000000001</v>
      </c>
      <c r="K219">
        <v>3.894466</v>
      </c>
      <c r="L219">
        <v>3.4408159999999999</v>
      </c>
      <c r="M219">
        <v>3.2471969999999999</v>
      </c>
      <c r="N219">
        <v>3.2134369999999999</v>
      </c>
      <c r="O219">
        <v>3.1581950000000001</v>
      </c>
      <c r="P219">
        <v>3.1293950000000001</v>
      </c>
      <c r="Q219">
        <v>3.1110509999999998</v>
      </c>
      <c r="R219">
        <v>3.1012360000000001</v>
      </c>
      <c r="S219">
        <v>3.100142</v>
      </c>
      <c r="T219">
        <v>3.1067480000000001</v>
      </c>
      <c r="U219">
        <v>3.1233499999999998</v>
      </c>
      <c r="V219">
        <v>3.1619969999999999</v>
      </c>
      <c r="W219">
        <v>3.1970779999999999</v>
      </c>
      <c r="X219">
        <v>3.2490489999999999</v>
      </c>
      <c r="Y219">
        <v>3.3071929999999998</v>
      </c>
      <c r="Z219">
        <v>3.3916439999999999</v>
      </c>
      <c r="AA219">
        <v>3.4865710000000001</v>
      </c>
      <c r="AB219">
        <v>3.5925790000000002</v>
      </c>
      <c r="AC219">
        <v>3.712062</v>
      </c>
      <c r="AD219">
        <v>3.817904</v>
      </c>
      <c r="AE219">
        <v>3.9742289999999998</v>
      </c>
      <c r="AF219">
        <v>4.1493169999999999</v>
      </c>
      <c r="AG219">
        <v>4.3417969999999997</v>
      </c>
      <c r="AH219">
        <v>4.539593</v>
      </c>
      <c r="AI219" t="s">
        <v>111</v>
      </c>
    </row>
    <row r="220" spans="1:35">
      <c r="A220" t="s">
        <v>219</v>
      </c>
      <c r="B220" t="s">
        <v>1605</v>
      </c>
      <c r="C220" t="s">
        <v>1069</v>
      </c>
      <c r="D220" t="s">
        <v>200</v>
      </c>
      <c r="F220">
        <v>0</v>
      </c>
      <c r="G220">
        <v>8.2983069999999994</v>
      </c>
      <c r="H220">
        <v>25.125741999999999</v>
      </c>
      <c r="I220">
        <v>10.145201</v>
      </c>
      <c r="J220">
        <v>12.552986000000001</v>
      </c>
      <c r="K220">
        <v>15.009033000000001</v>
      </c>
      <c r="L220">
        <v>14.754761</v>
      </c>
      <c r="M220">
        <v>14.673813000000001</v>
      </c>
      <c r="N220">
        <v>14.806915</v>
      </c>
      <c r="O220">
        <v>14.841811999999999</v>
      </c>
      <c r="P220">
        <v>15.131316999999999</v>
      </c>
      <c r="Q220">
        <v>15.444457999999999</v>
      </c>
      <c r="R220">
        <v>15.758209000000001</v>
      </c>
      <c r="S220">
        <v>16.072647</v>
      </c>
      <c r="T220">
        <v>16.352142000000001</v>
      </c>
      <c r="U220">
        <v>16.671478</v>
      </c>
      <c r="V220">
        <v>16.990784000000001</v>
      </c>
      <c r="W220">
        <v>17.308228</v>
      </c>
      <c r="X220">
        <v>17.622161999999999</v>
      </c>
      <c r="Y220">
        <v>17.943114999999999</v>
      </c>
      <c r="Z220">
        <v>18.278351000000001</v>
      </c>
      <c r="AA220">
        <v>18.622681</v>
      </c>
      <c r="AB220">
        <v>18.976654</v>
      </c>
      <c r="AC220">
        <v>19.343444999999999</v>
      </c>
      <c r="AD220">
        <v>19.632201999999999</v>
      </c>
      <c r="AE220">
        <v>20.034607000000001</v>
      </c>
      <c r="AF220">
        <v>20.461884000000001</v>
      </c>
      <c r="AG220">
        <v>20.912292000000001</v>
      </c>
      <c r="AH220">
        <v>21.382446000000002</v>
      </c>
      <c r="AI220" t="s">
        <v>111</v>
      </c>
    </row>
    <row r="221" spans="1:35">
      <c r="A221" t="s">
        <v>1531</v>
      </c>
      <c r="B221" t="s">
        <v>1606</v>
      </c>
      <c r="C221" t="s">
        <v>1069</v>
      </c>
      <c r="D221" t="s">
        <v>200</v>
      </c>
      <c r="F221">
        <v>904.75219700000002</v>
      </c>
      <c r="G221">
        <v>991.59985400000005</v>
      </c>
      <c r="H221">
        <v>1485.003418</v>
      </c>
      <c r="I221">
        <v>1282.368164</v>
      </c>
      <c r="J221">
        <v>1670.2998050000001</v>
      </c>
      <c r="K221">
        <v>1450.3876949999999</v>
      </c>
      <c r="L221">
        <v>1526.3826899999999</v>
      </c>
      <c r="M221">
        <v>1558.165649</v>
      </c>
      <c r="N221">
        <v>1660.7945560000001</v>
      </c>
      <c r="O221">
        <v>1769.681885</v>
      </c>
      <c r="P221">
        <v>1919.024048</v>
      </c>
      <c r="Q221">
        <v>2060.303711</v>
      </c>
      <c r="R221">
        <v>2116.3635250000002</v>
      </c>
      <c r="S221">
        <v>2193.5354000000002</v>
      </c>
      <c r="T221">
        <v>2297.2055660000001</v>
      </c>
      <c r="U221">
        <v>2390.1284179999998</v>
      </c>
      <c r="V221">
        <v>2467.1530760000001</v>
      </c>
      <c r="W221">
        <v>2532.3911130000001</v>
      </c>
      <c r="X221">
        <v>2612.313721</v>
      </c>
      <c r="Y221">
        <v>2663.599365</v>
      </c>
      <c r="Z221">
        <v>2725.4682619999999</v>
      </c>
      <c r="AA221">
        <v>2780.0473630000001</v>
      </c>
      <c r="AB221">
        <v>2828.6159670000002</v>
      </c>
      <c r="AC221">
        <v>2864.7780760000001</v>
      </c>
      <c r="AD221">
        <v>2907.4077149999998</v>
      </c>
      <c r="AE221">
        <v>2962.3110350000002</v>
      </c>
      <c r="AF221">
        <v>3015.4350589999999</v>
      </c>
      <c r="AG221">
        <v>3065.673828</v>
      </c>
      <c r="AH221">
        <v>3120.0751949999999</v>
      </c>
      <c r="AI221" s="22">
        <v>4.4999999999999998E-2</v>
      </c>
    </row>
    <row r="222" spans="1:35">
      <c r="A222" t="s">
        <v>1534</v>
      </c>
      <c r="B222" t="s">
        <v>1607</v>
      </c>
      <c r="C222" t="s">
        <v>1069</v>
      </c>
      <c r="D222" t="s">
        <v>200</v>
      </c>
      <c r="F222">
        <v>614.47436500000003</v>
      </c>
      <c r="G222">
        <v>421.20178199999998</v>
      </c>
      <c r="H222">
        <v>787.23486300000002</v>
      </c>
      <c r="I222">
        <v>732.21392800000001</v>
      </c>
      <c r="J222">
        <v>972.20172100000002</v>
      </c>
      <c r="K222">
        <v>865.61578399999996</v>
      </c>
      <c r="L222">
        <v>913.55798300000004</v>
      </c>
      <c r="M222">
        <v>942.33685300000002</v>
      </c>
      <c r="N222">
        <v>996.22766100000001</v>
      </c>
      <c r="O222">
        <v>1069.338501</v>
      </c>
      <c r="P222">
        <v>1167.5214840000001</v>
      </c>
      <c r="Q222">
        <v>1265.3530270000001</v>
      </c>
      <c r="R222">
        <v>1292.693237</v>
      </c>
      <c r="S222">
        <v>1340.2144780000001</v>
      </c>
      <c r="T222">
        <v>1398.994995</v>
      </c>
      <c r="U222">
        <v>1446.6892089999999</v>
      </c>
      <c r="V222">
        <v>1488.3553469999999</v>
      </c>
      <c r="W222">
        <v>1523.7208250000001</v>
      </c>
      <c r="X222">
        <v>1570.55188</v>
      </c>
      <c r="Y222">
        <v>1599.5024410000001</v>
      </c>
      <c r="Z222">
        <v>1633.9228519999999</v>
      </c>
      <c r="AA222">
        <v>1664.8023679999999</v>
      </c>
      <c r="AB222">
        <v>1692.3538820000001</v>
      </c>
      <c r="AC222">
        <v>1712.5429690000001</v>
      </c>
      <c r="AD222">
        <v>1736.6657709999999</v>
      </c>
      <c r="AE222">
        <v>1766.789673</v>
      </c>
      <c r="AF222">
        <v>1797.2579350000001</v>
      </c>
      <c r="AG222">
        <v>1826.4796140000001</v>
      </c>
      <c r="AH222">
        <v>1857.2548830000001</v>
      </c>
      <c r="AI222" s="22">
        <v>0.04</v>
      </c>
    </row>
    <row r="223" spans="1:35">
      <c r="A223" t="s">
        <v>1537</v>
      </c>
      <c r="B223" t="s">
        <v>1608</v>
      </c>
      <c r="C223" t="s">
        <v>1069</v>
      </c>
      <c r="D223" t="s">
        <v>200</v>
      </c>
      <c r="F223">
        <v>0</v>
      </c>
      <c r="G223">
        <v>43.201999999999998</v>
      </c>
      <c r="H223">
        <v>176.19311500000001</v>
      </c>
      <c r="I223">
        <v>264.23767099999998</v>
      </c>
      <c r="J223">
        <v>337.30218500000001</v>
      </c>
      <c r="K223">
        <v>241.18519599999999</v>
      </c>
      <c r="L223">
        <v>250.01374799999999</v>
      </c>
      <c r="M223">
        <v>229.556229</v>
      </c>
      <c r="N223">
        <v>267.801514</v>
      </c>
      <c r="O223">
        <v>286.305725</v>
      </c>
      <c r="P223">
        <v>309.00408900000002</v>
      </c>
      <c r="Q223">
        <v>337.41769399999998</v>
      </c>
      <c r="R223">
        <v>363.00277699999998</v>
      </c>
      <c r="S223">
        <v>382.066711</v>
      </c>
      <c r="T223">
        <v>410.25665300000003</v>
      </c>
      <c r="U223">
        <v>437.19250499999998</v>
      </c>
      <c r="V223">
        <v>454.16250600000001</v>
      </c>
      <c r="W223">
        <v>469.31454500000001</v>
      </c>
      <c r="X223">
        <v>484.82696499999997</v>
      </c>
      <c r="Y223">
        <v>497.35604899999998</v>
      </c>
      <c r="Z223">
        <v>511.34866299999999</v>
      </c>
      <c r="AA223">
        <v>522.06909199999996</v>
      </c>
      <c r="AB223">
        <v>530.38336200000003</v>
      </c>
      <c r="AC223">
        <v>536.20544400000006</v>
      </c>
      <c r="AD223">
        <v>541.32488999999998</v>
      </c>
      <c r="AE223">
        <v>550.57580600000006</v>
      </c>
      <c r="AF223">
        <v>557.48303199999998</v>
      </c>
      <c r="AG223">
        <v>562.88867200000004</v>
      </c>
      <c r="AH223">
        <v>569.36602800000003</v>
      </c>
      <c r="AI223" t="s">
        <v>111</v>
      </c>
    </row>
    <row r="224" spans="1:35">
      <c r="A224" t="s">
        <v>112</v>
      </c>
      <c r="B224" t="s">
        <v>1609</v>
      </c>
      <c r="C224" t="s">
        <v>1069</v>
      </c>
      <c r="D224" t="s">
        <v>200</v>
      </c>
      <c r="F224">
        <v>290.27792399999998</v>
      </c>
      <c r="G224">
        <v>527.19604500000003</v>
      </c>
      <c r="H224">
        <v>521.57543899999996</v>
      </c>
      <c r="I224">
        <v>285.91653400000001</v>
      </c>
      <c r="J224">
        <v>360.79580700000002</v>
      </c>
      <c r="K224">
        <v>343.58676100000002</v>
      </c>
      <c r="L224">
        <v>362.81127900000001</v>
      </c>
      <c r="M224">
        <v>386.27246100000002</v>
      </c>
      <c r="N224">
        <v>396.76541099999997</v>
      </c>
      <c r="O224">
        <v>414.038025</v>
      </c>
      <c r="P224">
        <v>442.49832199999997</v>
      </c>
      <c r="Q224">
        <v>457.532623</v>
      </c>
      <c r="R224">
        <v>460.66708399999999</v>
      </c>
      <c r="S224">
        <v>471.25414999999998</v>
      </c>
      <c r="T224">
        <v>487.95376599999997</v>
      </c>
      <c r="U224">
        <v>506.24688700000002</v>
      </c>
      <c r="V224">
        <v>524.635986</v>
      </c>
      <c r="W224">
        <v>539.35583499999996</v>
      </c>
      <c r="X224">
        <v>556.93518100000006</v>
      </c>
      <c r="Y224">
        <v>566.74054000000001</v>
      </c>
      <c r="Z224">
        <v>580.19702099999995</v>
      </c>
      <c r="AA224">
        <v>593.17627000000005</v>
      </c>
      <c r="AB224">
        <v>605.87854000000004</v>
      </c>
      <c r="AC224">
        <v>616.02929700000004</v>
      </c>
      <c r="AD224">
        <v>629.41729699999996</v>
      </c>
      <c r="AE224">
        <v>644.94561799999997</v>
      </c>
      <c r="AF224">
        <v>660.69335899999999</v>
      </c>
      <c r="AG224">
        <v>676.30487100000005</v>
      </c>
      <c r="AH224">
        <v>693.45422399999995</v>
      </c>
      <c r="AI224" s="22">
        <v>3.2000000000000001E-2</v>
      </c>
    </row>
    <row r="225" spans="1:35">
      <c r="A225" t="s">
        <v>220</v>
      </c>
    </row>
    <row r="226" spans="1:35">
      <c r="A226" t="s">
        <v>221</v>
      </c>
    </row>
    <row r="227" spans="1:35">
      <c r="A227" t="s">
        <v>217</v>
      </c>
      <c r="B227" t="s">
        <v>1610</v>
      </c>
      <c r="C227" t="s">
        <v>1611</v>
      </c>
      <c r="D227" t="s">
        <v>232</v>
      </c>
      <c r="F227">
        <v>74.871787999999995</v>
      </c>
      <c r="G227">
        <v>74.824341000000004</v>
      </c>
      <c r="H227">
        <v>74.843711999999996</v>
      </c>
      <c r="I227">
        <v>75.333457999999993</v>
      </c>
      <c r="J227">
        <v>75.87867</v>
      </c>
      <c r="K227">
        <v>76.485473999999996</v>
      </c>
      <c r="L227">
        <v>77.093658000000005</v>
      </c>
      <c r="M227">
        <v>77.712952000000001</v>
      </c>
      <c r="N227">
        <v>78.329871999999995</v>
      </c>
      <c r="O227">
        <v>78.955132000000006</v>
      </c>
      <c r="P227">
        <v>79.596581</v>
      </c>
      <c r="Q227">
        <v>80.241302000000005</v>
      </c>
      <c r="R227">
        <v>80.880104000000003</v>
      </c>
      <c r="S227">
        <v>81.521529999999998</v>
      </c>
      <c r="T227">
        <v>82.171088999999995</v>
      </c>
      <c r="U227">
        <v>82.828086999999996</v>
      </c>
      <c r="V227">
        <v>83.492508000000001</v>
      </c>
      <c r="W227">
        <v>84.161949000000007</v>
      </c>
      <c r="X227">
        <v>84.839523</v>
      </c>
      <c r="Y227">
        <v>85.521277999999995</v>
      </c>
      <c r="Z227">
        <v>86.209518000000003</v>
      </c>
      <c r="AA227">
        <v>86.902869999999993</v>
      </c>
      <c r="AB227">
        <v>87.599975999999998</v>
      </c>
      <c r="AC227">
        <v>88.297957999999994</v>
      </c>
      <c r="AD227">
        <v>89.001686000000007</v>
      </c>
      <c r="AE227">
        <v>89.711135999999996</v>
      </c>
      <c r="AF227">
        <v>90.425010999999998</v>
      </c>
      <c r="AG227">
        <v>91.141800000000003</v>
      </c>
      <c r="AH227">
        <v>91.860962000000001</v>
      </c>
      <c r="AI227" s="22">
        <v>7.0000000000000001E-3</v>
      </c>
    </row>
    <row r="228" spans="1:35">
      <c r="A228" t="s">
        <v>218</v>
      </c>
      <c r="B228" t="s">
        <v>1612</v>
      </c>
      <c r="C228" t="s">
        <v>1613</v>
      </c>
      <c r="D228" t="s">
        <v>232</v>
      </c>
      <c r="F228">
        <v>95.571944999999999</v>
      </c>
      <c r="G228">
        <v>96.332038999999995</v>
      </c>
      <c r="H228">
        <v>96.948059000000001</v>
      </c>
      <c r="I228">
        <v>97.557548999999995</v>
      </c>
      <c r="J228">
        <v>98.265174999999999</v>
      </c>
      <c r="K228">
        <v>98.991425000000007</v>
      </c>
      <c r="L228">
        <v>99.728767000000005</v>
      </c>
      <c r="M228">
        <v>100.53151699999999</v>
      </c>
      <c r="N228">
        <v>101.338425</v>
      </c>
      <c r="O228">
        <v>102.15516700000001</v>
      </c>
      <c r="P228">
        <v>102.981506</v>
      </c>
      <c r="Q228">
        <v>103.812592</v>
      </c>
      <c r="R228">
        <v>104.645805</v>
      </c>
      <c r="S228">
        <v>105.48344400000001</v>
      </c>
      <c r="T228">
        <v>106.327766</v>
      </c>
      <c r="U228">
        <v>107.178513</v>
      </c>
      <c r="V228">
        <v>108.03568300000001</v>
      </c>
      <c r="W228">
        <v>108.89866600000001</v>
      </c>
      <c r="X228">
        <v>109.76814299999999</v>
      </c>
      <c r="Y228">
        <v>110.64381400000001</v>
      </c>
      <c r="Z228">
        <v>111.525688</v>
      </c>
      <c r="AA228">
        <v>112.413414</v>
      </c>
      <c r="AB228">
        <v>113.306732</v>
      </c>
      <c r="AC228">
        <v>114.204796</v>
      </c>
      <c r="AD228">
        <v>115.10968</v>
      </c>
      <c r="AE228">
        <v>116.02063800000001</v>
      </c>
      <c r="AF228">
        <v>116.937302</v>
      </c>
      <c r="AG228">
        <v>117.859009</v>
      </c>
      <c r="AH228">
        <v>118.78563699999999</v>
      </c>
      <c r="AI228" s="22">
        <v>8.0000000000000002E-3</v>
      </c>
    </row>
    <row r="229" spans="1:35">
      <c r="A229" t="s">
        <v>219</v>
      </c>
      <c r="B229" t="s">
        <v>1614</v>
      </c>
      <c r="C229" t="s">
        <v>1615</v>
      </c>
      <c r="D229" t="s">
        <v>232</v>
      </c>
      <c r="F229">
        <v>53.707275000000003</v>
      </c>
      <c r="G229">
        <v>54.124397000000002</v>
      </c>
      <c r="H229">
        <v>54.535389000000002</v>
      </c>
      <c r="I229">
        <v>55.089179999999999</v>
      </c>
      <c r="J229">
        <v>55.648128999999997</v>
      </c>
      <c r="K229">
        <v>56.214294000000002</v>
      </c>
      <c r="L229">
        <v>56.779915000000003</v>
      </c>
      <c r="M229">
        <v>57.350605000000002</v>
      </c>
      <c r="N229">
        <v>57.924571999999998</v>
      </c>
      <c r="O229">
        <v>58.495677999999998</v>
      </c>
      <c r="P229">
        <v>59.057735000000001</v>
      </c>
      <c r="Q229">
        <v>59.619278000000001</v>
      </c>
      <c r="R229">
        <v>60.188018999999997</v>
      </c>
      <c r="S229">
        <v>60.757896000000002</v>
      </c>
      <c r="T229">
        <v>61.324883</v>
      </c>
      <c r="U229">
        <v>61.889651999999998</v>
      </c>
      <c r="V229">
        <v>62.452274000000003</v>
      </c>
      <c r="W229">
        <v>63.015414999999997</v>
      </c>
      <c r="X229">
        <v>63.577655999999998</v>
      </c>
      <c r="Y229">
        <v>64.144210999999999</v>
      </c>
      <c r="Z229">
        <v>64.713134999999994</v>
      </c>
      <c r="AA229">
        <v>65.284485000000004</v>
      </c>
      <c r="AB229">
        <v>65.857856999999996</v>
      </c>
      <c r="AC229">
        <v>66.434402000000006</v>
      </c>
      <c r="AD229">
        <v>67.010413999999997</v>
      </c>
      <c r="AE229">
        <v>67.586348999999998</v>
      </c>
      <c r="AF229">
        <v>68.162711999999999</v>
      </c>
      <c r="AG229">
        <v>68.739593999999997</v>
      </c>
      <c r="AH229">
        <v>69.315917999999996</v>
      </c>
      <c r="AI229" s="22">
        <v>8.9999999999999993E-3</v>
      </c>
    </row>
    <row r="230" spans="1:35">
      <c r="A230" t="s">
        <v>222</v>
      </c>
      <c r="B230" t="s">
        <v>1616</v>
      </c>
      <c r="C230" t="s">
        <v>1617</v>
      </c>
      <c r="D230" t="s">
        <v>232</v>
      </c>
      <c r="F230">
        <v>77.863677999999993</v>
      </c>
      <c r="G230">
        <v>78.969109000000003</v>
      </c>
      <c r="H230">
        <v>79.838065999999998</v>
      </c>
      <c r="I230">
        <v>80.662163000000007</v>
      </c>
      <c r="J230">
        <v>81.517982000000003</v>
      </c>
      <c r="K230">
        <v>82.241730000000004</v>
      </c>
      <c r="L230">
        <v>82.941292000000004</v>
      </c>
      <c r="M230">
        <v>83.620864999999995</v>
      </c>
      <c r="N230">
        <v>84.302948000000001</v>
      </c>
      <c r="O230">
        <v>84.990279999999998</v>
      </c>
      <c r="P230">
        <v>85.685485999999997</v>
      </c>
      <c r="Q230">
        <v>86.385093999999995</v>
      </c>
      <c r="R230">
        <v>87.086487000000005</v>
      </c>
      <c r="S230">
        <v>87.792213000000004</v>
      </c>
      <c r="T230">
        <v>88.504158000000004</v>
      </c>
      <c r="U230">
        <v>89.221908999999997</v>
      </c>
      <c r="V230">
        <v>89.945617999999996</v>
      </c>
      <c r="W230">
        <v>90.674721000000005</v>
      </c>
      <c r="X230">
        <v>91.410415999999998</v>
      </c>
      <c r="Y230">
        <v>92.151893999999999</v>
      </c>
      <c r="Z230">
        <v>92.899780000000007</v>
      </c>
      <c r="AA230">
        <v>93.653571999999997</v>
      </c>
      <c r="AB230">
        <v>94.412757999999997</v>
      </c>
      <c r="AC230">
        <v>95.176376000000005</v>
      </c>
      <c r="AD230">
        <v>95.946404000000001</v>
      </c>
      <c r="AE230">
        <v>96.722733000000005</v>
      </c>
      <c r="AF230">
        <v>97.504654000000002</v>
      </c>
      <c r="AG230">
        <v>98.291786000000002</v>
      </c>
      <c r="AH230">
        <v>99.083732999999995</v>
      </c>
      <c r="AI230" s="22">
        <v>8.9999999999999993E-3</v>
      </c>
    </row>
    <row r="231" spans="1:35">
      <c r="A231" t="s">
        <v>223</v>
      </c>
    </row>
    <row r="232" spans="1:35">
      <c r="A232" t="s">
        <v>217</v>
      </c>
      <c r="B232" t="s">
        <v>1618</v>
      </c>
      <c r="C232" t="s">
        <v>1619</v>
      </c>
      <c r="D232" t="s">
        <v>232</v>
      </c>
      <c r="F232">
        <v>69.402541999999997</v>
      </c>
      <c r="G232">
        <v>68.886475000000004</v>
      </c>
      <c r="H232">
        <v>68.590812999999997</v>
      </c>
      <c r="I232">
        <v>68.827171000000007</v>
      </c>
      <c r="J232">
        <v>69.208213999999998</v>
      </c>
      <c r="K232">
        <v>69.602965999999995</v>
      </c>
      <c r="L232">
        <v>70.032539</v>
      </c>
      <c r="M232">
        <v>70.462708000000006</v>
      </c>
      <c r="N232">
        <v>70.920105000000007</v>
      </c>
      <c r="O232">
        <v>71.435119999999998</v>
      </c>
      <c r="P232">
        <v>72.028510999999995</v>
      </c>
      <c r="Q232">
        <v>72.675017999999994</v>
      </c>
      <c r="R232">
        <v>73.344772000000006</v>
      </c>
      <c r="S232">
        <v>74.035331999999997</v>
      </c>
      <c r="T232">
        <v>74.741821000000002</v>
      </c>
      <c r="U232">
        <v>75.464134000000001</v>
      </c>
      <c r="V232">
        <v>76.190216000000007</v>
      </c>
      <c r="W232">
        <v>76.900138999999996</v>
      </c>
      <c r="X232">
        <v>77.626716999999999</v>
      </c>
      <c r="Y232">
        <v>78.356566999999998</v>
      </c>
      <c r="Z232">
        <v>79.082176000000004</v>
      </c>
      <c r="AA232">
        <v>79.809830000000005</v>
      </c>
      <c r="AB232">
        <v>80.528175000000005</v>
      </c>
      <c r="AC232">
        <v>81.236075999999997</v>
      </c>
      <c r="AD232">
        <v>81.931877</v>
      </c>
      <c r="AE232">
        <v>82.620941000000002</v>
      </c>
      <c r="AF232">
        <v>83.293769999999995</v>
      </c>
      <c r="AG232">
        <v>83.952545000000001</v>
      </c>
      <c r="AH232">
        <v>84.605964999999998</v>
      </c>
      <c r="AI232" s="22">
        <v>7.0000000000000001E-3</v>
      </c>
    </row>
    <row r="233" spans="1:35">
      <c r="A233" t="s">
        <v>218</v>
      </c>
      <c r="B233" t="s">
        <v>1620</v>
      </c>
      <c r="C233" t="s">
        <v>1621</v>
      </c>
      <c r="D233" t="s">
        <v>232</v>
      </c>
      <c r="F233">
        <v>89.569159999999997</v>
      </c>
      <c r="G233">
        <v>88.941719000000006</v>
      </c>
      <c r="H233">
        <v>88.892539999999997</v>
      </c>
      <c r="I233">
        <v>89.209166999999994</v>
      </c>
      <c r="J233">
        <v>89.763167999999993</v>
      </c>
      <c r="K233">
        <v>90.068138000000005</v>
      </c>
      <c r="L233">
        <v>90.446510000000004</v>
      </c>
      <c r="M233">
        <v>90.858917000000005</v>
      </c>
      <c r="N233">
        <v>91.328536999999997</v>
      </c>
      <c r="O233">
        <v>91.867462000000003</v>
      </c>
      <c r="P233">
        <v>92.482269000000002</v>
      </c>
      <c r="Q233">
        <v>93.244079999999997</v>
      </c>
      <c r="R233">
        <v>94.089729000000005</v>
      </c>
      <c r="S233">
        <v>95.004363999999995</v>
      </c>
      <c r="T233">
        <v>95.921645999999996</v>
      </c>
      <c r="U233">
        <v>96.856560000000002</v>
      </c>
      <c r="V233">
        <v>97.853888999999995</v>
      </c>
      <c r="W233">
        <v>98.813866000000004</v>
      </c>
      <c r="X233">
        <v>99.777023</v>
      </c>
      <c r="Y233">
        <v>100.747337</v>
      </c>
      <c r="Z233">
        <v>101.733963</v>
      </c>
      <c r="AA233">
        <v>102.75606500000001</v>
      </c>
      <c r="AB233">
        <v>103.779877</v>
      </c>
      <c r="AC233">
        <v>104.787949</v>
      </c>
      <c r="AD233">
        <v>105.762154</v>
      </c>
      <c r="AE233">
        <v>106.74211099999999</v>
      </c>
      <c r="AF233">
        <v>107.712372</v>
      </c>
      <c r="AG233">
        <v>108.66114</v>
      </c>
      <c r="AH233">
        <v>109.57083900000001</v>
      </c>
      <c r="AI233" s="22">
        <v>7.0000000000000001E-3</v>
      </c>
    </row>
    <row r="234" spans="1:35">
      <c r="A234" t="s">
        <v>219</v>
      </c>
      <c r="B234" t="s">
        <v>1622</v>
      </c>
      <c r="C234" t="s">
        <v>1623</v>
      </c>
      <c r="D234" t="s">
        <v>232</v>
      </c>
      <c r="F234">
        <v>52.032425000000003</v>
      </c>
      <c r="G234">
        <v>52.165076999999997</v>
      </c>
      <c r="H234">
        <v>52.297908999999997</v>
      </c>
      <c r="I234">
        <v>52.535397000000003</v>
      </c>
      <c r="J234">
        <v>52.821545</v>
      </c>
      <c r="K234">
        <v>53.134121</v>
      </c>
      <c r="L234">
        <v>53.456631000000002</v>
      </c>
      <c r="M234">
        <v>53.808661999999998</v>
      </c>
      <c r="N234">
        <v>54.187598999999999</v>
      </c>
      <c r="O234">
        <v>54.588481999999999</v>
      </c>
      <c r="P234">
        <v>54.984932000000001</v>
      </c>
      <c r="Q234">
        <v>55.393497000000004</v>
      </c>
      <c r="R234">
        <v>55.793472000000001</v>
      </c>
      <c r="S234">
        <v>56.203944999999997</v>
      </c>
      <c r="T234">
        <v>56.620807999999997</v>
      </c>
      <c r="U234">
        <v>57.048946000000001</v>
      </c>
      <c r="V234">
        <v>57.482985999999997</v>
      </c>
      <c r="W234">
        <v>57.921207000000003</v>
      </c>
      <c r="X234">
        <v>58.376080000000002</v>
      </c>
      <c r="Y234">
        <v>58.850577999999999</v>
      </c>
      <c r="Z234">
        <v>59.324966000000003</v>
      </c>
      <c r="AA234">
        <v>59.809325999999999</v>
      </c>
      <c r="AB234">
        <v>60.290218000000003</v>
      </c>
      <c r="AC234">
        <v>60.779175000000002</v>
      </c>
      <c r="AD234">
        <v>61.270797999999999</v>
      </c>
      <c r="AE234">
        <v>61.763649000000001</v>
      </c>
      <c r="AF234">
        <v>62.259666000000003</v>
      </c>
      <c r="AG234">
        <v>62.756359000000003</v>
      </c>
      <c r="AH234">
        <v>63.257401000000002</v>
      </c>
      <c r="AI234" s="22">
        <v>7.0000000000000001E-3</v>
      </c>
    </row>
    <row r="235" spans="1:35">
      <c r="A235" t="s">
        <v>222</v>
      </c>
      <c r="B235" t="s">
        <v>1624</v>
      </c>
      <c r="C235" t="s">
        <v>1625</v>
      </c>
      <c r="D235" t="s">
        <v>232</v>
      </c>
      <c r="F235">
        <v>72.715873999999999</v>
      </c>
      <c r="G235">
        <v>73.085792999999995</v>
      </c>
      <c r="H235">
        <v>73.482078999999999</v>
      </c>
      <c r="I235">
        <v>73.996407000000005</v>
      </c>
      <c r="J235">
        <v>74.646186999999998</v>
      </c>
      <c r="K235">
        <v>75.080658</v>
      </c>
      <c r="L235">
        <v>75.532944000000001</v>
      </c>
      <c r="M235">
        <v>75.957808999999997</v>
      </c>
      <c r="N235">
        <v>76.421074000000004</v>
      </c>
      <c r="O235">
        <v>76.940421999999998</v>
      </c>
      <c r="P235">
        <v>77.526291000000001</v>
      </c>
      <c r="Q235">
        <v>78.189293000000006</v>
      </c>
      <c r="R235">
        <v>78.892960000000002</v>
      </c>
      <c r="S235">
        <v>79.631493000000006</v>
      </c>
      <c r="T235">
        <v>80.381148999999994</v>
      </c>
      <c r="U235">
        <v>81.146614</v>
      </c>
      <c r="V235">
        <v>81.932625000000002</v>
      </c>
      <c r="W235">
        <v>82.698982000000001</v>
      </c>
      <c r="X235">
        <v>83.478408999999999</v>
      </c>
      <c r="Y235">
        <v>84.265083000000004</v>
      </c>
      <c r="Z235">
        <v>85.054001</v>
      </c>
      <c r="AA235">
        <v>85.856116999999998</v>
      </c>
      <c r="AB235">
        <v>86.653617999999994</v>
      </c>
      <c r="AC235">
        <v>87.443168999999997</v>
      </c>
      <c r="AD235">
        <v>88.216926999999998</v>
      </c>
      <c r="AE235">
        <v>88.989211999999995</v>
      </c>
      <c r="AF235">
        <v>89.750197999999997</v>
      </c>
      <c r="AG235">
        <v>90.498283000000001</v>
      </c>
      <c r="AH235">
        <v>91.234497000000005</v>
      </c>
      <c r="AI235" s="22">
        <v>8.0000000000000002E-3</v>
      </c>
    </row>
    <row r="236" spans="1:35">
      <c r="A236" t="s">
        <v>110</v>
      </c>
    </row>
    <row r="237" spans="1:35">
      <c r="A237" t="s">
        <v>224</v>
      </c>
    </row>
    <row r="238" spans="1:35">
      <c r="A238" t="s">
        <v>211</v>
      </c>
      <c r="B238" t="s">
        <v>1626</v>
      </c>
      <c r="C238" t="s">
        <v>1627</v>
      </c>
      <c r="D238" t="s">
        <v>201</v>
      </c>
      <c r="F238">
        <v>2773.233643</v>
      </c>
      <c r="G238">
        <v>2963.5356449999999</v>
      </c>
      <c r="H238">
        <v>2981.6103520000001</v>
      </c>
      <c r="I238">
        <v>2971.982422</v>
      </c>
      <c r="J238">
        <v>2987.7333979999999</v>
      </c>
      <c r="K238">
        <v>3001.9279790000001</v>
      </c>
      <c r="L238">
        <v>3014.08374</v>
      </c>
      <c r="M238">
        <v>3020.093018</v>
      </c>
      <c r="N238">
        <v>3021.0385740000002</v>
      </c>
      <c r="O238">
        <v>3024.4128420000002</v>
      </c>
      <c r="P238">
        <v>3038.7070309999999</v>
      </c>
      <c r="Q238">
        <v>3048.2558589999999</v>
      </c>
      <c r="R238">
        <v>3047.4770509999998</v>
      </c>
      <c r="S238">
        <v>3049.7602539999998</v>
      </c>
      <c r="T238">
        <v>3060.5441890000002</v>
      </c>
      <c r="U238">
        <v>3079.7246089999999</v>
      </c>
      <c r="V238">
        <v>3105.226807</v>
      </c>
      <c r="W238">
        <v>3134.7163089999999</v>
      </c>
      <c r="X238">
        <v>3169.4499510000001</v>
      </c>
      <c r="Y238">
        <v>3200.5976559999999</v>
      </c>
      <c r="Z238">
        <v>3233.203125</v>
      </c>
      <c r="AA238">
        <v>3266.1667480000001</v>
      </c>
      <c r="AB238">
        <v>3300.7473140000002</v>
      </c>
      <c r="AC238">
        <v>3335.2094729999999</v>
      </c>
      <c r="AD238">
        <v>3370.4658199999999</v>
      </c>
      <c r="AE238">
        <v>3408.2768550000001</v>
      </c>
      <c r="AF238">
        <v>3449.0227049999999</v>
      </c>
      <c r="AG238">
        <v>3491.2009280000002</v>
      </c>
      <c r="AH238">
        <v>3538.0180660000001</v>
      </c>
      <c r="AI238" s="22">
        <v>8.9999999999999993E-3</v>
      </c>
    </row>
    <row r="239" spans="1:35">
      <c r="A239" t="s">
        <v>212</v>
      </c>
      <c r="B239" t="s">
        <v>1628</v>
      </c>
      <c r="C239" t="s">
        <v>1629</v>
      </c>
      <c r="D239" t="s">
        <v>201</v>
      </c>
      <c r="F239">
        <v>208.645813</v>
      </c>
      <c r="G239">
        <v>244.10438500000001</v>
      </c>
      <c r="H239">
        <v>267.99700899999999</v>
      </c>
      <c r="I239">
        <v>281.98382600000002</v>
      </c>
      <c r="J239">
        <v>293.084045</v>
      </c>
      <c r="K239">
        <v>302.626373</v>
      </c>
      <c r="L239">
        <v>306.38412499999998</v>
      </c>
      <c r="M239">
        <v>310.086792</v>
      </c>
      <c r="N239">
        <v>313.02474999999998</v>
      </c>
      <c r="O239">
        <v>316.04913299999998</v>
      </c>
      <c r="P239">
        <v>319.02706899999998</v>
      </c>
      <c r="Q239">
        <v>321.92867999999999</v>
      </c>
      <c r="R239">
        <v>324.786743</v>
      </c>
      <c r="S239">
        <v>327.64398199999999</v>
      </c>
      <c r="T239">
        <v>330.28103599999997</v>
      </c>
      <c r="U239">
        <v>333.12841800000001</v>
      </c>
      <c r="V239">
        <v>335.69766199999998</v>
      </c>
      <c r="W239">
        <v>338.28350799999998</v>
      </c>
      <c r="X239">
        <v>341.16531400000002</v>
      </c>
      <c r="Y239">
        <v>344.240295</v>
      </c>
      <c r="Z239">
        <v>347.39129600000001</v>
      </c>
      <c r="AA239">
        <v>350.55389400000001</v>
      </c>
      <c r="AB239">
        <v>354.091522</v>
      </c>
      <c r="AC239">
        <v>357.82122800000002</v>
      </c>
      <c r="AD239">
        <v>361.58618200000001</v>
      </c>
      <c r="AE239">
        <v>365.18158</v>
      </c>
      <c r="AF239">
        <v>368.808899</v>
      </c>
      <c r="AG239">
        <v>372.51077299999997</v>
      </c>
      <c r="AH239">
        <v>376.32229599999999</v>
      </c>
      <c r="AI239" s="22">
        <v>2.1000000000000001E-2</v>
      </c>
    </row>
    <row r="240" spans="1:35">
      <c r="A240" t="s">
        <v>1256</v>
      </c>
      <c r="B240" t="s">
        <v>1630</v>
      </c>
      <c r="C240" t="s">
        <v>1631</v>
      </c>
      <c r="D240" t="s">
        <v>201</v>
      </c>
      <c r="F240">
        <v>196.934158</v>
      </c>
      <c r="G240">
        <v>232.30671699999999</v>
      </c>
      <c r="H240">
        <v>261.84793100000002</v>
      </c>
      <c r="I240">
        <v>279.79983499999997</v>
      </c>
      <c r="J240">
        <v>295.92919899999998</v>
      </c>
      <c r="K240">
        <v>308.29476899999997</v>
      </c>
      <c r="L240">
        <v>319.13308699999999</v>
      </c>
      <c r="M240">
        <v>329.26968399999998</v>
      </c>
      <c r="N240">
        <v>339.56768799999998</v>
      </c>
      <c r="O240">
        <v>349.96786500000002</v>
      </c>
      <c r="P240">
        <v>360.54040500000002</v>
      </c>
      <c r="Q240">
        <v>370.84356700000001</v>
      </c>
      <c r="R240">
        <v>381.30542000000003</v>
      </c>
      <c r="S240">
        <v>391.86987299999998</v>
      </c>
      <c r="T240">
        <v>402.56347699999998</v>
      </c>
      <c r="U240">
        <v>413.346588</v>
      </c>
      <c r="V240">
        <v>424.15704299999999</v>
      </c>
      <c r="W240">
        <v>435.21081500000003</v>
      </c>
      <c r="X240">
        <v>446.14224200000001</v>
      </c>
      <c r="Y240">
        <v>456.85961900000001</v>
      </c>
      <c r="Z240">
        <v>467.702789</v>
      </c>
      <c r="AA240">
        <v>478.244598</v>
      </c>
      <c r="AB240">
        <v>489.21554600000002</v>
      </c>
      <c r="AC240">
        <v>500.09182700000002</v>
      </c>
      <c r="AD240">
        <v>511.115723</v>
      </c>
      <c r="AE240">
        <v>522.51269500000001</v>
      </c>
      <c r="AF240">
        <v>533.62554899999998</v>
      </c>
      <c r="AG240">
        <v>545.11084000000005</v>
      </c>
      <c r="AH240">
        <v>557.21997099999999</v>
      </c>
      <c r="AI240" s="22">
        <v>3.7999999999999999E-2</v>
      </c>
    </row>
    <row r="241" spans="1:36">
      <c r="A241" t="s">
        <v>1259</v>
      </c>
      <c r="B241" t="s">
        <v>1632</v>
      </c>
      <c r="C241" t="s">
        <v>1633</v>
      </c>
      <c r="D241" t="s">
        <v>201</v>
      </c>
      <c r="F241">
        <v>1851.2802730000001</v>
      </c>
      <c r="G241">
        <v>2344.2438959999999</v>
      </c>
      <c r="H241">
        <v>2656.310547</v>
      </c>
      <c r="I241">
        <v>2786.9978030000002</v>
      </c>
      <c r="J241">
        <v>2933.4677729999999</v>
      </c>
      <c r="K241">
        <v>2993.6411130000001</v>
      </c>
      <c r="L241">
        <v>3048.8796390000002</v>
      </c>
      <c r="M241">
        <v>3099.0534670000002</v>
      </c>
      <c r="N241">
        <v>3146.3701169999999</v>
      </c>
      <c r="O241">
        <v>3191.6606449999999</v>
      </c>
      <c r="P241">
        <v>3234.966797</v>
      </c>
      <c r="Q241">
        <v>3273.9794919999999</v>
      </c>
      <c r="R241">
        <v>3309.195068</v>
      </c>
      <c r="S241">
        <v>3338.8146969999998</v>
      </c>
      <c r="T241">
        <v>3370.470703</v>
      </c>
      <c r="U241">
        <v>3403.8549800000001</v>
      </c>
      <c r="V241">
        <v>3437.0017090000001</v>
      </c>
      <c r="W241">
        <v>3473.2641600000002</v>
      </c>
      <c r="X241">
        <v>3510.6833499999998</v>
      </c>
      <c r="Y241">
        <v>3548.211182</v>
      </c>
      <c r="Z241">
        <v>3585.3435060000002</v>
      </c>
      <c r="AA241">
        <v>3621.6083979999999</v>
      </c>
      <c r="AB241">
        <v>3658.6279300000001</v>
      </c>
      <c r="AC241">
        <v>3696.2770999999998</v>
      </c>
      <c r="AD241">
        <v>3735.7353520000001</v>
      </c>
      <c r="AE241">
        <v>3775.4865719999998</v>
      </c>
      <c r="AF241">
        <v>3816.5454100000002</v>
      </c>
      <c r="AG241">
        <v>3858.6560060000002</v>
      </c>
      <c r="AH241">
        <v>3900.7966310000002</v>
      </c>
      <c r="AI241" s="22">
        <v>2.7E-2</v>
      </c>
    </row>
    <row r="242" spans="1:36">
      <c r="A242" t="s">
        <v>1262</v>
      </c>
      <c r="B242" t="s">
        <v>1634</v>
      </c>
      <c r="C242" t="s">
        <v>1635</v>
      </c>
      <c r="D242" t="s">
        <v>201</v>
      </c>
      <c r="F242">
        <v>221.601868</v>
      </c>
      <c r="G242">
        <v>305.65100100000001</v>
      </c>
      <c r="H242">
        <v>351.91027800000001</v>
      </c>
      <c r="I242">
        <v>374.380157</v>
      </c>
      <c r="J242">
        <v>397.491669</v>
      </c>
      <c r="K242">
        <v>412.524384</v>
      </c>
      <c r="L242">
        <v>425.48336799999998</v>
      </c>
      <c r="M242">
        <v>427.36166400000002</v>
      </c>
      <c r="N242">
        <v>428.41531400000002</v>
      </c>
      <c r="O242">
        <v>428.59774800000002</v>
      </c>
      <c r="P242">
        <v>427.95602400000001</v>
      </c>
      <c r="Q242">
        <v>426.94494600000002</v>
      </c>
      <c r="R242">
        <v>425.34710699999999</v>
      </c>
      <c r="S242">
        <v>423.23867799999999</v>
      </c>
      <c r="T242">
        <v>420.81689499999999</v>
      </c>
      <c r="U242">
        <v>417.70291099999997</v>
      </c>
      <c r="V242">
        <v>414.47122200000001</v>
      </c>
      <c r="W242">
        <v>411.232483</v>
      </c>
      <c r="X242">
        <v>407.90484600000002</v>
      </c>
      <c r="Y242">
        <v>404.43249500000002</v>
      </c>
      <c r="Z242">
        <v>400.351135</v>
      </c>
      <c r="AA242">
        <v>396.24203499999999</v>
      </c>
      <c r="AB242">
        <v>392.20419299999998</v>
      </c>
      <c r="AC242">
        <v>388.33065800000003</v>
      </c>
      <c r="AD242">
        <v>384.79718000000003</v>
      </c>
      <c r="AE242">
        <v>381.531342</v>
      </c>
      <c r="AF242">
        <v>378.61096199999997</v>
      </c>
      <c r="AG242">
        <v>376.006012</v>
      </c>
      <c r="AH242">
        <v>373.66793799999999</v>
      </c>
      <c r="AI242" s="22">
        <v>1.9E-2</v>
      </c>
    </row>
    <row r="243" spans="1:36">
      <c r="A243" t="s">
        <v>1265</v>
      </c>
      <c r="B243" t="s">
        <v>1636</v>
      </c>
      <c r="C243" t="s">
        <v>1637</v>
      </c>
      <c r="D243" t="s">
        <v>201</v>
      </c>
      <c r="F243">
        <v>168.51355000000001</v>
      </c>
      <c r="G243">
        <v>237.92446899999999</v>
      </c>
      <c r="H243">
        <v>289.254547</v>
      </c>
      <c r="I243">
        <v>320.81323200000003</v>
      </c>
      <c r="J243">
        <v>346.70153800000003</v>
      </c>
      <c r="K243">
        <v>364.45755000000003</v>
      </c>
      <c r="L243">
        <v>380.39138800000001</v>
      </c>
      <c r="M243">
        <v>389.99795499999999</v>
      </c>
      <c r="N243">
        <v>399.15072600000002</v>
      </c>
      <c r="O243">
        <v>408.00769000000003</v>
      </c>
      <c r="P243">
        <v>416.19485500000002</v>
      </c>
      <c r="Q243">
        <v>423.83029199999999</v>
      </c>
      <c r="R243">
        <v>430.96533199999999</v>
      </c>
      <c r="S243">
        <v>437.64898699999998</v>
      </c>
      <c r="T243">
        <v>444.06417800000003</v>
      </c>
      <c r="U243">
        <v>449.59255999999999</v>
      </c>
      <c r="V243">
        <v>454.55630500000001</v>
      </c>
      <c r="W243">
        <v>459.60629299999999</v>
      </c>
      <c r="X243">
        <v>464.62707499999999</v>
      </c>
      <c r="Y243">
        <v>470.443085</v>
      </c>
      <c r="Z243">
        <v>476.091858</v>
      </c>
      <c r="AA243">
        <v>481.87719700000002</v>
      </c>
      <c r="AB243">
        <v>487.620544</v>
      </c>
      <c r="AC243">
        <v>493.388824</v>
      </c>
      <c r="AD243">
        <v>499.60229500000003</v>
      </c>
      <c r="AE243">
        <v>505.96167000000003</v>
      </c>
      <c r="AF243">
        <v>512.96533199999999</v>
      </c>
      <c r="AG243">
        <v>520.19604500000003</v>
      </c>
      <c r="AH243">
        <v>527.62707499999999</v>
      </c>
      <c r="AI243" s="22">
        <v>4.2000000000000003E-2</v>
      </c>
    </row>
    <row r="244" spans="1:36">
      <c r="A244" t="s">
        <v>1268</v>
      </c>
      <c r="B244" t="s">
        <v>1638</v>
      </c>
      <c r="C244" t="s">
        <v>1639</v>
      </c>
      <c r="D244" t="s">
        <v>201</v>
      </c>
      <c r="F244">
        <v>179.126678</v>
      </c>
      <c r="G244">
        <v>215.03079199999999</v>
      </c>
      <c r="H244">
        <v>244.060822</v>
      </c>
      <c r="I244">
        <v>261.45654300000001</v>
      </c>
      <c r="J244">
        <v>280.28369099999998</v>
      </c>
      <c r="K244">
        <v>292.36175500000002</v>
      </c>
      <c r="L244">
        <v>302.99865699999998</v>
      </c>
      <c r="M244">
        <v>308.74017300000003</v>
      </c>
      <c r="N244">
        <v>313.805115</v>
      </c>
      <c r="O244">
        <v>316.84539799999999</v>
      </c>
      <c r="P244">
        <v>317.10681199999999</v>
      </c>
      <c r="Q244">
        <v>316.64288299999998</v>
      </c>
      <c r="R244">
        <v>315.78216600000002</v>
      </c>
      <c r="S244">
        <v>314.73529100000002</v>
      </c>
      <c r="T244">
        <v>313.11498999999998</v>
      </c>
      <c r="U244">
        <v>311.12240600000001</v>
      </c>
      <c r="V244">
        <v>308.86721799999998</v>
      </c>
      <c r="W244">
        <v>306.44967700000001</v>
      </c>
      <c r="X244">
        <v>304.52310199999999</v>
      </c>
      <c r="Y244">
        <v>302.85192899999998</v>
      </c>
      <c r="Z244">
        <v>301.93472300000002</v>
      </c>
      <c r="AA244">
        <v>301.031586</v>
      </c>
      <c r="AB244">
        <v>299.95602400000001</v>
      </c>
      <c r="AC244">
        <v>298.817047</v>
      </c>
      <c r="AD244">
        <v>298.03195199999999</v>
      </c>
      <c r="AE244">
        <v>296.93994099999998</v>
      </c>
      <c r="AF244">
        <v>296.07199100000003</v>
      </c>
      <c r="AG244">
        <v>295.05017099999998</v>
      </c>
      <c r="AH244">
        <v>294.96356200000002</v>
      </c>
      <c r="AI244" s="22">
        <v>1.7999999999999999E-2</v>
      </c>
    </row>
    <row r="245" spans="1:36">
      <c r="A245" t="s">
        <v>1271</v>
      </c>
      <c r="B245" t="s">
        <v>1640</v>
      </c>
      <c r="C245" t="s">
        <v>1641</v>
      </c>
      <c r="D245" t="s">
        <v>201</v>
      </c>
      <c r="F245">
        <v>416.00412</v>
      </c>
      <c r="G245">
        <v>435.07611100000003</v>
      </c>
      <c r="H245">
        <v>459.97994999999997</v>
      </c>
      <c r="I245">
        <v>476.07449300000002</v>
      </c>
      <c r="J245">
        <v>489.50857500000001</v>
      </c>
      <c r="K245">
        <v>497.90765399999998</v>
      </c>
      <c r="L245">
        <v>504.07409699999999</v>
      </c>
      <c r="M245">
        <v>508.27261399999998</v>
      </c>
      <c r="N245">
        <v>511.631958</v>
      </c>
      <c r="O245">
        <v>515.64855999999997</v>
      </c>
      <c r="P245">
        <v>519.63006600000006</v>
      </c>
      <c r="Q245">
        <v>523.36047399999995</v>
      </c>
      <c r="R245">
        <v>527.20733600000005</v>
      </c>
      <c r="S245">
        <v>531.08386199999995</v>
      </c>
      <c r="T245">
        <v>534.912598</v>
      </c>
      <c r="U245">
        <v>538.74658199999999</v>
      </c>
      <c r="V245">
        <v>542.65185499999995</v>
      </c>
      <c r="W245">
        <v>546.45281999999997</v>
      </c>
      <c r="X245">
        <v>549.711365</v>
      </c>
      <c r="Y245">
        <v>553.53753700000004</v>
      </c>
      <c r="Z245">
        <v>557.36541699999998</v>
      </c>
      <c r="AA245">
        <v>561.29571499999997</v>
      </c>
      <c r="AB245">
        <v>565.61267099999998</v>
      </c>
      <c r="AC245">
        <v>569.73651099999995</v>
      </c>
      <c r="AD245">
        <v>573.75341800000001</v>
      </c>
      <c r="AE245">
        <v>578.07080099999996</v>
      </c>
      <c r="AF245">
        <v>582.46887200000003</v>
      </c>
      <c r="AG245">
        <v>586.97009300000002</v>
      </c>
      <c r="AH245">
        <v>591.20471199999997</v>
      </c>
      <c r="AI245" s="22">
        <v>1.2999999999999999E-2</v>
      </c>
    </row>
    <row r="246" spans="1:36">
      <c r="A246" t="s">
        <v>1274</v>
      </c>
      <c r="B246" t="s">
        <v>1642</v>
      </c>
      <c r="C246" t="s">
        <v>1643</v>
      </c>
      <c r="D246" t="s">
        <v>201</v>
      </c>
      <c r="F246">
        <v>73.955650000000006</v>
      </c>
      <c r="G246">
        <v>95.126662999999994</v>
      </c>
      <c r="H246">
        <v>115.192429</v>
      </c>
      <c r="I246">
        <v>129.06636</v>
      </c>
      <c r="J246">
        <v>140.716995</v>
      </c>
      <c r="K246">
        <v>147.306015</v>
      </c>
      <c r="L246">
        <v>152.34046900000001</v>
      </c>
      <c r="M246">
        <v>156.239395</v>
      </c>
      <c r="N246">
        <v>159.975357</v>
      </c>
      <c r="O246">
        <v>163.19773900000001</v>
      </c>
      <c r="P246">
        <v>165.568085</v>
      </c>
      <c r="Q246">
        <v>167.91790800000001</v>
      </c>
      <c r="R246">
        <v>170.270218</v>
      </c>
      <c r="S246">
        <v>172.59960899999999</v>
      </c>
      <c r="T246">
        <v>174.98753400000001</v>
      </c>
      <c r="U246">
        <v>177.488541</v>
      </c>
      <c r="V246">
        <v>180.11563100000001</v>
      </c>
      <c r="W246">
        <v>182.86473100000001</v>
      </c>
      <c r="X246">
        <v>185.54518100000001</v>
      </c>
      <c r="Y246">
        <v>188.11949200000001</v>
      </c>
      <c r="Z246">
        <v>190.94824199999999</v>
      </c>
      <c r="AA246">
        <v>193.95942700000001</v>
      </c>
      <c r="AB246">
        <v>197.024719</v>
      </c>
      <c r="AC246">
        <v>200.15832499999999</v>
      </c>
      <c r="AD246">
        <v>203.33165</v>
      </c>
      <c r="AE246">
        <v>206.593491</v>
      </c>
      <c r="AF246">
        <v>209.972916</v>
      </c>
      <c r="AG246">
        <v>213.53128100000001</v>
      </c>
      <c r="AH246">
        <v>217.14962800000001</v>
      </c>
      <c r="AI246" s="22">
        <v>3.9E-2</v>
      </c>
    </row>
    <row r="247" spans="1:36">
      <c r="A247" t="s">
        <v>214</v>
      </c>
      <c r="B247" t="s">
        <v>1644</v>
      </c>
      <c r="C247" t="s">
        <v>1645</v>
      </c>
      <c r="D247" t="s">
        <v>201</v>
      </c>
      <c r="F247">
        <v>1451.1182859999999</v>
      </c>
      <c r="G247">
        <v>1448.4776609999999</v>
      </c>
      <c r="H247">
        <v>1460.338379</v>
      </c>
      <c r="I247">
        <v>1552.7242429999999</v>
      </c>
      <c r="J247">
        <v>1648.0225829999999</v>
      </c>
      <c r="K247">
        <v>1734.6660159999999</v>
      </c>
      <c r="L247">
        <v>1815.9964600000001</v>
      </c>
      <c r="M247">
        <v>1896.059448</v>
      </c>
      <c r="N247">
        <v>1974.168091</v>
      </c>
      <c r="O247">
        <v>2049.9370119999999</v>
      </c>
      <c r="P247">
        <v>2125.3466800000001</v>
      </c>
      <c r="Q247">
        <v>2198.2224120000001</v>
      </c>
      <c r="R247">
        <v>2269.7983399999998</v>
      </c>
      <c r="S247">
        <v>2340.0966800000001</v>
      </c>
      <c r="T247">
        <v>2409.6188959999999</v>
      </c>
      <c r="U247">
        <v>2477.8977049999999</v>
      </c>
      <c r="V247">
        <v>2545.1379390000002</v>
      </c>
      <c r="W247">
        <v>2612.1066890000002</v>
      </c>
      <c r="X247">
        <v>2678.4179690000001</v>
      </c>
      <c r="Y247">
        <v>2744.9497070000002</v>
      </c>
      <c r="Z247">
        <v>2813.2739259999998</v>
      </c>
      <c r="AA247">
        <v>2881.1601559999999</v>
      </c>
      <c r="AB247">
        <v>2947.9079590000001</v>
      </c>
      <c r="AC247">
        <v>3013.438721</v>
      </c>
      <c r="AD247">
        <v>3077.5346679999998</v>
      </c>
      <c r="AE247">
        <v>3140.7070309999999</v>
      </c>
      <c r="AF247">
        <v>3203.1733399999998</v>
      </c>
      <c r="AG247">
        <v>3264.3950199999999</v>
      </c>
      <c r="AH247">
        <v>3322.8706050000001</v>
      </c>
      <c r="AI247" s="22">
        <v>0.03</v>
      </c>
    </row>
    <row r="248" spans="1:36">
      <c r="A248" t="s">
        <v>1279</v>
      </c>
      <c r="B248" t="s">
        <v>1646</v>
      </c>
      <c r="C248" t="s">
        <v>1647</v>
      </c>
      <c r="D248" t="s">
        <v>201</v>
      </c>
      <c r="F248">
        <v>208.97879</v>
      </c>
      <c r="G248">
        <v>254.292068</v>
      </c>
      <c r="H248">
        <v>286.61102299999999</v>
      </c>
      <c r="I248">
        <v>309.37872299999998</v>
      </c>
      <c r="J248">
        <v>342.33682299999998</v>
      </c>
      <c r="K248">
        <v>370.96890300000001</v>
      </c>
      <c r="L248">
        <v>398.87280299999998</v>
      </c>
      <c r="M248">
        <v>428.155731</v>
      </c>
      <c r="N248">
        <v>457.75784299999998</v>
      </c>
      <c r="O248">
        <v>487.02401700000001</v>
      </c>
      <c r="P248">
        <v>515.97143600000004</v>
      </c>
      <c r="Q248">
        <v>544.28241000000003</v>
      </c>
      <c r="R248">
        <v>571.83215299999995</v>
      </c>
      <c r="S248">
        <v>598.52832000000001</v>
      </c>
      <c r="T248">
        <v>624.42962599999998</v>
      </c>
      <c r="U248">
        <v>650.14923099999999</v>
      </c>
      <c r="V248">
        <v>675.95190400000001</v>
      </c>
      <c r="W248">
        <v>702.09271200000001</v>
      </c>
      <c r="X248">
        <v>728.36053500000003</v>
      </c>
      <c r="Y248">
        <v>754.63989300000003</v>
      </c>
      <c r="Z248">
        <v>780.98950200000002</v>
      </c>
      <c r="AA248">
        <v>807.26147500000002</v>
      </c>
      <c r="AB248">
        <v>833.47289999999998</v>
      </c>
      <c r="AC248">
        <v>859.46899399999995</v>
      </c>
      <c r="AD248">
        <v>885.26336700000002</v>
      </c>
      <c r="AE248">
        <v>910.78649900000005</v>
      </c>
      <c r="AF248">
        <v>935.97699</v>
      </c>
      <c r="AG248">
        <v>960.82641599999999</v>
      </c>
      <c r="AH248">
        <v>985.28186000000005</v>
      </c>
      <c r="AI248" s="22">
        <v>5.7000000000000002E-2</v>
      </c>
    </row>
    <row r="249" spans="1:36">
      <c r="A249" t="s">
        <v>1282</v>
      </c>
      <c r="B249" t="s">
        <v>1648</v>
      </c>
      <c r="C249" t="s">
        <v>1649</v>
      </c>
      <c r="D249" t="s">
        <v>201</v>
      </c>
      <c r="F249">
        <v>867.03515600000003</v>
      </c>
      <c r="G249">
        <v>1072.595703</v>
      </c>
      <c r="H249">
        <v>1236.2861330000001</v>
      </c>
      <c r="I249">
        <v>1338.03772</v>
      </c>
      <c r="J249">
        <v>1461.0483400000001</v>
      </c>
      <c r="K249">
        <v>1545.8792719999999</v>
      </c>
      <c r="L249">
        <v>1622.678467</v>
      </c>
      <c r="M249">
        <v>1683.805298</v>
      </c>
      <c r="N249">
        <v>1743.7689210000001</v>
      </c>
      <c r="O249">
        <v>1802.757202</v>
      </c>
      <c r="P249">
        <v>1861.040039</v>
      </c>
      <c r="Q249">
        <v>1918.223389</v>
      </c>
      <c r="R249">
        <v>1974.3983149999999</v>
      </c>
      <c r="S249">
        <v>2029.987183</v>
      </c>
      <c r="T249">
        <v>2083.4384770000001</v>
      </c>
      <c r="U249">
        <v>2137.2441410000001</v>
      </c>
      <c r="V249">
        <v>2190.7312010000001</v>
      </c>
      <c r="W249">
        <v>2245.4086910000001</v>
      </c>
      <c r="X249">
        <v>2301.0671390000002</v>
      </c>
      <c r="Y249">
        <v>2356.5280760000001</v>
      </c>
      <c r="Z249">
        <v>2412.4572750000002</v>
      </c>
      <c r="AA249">
        <v>2468.8115229999999</v>
      </c>
      <c r="AB249">
        <v>2525.983154</v>
      </c>
      <c r="AC249">
        <v>2583.9116210000002</v>
      </c>
      <c r="AD249">
        <v>2641.3608399999998</v>
      </c>
      <c r="AE249">
        <v>2699.47876</v>
      </c>
      <c r="AF249">
        <v>2758.8125</v>
      </c>
      <c r="AG249">
        <v>2819.6669919999999</v>
      </c>
      <c r="AH249">
        <v>2881.930664</v>
      </c>
      <c r="AI249" s="22">
        <v>4.3999999999999997E-2</v>
      </c>
    </row>
    <row r="250" spans="1:36">
      <c r="A250" t="s">
        <v>1285</v>
      </c>
      <c r="B250" t="s">
        <v>1650</v>
      </c>
      <c r="C250" t="s">
        <v>1651</v>
      </c>
      <c r="D250" t="s">
        <v>201</v>
      </c>
      <c r="F250">
        <v>346.51025399999997</v>
      </c>
      <c r="G250">
        <v>460.98516799999999</v>
      </c>
      <c r="H250">
        <v>586.89025900000001</v>
      </c>
      <c r="I250">
        <v>680.533997</v>
      </c>
      <c r="J250">
        <v>748.53832999999997</v>
      </c>
      <c r="K250">
        <v>794.39892599999996</v>
      </c>
      <c r="L250">
        <v>837.76019299999996</v>
      </c>
      <c r="M250">
        <v>872.31732199999999</v>
      </c>
      <c r="N250">
        <v>907.20416299999999</v>
      </c>
      <c r="O250">
        <v>941.03716999999995</v>
      </c>
      <c r="P250">
        <v>973.77050799999995</v>
      </c>
      <c r="Q250">
        <v>1006.571594</v>
      </c>
      <c r="R250">
        <v>1039.2143550000001</v>
      </c>
      <c r="S250">
        <v>1072.2879640000001</v>
      </c>
      <c r="T250">
        <v>1105.6850589999999</v>
      </c>
      <c r="U250">
        <v>1138.0900879999999</v>
      </c>
      <c r="V250">
        <v>1171.398682</v>
      </c>
      <c r="W250">
        <v>1205.82251</v>
      </c>
      <c r="X250">
        <v>1241.3045649999999</v>
      </c>
      <c r="Y250">
        <v>1277.2060550000001</v>
      </c>
      <c r="Z250">
        <v>1314.159668</v>
      </c>
      <c r="AA250">
        <v>1352.1051030000001</v>
      </c>
      <c r="AB250">
        <v>1390.8477780000001</v>
      </c>
      <c r="AC250">
        <v>1431.080322</v>
      </c>
      <c r="AD250">
        <v>1472.3236079999999</v>
      </c>
      <c r="AE250">
        <v>1514.3946530000001</v>
      </c>
      <c r="AF250">
        <v>1557.846436</v>
      </c>
      <c r="AG250">
        <v>1603.0229489999999</v>
      </c>
      <c r="AH250">
        <v>1649.9516599999999</v>
      </c>
      <c r="AI250" s="22">
        <v>5.7000000000000002E-2</v>
      </c>
    </row>
    <row r="251" spans="1:36">
      <c r="A251" t="s">
        <v>213</v>
      </c>
      <c r="B251" t="s">
        <v>1652</v>
      </c>
      <c r="C251" t="s">
        <v>1653</v>
      </c>
      <c r="D251" t="s">
        <v>201</v>
      </c>
      <c r="F251">
        <v>238.01660200000001</v>
      </c>
      <c r="G251">
        <v>292.01559400000002</v>
      </c>
      <c r="H251">
        <v>342.62622099999999</v>
      </c>
      <c r="I251">
        <v>371.09878500000002</v>
      </c>
      <c r="J251">
        <v>397.24188199999998</v>
      </c>
      <c r="K251">
        <v>415.29754600000001</v>
      </c>
      <c r="L251">
        <v>430.12527499999999</v>
      </c>
      <c r="M251">
        <v>445.471924</v>
      </c>
      <c r="N251">
        <v>461.20977800000003</v>
      </c>
      <c r="O251">
        <v>477.47970600000002</v>
      </c>
      <c r="P251">
        <v>493.92965700000002</v>
      </c>
      <c r="Q251">
        <v>509.80444299999999</v>
      </c>
      <c r="R251">
        <v>525.89868200000001</v>
      </c>
      <c r="S251">
        <v>542.28320299999996</v>
      </c>
      <c r="T251">
        <v>559.28747599999997</v>
      </c>
      <c r="U251">
        <v>576.76782200000002</v>
      </c>
      <c r="V251">
        <v>594.41863999999998</v>
      </c>
      <c r="W251">
        <v>611.94549600000005</v>
      </c>
      <c r="X251">
        <v>629.67645300000004</v>
      </c>
      <c r="Y251">
        <v>648.33166500000004</v>
      </c>
      <c r="Z251">
        <v>667.59130900000002</v>
      </c>
      <c r="AA251">
        <v>686.76452600000005</v>
      </c>
      <c r="AB251">
        <v>705.953125</v>
      </c>
      <c r="AC251">
        <v>725.06225600000005</v>
      </c>
      <c r="AD251">
        <v>745.34143100000006</v>
      </c>
      <c r="AE251">
        <v>766.22436500000003</v>
      </c>
      <c r="AF251">
        <v>786.81048599999997</v>
      </c>
      <c r="AG251">
        <v>807.81488000000002</v>
      </c>
      <c r="AH251">
        <v>829.29736300000002</v>
      </c>
      <c r="AI251" s="22">
        <v>4.5999999999999999E-2</v>
      </c>
    </row>
    <row r="252" spans="1:36">
      <c r="A252" t="s">
        <v>1290</v>
      </c>
      <c r="B252" t="s">
        <v>1654</v>
      </c>
      <c r="C252" t="s">
        <v>1655</v>
      </c>
      <c r="D252" t="s">
        <v>201</v>
      </c>
      <c r="F252">
        <v>177.623413</v>
      </c>
      <c r="G252">
        <v>195.50058000000001</v>
      </c>
      <c r="H252">
        <v>207.707291</v>
      </c>
      <c r="I252">
        <v>217.55487099999999</v>
      </c>
      <c r="J252">
        <v>226.44786099999999</v>
      </c>
      <c r="K252">
        <v>232.75968900000001</v>
      </c>
      <c r="L252">
        <v>237.95294200000001</v>
      </c>
      <c r="M252">
        <v>242.19709800000001</v>
      </c>
      <c r="N252">
        <v>245.968491</v>
      </c>
      <c r="O252">
        <v>248.83398399999999</v>
      </c>
      <c r="P252">
        <v>251.384018</v>
      </c>
      <c r="Q252">
        <v>253.604691</v>
      </c>
      <c r="R252">
        <v>255.25396699999999</v>
      </c>
      <c r="S252">
        <v>256.37383999999997</v>
      </c>
      <c r="T252">
        <v>256.94958500000001</v>
      </c>
      <c r="U252">
        <v>257.154877</v>
      </c>
      <c r="V252">
        <v>257.03921500000001</v>
      </c>
      <c r="W252">
        <v>257.08990499999999</v>
      </c>
      <c r="X252">
        <v>256.81127900000001</v>
      </c>
      <c r="Y252">
        <v>256.21752900000001</v>
      </c>
      <c r="Z252">
        <v>255.38690199999999</v>
      </c>
      <c r="AA252">
        <v>254.49252300000001</v>
      </c>
      <c r="AB252">
        <v>253.54028299999999</v>
      </c>
      <c r="AC252">
        <v>252.629974</v>
      </c>
      <c r="AD252">
        <v>251.59161399999999</v>
      </c>
      <c r="AE252">
        <v>250.509827</v>
      </c>
      <c r="AF252">
        <v>249.387283</v>
      </c>
      <c r="AG252">
        <v>248.32836900000001</v>
      </c>
      <c r="AH252">
        <v>247.25846899999999</v>
      </c>
      <c r="AI252" s="22">
        <v>1.2E-2</v>
      </c>
    </row>
    <row r="253" spans="1:36">
      <c r="A253" t="s">
        <v>1293</v>
      </c>
      <c r="B253" t="s">
        <v>1656</v>
      </c>
      <c r="C253" t="s">
        <v>1657</v>
      </c>
      <c r="D253" t="s">
        <v>201</v>
      </c>
      <c r="F253">
        <v>150.97995</v>
      </c>
      <c r="G253">
        <v>189.41577100000001</v>
      </c>
      <c r="H253">
        <v>218.397324</v>
      </c>
      <c r="I253">
        <v>236.57075499999999</v>
      </c>
      <c r="J253">
        <v>251.664703</v>
      </c>
      <c r="K253">
        <v>261.595215</v>
      </c>
      <c r="L253">
        <v>269.52786300000002</v>
      </c>
      <c r="M253">
        <v>276.52914399999997</v>
      </c>
      <c r="N253">
        <v>283.311218</v>
      </c>
      <c r="O253">
        <v>289.19650300000001</v>
      </c>
      <c r="P253">
        <v>295.22125199999999</v>
      </c>
      <c r="Q253">
        <v>301.240814</v>
      </c>
      <c r="R253">
        <v>307.54827899999998</v>
      </c>
      <c r="S253">
        <v>314.18032799999997</v>
      </c>
      <c r="T253">
        <v>320.89300500000002</v>
      </c>
      <c r="U253">
        <v>328.12811299999998</v>
      </c>
      <c r="V253">
        <v>335.20141599999999</v>
      </c>
      <c r="W253">
        <v>342.67227200000002</v>
      </c>
      <c r="X253">
        <v>350.03781099999998</v>
      </c>
      <c r="Y253">
        <v>357.897919</v>
      </c>
      <c r="Z253">
        <v>365.842804</v>
      </c>
      <c r="AA253">
        <v>373.88610799999998</v>
      </c>
      <c r="AB253">
        <v>382.03723100000002</v>
      </c>
      <c r="AC253">
        <v>389.91238399999997</v>
      </c>
      <c r="AD253">
        <v>398.19494600000002</v>
      </c>
      <c r="AE253">
        <v>406.56213400000001</v>
      </c>
      <c r="AF253">
        <v>415.03152499999999</v>
      </c>
      <c r="AG253">
        <v>423.346497</v>
      </c>
      <c r="AH253">
        <v>431.970215</v>
      </c>
      <c r="AI253" s="22">
        <v>3.7999999999999999E-2</v>
      </c>
    </row>
    <row r="254" spans="1:36">
      <c r="A254" t="s">
        <v>112</v>
      </c>
      <c r="B254" t="s">
        <v>1658</v>
      </c>
      <c r="C254" t="s">
        <v>1659</v>
      </c>
      <c r="D254" t="s">
        <v>201</v>
      </c>
      <c r="F254">
        <v>9529.5566409999992</v>
      </c>
      <c r="G254">
        <v>10986.282227</v>
      </c>
      <c r="H254">
        <v>11967.020508</v>
      </c>
      <c r="I254">
        <v>12588.454102</v>
      </c>
      <c r="J254">
        <v>13240.217773</v>
      </c>
      <c r="K254">
        <v>13676.613281</v>
      </c>
      <c r="L254">
        <v>14066.682617</v>
      </c>
      <c r="M254">
        <v>14393.651367</v>
      </c>
      <c r="N254">
        <v>14706.369140999999</v>
      </c>
      <c r="O254">
        <v>15010.652344</v>
      </c>
      <c r="P254">
        <v>15316.361328000001</v>
      </c>
      <c r="Q254">
        <v>15605.654296999999</v>
      </c>
      <c r="R254">
        <v>15876.280273</v>
      </c>
      <c r="S254">
        <v>16141.133789</v>
      </c>
      <c r="T254">
        <v>16412.056640999999</v>
      </c>
      <c r="U254">
        <v>16690.138672000001</v>
      </c>
      <c r="V254">
        <v>16972.623047000001</v>
      </c>
      <c r="W254">
        <v>17265.216797000001</v>
      </c>
      <c r="X254">
        <v>17565.425781000002</v>
      </c>
      <c r="Y254">
        <v>17865.064452999999</v>
      </c>
      <c r="Z254">
        <v>18170.033202999999</v>
      </c>
      <c r="AA254">
        <v>18475.460938</v>
      </c>
      <c r="AB254">
        <v>18784.84375</v>
      </c>
      <c r="AC254">
        <v>19095.335938</v>
      </c>
      <c r="AD254">
        <v>19410.033202999999</v>
      </c>
      <c r="AE254">
        <v>19729.21875</v>
      </c>
      <c r="AF254">
        <v>20055.128906000002</v>
      </c>
      <c r="AG254">
        <v>20386.632812</v>
      </c>
      <c r="AH254">
        <v>20725.53125</v>
      </c>
      <c r="AI254" s="22">
        <v>2.8000000000000001E-2</v>
      </c>
    </row>
    <row r="255" spans="1:36">
      <c r="A255" t="s">
        <v>225</v>
      </c>
      <c r="B255" t="s">
        <v>226</v>
      </c>
      <c r="C255" t="s">
        <v>1660</v>
      </c>
      <c r="D255" t="s">
        <v>1661</v>
      </c>
      <c r="E255" t="s">
        <v>201</v>
      </c>
      <c r="G255">
        <v>22.421617999999999</v>
      </c>
      <c r="H255">
        <v>22.410634999999999</v>
      </c>
      <c r="I255">
        <v>22.401547999999998</v>
      </c>
      <c r="J255">
        <v>22.394031999999999</v>
      </c>
      <c r="K255">
        <v>22.387812</v>
      </c>
      <c r="L255">
        <v>22.382666</v>
      </c>
      <c r="M255">
        <v>22.378406999999999</v>
      </c>
      <c r="N255">
        <v>22.374884000000002</v>
      </c>
      <c r="O255">
        <v>22.371969</v>
      </c>
      <c r="P255">
        <v>22.369558000000001</v>
      </c>
      <c r="Q255">
        <v>22.367563000000001</v>
      </c>
      <c r="R255">
        <v>22.365911000000001</v>
      </c>
      <c r="S255">
        <v>22.364546000000001</v>
      </c>
      <c r="T255">
        <v>22.363416999999998</v>
      </c>
      <c r="U255">
        <v>22.362480000000001</v>
      </c>
      <c r="V255">
        <v>22.361708</v>
      </c>
      <c r="W255">
        <v>22.361066999999998</v>
      </c>
      <c r="X255">
        <v>22.360537999999998</v>
      </c>
      <c r="Y255">
        <v>22.360099999999999</v>
      </c>
      <c r="Z255">
        <v>22.359736999999999</v>
      </c>
      <c r="AA255">
        <v>22.359438000000001</v>
      </c>
      <c r="AB255">
        <v>22.359190000000002</v>
      </c>
      <c r="AC255">
        <v>22.358984</v>
      </c>
      <c r="AD255">
        <v>22.358813999999999</v>
      </c>
      <c r="AE255">
        <v>22.358673</v>
      </c>
      <c r="AF255">
        <v>22.358557000000001</v>
      </c>
      <c r="AG255">
        <v>22.358460999999998</v>
      </c>
      <c r="AH255">
        <v>22.358381000000001</v>
      </c>
      <c r="AI255">
        <v>22.358315000000001</v>
      </c>
      <c r="AJ255" s="22">
        <v>0</v>
      </c>
    </row>
    <row r="256" spans="1:36">
      <c r="A256" t="s">
        <v>227</v>
      </c>
      <c r="B256" t="s">
        <v>226</v>
      </c>
      <c r="C256" t="s">
        <v>1662</v>
      </c>
      <c r="D256" t="s">
        <v>1663</v>
      </c>
      <c r="E256" t="s">
        <v>201</v>
      </c>
      <c r="G256">
        <v>334.58492999999999</v>
      </c>
      <c r="H256">
        <v>336.67889400000001</v>
      </c>
      <c r="I256">
        <v>337.57522599999999</v>
      </c>
      <c r="J256">
        <v>338.34670999999997</v>
      </c>
      <c r="K256">
        <v>339.014679</v>
      </c>
      <c r="L256">
        <v>339.86090100000001</v>
      </c>
      <c r="M256">
        <v>340.826843</v>
      </c>
      <c r="N256">
        <v>341.81625400000001</v>
      </c>
      <c r="O256">
        <v>342.787781</v>
      </c>
      <c r="P256">
        <v>343.68756100000002</v>
      </c>
      <c r="Q256">
        <v>344.56802399999998</v>
      </c>
      <c r="R256">
        <v>345.41265900000002</v>
      </c>
      <c r="S256">
        <v>346.25213600000001</v>
      </c>
      <c r="T256">
        <v>347.118042</v>
      </c>
      <c r="U256">
        <v>348.09832799999998</v>
      </c>
      <c r="V256">
        <v>349.18218999999999</v>
      </c>
      <c r="W256">
        <v>350.30291699999998</v>
      </c>
      <c r="X256">
        <v>351.45941199999999</v>
      </c>
      <c r="Y256">
        <v>352.65063500000002</v>
      </c>
      <c r="Z256">
        <v>353.87274200000002</v>
      </c>
      <c r="AA256">
        <v>355.12023900000003</v>
      </c>
      <c r="AB256">
        <v>356.39163200000002</v>
      </c>
      <c r="AC256">
        <v>357.68722500000001</v>
      </c>
      <c r="AD256">
        <v>359.00518799999998</v>
      </c>
      <c r="AE256">
        <v>360.33642600000002</v>
      </c>
      <c r="AF256">
        <v>361.67889400000001</v>
      </c>
      <c r="AG256">
        <v>363.03057899999999</v>
      </c>
      <c r="AH256">
        <v>364.39047199999999</v>
      </c>
      <c r="AI256">
        <v>365.75665300000003</v>
      </c>
      <c r="AJ256" s="22">
        <v>3.0000000000000001E-3</v>
      </c>
    </row>
  </sheetData>
  <pageMargins left="0.7" right="0.7" top="0.75" bottom="0.75" header="0.3" footer="0.3"/>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D31275A-431E-495F-8596-05833EF29203}">
  <sheetPr>
    <tabColor theme="6" tint="0.79998168889431442"/>
  </sheetPr>
  <dimension ref="A1:AG4409"/>
  <sheetViews>
    <sheetView topLeftCell="B1" workbookViewId="0"/>
  </sheetViews>
  <sheetFormatPr defaultColWidth="8.7109375" defaultRowHeight="15"/>
  <cols>
    <col min="1" max="1" width="21.42578125" hidden="1" customWidth="1"/>
    <col min="2" max="2" width="46.7109375" customWidth="1"/>
  </cols>
  <sheetData>
    <row r="1" spans="1:32" ht="15" customHeight="1" thickBot="1">
      <c r="B1" s="12" t="s">
        <v>284</v>
      </c>
      <c r="C1" s="10">
        <v>2022</v>
      </c>
      <c r="D1" s="10">
        <v>2023</v>
      </c>
      <c r="E1" s="10">
        <v>2024</v>
      </c>
      <c r="F1" s="10">
        <v>2025</v>
      </c>
      <c r="G1" s="10">
        <v>2026</v>
      </c>
      <c r="H1" s="10">
        <v>2027</v>
      </c>
      <c r="I1" s="10">
        <v>2028</v>
      </c>
      <c r="J1" s="10">
        <v>2029</v>
      </c>
      <c r="K1" s="10">
        <v>2030</v>
      </c>
      <c r="L1" s="10">
        <v>2031</v>
      </c>
      <c r="M1" s="10">
        <v>2032</v>
      </c>
      <c r="N1" s="10">
        <v>2033</v>
      </c>
      <c r="O1" s="10">
        <v>2034</v>
      </c>
      <c r="P1" s="10">
        <v>2035</v>
      </c>
      <c r="Q1" s="10">
        <v>2036</v>
      </c>
      <c r="R1" s="10">
        <v>2037</v>
      </c>
      <c r="S1" s="10">
        <v>2038</v>
      </c>
      <c r="T1" s="10">
        <v>2039</v>
      </c>
      <c r="U1" s="10">
        <v>2040</v>
      </c>
      <c r="V1" s="10">
        <v>2041</v>
      </c>
      <c r="W1" s="10">
        <v>2042</v>
      </c>
      <c r="X1" s="10">
        <v>2043</v>
      </c>
      <c r="Y1" s="10">
        <v>2044</v>
      </c>
      <c r="Z1" s="10">
        <v>2045</v>
      </c>
      <c r="AA1" s="10">
        <v>2046</v>
      </c>
      <c r="AB1" s="10">
        <v>2047</v>
      </c>
      <c r="AC1" s="10">
        <v>2048</v>
      </c>
      <c r="AD1" s="10">
        <v>2049</v>
      </c>
      <c r="AE1" s="10">
        <v>2050</v>
      </c>
    </row>
    <row r="2" spans="1:32" ht="15" customHeight="1" thickTop="1"/>
    <row r="3" spans="1:32" ht="15" customHeight="1">
      <c r="C3" s="25"/>
      <c r="D3" s="6"/>
      <c r="E3" s="6"/>
      <c r="F3" s="6"/>
    </row>
    <row r="4" spans="1:32" ht="15" customHeight="1">
      <c r="C4" s="25"/>
      <c r="D4" s="6"/>
      <c r="E4" s="6"/>
      <c r="F4" s="25"/>
    </row>
    <row r="5" spans="1:32" ht="15" customHeight="1">
      <c r="C5" s="25"/>
      <c r="D5" s="6"/>
      <c r="E5" s="6"/>
      <c r="F5" s="6"/>
    </row>
    <row r="6" spans="1:32" ht="15" customHeight="1">
      <c r="C6" s="6"/>
      <c r="D6" s="25"/>
      <c r="E6" s="6"/>
      <c r="F6" s="6"/>
    </row>
    <row r="7" spans="1:32" ht="12" customHeight="1"/>
    <row r="8" spans="1:32" ht="12" customHeight="1"/>
    <row r="9" spans="1:32" ht="12" customHeight="1"/>
    <row r="10" spans="1:32" ht="15" customHeight="1">
      <c r="A10" s="7" t="s">
        <v>504</v>
      </c>
      <c r="B10" s="14" t="s">
        <v>505</v>
      </c>
      <c r="AF10" s="23" t="s">
        <v>290</v>
      </c>
    </row>
    <row r="11" spans="1:32" ht="15" customHeight="1">
      <c r="B11" s="12"/>
      <c r="AF11" s="23" t="s">
        <v>291</v>
      </c>
    </row>
    <row r="12" spans="1:32" ht="15" customHeight="1">
      <c r="B12" s="12"/>
      <c r="C12" s="3"/>
      <c r="D12" s="3"/>
      <c r="E12" s="3"/>
      <c r="F12" s="3"/>
      <c r="G12" s="3"/>
      <c r="H12" s="3"/>
      <c r="I12" s="3"/>
      <c r="J12" s="3"/>
      <c r="K12" s="3"/>
      <c r="L12" s="3"/>
      <c r="M12" s="3"/>
      <c r="N12" s="3"/>
      <c r="O12" s="3"/>
      <c r="P12" s="3"/>
      <c r="Q12" s="3"/>
      <c r="R12" s="3"/>
      <c r="S12" s="3"/>
      <c r="T12" s="3"/>
      <c r="U12" s="3"/>
      <c r="V12" s="3"/>
      <c r="W12" s="3"/>
      <c r="X12" s="3"/>
      <c r="Y12" s="3"/>
      <c r="Z12" s="3"/>
      <c r="AA12" s="3"/>
      <c r="AB12" s="3"/>
      <c r="AC12" s="3"/>
      <c r="AD12" s="3"/>
      <c r="AE12" s="3"/>
      <c r="AF12" s="23" t="s">
        <v>292</v>
      </c>
    </row>
    <row r="13" spans="1:32" ht="15" customHeight="1" thickBot="1">
      <c r="B13" s="10" t="s">
        <v>506</v>
      </c>
      <c r="C13" s="10">
        <v>2022</v>
      </c>
      <c r="D13" s="10">
        <v>2023</v>
      </c>
      <c r="E13" s="10">
        <v>2024</v>
      </c>
      <c r="F13" s="10">
        <v>2025</v>
      </c>
      <c r="G13" s="10">
        <v>2026</v>
      </c>
      <c r="H13" s="10">
        <v>2027</v>
      </c>
      <c r="I13" s="10">
        <v>2028</v>
      </c>
      <c r="J13" s="10">
        <v>2029</v>
      </c>
      <c r="K13" s="10">
        <v>2030</v>
      </c>
      <c r="L13" s="10">
        <v>2031</v>
      </c>
      <c r="M13" s="10">
        <v>2032</v>
      </c>
      <c r="N13" s="10">
        <v>2033</v>
      </c>
      <c r="O13" s="10">
        <v>2034</v>
      </c>
      <c r="P13" s="10">
        <v>2035</v>
      </c>
      <c r="Q13" s="10">
        <v>2036</v>
      </c>
      <c r="R13" s="10">
        <v>2037</v>
      </c>
      <c r="S13" s="10">
        <v>2038</v>
      </c>
      <c r="T13" s="10">
        <v>2039</v>
      </c>
      <c r="U13" s="10">
        <v>2040</v>
      </c>
      <c r="V13" s="10">
        <v>2041</v>
      </c>
      <c r="W13" s="10">
        <v>2042</v>
      </c>
      <c r="X13" s="10">
        <v>2043</v>
      </c>
      <c r="Y13" s="10">
        <v>2044</v>
      </c>
      <c r="Z13" s="10">
        <v>2045</v>
      </c>
      <c r="AA13" s="10">
        <v>2046</v>
      </c>
      <c r="AB13" s="10">
        <v>2047</v>
      </c>
      <c r="AC13" s="10">
        <v>2048</v>
      </c>
      <c r="AD13" s="10">
        <v>2049</v>
      </c>
      <c r="AE13" s="10">
        <v>2050</v>
      </c>
      <c r="AF13" s="26" t="s">
        <v>293</v>
      </c>
    </row>
    <row r="14" spans="1:32" ht="15" customHeight="1" thickTop="1">
      <c r="AF14" s="27"/>
    </row>
    <row r="15" spans="1:32" ht="15" customHeight="1">
      <c r="A15" s="7" t="s">
        <v>507</v>
      </c>
      <c r="B15" s="15" t="s">
        <v>118</v>
      </c>
      <c r="C15" s="28">
        <f>'AEO 2023 Table 47 Raw'!F6</f>
        <v>12.017455999999999</v>
      </c>
      <c r="D15" s="28">
        <f>'AEO 2023 Table 47 Raw'!G6</f>
        <v>10.142488999999999</v>
      </c>
      <c r="E15" s="28">
        <f>'AEO 2023 Table 47 Raw'!H6</f>
        <v>9.6291329999999995</v>
      </c>
      <c r="F15" s="28">
        <f>'AEO 2023 Table 47 Raw'!I6</f>
        <v>8.8153430000000004</v>
      </c>
      <c r="G15" s="28">
        <f>'AEO 2023 Table 47 Raw'!J6</f>
        <v>8.6369710000000008</v>
      </c>
      <c r="H15" s="28">
        <f>'AEO 2023 Table 47 Raw'!K6</f>
        <v>8.5386919999999993</v>
      </c>
      <c r="I15" s="28">
        <f>'AEO 2023 Table 47 Raw'!L6</f>
        <v>8.4677810000000004</v>
      </c>
      <c r="J15" s="28">
        <f>'AEO 2023 Table 47 Raw'!M6</f>
        <v>8.5231809999999992</v>
      </c>
      <c r="K15" s="28">
        <f>'AEO 2023 Table 47 Raw'!N6</f>
        <v>8.5248640000000009</v>
      </c>
      <c r="L15" s="28">
        <f>'AEO 2023 Table 47 Raw'!O6</f>
        <v>8.6209439999999997</v>
      </c>
      <c r="M15" s="28">
        <f>'AEO 2023 Table 47 Raw'!P6</f>
        <v>8.6936859999999996</v>
      </c>
      <c r="N15" s="28">
        <f>'AEO 2023 Table 47 Raw'!Q6</f>
        <v>8.7233520000000002</v>
      </c>
      <c r="O15" s="28">
        <f>'AEO 2023 Table 47 Raw'!R6</f>
        <v>8.768338</v>
      </c>
      <c r="P15" s="28">
        <f>'AEO 2023 Table 47 Raw'!S6</f>
        <v>8.8004990000000003</v>
      </c>
      <c r="Q15" s="28">
        <f>'AEO 2023 Table 47 Raw'!T6</f>
        <v>8.8639519999999994</v>
      </c>
      <c r="R15" s="28">
        <f>'AEO 2023 Table 47 Raw'!U6</f>
        <v>8.9274159999999991</v>
      </c>
      <c r="S15" s="28">
        <f>'AEO 2023 Table 47 Raw'!V6</f>
        <v>8.9745659999999994</v>
      </c>
      <c r="T15" s="28">
        <f>'AEO 2023 Table 47 Raw'!W6</f>
        <v>9.0225600000000004</v>
      </c>
      <c r="U15" s="28">
        <f>'AEO 2023 Table 47 Raw'!X6</f>
        <v>9.0468820000000001</v>
      </c>
      <c r="V15" s="28">
        <f>'AEO 2023 Table 47 Raw'!Y6</f>
        <v>9.1106800000000003</v>
      </c>
      <c r="W15" s="28">
        <f>'AEO 2023 Table 47 Raw'!Z6</f>
        <v>9.1524070000000002</v>
      </c>
      <c r="X15" s="28">
        <f>'AEO 2023 Table 47 Raw'!AA6</f>
        <v>9.2163819999999994</v>
      </c>
      <c r="Y15" s="28">
        <f>'AEO 2023 Table 47 Raw'!AB6</f>
        <v>9.2366349999999997</v>
      </c>
      <c r="Z15" s="28">
        <f>'AEO 2023 Table 47 Raw'!AC6</f>
        <v>9.2684709999999999</v>
      </c>
      <c r="AA15" s="28">
        <f>'AEO 2023 Table 47 Raw'!AD6</f>
        <v>9.2813680000000005</v>
      </c>
      <c r="AB15" s="28">
        <f>'AEO 2023 Table 47 Raw'!AE6</f>
        <v>9.3098810000000007</v>
      </c>
      <c r="AC15" s="28">
        <f>'AEO 2023 Table 47 Raw'!AF6</f>
        <v>9.3955520000000003</v>
      </c>
      <c r="AD15" s="28">
        <f>'AEO 2023 Table 47 Raw'!AG6</f>
        <v>9.359451</v>
      </c>
      <c r="AE15" s="28">
        <f>'AEO 2023 Table 47 Raw'!AH6</f>
        <v>9.3784320000000001</v>
      </c>
      <c r="AF15" s="32">
        <f>'AEO 2023 Table 47 Raw'!AI6</f>
        <v>-8.9999999999999993E-3</v>
      </c>
    </row>
    <row r="16" spans="1:32" ht="15" customHeight="1">
      <c r="AF16" s="33"/>
    </row>
    <row r="17" spans="1:32" ht="15" customHeight="1">
      <c r="B17" s="15" t="s">
        <v>117</v>
      </c>
      <c r="C17">
        <f>'AEO 2023 Table 47 Raw'!F8</f>
        <v>0.83399999999999996</v>
      </c>
      <c r="D17">
        <f>'AEO 2023 Table 47 Raw'!G8</f>
        <v>0.84161200000000003</v>
      </c>
      <c r="E17">
        <f>'AEO 2023 Table 47 Raw'!H8</f>
        <v>0.84922399999999998</v>
      </c>
      <c r="F17">
        <f>'AEO 2023 Table 47 Raw'!I8</f>
        <v>0.85819500000000004</v>
      </c>
      <c r="G17">
        <f>'AEO 2023 Table 47 Raw'!J8</f>
        <v>0.85914699999999999</v>
      </c>
      <c r="H17">
        <f>'AEO 2023 Table 47 Raw'!K8</f>
        <v>0.85999800000000004</v>
      </c>
      <c r="I17">
        <f>'AEO 2023 Table 47 Raw'!L8</f>
        <v>0.86075900000000005</v>
      </c>
      <c r="J17">
        <f>'AEO 2023 Table 47 Raw'!M8</f>
        <v>0.86144100000000001</v>
      </c>
      <c r="K17">
        <f>'AEO 2023 Table 47 Raw'!N8</f>
        <v>0.86205399999999999</v>
      </c>
      <c r="L17">
        <f>'AEO 2023 Table 47 Raw'!O8</f>
        <v>0.86260499999999996</v>
      </c>
      <c r="M17">
        <f>'AEO 2023 Table 47 Raw'!P8</f>
        <v>0.86310500000000001</v>
      </c>
      <c r="N17">
        <f>'AEO 2023 Table 47 Raw'!Q8</f>
        <v>0.86355800000000005</v>
      </c>
      <c r="O17">
        <f>'AEO 2023 Table 47 Raw'!R8</f>
        <v>0.86397199999999996</v>
      </c>
      <c r="P17">
        <f>'AEO 2023 Table 47 Raw'!S8</f>
        <v>0.86434999999999995</v>
      </c>
      <c r="Q17">
        <f>'AEO 2023 Table 47 Raw'!T8</f>
        <v>0.86469700000000005</v>
      </c>
      <c r="R17">
        <f>'AEO 2023 Table 47 Raw'!U8</f>
        <v>0.86501700000000004</v>
      </c>
      <c r="S17">
        <f>'AEO 2023 Table 47 Raw'!V8</f>
        <v>0.86531199999999997</v>
      </c>
      <c r="T17">
        <f>'AEO 2023 Table 47 Raw'!W8</f>
        <v>0.86558500000000005</v>
      </c>
      <c r="U17">
        <f>'AEO 2023 Table 47 Raw'!X8</f>
        <v>0.86587999999999998</v>
      </c>
      <c r="V17">
        <f>'AEO 2023 Table 47 Raw'!Y8</f>
        <v>0.86617599999999995</v>
      </c>
      <c r="W17">
        <f>'AEO 2023 Table 47 Raw'!Z8</f>
        <v>0.86647099999999999</v>
      </c>
      <c r="X17">
        <f>'AEO 2023 Table 47 Raw'!AA8</f>
        <v>0.86676699999999995</v>
      </c>
      <c r="Y17">
        <f>'AEO 2023 Table 47 Raw'!AB8</f>
        <v>0.867062</v>
      </c>
      <c r="Z17">
        <f>'AEO 2023 Table 47 Raw'!AC8</f>
        <v>0.86735799999999996</v>
      </c>
      <c r="AA17">
        <f>'AEO 2023 Table 47 Raw'!AD8</f>
        <v>0.86765400000000004</v>
      </c>
      <c r="AB17">
        <f>'AEO 2023 Table 47 Raw'!AE8</f>
        <v>0.86795</v>
      </c>
      <c r="AC17">
        <f>'AEO 2023 Table 47 Raw'!AF8</f>
        <v>0.86824599999999996</v>
      </c>
      <c r="AD17">
        <f>'AEO 2023 Table 47 Raw'!AG8</f>
        <v>0.86854200000000004</v>
      </c>
      <c r="AE17">
        <f>'AEO 2023 Table 47 Raw'!AH8</f>
        <v>0.868838</v>
      </c>
      <c r="AF17" s="33">
        <f>'AEO 2023 Table 47 Raw'!AI8</f>
        <v>1E-3</v>
      </c>
    </row>
    <row r="18" spans="1:32" ht="15" customHeight="1">
      <c r="A18" s="7" t="s">
        <v>508</v>
      </c>
      <c r="B18" s="16" t="s">
        <v>509</v>
      </c>
      <c r="C18" s="18">
        <f>'AEO 2023 Table 47 Raw'!F9</f>
        <v>0.75600000000000001</v>
      </c>
      <c r="D18" s="18">
        <f>'AEO 2023 Table 47 Raw'!G9</f>
        <v>0.77562600000000004</v>
      </c>
      <c r="E18" s="18">
        <f>'AEO 2023 Table 47 Raw'!H9</f>
        <v>0.79525100000000004</v>
      </c>
      <c r="F18" s="18">
        <f>'AEO 2023 Table 47 Raw'!I9</f>
        <v>0.81487699999999996</v>
      </c>
      <c r="G18" s="18">
        <f>'AEO 2023 Table 47 Raw'!J9</f>
        <v>0.81492500000000001</v>
      </c>
      <c r="H18" s="18">
        <f>'AEO 2023 Table 47 Raw'!K9</f>
        <v>0.81497399999999998</v>
      </c>
      <c r="I18" s="18">
        <f>'AEO 2023 Table 47 Raw'!L9</f>
        <v>0.81501900000000005</v>
      </c>
      <c r="J18" s="18">
        <f>'AEO 2023 Table 47 Raw'!M9</f>
        <v>0.81506400000000001</v>
      </c>
      <c r="K18" s="18">
        <f>'AEO 2023 Table 47 Raw'!N9</f>
        <v>0.81510800000000005</v>
      </c>
      <c r="L18" s="18">
        <f>'AEO 2023 Table 47 Raw'!O9</f>
        <v>0.81515000000000004</v>
      </c>
      <c r="M18" s="18">
        <f>'AEO 2023 Table 47 Raw'!P9</f>
        <v>0.81519399999999997</v>
      </c>
      <c r="N18" s="18">
        <f>'AEO 2023 Table 47 Raw'!Q9</f>
        <v>0.81523599999999996</v>
      </c>
      <c r="O18" s="18">
        <f>'AEO 2023 Table 47 Raw'!R9</f>
        <v>0.81527899999999998</v>
      </c>
      <c r="P18" s="18">
        <f>'AEO 2023 Table 47 Raw'!S9</f>
        <v>0.81532099999999996</v>
      </c>
      <c r="Q18" s="18">
        <f>'AEO 2023 Table 47 Raw'!T9</f>
        <v>0.81536399999999998</v>
      </c>
      <c r="R18" s="18">
        <f>'AEO 2023 Table 47 Raw'!U9</f>
        <v>0.81540500000000005</v>
      </c>
      <c r="S18" s="18">
        <f>'AEO 2023 Table 47 Raw'!V9</f>
        <v>0.81544499999999998</v>
      </c>
      <c r="T18" s="18">
        <f>'AEO 2023 Table 47 Raw'!W9</f>
        <v>0.81548399999999999</v>
      </c>
      <c r="U18" s="18">
        <f>'AEO 2023 Table 47 Raw'!X9</f>
        <v>0.81552400000000003</v>
      </c>
      <c r="V18" s="18">
        <f>'AEO 2023 Table 47 Raw'!Y9</f>
        <v>0.81556399999999996</v>
      </c>
      <c r="W18" s="18">
        <f>'AEO 2023 Table 47 Raw'!Z9</f>
        <v>0.815604</v>
      </c>
      <c r="X18" s="18">
        <f>'AEO 2023 Table 47 Raw'!AA9</f>
        <v>0.81564499999999995</v>
      </c>
      <c r="Y18" s="18">
        <f>'AEO 2023 Table 47 Raw'!AB9</f>
        <v>0.81568499999999999</v>
      </c>
      <c r="Z18" s="18">
        <f>'AEO 2023 Table 47 Raw'!AC9</f>
        <v>0.81572500000000003</v>
      </c>
      <c r="AA18" s="18">
        <f>'AEO 2023 Table 47 Raw'!AD9</f>
        <v>0.81576499999999996</v>
      </c>
      <c r="AB18" s="18">
        <f>'AEO 2023 Table 47 Raw'!AE9</f>
        <v>0.815805</v>
      </c>
      <c r="AC18" s="18">
        <f>'AEO 2023 Table 47 Raw'!AF9</f>
        <v>0.81584500000000004</v>
      </c>
      <c r="AD18" s="18">
        <f>'AEO 2023 Table 47 Raw'!AG9</f>
        <v>0.81588499999999997</v>
      </c>
      <c r="AE18" s="18">
        <f>'AEO 2023 Table 47 Raw'!AH9</f>
        <v>0.81592600000000004</v>
      </c>
      <c r="AF18" s="30">
        <f>'AEO 2023 Table 47 Raw'!AI9</f>
        <v>3.0000000000000001E-3</v>
      </c>
    </row>
    <row r="19" spans="1:32" ht="15" customHeight="1">
      <c r="A19" s="7" t="s">
        <v>510</v>
      </c>
      <c r="B19" s="16" t="s">
        <v>511</v>
      </c>
      <c r="C19" s="18">
        <f>'AEO 2023 Table 47 Raw'!F10</f>
        <v>0</v>
      </c>
      <c r="D19" s="18">
        <f>'AEO 2023 Table 47 Raw'!G10</f>
        <v>0</v>
      </c>
      <c r="E19" s="18">
        <f>'AEO 2023 Table 47 Raw'!H10</f>
        <v>0</v>
      </c>
      <c r="F19" s="18">
        <f>'AEO 2023 Table 47 Raw'!I10</f>
        <v>0</v>
      </c>
      <c r="G19" s="18">
        <f>'AEO 2023 Table 47 Raw'!J10</f>
        <v>0</v>
      </c>
      <c r="H19" s="18">
        <f>'AEO 2023 Table 47 Raw'!K10</f>
        <v>0</v>
      </c>
      <c r="I19" s="18">
        <f>'AEO 2023 Table 47 Raw'!L10</f>
        <v>0</v>
      </c>
      <c r="J19" s="18">
        <f>'AEO 2023 Table 47 Raw'!M10</f>
        <v>0</v>
      </c>
      <c r="K19" s="18">
        <f>'AEO 2023 Table 47 Raw'!N10</f>
        <v>0</v>
      </c>
      <c r="L19" s="18">
        <f>'AEO 2023 Table 47 Raw'!O10</f>
        <v>0</v>
      </c>
      <c r="M19" s="18">
        <f>'AEO 2023 Table 47 Raw'!P10</f>
        <v>0</v>
      </c>
      <c r="N19" s="18">
        <f>'AEO 2023 Table 47 Raw'!Q10</f>
        <v>0</v>
      </c>
      <c r="O19" s="18">
        <f>'AEO 2023 Table 47 Raw'!R10</f>
        <v>0</v>
      </c>
      <c r="P19" s="18">
        <f>'AEO 2023 Table 47 Raw'!S10</f>
        <v>0</v>
      </c>
      <c r="Q19" s="18">
        <f>'AEO 2023 Table 47 Raw'!T10</f>
        <v>0</v>
      </c>
      <c r="R19" s="18">
        <f>'AEO 2023 Table 47 Raw'!U10</f>
        <v>0</v>
      </c>
      <c r="S19" s="18">
        <f>'AEO 2023 Table 47 Raw'!V10</f>
        <v>0</v>
      </c>
      <c r="T19" s="18">
        <f>'AEO 2023 Table 47 Raw'!W10</f>
        <v>0</v>
      </c>
      <c r="U19" s="18">
        <f>'AEO 2023 Table 47 Raw'!X10</f>
        <v>0</v>
      </c>
      <c r="V19" s="18">
        <f>'AEO 2023 Table 47 Raw'!Y10</f>
        <v>0</v>
      </c>
      <c r="W19" s="18">
        <f>'AEO 2023 Table 47 Raw'!Z10</f>
        <v>0</v>
      </c>
      <c r="X19" s="18">
        <f>'AEO 2023 Table 47 Raw'!AA10</f>
        <v>0</v>
      </c>
      <c r="Y19" s="18">
        <f>'AEO 2023 Table 47 Raw'!AB10</f>
        <v>0</v>
      </c>
      <c r="Z19" s="18">
        <f>'AEO 2023 Table 47 Raw'!AC10</f>
        <v>0</v>
      </c>
      <c r="AA19" s="18">
        <f>'AEO 2023 Table 47 Raw'!AD10</f>
        <v>0</v>
      </c>
      <c r="AB19" s="18">
        <f>'AEO 2023 Table 47 Raw'!AE10</f>
        <v>0</v>
      </c>
      <c r="AC19" s="18">
        <f>'AEO 2023 Table 47 Raw'!AF10</f>
        <v>0</v>
      </c>
      <c r="AD19" s="18">
        <f>'AEO 2023 Table 47 Raw'!AG10</f>
        <v>0</v>
      </c>
      <c r="AE19" s="18">
        <f>'AEO 2023 Table 47 Raw'!AH10</f>
        <v>0</v>
      </c>
      <c r="AF19" s="30">
        <f>'AEO 2023 Table 47 Raw'!AI10</f>
        <v>0</v>
      </c>
    </row>
    <row r="20" spans="1:32" ht="15" customHeight="1">
      <c r="A20" s="7" t="s">
        <v>512</v>
      </c>
      <c r="B20" s="16" t="s">
        <v>513</v>
      </c>
      <c r="C20" s="18">
        <f>'AEO 2023 Table 47 Raw'!F11</f>
        <v>0</v>
      </c>
      <c r="D20" s="18">
        <f>'AEO 2023 Table 47 Raw'!G11</f>
        <v>0</v>
      </c>
      <c r="E20" s="18">
        <f>'AEO 2023 Table 47 Raw'!H11</f>
        <v>0</v>
      </c>
      <c r="F20" s="18">
        <f>'AEO 2023 Table 47 Raw'!I11</f>
        <v>0</v>
      </c>
      <c r="G20" s="18">
        <f>'AEO 2023 Table 47 Raw'!J11</f>
        <v>0</v>
      </c>
      <c r="H20" s="18">
        <f>'AEO 2023 Table 47 Raw'!K11</f>
        <v>0</v>
      </c>
      <c r="I20" s="18">
        <f>'AEO 2023 Table 47 Raw'!L11</f>
        <v>0</v>
      </c>
      <c r="J20" s="18">
        <f>'AEO 2023 Table 47 Raw'!M11</f>
        <v>0</v>
      </c>
      <c r="K20" s="18">
        <f>'AEO 2023 Table 47 Raw'!N11</f>
        <v>0</v>
      </c>
      <c r="L20" s="18">
        <f>'AEO 2023 Table 47 Raw'!O11</f>
        <v>0</v>
      </c>
      <c r="M20" s="18">
        <f>'AEO 2023 Table 47 Raw'!P11</f>
        <v>0</v>
      </c>
      <c r="N20" s="18">
        <f>'AEO 2023 Table 47 Raw'!Q11</f>
        <v>0</v>
      </c>
      <c r="O20" s="18">
        <f>'AEO 2023 Table 47 Raw'!R11</f>
        <v>0</v>
      </c>
      <c r="P20" s="18">
        <f>'AEO 2023 Table 47 Raw'!S11</f>
        <v>0</v>
      </c>
      <c r="Q20" s="18">
        <f>'AEO 2023 Table 47 Raw'!T11</f>
        <v>0</v>
      </c>
      <c r="R20" s="18">
        <f>'AEO 2023 Table 47 Raw'!U11</f>
        <v>0</v>
      </c>
      <c r="S20" s="18">
        <f>'AEO 2023 Table 47 Raw'!V11</f>
        <v>0</v>
      </c>
      <c r="T20" s="18">
        <f>'AEO 2023 Table 47 Raw'!W11</f>
        <v>0</v>
      </c>
      <c r="U20" s="18">
        <f>'AEO 2023 Table 47 Raw'!X11</f>
        <v>0</v>
      </c>
      <c r="V20" s="18">
        <f>'AEO 2023 Table 47 Raw'!Y11</f>
        <v>0</v>
      </c>
      <c r="W20" s="18">
        <f>'AEO 2023 Table 47 Raw'!Z11</f>
        <v>0</v>
      </c>
      <c r="X20" s="18">
        <f>'AEO 2023 Table 47 Raw'!AA11</f>
        <v>0</v>
      </c>
      <c r="Y20" s="18">
        <f>'AEO 2023 Table 47 Raw'!AB11</f>
        <v>0</v>
      </c>
      <c r="Z20" s="18">
        <f>'AEO 2023 Table 47 Raw'!AC11</f>
        <v>0</v>
      </c>
      <c r="AA20" s="18">
        <f>'AEO 2023 Table 47 Raw'!AD11</f>
        <v>0</v>
      </c>
      <c r="AB20" s="18">
        <f>'AEO 2023 Table 47 Raw'!AE11</f>
        <v>0</v>
      </c>
      <c r="AC20" s="18">
        <f>'AEO 2023 Table 47 Raw'!AF11</f>
        <v>0</v>
      </c>
      <c r="AD20" s="18">
        <f>'AEO 2023 Table 47 Raw'!AG11</f>
        <v>0</v>
      </c>
      <c r="AE20" s="18">
        <f>'AEO 2023 Table 47 Raw'!AH11</f>
        <v>0</v>
      </c>
      <c r="AF20" s="30">
        <f>'AEO 2023 Table 47 Raw'!AI11</f>
        <v>0</v>
      </c>
    </row>
    <row r="21" spans="1:32" ht="15" customHeight="1">
      <c r="AF21" s="33"/>
    </row>
    <row r="22" spans="1:32" ht="15" customHeight="1">
      <c r="B22" s="15" t="s">
        <v>116</v>
      </c>
      <c r="AF22" s="33"/>
    </row>
    <row r="23" spans="1:32" ht="15" customHeight="1">
      <c r="A23" s="7" t="s">
        <v>514</v>
      </c>
      <c r="B23" s="16" t="s">
        <v>515</v>
      </c>
      <c r="C23" s="19">
        <f>'AEO 2023 Table 47 Raw'!F12</f>
        <v>333.07171599999998</v>
      </c>
      <c r="D23" s="19">
        <f>'AEO 2023 Table 47 Raw'!G12</f>
        <v>334.15060399999999</v>
      </c>
      <c r="E23" s="19">
        <f>'AEO 2023 Table 47 Raw'!H12</f>
        <v>335.301514</v>
      </c>
      <c r="F23" s="19">
        <f>'AEO 2023 Table 47 Raw'!I12</f>
        <v>336.492188</v>
      </c>
      <c r="G23" s="19">
        <f>'AEO 2023 Table 47 Raw'!J12</f>
        <v>337.68255599999998</v>
      </c>
      <c r="H23" s="19">
        <f>'AEO 2023 Table 47 Raw'!K12</f>
        <v>338.87805200000003</v>
      </c>
      <c r="I23" s="19">
        <f>'AEO 2023 Table 47 Raw'!L12</f>
        <v>340.07302900000002</v>
      </c>
      <c r="J23" s="19">
        <f>'AEO 2023 Table 47 Raw'!M12</f>
        <v>341.25787400000002</v>
      </c>
      <c r="K23" s="19">
        <f>'AEO 2023 Table 47 Raw'!N12</f>
        <v>342.43310500000001</v>
      </c>
      <c r="L23" s="19">
        <f>'AEO 2023 Table 47 Raw'!O12</f>
        <v>343.56900000000002</v>
      </c>
      <c r="M23" s="19">
        <f>'AEO 2023 Table 47 Raw'!P12</f>
        <v>344.657715</v>
      </c>
      <c r="N23" s="19">
        <f>'AEO 2023 Table 47 Raw'!Q12</f>
        <v>345.69821200000001</v>
      </c>
      <c r="O23" s="19">
        <f>'AEO 2023 Table 47 Raw'!R12</f>
        <v>346.68133499999999</v>
      </c>
      <c r="P23" s="19">
        <f>'AEO 2023 Table 47 Raw'!S12</f>
        <v>347.60263099999997</v>
      </c>
      <c r="Q23" s="19">
        <f>'AEO 2023 Table 47 Raw'!T12</f>
        <v>348.45822099999998</v>
      </c>
      <c r="R23" s="19">
        <f>'AEO 2023 Table 47 Raw'!U12</f>
        <v>349.248199</v>
      </c>
      <c r="S23" s="19">
        <f>'AEO 2023 Table 47 Raw'!V12</f>
        <v>349.97842400000002</v>
      </c>
      <c r="T23" s="19">
        <f>'AEO 2023 Table 47 Raw'!W12</f>
        <v>350.65200800000002</v>
      </c>
      <c r="U23" s="19">
        <f>'AEO 2023 Table 47 Raw'!X12</f>
        <v>351.27362099999999</v>
      </c>
      <c r="V23" s="19">
        <f>'AEO 2023 Table 47 Raw'!Y12</f>
        <v>351.850616</v>
      </c>
      <c r="W23" s="19">
        <f>'AEO 2023 Table 47 Raw'!Z12</f>
        <v>352.390625</v>
      </c>
      <c r="X23" s="19">
        <f>'AEO 2023 Table 47 Raw'!AA12</f>
        <v>352.89798000000002</v>
      </c>
      <c r="Y23" s="19">
        <f>'AEO 2023 Table 47 Raw'!AB12</f>
        <v>353.37573200000003</v>
      </c>
      <c r="Z23" s="19">
        <f>'AEO 2023 Table 47 Raw'!AC12</f>
        <v>353.82507299999997</v>
      </c>
      <c r="AA23" s="19">
        <f>'AEO 2023 Table 47 Raw'!AD12</f>
        <v>354.24816900000002</v>
      </c>
      <c r="AB23" s="19">
        <f>'AEO 2023 Table 47 Raw'!AE12</f>
        <v>354.651794</v>
      </c>
      <c r="AC23" s="19">
        <f>'AEO 2023 Table 47 Raw'!AF12</f>
        <v>355.03872699999999</v>
      </c>
      <c r="AD23" s="19">
        <f>'AEO 2023 Table 47 Raw'!AG12</f>
        <v>355.40960699999999</v>
      </c>
      <c r="AE23" s="19">
        <f>'AEO 2023 Table 47 Raw'!AH12</f>
        <v>355.767944</v>
      </c>
      <c r="AF23" s="30">
        <f>'AEO 2023 Table 47 Raw'!AI12</f>
        <v>2E-3</v>
      </c>
    </row>
    <row r="24" spans="1:32" ht="15" customHeight="1">
      <c r="A24" s="7" t="s">
        <v>516</v>
      </c>
      <c r="B24" s="16" t="s">
        <v>517</v>
      </c>
      <c r="C24" s="19">
        <f>'AEO 2023 Table 47 Raw'!F13</f>
        <v>38.694321000000002</v>
      </c>
      <c r="D24" s="19">
        <f>'AEO 2023 Table 47 Raw'!G13</f>
        <v>39.102600000000002</v>
      </c>
      <c r="E24" s="19">
        <f>'AEO 2023 Table 47 Raw'!H13</f>
        <v>39.509079</v>
      </c>
      <c r="F24" s="19">
        <f>'AEO 2023 Table 47 Raw'!I13</f>
        <v>39.913521000000003</v>
      </c>
      <c r="G24" s="19">
        <f>'AEO 2023 Table 47 Raw'!J13</f>
        <v>40.315201000000002</v>
      </c>
      <c r="H24" s="19">
        <f>'AEO 2023 Table 47 Raw'!K13</f>
        <v>40.713901999999997</v>
      </c>
      <c r="I24" s="19">
        <f>'AEO 2023 Table 47 Raw'!L13</f>
        <v>41.109200000000001</v>
      </c>
      <c r="J24" s="19">
        <f>'AEO 2023 Table 47 Raw'!M13</f>
        <v>41.500670999999997</v>
      </c>
      <c r="K24" s="19">
        <f>'AEO 2023 Table 47 Raw'!N13</f>
        <v>41.888100000000001</v>
      </c>
      <c r="L24" s="19">
        <f>'AEO 2023 Table 47 Raw'!O13</f>
        <v>42.271000000000001</v>
      </c>
      <c r="M24" s="19">
        <f>'AEO 2023 Table 47 Raw'!P13</f>
        <v>42.649299999999997</v>
      </c>
      <c r="N24" s="19">
        <f>'AEO 2023 Table 47 Raw'!Q13</f>
        <v>43.022799999999997</v>
      </c>
      <c r="O24" s="19">
        <f>'AEO 2023 Table 47 Raw'!R13</f>
        <v>43.391499000000003</v>
      </c>
      <c r="P24" s="19">
        <f>'AEO 2023 Table 47 Raw'!S13</f>
        <v>43.755501000000002</v>
      </c>
      <c r="Q24" s="19">
        <f>'AEO 2023 Table 47 Raw'!T13</f>
        <v>44.114730999999999</v>
      </c>
      <c r="R24" s="19">
        <f>'AEO 2023 Table 47 Raw'!U13</f>
        <v>44.469397999999998</v>
      </c>
      <c r="S24" s="19">
        <f>'AEO 2023 Table 47 Raw'!V13</f>
        <v>44.819481000000003</v>
      </c>
      <c r="T24" s="19">
        <f>'AEO 2023 Table 47 Raw'!W13</f>
        <v>45.165298</v>
      </c>
      <c r="U24" s="19">
        <f>'AEO 2023 Table 47 Raw'!X13</f>
        <v>45.506802</v>
      </c>
      <c r="V24" s="19">
        <f>'AEO 2023 Table 47 Raw'!Y13</f>
        <v>45.843879999999999</v>
      </c>
      <c r="W24" s="19">
        <f>'AEO 2023 Table 47 Raw'!Z13</f>
        <v>46.176898999999999</v>
      </c>
      <c r="X24" s="19">
        <f>'AEO 2023 Table 47 Raw'!AA13</f>
        <v>46.505600000000001</v>
      </c>
      <c r="Y24" s="19">
        <f>'AEO 2023 Table 47 Raw'!AB13</f>
        <v>46.831772000000001</v>
      </c>
      <c r="Z24" s="19">
        <f>'AEO 2023 Table 47 Raw'!AC13</f>
        <v>47.156199999999998</v>
      </c>
      <c r="AA24" s="19">
        <f>'AEO 2023 Table 47 Raw'!AD13</f>
        <v>47.479069000000003</v>
      </c>
      <c r="AB24" s="19">
        <f>'AEO 2023 Table 47 Raw'!AE13</f>
        <v>47.800800000000002</v>
      </c>
      <c r="AC24" s="19">
        <f>'AEO 2023 Table 47 Raw'!AF13</f>
        <v>48.121670000000002</v>
      </c>
      <c r="AD24" s="19">
        <f>'AEO 2023 Table 47 Raw'!AG13</f>
        <v>48.442321999999997</v>
      </c>
      <c r="AE24" s="19">
        <f>'AEO 2023 Table 47 Raw'!AH13</f>
        <v>48.763081</v>
      </c>
      <c r="AF24" s="30">
        <f>'AEO 2023 Table 47 Raw'!AI13</f>
        <v>8.0000000000000002E-3</v>
      </c>
    </row>
    <row r="25" spans="1:32" ht="15" customHeight="1">
      <c r="AF25" s="33"/>
    </row>
    <row r="26" spans="1:32" ht="15" customHeight="1">
      <c r="B26" s="15" t="s">
        <v>115</v>
      </c>
      <c r="AF26" s="33"/>
    </row>
    <row r="27" spans="1:32" ht="15" customHeight="1">
      <c r="B27" s="15" t="s">
        <v>518</v>
      </c>
      <c r="AF27" s="33"/>
    </row>
    <row r="28" spans="1:32" ht="15" customHeight="1">
      <c r="A28" s="7" t="s">
        <v>519</v>
      </c>
      <c r="B28" s="16" t="s">
        <v>520</v>
      </c>
      <c r="C28" s="17">
        <f>'AEO 2023 Table 47 Raw'!F16</f>
        <v>125.59050000000001</v>
      </c>
      <c r="D28" s="17">
        <f>'AEO 2023 Table 47 Raw'!G16</f>
        <v>125.10549899999999</v>
      </c>
      <c r="E28" s="17">
        <f>'AEO 2023 Table 47 Raw'!H16</f>
        <v>124.587502</v>
      </c>
      <c r="F28" s="17">
        <f>'AEO 2023 Table 47 Raw'!I16</f>
        <v>124.038498</v>
      </c>
      <c r="G28" s="17">
        <f>'AEO 2023 Table 47 Raw'!J16</f>
        <v>123.461304</v>
      </c>
      <c r="H28" s="17">
        <f>'AEO 2023 Table 47 Raw'!K16</f>
        <v>122.858299</v>
      </c>
      <c r="I28" s="17">
        <f>'AEO 2023 Table 47 Raw'!L16</f>
        <v>122.231796</v>
      </c>
      <c r="J28" s="17">
        <f>'AEO 2023 Table 47 Raw'!M16</f>
        <v>121.584999</v>
      </c>
      <c r="K28" s="17">
        <f>'AEO 2023 Table 47 Raw'!N16</f>
        <v>120.91950199999999</v>
      </c>
      <c r="L28" s="17">
        <f>'AEO 2023 Table 47 Raw'!O16</f>
        <v>120.237801</v>
      </c>
      <c r="M28" s="17">
        <f>'AEO 2023 Table 47 Raw'!P16</f>
        <v>119.54180100000001</v>
      </c>
      <c r="N28" s="17">
        <f>'AEO 2023 Table 47 Raw'!Q16</f>
        <v>118.832497</v>
      </c>
      <c r="O28" s="17">
        <f>'AEO 2023 Table 47 Raw'!R16</f>
        <v>118.113297</v>
      </c>
      <c r="P28" s="17">
        <f>'AEO 2023 Table 47 Raw'!S16</f>
        <v>117.385002</v>
      </c>
      <c r="Q28" s="17">
        <f>'AEO 2023 Table 47 Raw'!T16</f>
        <v>116.648499</v>
      </c>
      <c r="R28" s="17">
        <f>'AEO 2023 Table 47 Raw'!U16</f>
        <v>115.9058</v>
      </c>
      <c r="S28" s="17">
        <f>'AEO 2023 Table 47 Raw'!V16</f>
        <v>115.157799</v>
      </c>
      <c r="T28" s="17">
        <f>'AEO 2023 Table 47 Raw'!W16</f>
        <v>114.4058</v>
      </c>
      <c r="U28" s="17">
        <f>'AEO 2023 Table 47 Raw'!X16</f>
        <v>113.650497</v>
      </c>
      <c r="V28" s="17">
        <f>'AEO 2023 Table 47 Raw'!Y16</f>
        <v>112.893997</v>
      </c>
      <c r="W28" s="17">
        <f>'AEO 2023 Table 47 Raw'!Z16</f>
        <v>112.136803</v>
      </c>
      <c r="X28" s="17">
        <f>'AEO 2023 Table 47 Raw'!AA16</f>
        <v>111.37979900000001</v>
      </c>
      <c r="Y28" s="17">
        <f>'AEO 2023 Table 47 Raw'!AB16</f>
        <v>110.624802</v>
      </c>
      <c r="Z28" s="17">
        <f>'AEO 2023 Table 47 Raw'!AC16</f>
        <v>109.871002</v>
      </c>
      <c r="AA28" s="17">
        <f>'AEO 2023 Table 47 Raw'!AD16</f>
        <v>109.120003</v>
      </c>
      <c r="AB28" s="17">
        <f>'AEO 2023 Table 47 Raw'!AE16</f>
        <v>108.371803</v>
      </c>
      <c r="AC28" s="17">
        <f>'AEO 2023 Table 47 Raw'!AF16</f>
        <v>107.62599899999999</v>
      </c>
      <c r="AD28" s="17">
        <f>'AEO 2023 Table 47 Raw'!AG16</f>
        <v>106.882301</v>
      </c>
      <c r="AE28" s="17">
        <f>'AEO 2023 Table 47 Raw'!AH16</f>
        <v>106.140297</v>
      </c>
      <c r="AF28" s="30">
        <f>'AEO 2023 Table 47 Raw'!AI16</f>
        <v>-6.0000000000000001E-3</v>
      </c>
    </row>
    <row r="29" spans="1:32" ht="15" customHeight="1">
      <c r="A29" s="7" t="s">
        <v>521</v>
      </c>
      <c r="B29" s="16" t="s">
        <v>522</v>
      </c>
      <c r="C29" s="17">
        <f>'AEO 2023 Table 47 Raw'!F17</f>
        <v>31.123239999999999</v>
      </c>
      <c r="D29" s="17">
        <f>'AEO 2023 Table 47 Raw'!G17</f>
        <v>31.552336</v>
      </c>
      <c r="E29" s="17">
        <f>'AEO 2023 Table 47 Raw'!H17</f>
        <v>31.987663000000001</v>
      </c>
      <c r="F29" s="17">
        <f>'AEO 2023 Table 47 Raw'!I17</f>
        <v>32.409657000000003</v>
      </c>
      <c r="G29" s="17">
        <f>'AEO 2023 Table 47 Raw'!J17</f>
        <v>32.829383999999997</v>
      </c>
      <c r="H29" s="17">
        <f>'AEO 2023 Table 47 Raw'!K17</f>
        <v>33.245941000000002</v>
      </c>
      <c r="I29" s="17">
        <f>'AEO 2023 Table 47 Raw'!L17</f>
        <v>33.658962000000002</v>
      </c>
      <c r="J29" s="17">
        <f>'AEO 2023 Table 47 Raw'!M17</f>
        <v>34.068351999999997</v>
      </c>
      <c r="K29" s="17">
        <f>'AEO 2023 Table 47 Raw'!N17</f>
        <v>34.474316000000002</v>
      </c>
      <c r="L29" s="17">
        <f>'AEO 2023 Table 47 Raw'!O17</f>
        <v>34.877040999999998</v>
      </c>
      <c r="M29" s="17">
        <f>'AEO 2023 Table 47 Raw'!P17</f>
        <v>35.276363000000003</v>
      </c>
      <c r="N29" s="17">
        <f>'AEO 2023 Table 47 Raw'!Q17</f>
        <v>35.672787</v>
      </c>
      <c r="O29" s="17">
        <f>'AEO 2023 Table 47 Raw'!R17</f>
        <v>36.066764999999997</v>
      </c>
      <c r="P29" s="17">
        <f>'AEO 2023 Table 47 Raw'!S17</f>
        <v>36.458548999999998</v>
      </c>
      <c r="Q29" s="17">
        <f>'AEO 2023 Table 47 Raw'!T17</f>
        <v>36.848582999999998</v>
      </c>
      <c r="R29" s="17">
        <f>'AEO 2023 Table 47 Raw'!U17</f>
        <v>37.237124999999999</v>
      </c>
      <c r="S29" s="17">
        <f>'AEO 2023 Table 47 Raw'!V17</f>
        <v>37.624454</v>
      </c>
      <c r="T29" s="17">
        <f>'AEO 2023 Table 47 Raw'!W17</f>
        <v>38.010421999999998</v>
      </c>
      <c r="U29" s="17">
        <f>'AEO 2023 Table 47 Raw'!X17</f>
        <v>38.394981000000001</v>
      </c>
      <c r="V29" s="17">
        <f>'AEO 2023 Table 47 Raw'!Y17</f>
        <v>38.777881999999998</v>
      </c>
      <c r="W29" s="17">
        <f>'AEO 2023 Table 47 Raw'!Z17</f>
        <v>39.158962000000002</v>
      </c>
      <c r="X29" s="17">
        <f>'AEO 2023 Table 47 Raw'!AA17</f>
        <v>39.537841999999998</v>
      </c>
      <c r="Y29" s="17">
        <f>'AEO 2023 Table 47 Raw'!AB17</f>
        <v>39.914402000000003</v>
      </c>
      <c r="Z29" s="17">
        <f>'AEO 2023 Table 47 Raw'!AC17</f>
        <v>40.288212000000001</v>
      </c>
      <c r="AA29" s="17">
        <f>'AEO 2023 Table 47 Raw'!AD17</f>
        <v>40.659004000000003</v>
      </c>
      <c r="AB29" s="17">
        <f>'AEO 2023 Table 47 Raw'!AE17</f>
        <v>41.026546000000003</v>
      </c>
      <c r="AC29" s="17">
        <f>'AEO 2023 Table 47 Raw'!AF17</f>
        <v>41.390678000000001</v>
      </c>
      <c r="AD29" s="17">
        <f>'AEO 2023 Table 47 Raw'!AG17</f>
        <v>41.751362</v>
      </c>
      <c r="AE29" s="17">
        <f>'AEO 2023 Table 47 Raw'!AH17</f>
        <v>42.10857</v>
      </c>
      <c r="AF29" s="30">
        <f>'AEO 2023 Table 47 Raw'!AI17</f>
        <v>1.0999999999999999E-2</v>
      </c>
    </row>
    <row r="30" spans="1:32" ht="15" customHeight="1">
      <c r="A30" s="7" t="s">
        <v>523</v>
      </c>
      <c r="B30" s="16" t="s">
        <v>524</v>
      </c>
      <c r="C30" s="17">
        <f>'AEO 2023 Table 47 Raw'!F18</f>
        <v>51.338450999999999</v>
      </c>
      <c r="D30" s="17">
        <f>'AEO 2023 Table 47 Raw'!G18</f>
        <v>51.348171000000001</v>
      </c>
      <c r="E30" s="17">
        <f>'AEO 2023 Table 47 Raw'!H18</f>
        <v>51.347050000000003</v>
      </c>
      <c r="F30" s="17">
        <f>'AEO 2023 Table 47 Raw'!I18</f>
        <v>51.337631000000002</v>
      </c>
      <c r="G30" s="17">
        <f>'AEO 2023 Table 47 Raw'!J18</f>
        <v>51.319881000000002</v>
      </c>
      <c r="H30" s="17">
        <f>'AEO 2023 Table 47 Raw'!K18</f>
        <v>51.29213</v>
      </c>
      <c r="I30" s="17">
        <f>'AEO 2023 Table 47 Raw'!L18</f>
        <v>51.253830000000001</v>
      </c>
      <c r="J30" s="17">
        <f>'AEO 2023 Table 47 Raw'!M18</f>
        <v>51.20438</v>
      </c>
      <c r="K30" s="17">
        <f>'AEO 2023 Table 47 Raw'!N18</f>
        <v>51.143799000000001</v>
      </c>
      <c r="L30" s="17">
        <f>'AEO 2023 Table 47 Raw'!O18</f>
        <v>51.07423</v>
      </c>
      <c r="M30" s="17">
        <f>'AEO 2023 Table 47 Raw'!P18</f>
        <v>50.995398999999999</v>
      </c>
      <c r="N30" s="17">
        <f>'AEO 2023 Table 47 Raw'!Q18</f>
        <v>50.903751</v>
      </c>
      <c r="O30" s="17">
        <f>'AEO 2023 Table 47 Raw'!R18</f>
        <v>50.795448</v>
      </c>
      <c r="P30" s="17">
        <f>'AEO 2023 Table 47 Raw'!S18</f>
        <v>50.667171000000003</v>
      </c>
      <c r="Q30" s="17">
        <f>'AEO 2023 Table 47 Raw'!T18</f>
        <v>50.518929</v>
      </c>
      <c r="R30" s="17">
        <f>'AEO 2023 Table 47 Raw'!U18</f>
        <v>50.352901000000003</v>
      </c>
      <c r="S30" s="17">
        <f>'AEO 2023 Table 47 Raw'!V18</f>
        <v>50.169829999999997</v>
      </c>
      <c r="T30" s="17">
        <f>'AEO 2023 Table 47 Raw'!W18</f>
        <v>49.970500999999999</v>
      </c>
      <c r="U30" s="17">
        <f>'AEO 2023 Table 47 Raw'!X18</f>
        <v>49.755482000000001</v>
      </c>
      <c r="V30" s="17">
        <f>'AEO 2023 Table 47 Raw'!Y18</f>
        <v>49.523800000000001</v>
      </c>
      <c r="W30" s="17">
        <f>'AEO 2023 Table 47 Raw'!Z18</f>
        <v>49.275317999999999</v>
      </c>
      <c r="X30" s="17">
        <f>'AEO 2023 Table 47 Raw'!AA18</f>
        <v>49.011378999999998</v>
      </c>
      <c r="Y30" s="17">
        <f>'AEO 2023 Table 47 Raw'!AB18</f>
        <v>48.733330000000002</v>
      </c>
      <c r="Z30" s="17">
        <f>'AEO 2023 Table 47 Raw'!AC18</f>
        <v>48.442248999999997</v>
      </c>
      <c r="AA30" s="17">
        <f>'AEO 2023 Table 47 Raw'!AD18</f>
        <v>48.137829000000004</v>
      </c>
      <c r="AB30" s="17">
        <f>'AEO 2023 Table 47 Raw'!AE18</f>
        <v>47.819248000000002</v>
      </c>
      <c r="AC30" s="17">
        <f>'AEO 2023 Table 47 Raw'!AF18</f>
        <v>47.487099000000001</v>
      </c>
      <c r="AD30" s="17">
        <f>'AEO 2023 Table 47 Raw'!AG18</f>
        <v>47.141972000000003</v>
      </c>
      <c r="AE30" s="17">
        <f>'AEO 2023 Table 47 Raw'!AH18</f>
        <v>46.783932</v>
      </c>
      <c r="AF30" s="30">
        <f>'AEO 2023 Table 47 Raw'!AI18</f>
        <v>-3.0000000000000001E-3</v>
      </c>
    </row>
    <row r="31" spans="1:32" ht="15" customHeight="1">
      <c r="A31" s="7" t="s">
        <v>525</v>
      </c>
      <c r="B31" s="16" t="s">
        <v>526</v>
      </c>
      <c r="C31" s="17">
        <f>'AEO 2023 Table 47 Raw'!F19</f>
        <v>145.765793</v>
      </c>
      <c r="D31" s="17">
        <f>'AEO 2023 Table 47 Raw'!G19</f>
        <v>145.581299</v>
      </c>
      <c r="E31" s="17">
        <f>'AEO 2023 Table 47 Raw'!H19</f>
        <v>145.35380599999999</v>
      </c>
      <c r="F31" s="17">
        <f>'AEO 2023 Table 47 Raw'!I19</f>
        <v>145.098007</v>
      </c>
      <c r="G31" s="17">
        <f>'AEO 2023 Table 47 Raw'!J19</f>
        <v>144.80479399999999</v>
      </c>
      <c r="H31" s="17">
        <f>'AEO 2023 Table 47 Raw'!K19</f>
        <v>144.464493</v>
      </c>
      <c r="I31" s="17">
        <f>'AEO 2023 Table 47 Raw'!L19</f>
        <v>144.09150700000001</v>
      </c>
      <c r="J31" s="17">
        <f>'AEO 2023 Table 47 Raw'!M19</f>
        <v>143.69850199999999</v>
      </c>
      <c r="K31" s="17">
        <f>'AEO 2023 Table 47 Raw'!N19</f>
        <v>143.296494</v>
      </c>
      <c r="L31" s="17">
        <f>'AEO 2023 Table 47 Raw'!O19</f>
        <v>142.87550400000001</v>
      </c>
      <c r="M31" s="17">
        <f>'AEO 2023 Table 47 Raw'!P19</f>
        <v>142.430801</v>
      </c>
      <c r="N31" s="17">
        <f>'AEO 2023 Table 47 Raw'!Q19</f>
        <v>141.97500600000001</v>
      </c>
      <c r="O31" s="17">
        <f>'AEO 2023 Table 47 Raw'!R19</f>
        <v>141.520996</v>
      </c>
      <c r="P31" s="17">
        <f>'AEO 2023 Table 47 Raw'!S19</f>
        <v>141.079498</v>
      </c>
      <c r="Q31" s="17">
        <f>'AEO 2023 Table 47 Raw'!T19</f>
        <v>140.645996</v>
      </c>
      <c r="R31" s="17">
        <f>'AEO 2023 Table 47 Raw'!U19</f>
        <v>140.21350100000001</v>
      </c>
      <c r="S31" s="17">
        <f>'AEO 2023 Table 47 Raw'!V19</f>
        <v>139.788498</v>
      </c>
      <c r="T31" s="17">
        <f>'AEO 2023 Table 47 Raw'!W19</f>
        <v>139.376801</v>
      </c>
      <c r="U31" s="17">
        <f>'AEO 2023 Table 47 Raw'!X19</f>
        <v>138.984802</v>
      </c>
      <c r="V31" s="17">
        <f>'AEO 2023 Table 47 Raw'!Y19</f>
        <v>138.612503</v>
      </c>
      <c r="W31" s="17">
        <f>'AEO 2023 Table 47 Raw'!Z19</f>
        <v>138.25649999999999</v>
      </c>
      <c r="X31" s="17">
        <f>'AEO 2023 Table 47 Raw'!AA19</f>
        <v>137.91400100000001</v>
      </c>
      <c r="Y31" s="17">
        <f>'AEO 2023 Table 47 Raw'!AB19</f>
        <v>137.58230599999999</v>
      </c>
      <c r="Z31" s="17">
        <f>'AEO 2023 Table 47 Raw'!AC19</f>
        <v>137.25950599999999</v>
      </c>
      <c r="AA31" s="17">
        <f>'AEO 2023 Table 47 Raw'!AD19</f>
        <v>136.95030199999999</v>
      </c>
      <c r="AB31" s="17">
        <f>'AEO 2023 Table 47 Raw'!AE19</f>
        <v>136.65379300000001</v>
      </c>
      <c r="AC31" s="17">
        <f>'AEO 2023 Table 47 Raw'!AF19</f>
        <v>136.36480700000001</v>
      </c>
      <c r="AD31" s="17">
        <f>'AEO 2023 Table 47 Raw'!AG19</f>
        <v>136.078506</v>
      </c>
      <c r="AE31" s="17">
        <f>'AEO 2023 Table 47 Raw'!AH19</f>
        <v>135.788803</v>
      </c>
      <c r="AF31" s="30">
        <f>'AEO 2023 Table 47 Raw'!AI19</f>
        <v>-3.0000000000000001E-3</v>
      </c>
    </row>
    <row r="32" spans="1:32" ht="15" customHeight="1">
      <c r="A32" s="7" t="s">
        <v>527</v>
      </c>
      <c r="B32" s="16" t="s">
        <v>528</v>
      </c>
      <c r="C32" s="17">
        <f>'AEO 2023 Table 47 Raw'!F20</f>
        <v>196.40559400000001</v>
      </c>
      <c r="D32" s="17">
        <f>'AEO 2023 Table 47 Raw'!G20</f>
        <v>196.88909899999999</v>
      </c>
      <c r="E32" s="17">
        <f>'AEO 2023 Table 47 Raw'!H20</f>
        <v>197.34137000000001</v>
      </c>
      <c r="F32" s="17">
        <f>'AEO 2023 Table 47 Raw'!I20</f>
        <v>197.77439899999999</v>
      </c>
      <c r="G32" s="17">
        <f>'AEO 2023 Table 47 Raw'!J20</f>
        <v>198.13687100000001</v>
      </c>
      <c r="H32" s="17">
        <f>'AEO 2023 Table 47 Raw'!K20</f>
        <v>198.47818000000001</v>
      </c>
      <c r="I32" s="17">
        <f>'AEO 2023 Table 47 Raw'!L20</f>
        <v>198.80619799999999</v>
      </c>
      <c r="J32" s="17">
        <f>'AEO 2023 Table 47 Raw'!M20</f>
        <v>199.13061500000001</v>
      </c>
      <c r="K32" s="17">
        <f>'AEO 2023 Table 47 Raw'!N20</f>
        <v>199.45709199999999</v>
      </c>
      <c r="L32" s="17">
        <f>'AEO 2023 Table 47 Raw'!O20</f>
        <v>199.80789200000001</v>
      </c>
      <c r="M32" s="17">
        <f>'AEO 2023 Table 47 Raw'!P20</f>
        <v>200.15795900000001</v>
      </c>
      <c r="N32" s="17">
        <f>'AEO 2023 Table 47 Raw'!Q20</f>
        <v>200.50091599999999</v>
      </c>
      <c r="O32" s="17">
        <f>'AEO 2023 Table 47 Raw'!R20</f>
        <v>200.82986500000001</v>
      </c>
      <c r="P32" s="17">
        <f>'AEO 2023 Table 47 Raw'!S20</f>
        <v>201.143112</v>
      </c>
      <c r="Q32" s="17">
        <f>'AEO 2023 Table 47 Raw'!T20</f>
        <v>201.48429899999999</v>
      </c>
      <c r="R32" s="17">
        <f>'AEO 2023 Table 47 Raw'!U20</f>
        <v>201.810699</v>
      </c>
      <c r="S32" s="17">
        <f>'AEO 2023 Table 47 Raw'!V20</f>
        <v>202.12439000000001</v>
      </c>
      <c r="T32" s="17">
        <f>'AEO 2023 Table 47 Raw'!W20</f>
        <v>202.427155</v>
      </c>
      <c r="U32" s="17">
        <f>'AEO 2023 Table 47 Raw'!X20</f>
        <v>202.71910099999999</v>
      </c>
      <c r="V32" s="17">
        <f>'AEO 2023 Table 47 Raw'!Y20</f>
        <v>202.99388099999999</v>
      </c>
      <c r="W32" s="17">
        <f>'AEO 2023 Table 47 Raw'!Z20</f>
        <v>203.25671399999999</v>
      </c>
      <c r="X32" s="17">
        <f>'AEO 2023 Table 47 Raw'!AA20</f>
        <v>203.50079299999999</v>
      </c>
      <c r="Y32" s="17">
        <f>'AEO 2023 Table 47 Raw'!AB20</f>
        <v>203.71812399999999</v>
      </c>
      <c r="Z32" s="17">
        <f>'AEO 2023 Table 47 Raw'!AC20</f>
        <v>203.905441</v>
      </c>
      <c r="AA32" s="17">
        <f>'AEO 2023 Table 47 Raw'!AD20</f>
        <v>204.02444499999999</v>
      </c>
      <c r="AB32" s="17">
        <f>'AEO 2023 Table 47 Raw'!AE20</f>
        <v>204.116028</v>
      </c>
      <c r="AC32" s="17">
        <f>'AEO 2023 Table 47 Raw'!AF20</f>
        <v>204.18514999999999</v>
      </c>
      <c r="AD32" s="17">
        <f>'AEO 2023 Table 47 Raw'!AG20</f>
        <v>204.23820499999999</v>
      </c>
      <c r="AE32" s="17">
        <f>'AEO 2023 Table 47 Raw'!AH20</f>
        <v>204.278717</v>
      </c>
      <c r="AF32" s="30">
        <f>'AEO 2023 Table 47 Raw'!AI20</f>
        <v>1E-3</v>
      </c>
    </row>
    <row r="33" spans="1:32" ht="15" customHeight="1">
      <c r="A33" s="7" t="s">
        <v>529</v>
      </c>
      <c r="B33" s="16" t="s">
        <v>530</v>
      </c>
      <c r="C33" s="17">
        <f>'AEO 2023 Table 47 Raw'!F21</f>
        <v>1448.8129879999999</v>
      </c>
      <c r="D33" s="17">
        <f>'AEO 2023 Table 47 Raw'!G21</f>
        <v>1452.4229740000001</v>
      </c>
      <c r="E33" s="17">
        <f>'AEO 2023 Table 47 Raw'!H21</f>
        <v>1455.5429690000001</v>
      </c>
      <c r="F33" s="17">
        <f>'AEO 2023 Table 47 Raw'!I21</f>
        <v>1458.1979980000001</v>
      </c>
      <c r="G33" s="17">
        <f>'AEO 2023 Table 47 Raw'!J21</f>
        <v>1460.3530270000001</v>
      </c>
      <c r="H33" s="17">
        <f>'AEO 2023 Table 47 Raw'!K21</f>
        <v>1461.9849850000001</v>
      </c>
      <c r="I33" s="17">
        <f>'AEO 2023 Table 47 Raw'!L21</f>
        <v>1463.160034</v>
      </c>
      <c r="J33" s="17">
        <f>'AEO 2023 Table 47 Raw'!M21</f>
        <v>1463.9399410000001</v>
      </c>
      <c r="K33" s="17">
        <f>'AEO 2023 Table 47 Raw'!N21</f>
        <v>1464.36499</v>
      </c>
      <c r="L33" s="17">
        <f>'AEO 2023 Table 47 Raw'!O21</f>
        <v>1464.4229740000001</v>
      </c>
      <c r="M33" s="17">
        <f>'AEO 2023 Table 47 Raw'!P21</f>
        <v>1464.084961</v>
      </c>
      <c r="N33" s="17">
        <f>'AEO 2023 Table 47 Raw'!Q21</f>
        <v>1463.36499</v>
      </c>
      <c r="O33" s="17">
        <f>'AEO 2023 Table 47 Raw'!R21</f>
        <v>1462.290039</v>
      </c>
      <c r="P33" s="17">
        <f>'AEO 2023 Table 47 Raw'!S21</f>
        <v>1460.878052</v>
      </c>
      <c r="Q33" s="17">
        <f>'AEO 2023 Table 47 Raw'!T21</f>
        <v>1459.1080320000001</v>
      </c>
      <c r="R33" s="17">
        <f>'AEO 2023 Table 47 Raw'!U21</f>
        <v>1456.968018</v>
      </c>
      <c r="S33" s="17">
        <f>'AEO 2023 Table 47 Raw'!V21</f>
        <v>1454.4930420000001</v>
      </c>
      <c r="T33" s="17">
        <f>'AEO 2023 Table 47 Raw'!W21</f>
        <v>1451.7030030000001</v>
      </c>
      <c r="U33" s="17">
        <f>'AEO 2023 Table 47 Raw'!X21</f>
        <v>1448.623047</v>
      </c>
      <c r="V33" s="17">
        <f>'AEO 2023 Table 47 Raw'!Y21</f>
        <v>1445.244995</v>
      </c>
      <c r="W33" s="17">
        <f>'AEO 2023 Table 47 Raw'!Z21</f>
        <v>1441.5550539999999</v>
      </c>
      <c r="X33" s="17">
        <f>'AEO 2023 Table 47 Raw'!AA21</f>
        <v>1437.5629879999999</v>
      </c>
      <c r="Y33" s="17">
        <f>'AEO 2023 Table 47 Raw'!AB21</f>
        <v>1433.2829589999999</v>
      </c>
      <c r="Z33" s="17">
        <f>'AEO 2023 Table 47 Raw'!AC21</f>
        <v>1428.718018</v>
      </c>
      <c r="AA33" s="17">
        <f>'AEO 2023 Table 47 Raw'!AD21</f>
        <v>1423.849976</v>
      </c>
      <c r="AB33" s="17">
        <f>'AEO 2023 Table 47 Raw'!AE21</f>
        <v>1418.6829829999999</v>
      </c>
      <c r="AC33" s="17">
        <f>'AEO 2023 Table 47 Raw'!AF21</f>
        <v>1413.23999</v>
      </c>
      <c r="AD33" s="17">
        <f>'AEO 2023 Table 47 Raw'!AG21</f>
        <v>1407.5550539999999</v>
      </c>
      <c r="AE33" s="17">
        <f>'AEO 2023 Table 47 Raw'!AH21</f>
        <v>1401.650024</v>
      </c>
      <c r="AF33" s="30">
        <f>'AEO 2023 Table 47 Raw'!AI21</f>
        <v>-1E-3</v>
      </c>
    </row>
    <row r="34" spans="1:32" ht="15" customHeight="1">
      <c r="A34" s="7" t="s">
        <v>531</v>
      </c>
      <c r="B34" s="16" t="s">
        <v>532</v>
      </c>
      <c r="C34" s="17">
        <f>'AEO 2023 Table 47 Raw'!F22</f>
        <v>1408.3000489999999</v>
      </c>
      <c r="D34" s="17">
        <f>'AEO 2023 Table 47 Raw'!G22</f>
        <v>1421.3079829999999</v>
      </c>
      <c r="E34" s="17">
        <f>'AEO 2023 Table 47 Raw'!H22</f>
        <v>1434.0699460000001</v>
      </c>
      <c r="F34" s="17">
        <f>'AEO 2023 Table 47 Raw'!I22</f>
        <v>1446.5550539999999</v>
      </c>
      <c r="G34" s="17">
        <f>'AEO 2023 Table 47 Raw'!J22</f>
        <v>1458.8000489999999</v>
      </c>
      <c r="H34" s="17">
        <f>'AEO 2023 Table 47 Raw'!K22</f>
        <v>1470.8129879999999</v>
      </c>
      <c r="I34" s="17">
        <f>'AEO 2023 Table 47 Raw'!L22</f>
        <v>1482.5529790000001</v>
      </c>
      <c r="J34" s="17">
        <f>'AEO 2023 Table 47 Raw'!M22</f>
        <v>1493.959961</v>
      </c>
      <c r="K34" s="17">
        <f>'AEO 2023 Table 47 Raw'!N22</f>
        <v>1504.9930420000001</v>
      </c>
      <c r="L34" s="17">
        <f>'AEO 2023 Table 47 Raw'!O22</f>
        <v>1515.6979980000001</v>
      </c>
      <c r="M34" s="17">
        <f>'AEO 2023 Table 47 Raw'!P22</f>
        <v>1526.094971</v>
      </c>
      <c r="N34" s="17">
        <f>'AEO 2023 Table 47 Raw'!Q22</f>
        <v>1536.123047</v>
      </c>
      <c r="O34" s="17">
        <f>'AEO 2023 Table 47 Raw'!R22</f>
        <v>1545.714966</v>
      </c>
      <c r="P34" s="17">
        <f>'AEO 2023 Table 47 Raw'!S22</f>
        <v>1554.8199460000001</v>
      </c>
      <c r="Q34" s="17">
        <f>'AEO 2023 Table 47 Raw'!T22</f>
        <v>1563.4499510000001</v>
      </c>
      <c r="R34" s="17">
        <f>'AEO 2023 Table 47 Raw'!U22</f>
        <v>1571.625</v>
      </c>
      <c r="S34" s="17">
        <f>'AEO 2023 Table 47 Raw'!V22</f>
        <v>1579.3630370000001</v>
      </c>
      <c r="T34" s="17">
        <f>'AEO 2023 Table 47 Raw'!W22</f>
        <v>1586.6579589999999</v>
      </c>
      <c r="U34" s="17">
        <f>'AEO 2023 Table 47 Raw'!X22</f>
        <v>1593.51001</v>
      </c>
      <c r="V34" s="17">
        <f>'AEO 2023 Table 47 Raw'!Y22</f>
        <v>1599.8929439999999</v>
      </c>
      <c r="W34" s="17">
        <f>'AEO 2023 Table 47 Raw'!Z22</f>
        <v>1605.8129879999999</v>
      </c>
      <c r="X34" s="17">
        <f>'AEO 2023 Table 47 Raw'!AA22</f>
        <v>1611.3079829999999</v>
      </c>
      <c r="Y34" s="17">
        <f>'AEO 2023 Table 47 Raw'!AB22</f>
        <v>1616.420044</v>
      </c>
      <c r="Z34" s="17">
        <f>'AEO 2023 Table 47 Raw'!AC22</f>
        <v>1621.1850589999999</v>
      </c>
      <c r="AA34" s="17">
        <f>'AEO 2023 Table 47 Raw'!AD22</f>
        <v>1625.5830080000001</v>
      </c>
      <c r="AB34" s="17">
        <f>'AEO 2023 Table 47 Raw'!AE22</f>
        <v>1629.593018</v>
      </c>
      <c r="AC34" s="17">
        <f>'AEO 2023 Table 47 Raw'!AF22</f>
        <v>1633.2380370000001</v>
      </c>
      <c r="AD34" s="17">
        <f>'AEO 2023 Table 47 Raw'!AG22</f>
        <v>1636.5429690000001</v>
      </c>
      <c r="AE34" s="17">
        <f>'AEO 2023 Table 47 Raw'!AH22</f>
        <v>1639.525024</v>
      </c>
      <c r="AF34" s="30">
        <f>'AEO 2023 Table 47 Raw'!AI22</f>
        <v>5.0000000000000001E-3</v>
      </c>
    </row>
    <row r="35" spans="1:32" ht="15" customHeight="1">
      <c r="A35" s="7" t="s">
        <v>533</v>
      </c>
      <c r="B35" s="16" t="s">
        <v>534</v>
      </c>
      <c r="C35" s="17">
        <f>'AEO 2023 Table 47 Raw'!F23</f>
        <v>1245.615967</v>
      </c>
      <c r="D35" s="17">
        <f>'AEO 2023 Table 47 Raw'!G23</f>
        <v>1259.7116699999999</v>
      </c>
      <c r="E35" s="17">
        <f>'AEO 2023 Table 47 Raw'!H23</f>
        <v>1273.62915</v>
      </c>
      <c r="F35" s="17">
        <f>'AEO 2023 Table 47 Raw'!I23</f>
        <v>1287.3408199999999</v>
      </c>
      <c r="G35" s="17">
        <f>'AEO 2023 Table 47 Raw'!J23</f>
        <v>1300.336182</v>
      </c>
      <c r="H35" s="17">
        <f>'AEO 2023 Table 47 Raw'!K23</f>
        <v>1313.135254</v>
      </c>
      <c r="I35" s="17">
        <f>'AEO 2023 Table 47 Raw'!L23</f>
        <v>1325.7388920000001</v>
      </c>
      <c r="J35" s="17">
        <f>'AEO 2023 Table 47 Raw'!M23</f>
        <v>1338.14978</v>
      </c>
      <c r="K35" s="17">
        <f>'AEO 2023 Table 47 Raw'!N23</f>
        <v>1350.362183</v>
      </c>
      <c r="L35" s="17">
        <f>'AEO 2023 Table 47 Raw'!O23</f>
        <v>1361.7928469999999</v>
      </c>
      <c r="M35" s="17">
        <f>'AEO 2023 Table 47 Raw'!P23</f>
        <v>1373.0439449999999</v>
      </c>
      <c r="N35" s="17">
        <f>'AEO 2023 Table 47 Raw'!Q23</f>
        <v>1384.1104740000001</v>
      </c>
      <c r="O35" s="17">
        <f>'AEO 2023 Table 47 Raw'!R23</f>
        <v>1394.9650879999999</v>
      </c>
      <c r="P35" s="17">
        <f>'AEO 2023 Table 47 Raw'!S23</f>
        <v>1405.6123050000001</v>
      </c>
      <c r="Q35" s="17">
        <f>'AEO 2023 Table 47 Raw'!T23</f>
        <v>1415.5485839999999</v>
      </c>
      <c r="R35" s="17">
        <f>'AEO 2023 Table 47 Raw'!U23</f>
        <v>1425.296143</v>
      </c>
      <c r="S35" s="17">
        <f>'AEO 2023 Table 47 Raw'!V23</f>
        <v>1434.834351</v>
      </c>
      <c r="T35" s="17">
        <f>'AEO 2023 Table 47 Raw'!W23</f>
        <v>1444.1679690000001</v>
      </c>
      <c r="U35" s="17">
        <f>'AEO 2023 Table 47 Raw'!X23</f>
        <v>1453.3126219999999</v>
      </c>
      <c r="V35" s="17">
        <f>'AEO 2023 Table 47 Raw'!Y23</f>
        <v>1461.786987</v>
      </c>
      <c r="W35" s="17">
        <f>'AEO 2023 Table 47 Raw'!Z23</f>
        <v>1470.0507809999999</v>
      </c>
      <c r="X35" s="17">
        <f>'AEO 2023 Table 47 Raw'!AA23</f>
        <v>1478.1164550000001</v>
      </c>
      <c r="Y35" s="17">
        <f>'AEO 2023 Table 47 Raw'!AB23</f>
        <v>1485.9938959999999</v>
      </c>
      <c r="Z35" s="17">
        <f>'AEO 2023 Table 47 Raw'!AC23</f>
        <v>1493.684814</v>
      </c>
      <c r="AA35" s="17">
        <f>'AEO 2023 Table 47 Raw'!AD23</f>
        <v>1500.5679929999999</v>
      </c>
      <c r="AB35" s="17">
        <f>'AEO 2023 Table 47 Raw'!AE23</f>
        <v>1507.2523189999999</v>
      </c>
      <c r="AC35" s="17">
        <f>'AEO 2023 Table 47 Raw'!AF23</f>
        <v>1513.752197</v>
      </c>
      <c r="AD35" s="17">
        <f>'AEO 2023 Table 47 Raw'!AG23</f>
        <v>1520.0760499999999</v>
      </c>
      <c r="AE35" s="17">
        <f>'AEO 2023 Table 47 Raw'!AH23</f>
        <v>1526.2166749999999</v>
      </c>
      <c r="AF35" s="30">
        <f>'AEO 2023 Table 47 Raw'!AI23</f>
        <v>7.0000000000000001E-3</v>
      </c>
    </row>
    <row r="36" spans="1:32" ht="15" customHeight="1">
      <c r="A36" s="7" t="s">
        <v>535</v>
      </c>
      <c r="B36" s="16" t="s">
        <v>536</v>
      </c>
      <c r="C36" s="17">
        <f>'AEO 2023 Table 47 Raw'!F24</f>
        <v>261.10183699999999</v>
      </c>
      <c r="D36" s="17">
        <f>'AEO 2023 Table 47 Raw'!G24</f>
        <v>266.300995</v>
      </c>
      <c r="E36" s="17">
        <f>'AEO 2023 Table 47 Raw'!H24</f>
        <v>271.39819299999999</v>
      </c>
      <c r="F36" s="17">
        <f>'AEO 2023 Table 47 Raw'!I24</f>
        <v>276.418274</v>
      </c>
      <c r="G36" s="17">
        <f>'AEO 2023 Table 47 Raw'!J24</f>
        <v>280.84103399999998</v>
      </c>
      <c r="H36" s="17">
        <f>'AEO 2023 Table 47 Raw'!K24</f>
        <v>285.21560699999998</v>
      </c>
      <c r="I36" s="17">
        <f>'AEO 2023 Table 47 Raw'!L24</f>
        <v>289.57656900000001</v>
      </c>
      <c r="J36" s="17">
        <f>'AEO 2023 Table 47 Raw'!M24</f>
        <v>293.90484600000002</v>
      </c>
      <c r="K36" s="17">
        <f>'AEO 2023 Table 47 Raw'!N24</f>
        <v>298.09335299999998</v>
      </c>
      <c r="L36" s="17">
        <f>'AEO 2023 Table 47 Raw'!O24</f>
        <v>301.73696899999999</v>
      </c>
      <c r="M36" s="17">
        <f>'AEO 2023 Table 47 Raw'!P24</f>
        <v>305.35867300000001</v>
      </c>
      <c r="N36" s="17">
        <f>'AEO 2023 Table 47 Raw'!Q24</f>
        <v>308.96170000000001</v>
      </c>
      <c r="O36" s="17">
        <f>'AEO 2023 Table 47 Raw'!R24</f>
        <v>312.54541</v>
      </c>
      <c r="P36" s="17">
        <f>'AEO 2023 Table 47 Raw'!S24</f>
        <v>316.10913099999999</v>
      </c>
      <c r="Q36" s="17">
        <f>'AEO 2023 Table 47 Raw'!T24</f>
        <v>319.498199</v>
      </c>
      <c r="R36" s="17">
        <f>'AEO 2023 Table 47 Raw'!U24</f>
        <v>322.86215199999998</v>
      </c>
      <c r="S36" s="17">
        <f>'AEO 2023 Table 47 Raw'!V24</f>
        <v>326.19833399999999</v>
      </c>
      <c r="T36" s="17">
        <f>'AEO 2023 Table 47 Raw'!W24</f>
        <v>329.50210600000003</v>
      </c>
      <c r="U36" s="17">
        <f>'AEO 2023 Table 47 Raw'!X24</f>
        <v>332.77383400000002</v>
      </c>
      <c r="V36" s="17">
        <f>'AEO 2023 Table 47 Raw'!Y24</f>
        <v>335.88980099999998</v>
      </c>
      <c r="W36" s="17">
        <f>'AEO 2023 Table 47 Raw'!Z24</f>
        <v>338.96798699999999</v>
      </c>
      <c r="X36" s="17">
        <f>'AEO 2023 Table 47 Raw'!AA24</f>
        <v>342.00610399999999</v>
      </c>
      <c r="Y36" s="17">
        <f>'AEO 2023 Table 47 Raw'!AB24</f>
        <v>345.00186200000002</v>
      </c>
      <c r="Z36" s="17">
        <f>'AEO 2023 Table 47 Raw'!AC24</f>
        <v>347.957672</v>
      </c>
      <c r="AA36" s="17">
        <f>'AEO 2023 Table 47 Raw'!AD24</f>
        <v>350.72204599999998</v>
      </c>
      <c r="AB36" s="17">
        <f>'AEO 2023 Table 47 Raw'!AE24</f>
        <v>353.440674</v>
      </c>
      <c r="AC36" s="17">
        <f>'AEO 2023 Table 47 Raw'!AF24</f>
        <v>356.113495</v>
      </c>
      <c r="AD36" s="17">
        <f>'AEO 2023 Table 47 Raw'!AG24</f>
        <v>358.73825099999999</v>
      </c>
      <c r="AE36" s="17">
        <f>'AEO 2023 Table 47 Raw'!AH24</f>
        <v>361.31408699999997</v>
      </c>
      <c r="AF36" s="30">
        <f>'AEO 2023 Table 47 Raw'!AI24</f>
        <v>1.2E-2</v>
      </c>
    </row>
    <row r="37" spans="1:32" ht="15" customHeight="1">
      <c r="A37" s="7" t="s">
        <v>537</v>
      </c>
      <c r="B37" s="16" t="s">
        <v>538</v>
      </c>
      <c r="C37" s="17">
        <f>'AEO 2023 Table 47 Raw'!F25</f>
        <v>1406.816284</v>
      </c>
      <c r="D37" s="17">
        <f>'AEO 2023 Table 47 Raw'!G25</f>
        <v>1440.4285890000001</v>
      </c>
      <c r="E37" s="17">
        <f>'AEO 2023 Table 47 Raw'!H25</f>
        <v>1474.159302</v>
      </c>
      <c r="F37" s="17">
        <f>'AEO 2023 Table 47 Raw'!I25</f>
        <v>1508.036865</v>
      </c>
      <c r="G37" s="17">
        <f>'AEO 2023 Table 47 Raw'!J25</f>
        <v>1543.6094969999999</v>
      </c>
      <c r="H37" s="17">
        <f>'AEO 2023 Table 47 Raw'!K25</f>
        <v>1579.3232419999999</v>
      </c>
      <c r="I37" s="17">
        <f>'AEO 2023 Table 47 Raw'!L25</f>
        <v>1615.1782229999999</v>
      </c>
      <c r="J37" s="17">
        <f>'AEO 2023 Table 47 Raw'!M25</f>
        <v>1651.1739500000001</v>
      </c>
      <c r="K37" s="17">
        <f>'AEO 2023 Table 47 Raw'!N25</f>
        <v>1687.309937</v>
      </c>
      <c r="L37" s="17">
        <f>'AEO 2023 Table 47 Raw'!O25</f>
        <v>1725.00647</v>
      </c>
      <c r="M37" s="17">
        <f>'AEO 2023 Table 47 Raw'!P25</f>
        <v>1762.836914</v>
      </c>
      <c r="N37" s="17">
        <f>'AEO 2023 Table 47 Raw'!Q25</f>
        <v>1800.7958980000001</v>
      </c>
      <c r="O37" s="17">
        <f>'AEO 2023 Table 47 Raw'!R25</f>
        <v>1838.8767089999999</v>
      </c>
      <c r="P37" s="17">
        <f>'AEO 2023 Table 47 Raw'!S25</f>
        <v>1877.0699460000001</v>
      </c>
      <c r="Q37" s="17">
        <f>'AEO 2023 Table 47 Raw'!T25</f>
        <v>1916.586182</v>
      </c>
      <c r="R37" s="17">
        <f>'AEO 2023 Table 47 Raw'!U25</f>
        <v>1956.201904</v>
      </c>
      <c r="S37" s="17">
        <f>'AEO 2023 Table 47 Raw'!V25</f>
        <v>1995.9060059999999</v>
      </c>
      <c r="T37" s="17">
        <f>'AEO 2023 Table 47 Raw'!W25</f>
        <v>2035.682129</v>
      </c>
      <c r="U37" s="17">
        <f>'AEO 2023 Table 47 Raw'!X25</f>
        <v>2075.5166020000001</v>
      </c>
      <c r="V37" s="17">
        <f>'AEO 2023 Table 47 Raw'!Y25</f>
        <v>2116.3789059999999</v>
      </c>
      <c r="W37" s="17">
        <f>'AEO 2023 Table 47 Raw'!Z25</f>
        <v>2157.2849120000001</v>
      </c>
      <c r="X37" s="17">
        <f>'AEO 2023 Table 47 Raw'!AA25</f>
        <v>2198.218018</v>
      </c>
      <c r="Y37" s="17">
        <f>'AEO 2023 Table 47 Raw'!AB25</f>
        <v>2239.1657709999999</v>
      </c>
      <c r="Z37" s="17">
        <f>'AEO 2023 Table 47 Raw'!AC25</f>
        <v>2280.1120609999998</v>
      </c>
      <c r="AA37" s="17">
        <f>'AEO 2023 Table 47 Raw'!AD25</f>
        <v>2321.6833499999998</v>
      </c>
      <c r="AB37" s="17">
        <f>'AEO 2023 Table 47 Raw'!AE25</f>
        <v>2363.233643</v>
      </c>
      <c r="AC37" s="17">
        <f>'AEO 2023 Table 47 Raw'!AF25</f>
        <v>2404.77124</v>
      </c>
      <c r="AD37" s="17">
        <f>'AEO 2023 Table 47 Raw'!AG25</f>
        <v>2446.304932</v>
      </c>
      <c r="AE37" s="17">
        <f>'AEO 2023 Table 47 Raw'!AH25</f>
        <v>2487.8393550000001</v>
      </c>
      <c r="AF37" s="30">
        <f>'AEO 2023 Table 47 Raw'!AI25</f>
        <v>2.1000000000000001E-2</v>
      </c>
    </row>
    <row r="38" spans="1:32" ht="15" customHeight="1">
      <c r="A38" s="7" t="s">
        <v>539</v>
      </c>
      <c r="B38" s="16" t="s">
        <v>540</v>
      </c>
      <c r="C38" s="17">
        <f>'AEO 2023 Table 47 Raw'!F26</f>
        <v>215.50250199999999</v>
      </c>
      <c r="D38" s="17">
        <f>'AEO 2023 Table 47 Raw'!G26</f>
        <v>216.787003</v>
      </c>
      <c r="E38" s="17">
        <f>'AEO 2023 Table 47 Raw'!H26</f>
        <v>218.005798</v>
      </c>
      <c r="F38" s="17">
        <f>'AEO 2023 Table 47 Raw'!I26</f>
        <v>219.15980500000001</v>
      </c>
      <c r="G38" s="17">
        <f>'AEO 2023 Table 47 Raw'!J26</f>
        <v>220.245499</v>
      </c>
      <c r="H38" s="17">
        <f>'AEO 2023 Table 47 Raw'!K26</f>
        <v>221.26480100000001</v>
      </c>
      <c r="I38" s="17">
        <f>'AEO 2023 Table 47 Raw'!L26</f>
        <v>222.22030599999999</v>
      </c>
      <c r="J38" s="17">
        <f>'AEO 2023 Table 47 Raw'!M26</f>
        <v>223.115005</v>
      </c>
      <c r="K38" s="17">
        <f>'AEO 2023 Table 47 Raw'!N26</f>
        <v>223.951797</v>
      </c>
      <c r="L38" s="17">
        <f>'AEO 2023 Table 47 Raw'!O26</f>
        <v>224.729996</v>
      </c>
      <c r="M38" s="17">
        <f>'AEO 2023 Table 47 Raw'!P26</f>
        <v>225.447495</v>
      </c>
      <c r="N38" s="17">
        <f>'AEO 2023 Table 47 Raw'!Q26</f>
        <v>226.105301</v>
      </c>
      <c r="O38" s="17">
        <f>'AEO 2023 Table 47 Raw'!R26</f>
        <v>226.704498</v>
      </c>
      <c r="P38" s="17">
        <f>'AEO 2023 Table 47 Raw'!S26</f>
        <v>227.24650600000001</v>
      </c>
      <c r="Q38" s="17">
        <f>'AEO 2023 Table 47 Raw'!T26</f>
        <v>227.72830200000001</v>
      </c>
      <c r="R38" s="17">
        <f>'AEO 2023 Table 47 Raw'!U26</f>
        <v>228.15029899999999</v>
      </c>
      <c r="S38" s="17">
        <f>'AEO 2023 Table 47 Raw'!V26</f>
        <v>228.515503</v>
      </c>
      <c r="T38" s="17">
        <f>'AEO 2023 Table 47 Raw'!W26</f>
        <v>228.82730100000001</v>
      </c>
      <c r="U38" s="17">
        <f>'AEO 2023 Table 47 Raw'!X26</f>
        <v>229.087006</v>
      </c>
      <c r="V38" s="17">
        <f>'AEO 2023 Table 47 Raw'!Y26</f>
        <v>229.29299900000001</v>
      </c>
      <c r="W38" s="17">
        <f>'AEO 2023 Table 47 Raw'!Z26</f>
        <v>229.44380200000001</v>
      </c>
      <c r="X38" s="17">
        <f>'AEO 2023 Table 47 Raw'!AA26</f>
        <v>229.54299900000001</v>
      </c>
      <c r="Y38" s="17">
        <f>'AEO 2023 Table 47 Raw'!AB26</f>
        <v>229.59530599999999</v>
      </c>
      <c r="Z38" s="17">
        <f>'AEO 2023 Table 47 Raw'!AC26</f>
        <v>229.60000600000001</v>
      </c>
      <c r="AA38" s="17">
        <f>'AEO 2023 Table 47 Raw'!AD26</f>
        <v>229.541</v>
      </c>
      <c r="AB38" s="17">
        <f>'AEO 2023 Table 47 Raw'!AE26</f>
        <v>229.420807</v>
      </c>
      <c r="AC38" s="17">
        <f>'AEO 2023 Table 47 Raw'!AF26</f>
        <v>229.26629600000001</v>
      </c>
      <c r="AD38" s="17">
        <f>'AEO 2023 Table 47 Raw'!AG26</f>
        <v>229.10699500000001</v>
      </c>
      <c r="AE38" s="17">
        <f>'AEO 2023 Table 47 Raw'!AH26</f>
        <v>228.962997</v>
      </c>
      <c r="AF38" s="30">
        <f>'AEO 2023 Table 47 Raw'!AI26</f>
        <v>2E-3</v>
      </c>
    </row>
    <row r="39" spans="1:32" ht="12" customHeight="1">
      <c r="A39" s="7" t="s">
        <v>541</v>
      </c>
      <c r="B39" s="16" t="s">
        <v>542</v>
      </c>
      <c r="C39" s="17">
        <f>'AEO 2023 Table 47 Raw'!F27</f>
        <v>239.305511</v>
      </c>
      <c r="D39" s="17">
        <f>'AEO 2023 Table 47 Raw'!G27</f>
        <v>242.13305700000001</v>
      </c>
      <c r="E39" s="17">
        <f>'AEO 2023 Table 47 Raw'!H27</f>
        <v>244.95889299999999</v>
      </c>
      <c r="F39" s="17">
        <f>'AEO 2023 Table 47 Raw'!I27</f>
        <v>247.68708799999999</v>
      </c>
      <c r="G39" s="17">
        <f>'AEO 2023 Table 47 Raw'!J27</f>
        <v>250.28230300000001</v>
      </c>
      <c r="H39" s="17">
        <f>'AEO 2023 Table 47 Raw'!K27</f>
        <v>252.77761799999999</v>
      </c>
      <c r="I39" s="17">
        <f>'AEO 2023 Table 47 Raw'!L27</f>
        <v>255.17982499999999</v>
      </c>
      <c r="J39" s="17">
        <f>'AEO 2023 Table 47 Raw'!M27</f>
        <v>257.50900300000001</v>
      </c>
      <c r="K39" s="17">
        <f>'AEO 2023 Table 47 Raw'!N27</f>
        <v>259.78024299999998</v>
      </c>
      <c r="L39" s="17">
        <f>'AEO 2023 Table 47 Raw'!O27</f>
        <v>261.96649200000002</v>
      </c>
      <c r="M39" s="17">
        <f>'AEO 2023 Table 47 Raw'!P27</f>
        <v>264.080872</v>
      </c>
      <c r="N39" s="17">
        <f>'AEO 2023 Table 47 Raw'!Q27</f>
        <v>266.13140900000002</v>
      </c>
      <c r="O39" s="17">
        <f>'AEO 2023 Table 47 Raw'!R27</f>
        <v>268.12866200000002</v>
      </c>
      <c r="P39" s="17">
        <f>'AEO 2023 Table 47 Raw'!S27</f>
        <v>270.08139</v>
      </c>
      <c r="Q39" s="17">
        <f>'AEO 2023 Table 47 Raw'!T27</f>
        <v>271.964966</v>
      </c>
      <c r="R39" s="17">
        <f>'AEO 2023 Table 47 Raw'!U27</f>
        <v>273.805634</v>
      </c>
      <c r="S39" s="17">
        <f>'AEO 2023 Table 47 Raw'!V27</f>
        <v>275.60214200000001</v>
      </c>
      <c r="T39" s="17">
        <f>'AEO 2023 Table 47 Raw'!W27</f>
        <v>277.35290500000002</v>
      </c>
      <c r="U39" s="17">
        <f>'AEO 2023 Table 47 Raw'!X27</f>
        <v>279.05569500000001</v>
      </c>
      <c r="V39" s="17">
        <f>'AEO 2023 Table 47 Raw'!Y27</f>
        <v>280.68167099999999</v>
      </c>
      <c r="W39" s="17">
        <f>'AEO 2023 Table 47 Raw'!Z27</f>
        <v>282.26147500000002</v>
      </c>
      <c r="X39" s="17">
        <f>'AEO 2023 Table 47 Raw'!AA27</f>
        <v>283.79553199999998</v>
      </c>
      <c r="Y39" s="17">
        <f>'AEO 2023 Table 47 Raw'!AB27</f>
        <v>285.28445399999998</v>
      </c>
      <c r="Z39" s="17">
        <f>'AEO 2023 Table 47 Raw'!AC27</f>
        <v>286.727417</v>
      </c>
      <c r="AA39" s="17">
        <f>'AEO 2023 Table 47 Raw'!AD27</f>
        <v>288.09207199999997</v>
      </c>
      <c r="AB39" s="17">
        <f>'AEO 2023 Table 47 Raw'!AE27</f>
        <v>289.408478</v>
      </c>
      <c r="AC39" s="17">
        <f>'AEO 2023 Table 47 Raw'!AF27</f>
        <v>290.681061</v>
      </c>
      <c r="AD39" s="17">
        <f>'AEO 2023 Table 47 Raw'!AG27</f>
        <v>291.913025</v>
      </c>
      <c r="AE39" s="17">
        <f>'AEO 2023 Table 47 Raw'!AH27</f>
        <v>293.10772700000001</v>
      </c>
      <c r="AF39" s="30">
        <f>'AEO 2023 Table 47 Raw'!AI27</f>
        <v>7.0000000000000001E-3</v>
      </c>
    </row>
    <row r="40" spans="1:32" ht="12" customHeight="1">
      <c r="A40" s="7" t="s">
        <v>543</v>
      </c>
      <c r="B40" s="16" t="s">
        <v>544</v>
      </c>
      <c r="C40" s="17">
        <f>'AEO 2023 Table 47 Raw'!F28</f>
        <v>0</v>
      </c>
      <c r="D40" s="17">
        <f>'AEO 2023 Table 47 Raw'!G28</f>
        <v>0</v>
      </c>
      <c r="E40" s="17">
        <f>'AEO 2023 Table 47 Raw'!H28</f>
        <v>0</v>
      </c>
      <c r="F40" s="17">
        <f>'AEO 2023 Table 47 Raw'!I28</f>
        <v>0</v>
      </c>
      <c r="G40" s="17">
        <f>'AEO 2023 Table 47 Raw'!J28</f>
        <v>0</v>
      </c>
      <c r="H40" s="17">
        <f>'AEO 2023 Table 47 Raw'!K28</f>
        <v>0</v>
      </c>
      <c r="I40" s="17">
        <f>'AEO 2023 Table 47 Raw'!L28</f>
        <v>0</v>
      </c>
      <c r="J40" s="17">
        <f>'AEO 2023 Table 47 Raw'!M28</f>
        <v>0</v>
      </c>
      <c r="K40" s="17">
        <f>'AEO 2023 Table 47 Raw'!N28</f>
        <v>0</v>
      </c>
      <c r="L40" s="17">
        <f>'AEO 2023 Table 47 Raw'!O28</f>
        <v>0</v>
      </c>
      <c r="M40" s="17">
        <f>'AEO 2023 Table 47 Raw'!P28</f>
        <v>0</v>
      </c>
      <c r="N40" s="17">
        <f>'AEO 2023 Table 47 Raw'!Q28</f>
        <v>0</v>
      </c>
      <c r="O40" s="17">
        <f>'AEO 2023 Table 47 Raw'!R28</f>
        <v>0</v>
      </c>
      <c r="P40" s="17">
        <f>'AEO 2023 Table 47 Raw'!S28</f>
        <v>0</v>
      </c>
      <c r="Q40" s="17">
        <f>'AEO 2023 Table 47 Raw'!T28</f>
        <v>0</v>
      </c>
      <c r="R40" s="17">
        <f>'AEO 2023 Table 47 Raw'!U28</f>
        <v>0</v>
      </c>
      <c r="S40" s="17">
        <f>'AEO 2023 Table 47 Raw'!V28</f>
        <v>0</v>
      </c>
      <c r="T40" s="17">
        <f>'AEO 2023 Table 47 Raw'!W28</f>
        <v>0</v>
      </c>
      <c r="U40" s="17">
        <f>'AEO 2023 Table 47 Raw'!X28</f>
        <v>0</v>
      </c>
      <c r="V40" s="17">
        <f>'AEO 2023 Table 47 Raw'!Y28</f>
        <v>0</v>
      </c>
      <c r="W40" s="17">
        <f>'AEO 2023 Table 47 Raw'!Z28</f>
        <v>0</v>
      </c>
      <c r="X40" s="17">
        <f>'AEO 2023 Table 47 Raw'!AA28</f>
        <v>0</v>
      </c>
      <c r="Y40" s="17">
        <f>'AEO 2023 Table 47 Raw'!AB28</f>
        <v>0</v>
      </c>
      <c r="Z40" s="17">
        <f>'AEO 2023 Table 47 Raw'!AC28</f>
        <v>0</v>
      </c>
      <c r="AA40" s="17">
        <f>'AEO 2023 Table 47 Raw'!AD28</f>
        <v>0</v>
      </c>
      <c r="AB40" s="17">
        <f>'AEO 2023 Table 47 Raw'!AE28</f>
        <v>0</v>
      </c>
      <c r="AC40" s="17">
        <f>'AEO 2023 Table 47 Raw'!AF28</f>
        <v>0</v>
      </c>
      <c r="AD40" s="17">
        <f>'AEO 2023 Table 47 Raw'!AG28</f>
        <v>0</v>
      </c>
      <c r="AE40" s="17">
        <f>'AEO 2023 Table 47 Raw'!AH28</f>
        <v>0</v>
      </c>
      <c r="AF40" s="30">
        <f>'AEO 2023 Table 47 Raw'!AI28</f>
        <v>0</v>
      </c>
    </row>
    <row r="41" spans="1:32" ht="12" customHeight="1">
      <c r="AF41" s="33"/>
    </row>
    <row r="42" spans="1:32" ht="12" customHeight="1">
      <c r="B42" s="15" t="s">
        <v>114</v>
      </c>
      <c r="AF42" s="33"/>
    </row>
    <row r="43" spans="1:32" ht="12" customHeight="1">
      <c r="B43" s="15" t="s">
        <v>545</v>
      </c>
      <c r="AF43" s="33"/>
    </row>
    <row r="44" spans="1:32" ht="12" customHeight="1">
      <c r="B44" s="15" t="s">
        <v>546</v>
      </c>
      <c r="AF44" s="33"/>
    </row>
    <row r="45" spans="1:32" ht="12" customHeight="1">
      <c r="A45" s="7" t="s">
        <v>547</v>
      </c>
      <c r="B45" s="16" t="s">
        <v>548</v>
      </c>
      <c r="C45" s="17">
        <f>'AEO 2023 Table 47 Raw'!F32</f>
        <v>33.891998000000001</v>
      </c>
      <c r="D45" s="17">
        <f>'AEO 2023 Table 47 Raw'!G32</f>
        <v>36.630001</v>
      </c>
      <c r="E45" s="17">
        <f>'AEO 2023 Table 47 Raw'!H32</f>
        <v>37.250919000000003</v>
      </c>
      <c r="F45" s="17">
        <f>'AEO 2023 Table 47 Raw'!I32</f>
        <v>37.928448000000003</v>
      </c>
      <c r="G45" s="17">
        <f>'AEO 2023 Table 47 Raw'!J32</f>
        <v>38.582844000000001</v>
      </c>
      <c r="H45" s="17">
        <f>'AEO 2023 Table 47 Raw'!K32</f>
        <v>39.201327999999997</v>
      </c>
      <c r="I45" s="17">
        <f>'AEO 2023 Table 47 Raw'!L32</f>
        <v>39.822952000000001</v>
      </c>
      <c r="J45" s="17">
        <f>'AEO 2023 Table 47 Raw'!M32</f>
        <v>40.457236999999999</v>
      </c>
      <c r="K45" s="17">
        <f>'AEO 2023 Table 47 Raw'!N32</f>
        <v>41.099151999999997</v>
      </c>
      <c r="L45" s="17">
        <f>'AEO 2023 Table 47 Raw'!O32</f>
        <v>41.750576000000002</v>
      </c>
      <c r="M45" s="17">
        <f>'AEO 2023 Table 47 Raw'!P32</f>
        <v>42.408977999999998</v>
      </c>
      <c r="N45" s="17">
        <f>'AEO 2023 Table 47 Raw'!Q32</f>
        <v>43.071007000000002</v>
      </c>
      <c r="O45" s="17">
        <f>'AEO 2023 Table 47 Raw'!R32</f>
        <v>43.736645000000003</v>
      </c>
      <c r="P45" s="17">
        <f>'AEO 2023 Table 47 Raw'!S32</f>
        <v>44.405921999999997</v>
      </c>
      <c r="Q45" s="17">
        <f>'AEO 2023 Table 47 Raw'!T32</f>
        <v>45.078777000000002</v>
      </c>
      <c r="R45" s="17">
        <f>'AEO 2023 Table 47 Raw'!U32</f>
        <v>45.755299000000001</v>
      </c>
      <c r="S45" s="17">
        <f>'AEO 2023 Table 47 Raw'!V32</f>
        <v>46.435478000000003</v>
      </c>
      <c r="T45" s="17">
        <f>'AEO 2023 Table 47 Raw'!W32</f>
        <v>47.119484</v>
      </c>
      <c r="U45" s="17">
        <f>'AEO 2023 Table 47 Raw'!X32</f>
        <v>47.807274</v>
      </c>
      <c r="V45" s="17">
        <f>'AEO 2023 Table 47 Raw'!Y32</f>
        <v>48.498725999999998</v>
      </c>
      <c r="W45" s="17">
        <f>'AEO 2023 Table 47 Raw'!Z32</f>
        <v>49.194065000000002</v>
      </c>
      <c r="X45" s="17">
        <f>'AEO 2023 Table 47 Raw'!AA32</f>
        <v>49.893104999999998</v>
      </c>
      <c r="Y45" s="17">
        <f>'AEO 2023 Table 47 Raw'!AB32</f>
        <v>50.597079999999998</v>
      </c>
      <c r="Z45" s="17">
        <f>'AEO 2023 Table 47 Raw'!AC32</f>
        <v>51.306601999999998</v>
      </c>
      <c r="AA45" s="17">
        <f>'AEO 2023 Table 47 Raw'!AD32</f>
        <v>52.021793000000002</v>
      </c>
      <c r="AB45" s="17">
        <f>'AEO 2023 Table 47 Raw'!AE32</f>
        <v>52.742984999999997</v>
      </c>
      <c r="AC45" s="17">
        <f>'AEO 2023 Table 47 Raw'!AF32</f>
        <v>53.470382999999998</v>
      </c>
      <c r="AD45" s="17">
        <f>'AEO 2023 Table 47 Raw'!AG32</f>
        <v>54.204514000000003</v>
      </c>
      <c r="AE45" s="17">
        <f>'AEO 2023 Table 47 Raw'!AH32</f>
        <v>54.945633000000001</v>
      </c>
      <c r="AF45" s="30">
        <f>'AEO 2023 Table 47 Raw'!AI32</f>
        <v>1.7000000000000001E-2</v>
      </c>
    </row>
    <row r="46" spans="1:32" ht="12" customHeight="1">
      <c r="A46" s="7" t="s">
        <v>549</v>
      </c>
      <c r="B46" s="16" t="s">
        <v>550</v>
      </c>
      <c r="C46" s="17">
        <f>'AEO 2023 Table 47 Raw'!F33</f>
        <v>50.740718999999999</v>
      </c>
      <c r="D46" s="17">
        <f>'AEO 2023 Table 47 Raw'!G33</f>
        <v>56.534430999999998</v>
      </c>
      <c r="E46" s="17">
        <f>'AEO 2023 Table 47 Raw'!H33</f>
        <v>60.376579</v>
      </c>
      <c r="F46" s="17">
        <f>'AEO 2023 Table 47 Raw'!I33</f>
        <v>62.836734999999997</v>
      </c>
      <c r="G46" s="17">
        <f>'AEO 2023 Table 47 Raw'!J33</f>
        <v>65.337990000000005</v>
      </c>
      <c r="H46" s="17">
        <f>'AEO 2023 Table 47 Raw'!K33</f>
        <v>67.897064</v>
      </c>
      <c r="I46" s="17">
        <f>'AEO 2023 Table 47 Raw'!L33</f>
        <v>70.512161000000006</v>
      </c>
      <c r="J46" s="17">
        <f>'AEO 2023 Table 47 Raw'!M33</f>
        <v>73.204375999999996</v>
      </c>
      <c r="K46" s="17">
        <f>'AEO 2023 Table 47 Raw'!N33</f>
        <v>75.988669999999999</v>
      </c>
      <c r="L46" s="17">
        <f>'AEO 2023 Table 47 Raw'!O33</f>
        <v>78.861144999999993</v>
      </c>
      <c r="M46" s="17">
        <f>'AEO 2023 Table 47 Raw'!P33</f>
        <v>81.841094999999996</v>
      </c>
      <c r="N46" s="17">
        <f>'AEO 2023 Table 47 Raw'!Q33</f>
        <v>84.912086000000002</v>
      </c>
      <c r="O46" s="17">
        <f>'AEO 2023 Table 47 Raw'!R33</f>
        <v>88.077208999999996</v>
      </c>
      <c r="P46" s="17">
        <f>'AEO 2023 Table 47 Raw'!S33</f>
        <v>91.337661999999995</v>
      </c>
      <c r="Q46" s="17">
        <f>'AEO 2023 Table 47 Raw'!T33</f>
        <v>94.683143999999999</v>
      </c>
      <c r="R46" s="17">
        <f>'AEO 2023 Table 47 Raw'!U33</f>
        <v>98.125945999999999</v>
      </c>
      <c r="S46" s="17">
        <f>'AEO 2023 Table 47 Raw'!V33</f>
        <v>101.669319</v>
      </c>
      <c r="T46" s="17">
        <f>'AEO 2023 Table 47 Raw'!W33</f>
        <v>105.31547500000001</v>
      </c>
      <c r="U46" s="17">
        <f>'AEO 2023 Table 47 Raw'!X33</f>
        <v>109.06652099999999</v>
      </c>
      <c r="V46" s="17">
        <f>'AEO 2023 Table 47 Raw'!Y33</f>
        <v>112.89244100000001</v>
      </c>
      <c r="W46" s="17">
        <f>'AEO 2023 Table 47 Raw'!Z33</f>
        <v>116.824089</v>
      </c>
      <c r="X46" s="17">
        <f>'AEO 2023 Table 47 Raw'!AA33</f>
        <v>120.86422</v>
      </c>
      <c r="Y46" s="17">
        <f>'AEO 2023 Table 47 Raw'!AB33</f>
        <v>125.015038</v>
      </c>
      <c r="Z46" s="17">
        <f>'AEO 2023 Table 47 Raw'!AC33</f>
        <v>129.27801500000001</v>
      </c>
      <c r="AA46" s="17">
        <f>'AEO 2023 Table 47 Raw'!AD33</f>
        <v>133.62089499999999</v>
      </c>
      <c r="AB46" s="17">
        <f>'AEO 2023 Table 47 Raw'!AE33</f>
        <v>138.07399000000001</v>
      </c>
      <c r="AC46" s="17">
        <f>'AEO 2023 Table 47 Raw'!AF33</f>
        <v>142.646118</v>
      </c>
      <c r="AD46" s="17">
        <f>'AEO 2023 Table 47 Raw'!AG33</f>
        <v>147.34742700000001</v>
      </c>
      <c r="AE46" s="17">
        <f>'AEO 2023 Table 47 Raw'!AH33</f>
        <v>152.18673699999999</v>
      </c>
      <c r="AF46" s="30">
        <f>'AEO 2023 Table 47 Raw'!AI33</f>
        <v>0.04</v>
      </c>
    </row>
    <row r="47" spans="1:32" ht="12" customHeight="1">
      <c r="A47" s="7" t="s">
        <v>551</v>
      </c>
      <c r="B47" s="16" t="s">
        <v>552</v>
      </c>
      <c r="C47" s="17">
        <f>'AEO 2023 Table 47 Raw'!F34</f>
        <v>315.62841800000001</v>
      </c>
      <c r="D47" s="17">
        <f>'AEO 2023 Table 47 Raw'!G34</f>
        <v>422.74731400000002</v>
      </c>
      <c r="E47" s="17">
        <f>'AEO 2023 Table 47 Raw'!H34</f>
        <v>501.79760700000003</v>
      </c>
      <c r="F47" s="17">
        <f>'AEO 2023 Table 47 Raw'!I34</f>
        <v>547.62390100000005</v>
      </c>
      <c r="G47" s="17">
        <f>'AEO 2023 Table 47 Raw'!J34</f>
        <v>567.10003700000004</v>
      </c>
      <c r="H47" s="17">
        <f>'AEO 2023 Table 47 Raw'!K34</f>
        <v>580.01007100000004</v>
      </c>
      <c r="I47" s="17">
        <f>'AEO 2023 Table 47 Raw'!L34</f>
        <v>593.03802499999995</v>
      </c>
      <c r="J47" s="17">
        <f>'AEO 2023 Table 47 Raw'!M34</f>
        <v>606.25683600000002</v>
      </c>
      <c r="K47" s="17">
        <f>'AEO 2023 Table 47 Raw'!N34</f>
        <v>619.70391800000004</v>
      </c>
      <c r="L47" s="17">
        <f>'AEO 2023 Table 47 Raw'!O34</f>
        <v>633.394226</v>
      </c>
      <c r="M47" s="17">
        <f>'AEO 2023 Table 47 Raw'!P34</f>
        <v>647.34759499999996</v>
      </c>
      <c r="N47" s="17">
        <f>'AEO 2023 Table 47 Raw'!Q34</f>
        <v>661.58007799999996</v>
      </c>
      <c r="O47" s="17">
        <f>'AEO 2023 Table 47 Raw'!R34</f>
        <v>676.07147199999997</v>
      </c>
      <c r="P47" s="17">
        <f>'AEO 2023 Table 47 Raw'!S34</f>
        <v>690.78887899999995</v>
      </c>
      <c r="Q47" s="17">
        <f>'AEO 2023 Table 47 Raw'!T34</f>
        <v>705.776794</v>
      </c>
      <c r="R47" s="17">
        <f>'AEO 2023 Table 47 Raw'!U34</f>
        <v>721.07025099999998</v>
      </c>
      <c r="S47" s="17">
        <f>'AEO 2023 Table 47 Raw'!V34</f>
        <v>736.65130599999998</v>
      </c>
      <c r="T47" s="17">
        <f>'AEO 2023 Table 47 Raw'!W34</f>
        <v>752.51965299999995</v>
      </c>
      <c r="U47" s="17">
        <f>'AEO 2023 Table 47 Raw'!X34</f>
        <v>768.69628899999998</v>
      </c>
      <c r="V47" s="17">
        <f>'AEO 2023 Table 47 Raw'!Y34</f>
        <v>785.15838599999995</v>
      </c>
      <c r="W47" s="17">
        <f>'AEO 2023 Table 47 Raw'!Z34</f>
        <v>801.90203899999995</v>
      </c>
      <c r="X47" s="17">
        <f>'AEO 2023 Table 47 Raw'!AA34</f>
        <v>818.92358400000001</v>
      </c>
      <c r="Y47" s="17">
        <f>'AEO 2023 Table 47 Raw'!AB34</f>
        <v>836.21734600000002</v>
      </c>
      <c r="Z47" s="17">
        <f>'AEO 2023 Table 47 Raw'!AC34</f>
        <v>853.78289800000005</v>
      </c>
      <c r="AA47" s="17">
        <f>'AEO 2023 Table 47 Raw'!AD34</f>
        <v>871.62298599999997</v>
      </c>
      <c r="AB47" s="17">
        <f>'AEO 2023 Table 47 Raw'!AE34</f>
        <v>889.74096699999996</v>
      </c>
      <c r="AC47" s="17">
        <f>'AEO 2023 Table 47 Raw'!AF34</f>
        <v>908.15856900000006</v>
      </c>
      <c r="AD47" s="17">
        <f>'AEO 2023 Table 47 Raw'!AG34</f>
        <v>926.90478499999995</v>
      </c>
      <c r="AE47" s="17">
        <f>'AEO 2023 Table 47 Raw'!AH34</f>
        <v>945.99829099999999</v>
      </c>
      <c r="AF47" s="30">
        <f>'AEO 2023 Table 47 Raw'!AI34</f>
        <v>0.04</v>
      </c>
    </row>
    <row r="48" spans="1:32" ht="12" customHeight="1">
      <c r="A48" s="7" t="s">
        <v>553</v>
      </c>
      <c r="B48" s="16" t="s">
        <v>554</v>
      </c>
      <c r="C48" s="17">
        <f>'AEO 2023 Table 47 Raw'!F35</f>
        <v>26.969999000000001</v>
      </c>
      <c r="D48" s="17">
        <f>'AEO 2023 Table 47 Raw'!G35</f>
        <v>47.43</v>
      </c>
      <c r="E48" s="17">
        <f>'AEO 2023 Table 47 Raw'!H35</f>
        <v>59.271999000000001</v>
      </c>
      <c r="F48" s="17">
        <f>'AEO 2023 Table 47 Raw'!I35</f>
        <v>61.380001</v>
      </c>
      <c r="G48" s="17">
        <f>'AEO 2023 Table 47 Raw'!J35</f>
        <v>61.920161999999998</v>
      </c>
      <c r="H48" s="17">
        <f>'AEO 2023 Table 47 Raw'!K35</f>
        <v>62.41534</v>
      </c>
      <c r="I48" s="17">
        <f>'AEO 2023 Table 47 Raw'!L35</f>
        <v>62.870857000000001</v>
      </c>
      <c r="J48" s="17">
        <f>'AEO 2023 Table 47 Raw'!M35</f>
        <v>63.294476000000003</v>
      </c>
      <c r="K48" s="17">
        <f>'AEO 2023 Table 47 Raw'!N35</f>
        <v>63.689357999999999</v>
      </c>
      <c r="L48" s="17">
        <f>'AEO 2023 Table 47 Raw'!O35</f>
        <v>64.061240999999995</v>
      </c>
      <c r="M48" s="17">
        <f>'AEO 2023 Table 47 Raw'!P35</f>
        <v>64.419899000000001</v>
      </c>
      <c r="N48" s="17">
        <f>'AEO 2023 Table 47 Raw'!Q35</f>
        <v>64.773528999999996</v>
      </c>
      <c r="O48" s="17">
        <f>'AEO 2023 Table 47 Raw'!R35</f>
        <v>65.123833000000005</v>
      </c>
      <c r="P48" s="17">
        <f>'AEO 2023 Table 47 Raw'!S35</f>
        <v>65.470909000000006</v>
      </c>
      <c r="Q48" s="17">
        <f>'AEO 2023 Table 47 Raw'!T35</f>
        <v>65.814910999999995</v>
      </c>
      <c r="R48" s="17">
        <f>'AEO 2023 Table 47 Raw'!U35</f>
        <v>66.156433000000007</v>
      </c>
      <c r="S48" s="17">
        <f>'AEO 2023 Table 47 Raw'!V35</f>
        <v>66.495697000000007</v>
      </c>
      <c r="T48" s="17">
        <f>'AEO 2023 Table 47 Raw'!W35</f>
        <v>66.832970000000003</v>
      </c>
      <c r="U48" s="17">
        <f>'AEO 2023 Table 47 Raw'!X35</f>
        <v>67.168334999999999</v>
      </c>
      <c r="V48" s="17">
        <f>'AEO 2023 Table 47 Raw'!Y35</f>
        <v>67.502707999999998</v>
      </c>
      <c r="W48" s="17">
        <f>'AEO 2023 Table 47 Raw'!Z35</f>
        <v>67.836005999999998</v>
      </c>
      <c r="X48" s="17">
        <f>'AEO 2023 Table 47 Raw'!AA35</f>
        <v>68.168655000000001</v>
      </c>
      <c r="Y48" s="17">
        <f>'AEO 2023 Table 47 Raw'!AB35</f>
        <v>68.502373000000006</v>
      </c>
      <c r="Z48" s="17">
        <f>'AEO 2023 Table 47 Raw'!AC35</f>
        <v>68.839500000000001</v>
      </c>
      <c r="AA48" s="17">
        <f>'AEO 2023 Table 47 Raw'!AD35</f>
        <v>69.182654999999997</v>
      </c>
      <c r="AB48" s="17">
        <f>'AEO 2023 Table 47 Raw'!AE35</f>
        <v>69.532364000000001</v>
      </c>
      <c r="AC48" s="17">
        <f>'AEO 2023 Table 47 Raw'!AF35</f>
        <v>69.888549999999995</v>
      </c>
      <c r="AD48" s="17">
        <f>'AEO 2023 Table 47 Raw'!AG35</f>
        <v>70.251152000000005</v>
      </c>
      <c r="AE48" s="17">
        <f>'AEO 2023 Table 47 Raw'!AH35</f>
        <v>70.620002999999997</v>
      </c>
      <c r="AF48" s="30">
        <f>'AEO 2023 Table 47 Raw'!AI35</f>
        <v>3.5000000000000003E-2</v>
      </c>
    </row>
    <row r="49" spans="1:32" ht="12" customHeight="1">
      <c r="A49" s="7" t="s">
        <v>555</v>
      </c>
      <c r="B49" s="16" t="s">
        <v>556</v>
      </c>
      <c r="C49" s="17">
        <f>'AEO 2023 Table 47 Raw'!F36</f>
        <v>32.485492999999998</v>
      </c>
      <c r="D49" s="17">
        <f>'AEO 2023 Table 47 Raw'!G36</f>
        <v>45.917563999999999</v>
      </c>
      <c r="E49" s="17">
        <f>'AEO 2023 Table 47 Raw'!H36</f>
        <v>54.438347</v>
      </c>
      <c r="F49" s="17">
        <f>'AEO 2023 Table 47 Raw'!I36</f>
        <v>58.580399</v>
      </c>
      <c r="G49" s="17">
        <f>'AEO 2023 Table 47 Raw'!J36</f>
        <v>60.373111999999999</v>
      </c>
      <c r="H49" s="17">
        <f>'AEO 2023 Table 47 Raw'!K36</f>
        <v>62.175818999999997</v>
      </c>
      <c r="I49" s="17">
        <f>'AEO 2023 Table 47 Raw'!L36</f>
        <v>63.987071999999998</v>
      </c>
      <c r="J49" s="17">
        <f>'AEO 2023 Table 47 Raw'!M36</f>
        <v>65.816010000000006</v>
      </c>
      <c r="K49" s="17">
        <f>'AEO 2023 Table 47 Raw'!N36</f>
        <v>67.672150000000002</v>
      </c>
      <c r="L49" s="17">
        <f>'AEO 2023 Table 47 Raw'!O36</f>
        <v>69.540038999999993</v>
      </c>
      <c r="M49" s="17">
        <f>'AEO 2023 Table 47 Raw'!P36</f>
        <v>71.392394999999993</v>
      </c>
      <c r="N49" s="17">
        <f>'AEO 2023 Table 47 Raw'!Q36</f>
        <v>73.242050000000006</v>
      </c>
      <c r="O49" s="17">
        <f>'AEO 2023 Table 47 Raw'!R36</f>
        <v>75.092895999999996</v>
      </c>
      <c r="P49" s="17">
        <f>'AEO 2023 Table 47 Raw'!S36</f>
        <v>76.872742000000002</v>
      </c>
      <c r="Q49" s="17">
        <f>'AEO 2023 Table 47 Raw'!T36</f>
        <v>78.633728000000005</v>
      </c>
      <c r="R49" s="17">
        <f>'AEO 2023 Table 47 Raw'!U36</f>
        <v>80.435424999999995</v>
      </c>
      <c r="S49" s="17">
        <f>'AEO 2023 Table 47 Raw'!V36</f>
        <v>82.260277000000002</v>
      </c>
      <c r="T49" s="17">
        <f>'AEO 2023 Table 47 Raw'!W36</f>
        <v>84.062126000000006</v>
      </c>
      <c r="U49" s="17">
        <f>'AEO 2023 Table 47 Raw'!X36</f>
        <v>85.845725999999999</v>
      </c>
      <c r="V49" s="17">
        <f>'AEO 2023 Table 47 Raw'!Y36</f>
        <v>87.640495000000001</v>
      </c>
      <c r="W49" s="17">
        <f>'AEO 2023 Table 47 Raw'!Z36</f>
        <v>89.452477000000002</v>
      </c>
      <c r="X49" s="17">
        <f>'AEO 2023 Table 47 Raw'!AA36</f>
        <v>91.281104999999997</v>
      </c>
      <c r="Y49" s="17">
        <f>'AEO 2023 Table 47 Raw'!AB36</f>
        <v>93.125473</v>
      </c>
      <c r="Z49" s="17">
        <f>'AEO 2023 Table 47 Raw'!AC36</f>
        <v>94.983176999999998</v>
      </c>
      <c r="AA49" s="17">
        <f>'AEO 2023 Table 47 Raw'!AD36</f>
        <v>96.849968000000004</v>
      </c>
      <c r="AB49" s="17">
        <f>'AEO 2023 Table 47 Raw'!AE36</f>
        <v>98.726249999999993</v>
      </c>
      <c r="AC49" s="17">
        <f>'AEO 2023 Table 47 Raw'!AF36</f>
        <v>100.62426000000001</v>
      </c>
      <c r="AD49" s="17">
        <f>'AEO 2023 Table 47 Raw'!AG36</f>
        <v>102.54549400000001</v>
      </c>
      <c r="AE49" s="17">
        <f>'AEO 2023 Table 47 Raw'!AH36</f>
        <v>104.48915100000001</v>
      </c>
      <c r="AF49" s="30">
        <f>'AEO 2023 Table 47 Raw'!AI36</f>
        <v>4.2999999999999997E-2</v>
      </c>
    </row>
    <row r="50" spans="1:32" ht="15" customHeight="1">
      <c r="A50" s="7" t="s">
        <v>557</v>
      </c>
      <c r="B50" s="16" t="s">
        <v>558</v>
      </c>
      <c r="C50" s="17">
        <f>'AEO 2023 Table 47 Raw'!F37</f>
        <v>7.1724589999999999</v>
      </c>
      <c r="D50" s="17">
        <f>'AEO 2023 Table 47 Raw'!G37</f>
        <v>8.457884</v>
      </c>
      <c r="E50" s="17">
        <f>'AEO 2023 Table 47 Raw'!H37</f>
        <v>9.5488759999999999</v>
      </c>
      <c r="F50" s="17">
        <f>'AEO 2023 Table 47 Raw'!I37</f>
        <v>10.326612000000001</v>
      </c>
      <c r="G50" s="17">
        <f>'AEO 2023 Table 47 Raw'!J37</f>
        <v>10.693877000000001</v>
      </c>
      <c r="H50" s="17">
        <f>'AEO 2023 Table 47 Raw'!K37</f>
        <v>10.870692</v>
      </c>
      <c r="I50" s="17">
        <f>'AEO 2023 Table 47 Raw'!L37</f>
        <v>11.037345</v>
      </c>
      <c r="J50" s="17">
        <f>'AEO 2023 Table 47 Raw'!M37</f>
        <v>11.193871</v>
      </c>
      <c r="K50" s="17">
        <f>'AEO 2023 Table 47 Raw'!N37</f>
        <v>11.34094</v>
      </c>
      <c r="L50" s="17">
        <f>'AEO 2023 Table 47 Raw'!O37</f>
        <v>11.454879</v>
      </c>
      <c r="M50" s="17">
        <f>'AEO 2023 Table 47 Raw'!P37</f>
        <v>11.523292</v>
      </c>
      <c r="N50" s="17">
        <f>'AEO 2023 Table 47 Raw'!Q37</f>
        <v>11.581455</v>
      </c>
      <c r="O50" s="17">
        <f>'AEO 2023 Table 47 Raw'!R37</f>
        <v>11.636729000000001</v>
      </c>
      <c r="P50" s="17">
        <f>'AEO 2023 Table 47 Raw'!S37</f>
        <v>11.687825999999999</v>
      </c>
      <c r="Q50" s="17">
        <f>'AEO 2023 Table 47 Raw'!T37</f>
        <v>11.736679000000001</v>
      </c>
      <c r="R50" s="17">
        <f>'AEO 2023 Table 47 Raw'!U37</f>
        <v>11.776113</v>
      </c>
      <c r="S50" s="17">
        <f>'AEO 2023 Table 47 Raw'!V37</f>
        <v>11.806799</v>
      </c>
      <c r="T50" s="17">
        <f>'AEO 2023 Table 47 Raw'!W37</f>
        <v>11.835800000000001</v>
      </c>
      <c r="U50" s="17">
        <f>'AEO 2023 Table 47 Raw'!X37</f>
        <v>11.867737999999999</v>
      </c>
      <c r="V50" s="17">
        <f>'AEO 2023 Table 47 Raw'!Y37</f>
        <v>11.907171999999999</v>
      </c>
      <c r="W50" s="17">
        <f>'AEO 2023 Table 47 Raw'!Z37</f>
        <v>11.952139000000001</v>
      </c>
      <c r="X50" s="17">
        <f>'AEO 2023 Table 47 Raw'!AA37</f>
        <v>11.998142</v>
      </c>
      <c r="Y50" s="17">
        <f>'AEO 2023 Table 47 Raw'!AB37</f>
        <v>12.043982</v>
      </c>
      <c r="Z50" s="17">
        <f>'AEO 2023 Table 47 Raw'!AC37</f>
        <v>12.087415</v>
      </c>
      <c r="AA50" s="17">
        <f>'AEO 2023 Table 47 Raw'!AD37</f>
        <v>12.125690000000001</v>
      </c>
      <c r="AB50" s="17">
        <f>'AEO 2023 Table 47 Raw'!AE37</f>
        <v>12.1586</v>
      </c>
      <c r="AC50" s="17">
        <f>'AEO 2023 Table 47 Raw'!AF37</f>
        <v>12.189465</v>
      </c>
      <c r="AD50" s="17">
        <f>'AEO 2023 Table 47 Raw'!AG37</f>
        <v>12.221159999999999</v>
      </c>
      <c r="AE50" s="17">
        <f>'AEO 2023 Table 47 Raw'!AH37</f>
        <v>12.255587</v>
      </c>
      <c r="AF50" s="30">
        <f>'AEO 2023 Table 47 Raw'!AI37</f>
        <v>1.9E-2</v>
      </c>
    </row>
    <row r="51" spans="1:32" ht="15" customHeight="1">
      <c r="A51" s="7" t="s">
        <v>559</v>
      </c>
      <c r="B51" s="16" t="s">
        <v>560</v>
      </c>
      <c r="C51" s="17">
        <f>'AEO 2023 Table 47 Raw'!F38</f>
        <v>96.943595999999999</v>
      </c>
      <c r="D51" s="17">
        <f>'AEO 2023 Table 47 Raw'!G38</f>
        <v>96.375838999999999</v>
      </c>
      <c r="E51" s="17">
        <f>'AEO 2023 Table 47 Raw'!H38</f>
        <v>98.188980000000001</v>
      </c>
      <c r="F51" s="17">
        <f>'AEO 2023 Table 47 Raw'!I38</f>
        <v>99.832595999999995</v>
      </c>
      <c r="G51" s="17">
        <f>'AEO 2023 Table 47 Raw'!J38</f>
        <v>101.372215</v>
      </c>
      <c r="H51" s="17">
        <f>'AEO 2023 Table 47 Raw'!K38</f>
        <v>102.851097</v>
      </c>
      <c r="I51" s="17">
        <f>'AEO 2023 Table 47 Raw'!L38</f>
        <v>104.335266</v>
      </c>
      <c r="J51" s="17">
        <f>'AEO 2023 Table 47 Raw'!M38</f>
        <v>105.832863</v>
      </c>
      <c r="K51" s="17">
        <f>'AEO 2023 Table 47 Raw'!N38</f>
        <v>107.348007</v>
      </c>
      <c r="L51" s="17">
        <f>'AEO 2023 Table 47 Raw'!O38</f>
        <v>108.917366</v>
      </c>
      <c r="M51" s="17">
        <f>'AEO 2023 Table 47 Raw'!P38</f>
        <v>110.521828</v>
      </c>
      <c r="N51" s="17">
        <f>'AEO 2023 Table 47 Raw'!Q38</f>
        <v>112.14489</v>
      </c>
      <c r="O51" s="17">
        <f>'AEO 2023 Table 47 Raw'!R38</f>
        <v>113.791878</v>
      </c>
      <c r="P51" s="17">
        <f>'AEO 2023 Table 47 Raw'!S38</f>
        <v>115.46772</v>
      </c>
      <c r="Q51" s="17">
        <f>'AEO 2023 Table 47 Raw'!T38</f>
        <v>117.171211</v>
      </c>
      <c r="R51" s="17">
        <f>'AEO 2023 Table 47 Raw'!U38</f>
        <v>118.89960499999999</v>
      </c>
      <c r="S51" s="17">
        <f>'AEO 2023 Table 47 Raw'!V38</f>
        <v>120.656273</v>
      </c>
      <c r="T51" s="17">
        <f>'AEO 2023 Table 47 Raw'!W38</f>
        <v>122.44444300000001</v>
      </c>
      <c r="U51" s="17">
        <f>'AEO 2023 Table 47 Raw'!X38</f>
        <v>124.26765399999999</v>
      </c>
      <c r="V51" s="17">
        <f>'AEO 2023 Table 47 Raw'!Y38</f>
        <v>126.12685399999999</v>
      </c>
      <c r="W51" s="17">
        <f>'AEO 2023 Table 47 Raw'!Z38</f>
        <v>128.02136200000001</v>
      </c>
      <c r="X51" s="17">
        <f>'AEO 2023 Table 47 Raw'!AA38</f>
        <v>129.95013399999999</v>
      </c>
      <c r="Y51" s="17">
        <f>'AEO 2023 Table 47 Raw'!AB38</f>
        <v>131.91334499999999</v>
      </c>
      <c r="Z51" s="17">
        <f>'AEO 2023 Table 47 Raw'!AC38</f>
        <v>133.910202</v>
      </c>
      <c r="AA51" s="17">
        <f>'AEO 2023 Table 47 Raw'!AD38</f>
        <v>135.94387800000001</v>
      </c>
      <c r="AB51" s="17">
        <f>'AEO 2023 Table 47 Raw'!AE38</f>
        <v>138.014771</v>
      </c>
      <c r="AC51" s="17">
        <f>'AEO 2023 Table 47 Raw'!AF38</f>
        <v>140.12088</v>
      </c>
      <c r="AD51" s="17">
        <f>'AEO 2023 Table 47 Raw'!AG38</f>
        <v>142.26033000000001</v>
      </c>
      <c r="AE51" s="17">
        <f>'AEO 2023 Table 47 Raw'!AH38</f>
        <v>144.430115</v>
      </c>
      <c r="AF51" s="30">
        <f>'AEO 2023 Table 47 Raw'!AI38</f>
        <v>1.4E-2</v>
      </c>
    </row>
    <row r="52" spans="1:32" ht="15" customHeight="1">
      <c r="A52" s="7" t="s">
        <v>561</v>
      </c>
      <c r="B52" s="16" t="s">
        <v>562</v>
      </c>
      <c r="C52" s="17">
        <f>'AEO 2023 Table 47 Raw'!F39</f>
        <v>5.5833570000000003</v>
      </c>
      <c r="D52" s="17">
        <f>'AEO 2023 Table 47 Raw'!G39</f>
        <v>6.899108</v>
      </c>
      <c r="E52" s="17">
        <f>'AEO 2023 Table 47 Raw'!H39</f>
        <v>8.7525999999999993</v>
      </c>
      <c r="F52" s="17">
        <f>'AEO 2023 Table 47 Raw'!I39</f>
        <v>10.320059000000001</v>
      </c>
      <c r="G52" s="17">
        <f>'AEO 2023 Table 47 Raw'!J39</f>
        <v>11.326893999999999</v>
      </c>
      <c r="H52" s="17">
        <f>'AEO 2023 Table 47 Raw'!K39</f>
        <v>11.649971000000001</v>
      </c>
      <c r="I52" s="17">
        <f>'AEO 2023 Table 47 Raw'!L39</f>
        <v>11.976704</v>
      </c>
      <c r="J52" s="17">
        <f>'AEO 2023 Table 47 Raw'!M39</f>
        <v>12.309505</v>
      </c>
      <c r="K52" s="17">
        <f>'AEO 2023 Table 47 Raw'!N39</f>
        <v>12.650805999999999</v>
      </c>
      <c r="L52" s="17">
        <f>'AEO 2023 Table 47 Raw'!O39</f>
        <v>13.010585000000001</v>
      </c>
      <c r="M52" s="17">
        <f>'AEO 2023 Table 47 Raw'!P39</f>
        <v>13.382293000000001</v>
      </c>
      <c r="N52" s="17">
        <f>'AEO 2023 Table 47 Raw'!Q39</f>
        <v>13.763350000000001</v>
      </c>
      <c r="O52" s="17">
        <f>'AEO 2023 Table 47 Raw'!R39</f>
        <v>14.154275999999999</v>
      </c>
      <c r="P52" s="17">
        <f>'AEO 2023 Table 47 Raw'!S39</f>
        <v>14.556096999999999</v>
      </c>
      <c r="Q52" s="17">
        <f>'AEO 2023 Table 47 Raw'!T39</f>
        <v>14.956531</v>
      </c>
      <c r="R52" s="17">
        <f>'AEO 2023 Table 47 Raw'!U39</f>
        <v>15.366565</v>
      </c>
      <c r="S52" s="17">
        <f>'AEO 2023 Table 47 Raw'!V39</f>
        <v>15.786690999999999</v>
      </c>
      <c r="T52" s="17">
        <f>'AEO 2023 Table 47 Raw'!W39</f>
        <v>16.216818</v>
      </c>
      <c r="U52" s="17">
        <f>'AEO 2023 Table 47 Raw'!X39</f>
        <v>16.657633000000001</v>
      </c>
      <c r="V52" s="17">
        <f>'AEO 2023 Table 47 Raw'!Y39</f>
        <v>17.097104999999999</v>
      </c>
      <c r="W52" s="17">
        <f>'AEO 2023 Table 47 Raw'!Z39</f>
        <v>17.546858</v>
      </c>
      <c r="X52" s="17">
        <f>'AEO 2023 Table 47 Raw'!AA39</f>
        <v>18.007286000000001</v>
      </c>
      <c r="Y52" s="17">
        <f>'AEO 2023 Table 47 Raw'!AB39</f>
        <v>18.478339999999999</v>
      </c>
      <c r="Z52" s="17">
        <f>'AEO 2023 Table 47 Raw'!AC39</f>
        <v>18.960153999999999</v>
      </c>
      <c r="AA52" s="17">
        <f>'AEO 2023 Table 47 Raw'!AD39</f>
        <v>19.440370999999999</v>
      </c>
      <c r="AB52" s="17">
        <f>'AEO 2023 Table 47 Raw'!AE39</f>
        <v>19.930873999999999</v>
      </c>
      <c r="AC52" s="17">
        <f>'AEO 2023 Table 47 Raw'!AF39</f>
        <v>20.432293000000001</v>
      </c>
      <c r="AD52" s="17">
        <f>'AEO 2023 Table 47 Raw'!AG39</f>
        <v>20.944868</v>
      </c>
      <c r="AE52" s="17">
        <f>'AEO 2023 Table 47 Raw'!AH39</f>
        <v>21.468855000000001</v>
      </c>
      <c r="AF52" s="30">
        <f>'AEO 2023 Table 47 Raw'!AI39</f>
        <v>4.9000000000000002E-2</v>
      </c>
    </row>
    <row r="53" spans="1:32" ht="15" customHeight="1">
      <c r="A53" s="7" t="s">
        <v>563</v>
      </c>
      <c r="B53" s="16" t="s">
        <v>564</v>
      </c>
      <c r="C53" s="17">
        <f>'AEO 2023 Table 47 Raw'!F40</f>
        <v>445.94699100000003</v>
      </c>
      <c r="D53" s="17">
        <f>'AEO 2023 Table 47 Raw'!G40</f>
        <v>487.20901500000002</v>
      </c>
      <c r="E53" s="17">
        <f>'AEO 2023 Table 47 Raw'!H40</f>
        <v>523.71002199999998</v>
      </c>
      <c r="F53" s="17">
        <f>'AEO 2023 Table 47 Raw'!I40</f>
        <v>560.38824499999998</v>
      </c>
      <c r="G53" s="17">
        <f>'AEO 2023 Table 47 Raw'!J40</f>
        <v>597.47442599999999</v>
      </c>
      <c r="H53" s="17">
        <f>'AEO 2023 Table 47 Raw'!K40</f>
        <v>634.90472399999999</v>
      </c>
      <c r="I53" s="17">
        <f>'AEO 2023 Table 47 Raw'!L40</f>
        <v>672.73303199999998</v>
      </c>
      <c r="J53" s="17">
        <f>'AEO 2023 Table 47 Raw'!M40</f>
        <v>710.81597899999997</v>
      </c>
      <c r="K53" s="17">
        <f>'AEO 2023 Table 47 Raw'!N40</f>
        <v>748.88952600000005</v>
      </c>
      <c r="L53" s="17">
        <f>'AEO 2023 Table 47 Raw'!O40</f>
        <v>787.29797399999995</v>
      </c>
      <c r="M53" s="17">
        <f>'AEO 2023 Table 47 Raw'!P40</f>
        <v>826.023865</v>
      </c>
      <c r="N53" s="17">
        <f>'AEO 2023 Table 47 Raw'!Q40</f>
        <v>864.93164100000001</v>
      </c>
      <c r="O53" s="17">
        <f>'AEO 2023 Table 47 Raw'!R40</f>
        <v>904.114868</v>
      </c>
      <c r="P53" s="17">
        <f>'AEO 2023 Table 47 Raw'!S40</f>
        <v>943.79315199999996</v>
      </c>
      <c r="Q53" s="17">
        <f>'AEO 2023 Table 47 Raw'!T40</f>
        <v>983.87207000000001</v>
      </c>
      <c r="R53" s="17">
        <f>'AEO 2023 Table 47 Raw'!U40</f>
        <v>1024.044312</v>
      </c>
      <c r="S53" s="17">
        <f>'AEO 2023 Table 47 Raw'!V40</f>
        <v>1064.332764</v>
      </c>
      <c r="T53" s="17">
        <f>'AEO 2023 Table 47 Raw'!W40</f>
        <v>1104.986206</v>
      </c>
      <c r="U53" s="17">
        <f>'AEO 2023 Table 47 Raw'!X40</f>
        <v>1146.439697</v>
      </c>
      <c r="V53" s="17">
        <f>'AEO 2023 Table 47 Raw'!Y40</f>
        <v>1189.1207280000001</v>
      </c>
      <c r="W53" s="17">
        <f>'AEO 2023 Table 47 Raw'!Z40</f>
        <v>1232.996216</v>
      </c>
      <c r="X53" s="17">
        <f>'AEO 2023 Table 47 Raw'!AA40</f>
        <v>1277.6727289999999</v>
      </c>
      <c r="Y53" s="17">
        <f>'AEO 2023 Table 47 Raw'!AB40</f>
        <v>1322.664673</v>
      </c>
      <c r="Z53" s="17">
        <f>'AEO 2023 Table 47 Raw'!AC40</f>
        <v>1367.44165</v>
      </c>
      <c r="AA53" s="17">
        <f>'AEO 2023 Table 47 Raw'!AD40</f>
        <v>1411.900024</v>
      </c>
      <c r="AB53" s="17">
        <f>'AEO 2023 Table 47 Raw'!AE40</f>
        <v>1456.2844239999999</v>
      </c>
      <c r="AC53" s="17">
        <f>'AEO 2023 Table 47 Raw'!AF40</f>
        <v>1500.4047849999999</v>
      </c>
      <c r="AD53" s="17">
        <f>'AEO 2023 Table 47 Raw'!AG40</f>
        <v>1543.762573</v>
      </c>
      <c r="AE53" s="17">
        <f>'AEO 2023 Table 47 Raw'!AH40</f>
        <v>1585.8328859999999</v>
      </c>
      <c r="AF53" s="30">
        <f>'AEO 2023 Table 47 Raw'!AI40</f>
        <v>4.5999999999999999E-2</v>
      </c>
    </row>
    <row r="54" spans="1:32" ht="15" customHeight="1">
      <c r="A54" s="7" t="s">
        <v>565</v>
      </c>
      <c r="B54" s="16" t="s">
        <v>566</v>
      </c>
      <c r="C54" s="17">
        <f>'AEO 2023 Table 47 Raw'!F41</f>
        <v>64.328002999999995</v>
      </c>
      <c r="D54" s="17">
        <f>'AEO 2023 Table 47 Raw'!G41</f>
        <v>75.594002000000003</v>
      </c>
      <c r="E54" s="17">
        <f>'AEO 2023 Table 47 Raw'!H41</f>
        <v>81.957999999999998</v>
      </c>
      <c r="F54" s="17">
        <f>'AEO 2023 Table 47 Raw'!I41</f>
        <v>85.139999000000003</v>
      </c>
      <c r="G54" s="17">
        <f>'AEO 2023 Table 47 Raw'!J41</f>
        <v>93.982192999999995</v>
      </c>
      <c r="H54" s="17">
        <f>'AEO 2023 Table 47 Raw'!K41</f>
        <v>103.36318199999999</v>
      </c>
      <c r="I54" s="17">
        <f>'AEO 2023 Table 47 Raw'!L41</f>
        <v>113.16532100000001</v>
      </c>
      <c r="J54" s="17">
        <f>'AEO 2023 Table 47 Raw'!M41</f>
        <v>123.31379699999999</v>
      </c>
      <c r="K54" s="17">
        <f>'AEO 2023 Table 47 Raw'!N41</f>
        <v>133.73538199999999</v>
      </c>
      <c r="L54" s="17">
        <f>'AEO 2023 Table 47 Raw'!O41</f>
        <v>144.346588</v>
      </c>
      <c r="M54" s="17">
        <f>'AEO 2023 Table 47 Raw'!P41</f>
        <v>155.08763099999999</v>
      </c>
      <c r="N54" s="17">
        <f>'AEO 2023 Table 47 Raw'!Q41</f>
        <v>165.88197299999999</v>
      </c>
      <c r="O54" s="17">
        <f>'AEO 2023 Table 47 Raw'!R41</f>
        <v>176.64450099999999</v>
      </c>
      <c r="P54" s="17">
        <f>'AEO 2023 Table 47 Raw'!S41</f>
        <v>187.40939299999999</v>
      </c>
      <c r="Q54" s="17">
        <f>'AEO 2023 Table 47 Raw'!T41</f>
        <v>198.268677</v>
      </c>
      <c r="R54" s="17">
        <f>'AEO 2023 Table 47 Raw'!U41</f>
        <v>209.41423</v>
      </c>
      <c r="S54" s="17">
        <f>'AEO 2023 Table 47 Raw'!V41</f>
        <v>220.845947</v>
      </c>
      <c r="T54" s="17">
        <f>'AEO 2023 Table 47 Raw'!W41</f>
        <v>232.543701</v>
      </c>
      <c r="U54" s="17">
        <f>'AEO 2023 Table 47 Raw'!X41</f>
        <v>244.48284899999999</v>
      </c>
      <c r="V54" s="17">
        <f>'AEO 2023 Table 47 Raw'!Y41</f>
        <v>256.64562999999998</v>
      </c>
      <c r="W54" s="17">
        <f>'AEO 2023 Table 47 Raw'!Z41</f>
        <v>269.010651</v>
      </c>
      <c r="X54" s="17">
        <f>'AEO 2023 Table 47 Raw'!AA41</f>
        <v>281.56417800000003</v>
      </c>
      <c r="Y54" s="17">
        <f>'AEO 2023 Table 47 Raw'!AB41</f>
        <v>294.26825000000002</v>
      </c>
      <c r="Z54" s="17">
        <f>'AEO 2023 Table 47 Raw'!AC41</f>
        <v>307.09204099999999</v>
      </c>
      <c r="AA54" s="17">
        <f>'AEO 2023 Table 47 Raw'!AD41</f>
        <v>320.00271600000002</v>
      </c>
      <c r="AB54" s="17">
        <f>'AEO 2023 Table 47 Raw'!AE41</f>
        <v>332.96649200000002</v>
      </c>
      <c r="AC54" s="17">
        <f>'AEO 2023 Table 47 Raw'!AF41</f>
        <v>345.94287100000003</v>
      </c>
      <c r="AD54" s="17">
        <f>'AEO 2023 Table 47 Raw'!AG41</f>
        <v>358.890961</v>
      </c>
      <c r="AE54" s="17">
        <f>'AEO 2023 Table 47 Raw'!AH41</f>
        <v>371.77322400000003</v>
      </c>
      <c r="AF54" s="30">
        <f>'AEO 2023 Table 47 Raw'!AI41</f>
        <v>6.5000000000000002E-2</v>
      </c>
    </row>
    <row r="55" spans="1:32" ht="15" customHeight="1">
      <c r="A55" s="7" t="s">
        <v>567</v>
      </c>
      <c r="B55" s="16" t="s">
        <v>568</v>
      </c>
      <c r="C55" s="17">
        <f>'AEO 2023 Table 47 Raw'!F42</f>
        <v>121.340279</v>
      </c>
      <c r="D55" s="17">
        <f>'AEO 2023 Table 47 Raw'!G42</f>
        <v>154.57797199999999</v>
      </c>
      <c r="E55" s="17">
        <f>'AEO 2023 Table 47 Raw'!H42</f>
        <v>184.62844799999999</v>
      </c>
      <c r="F55" s="17">
        <f>'AEO 2023 Table 47 Raw'!I42</f>
        <v>208.98757900000001</v>
      </c>
      <c r="G55" s="17">
        <f>'AEO 2023 Table 47 Raw'!J42</f>
        <v>225.37876900000001</v>
      </c>
      <c r="H55" s="17">
        <f>'AEO 2023 Table 47 Raw'!K42</f>
        <v>238.34477200000001</v>
      </c>
      <c r="I55" s="17">
        <f>'AEO 2023 Table 47 Raw'!L42</f>
        <v>251.587997</v>
      </c>
      <c r="J55" s="17">
        <f>'AEO 2023 Table 47 Raw'!M42</f>
        <v>265.00787400000002</v>
      </c>
      <c r="K55" s="17">
        <f>'AEO 2023 Table 47 Raw'!N42</f>
        <v>278.52264400000001</v>
      </c>
      <c r="L55" s="17">
        <f>'AEO 2023 Table 47 Raw'!O42</f>
        <v>292.37914999999998</v>
      </c>
      <c r="M55" s="17">
        <f>'AEO 2023 Table 47 Raw'!P42</f>
        <v>306.63424700000002</v>
      </c>
      <c r="N55" s="17">
        <f>'AEO 2023 Table 47 Raw'!Q42</f>
        <v>321.28695699999997</v>
      </c>
      <c r="O55" s="17">
        <f>'AEO 2023 Table 47 Raw'!R42</f>
        <v>336.38125600000001</v>
      </c>
      <c r="P55" s="17">
        <f>'AEO 2023 Table 47 Raw'!S42</f>
        <v>351.955963</v>
      </c>
      <c r="Q55" s="17">
        <f>'AEO 2023 Table 47 Raw'!T42</f>
        <v>367.83340500000003</v>
      </c>
      <c r="R55" s="17">
        <f>'AEO 2023 Table 47 Raw'!U42</f>
        <v>384.15817299999998</v>
      </c>
      <c r="S55" s="17">
        <f>'AEO 2023 Table 47 Raw'!V42</f>
        <v>400.97872899999999</v>
      </c>
      <c r="T55" s="17">
        <f>'AEO 2023 Table 47 Raw'!W42</f>
        <v>418.281586</v>
      </c>
      <c r="U55" s="17">
        <f>'AEO 2023 Table 47 Raw'!X42</f>
        <v>436.11956800000002</v>
      </c>
      <c r="V55" s="17">
        <f>'AEO 2023 Table 47 Raw'!Y42</f>
        <v>454.223206</v>
      </c>
      <c r="W55" s="17">
        <f>'AEO 2023 Table 47 Raw'!Z42</f>
        <v>472.74136399999998</v>
      </c>
      <c r="X55" s="17">
        <f>'AEO 2023 Table 47 Raw'!AA42</f>
        <v>491.70300300000002</v>
      </c>
      <c r="Y55" s="17">
        <f>'AEO 2023 Table 47 Raw'!AB42</f>
        <v>511.12606799999998</v>
      </c>
      <c r="Z55" s="17">
        <f>'AEO 2023 Table 47 Raw'!AC42</f>
        <v>530.98492399999998</v>
      </c>
      <c r="AA55" s="17">
        <f>'AEO 2023 Table 47 Raw'!AD42</f>
        <v>550.75610400000005</v>
      </c>
      <c r="AB55" s="17">
        <f>'AEO 2023 Table 47 Raw'!AE42</f>
        <v>570.81701699999996</v>
      </c>
      <c r="AC55" s="17">
        <f>'AEO 2023 Table 47 Raw'!AF42</f>
        <v>591.32055700000001</v>
      </c>
      <c r="AD55" s="17">
        <f>'AEO 2023 Table 47 Raw'!AG42</f>
        <v>612.31854199999998</v>
      </c>
      <c r="AE55" s="17">
        <f>'AEO 2023 Table 47 Raw'!AH42</f>
        <v>633.87719700000002</v>
      </c>
      <c r="AF55" s="30">
        <f>'AEO 2023 Table 47 Raw'!AI42</f>
        <v>6.0999999999999999E-2</v>
      </c>
    </row>
    <row r="56" spans="1:32" ht="15" customHeight="1">
      <c r="A56" s="7" t="s">
        <v>569</v>
      </c>
      <c r="B56" s="16" t="s">
        <v>570</v>
      </c>
      <c r="C56" s="17">
        <f>'AEO 2023 Table 47 Raw'!F43</f>
        <v>25.162047999999999</v>
      </c>
      <c r="D56" s="17">
        <f>'AEO 2023 Table 47 Raw'!G43</f>
        <v>33.757781999999999</v>
      </c>
      <c r="E56" s="17">
        <f>'AEO 2023 Table 47 Raw'!H43</f>
        <v>43.291224999999997</v>
      </c>
      <c r="F56" s="17">
        <f>'AEO 2023 Table 47 Raw'!I43</f>
        <v>49.386383000000002</v>
      </c>
      <c r="G56" s="17">
        <f>'AEO 2023 Table 47 Raw'!J43</f>
        <v>51.574387000000002</v>
      </c>
      <c r="H56" s="17">
        <f>'AEO 2023 Table 47 Raw'!K43</f>
        <v>53.530833999999999</v>
      </c>
      <c r="I56" s="17">
        <f>'AEO 2023 Table 47 Raw'!L43</f>
        <v>55.570011000000001</v>
      </c>
      <c r="J56" s="17">
        <f>'AEO 2023 Table 47 Raw'!M43</f>
        <v>57.661495000000002</v>
      </c>
      <c r="K56" s="17">
        <f>'AEO 2023 Table 47 Raw'!N43</f>
        <v>59.811988999999997</v>
      </c>
      <c r="L56" s="17">
        <f>'AEO 2023 Table 47 Raw'!O43</f>
        <v>61.987437999999997</v>
      </c>
      <c r="M56" s="17">
        <f>'AEO 2023 Table 47 Raw'!P43</f>
        <v>64.196487000000005</v>
      </c>
      <c r="N56" s="17">
        <f>'AEO 2023 Table 47 Raw'!Q43</f>
        <v>66.463004999999995</v>
      </c>
      <c r="O56" s="17">
        <f>'AEO 2023 Table 47 Raw'!R43</f>
        <v>68.793846000000002</v>
      </c>
      <c r="P56" s="17">
        <f>'AEO 2023 Table 47 Raw'!S43</f>
        <v>71.198943999999997</v>
      </c>
      <c r="Q56" s="17">
        <f>'AEO 2023 Table 47 Raw'!T43</f>
        <v>73.662277000000003</v>
      </c>
      <c r="R56" s="17">
        <f>'AEO 2023 Table 47 Raw'!U43</f>
        <v>76.193236999999996</v>
      </c>
      <c r="S56" s="17">
        <f>'AEO 2023 Table 47 Raw'!V43</f>
        <v>78.792975999999996</v>
      </c>
      <c r="T56" s="17">
        <f>'AEO 2023 Table 47 Raw'!W43</f>
        <v>81.454643000000004</v>
      </c>
      <c r="U56" s="17">
        <f>'AEO 2023 Table 47 Raw'!X43</f>
        <v>84.179428000000001</v>
      </c>
      <c r="V56" s="17">
        <f>'AEO 2023 Table 47 Raw'!Y43</f>
        <v>86.959701999999993</v>
      </c>
      <c r="W56" s="17">
        <f>'AEO 2023 Table 47 Raw'!Z43</f>
        <v>89.805481</v>
      </c>
      <c r="X56" s="17">
        <f>'AEO 2023 Table 47 Raw'!AA43</f>
        <v>92.720855999999998</v>
      </c>
      <c r="Y56" s="17">
        <f>'AEO 2023 Table 47 Raw'!AB43</f>
        <v>95.706917000000004</v>
      </c>
      <c r="Z56" s="17">
        <f>'AEO 2023 Table 47 Raw'!AC43</f>
        <v>98.766266000000002</v>
      </c>
      <c r="AA56" s="17">
        <f>'AEO 2023 Table 47 Raw'!AD43</f>
        <v>101.88080600000001</v>
      </c>
      <c r="AB56" s="17">
        <f>'AEO 2023 Table 47 Raw'!AE43</f>
        <v>105.06590300000001</v>
      </c>
      <c r="AC56" s="17">
        <f>'AEO 2023 Table 47 Raw'!AF43</f>
        <v>108.32765999999999</v>
      </c>
      <c r="AD56" s="17">
        <f>'AEO 2023 Table 47 Raw'!AG43</f>
        <v>111.667374</v>
      </c>
      <c r="AE56" s="17">
        <f>'AEO 2023 Table 47 Raw'!AH43</f>
        <v>115.087654</v>
      </c>
      <c r="AF56" s="30">
        <f>'AEO 2023 Table 47 Raw'!AI43</f>
        <v>5.6000000000000001E-2</v>
      </c>
    </row>
    <row r="57" spans="1:32" ht="15" customHeight="1">
      <c r="A57" s="7" t="s">
        <v>571</v>
      </c>
      <c r="B57" s="16" t="s">
        <v>572</v>
      </c>
      <c r="C57" s="17">
        <f>'AEO 2023 Table 47 Raw'!F44</f>
        <v>21.436751999999998</v>
      </c>
      <c r="D57" s="17">
        <f>'AEO 2023 Table 47 Raw'!G44</f>
        <v>27.598734</v>
      </c>
      <c r="E57" s="17">
        <f>'AEO 2023 Table 47 Raw'!H44</f>
        <v>35.583275</v>
      </c>
      <c r="F57" s="17">
        <f>'AEO 2023 Table 47 Raw'!I44</f>
        <v>40.530216000000003</v>
      </c>
      <c r="G57" s="17">
        <f>'AEO 2023 Table 47 Raw'!J44</f>
        <v>42.960293</v>
      </c>
      <c r="H57" s="17">
        <f>'AEO 2023 Table 47 Raw'!K44</f>
        <v>45.071503</v>
      </c>
      <c r="I57" s="17">
        <f>'AEO 2023 Table 47 Raw'!L44</f>
        <v>47.258926000000002</v>
      </c>
      <c r="J57" s="17">
        <f>'AEO 2023 Table 47 Raw'!M44</f>
        <v>49.535010999999997</v>
      </c>
      <c r="K57" s="17">
        <f>'AEO 2023 Table 47 Raw'!N44</f>
        <v>51.919395000000002</v>
      </c>
      <c r="L57" s="17">
        <f>'AEO 2023 Table 47 Raw'!O44</f>
        <v>54.415638000000001</v>
      </c>
      <c r="M57" s="17">
        <f>'AEO 2023 Table 47 Raw'!P44</f>
        <v>57.007767000000001</v>
      </c>
      <c r="N57" s="17">
        <f>'AEO 2023 Table 47 Raw'!Q44</f>
        <v>59.691803</v>
      </c>
      <c r="O57" s="17">
        <f>'AEO 2023 Table 47 Raw'!R44</f>
        <v>62.468406999999999</v>
      </c>
      <c r="P57" s="17">
        <f>'AEO 2023 Table 47 Raw'!S44</f>
        <v>65.338493</v>
      </c>
      <c r="Q57" s="17">
        <f>'AEO 2023 Table 47 Raw'!T44</f>
        <v>68.332961999999995</v>
      </c>
      <c r="R57" s="17">
        <f>'AEO 2023 Table 47 Raw'!U44</f>
        <v>71.430465999999996</v>
      </c>
      <c r="S57" s="17">
        <f>'AEO 2023 Table 47 Raw'!V44</f>
        <v>74.628899000000004</v>
      </c>
      <c r="T57" s="17">
        <f>'AEO 2023 Table 47 Raw'!W44</f>
        <v>77.928932000000003</v>
      </c>
      <c r="U57" s="17">
        <f>'AEO 2023 Table 47 Raw'!X44</f>
        <v>81.334746999999993</v>
      </c>
      <c r="V57" s="17">
        <f>'AEO 2023 Table 47 Raw'!Y44</f>
        <v>84.875998999999993</v>
      </c>
      <c r="W57" s="17">
        <f>'AEO 2023 Table 47 Raw'!Z44</f>
        <v>88.529678000000004</v>
      </c>
      <c r="X57" s="17">
        <f>'AEO 2023 Table 47 Raw'!AA44</f>
        <v>92.295119999999997</v>
      </c>
      <c r="Y57" s="17">
        <f>'AEO 2023 Table 47 Raw'!AB44</f>
        <v>96.174530000000004</v>
      </c>
      <c r="Z57" s="17">
        <f>'AEO 2023 Table 47 Raw'!AC44</f>
        <v>100.172386</v>
      </c>
      <c r="AA57" s="17">
        <f>'AEO 2023 Table 47 Raw'!AD44</f>
        <v>104.314087</v>
      </c>
      <c r="AB57" s="17">
        <f>'AEO 2023 Table 47 Raw'!AE44</f>
        <v>108.579628</v>
      </c>
      <c r="AC57" s="17">
        <f>'AEO 2023 Table 47 Raw'!AF44</f>
        <v>112.96938299999999</v>
      </c>
      <c r="AD57" s="17">
        <f>'AEO 2023 Table 47 Raw'!AG44</f>
        <v>117.485657</v>
      </c>
      <c r="AE57" s="17">
        <f>'AEO 2023 Table 47 Raw'!AH44</f>
        <v>122.13298</v>
      </c>
      <c r="AF57" s="30">
        <f>'AEO 2023 Table 47 Raw'!AI44</f>
        <v>6.4000000000000001E-2</v>
      </c>
    </row>
    <row r="58" spans="1:32" ht="15" customHeight="1">
      <c r="B58" s="15" t="s">
        <v>573</v>
      </c>
      <c r="AF58" s="33"/>
    </row>
    <row r="59" spans="1:32" ht="15" customHeight="1">
      <c r="A59" s="7" t="s">
        <v>574</v>
      </c>
      <c r="B59" s="16" t="s">
        <v>548</v>
      </c>
      <c r="C59" s="17">
        <f>'AEO 2023 Table 47 Raw'!F46</f>
        <v>25.34132</v>
      </c>
      <c r="D59" s="17">
        <f>'AEO 2023 Table 47 Raw'!G46</f>
        <v>30.831939999999999</v>
      </c>
      <c r="E59" s="17">
        <f>'AEO 2023 Table 47 Raw'!H46</f>
        <v>34.844315000000002</v>
      </c>
      <c r="F59" s="17">
        <f>'AEO 2023 Table 47 Raw'!I46</f>
        <v>35.958019</v>
      </c>
      <c r="G59" s="17">
        <f>'AEO 2023 Table 47 Raw'!J46</f>
        <v>37.186523000000001</v>
      </c>
      <c r="H59" s="17">
        <f>'AEO 2023 Table 47 Raw'!K46</f>
        <v>38.400398000000003</v>
      </c>
      <c r="I59" s="17">
        <f>'AEO 2023 Table 47 Raw'!L46</f>
        <v>39.597152999999999</v>
      </c>
      <c r="J59" s="17">
        <f>'AEO 2023 Table 47 Raw'!M46</f>
        <v>40.775063000000003</v>
      </c>
      <c r="K59" s="17">
        <f>'AEO 2023 Table 47 Raw'!N46</f>
        <v>41.934654000000002</v>
      </c>
      <c r="L59" s="17">
        <f>'AEO 2023 Table 47 Raw'!O46</f>
        <v>43.060527999999998</v>
      </c>
      <c r="M59" s="17">
        <f>'AEO 2023 Table 47 Raw'!P46</f>
        <v>44.201756000000003</v>
      </c>
      <c r="N59" s="17">
        <f>'AEO 2023 Table 47 Raw'!Q46</f>
        <v>45.363827000000001</v>
      </c>
      <c r="O59" s="17">
        <f>'AEO 2023 Table 47 Raw'!R46</f>
        <v>46.548321000000001</v>
      </c>
      <c r="P59" s="17">
        <f>'AEO 2023 Table 47 Raw'!S46</f>
        <v>47.756633999999998</v>
      </c>
      <c r="Q59" s="17">
        <f>'AEO 2023 Table 47 Raw'!T46</f>
        <v>48.983604</v>
      </c>
      <c r="R59" s="17">
        <f>'AEO 2023 Table 47 Raw'!U46</f>
        <v>50.236697999999997</v>
      </c>
      <c r="S59" s="17">
        <f>'AEO 2023 Table 47 Raw'!V46</f>
        <v>51.516010000000001</v>
      </c>
      <c r="T59" s="17">
        <f>'AEO 2023 Table 47 Raw'!W46</f>
        <v>52.821052999999999</v>
      </c>
      <c r="U59" s="17">
        <f>'AEO 2023 Table 47 Raw'!X46</f>
        <v>54.150795000000002</v>
      </c>
      <c r="V59" s="17">
        <f>'AEO 2023 Table 47 Raw'!Y46</f>
        <v>55.505904999999998</v>
      </c>
      <c r="W59" s="17">
        <f>'AEO 2023 Table 47 Raw'!Z46</f>
        <v>56.886997000000001</v>
      </c>
      <c r="X59" s="17">
        <f>'AEO 2023 Table 47 Raw'!AA46</f>
        <v>58.293770000000002</v>
      </c>
      <c r="Y59" s="17">
        <f>'AEO 2023 Table 47 Raw'!AB46</f>
        <v>59.725966999999997</v>
      </c>
      <c r="Z59" s="17">
        <f>'AEO 2023 Table 47 Raw'!AC46</f>
        <v>61.183010000000003</v>
      </c>
      <c r="AA59" s="17">
        <f>'AEO 2023 Table 47 Raw'!AD46</f>
        <v>62.647793</v>
      </c>
      <c r="AB59" s="17">
        <f>'AEO 2023 Table 47 Raw'!AE46</f>
        <v>64.137566000000007</v>
      </c>
      <c r="AC59" s="17">
        <f>'AEO 2023 Table 47 Raw'!AF46</f>
        <v>65.652901</v>
      </c>
      <c r="AD59" s="17">
        <f>'AEO 2023 Table 47 Raw'!AG46</f>
        <v>67.194282999999999</v>
      </c>
      <c r="AE59" s="17">
        <f>'AEO 2023 Table 47 Raw'!AH46</f>
        <v>68.761512999999994</v>
      </c>
      <c r="AF59" s="30">
        <f>'AEO 2023 Table 47 Raw'!AI46</f>
        <v>3.5999999999999997E-2</v>
      </c>
    </row>
    <row r="60" spans="1:32" ht="15" customHeight="1">
      <c r="A60" s="7" t="s">
        <v>575</v>
      </c>
      <c r="B60" s="16" t="s">
        <v>550</v>
      </c>
      <c r="C60" s="17">
        <f>'AEO 2023 Table 47 Raw'!F47</f>
        <v>2031.443481</v>
      </c>
      <c r="D60" s="17">
        <f>'AEO 2023 Table 47 Raw'!G47</f>
        <v>2328.2434079999998</v>
      </c>
      <c r="E60" s="17">
        <f>'AEO 2023 Table 47 Raw'!H47</f>
        <v>2524.6442870000001</v>
      </c>
      <c r="F60" s="17">
        <f>'AEO 2023 Table 47 Raw'!I47</f>
        <v>2664.3542480000001</v>
      </c>
      <c r="G60" s="17">
        <f>'AEO 2023 Table 47 Raw'!J47</f>
        <v>2771.4008789999998</v>
      </c>
      <c r="H60" s="17">
        <f>'AEO 2023 Table 47 Raw'!K47</f>
        <v>2867.1066890000002</v>
      </c>
      <c r="I60" s="17">
        <f>'AEO 2023 Table 47 Raw'!L47</f>
        <v>2964.1140140000002</v>
      </c>
      <c r="J60" s="17">
        <f>'AEO 2023 Table 47 Raw'!M47</f>
        <v>3060.1589359999998</v>
      </c>
      <c r="K60" s="17">
        <f>'AEO 2023 Table 47 Raw'!N47</f>
        <v>3155.1308589999999</v>
      </c>
      <c r="L60" s="17">
        <f>'AEO 2023 Table 47 Raw'!O47</f>
        <v>3252.639893</v>
      </c>
      <c r="M60" s="17">
        <f>'AEO 2023 Table 47 Raw'!P47</f>
        <v>3355.9975589999999</v>
      </c>
      <c r="N60" s="17">
        <f>'AEO 2023 Table 47 Raw'!Q47</f>
        <v>3460.9008789999998</v>
      </c>
      <c r="O60" s="17">
        <f>'AEO 2023 Table 47 Raw'!R47</f>
        <v>3563.7053219999998</v>
      </c>
      <c r="P60" s="17">
        <f>'AEO 2023 Table 47 Raw'!S47</f>
        <v>3667.5942380000001</v>
      </c>
      <c r="Q60" s="17">
        <f>'AEO 2023 Table 47 Raw'!T47</f>
        <v>3774.619385</v>
      </c>
      <c r="R60" s="17">
        <f>'AEO 2023 Table 47 Raw'!U47</f>
        <v>3885.2897950000001</v>
      </c>
      <c r="S60" s="17">
        <f>'AEO 2023 Table 47 Raw'!V47</f>
        <v>3999.758057</v>
      </c>
      <c r="T60" s="17">
        <f>'AEO 2023 Table 47 Raw'!W47</f>
        <v>4116.8779299999997</v>
      </c>
      <c r="U60" s="17">
        <f>'AEO 2023 Table 47 Raw'!X47</f>
        <v>4238.2216799999997</v>
      </c>
      <c r="V60" s="17">
        <f>'AEO 2023 Table 47 Raw'!Y47</f>
        <v>4361.3129879999997</v>
      </c>
      <c r="W60" s="17">
        <f>'AEO 2023 Table 47 Raw'!Z47</f>
        <v>4487.5444340000004</v>
      </c>
      <c r="X60" s="17">
        <f>'AEO 2023 Table 47 Raw'!AA47</f>
        <v>4616.3706050000001</v>
      </c>
      <c r="Y60" s="17">
        <f>'AEO 2023 Table 47 Raw'!AB47</f>
        <v>4747.2202150000003</v>
      </c>
      <c r="Z60" s="17">
        <f>'AEO 2023 Table 47 Raw'!AC47</f>
        <v>4878.6381840000004</v>
      </c>
      <c r="AA60" s="17">
        <f>'AEO 2023 Table 47 Raw'!AD47</f>
        <v>5011.4672849999997</v>
      </c>
      <c r="AB60" s="17">
        <f>'AEO 2023 Table 47 Raw'!AE47</f>
        <v>5146.673828</v>
      </c>
      <c r="AC60" s="17">
        <f>'AEO 2023 Table 47 Raw'!AF47</f>
        <v>5284.0668949999999</v>
      </c>
      <c r="AD60" s="17">
        <f>'AEO 2023 Table 47 Raw'!AG47</f>
        <v>5423.0380859999996</v>
      </c>
      <c r="AE60" s="17">
        <f>'AEO 2023 Table 47 Raw'!AH47</f>
        <v>5563.5517579999996</v>
      </c>
      <c r="AF60" s="30">
        <f>'AEO 2023 Table 47 Raw'!AI47</f>
        <v>3.6999999999999998E-2</v>
      </c>
    </row>
    <row r="61" spans="1:32" ht="15" customHeight="1">
      <c r="A61" s="7" t="s">
        <v>576</v>
      </c>
      <c r="B61" s="16" t="s">
        <v>552</v>
      </c>
      <c r="C61" s="17">
        <f>'AEO 2023 Table 47 Raw'!F48</f>
        <v>0</v>
      </c>
      <c r="D61" s="17">
        <f>'AEO 2023 Table 47 Raw'!G48</f>
        <v>0</v>
      </c>
      <c r="E61" s="17">
        <f>'AEO 2023 Table 47 Raw'!H48</f>
        <v>0</v>
      </c>
      <c r="F61" s="17">
        <f>'AEO 2023 Table 47 Raw'!I48</f>
        <v>0</v>
      </c>
      <c r="G61" s="17">
        <f>'AEO 2023 Table 47 Raw'!J48</f>
        <v>0</v>
      </c>
      <c r="H61" s="17">
        <f>'AEO 2023 Table 47 Raw'!K48</f>
        <v>0</v>
      </c>
      <c r="I61" s="17">
        <f>'AEO 2023 Table 47 Raw'!L48</f>
        <v>0</v>
      </c>
      <c r="J61" s="17">
        <f>'AEO 2023 Table 47 Raw'!M48</f>
        <v>0</v>
      </c>
      <c r="K61" s="17">
        <f>'AEO 2023 Table 47 Raw'!N48</f>
        <v>0</v>
      </c>
      <c r="L61" s="17">
        <f>'AEO 2023 Table 47 Raw'!O48</f>
        <v>0</v>
      </c>
      <c r="M61" s="17">
        <f>'AEO 2023 Table 47 Raw'!P48</f>
        <v>0</v>
      </c>
      <c r="N61" s="17">
        <f>'AEO 2023 Table 47 Raw'!Q48</f>
        <v>0</v>
      </c>
      <c r="O61" s="17">
        <f>'AEO 2023 Table 47 Raw'!R48</f>
        <v>0</v>
      </c>
      <c r="P61" s="17">
        <f>'AEO 2023 Table 47 Raw'!S48</f>
        <v>0</v>
      </c>
      <c r="Q61" s="17">
        <f>'AEO 2023 Table 47 Raw'!T48</f>
        <v>0</v>
      </c>
      <c r="R61" s="17">
        <f>'AEO 2023 Table 47 Raw'!U48</f>
        <v>0</v>
      </c>
      <c r="S61" s="17">
        <f>'AEO 2023 Table 47 Raw'!V48</f>
        <v>0</v>
      </c>
      <c r="T61" s="17">
        <f>'AEO 2023 Table 47 Raw'!W48</f>
        <v>0</v>
      </c>
      <c r="U61" s="17">
        <f>'AEO 2023 Table 47 Raw'!X48</f>
        <v>0</v>
      </c>
      <c r="V61" s="17">
        <f>'AEO 2023 Table 47 Raw'!Y48</f>
        <v>0</v>
      </c>
      <c r="W61" s="17">
        <f>'AEO 2023 Table 47 Raw'!Z48</f>
        <v>0</v>
      </c>
      <c r="X61" s="17">
        <f>'AEO 2023 Table 47 Raw'!AA48</f>
        <v>0</v>
      </c>
      <c r="Y61" s="17">
        <f>'AEO 2023 Table 47 Raw'!AB48</f>
        <v>0</v>
      </c>
      <c r="Z61" s="17">
        <f>'AEO 2023 Table 47 Raw'!AC48</f>
        <v>0</v>
      </c>
      <c r="AA61" s="17">
        <f>'AEO 2023 Table 47 Raw'!AD48</f>
        <v>0</v>
      </c>
      <c r="AB61" s="17">
        <f>'AEO 2023 Table 47 Raw'!AE48</f>
        <v>0</v>
      </c>
      <c r="AC61" s="17">
        <f>'AEO 2023 Table 47 Raw'!AF48</f>
        <v>0</v>
      </c>
      <c r="AD61" s="17">
        <f>'AEO 2023 Table 47 Raw'!AG48</f>
        <v>0</v>
      </c>
      <c r="AE61" s="17">
        <f>'AEO 2023 Table 47 Raw'!AH48</f>
        <v>0</v>
      </c>
      <c r="AF61" s="30">
        <f>'AEO 2023 Table 47 Raw'!AI48</f>
        <v>0</v>
      </c>
    </row>
    <row r="62" spans="1:32" ht="15" customHeight="1">
      <c r="A62" s="7" t="s">
        <v>577</v>
      </c>
      <c r="B62" s="16" t="s">
        <v>554</v>
      </c>
      <c r="C62" s="17">
        <f>'AEO 2023 Table 47 Raw'!F49</f>
        <v>243.14546200000001</v>
      </c>
      <c r="D62" s="17">
        <f>'AEO 2023 Table 47 Raw'!G49</f>
        <v>335.79156499999999</v>
      </c>
      <c r="E62" s="17">
        <f>'AEO 2023 Table 47 Raw'!H49</f>
        <v>383.935181</v>
      </c>
      <c r="F62" s="17">
        <f>'AEO 2023 Table 47 Raw'!I49</f>
        <v>400.52246100000002</v>
      </c>
      <c r="G62" s="17">
        <f>'AEO 2023 Table 47 Raw'!J49</f>
        <v>407.61910999999998</v>
      </c>
      <c r="H62" s="17">
        <f>'AEO 2023 Table 47 Raw'!K49</f>
        <v>414.49111900000003</v>
      </c>
      <c r="I62" s="17">
        <f>'AEO 2023 Table 47 Raw'!L49</f>
        <v>421.393036</v>
      </c>
      <c r="J62" s="17">
        <f>'AEO 2023 Table 47 Raw'!M49</f>
        <v>427.40426600000001</v>
      </c>
      <c r="K62" s="17">
        <f>'AEO 2023 Table 47 Raw'!N49</f>
        <v>432.63568099999998</v>
      </c>
      <c r="L62" s="17">
        <f>'AEO 2023 Table 47 Raw'!O49</f>
        <v>438.49890099999999</v>
      </c>
      <c r="M62" s="17">
        <f>'AEO 2023 Table 47 Raw'!P49</f>
        <v>446.48907500000001</v>
      </c>
      <c r="N62" s="17">
        <f>'AEO 2023 Table 47 Raw'!Q49</f>
        <v>454.73223899999999</v>
      </c>
      <c r="O62" s="17">
        <f>'AEO 2023 Table 47 Raw'!R49</f>
        <v>461.52075200000002</v>
      </c>
      <c r="P62" s="17">
        <f>'AEO 2023 Table 47 Raw'!S49</f>
        <v>468.21243299999998</v>
      </c>
      <c r="Q62" s="17">
        <f>'AEO 2023 Table 47 Raw'!T49</f>
        <v>475.80575599999997</v>
      </c>
      <c r="R62" s="17">
        <f>'AEO 2023 Table 47 Raw'!U49</f>
        <v>484.48400900000001</v>
      </c>
      <c r="S62" s="17">
        <f>'AEO 2023 Table 47 Raw'!V49</f>
        <v>494.31170700000001</v>
      </c>
      <c r="T62" s="17">
        <f>'AEO 2023 Table 47 Raw'!W49</f>
        <v>504.67654399999998</v>
      </c>
      <c r="U62" s="17">
        <f>'AEO 2023 Table 47 Raw'!X49</f>
        <v>516.08764599999995</v>
      </c>
      <c r="V62" s="17">
        <f>'AEO 2023 Table 47 Raw'!Y49</f>
        <v>527.31774900000005</v>
      </c>
      <c r="W62" s="17">
        <f>'AEO 2023 Table 47 Raw'!Z49</f>
        <v>538.96856700000001</v>
      </c>
      <c r="X62" s="17">
        <f>'AEO 2023 Table 47 Raw'!AA49</f>
        <v>550.96636999999998</v>
      </c>
      <c r="Y62" s="17">
        <f>'AEO 2023 Table 47 Raw'!AB49</f>
        <v>563.28277600000001</v>
      </c>
      <c r="Z62" s="17">
        <f>'AEO 2023 Table 47 Raw'!AC49</f>
        <v>575.50067100000001</v>
      </c>
      <c r="AA62" s="17">
        <f>'AEO 2023 Table 47 Raw'!AD49</f>
        <v>588.36859100000004</v>
      </c>
      <c r="AB62" s="17">
        <f>'AEO 2023 Table 47 Raw'!AE49</f>
        <v>602.04803500000003</v>
      </c>
      <c r="AC62" s="17">
        <f>'AEO 2023 Table 47 Raw'!AF49</f>
        <v>616.46588099999997</v>
      </c>
      <c r="AD62" s="17">
        <f>'AEO 2023 Table 47 Raw'!AG49</f>
        <v>631.54870600000004</v>
      </c>
      <c r="AE62" s="17">
        <f>'AEO 2023 Table 47 Raw'!AH49</f>
        <v>647.51074200000005</v>
      </c>
      <c r="AF62" s="30">
        <f>'AEO 2023 Table 47 Raw'!AI49</f>
        <v>3.5999999999999997E-2</v>
      </c>
    </row>
    <row r="63" spans="1:32" ht="15" customHeight="1">
      <c r="A63" s="7" t="s">
        <v>578</v>
      </c>
      <c r="B63" s="16" t="s">
        <v>556</v>
      </c>
      <c r="C63" s="17">
        <f>'AEO 2023 Table 47 Raw'!F50</f>
        <v>44.242100000000001</v>
      </c>
      <c r="D63" s="17">
        <f>'AEO 2023 Table 47 Raw'!G50</f>
        <v>57.959876999999999</v>
      </c>
      <c r="E63" s="17">
        <f>'AEO 2023 Table 47 Raw'!H50</f>
        <v>69.951576000000003</v>
      </c>
      <c r="F63" s="17">
        <f>'AEO 2023 Table 47 Raw'!I50</f>
        <v>78.945351000000002</v>
      </c>
      <c r="G63" s="17">
        <f>'AEO 2023 Table 47 Raw'!J50</f>
        <v>84.759506000000002</v>
      </c>
      <c r="H63" s="17">
        <f>'AEO 2023 Table 47 Raw'!K50</f>
        <v>89.937743999999995</v>
      </c>
      <c r="I63" s="17">
        <f>'AEO 2023 Table 47 Raw'!L50</f>
        <v>92.223777999999996</v>
      </c>
      <c r="J63" s="17">
        <f>'AEO 2023 Table 47 Raw'!M50</f>
        <v>94.555144999999996</v>
      </c>
      <c r="K63" s="17">
        <f>'AEO 2023 Table 47 Raw'!N50</f>
        <v>96.929855000000003</v>
      </c>
      <c r="L63" s="17">
        <f>'AEO 2023 Table 47 Raw'!O50</f>
        <v>99.348456999999996</v>
      </c>
      <c r="M63" s="17">
        <f>'AEO 2023 Table 47 Raw'!P50</f>
        <v>101.810303</v>
      </c>
      <c r="N63" s="17">
        <f>'AEO 2023 Table 47 Raw'!Q50</f>
        <v>104.31398</v>
      </c>
      <c r="O63" s="17">
        <f>'AEO 2023 Table 47 Raw'!R50</f>
        <v>106.860016</v>
      </c>
      <c r="P63" s="17">
        <f>'AEO 2023 Table 47 Raw'!S50</f>
        <v>109.449196</v>
      </c>
      <c r="Q63" s="17">
        <f>'AEO 2023 Table 47 Raw'!T50</f>
        <v>112.081863</v>
      </c>
      <c r="R63" s="17">
        <f>'AEO 2023 Table 47 Raw'!U50</f>
        <v>114.759064</v>
      </c>
      <c r="S63" s="17">
        <f>'AEO 2023 Table 47 Raw'!V50</f>
        <v>117.48131600000001</v>
      </c>
      <c r="T63" s="17">
        <f>'AEO 2023 Table 47 Raw'!W50</f>
        <v>120.24996899999999</v>
      </c>
      <c r="U63" s="17">
        <f>'AEO 2023 Table 47 Raw'!X50</f>
        <v>123.06551399999999</v>
      </c>
      <c r="V63" s="17">
        <f>'AEO 2023 Table 47 Raw'!Y50</f>
        <v>125.92826100000001</v>
      </c>
      <c r="W63" s="17">
        <f>'AEO 2023 Table 47 Raw'!Z50</f>
        <v>128.839752</v>
      </c>
      <c r="X63" s="17">
        <f>'AEO 2023 Table 47 Raw'!AA50</f>
        <v>131.79995700000001</v>
      </c>
      <c r="Y63" s="17">
        <f>'AEO 2023 Table 47 Raw'!AB50</f>
        <v>134.81431599999999</v>
      </c>
      <c r="Z63" s="17">
        <f>'AEO 2023 Table 47 Raw'!AC50</f>
        <v>137.88580300000001</v>
      </c>
      <c r="AA63" s="17">
        <f>'AEO 2023 Table 47 Raw'!AD50</f>
        <v>141.01591500000001</v>
      </c>
      <c r="AB63" s="17">
        <f>'AEO 2023 Table 47 Raw'!AE50</f>
        <v>144.20684800000001</v>
      </c>
      <c r="AC63" s="17">
        <f>'AEO 2023 Table 47 Raw'!AF50</f>
        <v>147.46043399999999</v>
      </c>
      <c r="AD63" s="17">
        <f>'AEO 2023 Table 47 Raw'!AG50</f>
        <v>150.77969400000001</v>
      </c>
      <c r="AE63" s="17">
        <f>'AEO 2023 Table 47 Raw'!AH50</f>
        <v>154.16679400000001</v>
      </c>
      <c r="AF63" s="30">
        <f>'AEO 2023 Table 47 Raw'!AI50</f>
        <v>4.5999999999999999E-2</v>
      </c>
    </row>
    <row r="64" spans="1:32" ht="15" customHeight="1">
      <c r="A64" s="7" t="s">
        <v>579</v>
      </c>
      <c r="B64" s="16" t="s">
        <v>558</v>
      </c>
      <c r="C64" s="17">
        <f>'AEO 2023 Table 47 Raw'!F51</f>
        <v>29.798960000000001</v>
      </c>
      <c r="D64" s="17">
        <f>'AEO 2023 Table 47 Raw'!G51</f>
        <v>40.311973999999999</v>
      </c>
      <c r="E64" s="17">
        <f>'AEO 2023 Table 47 Raw'!H51</f>
        <v>50.607475000000001</v>
      </c>
      <c r="F64" s="17">
        <f>'AEO 2023 Table 47 Raw'!I51</f>
        <v>59.090389000000002</v>
      </c>
      <c r="G64" s="17">
        <f>'AEO 2023 Table 47 Raw'!J51</f>
        <v>65.108185000000006</v>
      </c>
      <c r="H64" s="17">
        <f>'AEO 2023 Table 47 Raw'!K51</f>
        <v>68.878365000000002</v>
      </c>
      <c r="I64" s="17">
        <f>'AEO 2023 Table 47 Raw'!L51</f>
        <v>71.778519000000003</v>
      </c>
      <c r="J64" s="17">
        <f>'AEO 2023 Table 47 Raw'!M51</f>
        <v>74.124474000000006</v>
      </c>
      <c r="K64" s="17">
        <f>'AEO 2023 Table 47 Raw'!N51</f>
        <v>76.529831000000001</v>
      </c>
      <c r="L64" s="17">
        <f>'AEO 2023 Table 47 Raw'!O51</f>
        <v>78.988663000000003</v>
      </c>
      <c r="M64" s="17">
        <f>'AEO 2023 Table 47 Raw'!P51</f>
        <v>81.514861999999994</v>
      </c>
      <c r="N64" s="17">
        <f>'AEO 2023 Table 47 Raw'!Q51</f>
        <v>84.099945000000005</v>
      </c>
      <c r="O64" s="17">
        <f>'AEO 2023 Table 47 Raw'!R51</f>
        <v>86.744704999999996</v>
      </c>
      <c r="P64" s="17">
        <f>'AEO 2023 Table 47 Raw'!S51</f>
        <v>89.448975000000004</v>
      </c>
      <c r="Q64" s="17">
        <f>'AEO 2023 Table 47 Raw'!T51</f>
        <v>92.207825</v>
      </c>
      <c r="R64" s="17">
        <f>'AEO 2023 Table 47 Raw'!U51</f>
        <v>95.026832999999996</v>
      </c>
      <c r="S64" s="17">
        <f>'AEO 2023 Table 47 Raw'!V51</f>
        <v>97.907409999999999</v>
      </c>
      <c r="T64" s="17">
        <f>'AEO 2023 Table 47 Raw'!W51</f>
        <v>100.85034899999999</v>
      </c>
      <c r="U64" s="17">
        <f>'AEO 2023 Table 47 Raw'!X51</f>
        <v>103.85659800000001</v>
      </c>
      <c r="V64" s="17">
        <f>'AEO 2023 Table 47 Raw'!Y51</f>
        <v>106.912582</v>
      </c>
      <c r="W64" s="17">
        <f>'AEO 2023 Table 47 Raw'!Z51</f>
        <v>110.031853</v>
      </c>
      <c r="X64" s="17">
        <f>'AEO 2023 Table 47 Raw'!AA51</f>
        <v>113.21547700000001</v>
      </c>
      <c r="Y64" s="17">
        <f>'AEO 2023 Table 47 Raw'!AB51</f>
        <v>116.464378</v>
      </c>
      <c r="Z64" s="17">
        <f>'AEO 2023 Table 47 Raw'!AC51</f>
        <v>119.778374</v>
      </c>
      <c r="AA64" s="17">
        <f>'AEO 2023 Table 47 Raw'!AD51</f>
        <v>123.13962600000001</v>
      </c>
      <c r="AB64" s="17">
        <f>'AEO 2023 Table 47 Raw'!AE51</f>
        <v>126.56178300000001</v>
      </c>
      <c r="AC64" s="17">
        <f>'AEO 2023 Table 47 Raw'!AF51</f>
        <v>130.05413799999999</v>
      </c>
      <c r="AD64" s="17">
        <f>'AEO 2023 Table 47 Raw'!AG51</f>
        <v>133.62745699999999</v>
      </c>
      <c r="AE64" s="17">
        <f>'AEO 2023 Table 47 Raw'!AH51</f>
        <v>137.290436</v>
      </c>
      <c r="AF64" s="30">
        <f>'AEO 2023 Table 47 Raw'!AI51</f>
        <v>5.6000000000000001E-2</v>
      </c>
    </row>
    <row r="65" spans="1:32" ht="15" customHeight="1">
      <c r="A65" s="7" t="s">
        <v>580</v>
      </c>
      <c r="B65" s="16" t="s">
        <v>560</v>
      </c>
      <c r="C65" s="17">
        <f>'AEO 2023 Table 47 Raw'!F52</f>
        <v>280.836365</v>
      </c>
      <c r="D65" s="17">
        <f>'AEO 2023 Table 47 Raw'!G52</f>
        <v>391.70883199999997</v>
      </c>
      <c r="E65" s="17">
        <f>'AEO 2023 Table 47 Raw'!H52</f>
        <v>486.74243200000001</v>
      </c>
      <c r="F65" s="17">
        <f>'AEO 2023 Table 47 Raw'!I52</f>
        <v>550.70733600000005</v>
      </c>
      <c r="G65" s="17">
        <f>'AEO 2023 Table 47 Raw'!J52</f>
        <v>603.09759499999996</v>
      </c>
      <c r="H65" s="17">
        <f>'AEO 2023 Table 47 Raw'!K52</f>
        <v>615.40289299999995</v>
      </c>
      <c r="I65" s="17">
        <f>'AEO 2023 Table 47 Raw'!L52</f>
        <v>627.85687299999995</v>
      </c>
      <c r="J65" s="17">
        <f>'AEO 2023 Table 47 Raw'!M52</f>
        <v>640.49560499999995</v>
      </c>
      <c r="K65" s="17">
        <f>'AEO 2023 Table 47 Raw'!N52</f>
        <v>653.34362799999997</v>
      </c>
      <c r="L65" s="17">
        <f>'AEO 2023 Table 47 Raw'!O52</f>
        <v>666.416382</v>
      </c>
      <c r="M65" s="17">
        <f>'AEO 2023 Table 47 Raw'!P52</f>
        <v>679.72045900000001</v>
      </c>
      <c r="N65" s="17">
        <f>'AEO 2023 Table 47 Raw'!Q52</f>
        <v>693.25176999999996</v>
      </c>
      <c r="O65" s="17">
        <f>'AEO 2023 Table 47 Raw'!R52</f>
        <v>706.99322500000005</v>
      </c>
      <c r="P65" s="17">
        <f>'AEO 2023 Table 47 Raw'!S52</f>
        <v>720.92309599999999</v>
      </c>
      <c r="Q65" s="17">
        <f>'AEO 2023 Table 47 Raw'!T52</f>
        <v>735.06103499999995</v>
      </c>
      <c r="R65" s="17">
        <f>'AEO 2023 Table 47 Raw'!U52</f>
        <v>749.42907700000001</v>
      </c>
      <c r="S65" s="17">
        <f>'AEO 2023 Table 47 Raw'!V52</f>
        <v>764.01898200000005</v>
      </c>
      <c r="T65" s="17">
        <f>'AEO 2023 Table 47 Raw'!W52</f>
        <v>778.82794200000001</v>
      </c>
      <c r="U65" s="17">
        <f>'AEO 2023 Table 47 Raw'!X52</f>
        <v>793.86084000000005</v>
      </c>
      <c r="V65" s="17">
        <f>'AEO 2023 Table 47 Raw'!Y52</f>
        <v>809.10955799999999</v>
      </c>
      <c r="W65" s="17">
        <f>'AEO 2023 Table 47 Raw'!Z52</f>
        <v>824.57147199999997</v>
      </c>
      <c r="X65" s="17">
        <f>'AEO 2023 Table 47 Raw'!AA52</f>
        <v>840.24200399999995</v>
      </c>
      <c r="Y65" s="17">
        <f>'AEO 2023 Table 47 Raw'!AB52</f>
        <v>856.11712599999998</v>
      </c>
      <c r="Z65" s="17">
        <f>'AEO 2023 Table 47 Raw'!AC52</f>
        <v>872.19311500000003</v>
      </c>
      <c r="AA65" s="17">
        <f>'AEO 2023 Table 47 Raw'!AD52</f>
        <v>888.45996100000002</v>
      </c>
      <c r="AB65" s="17">
        <f>'AEO 2023 Table 47 Raw'!AE52</f>
        <v>904.91650400000003</v>
      </c>
      <c r="AC65" s="17">
        <f>'AEO 2023 Table 47 Raw'!AF52</f>
        <v>921.58117700000003</v>
      </c>
      <c r="AD65" s="17">
        <f>'AEO 2023 Table 47 Raw'!AG52</f>
        <v>938.47827099999995</v>
      </c>
      <c r="AE65" s="17">
        <f>'AEO 2023 Table 47 Raw'!AH52</f>
        <v>955.62683100000004</v>
      </c>
      <c r="AF65" s="30">
        <f>'AEO 2023 Table 47 Raw'!AI52</f>
        <v>4.4999999999999998E-2</v>
      </c>
    </row>
    <row r="66" spans="1:32" ht="15" customHeight="1">
      <c r="A66" s="7" t="s">
        <v>581</v>
      </c>
      <c r="B66" s="16" t="s">
        <v>562</v>
      </c>
      <c r="C66" s="17">
        <f>'AEO 2023 Table 47 Raw'!F53</f>
        <v>26.796666999999999</v>
      </c>
      <c r="D66" s="17">
        <f>'AEO 2023 Table 47 Raw'!G53</f>
        <v>45.314689999999999</v>
      </c>
      <c r="E66" s="17">
        <f>'AEO 2023 Table 47 Raw'!H53</f>
        <v>64.486289999999997</v>
      </c>
      <c r="F66" s="17">
        <f>'AEO 2023 Table 47 Raw'!I53</f>
        <v>81.043578999999994</v>
      </c>
      <c r="G66" s="17">
        <f>'AEO 2023 Table 47 Raw'!J53</f>
        <v>93.134765999999999</v>
      </c>
      <c r="H66" s="17">
        <f>'AEO 2023 Table 47 Raw'!K53</f>
        <v>100.868759</v>
      </c>
      <c r="I66" s="17">
        <f>'AEO 2023 Table 47 Raw'!L53</f>
        <v>107.840248</v>
      </c>
      <c r="J66" s="17">
        <f>'AEO 2023 Table 47 Raw'!M53</f>
        <v>108.36943100000001</v>
      </c>
      <c r="K66" s="17">
        <f>'AEO 2023 Table 47 Raw'!N53</f>
        <v>108.73043800000001</v>
      </c>
      <c r="L66" s="17">
        <f>'AEO 2023 Table 47 Raw'!O53</f>
        <v>108.962463</v>
      </c>
      <c r="M66" s="17">
        <f>'AEO 2023 Table 47 Raw'!P53</f>
        <v>109.136337</v>
      </c>
      <c r="N66" s="17">
        <f>'AEO 2023 Table 47 Raw'!Q53</f>
        <v>109.31253100000001</v>
      </c>
      <c r="O66" s="17">
        <f>'AEO 2023 Table 47 Raw'!R53</f>
        <v>109.494522</v>
      </c>
      <c r="P66" s="17">
        <f>'AEO 2023 Table 47 Raw'!S53</f>
        <v>109.682007</v>
      </c>
      <c r="Q66" s="17">
        <f>'AEO 2023 Table 47 Raw'!T53</f>
        <v>109.874374</v>
      </c>
      <c r="R66" s="17">
        <f>'AEO 2023 Table 47 Raw'!U53</f>
        <v>110.07062500000001</v>
      </c>
      <c r="S66" s="17">
        <f>'AEO 2023 Table 47 Raw'!V53</f>
        <v>110.27067599999999</v>
      </c>
      <c r="T66" s="17">
        <f>'AEO 2023 Table 47 Raw'!W53</f>
        <v>110.472984</v>
      </c>
      <c r="U66" s="17">
        <f>'AEO 2023 Table 47 Raw'!X53</f>
        <v>110.676666</v>
      </c>
      <c r="V66" s="17">
        <f>'AEO 2023 Table 47 Raw'!Y53</f>
        <v>110.88208</v>
      </c>
      <c r="W66" s="17">
        <f>'AEO 2023 Table 47 Raw'!Z53</f>
        <v>111.08747099999999</v>
      </c>
      <c r="X66" s="17">
        <f>'AEO 2023 Table 47 Raw'!AA53</f>
        <v>111.293312</v>
      </c>
      <c r="Y66" s="17">
        <f>'AEO 2023 Table 47 Raw'!AB53</f>
        <v>111.50631</v>
      </c>
      <c r="Z66" s="17">
        <f>'AEO 2023 Table 47 Raw'!AC53</f>
        <v>111.74614699999999</v>
      </c>
      <c r="AA66" s="17">
        <f>'AEO 2023 Table 47 Raw'!AD53</f>
        <v>112.02600099999999</v>
      </c>
      <c r="AB66" s="17">
        <f>'AEO 2023 Table 47 Raw'!AE53</f>
        <v>112.349495</v>
      </c>
      <c r="AC66" s="17">
        <f>'AEO 2023 Table 47 Raw'!AF53</f>
        <v>112.717384</v>
      </c>
      <c r="AD66" s="17">
        <f>'AEO 2023 Table 47 Raw'!AG53</f>
        <v>113.130196</v>
      </c>
      <c r="AE66" s="17">
        <f>'AEO 2023 Table 47 Raw'!AH53</f>
        <v>113.58820299999999</v>
      </c>
      <c r="AF66" s="30">
        <f>'AEO 2023 Table 47 Raw'!AI53</f>
        <v>5.2999999999999999E-2</v>
      </c>
    </row>
    <row r="67" spans="1:32" ht="15" customHeight="1">
      <c r="A67" s="7" t="s">
        <v>582</v>
      </c>
      <c r="B67" s="16" t="s">
        <v>564</v>
      </c>
      <c r="C67" s="17">
        <f>'AEO 2023 Table 47 Raw'!F54</f>
        <v>25.196525999999999</v>
      </c>
      <c r="D67" s="17">
        <f>'AEO 2023 Table 47 Raw'!G54</f>
        <v>42.608761000000001</v>
      </c>
      <c r="E67" s="17">
        <f>'AEO 2023 Table 47 Raw'!H54</f>
        <v>60.635548</v>
      </c>
      <c r="F67" s="17">
        <f>'AEO 2023 Table 47 Raw'!I54</f>
        <v>76.204123999999993</v>
      </c>
      <c r="G67" s="17">
        <f>'AEO 2023 Table 47 Raw'!J54</f>
        <v>87.573295999999999</v>
      </c>
      <c r="H67" s="17">
        <f>'AEO 2023 Table 47 Raw'!K54</f>
        <v>94.845459000000005</v>
      </c>
      <c r="I67" s="17">
        <f>'AEO 2023 Table 47 Raw'!L54</f>
        <v>101.40065800000001</v>
      </c>
      <c r="J67" s="17">
        <f>'AEO 2023 Table 47 Raw'!M54</f>
        <v>104.595985</v>
      </c>
      <c r="K67" s="17">
        <f>'AEO 2023 Table 47 Raw'!N54</f>
        <v>107.86273199999999</v>
      </c>
      <c r="L67" s="17">
        <f>'AEO 2023 Table 47 Raw'!O54</f>
        <v>111.197243</v>
      </c>
      <c r="M67" s="17">
        <f>'AEO 2023 Table 47 Raw'!P54</f>
        <v>114.59079</v>
      </c>
      <c r="N67" s="17">
        <f>'AEO 2023 Table 47 Raw'!Q54</f>
        <v>118.050285</v>
      </c>
      <c r="O67" s="17">
        <f>'AEO 2023 Table 47 Raw'!R54</f>
        <v>121.579582</v>
      </c>
      <c r="P67" s="17">
        <f>'AEO 2023 Table 47 Raw'!S54</f>
        <v>125.155067</v>
      </c>
      <c r="Q67" s="17">
        <f>'AEO 2023 Table 47 Raw'!T54</f>
        <v>128.797516</v>
      </c>
      <c r="R67" s="17">
        <f>'AEO 2023 Table 47 Raw'!U54</f>
        <v>132.53035</v>
      </c>
      <c r="S67" s="17">
        <f>'AEO 2023 Table 47 Raw'!V54</f>
        <v>136.34974700000001</v>
      </c>
      <c r="T67" s="17">
        <f>'AEO 2023 Table 47 Raw'!W54</f>
        <v>140.240295</v>
      </c>
      <c r="U67" s="17">
        <f>'AEO 2023 Table 47 Raw'!X54</f>
        <v>144.20495600000001</v>
      </c>
      <c r="V67" s="17">
        <f>'AEO 2023 Table 47 Raw'!Y54</f>
        <v>148.25529499999999</v>
      </c>
      <c r="W67" s="17">
        <f>'AEO 2023 Table 47 Raw'!Z54</f>
        <v>152.394699</v>
      </c>
      <c r="X67" s="17">
        <f>'AEO 2023 Table 47 Raw'!AA54</f>
        <v>156.62347399999999</v>
      </c>
      <c r="Y67" s="17">
        <f>'AEO 2023 Table 47 Raw'!AB54</f>
        <v>160.942566</v>
      </c>
      <c r="Z67" s="17">
        <f>'AEO 2023 Table 47 Raw'!AC54</f>
        <v>165.35136399999999</v>
      </c>
      <c r="AA67" s="17">
        <f>'AEO 2023 Table 47 Raw'!AD54</f>
        <v>169.848938</v>
      </c>
      <c r="AB67" s="17">
        <f>'AEO 2023 Table 47 Raw'!AE54</f>
        <v>174.436218</v>
      </c>
      <c r="AC67" s="17">
        <f>'AEO 2023 Table 47 Raw'!AF54</f>
        <v>179.11892700000001</v>
      </c>
      <c r="AD67" s="17">
        <f>'AEO 2023 Table 47 Raw'!AG54</f>
        <v>183.89915500000001</v>
      </c>
      <c r="AE67" s="17">
        <f>'AEO 2023 Table 47 Raw'!AH54</f>
        <v>188.77813699999999</v>
      </c>
      <c r="AF67" s="30">
        <f>'AEO 2023 Table 47 Raw'!AI54</f>
        <v>7.4999999999999997E-2</v>
      </c>
    </row>
    <row r="68" spans="1:32" ht="15" customHeight="1">
      <c r="A68" s="7" t="s">
        <v>583</v>
      </c>
      <c r="B68" s="16" t="s">
        <v>566</v>
      </c>
      <c r="C68" s="17">
        <f>'AEO 2023 Table 47 Raw'!F55</f>
        <v>19.641961999999999</v>
      </c>
      <c r="D68" s="17">
        <f>'AEO 2023 Table 47 Raw'!G55</f>
        <v>33.215679000000002</v>
      </c>
      <c r="E68" s="17">
        <f>'AEO 2023 Table 47 Raw'!H55</f>
        <v>47.268467000000001</v>
      </c>
      <c r="F68" s="17">
        <f>'AEO 2023 Table 47 Raw'!I55</f>
        <v>59.404961</v>
      </c>
      <c r="G68" s="17">
        <f>'AEO 2023 Table 47 Raw'!J55</f>
        <v>68.267807000000005</v>
      </c>
      <c r="H68" s="17">
        <f>'AEO 2023 Table 47 Raw'!K55</f>
        <v>73.936829000000003</v>
      </c>
      <c r="I68" s="17">
        <f>'AEO 2023 Table 47 Raw'!L55</f>
        <v>79.046927999999994</v>
      </c>
      <c r="J68" s="17">
        <f>'AEO 2023 Table 47 Raw'!M55</f>
        <v>81.697327000000001</v>
      </c>
      <c r="K68" s="17">
        <f>'AEO 2023 Table 47 Raw'!N55</f>
        <v>84.197013999999996</v>
      </c>
      <c r="L68" s="17">
        <f>'AEO 2023 Table 47 Raw'!O55</f>
        <v>85.953468000000001</v>
      </c>
      <c r="M68" s="17">
        <f>'AEO 2023 Table 47 Raw'!P55</f>
        <v>86.642052000000007</v>
      </c>
      <c r="N68" s="17">
        <f>'AEO 2023 Table 47 Raw'!Q55</f>
        <v>87.126075999999998</v>
      </c>
      <c r="O68" s="17">
        <f>'AEO 2023 Table 47 Raw'!R55</f>
        <v>87.600150999999997</v>
      </c>
      <c r="P68" s="17">
        <f>'AEO 2023 Table 47 Raw'!S55</f>
        <v>88.047066000000001</v>
      </c>
      <c r="Q68" s="17">
        <f>'AEO 2023 Table 47 Raw'!T55</f>
        <v>88.515472000000003</v>
      </c>
      <c r="R68" s="17">
        <f>'AEO 2023 Table 47 Raw'!U55</f>
        <v>88.823288000000005</v>
      </c>
      <c r="S68" s="17">
        <f>'AEO 2023 Table 47 Raw'!V55</f>
        <v>88.985320999999999</v>
      </c>
      <c r="T68" s="17">
        <f>'AEO 2023 Table 47 Raw'!W55</f>
        <v>89.172111999999998</v>
      </c>
      <c r="U68" s="17">
        <f>'AEO 2023 Table 47 Raw'!X55</f>
        <v>89.495384000000001</v>
      </c>
      <c r="V68" s="17">
        <f>'AEO 2023 Table 47 Raw'!Y55</f>
        <v>90.072411000000002</v>
      </c>
      <c r="W68" s="17">
        <f>'AEO 2023 Table 47 Raw'!Z55</f>
        <v>90.859511999999995</v>
      </c>
      <c r="X68" s="17">
        <f>'AEO 2023 Table 47 Raw'!AA55</f>
        <v>91.744774000000007</v>
      </c>
      <c r="Y68" s="17">
        <f>'AEO 2023 Table 47 Raw'!AB55</f>
        <v>92.696106</v>
      </c>
      <c r="Z68" s="17">
        <f>'AEO 2023 Table 47 Raw'!AC55</f>
        <v>93.655745999999994</v>
      </c>
      <c r="AA68" s="17">
        <f>'AEO 2023 Table 47 Raw'!AD55</f>
        <v>94.557418999999996</v>
      </c>
      <c r="AB68" s="17">
        <f>'AEO 2023 Table 47 Raw'!AE55</f>
        <v>95.400192000000004</v>
      </c>
      <c r="AC68" s="17">
        <f>'AEO 2023 Table 47 Raw'!AF55</f>
        <v>96.266959999999997</v>
      </c>
      <c r="AD68" s="17">
        <f>'AEO 2023 Table 47 Raw'!AG55</f>
        <v>97.231399999999994</v>
      </c>
      <c r="AE68" s="17">
        <f>'AEO 2023 Table 47 Raw'!AH55</f>
        <v>98.346619000000004</v>
      </c>
      <c r="AF68" s="30">
        <f>'AEO 2023 Table 47 Raw'!AI55</f>
        <v>5.8999999999999997E-2</v>
      </c>
    </row>
    <row r="69" spans="1:32" ht="15" customHeight="1">
      <c r="A69" s="7" t="s">
        <v>584</v>
      </c>
      <c r="B69" s="16" t="s">
        <v>568</v>
      </c>
      <c r="C69" s="17">
        <f>'AEO 2023 Table 47 Raw'!F56</f>
        <v>21.804157</v>
      </c>
      <c r="D69" s="17">
        <f>'AEO 2023 Table 47 Raw'!G56</f>
        <v>29.275511000000002</v>
      </c>
      <c r="E69" s="17">
        <f>'AEO 2023 Table 47 Raw'!H56</f>
        <v>36.391086999999999</v>
      </c>
      <c r="F69" s="17">
        <f>'AEO 2023 Table 47 Raw'!I56</f>
        <v>42.134377000000001</v>
      </c>
      <c r="G69" s="17">
        <f>'AEO 2023 Table 47 Raw'!J56</f>
        <v>46.149593000000003</v>
      </c>
      <c r="H69" s="17">
        <f>'AEO 2023 Table 47 Raw'!K56</f>
        <v>48.538395000000001</v>
      </c>
      <c r="I69" s="17">
        <f>'AEO 2023 Table 47 Raw'!L56</f>
        <v>50.317287</v>
      </c>
      <c r="J69" s="17">
        <f>'AEO 2023 Table 47 Raw'!M56</f>
        <v>51.333579999999998</v>
      </c>
      <c r="K69" s="17">
        <f>'AEO 2023 Table 47 Raw'!N56</f>
        <v>52.367713999999999</v>
      </c>
      <c r="L69" s="17">
        <f>'AEO 2023 Table 47 Raw'!O56</f>
        <v>53.428528</v>
      </c>
      <c r="M69" s="17">
        <f>'AEO 2023 Table 47 Raw'!P56</f>
        <v>54.510128000000002</v>
      </c>
      <c r="N69" s="17">
        <f>'AEO 2023 Table 47 Raw'!Q56</f>
        <v>55.610111000000003</v>
      </c>
      <c r="O69" s="17">
        <f>'AEO 2023 Table 47 Raw'!R56</f>
        <v>56.732365000000001</v>
      </c>
      <c r="P69" s="17">
        <f>'AEO 2023 Table 47 Raw'!S56</f>
        <v>57.880558000000001</v>
      </c>
      <c r="Q69" s="17">
        <f>'AEO 2023 Table 47 Raw'!T56</f>
        <v>59.054034999999999</v>
      </c>
      <c r="R69" s="17">
        <f>'AEO 2023 Table 47 Raw'!U56</f>
        <v>60.251175000000003</v>
      </c>
      <c r="S69" s="17">
        <f>'AEO 2023 Table 47 Raw'!V56</f>
        <v>61.474559999999997</v>
      </c>
      <c r="T69" s="17">
        <f>'AEO 2023 Table 47 Raw'!W56</f>
        <v>62.726730000000003</v>
      </c>
      <c r="U69" s="17">
        <f>'AEO 2023 Table 47 Raw'!X56</f>
        <v>64.010589999999993</v>
      </c>
      <c r="V69" s="17">
        <f>'AEO 2023 Table 47 Raw'!Y56</f>
        <v>65.327087000000006</v>
      </c>
      <c r="W69" s="17">
        <f>'AEO 2023 Table 47 Raw'!Z56</f>
        <v>66.676070999999993</v>
      </c>
      <c r="X69" s="17">
        <f>'AEO 2023 Table 47 Raw'!AA56</f>
        <v>68.057311999999996</v>
      </c>
      <c r="Y69" s="17">
        <f>'AEO 2023 Table 47 Raw'!AB56</f>
        <v>69.470946999999995</v>
      </c>
      <c r="Z69" s="17">
        <f>'AEO 2023 Table 47 Raw'!AC56</f>
        <v>70.916954000000004</v>
      </c>
      <c r="AA69" s="17">
        <f>'AEO 2023 Table 47 Raw'!AD56</f>
        <v>72.397980000000004</v>
      </c>
      <c r="AB69" s="17">
        <f>'AEO 2023 Table 47 Raw'!AE56</f>
        <v>73.914649999999995</v>
      </c>
      <c r="AC69" s="17">
        <f>'AEO 2023 Table 47 Raw'!AF56</f>
        <v>75.465866000000005</v>
      </c>
      <c r="AD69" s="17">
        <f>'AEO 2023 Table 47 Raw'!AG56</f>
        <v>77.050514000000007</v>
      </c>
      <c r="AE69" s="17">
        <f>'AEO 2023 Table 47 Raw'!AH56</f>
        <v>78.666718000000003</v>
      </c>
      <c r="AF69" s="30">
        <f>'AEO 2023 Table 47 Raw'!AI56</f>
        <v>4.7E-2</v>
      </c>
    </row>
    <row r="70" spans="1:32" ht="12" customHeight="1">
      <c r="A70" s="7" t="s">
        <v>585</v>
      </c>
      <c r="B70" s="16" t="s">
        <v>570</v>
      </c>
      <c r="C70" s="17">
        <f>'AEO 2023 Table 47 Raw'!F57</f>
        <v>29.001909000000001</v>
      </c>
      <c r="D70" s="17">
        <f>'AEO 2023 Table 47 Raw'!G57</f>
        <v>38.939624999999999</v>
      </c>
      <c r="E70" s="17">
        <f>'AEO 2023 Table 47 Raw'!H57</f>
        <v>48.404114</v>
      </c>
      <c r="F70" s="17">
        <f>'AEO 2023 Table 47 Raw'!I57</f>
        <v>56.043312</v>
      </c>
      <c r="G70" s="17">
        <f>'AEO 2023 Table 47 Raw'!J57</f>
        <v>61.383991000000002</v>
      </c>
      <c r="H70" s="17">
        <f>'AEO 2023 Table 47 Raw'!K57</f>
        <v>64.561356000000004</v>
      </c>
      <c r="I70" s="17">
        <f>'AEO 2023 Table 47 Raw'!L57</f>
        <v>66.927482999999995</v>
      </c>
      <c r="J70" s="17">
        <f>'AEO 2023 Table 47 Raw'!M57</f>
        <v>68.857924999999994</v>
      </c>
      <c r="K70" s="17">
        <f>'AEO 2023 Table 47 Raw'!N57</f>
        <v>70.841437999999997</v>
      </c>
      <c r="L70" s="17">
        <f>'AEO 2023 Table 47 Raw'!O57</f>
        <v>72.918564000000003</v>
      </c>
      <c r="M70" s="17">
        <f>'AEO 2023 Table 47 Raw'!P57</f>
        <v>75.062759</v>
      </c>
      <c r="N70" s="17">
        <f>'AEO 2023 Table 47 Raw'!Q57</f>
        <v>77.264267000000004</v>
      </c>
      <c r="O70" s="17">
        <f>'AEO 2023 Table 47 Raw'!R57</f>
        <v>79.524733999999995</v>
      </c>
      <c r="P70" s="17">
        <f>'AEO 2023 Table 47 Raw'!S57</f>
        <v>81.848335000000006</v>
      </c>
      <c r="Q70" s="17">
        <f>'AEO 2023 Table 47 Raw'!T57</f>
        <v>84.195853999999997</v>
      </c>
      <c r="R70" s="17">
        <f>'AEO 2023 Table 47 Raw'!U57</f>
        <v>86.603179999999995</v>
      </c>
      <c r="S70" s="17">
        <f>'AEO 2023 Table 47 Raw'!V57</f>
        <v>89.073074000000005</v>
      </c>
      <c r="T70" s="17">
        <f>'AEO 2023 Table 47 Raw'!W57</f>
        <v>91.606102000000007</v>
      </c>
      <c r="U70" s="17">
        <f>'AEO 2023 Table 47 Raw'!X57</f>
        <v>94.205521000000005</v>
      </c>
      <c r="V70" s="17">
        <f>'AEO 2023 Table 47 Raw'!Y57</f>
        <v>96.825774999999993</v>
      </c>
      <c r="W70" s="17">
        <f>'AEO 2023 Table 47 Raw'!Z57</f>
        <v>99.511925000000005</v>
      </c>
      <c r="X70" s="17">
        <f>'AEO 2023 Table 47 Raw'!AA57</f>
        <v>102.264999</v>
      </c>
      <c r="Y70" s="17">
        <f>'AEO 2023 Table 47 Raw'!AB57</f>
        <v>105.084068</v>
      </c>
      <c r="Z70" s="17">
        <f>'AEO 2023 Table 47 Raw'!AC57</f>
        <v>107.969559</v>
      </c>
      <c r="AA70" s="17">
        <f>'AEO 2023 Table 47 Raw'!AD57</f>
        <v>110.868172</v>
      </c>
      <c r="AB70" s="17">
        <f>'AEO 2023 Table 47 Raw'!AE57</f>
        <v>113.832314</v>
      </c>
      <c r="AC70" s="17">
        <f>'AEO 2023 Table 47 Raw'!AF57</f>
        <v>116.86582900000001</v>
      </c>
      <c r="AD70" s="17">
        <f>'AEO 2023 Table 47 Raw'!AG57</f>
        <v>119.971458</v>
      </c>
      <c r="AE70" s="17">
        <f>'AEO 2023 Table 47 Raw'!AH57</f>
        <v>123.15158099999999</v>
      </c>
      <c r="AF70" s="30">
        <f>'AEO 2023 Table 47 Raw'!AI57</f>
        <v>5.2999999999999999E-2</v>
      </c>
    </row>
    <row r="71" spans="1:32" ht="15" customHeight="1">
      <c r="A71" s="7" t="s">
        <v>586</v>
      </c>
      <c r="B71" s="16" t="s">
        <v>572</v>
      </c>
      <c r="C71" s="17">
        <f>'AEO 2023 Table 47 Raw'!F58</f>
        <v>43.401493000000002</v>
      </c>
      <c r="D71" s="17">
        <f>'AEO 2023 Table 47 Raw'!G58</f>
        <v>79.040122999999994</v>
      </c>
      <c r="E71" s="17">
        <f>'AEO 2023 Table 47 Raw'!H58</f>
        <v>115.73732800000001</v>
      </c>
      <c r="F71" s="17">
        <f>'AEO 2023 Table 47 Raw'!I58</f>
        <v>144.31880200000001</v>
      </c>
      <c r="G71" s="17">
        <f>'AEO 2023 Table 47 Raw'!J58</f>
        <v>161.96167</v>
      </c>
      <c r="H71" s="17">
        <f>'AEO 2023 Table 47 Raw'!K58</f>
        <v>174.66456600000001</v>
      </c>
      <c r="I71" s="17">
        <f>'AEO 2023 Table 47 Raw'!L58</f>
        <v>184.330566</v>
      </c>
      <c r="J71" s="17">
        <f>'AEO 2023 Table 47 Raw'!M58</f>
        <v>194.21669</v>
      </c>
      <c r="K71" s="17">
        <f>'AEO 2023 Table 47 Raw'!N58</f>
        <v>204.29608200000001</v>
      </c>
      <c r="L71" s="17">
        <f>'AEO 2023 Table 47 Raw'!O58</f>
        <v>214.626465</v>
      </c>
      <c r="M71" s="17">
        <f>'AEO 2023 Table 47 Raw'!P58</f>
        <v>225.21134900000001</v>
      </c>
      <c r="N71" s="17">
        <f>'AEO 2023 Table 47 Raw'!Q58</f>
        <v>236.03950499999999</v>
      </c>
      <c r="O71" s="17">
        <f>'AEO 2023 Table 47 Raw'!R58</f>
        <v>247.13400300000001</v>
      </c>
      <c r="P71" s="17">
        <f>'AEO 2023 Table 47 Raw'!S58</f>
        <v>258.53561400000001</v>
      </c>
      <c r="Q71" s="17">
        <f>'AEO 2023 Table 47 Raw'!T58</f>
        <v>270.23638899999997</v>
      </c>
      <c r="R71" s="17">
        <f>'AEO 2023 Table 47 Raw'!U58</f>
        <v>282.19741800000003</v>
      </c>
      <c r="S71" s="17">
        <f>'AEO 2023 Table 47 Raw'!V58</f>
        <v>294.43173200000001</v>
      </c>
      <c r="T71" s="17">
        <f>'AEO 2023 Table 47 Raw'!W58</f>
        <v>306.98468000000003</v>
      </c>
      <c r="U71" s="17">
        <f>'AEO 2023 Table 47 Raw'!X58</f>
        <v>319.93069500000001</v>
      </c>
      <c r="V71" s="17">
        <f>'AEO 2023 Table 47 Raw'!Y58</f>
        <v>333.34088100000002</v>
      </c>
      <c r="W71" s="17">
        <f>'AEO 2023 Table 47 Raw'!Z58</f>
        <v>347.21804800000001</v>
      </c>
      <c r="X71" s="17">
        <f>'AEO 2023 Table 47 Raw'!AA58</f>
        <v>361.513214</v>
      </c>
      <c r="Y71" s="17">
        <f>'AEO 2023 Table 47 Raw'!AB58</f>
        <v>376.16323899999998</v>
      </c>
      <c r="Z71" s="17">
        <f>'AEO 2023 Table 47 Raw'!AC58</f>
        <v>391.09524499999998</v>
      </c>
      <c r="AA71" s="17">
        <f>'AEO 2023 Table 47 Raw'!AD58</f>
        <v>406.29702800000001</v>
      </c>
      <c r="AB71" s="17">
        <f>'AEO 2023 Table 47 Raw'!AE58</f>
        <v>421.81195100000002</v>
      </c>
      <c r="AC71" s="17">
        <f>'AEO 2023 Table 47 Raw'!AF58</f>
        <v>437.61935399999999</v>
      </c>
      <c r="AD71" s="17">
        <f>'AEO 2023 Table 47 Raw'!AG58</f>
        <v>453.65158100000002</v>
      </c>
      <c r="AE71" s="17">
        <f>'AEO 2023 Table 47 Raw'!AH58</f>
        <v>469.833099</v>
      </c>
      <c r="AF71" s="30">
        <f>'AEO 2023 Table 47 Raw'!AI58</f>
        <v>8.8999999999999996E-2</v>
      </c>
    </row>
    <row r="72" spans="1:32" ht="15" customHeight="1">
      <c r="AF72" s="33"/>
    </row>
    <row r="73" spans="1:32" ht="15" customHeight="1">
      <c r="B73" s="15" t="s">
        <v>587</v>
      </c>
      <c r="AF73" s="33"/>
    </row>
    <row r="74" spans="1:32" ht="15" customHeight="1">
      <c r="A74" s="7" t="s">
        <v>588</v>
      </c>
      <c r="B74" s="16" t="s">
        <v>520</v>
      </c>
      <c r="C74" s="18">
        <f>'AEO 2023 Table 47 Raw'!F60</f>
        <v>91.279387999999997</v>
      </c>
      <c r="D74" s="18">
        <f>'AEO 2023 Table 47 Raw'!G60</f>
        <v>154.35865799999999</v>
      </c>
      <c r="E74" s="18">
        <f>'AEO 2023 Table 47 Raw'!H60</f>
        <v>219.66423</v>
      </c>
      <c r="F74" s="18">
        <f>'AEO 2023 Table 47 Raw'!I60</f>
        <v>276.06451399999997</v>
      </c>
      <c r="G74" s="18">
        <f>'AEO 2023 Table 47 Raw'!J60</f>
        <v>317.25155599999999</v>
      </c>
      <c r="H74" s="18">
        <f>'AEO 2023 Table 47 Raw'!K60</f>
        <v>343.596405</v>
      </c>
      <c r="I74" s="18">
        <f>'AEO 2023 Table 47 Raw'!L60</f>
        <v>367.34390300000001</v>
      </c>
      <c r="J74" s="18">
        <f>'AEO 2023 Table 47 Raw'!M60</f>
        <v>382.82449300000002</v>
      </c>
      <c r="K74" s="18">
        <f>'AEO 2023 Table 47 Raw'!N60</f>
        <v>398.53997800000002</v>
      </c>
      <c r="L74" s="18">
        <f>'AEO 2023 Table 47 Raw'!O60</f>
        <v>414.53860500000002</v>
      </c>
      <c r="M74" s="18">
        <f>'AEO 2023 Table 47 Raw'!P60</f>
        <v>430.96127300000001</v>
      </c>
      <c r="N74" s="18">
        <f>'AEO 2023 Table 47 Raw'!Q60</f>
        <v>447.81228599999997</v>
      </c>
      <c r="O74" s="18">
        <f>'AEO 2023 Table 47 Raw'!R60</f>
        <v>465.11679099999998</v>
      </c>
      <c r="P74" s="18">
        <f>'AEO 2023 Table 47 Raw'!S60</f>
        <v>482.90234400000003</v>
      </c>
      <c r="Q74" s="18">
        <f>'AEO 2023 Table 47 Raw'!T60</f>
        <v>500.96951300000001</v>
      </c>
      <c r="R74" s="18">
        <f>'AEO 2023 Table 47 Raw'!U60</f>
        <v>519.50836200000003</v>
      </c>
      <c r="S74" s="18">
        <f>'AEO 2023 Table 47 Raw'!V60</f>
        <v>538.54644800000005</v>
      </c>
      <c r="T74" s="18">
        <f>'AEO 2023 Table 47 Raw'!W60</f>
        <v>558.08233600000005</v>
      </c>
      <c r="U74" s="18">
        <f>'AEO 2023 Table 47 Raw'!X60</f>
        <v>578.15362500000003</v>
      </c>
      <c r="V74" s="18">
        <f>'AEO 2023 Table 47 Raw'!Y60</f>
        <v>598.50408900000002</v>
      </c>
      <c r="W74" s="18">
        <f>'AEO 2023 Table 47 Raw'!Z60</f>
        <v>619.32586700000002</v>
      </c>
      <c r="X74" s="18">
        <f>'AEO 2023 Table 47 Raw'!AA60</f>
        <v>640.64349400000003</v>
      </c>
      <c r="Y74" s="18">
        <f>'AEO 2023 Table 47 Raw'!AB60</f>
        <v>662.47534199999996</v>
      </c>
      <c r="Z74" s="18">
        <f>'AEO 2023 Table 47 Raw'!AC60</f>
        <v>684.81463599999995</v>
      </c>
      <c r="AA74" s="18">
        <f>'AEO 2023 Table 47 Raw'!AD60</f>
        <v>707.22051999999996</v>
      </c>
      <c r="AB74" s="18">
        <f>'AEO 2023 Table 47 Raw'!AE60</f>
        <v>730.06036400000005</v>
      </c>
      <c r="AC74" s="18">
        <f>'AEO 2023 Table 47 Raw'!AF60</f>
        <v>753.42486599999995</v>
      </c>
      <c r="AD74" s="18">
        <f>'AEO 2023 Table 47 Raw'!AG60</f>
        <v>777.34991500000001</v>
      </c>
      <c r="AE74" s="18">
        <f>'AEO 2023 Table 47 Raw'!AH60</f>
        <v>801.87402299999997</v>
      </c>
      <c r="AF74" s="30">
        <f>'AEO 2023 Table 47 Raw'!AI60</f>
        <v>8.1000000000000003E-2</v>
      </c>
    </row>
    <row r="75" spans="1:32" ht="15" customHeight="1">
      <c r="A75" s="7" t="s">
        <v>589</v>
      </c>
      <c r="B75" s="16" t="s">
        <v>522</v>
      </c>
      <c r="C75" s="18">
        <f>'AEO 2023 Table 47 Raw'!F61</f>
        <v>90.713904999999997</v>
      </c>
      <c r="D75" s="18">
        <f>'AEO 2023 Table 47 Raw'!G61</f>
        <v>125.583687</v>
      </c>
      <c r="E75" s="18">
        <f>'AEO 2023 Table 47 Raw'!H61</f>
        <v>164.386169</v>
      </c>
      <c r="F75" s="18">
        <f>'AEO 2023 Table 47 Raw'!I61</f>
        <v>199.255966</v>
      </c>
      <c r="G75" s="18">
        <f>'AEO 2023 Table 47 Raw'!J61</f>
        <v>225.73603800000001</v>
      </c>
      <c r="H75" s="18">
        <f>'AEO 2023 Table 47 Raw'!K61</f>
        <v>243.039841</v>
      </c>
      <c r="I75" s="18">
        <f>'AEO 2023 Table 47 Raw'!L61</f>
        <v>259.55712899999997</v>
      </c>
      <c r="J75" s="18">
        <f>'AEO 2023 Table 47 Raw'!M61</f>
        <v>272.453125</v>
      </c>
      <c r="K75" s="18">
        <f>'AEO 2023 Table 47 Raw'!N61</f>
        <v>285.794647</v>
      </c>
      <c r="L75" s="18">
        <f>'AEO 2023 Table 47 Raw'!O61</f>
        <v>299.19274899999999</v>
      </c>
      <c r="M75" s="18">
        <f>'AEO 2023 Table 47 Raw'!P61</f>
        <v>313.14953600000001</v>
      </c>
      <c r="N75" s="18">
        <f>'AEO 2023 Table 47 Raw'!Q61</f>
        <v>327.69116200000002</v>
      </c>
      <c r="O75" s="18">
        <f>'AEO 2023 Table 47 Raw'!R61</f>
        <v>342.84011800000002</v>
      </c>
      <c r="P75" s="18">
        <f>'AEO 2023 Table 47 Raw'!S61</f>
        <v>358.61981200000002</v>
      </c>
      <c r="Q75" s="18">
        <f>'AEO 2023 Table 47 Raw'!T61</f>
        <v>374.87417599999998</v>
      </c>
      <c r="R75" s="18">
        <f>'AEO 2023 Table 47 Raw'!U61</f>
        <v>391.79058800000001</v>
      </c>
      <c r="S75" s="18">
        <f>'AEO 2023 Table 47 Raw'!V61</f>
        <v>409.39093000000003</v>
      </c>
      <c r="T75" s="18">
        <f>'AEO 2023 Table 47 Raw'!W61</f>
        <v>427.69464099999999</v>
      </c>
      <c r="U75" s="18">
        <f>'AEO 2023 Table 47 Raw'!X61</f>
        <v>446.72839399999998</v>
      </c>
      <c r="V75" s="18">
        <f>'AEO 2023 Table 47 Raw'!Y61</f>
        <v>466.348389</v>
      </c>
      <c r="W75" s="18">
        <f>'AEO 2023 Table 47 Raw'!Z61</f>
        <v>486.73355099999998</v>
      </c>
      <c r="X75" s="18">
        <f>'AEO 2023 Table 47 Raw'!AA61</f>
        <v>507.90823399999999</v>
      </c>
      <c r="Y75" s="18">
        <f>'AEO 2023 Table 47 Raw'!AB61</f>
        <v>529.89691200000004</v>
      </c>
      <c r="Z75" s="18">
        <f>'AEO 2023 Table 47 Raw'!AC61</f>
        <v>552.73230000000001</v>
      </c>
      <c r="AA75" s="18">
        <f>'AEO 2023 Table 47 Raw'!AD61</f>
        <v>576.19653300000004</v>
      </c>
      <c r="AB75" s="18">
        <f>'AEO 2023 Table 47 Raw'!AE61</f>
        <v>600.54156499999999</v>
      </c>
      <c r="AC75" s="18">
        <f>'AEO 2023 Table 47 Raw'!AF61</f>
        <v>625.79742399999998</v>
      </c>
      <c r="AD75" s="18">
        <f>'AEO 2023 Table 47 Raw'!AG61</f>
        <v>651.99127199999998</v>
      </c>
      <c r="AE75" s="18">
        <f>'AEO 2023 Table 47 Raw'!AH61</f>
        <v>679.15313700000002</v>
      </c>
      <c r="AF75" s="30">
        <f>'AEO 2023 Table 47 Raw'!AI61</f>
        <v>7.4999999999999997E-2</v>
      </c>
    </row>
    <row r="76" spans="1:32" ht="15" customHeight="1">
      <c r="A76" s="7" t="s">
        <v>590</v>
      </c>
      <c r="B76" s="16" t="s">
        <v>524</v>
      </c>
      <c r="C76" s="18">
        <f>'AEO 2023 Table 47 Raw'!F62</f>
        <v>41.477749000000003</v>
      </c>
      <c r="D76" s="18">
        <f>'AEO 2023 Table 47 Raw'!G62</f>
        <v>56.116959000000001</v>
      </c>
      <c r="E76" s="18">
        <f>'AEO 2023 Table 47 Raw'!H62</f>
        <v>70.654503000000005</v>
      </c>
      <c r="F76" s="18">
        <f>'AEO 2023 Table 47 Raw'!I62</f>
        <v>82.650513000000004</v>
      </c>
      <c r="G76" s="18">
        <f>'AEO 2023 Table 47 Raw'!J62</f>
        <v>91.190062999999995</v>
      </c>
      <c r="H76" s="18">
        <f>'AEO 2023 Table 47 Raw'!K62</f>
        <v>96.476439999999997</v>
      </c>
      <c r="I76" s="18">
        <f>'AEO 2023 Table 47 Raw'!L62</f>
        <v>100.644547</v>
      </c>
      <c r="J76" s="18">
        <f>'AEO 2023 Table 47 Raw'!M62</f>
        <v>105.10861199999999</v>
      </c>
      <c r="K76" s="18">
        <f>'AEO 2023 Table 47 Raw'!N62</f>
        <v>109.777794</v>
      </c>
      <c r="L76" s="18">
        <f>'AEO 2023 Table 47 Raw'!O62</f>
        <v>114.634125</v>
      </c>
      <c r="M76" s="18">
        <f>'AEO 2023 Table 47 Raw'!P62</f>
        <v>119.654022</v>
      </c>
      <c r="N76" s="18">
        <f>'AEO 2023 Table 47 Raw'!Q62</f>
        <v>124.82345599999999</v>
      </c>
      <c r="O76" s="18">
        <f>'AEO 2023 Table 47 Raw'!R62</f>
        <v>130.140533</v>
      </c>
      <c r="P76" s="18">
        <f>'AEO 2023 Table 47 Raw'!S62</f>
        <v>135.60420199999999</v>
      </c>
      <c r="Q76" s="18">
        <f>'AEO 2023 Table 47 Raw'!T62</f>
        <v>141.26831100000001</v>
      </c>
      <c r="R76" s="18">
        <f>'AEO 2023 Table 47 Raw'!U62</f>
        <v>147.09477200000001</v>
      </c>
      <c r="S76" s="18">
        <f>'AEO 2023 Table 47 Raw'!V62</f>
        <v>153.074432</v>
      </c>
      <c r="T76" s="18">
        <f>'AEO 2023 Table 47 Raw'!W62</f>
        <v>159.205353</v>
      </c>
      <c r="U76" s="18">
        <f>'AEO 2023 Table 47 Raw'!X62</f>
        <v>165.49443099999999</v>
      </c>
      <c r="V76" s="18">
        <f>'AEO 2023 Table 47 Raw'!Y62</f>
        <v>171.99311800000001</v>
      </c>
      <c r="W76" s="18">
        <f>'AEO 2023 Table 47 Raw'!Z62</f>
        <v>178.657501</v>
      </c>
      <c r="X76" s="18">
        <f>'AEO 2023 Table 47 Raw'!AA62</f>
        <v>185.48194899999999</v>
      </c>
      <c r="Y76" s="18">
        <f>'AEO 2023 Table 47 Raw'!AB62</f>
        <v>192.46803299999999</v>
      </c>
      <c r="Z76" s="18">
        <f>'AEO 2023 Table 47 Raw'!AC62</f>
        <v>199.62287900000001</v>
      </c>
      <c r="AA76" s="18">
        <f>'AEO 2023 Table 47 Raw'!AD62</f>
        <v>206.99113500000001</v>
      </c>
      <c r="AB76" s="18">
        <f>'AEO 2023 Table 47 Raw'!AE62</f>
        <v>214.53208900000001</v>
      </c>
      <c r="AC76" s="18">
        <f>'AEO 2023 Table 47 Raw'!AF62</f>
        <v>222.241882</v>
      </c>
      <c r="AD76" s="18">
        <f>'AEO 2023 Table 47 Raw'!AG62</f>
        <v>230.12132299999999</v>
      </c>
      <c r="AE76" s="18">
        <f>'AEO 2023 Table 47 Raw'!AH62</f>
        <v>238.176727</v>
      </c>
      <c r="AF76" s="30">
        <f>'AEO 2023 Table 47 Raw'!AI62</f>
        <v>6.4000000000000001E-2</v>
      </c>
    </row>
    <row r="77" spans="1:32" ht="15" customHeight="1">
      <c r="A77" s="7" t="s">
        <v>591</v>
      </c>
      <c r="B77" s="16" t="s">
        <v>526</v>
      </c>
      <c r="C77" s="18">
        <f>'AEO 2023 Table 47 Raw'!F63</f>
        <v>18.422384000000001</v>
      </c>
      <c r="D77" s="18">
        <f>'AEO 2023 Table 47 Raw'!G63</f>
        <v>24.921766000000002</v>
      </c>
      <c r="E77" s="18">
        <f>'AEO 2023 Table 47 Raw'!H63</f>
        <v>31.286677999999998</v>
      </c>
      <c r="F77" s="18">
        <f>'AEO 2023 Table 47 Raw'!I63</f>
        <v>36.531010000000002</v>
      </c>
      <c r="G77" s="18">
        <f>'AEO 2023 Table 47 Raw'!J63</f>
        <v>40.251339000000002</v>
      </c>
      <c r="H77" s="18">
        <f>'AEO 2023 Table 47 Raw'!K63</f>
        <v>42.582152999999998</v>
      </c>
      <c r="I77" s="18">
        <f>'AEO 2023 Table 47 Raw'!L63</f>
        <v>44.375087999999998</v>
      </c>
      <c r="J77" s="18">
        <f>'AEO 2023 Table 47 Raw'!M63</f>
        <v>45.552967000000002</v>
      </c>
      <c r="K77" s="18">
        <f>'AEO 2023 Table 47 Raw'!N63</f>
        <v>46.643486000000003</v>
      </c>
      <c r="L77" s="18">
        <f>'AEO 2023 Table 47 Raw'!O63</f>
        <v>47.615417000000001</v>
      </c>
      <c r="M77" s="18">
        <f>'AEO 2023 Table 47 Raw'!P63</f>
        <v>48.534264</v>
      </c>
      <c r="N77" s="18">
        <f>'AEO 2023 Table 47 Raw'!Q63</f>
        <v>49.396385000000002</v>
      </c>
      <c r="O77" s="18">
        <f>'AEO 2023 Table 47 Raw'!R63</f>
        <v>50.197502</v>
      </c>
      <c r="P77" s="18">
        <f>'AEO 2023 Table 47 Raw'!S63</f>
        <v>50.933815000000003</v>
      </c>
      <c r="Q77" s="18">
        <f>'AEO 2023 Table 47 Raw'!T63</f>
        <v>51.605465000000002</v>
      </c>
      <c r="R77" s="18">
        <f>'AEO 2023 Table 47 Raw'!U63</f>
        <v>52.221404999999997</v>
      </c>
      <c r="S77" s="18">
        <f>'AEO 2023 Table 47 Raw'!V63</f>
        <v>52.787604999999999</v>
      </c>
      <c r="T77" s="18">
        <f>'AEO 2023 Table 47 Raw'!W63</f>
        <v>53.310012999999998</v>
      </c>
      <c r="U77" s="18">
        <f>'AEO 2023 Table 47 Raw'!X63</f>
        <v>53.794593999999996</v>
      </c>
      <c r="V77" s="18">
        <f>'AEO 2023 Table 47 Raw'!Y63</f>
        <v>54.246001999999997</v>
      </c>
      <c r="W77" s="18">
        <f>'AEO 2023 Table 47 Raw'!Z63</f>
        <v>54.667313</v>
      </c>
      <c r="X77" s="18">
        <f>'AEO 2023 Table 47 Raw'!AA63</f>
        <v>55.060822000000002</v>
      </c>
      <c r="Y77" s="18">
        <f>'AEO 2023 Table 47 Raw'!AB63</f>
        <v>55.427867999999997</v>
      </c>
      <c r="Z77" s="18">
        <f>'AEO 2023 Table 47 Raw'!AC63</f>
        <v>55.770457999999998</v>
      </c>
      <c r="AA77" s="18">
        <f>'AEO 2023 Table 47 Raw'!AD63</f>
        <v>56.094085999999997</v>
      </c>
      <c r="AB77" s="18">
        <f>'AEO 2023 Table 47 Raw'!AE63</f>
        <v>56.398609</v>
      </c>
      <c r="AC77" s="18">
        <f>'AEO 2023 Table 47 Raw'!AF63</f>
        <v>56.681601999999998</v>
      </c>
      <c r="AD77" s="18">
        <f>'AEO 2023 Table 47 Raw'!AG63</f>
        <v>56.938384999999997</v>
      </c>
      <c r="AE77" s="18">
        <f>'AEO 2023 Table 47 Raw'!AH63</f>
        <v>57.168449000000003</v>
      </c>
      <c r="AF77" s="30">
        <f>'AEO 2023 Table 47 Raw'!AI63</f>
        <v>4.1000000000000002E-2</v>
      </c>
    </row>
    <row r="78" spans="1:32" ht="15" customHeight="1">
      <c r="A78" s="7" t="s">
        <v>592</v>
      </c>
      <c r="B78" s="16" t="s">
        <v>528</v>
      </c>
      <c r="C78" s="18">
        <f>'AEO 2023 Table 47 Raw'!F64</f>
        <v>37.358677</v>
      </c>
      <c r="D78" s="18">
        <f>'AEO 2023 Table 47 Raw'!G64</f>
        <v>50.538738000000002</v>
      </c>
      <c r="E78" s="18">
        <f>'AEO 2023 Table 47 Raw'!H64</f>
        <v>63.446117000000001</v>
      </c>
      <c r="F78" s="18">
        <f>'AEO 2023 Table 47 Raw'!I64</f>
        <v>74.081069999999997</v>
      </c>
      <c r="G78" s="18">
        <f>'AEO 2023 Table 47 Raw'!J64</f>
        <v>81.625525999999994</v>
      </c>
      <c r="H78" s="18">
        <f>'AEO 2023 Table 47 Raw'!K64</f>
        <v>86.352164999999999</v>
      </c>
      <c r="I78" s="18">
        <f>'AEO 2023 Table 47 Raw'!L64</f>
        <v>89.988045</v>
      </c>
      <c r="J78" s="18">
        <f>'AEO 2023 Table 47 Raw'!M64</f>
        <v>93.229279000000005</v>
      </c>
      <c r="K78" s="18">
        <f>'AEO 2023 Table 47 Raw'!N64</f>
        <v>96.518051</v>
      </c>
      <c r="L78" s="18">
        <f>'AEO 2023 Table 47 Raw'!O64</f>
        <v>99.834007</v>
      </c>
      <c r="M78" s="18">
        <f>'AEO 2023 Table 47 Raw'!P64</f>
        <v>103.228836</v>
      </c>
      <c r="N78" s="18">
        <f>'AEO 2023 Table 47 Raw'!Q64</f>
        <v>106.711052</v>
      </c>
      <c r="O78" s="18">
        <f>'AEO 2023 Table 47 Raw'!R64</f>
        <v>110.286186</v>
      </c>
      <c r="P78" s="18">
        <f>'AEO 2023 Table 47 Raw'!S64</f>
        <v>113.95946499999999</v>
      </c>
      <c r="Q78" s="18">
        <f>'AEO 2023 Table 47 Raw'!T64</f>
        <v>117.72137499999999</v>
      </c>
      <c r="R78" s="18">
        <f>'AEO 2023 Table 47 Raw'!U64</f>
        <v>121.58760100000001</v>
      </c>
      <c r="S78" s="18">
        <f>'AEO 2023 Table 47 Raw'!V64</f>
        <v>125.559944</v>
      </c>
      <c r="T78" s="18">
        <f>'AEO 2023 Table 47 Raw'!W64</f>
        <v>129.63948099999999</v>
      </c>
      <c r="U78" s="18">
        <f>'AEO 2023 Table 47 Raw'!X64</f>
        <v>133.82646199999999</v>
      </c>
      <c r="V78" s="18">
        <f>'AEO 2023 Table 47 Raw'!Y64</f>
        <v>138.11544799999999</v>
      </c>
      <c r="W78" s="18">
        <f>'AEO 2023 Table 47 Raw'!Z64</f>
        <v>142.51733400000001</v>
      </c>
      <c r="X78" s="18">
        <f>'AEO 2023 Table 47 Raw'!AA64</f>
        <v>147.03389000000001</v>
      </c>
      <c r="Y78" s="18">
        <f>'AEO 2023 Table 47 Raw'!AB64</f>
        <v>151.667145</v>
      </c>
      <c r="Z78" s="18">
        <f>'AEO 2023 Table 47 Raw'!AC64</f>
        <v>156.41830400000001</v>
      </c>
      <c r="AA78" s="18">
        <f>'AEO 2023 Table 47 Raw'!AD64</f>
        <v>161.26028400000001</v>
      </c>
      <c r="AB78" s="18">
        <f>'AEO 2023 Table 47 Raw'!AE64</f>
        <v>166.222961</v>
      </c>
      <c r="AC78" s="18">
        <f>'AEO 2023 Table 47 Raw'!AF64</f>
        <v>171.310562</v>
      </c>
      <c r="AD78" s="18">
        <f>'AEO 2023 Table 47 Raw'!AG64</f>
        <v>176.52694700000001</v>
      </c>
      <c r="AE78" s="18">
        <f>'AEO 2023 Table 47 Raw'!AH64</f>
        <v>181.87539699999999</v>
      </c>
      <c r="AF78" s="30">
        <f>'AEO 2023 Table 47 Raw'!AI64</f>
        <v>5.8000000000000003E-2</v>
      </c>
    </row>
    <row r="79" spans="1:32" ht="15" customHeight="1">
      <c r="A79" s="7" t="s">
        <v>593</v>
      </c>
      <c r="B79" s="16" t="s">
        <v>530</v>
      </c>
      <c r="C79" s="18">
        <f>'AEO 2023 Table 47 Raw'!F65</f>
        <v>1060.8295900000001</v>
      </c>
      <c r="D79" s="18">
        <f>'AEO 2023 Table 47 Raw'!G65</f>
        <v>1535.6385499999999</v>
      </c>
      <c r="E79" s="18">
        <f>'AEO 2023 Table 47 Raw'!H65</f>
        <v>1956.2210689999999</v>
      </c>
      <c r="F79" s="18">
        <f>'AEO 2023 Table 47 Raw'!I65</f>
        <v>2270.5656739999999</v>
      </c>
      <c r="G79" s="18">
        <f>'AEO 2023 Table 47 Raw'!J65</f>
        <v>2496.6696780000002</v>
      </c>
      <c r="H79" s="18">
        <f>'AEO 2023 Table 47 Raw'!K65</f>
        <v>2624.844482</v>
      </c>
      <c r="I79" s="18">
        <f>'AEO 2023 Table 47 Raw'!L65</f>
        <v>2736.3034670000002</v>
      </c>
      <c r="J79" s="18">
        <f>'AEO 2023 Table 47 Raw'!M65</f>
        <v>2821.4812010000001</v>
      </c>
      <c r="K79" s="18">
        <f>'AEO 2023 Table 47 Raw'!N65</f>
        <v>2907.1589359999998</v>
      </c>
      <c r="L79" s="18">
        <f>'AEO 2023 Table 47 Raw'!O65</f>
        <v>2993.8640140000002</v>
      </c>
      <c r="M79" s="18">
        <f>'AEO 2023 Table 47 Raw'!P65</f>
        <v>3083.5327149999998</v>
      </c>
      <c r="N79" s="18">
        <f>'AEO 2023 Table 47 Raw'!Q65</f>
        <v>3175.1757809999999</v>
      </c>
      <c r="O79" s="18">
        <f>'AEO 2023 Table 47 Raw'!R65</f>
        <v>3267.311279</v>
      </c>
      <c r="P79" s="18">
        <f>'AEO 2023 Table 47 Raw'!S65</f>
        <v>3361.35376</v>
      </c>
      <c r="Q79" s="18">
        <f>'AEO 2023 Table 47 Raw'!T65</f>
        <v>3458.070557</v>
      </c>
      <c r="R79" s="18">
        <f>'AEO 2023 Table 47 Raw'!U65</f>
        <v>3557.9589839999999</v>
      </c>
      <c r="S79" s="18">
        <f>'AEO 2023 Table 47 Raw'!V65</f>
        <v>3661.1564939999998</v>
      </c>
      <c r="T79" s="18">
        <f>'AEO 2023 Table 47 Raw'!W65</f>
        <v>3767.2658689999998</v>
      </c>
      <c r="U79" s="18">
        <f>'AEO 2023 Table 47 Raw'!X65</f>
        <v>3877.064453</v>
      </c>
      <c r="V79" s="18">
        <f>'AEO 2023 Table 47 Raw'!Y65</f>
        <v>3989.1020509999998</v>
      </c>
      <c r="W79" s="18">
        <f>'AEO 2023 Table 47 Raw'!Z65</f>
        <v>4104.3325199999999</v>
      </c>
      <c r="X79" s="18">
        <f>'AEO 2023 Table 47 Raw'!AA65</f>
        <v>4222.5615230000003</v>
      </c>
      <c r="Y79" s="18">
        <f>'AEO 2023 Table 47 Raw'!AB65</f>
        <v>4343.7075199999999</v>
      </c>
      <c r="Z79" s="18">
        <f>'AEO 2023 Table 47 Raw'!AC65</f>
        <v>4467.2685549999997</v>
      </c>
      <c r="AA79" s="18">
        <f>'AEO 2023 Table 47 Raw'!AD65</f>
        <v>4593.1997069999998</v>
      </c>
      <c r="AB79" s="18">
        <f>'AEO 2023 Table 47 Raw'!AE65</f>
        <v>4722.3706050000001</v>
      </c>
      <c r="AC79" s="18">
        <f>'AEO 2023 Table 47 Raw'!AF65</f>
        <v>4854.9150390000004</v>
      </c>
      <c r="AD79" s="18">
        <f>'AEO 2023 Table 47 Raw'!AG65</f>
        <v>4990.8554690000001</v>
      </c>
      <c r="AE79" s="18">
        <f>'AEO 2023 Table 47 Raw'!AH65</f>
        <v>5130.4770509999998</v>
      </c>
      <c r="AF79" s="30">
        <f>'AEO 2023 Table 47 Raw'!AI65</f>
        <v>5.8000000000000003E-2</v>
      </c>
    </row>
    <row r="80" spans="1:32" ht="15" customHeight="1">
      <c r="A80" s="7" t="s">
        <v>594</v>
      </c>
      <c r="B80" s="16" t="s">
        <v>532</v>
      </c>
      <c r="C80" s="18">
        <f>'AEO 2023 Table 47 Raw'!F66</f>
        <v>3092.2739259999998</v>
      </c>
      <c r="D80" s="18">
        <f>'AEO 2023 Table 47 Raw'!G66</f>
        <v>3863.8820799999999</v>
      </c>
      <c r="E80" s="18">
        <f>'AEO 2023 Table 47 Raw'!H66</f>
        <v>4480.8652339999999</v>
      </c>
      <c r="F80" s="18">
        <f>'AEO 2023 Table 47 Raw'!I66</f>
        <v>4934.919922</v>
      </c>
      <c r="G80" s="18">
        <f>'AEO 2023 Table 47 Raw'!J66</f>
        <v>5268.0708009999998</v>
      </c>
      <c r="H80" s="18">
        <f>'AEO 2023 Table 47 Raw'!K66</f>
        <v>5491.9516599999997</v>
      </c>
      <c r="I80" s="18">
        <f>'AEO 2023 Table 47 Raw'!L66</f>
        <v>5700.4174800000001</v>
      </c>
      <c r="J80" s="18">
        <f>'AEO 2023 Table 47 Raw'!M66</f>
        <v>5881.640625</v>
      </c>
      <c r="K80" s="18">
        <f>'AEO 2023 Table 47 Raw'!N66</f>
        <v>6062.2890619999998</v>
      </c>
      <c r="L80" s="18">
        <f>'AEO 2023 Table 47 Raw'!O66</f>
        <v>6246.5034180000002</v>
      </c>
      <c r="M80" s="18">
        <f>'AEO 2023 Table 47 Raw'!P66</f>
        <v>6439.5307620000003</v>
      </c>
      <c r="N80" s="18">
        <f>'AEO 2023 Table 47 Raw'!Q66</f>
        <v>6636.0771480000003</v>
      </c>
      <c r="O80" s="18">
        <f>'AEO 2023 Table 47 Raw'!R66</f>
        <v>6831.0161129999997</v>
      </c>
      <c r="P80" s="18">
        <f>'AEO 2023 Table 47 Raw'!S66</f>
        <v>7028.9487300000001</v>
      </c>
      <c r="Q80" s="18">
        <f>'AEO 2023 Table 47 Raw'!T66</f>
        <v>7232.6904299999997</v>
      </c>
      <c r="R80" s="18">
        <f>'AEO 2023 Table 47 Raw'!U66</f>
        <v>7443.2495120000003</v>
      </c>
      <c r="S80" s="18">
        <f>'AEO 2023 Table 47 Raw'!V66</f>
        <v>7660.9145509999998</v>
      </c>
      <c r="T80" s="18">
        <f>'AEO 2023 Table 47 Raw'!W66</f>
        <v>7884.1440430000002</v>
      </c>
      <c r="U80" s="18">
        <f>'AEO 2023 Table 47 Raw'!X66</f>
        <v>8115.2856449999999</v>
      </c>
      <c r="V80" s="18">
        <f>'AEO 2023 Table 47 Raw'!Y66</f>
        <v>8350.4160159999992</v>
      </c>
      <c r="W80" s="18">
        <f>'AEO 2023 Table 47 Raw'!Z66</f>
        <v>8591.8769530000009</v>
      </c>
      <c r="X80" s="18">
        <f>'AEO 2023 Table 47 Raw'!AA66</f>
        <v>8838.9326170000004</v>
      </c>
      <c r="Y80" s="18">
        <f>'AEO 2023 Table 47 Raw'!AB66</f>
        <v>9090.9277340000008</v>
      </c>
      <c r="Z80" s="18">
        <f>'AEO 2023 Table 47 Raw'!AC66</f>
        <v>9345.90625</v>
      </c>
      <c r="AA80" s="18">
        <f>'AEO 2023 Table 47 Raw'!AD66</f>
        <v>9604.6660159999992</v>
      </c>
      <c r="AB80" s="18">
        <f>'AEO 2023 Table 47 Raw'!AE66</f>
        <v>9869.0458980000003</v>
      </c>
      <c r="AC80" s="18">
        <f>'AEO 2023 Table 47 Raw'!AF66</f>
        <v>10138.983398</v>
      </c>
      <c r="AD80" s="18">
        <f>'AEO 2023 Table 47 Raw'!AG66</f>
        <v>10413.891602</v>
      </c>
      <c r="AE80" s="18">
        <f>'AEO 2023 Table 47 Raw'!AH66</f>
        <v>10694.028319999999</v>
      </c>
      <c r="AF80" s="30">
        <f>'AEO 2023 Table 47 Raw'!AI66</f>
        <v>4.4999999999999998E-2</v>
      </c>
    </row>
    <row r="81" spans="1:32" ht="15" customHeight="1">
      <c r="A81" s="7" t="s">
        <v>595</v>
      </c>
      <c r="B81" s="16" t="s">
        <v>534</v>
      </c>
      <c r="C81" s="18">
        <f>'AEO 2023 Table 47 Raw'!F67</f>
        <v>0</v>
      </c>
      <c r="D81" s="18">
        <f>'AEO 2023 Table 47 Raw'!G67</f>
        <v>0</v>
      </c>
      <c r="E81" s="18">
        <f>'AEO 2023 Table 47 Raw'!H67</f>
        <v>0</v>
      </c>
      <c r="F81" s="18">
        <f>'AEO 2023 Table 47 Raw'!I67</f>
        <v>0</v>
      </c>
      <c r="G81" s="18">
        <f>'AEO 2023 Table 47 Raw'!J67</f>
        <v>0</v>
      </c>
      <c r="H81" s="18">
        <f>'AEO 2023 Table 47 Raw'!K67</f>
        <v>0</v>
      </c>
      <c r="I81" s="18">
        <f>'AEO 2023 Table 47 Raw'!L67</f>
        <v>0</v>
      </c>
      <c r="J81" s="18">
        <f>'AEO 2023 Table 47 Raw'!M67</f>
        <v>0</v>
      </c>
      <c r="K81" s="18">
        <f>'AEO 2023 Table 47 Raw'!N67</f>
        <v>0</v>
      </c>
      <c r="L81" s="18">
        <f>'AEO 2023 Table 47 Raw'!O67</f>
        <v>0</v>
      </c>
      <c r="M81" s="18">
        <f>'AEO 2023 Table 47 Raw'!P67</f>
        <v>0</v>
      </c>
      <c r="N81" s="18">
        <f>'AEO 2023 Table 47 Raw'!Q67</f>
        <v>0</v>
      </c>
      <c r="O81" s="18">
        <f>'AEO 2023 Table 47 Raw'!R67</f>
        <v>0</v>
      </c>
      <c r="P81" s="18">
        <f>'AEO 2023 Table 47 Raw'!S67</f>
        <v>0</v>
      </c>
      <c r="Q81" s="18">
        <f>'AEO 2023 Table 47 Raw'!T67</f>
        <v>0</v>
      </c>
      <c r="R81" s="18">
        <f>'AEO 2023 Table 47 Raw'!U67</f>
        <v>0</v>
      </c>
      <c r="S81" s="18">
        <f>'AEO 2023 Table 47 Raw'!V67</f>
        <v>0</v>
      </c>
      <c r="T81" s="18">
        <f>'AEO 2023 Table 47 Raw'!W67</f>
        <v>0</v>
      </c>
      <c r="U81" s="18">
        <f>'AEO 2023 Table 47 Raw'!X67</f>
        <v>0</v>
      </c>
      <c r="V81" s="18">
        <f>'AEO 2023 Table 47 Raw'!Y67</f>
        <v>0</v>
      </c>
      <c r="W81" s="18">
        <f>'AEO 2023 Table 47 Raw'!Z67</f>
        <v>0</v>
      </c>
      <c r="X81" s="18">
        <f>'AEO 2023 Table 47 Raw'!AA67</f>
        <v>0</v>
      </c>
      <c r="Y81" s="18">
        <f>'AEO 2023 Table 47 Raw'!AB67</f>
        <v>0</v>
      </c>
      <c r="Z81" s="18">
        <f>'AEO 2023 Table 47 Raw'!AC67</f>
        <v>0</v>
      </c>
      <c r="AA81" s="18">
        <f>'AEO 2023 Table 47 Raw'!AD67</f>
        <v>0</v>
      </c>
      <c r="AB81" s="18">
        <f>'AEO 2023 Table 47 Raw'!AE67</f>
        <v>0</v>
      </c>
      <c r="AC81" s="18">
        <f>'AEO 2023 Table 47 Raw'!AF67</f>
        <v>0</v>
      </c>
      <c r="AD81" s="18">
        <f>'AEO 2023 Table 47 Raw'!AG67</f>
        <v>0</v>
      </c>
      <c r="AE81" s="18">
        <f>'AEO 2023 Table 47 Raw'!AH67</f>
        <v>0</v>
      </c>
      <c r="AF81" s="30">
        <f>'AEO 2023 Table 47 Raw'!AI67</f>
        <v>0</v>
      </c>
    </row>
    <row r="82" spans="1:32" ht="15" customHeight="1">
      <c r="A82" s="7" t="s">
        <v>596</v>
      </c>
      <c r="B82" s="16" t="s">
        <v>536</v>
      </c>
      <c r="C82" s="18">
        <f>'AEO 2023 Table 47 Raw'!F68</f>
        <v>47.423141000000001</v>
      </c>
      <c r="D82" s="18">
        <f>'AEO 2023 Table 47 Raw'!G68</f>
        <v>46.367550000000001</v>
      </c>
      <c r="E82" s="18">
        <f>'AEO 2023 Table 47 Raw'!H68</f>
        <v>46.121803</v>
      </c>
      <c r="F82" s="18">
        <f>'AEO 2023 Table 47 Raw'!I68</f>
        <v>46.319042000000003</v>
      </c>
      <c r="G82" s="18">
        <f>'AEO 2023 Table 47 Raw'!J68</f>
        <v>46.842078999999998</v>
      </c>
      <c r="H82" s="18">
        <f>'AEO 2023 Table 47 Raw'!K68</f>
        <v>47.387383</v>
      </c>
      <c r="I82" s="18">
        <f>'AEO 2023 Table 47 Raw'!L68</f>
        <v>47.970078000000001</v>
      </c>
      <c r="J82" s="18">
        <f>'AEO 2023 Table 47 Raw'!M68</f>
        <v>48.509177999999999</v>
      </c>
      <c r="K82" s="18">
        <f>'AEO 2023 Table 47 Raw'!N68</f>
        <v>49.009602000000001</v>
      </c>
      <c r="L82" s="18">
        <f>'AEO 2023 Table 47 Raw'!O68</f>
        <v>49.582680000000003</v>
      </c>
      <c r="M82" s="18">
        <f>'AEO 2023 Table 47 Raw'!P68</f>
        <v>50.348796999999998</v>
      </c>
      <c r="N82" s="18">
        <f>'AEO 2023 Table 47 Raw'!Q68</f>
        <v>51.150725999999999</v>
      </c>
      <c r="O82" s="18">
        <f>'AEO 2023 Table 47 Raw'!R68</f>
        <v>51.844681000000001</v>
      </c>
      <c r="P82" s="18">
        <f>'AEO 2023 Table 47 Raw'!S68</f>
        <v>52.540646000000002</v>
      </c>
      <c r="Q82" s="18">
        <f>'AEO 2023 Table 47 Raw'!T68</f>
        <v>53.319443</v>
      </c>
      <c r="R82" s="18">
        <f>'AEO 2023 Table 47 Raw'!U68</f>
        <v>54.194930999999997</v>
      </c>
      <c r="S82" s="18">
        <f>'AEO 2023 Table 47 Raw'!V68</f>
        <v>55.171546999999997</v>
      </c>
      <c r="T82" s="18">
        <f>'AEO 2023 Table 47 Raw'!W68</f>
        <v>56.197688999999997</v>
      </c>
      <c r="U82" s="18">
        <f>'AEO 2023 Table 47 Raw'!X68</f>
        <v>57.314678000000001</v>
      </c>
      <c r="V82" s="18">
        <f>'AEO 2023 Table 47 Raw'!Y68</f>
        <v>58.420783999999998</v>
      </c>
      <c r="W82" s="18">
        <f>'AEO 2023 Table 47 Raw'!Z68</f>
        <v>59.565468000000003</v>
      </c>
      <c r="X82" s="18">
        <f>'AEO 2023 Table 47 Raw'!AA68</f>
        <v>60.742359</v>
      </c>
      <c r="Y82" s="18">
        <f>'AEO 2023 Table 47 Raw'!AB68</f>
        <v>61.948818000000003</v>
      </c>
      <c r="Z82" s="18">
        <f>'AEO 2023 Table 47 Raw'!AC68</f>
        <v>63.150246000000003</v>
      </c>
      <c r="AA82" s="18">
        <f>'AEO 2023 Table 47 Raw'!AD68</f>
        <v>64.407889999999995</v>
      </c>
      <c r="AB82" s="18">
        <f>'AEO 2023 Table 47 Raw'!AE68</f>
        <v>65.735016000000002</v>
      </c>
      <c r="AC82" s="18">
        <f>'AEO 2023 Table 47 Raw'!AF68</f>
        <v>67.125388999999998</v>
      </c>
      <c r="AD82" s="18">
        <f>'AEO 2023 Table 47 Raw'!AG68</f>
        <v>68.572693000000001</v>
      </c>
      <c r="AE82" s="18">
        <f>'AEO 2023 Table 47 Raw'!AH68</f>
        <v>70.094299000000007</v>
      </c>
      <c r="AF82" s="30">
        <f>'AEO 2023 Table 47 Raw'!AI68</f>
        <v>1.4E-2</v>
      </c>
    </row>
    <row r="83" spans="1:32" ht="15" customHeight="1">
      <c r="A83" s="7" t="s">
        <v>597</v>
      </c>
      <c r="B83" s="16" t="s">
        <v>538</v>
      </c>
      <c r="C83" s="18">
        <f>'AEO 2023 Table 47 Raw'!F69</f>
        <v>1.0062629999999999</v>
      </c>
      <c r="D83" s="18">
        <f>'AEO 2023 Table 47 Raw'!G69</f>
        <v>1.0441499999999999</v>
      </c>
      <c r="E83" s="18">
        <f>'AEO 2023 Table 47 Raw'!H69</f>
        <v>1.0762890000000001</v>
      </c>
      <c r="F83" s="18">
        <f>'AEO 2023 Table 47 Raw'!I69</f>
        <v>1.1045970000000001</v>
      </c>
      <c r="G83" s="18">
        <f>'AEO 2023 Table 47 Raw'!J69</f>
        <v>1.1287959999999999</v>
      </c>
      <c r="H83" s="18">
        <f>'AEO 2023 Table 47 Raw'!K69</f>
        <v>1.1493180000000001</v>
      </c>
      <c r="I83" s="18">
        <f>'AEO 2023 Table 47 Raw'!L69</f>
        <v>1.1671069999999999</v>
      </c>
      <c r="J83" s="18">
        <f>'AEO 2023 Table 47 Raw'!M69</f>
        <v>1.1826779999999999</v>
      </c>
      <c r="K83" s="18">
        <f>'AEO 2023 Table 47 Raw'!N69</f>
        <v>1.1963220000000001</v>
      </c>
      <c r="L83" s="18">
        <f>'AEO 2023 Table 47 Raw'!O69</f>
        <v>1.208356</v>
      </c>
      <c r="M83" s="18">
        <f>'AEO 2023 Table 47 Raw'!P69</f>
        <v>1.219001</v>
      </c>
      <c r="N83" s="18">
        <f>'AEO 2023 Table 47 Raw'!Q69</f>
        <v>1.2284360000000001</v>
      </c>
      <c r="O83" s="18">
        <f>'AEO 2023 Table 47 Raw'!R69</f>
        <v>1.2368399999999999</v>
      </c>
      <c r="P83" s="18">
        <f>'AEO 2023 Table 47 Raw'!S69</f>
        <v>1.2443679999999999</v>
      </c>
      <c r="Q83" s="18">
        <f>'AEO 2023 Table 47 Raw'!T69</f>
        <v>1.2511509999999999</v>
      </c>
      <c r="R83" s="18">
        <f>'AEO 2023 Table 47 Raw'!U69</f>
        <v>1.2572989999999999</v>
      </c>
      <c r="S83" s="18">
        <f>'AEO 2023 Table 47 Raw'!V69</f>
        <v>1.2629079999999999</v>
      </c>
      <c r="T83" s="18">
        <f>'AEO 2023 Table 47 Raw'!W69</f>
        <v>1.2680560000000001</v>
      </c>
      <c r="U83" s="18">
        <f>'AEO 2023 Table 47 Raw'!X69</f>
        <v>1.2728120000000001</v>
      </c>
      <c r="V83" s="18">
        <f>'AEO 2023 Table 47 Raw'!Y69</f>
        <v>1.2772349999999999</v>
      </c>
      <c r="W83" s="18">
        <f>'AEO 2023 Table 47 Raw'!Z69</f>
        <v>1.281374</v>
      </c>
      <c r="X83" s="18">
        <f>'AEO 2023 Table 47 Raw'!AA69</f>
        <v>1.285269</v>
      </c>
      <c r="Y83" s="18">
        <f>'AEO 2023 Table 47 Raw'!AB69</f>
        <v>1.2889569999999999</v>
      </c>
      <c r="Z83" s="18">
        <f>'AEO 2023 Table 47 Raw'!AC69</f>
        <v>1.2924690000000001</v>
      </c>
      <c r="AA83" s="18">
        <f>'AEO 2023 Table 47 Raw'!AD69</f>
        <v>1.2958289999999999</v>
      </c>
      <c r="AB83" s="18">
        <f>'AEO 2023 Table 47 Raw'!AE69</f>
        <v>1.299059</v>
      </c>
      <c r="AC83" s="18">
        <f>'AEO 2023 Table 47 Raw'!AF69</f>
        <v>1.302179</v>
      </c>
      <c r="AD83" s="18">
        <f>'AEO 2023 Table 47 Raw'!AG69</f>
        <v>1.3052029999999999</v>
      </c>
      <c r="AE83" s="18">
        <f>'AEO 2023 Table 47 Raw'!AH69</f>
        <v>1.3081449999999999</v>
      </c>
      <c r="AF83" s="30">
        <f>'AEO 2023 Table 47 Raw'!AI69</f>
        <v>8.9999999999999993E-3</v>
      </c>
    </row>
    <row r="84" spans="1:32" ht="15" customHeight="1">
      <c r="A84" s="7" t="s">
        <v>598</v>
      </c>
      <c r="B84" s="16" t="s">
        <v>540</v>
      </c>
      <c r="C84" s="18">
        <f>'AEO 2023 Table 47 Raw'!F70</f>
        <v>2.2818999999999998</v>
      </c>
      <c r="D84" s="18">
        <f>'AEO 2023 Table 47 Raw'!G70</f>
        <v>2.3426399999999998</v>
      </c>
      <c r="E84" s="18">
        <f>'AEO 2023 Table 47 Raw'!H70</f>
        <v>2.4650479999999999</v>
      </c>
      <c r="F84" s="18">
        <f>'AEO 2023 Table 47 Raw'!I70</f>
        <v>2.5995650000000001</v>
      </c>
      <c r="G84" s="18">
        <f>'AEO 2023 Table 47 Raw'!J70</f>
        <v>2.734801</v>
      </c>
      <c r="H84" s="18">
        <f>'AEO 2023 Table 47 Raw'!K70</f>
        <v>2.8735569999999999</v>
      </c>
      <c r="I84" s="18">
        <f>'AEO 2023 Table 47 Raw'!L70</f>
        <v>3.0144679999999999</v>
      </c>
      <c r="J84" s="18">
        <f>'AEO 2023 Table 47 Raw'!M70</f>
        <v>3.1632699999999998</v>
      </c>
      <c r="K84" s="18">
        <f>'AEO 2023 Table 47 Raw'!N70</f>
        <v>3.3243580000000001</v>
      </c>
      <c r="L84" s="18">
        <f>'AEO 2023 Table 47 Raw'!O70</f>
        <v>3.4972789999999998</v>
      </c>
      <c r="M84" s="18">
        <f>'AEO 2023 Table 47 Raw'!P70</f>
        <v>3.6855220000000002</v>
      </c>
      <c r="N84" s="18">
        <f>'AEO 2023 Table 47 Raw'!Q70</f>
        <v>3.8840870000000001</v>
      </c>
      <c r="O84" s="18">
        <f>'AEO 2023 Table 47 Raw'!R70</f>
        <v>4.0934869999999997</v>
      </c>
      <c r="P84" s="18">
        <f>'AEO 2023 Table 47 Raw'!S70</f>
        <v>4.3137239999999997</v>
      </c>
      <c r="Q84" s="18">
        <f>'AEO 2023 Table 47 Raw'!T70</f>
        <v>4.5410490000000001</v>
      </c>
      <c r="R84" s="18">
        <f>'AEO 2023 Table 47 Raw'!U70</f>
        <v>4.7785919999999997</v>
      </c>
      <c r="S84" s="18">
        <f>'AEO 2023 Table 47 Raw'!V70</f>
        <v>5.0267689999999998</v>
      </c>
      <c r="T84" s="18">
        <f>'AEO 2023 Table 47 Raw'!W70</f>
        <v>5.2857289999999999</v>
      </c>
      <c r="U84" s="18">
        <f>'AEO 2023 Table 47 Raw'!X70</f>
        <v>5.555498</v>
      </c>
      <c r="V84" s="18">
        <f>'AEO 2023 Table 47 Raw'!Y70</f>
        <v>5.8253459999999997</v>
      </c>
      <c r="W84" s="18">
        <f>'AEO 2023 Table 47 Raw'!Z70</f>
        <v>6.1047849999999997</v>
      </c>
      <c r="X84" s="18">
        <f>'AEO 2023 Table 47 Raw'!AA70</f>
        <v>6.3940640000000002</v>
      </c>
      <c r="Y84" s="18">
        <f>'AEO 2023 Table 47 Raw'!AB70</f>
        <v>6.693174</v>
      </c>
      <c r="Z84" s="18">
        <f>'AEO 2023 Table 47 Raw'!AC70</f>
        <v>7.0021630000000004</v>
      </c>
      <c r="AA84" s="18">
        <f>'AEO 2023 Table 47 Raw'!AD70</f>
        <v>7.3102840000000002</v>
      </c>
      <c r="AB84" s="18">
        <f>'AEO 2023 Table 47 Raw'!AE70</f>
        <v>7.6272060000000002</v>
      </c>
      <c r="AC84" s="18">
        <f>'AEO 2023 Table 47 Raw'!AF70</f>
        <v>7.9528179999999997</v>
      </c>
      <c r="AD84" s="18">
        <f>'AEO 2023 Table 47 Raw'!AG70</f>
        <v>8.2870039999999996</v>
      </c>
      <c r="AE84" s="18">
        <f>'AEO 2023 Table 47 Raw'!AH70</f>
        <v>8.6297200000000007</v>
      </c>
      <c r="AF84" s="30">
        <f>'AEO 2023 Table 47 Raw'!AI70</f>
        <v>4.9000000000000002E-2</v>
      </c>
    </row>
    <row r="85" spans="1:32" ht="15" customHeight="1">
      <c r="A85" s="7" t="s">
        <v>599</v>
      </c>
      <c r="B85" s="16" t="s">
        <v>542</v>
      </c>
      <c r="C85" s="18">
        <f>'AEO 2023 Table 47 Raw'!F71</f>
        <v>21.343447000000001</v>
      </c>
      <c r="D85" s="18">
        <f>'AEO 2023 Table 47 Raw'!G71</f>
        <v>23.328316000000001</v>
      </c>
      <c r="E85" s="18">
        <f>'AEO 2023 Table 47 Raw'!H71</f>
        <v>25.259329000000001</v>
      </c>
      <c r="F85" s="18">
        <f>'AEO 2023 Table 47 Raw'!I71</f>
        <v>26.844503</v>
      </c>
      <c r="G85" s="18">
        <f>'AEO 2023 Table 47 Raw'!J71</f>
        <v>28.220020000000002</v>
      </c>
      <c r="H85" s="18">
        <f>'AEO 2023 Table 47 Raw'!K71</f>
        <v>29.476091</v>
      </c>
      <c r="I85" s="18">
        <f>'AEO 2023 Table 47 Raw'!L71</f>
        <v>30.638822999999999</v>
      </c>
      <c r="J85" s="18">
        <f>'AEO 2023 Table 47 Raw'!M71</f>
        <v>31.743164</v>
      </c>
      <c r="K85" s="18">
        <f>'AEO 2023 Table 47 Raw'!N71</f>
        <v>32.806507000000003</v>
      </c>
      <c r="L85" s="18">
        <f>'AEO 2023 Table 47 Raw'!O71</f>
        <v>33.836029000000003</v>
      </c>
      <c r="M85" s="18">
        <f>'AEO 2023 Table 47 Raw'!P71</f>
        <v>34.844954999999999</v>
      </c>
      <c r="N85" s="18">
        <f>'AEO 2023 Table 47 Raw'!Q71</f>
        <v>35.848754999999997</v>
      </c>
      <c r="O85" s="18">
        <f>'AEO 2023 Table 47 Raw'!R71</f>
        <v>36.846347999999999</v>
      </c>
      <c r="P85" s="18">
        <f>'AEO 2023 Table 47 Raw'!S71</f>
        <v>37.830382999999998</v>
      </c>
      <c r="Q85" s="18">
        <f>'AEO 2023 Table 47 Raw'!T71</f>
        <v>38.820450000000001</v>
      </c>
      <c r="R85" s="18">
        <f>'AEO 2023 Table 47 Raw'!U71</f>
        <v>39.828896</v>
      </c>
      <c r="S85" s="18">
        <f>'AEO 2023 Table 47 Raw'!V71</f>
        <v>40.849742999999997</v>
      </c>
      <c r="T85" s="18">
        <f>'AEO 2023 Table 47 Raw'!W71</f>
        <v>41.884875999999998</v>
      </c>
      <c r="U85" s="18">
        <f>'AEO 2023 Table 47 Raw'!X71</f>
        <v>42.945388999999999</v>
      </c>
      <c r="V85" s="18">
        <f>'AEO 2023 Table 47 Raw'!Y71</f>
        <v>44.021434999999997</v>
      </c>
      <c r="W85" s="18">
        <f>'AEO 2023 Table 47 Raw'!Z71</f>
        <v>45.112003000000001</v>
      </c>
      <c r="X85" s="18">
        <f>'AEO 2023 Table 47 Raw'!AA71</f>
        <v>46.216866000000003</v>
      </c>
      <c r="Y85" s="18">
        <f>'AEO 2023 Table 47 Raw'!AB71</f>
        <v>47.334282000000002</v>
      </c>
      <c r="Z85" s="18">
        <f>'AEO 2023 Table 47 Raw'!AC71</f>
        <v>48.465243999999998</v>
      </c>
      <c r="AA85" s="18">
        <f>'AEO 2023 Table 47 Raw'!AD71</f>
        <v>49.616309999999999</v>
      </c>
      <c r="AB85" s="18">
        <f>'AEO 2023 Table 47 Raw'!AE71</f>
        <v>50.789515999999999</v>
      </c>
      <c r="AC85" s="18">
        <f>'AEO 2023 Table 47 Raw'!AF71</f>
        <v>51.988506000000001</v>
      </c>
      <c r="AD85" s="18">
        <f>'AEO 2023 Table 47 Raw'!AG71</f>
        <v>53.218521000000003</v>
      </c>
      <c r="AE85" s="18">
        <f>'AEO 2023 Table 47 Raw'!AH71</f>
        <v>54.480499000000002</v>
      </c>
      <c r="AF85" s="30">
        <f>'AEO 2023 Table 47 Raw'!AI71</f>
        <v>3.4000000000000002E-2</v>
      </c>
    </row>
    <row r="86" spans="1:32" ht="15" customHeight="1">
      <c r="A86" s="7" t="s">
        <v>600</v>
      </c>
      <c r="B86" s="16" t="s">
        <v>544</v>
      </c>
      <c r="C86" s="18">
        <f>'AEO 2023 Table 47 Raw'!F72</f>
        <v>4.273352</v>
      </c>
      <c r="D86" s="18">
        <f>'AEO 2023 Table 47 Raw'!G72</f>
        <v>4.4791809999999996</v>
      </c>
      <c r="E86" s="18">
        <f>'AEO 2023 Table 47 Raw'!H72</f>
        <v>4.6452540000000004</v>
      </c>
      <c r="F86" s="18">
        <f>'AEO 2023 Table 47 Raw'!I72</f>
        <v>4.7855220000000003</v>
      </c>
      <c r="G86" s="18">
        <f>'AEO 2023 Table 47 Raw'!J72</f>
        <v>4.8974130000000002</v>
      </c>
      <c r="H86" s="18">
        <f>'AEO 2023 Table 47 Raw'!K72</f>
        <v>4.9908710000000003</v>
      </c>
      <c r="I86" s="18">
        <f>'AEO 2023 Table 47 Raw'!L72</f>
        <v>5.0685380000000002</v>
      </c>
      <c r="J86" s="18">
        <f>'AEO 2023 Table 47 Raw'!M72</f>
        <v>5.1330119999999999</v>
      </c>
      <c r="K86" s="18">
        <f>'AEO 2023 Table 47 Raw'!N72</f>
        <v>5.1861550000000003</v>
      </c>
      <c r="L86" s="18">
        <f>'AEO 2023 Table 47 Raw'!O72</f>
        <v>5.229876</v>
      </c>
      <c r="M86" s="18">
        <f>'AEO 2023 Table 47 Raw'!P72</f>
        <v>5.2663859999999998</v>
      </c>
      <c r="N86" s="18">
        <f>'AEO 2023 Table 47 Raw'!Q72</f>
        <v>5.2975640000000004</v>
      </c>
      <c r="O86" s="18">
        <f>'AEO 2023 Table 47 Raw'!R72</f>
        <v>5.3242719999999997</v>
      </c>
      <c r="P86" s="18">
        <f>'AEO 2023 Table 47 Raw'!S72</f>
        <v>5.3471760000000002</v>
      </c>
      <c r="Q86" s="18">
        <f>'AEO 2023 Table 47 Raw'!T72</f>
        <v>5.3668380000000004</v>
      </c>
      <c r="R86" s="18">
        <f>'AEO 2023 Table 47 Raw'!U72</f>
        <v>5.3837380000000001</v>
      </c>
      <c r="S86" s="18">
        <f>'AEO 2023 Table 47 Raw'!V72</f>
        <v>5.398288</v>
      </c>
      <c r="T86" s="18">
        <f>'AEO 2023 Table 47 Raw'!W72</f>
        <v>5.4108229999999997</v>
      </c>
      <c r="U86" s="18">
        <f>'AEO 2023 Table 47 Raw'!X72</f>
        <v>5.4216280000000001</v>
      </c>
      <c r="V86" s="18">
        <f>'AEO 2023 Table 47 Raw'!Y72</f>
        <v>5.4309770000000004</v>
      </c>
      <c r="W86" s="18">
        <f>'AEO 2023 Table 47 Raw'!Z72</f>
        <v>5.4390599999999996</v>
      </c>
      <c r="X86" s="18">
        <f>'AEO 2023 Table 47 Raw'!AA72</f>
        <v>5.4460730000000002</v>
      </c>
      <c r="Y86" s="18">
        <f>'AEO 2023 Table 47 Raw'!AB72</f>
        <v>5.4522899999999996</v>
      </c>
      <c r="Z86" s="18">
        <f>'AEO 2023 Table 47 Raw'!AC72</f>
        <v>5.4581390000000001</v>
      </c>
      <c r="AA86" s="18">
        <f>'AEO 2023 Table 47 Raw'!AD72</f>
        <v>5.4639499999999996</v>
      </c>
      <c r="AB86" s="18">
        <f>'AEO 2023 Table 47 Raw'!AE72</f>
        <v>5.4698690000000001</v>
      </c>
      <c r="AC86" s="18">
        <f>'AEO 2023 Table 47 Raw'!AF72</f>
        <v>5.4759849999999997</v>
      </c>
      <c r="AD86" s="18">
        <f>'AEO 2023 Table 47 Raw'!AG72</f>
        <v>5.4823639999999996</v>
      </c>
      <c r="AE86" s="18">
        <f>'AEO 2023 Table 47 Raw'!AH72</f>
        <v>5.4890670000000004</v>
      </c>
      <c r="AF86" s="30">
        <f>'AEO 2023 Table 47 Raw'!AI72</f>
        <v>8.9999999999999993E-3</v>
      </c>
    </row>
    <row r="87" spans="1:32" ht="15" customHeight="1">
      <c r="A87" s="7" t="s">
        <v>601</v>
      </c>
      <c r="B87" s="16" t="s">
        <v>602</v>
      </c>
      <c r="C87" s="18">
        <f>'AEO 2023 Table 47 Raw'!F73</f>
        <v>1.375221</v>
      </c>
      <c r="D87" s="18">
        <f>'AEO 2023 Table 47 Raw'!G73</f>
        <v>1.4571829999999999</v>
      </c>
      <c r="E87" s="18">
        <f>'AEO 2023 Table 47 Raw'!H73</f>
        <v>1.532079</v>
      </c>
      <c r="F87" s="18">
        <f>'AEO 2023 Table 47 Raw'!I73</f>
        <v>1.599677</v>
      </c>
      <c r="G87" s="18">
        <f>'AEO 2023 Table 47 Raw'!J73</f>
        <v>1.6609389999999999</v>
      </c>
      <c r="H87" s="18">
        <f>'AEO 2023 Table 47 Raw'!K73</f>
        <v>1.716998</v>
      </c>
      <c r="I87" s="18">
        <f>'AEO 2023 Table 47 Raw'!L73</f>
        <v>1.7685759999999999</v>
      </c>
      <c r="J87" s="18">
        <f>'AEO 2023 Table 47 Raw'!M73</f>
        <v>1.8164849999999999</v>
      </c>
      <c r="K87" s="18">
        <f>'AEO 2023 Table 47 Raw'!N73</f>
        <v>1.861445</v>
      </c>
      <c r="L87" s="18">
        <f>'AEO 2023 Table 47 Raw'!O73</f>
        <v>1.9036090000000001</v>
      </c>
      <c r="M87" s="18">
        <f>'AEO 2023 Table 47 Raw'!P73</f>
        <v>1.9428510000000001</v>
      </c>
      <c r="N87" s="18">
        <f>'AEO 2023 Table 47 Raw'!Q73</f>
        <v>1.979757</v>
      </c>
      <c r="O87" s="18">
        <f>'AEO 2023 Table 47 Raw'!R73</f>
        <v>2.0146850000000001</v>
      </c>
      <c r="P87" s="18">
        <f>'AEO 2023 Table 47 Raw'!S73</f>
        <v>2.0465460000000002</v>
      </c>
      <c r="Q87" s="18">
        <f>'AEO 2023 Table 47 Raw'!T73</f>
        <v>2.0765380000000002</v>
      </c>
      <c r="R87" s="18">
        <f>'AEO 2023 Table 47 Raw'!U73</f>
        <v>2.105925</v>
      </c>
      <c r="S87" s="18">
        <f>'AEO 2023 Table 47 Raw'!V73</f>
        <v>2.1345260000000001</v>
      </c>
      <c r="T87" s="18">
        <f>'AEO 2023 Table 47 Raw'!W73</f>
        <v>2.1616379999999999</v>
      </c>
      <c r="U87" s="18">
        <f>'AEO 2023 Table 47 Raw'!X73</f>
        <v>2.187468</v>
      </c>
      <c r="V87" s="18">
        <f>'AEO 2023 Table 47 Raw'!Y73</f>
        <v>2.2126380000000001</v>
      </c>
      <c r="W87" s="18">
        <f>'AEO 2023 Table 47 Raw'!Z73</f>
        <v>2.2373310000000002</v>
      </c>
      <c r="X87" s="18">
        <f>'AEO 2023 Table 47 Raw'!AA73</f>
        <v>2.2616049999999999</v>
      </c>
      <c r="Y87" s="18">
        <f>'AEO 2023 Table 47 Raw'!AB73</f>
        <v>2.2854969999999999</v>
      </c>
      <c r="Z87" s="18">
        <f>'AEO 2023 Table 47 Raw'!AC73</f>
        <v>2.309015</v>
      </c>
      <c r="AA87" s="18">
        <f>'AEO 2023 Table 47 Raw'!AD73</f>
        <v>2.332131</v>
      </c>
      <c r="AB87" s="18">
        <f>'AEO 2023 Table 47 Raw'!AE73</f>
        <v>2.3548879999999999</v>
      </c>
      <c r="AC87" s="18">
        <f>'AEO 2023 Table 47 Raw'!AF73</f>
        <v>2.3775210000000002</v>
      </c>
      <c r="AD87" s="18">
        <f>'AEO 2023 Table 47 Raw'!AG73</f>
        <v>2.4000759999999999</v>
      </c>
      <c r="AE87" s="18">
        <f>'AEO 2023 Table 47 Raw'!AH73</f>
        <v>2.4225569999999998</v>
      </c>
      <c r="AF87" s="30">
        <f>'AEO 2023 Table 47 Raw'!AI73</f>
        <v>0.02</v>
      </c>
    </row>
    <row r="88" spans="1:32" ht="15" customHeight="1">
      <c r="AF88" s="33"/>
    </row>
    <row r="89" spans="1:32" ht="15" customHeight="1">
      <c r="B89" s="15" t="s">
        <v>113</v>
      </c>
      <c r="AF89" s="33"/>
    </row>
    <row r="90" spans="1:32" ht="12" customHeight="1">
      <c r="A90" s="7" t="s">
        <v>603</v>
      </c>
      <c r="B90" s="16" t="s">
        <v>604</v>
      </c>
      <c r="C90" s="17">
        <f>'AEO 2023 Table 47 Raw'!F75</f>
        <v>0.63681100000000002</v>
      </c>
      <c r="D90" s="17">
        <f>'AEO 2023 Table 47 Raw'!G75</f>
        <v>0.61521599999999999</v>
      </c>
      <c r="E90" s="17">
        <f>'AEO 2023 Table 47 Raw'!H75</f>
        <v>0.63014599999999998</v>
      </c>
      <c r="F90" s="17">
        <f>'AEO 2023 Table 47 Raw'!I75</f>
        <v>0.64219700000000002</v>
      </c>
      <c r="G90" s="17">
        <f>'AEO 2023 Table 47 Raw'!J75</f>
        <v>0.65244100000000005</v>
      </c>
      <c r="H90" s="17">
        <f>'AEO 2023 Table 47 Raw'!K75</f>
        <v>0.66163000000000005</v>
      </c>
      <c r="I90" s="17">
        <f>'AEO 2023 Table 47 Raw'!L75</f>
        <v>0.67073499999999997</v>
      </c>
      <c r="J90" s="17">
        <f>'AEO 2023 Table 47 Raw'!M75</f>
        <v>0.67983400000000005</v>
      </c>
      <c r="K90" s="17">
        <f>'AEO 2023 Table 47 Raw'!N75</f>
        <v>0.68894900000000003</v>
      </c>
      <c r="L90" s="17">
        <f>'AEO 2023 Table 47 Raw'!O75</f>
        <v>0.69872299999999998</v>
      </c>
      <c r="M90" s="17">
        <f>'AEO 2023 Table 47 Raw'!P75</f>
        <v>0.70891099999999996</v>
      </c>
      <c r="N90" s="17">
        <f>'AEO 2023 Table 47 Raw'!Q75</f>
        <v>0.719198</v>
      </c>
      <c r="O90" s="17">
        <f>'AEO 2023 Table 47 Raw'!R75</f>
        <v>0.72959399999999996</v>
      </c>
      <c r="P90" s="17">
        <f>'AEO 2023 Table 47 Raw'!S75</f>
        <v>0.74011099999999996</v>
      </c>
      <c r="Q90" s="17">
        <f>'AEO 2023 Table 47 Raw'!T75</f>
        <v>0.75076200000000004</v>
      </c>
      <c r="R90" s="17">
        <f>'AEO 2023 Table 47 Raw'!U75</f>
        <v>0.76155399999999995</v>
      </c>
      <c r="S90" s="17">
        <f>'AEO 2023 Table 47 Raw'!V75</f>
        <v>0.77249699999999999</v>
      </c>
      <c r="T90" s="17">
        <f>'AEO 2023 Table 47 Raw'!W75</f>
        <v>0.78360099999999999</v>
      </c>
      <c r="U90" s="17">
        <f>'AEO 2023 Table 47 Raw'!X75</f>
        <v>0.79486900000000005</v>
      </c>
      <c r="V90" s="17">
        <f>'AEO 2023 Table 47 Raw'!Y75</f>
        <v>0.80631200000000003</v>
      </c>
      <c r="W90" s="17">
        <f>'AEO 2023 Table 47 Raw'!Z75</f>
        <v>0.81793700000000003</v>
      </c>
      <c r="X90" s="17">
        <f>'AEO 2023 Table 47 Raw'!AA75</f>
        <v>0.82974300000000001</v>
      </c>
      <c r="Y90" s="17">
        <f>'AEO 2023 Table 47 Raw'!AB75</f>
        <v>0.84174700000000002</v>
      </c>
      <c r="Z90" s="17">
        <f>'AEO 2023 Table 47 Raw'!AC75</f>
        <v>0.85394800000000004</v>
      </c>
      <c r="AA90" s="17">
        <f>'AEO 2023 Table 47 Raw'!AD75</f>
        <v>0.86635099999999998</v>
      </c>
      <c r="AB90" s="17">
        <f>'AEO 2023 Table 47 Raw'!AE75</f>
        <v>0.87896399999999997</v>
      </c>
      <c r="AC90" s="17">
        <f>'AEO 2023 Table 47 Raw'!AF75</f>
        <v>0.89179200000000003</v>
      </c>
      <c r="AD90" s="17">
        <f>'AEO 2023 Table 47 Raw'!AG75</f>
        <v>0.90484100000000001</v>
      </c>
      <c r="AE90" s="17">
        <f>'AEO 2023 Table 47 Raw'!AH75</f>
        <v>0.91811299999999996</v>
      </c>
      <c r="AF90" s="30">
        <f>'AEO 2023 Table 47 Raw'!AI75</f>
        <v>1.2999999999999999E-2</v>
      </c>
    </row>
    <row r="91" spans="1:32" ht="15" customHeight="1">
      <c r="A91" s="7" t="s">
        <v>605</v>
      </c>
      <c r="B91" s="16" t="s">
        <v>606</v>
      </c>
      <c r="C91" s="17">
        <f>'AEO 2023 Table 47 Raw'!F76</f>
        <v>6.5872E-2</v>
      </c>
      <c r="D91" s="17">
        <f>'AEO 2023 Table 47 Raw'!G76</f>
        <v>7.6454999999999995E-2</v>
      </c>
      <c r="E91" s="17">
        <f>'AEO 2023 Table 47 Raw'!H76</f>
        <v>8.6470000000000005E-2</v>
      </c>
      <c r="F91" s="17">
        <f>'AEO 2023 Table 47 Raw'!I76</f>
        <v>9.5138E-2</v>
      </c>
      <c r="G91" s="17">
        <f>'AEO 2023 Table 47 Raw'!J76</f>
        <v>0.102715</v>
      </c>
      <c r="H91" s="17">
        <f>'AEO 2023 Table 47 Raw'!K76</f>
        <v>0.109502</v>
      </c>
      <c r="I91" s="17">
        <f>'AEO 2023 Table 47 Raw'!L76</f>
        <v>0.115657</v>
      </c>
      <c r="J91" s="17">
        <f>'AEO 2023 Table 47 Raw'!M76</f>
        <v>0.12130299999999999</v>
      </c>
      <c r="K91" s="17">
        <f>'AEO 2023 Table 47 Raw'!N76</f>
        <v>0.12654799999999999</v>
      </c>
      <c r="L91" s="17">
        <f>'AEO 2023 Table 47 Raw'!O76</f>
        <v>0.13158</v>
      </c>
      <c r="M91" s="17">
        <f>'AEO 2023 Table 47 Raw'!P76</f>
        <v>0.136382</v>
      </c>
      <c r="N91" s="17">
        <f>'AEO 2023 Table 47 Raw'!Q76</f>
        <v>0.14097000000000001</v>
      </c>
      <c r="O91" s="17">
        <f>'AEO 2023 Table 47 Raw'!R76</f>
        <v>0.145394</v>
      </c>
      <c r="P91" s="17">
        <f>'AEO 2023 Table 47 Raw'!S76</f>
        <v>0.149704</v>
      </c>
      <c r="Q91" s="17">
        <f>'AEO 2023 Table 47 Raw'!T76</f>
        <v>0.15374499999999999</v>
      </c>
      <c r="R91" s="17">
        <f>'AEO 2023 Table 47 Raw'!U76</f>
        <v>0.15770600000000001</v>
      </c>
      <c r="S91" s="17">
        <f>'AEO 2023 Table 47 Raw'!V76</f>
        <v>0.16161400000000001</v>
      </c>
      <c r="T91" s="17">
        <f>'AEO 2023 Table 47 Raw'!W76</f>
        <v>0.16548399999999999</v>
      </c>
      <c r="U91" s="17">
        <f>'AEO 2023 Table 47 Raw'!X76</f>
        <v>0.16933799999999999</v>
      </c>
      <c r="V91" s="17">
        <f>'AEO 2023 Table 47 Raw'!Y76</f>
        <v>0.17303499999999999</v>
      </c>
      <c r="W91" s="17">
        <f>'AEO 2023 Table 47 Raw'!Z76</f>
        <v>0.176734</v>
      </c>
      <c r="X91" s="17">
        <f>'AEO 2023 Table 47 Raw'!AA76</f>
        <v>0.180452</v>
      </c>
      <c r="Y91" s="17">
        <f>'AEO 2023 Table 47 Raw'!AB76</f>
        <v>0.184201</v>
      </c>
      <c r="Z91" s="17">
        <f>'AEO 2023 Table 47 Raw'!AC76</f>
        <v>0.18798899999999999</v>
      </c>
      <c r="AA91" s="17">
        <f>'AEO 2023 Table 47 Raw'!AD76</f>
        <v>0.191688</v>
      </c>
      <c r="AB91" s="17">
        <f>'AEO 2023 Table 47 Raw'!AE76</f>
        <v>0.19542999999999999</v>
      </c>
      <c r="AC91" s="17">
        <f>'AEO 2023 Table 47 Raw'!AF76</f>
        <v>0.19922300000000001</v>
      </c>
      <c r="AD91" s="17">
        <f>'AEO 2023 Table 47 Raw'!AG76</f>
        <v>0.203068</v>
      </c>
      <c r="AE91" s="17">
        <f>'AEO 2023 Table 47 Raw'!AH76</f>
        <v>0.20696800000000001</v>
      </c>
      <c r="AF91" s="30">
        <f>'AEO 2023 Table 47 Raw'!AI76</f>
        <v>4.2000000000000003E-2</v>
      </c>
    </row>
    <row r="92" spans="1:32" ht="15" customHeight="1">
      <c r="A92" s="7" t="s">
        <v>607</v>
      </c>
      <c r="B92" s="16" t="s">
        <v>608</v>
      </c>
      <c r="C92" s="17">
        <f>'AEO 2023 Table 47 Raw'!F77</f>
        <v>14.291022999999999</v>
      </c>
      <c r="D92" s="17">
        <f>'AEO 2023 Table 47 Raw'!G77</f>
        <v>15.403852000000001</v>
      </c>
      <c r="E92" s="17">
        <f>'AEO 2023 Table 47 Raw'!H77</f>
        <v>16.466524</v>
      </c>
      <c r="F92" s="17">
        <f>'AEO 2023 Table 47 Raw'!I77</f>
        <v>17.484112</v>
      </c>
      <c r="G92" s="17">
        <f>'AEO 2023 Table 47 Raw'!J77</f>
        <v>18.438578</v>
      </c>
      <c r="H92" s="17">
        <f>'AEO 2023 Table 47 Raw'!K77</f>
        <v>19.337043999999999</v>
      </c>
      <c r="I92" s="17">
        <f>'AEO 2023 Table 47 Raw'!L77</f>
        <v>20.187798000000001</v>
      </c>
      <c r="J92" s="17">
        <f>'AEO 2023 Table 47 Raw'!M77</f>
        <v>20.994629</v>
      </c>
      <c r="K92" s="17">
        <f>'AEO 2023 Table 47 Raw'!N77</f>
        <v>21.758624999999999</v>
      </c>
      <c r="L92" s="17">
        <f>'AEO 2023 Table 47 Raw'!O77</f>
        <v>22.490202</v>
      </c>
      <c r="M92" s="17">
        <f>'AEO 2023 Table 47 Raw'!P77</f>
        <v>23.192791</v>
      </c>
      <c r="N92" s="17">
        <f>'AEO 2023 Table 47 Raw'!Q77</f>
        <v>23.867598000000001</v>
      </c>
      <c r="O92" s="17">
        <f>'AEO 2023 Table 47 Raw'!R77</f>
        <v>24.519058000000001</v>
      </c>
      <c r="P92" s="17">
        <f>'AEO 2023 Table 47 Raw'!S77</f>
        <v>25.152920000000002</v>
      </c>
      <c r="Q92" s="17">
        <f>'AEO 2023 Table 47 Raw'!T77</f>
        <v>25.769638</v>
      </c>
      <c r="R92" s="17">
        <f>'AEO 2023 Table 47 Raw'!U77</f>
        <v>26.36647</v>
      </c>
      <c r="S92" s="17">
        <f>'AEO 2023 Table 47 Raw'!V77</f>
        <v>26.945543000000001</v>
      </c>
      <c r="T92" s="17">
        <f>'AEO 2023 Table 47 Raw'!W77</f>
        <v>27.511816</v>
      </c>
      <c r="U92" s="17">
        <f>'AEO 2023 Table 47 Raw'!X77</f>
        <v>28.072358999999999</v>
      </c>
      <c r="V92" s="17">
        <f>'AEO 2023 Table 47 Raw'!Y77</f>
        <v>28.633461</v>
      </c>
      <c r="W92" s="17">
        <f>'AEO 2023 Table 47 Raw'!Z77</f>
        <v>29.194868</v>
      </c>
      <c r="X92" s="17">
        <f>'AEO 2023 Table 47 Raw'!AA77</f>
        <v>29.751711</v>
      </c>
      <c r="Y92" s="17">
        <f>'AEO 2023 Table 47 Raw'!AB77</f>
        <v>30.298272999999998</v>
      </c>
      <c r="Z92" s="17">
        <f>'AEO 2023 Table 47 Raw'!AC77</f>
        <v>30.82856</v>
      </c>
      <c r="AA92" s="17">
        <f>'AEO 2023 Table 47 Raw'!AD77</f>
        <v>31.342054000000001</v>
      </c>
      <c r="AB92" s="17">
        <f>'AEO 2023 Table 47 Raw'!AE77</f>
        <v>31.842524000000001</v>
      </c>
      <c r="AC92" s="17">
        <f>'AEO 2023 Table 47 Raw'!AF77</f>
        <v>32.328381</v>
      </c>
      <c r="AD92" s="17">
        <f>'AEO 2023 Table 47 Raw'!AG77</f>
        <v>32.794552000000003</v>
      </c>
      <c r="AE92" s="17">
        <f>'AEO 2023 Table 47 Raw'!AH77</f>
        <v>33.235858999999998</v>
      </c>
      <c r="AF92" s="30">
        <f>'AEO 2023 Table 47 Raw'!AI77</f>
        <v>3.1E-2</v>
      </c>
    </row>
    <row r="93" spans="1:32" ht="15" customHeight="1">
      <c r="A93" s="7" t="s">
        <v>609</v>
      </c>
      <c r="B93" s="16" t="s">
        <v>610</v>
      </c>
      <c r="C93" s="17">
        <f>'AEO 2023 Table 47 Raw'!F78</f>
        <v>1.729398</v>
      </c>
      <c r="D93" s="17">
        <f>'AEO 2023 Table 47 Raw'!G78</f>
        <v>1.9405060000000001</v>
      </c>
      <c r="E93" s="17">
        <f>'AEO 2023 Table 47 Raw'!H78</f>
        <v>2.1560890000000001</v>
      </c>
      <c r="F93" s="17">
        <f>'AEO 2023 Table 47 Raw'!I78</f>
        <v>2.37439</v>
      </c>
      <c r="G93" s="17">
        <f>'AEO 2023 Table 47 Raw'!J78</f>
        <v>2.5902090000000002</v>
      </c>
      <c r="H93" s="17">
        <f>'AEO 2023 Table 47 Raw'!K78</f>
        <v>2.7969189999999999</v>
      </c>
      <c r="I93" s="17">
        <f>'AEO 2023 Table 47 Raw'!L78</f>
        <v>2.9946679999999999</v>
      </c>
      <c r="J93" s="17">
        <f>'AEO 2023 Table 47 Raw'!M78</f>
        <v>3.1840839999999999</v>
      </c>
      <c r="K93" s="17">
        <f>'AEO 2023 Table 47 Raw'!N78</f>
        <v>3.365723</v>
      </c>
      <c r="L93" s="17">
        <f>'AEO 2023 Table 47 Raw'!O78</f>
        <v>3.5399889999999998</v>
      </c>
      <c r="M93" s="17">
        <f>'AEO 2023 Table 47 Raw'!P78</f>
        <v>3.7074400000000001</v>
      </c>
      <c r="N93" s="17">
        <f>'AEO 2023 Table 47 Raw'!Q78</f>
        <v>3.868322</v>
      </c>
      <c r="O93" s="17">
        <f>'AEO 2023 Table 47 Raw'!R78</f>
        <v>4.0227149999999998</v>
      </c>
      <c r="P93" s="17">
        <f>'AEO 2023 Table 47 Raw'!S78</f>
        <v>4.1717719999999998</v>
      </c>
      <c r="Q93" s="17">
        <f>'AEO 2023 Table 47 Raw'!T78</f>
        <v>4.3170520000000003</v>
      </c>
      <c r="R93" s="17">
        <f>'AEO 2023 Table 47 Raw'!U78</f>
        <v>4.4608340000000002</v>
      </c>
      <c r="S93" s="17">
        <f>'AEO 2023 Table 47 Raw'!V78</f>
        <v>4.6034769999999998</v>
      </c>
      <c r="T93" s="17">
        <f>'AEO 2023 Table 47 Raw'!W78</f>
        <v>4.7450979999999996</v>
      </c>
      <c r="U93" s="17">
        <f>'AEO 2023 Table 47 Raw'!X78</f>
        <v>4.8857530000000002</v>
      </c>
      <c r="V93" s="17">
        <f>'AEO 2023 Table 47 Raw'!Y78</f>
        <v>5.0255089999999996</v>
      </c>
      <c r="W93" s="17">
        <f>'AEO 2023 Table 47 Raw'!Z78</f>
        <v>5.164409</v>
      </c>
      <c r="X93" s="17">
        <f>'AEO 2023 Table 47 Raw'!AA78</f>
        <v>5.3025580000000003</v>
      </c>
      <c r="Y93" s="17">
        <f>'AEO 2023 Table 47 Raw'!AB78</f>
        <v>5.4398660000000003</v>
      </c>
      <c r="Z93" s="17">
        <f>'AEO 2023 Table 47 Raw'!AC78</f>
        <v>5.5762869999999998</v>
      </c>
      <c r="AA93" s="17">
        <f>'AEO 2023 Table 47 Raw'!AD78</f>
        <v>5.7117120000000003</v>
      </c>
      <c r="AB93" s="17">
        <f>'AEO 2023 Table 47 Raw'!AE78</f>
        <v>5.8460159999999997</v>
      </c>
      <c r="AC93" s="17">
        <f>'AEO 2023 Table 47 Raw'!AF78</f>
        <v>5.9790609999999997</v>
      </c>
      <c r="AD93" s="17">
        <f>'AEO 2023 Table 47 Raw'!AG78</f>
        <v>6.1107060000000004</v>
      </c>
      <c r="AE93" s="17">
        <f>'AEO 2023 Table 47 Raw'!AH78</f>
        <v>6.2408289999999997</v>
      </c>
      <c r="AF93" s="30">
        <f>'AEO 2023 Table 47 Raw'!AI78</f>
        <v>4.7E-2</v>
      </c>
    </row>
    <row r="94" spans="1:32" ht="15" customHeight="1">
      <c r="A94" s="7" t="s">
        <v>611</v>
      </c>
      <c r="B94" s="16" t="s">
        <v>612</v>
      </c>
      <c r="C94" s="17">
        <f>'AEO 2023 Table 47 Raw'!F79</f>
        <v>10.97953</v>
      </c>
      <c r="D94" s="17">
        <f>'AEO 2023 Table 47 Raw'!G79</f>
        <v>11.478201</v>
      </c>
      <c r="E94" s="17">
        <f>'AEO 2023 Table 47 Raw'!H79</f>
        <v>11.913265000000001</v>
      </c>
      <c r="F94" s="17">
        <f>'AEO 2023 Table 47 Raw'!I79</f>
        <v>12.294639</v>
      </c>
      <c r="G94" s="17">
        <f>'AEO 2023 Table 47 Raw'!J79</f>
        <v>12.627687999999999</v>
      </c>
      <c r="H94" s="17">
        <f>'AEO 2023 Table 47 Raw'!K79</f>
        <v>12.920790999999999</v>
      </c>
      <c r="I94" s="17">
        <f>'AEO 2023 Table 47 Raw'!L79</f>
        <v>13.179679999999999</v>
      </c>
      <c r="J94" s="17">
        <f>'AEO 2023 Table 47 Raw'!M79</f>
        <v>13.408682000000001</v>
      </c>
      <c r="K94" s="17">
        <f>'AEO 2023 Table 47 Raw'!N79</f>
        <v>13.611603000000001</v>
      </c>
      <c r="L94" s="17">
        <f>'AEO 2023 Table 47 Raw'!O79</f>
        <v>13.793385000000001</v>
      </c>
      <c r="M94" s="17">
        <f>'AEO 2023 Table 47 Raw'!P79</f>
        <v>13.957406000000001</v>
      </c>
      <c r="N94" s="17">
        <f>'AEO 2023 Table 47 Raw'!Q79</f>
        <v>14.106166999999999</v>
      </c>
      <c r="O94" s="17">
        <f>'AEO 2023 Table 47 Raw'!R79</f>
        <v>14.242005000000001</v>
      </c>
      <c r="P94" s="17">
        <f>'AEO 2023 Table 47 Raw'!S79</f>
        <v>14.366897</v>
      </c>
      <c r="Q94" s="17">
        <f>'AEO 2023 Table 47 Raw'!T79</f>
        <v>14.481479999999999</v>
      </c>
      <c r="R94" s="17">
        <f>'AEO 2023 Table 47 Raw'!U79</f>
        <v>14.587826</v>
      </c>
      <c r="S94" s="17">
        <f>'AEO 2023 Table 47 Raw'!V79</f>
        <v>14.687233000000001</v>
      </c>
      <c r="T94" s="17">
        <f>'AEO 2023 Table 47 Raw'!W79</f>
        <v>14.780568000000001</v>
      </c>
      <c r="U94" s="17">
        <f>'AEO 2023 Table 47 Raw'!X79</f>
        <v>14.868819999999999</v>
      </c>
      <c r="V94" s="17">
        <f>'AEO 2023 Table 47 Raw'!Y79</f>
        <v>14.951580999999999</v>
      </c>
      <c r="W94" s="17">
        <f>'AEO 2023 Table 47 Raw'!Z79</f>
        <v>15.030099999999999</v>
      </c>
      <c r="X94" s="17">
        <f>'AEO 2023 Table 47 Raw'!AA79</f>
        <v>15.104990000000001</v>
      </c>
      <c r="Y94" s="17">
        <f>'AEO 2023 Table 47 Raw'!AB79</f>
        <v>15.176742000000001</v>
      </c>
      <c r="Z94" s="17">
        <f>'AEO 2023 Table 47 Raw'!AC79</f>
        <v>15.245628</v>
      </c>
      <c r="AA94" s="17">
        <f>'AEO 2023 Table 47 Raw'!AD79</f>
        <v>15.310263000000001</v>
      </c>
      <c r="AB94" s="17">
        <f>'AEO 2023 Table 47 Raw'!AE79</f>
        <v>15.372285</v>
      </c>
      <c r="AC94" s="17">
        <f>'AEO 2023 Table 47 Raw'!AF79</f>
        <v>15.432404999999999</v>
      </c>
      <c r="AD94" s="17">
        <f>'AEO 2023 Table 47 Raw'!AG79</f>
        <v>15.490957999999999</v>
      </c>
      <c r="AE94" s="17">
        <f>'AEO 2023 Table 47 Raw'!AH79</f>
        <v>15.548268</v>
      </c>
      <c r="AF94" s="30">
        <f>'AEO 2023 Table 47 Raw'!AI79</f>
        <v>1.2999999999999999E-2</v>
      </c>
    </row>
    <row r="95" spans="1:32" ht="12" customHeight="1">
      <c r="A95" s="7" t="s">
        <v>613</v>
      </c>
      <c r="B95" s="16" t="s">
        <v>614</v>
      </c>
      <c r="C95" s="17">
        <f>'AEO 2023 Table 47 Raw'!F80</f>
        <v>1.034492</v>
      </c>
      <c r="D95" s="17">
        <f>'AEO 2023 Table 47 Raw'!G80</f>
        <v>0.99601099999999998</v>
      </c>
      <c r="E95" s="17">
        <f>'AEO 2023 Table 47 Raw'!H80</f>
        <v>0.96615300000000004</v>
      </c>
      <c r="F95" s="17">
        <f>'AEO 2023 Table 47 Raw'!I80</f>
        <v>0.94137499999999996</v>
      </c>
      <c r="G95" s="17">
        <f>'AEO 2023 Table 47 Raw'!J80</f>
        <v>0.91805400000000004</v>
      </c>
      <c r="H95" s="17">
        <f>'AEO 2023 Table 47 Raw'!K80</f>
        <v>0.89600199999999997</v>
      </c>
      <c r="I95" s="17">
        <f>'AEO 2023 Table 47 Raw'!L80</f>
        <v>0.87472399999999995</v>
      </c>
      <c r="J95" s="17">
        <f>'AEO 2023 Table 47 Raw'!M80</f>
        <v>0.85463800000000001</v>
      </c>
      <c r="K95" s="17">
        <f>'AEO 2023 Table 47 Raw'!N80</f>
        <v>0.83557300000000001</v>
      </c>
      <c r="L95" s="17">
        <f>'AEO 2023 Table 47 Raw'!O80</f>
        <v>0.81794</v>
      </c>
      <c r="M95" s="17">
        <f>'AEO 2023 Table 47 Raw'!P80</f>
        <v>0.80143900000000001</v>
      </c>
      <c r="N95" s="17">
        <f>'AEO 2023 Table 47 Raw'!Q80</f>
        <v>0.785694</v>
      </c>
      <c r="O95" s="17">
        <f>'AEO 2023 Table 47 Raw'!R80</f>
        <v>0.77058400000000005</v>
      </c>
      <c r="P95" s="17">
        <f>'AEO 2023 Table 47 Raw'!S80</f>
        <v>0.75597400000000003</v>
      </c>
      <c r="Q95" s="17">
        <f>'AEO 2023 Table 47 Raw'!T80</f>
        <v>0.74202599999999996</v>
      </c>
      <c r="R95" s="17">
        <f>'AEO 2023 Table 47 Raw'!U80</f>
        <v>0.728599</v>
      </c>
      <c r="S95" s="17">
        <f>'AEO 2023 Table 47 Raw'!V80</f>
        <v>0.71566300000000005</v>
      </c>
      <c r="T95" s="17">
        <f>'AEO 2023 Table 47 Raw'!W80</f>
        <v>0.70325800000000005</v>
      </c>
      <c r="U95" s="17">
        <f>'AEO 2023 Table 47 Raw'!X80</f>
        <v>0.69134799999999996</v>
      </c>
      <c r="V95" s="17">
        <f>'AEO 2023 Table 47 Raw'!Y80</f>
        <v>0.67998099999999995</v>
      </c>
      <c r="W95" s="17">
        <f>'AEO 2023 Table 47 Raw'!Z80</f>
        <v>0.66904200000000003</v>
      </c>
      <c r="X95" s="17">
        <f>'AEO 2023 Table 47 Raw'!AA80</f>
        <v>0.65848600000000002</v>
      </c>
      <c r="Y95" s="17">
        <f>'AEO 2023 Table 47 Raw'!AB80</f>
        <v>0.64829400000000004</v>
      </c>
      <c r="Z95" s="17">
        <f>'AEO 2023 Table 47 Raw'!AC80</f>
        <v>0.63843799999999995</v>
      </c>
      <c r="AA95" s="17">
        <f>'AEO 2023 Table 47 Raw'!AD80</f>
        <v>0.62902999999999998</v>
      </c>
      <c r="AB95" s="17">
        <f>'AEO 2023 Table 47 Raw'!AE80</f>
        <v>0.61994700000000003</v>
      </c>
      <c r="AC95" s="17">
        <f>'AEO 2023 Table 47 Raw'!AF80</f>
        <v>0.61114500000000005</v>
      </c>
      <c r="AD95" s="17">
        <f>'AEO 2023 Table 47 Raw'!AG80</f>
        <v>0.60261200000000004</v>
      </c>
      <c r="AE95" s="17">
        <f>'AEO 2023 Table 47 Raw'!AH80</f>
        <v>0.59433100000000005</v>
      </c>
      <c r="AF95" s="30">
        <f>'AEO 2023 Table 47 Raw'!AI80</f>
        <v>-0.02</v>
      </c>
    </row>
    <row r="96" spans="1:32" ht="15" customHeight="1">
      <c r="A96" s="7" t="s">
        <v>615</v>
      </c>
      <c r="B96" s="16" t="s">
        <v>616</v>
      </c>
      <c r="C96" s="17">
        <f>'AEO 2023 Table 47 Raw'!F81</f>
        <v>2.056041</v>
      </c>
      <c r="D96" s="17">
        <f>'AEO 2023 Table 47 Raw'!G81</f>
        <v>2.2239300000000002</v>
      </c>
      <c r="E96" s="17">
        <f>'AEO 2023 Table 47 Raw'!H81</f>
        <v>2.3859140000000001</v>
      </c>
      <c r="F96" s="17">
        <f>'AEO 2023 Table 47 Raw'!I81</f>
        <v>2.5383819999999999</v>
      </c>
      <c r="G96" s="17">
        <f>'AEO 2023 Table 47 Raw'!J81</f>
        <v>2.6863220000000001</v>
      </c>
      <c r="H96" s="17">
        <f>'AEO 2023 Table 47 Raw'!K81</f>
        <v>2.8267340000000001</v>
      </c>
      <c r="I96" s="17">
        <f>'AEO 2023 Table 47 Raw'!L81</f>
        <v>2.9619110000000002</v>
      </c>
      <c r="J96" s="17">
        <f>'AEO 2023 Table 47 Raw'!M81</f>
        <v>3.0936409999999999</v>
      </c>
      <c r="K96" s="17">
        <f>'AEO 2023 Table 47 Raw'!N81</f>
        <v>3.224078</v>
      </c>
      <c r="L96" s="17">
        <f>'AEO 2023 Table 47 Raw'!O81</f>
        <v>3.35331</v>
      </c>
      <c r="M96" s="17">
        <f>'AEO 2023 Table 47 Raw'!P81</f>
        <v>3.4810599999999998</v>
      </c>
      <c r="N96" s="17">
        <f>'AEO 2023 Table 47 Raw'!Q81</f>
        <v>3.6073309999999998</v>
      </c>
      <c r="O96" s="17">
        <f>'AEO 2023 Table 47 Raw'!R81</f>
        <v>3.7324109999999999</v>
      </c>
      <c r="P96" s="17">
        <f>'AEO 2023 Table 47 Raw'!S81</f>
        <v>3.856554</v>
      </c>
      <c r="Q96" s="17">
        <f>'AEO 2023 Table 47 Raw'!T81</f>
        <v>3.9815369999999999</v>
      </c>
      <c r="R96" s="17">
        <f>'AEO 2023 Table 47 Raw'!U81</f>
        <v>4.1063970000000003</v>
      </c>
      <c r="S96" s="17">
        <f>'AEO 2023 Table 47 Raw'!V81</f>
        <v>4.2310189999999999</v>
      </c>
      <c r="T96" s="17">
        <f>'AEO 2023 Table 47 Raw'!W81</f>
        <v>4.3554599999999999</v>
      </c>
      <c r="U96" s="17">
        <f>'AEO 2023 Table 47 Raw'!X81</f>
        <v>4.4799889999999998</v>
      </c>
      <c r="V96" s="17">
        <f>'AEO 2023 Table 47 Raw'!Y81</f>
        <v>4.6060540000000003</v>
      </c>
      <c r="W96" s="17">
        <f>'AEO 2023 Table 47 Raw'!Z81</f>
        <v>4.7324640000000002</v>
      </c>
      <c r="X96" s="17">
        <f>'AEO 2023 Table 47 Raw'!AA81</f>
        <v>4.8590929999999997</v>
      </c>
      <c r="Y96" s="17">
        <f>'AEO 2023 Table 47 Raw'!AB81</f>
        <v>4.9859879999999999</v>
      </c>
      <c r="Z96" s="17">
        <f>'AEO 2023 Table 47 Raw'!AC81</f>
        <v>5.113321</v>
      </c>
      <c r="AA96" s="17">
        <f>'AEO 2023 Table 47 Raw'!AD81</f>
        <v>5.2422110000000002</v>
      </c>
      <c r="AB96" s="17">
        <f>'AEO 2023 Table 47 Raw'!AE81</f>
        <v>5.3715659999999996</v>
      </c>
      <c r="AC96" s="17">
        <f>'AEO 2023 Table 47 Raw'!AF81</f>
        <v>5.5012590000000001</v>
      </c>
      <c r="AD96" s="17">
        <f>'AEO 2023 Table 47 Raw'!AG81</f>
        <v>5.6312749999999996</v>
      </c>
      <c r="AE96" s="17">
        <f>'AEO 2023 Table 47 Raw'!AH81</f>
        <v>5.7617219999999998</v>
      </c>
      <c r="AF96" s="30">
        <f>'AEO 2023 Table 47 Raw'!AI81</f>
        <v>3.6999999999999998E-2</v>
      </c>
    </row>
    <row r="97" spans="1:32" ht="12" customHeight="1">
      <c r="A97" s="7" t="s">
        <v>617</v>
      </c>
      <c r="B97" s="16" t="s">
        <v>618</v>
      </c>
      <c r="C97" s="17">
        <f>'AEO 2023 Table 47 Raw'!F82</f>
        <v>1.315159</v>
      </c>
      <c r="D97" s="17">
        <f>'AEO 2023 Table 47 Raw'!G82</f>
        <v>1.3515710000000001</v>
      </c>
      <c r="E97" s="17">
        <f>'AEO 2023 Table 47 Raw'!H82</f>
        <v>1.401203</v>
      </c>
      <c r="F97" s="17">
        <f>'AEO 2023 Table 47 Raw'!I82</f>
        <v>1.448269</v>
      </c>
      <c r="G97" s="17">
        <f>'AEO 2023 Table 47 Raw'!J82</f>
        <v>1.490272</v>
      </c>
      <c r="H97" s="17">
        <f>'AEO 2023 Table 47 Raw'!K82</f>
        <v>1.528861</v>
      </c>
      <c r="I97" s="17">
        <f>'AEO 2023 Table 47 Raw'!L82</f>
        <v>1.5658209999999999</v>
      </c>
      <c r="J97" s="17">
        <f>'AEO 2023 Table 47 Raw'!M82</f>
        <v>1.6010279999999999</v>
      </c>
      <c r="K97" s="17">
        <f>'AEO 2023 Table 47 Raw'!N82</f>
        <v>1.632976</v>
      </c>
      <c r="L97" s="17">
        <f>'AEO 2023 Table 47 Raw'!O82</f>
        <v>1.661187</v>
      </c>
      <c r="M97" s="17">
        <f>'AEO 2023 Table 47 Raw'!P82</f>
        <v>1.687252</v>
      </c>
      <c r="N97" s="17">
        <f>'AEO 2023 Table 47 Raw'!Q82</f>
        <v>1.71123</v>
      </c>
      <c r="O97" s="17">
        <f>'AEO 2023 Table 47 Raw'!R82</f>
        <v>1.7331449999999999</v>
      </c>
      <c r="P97" s="17">
        <f>'AEO 2023 Table 47 Raw'!S82</f>
        <v>1.75302</v>
      </c>
      <c r="Q97" s="17">
        <f>'AEO 2023 Table 47 Raw'!T82</f>
        <v>1.770937</v>
      </c>
      <c r="R97" s="17">
        <f>'AEO 2023 Table 47 Raw'!U82</f>
        <v>1.787161</v>
      </c>
      <c r="S97" s="17">
        <f>'AEO 2023 Table 47 Raw'!V82</f>
        <v>1.801885</v>
      </c>
      <c r="T97" s="17">
        <f>'AEO 2023 Table 47 Raw'!W82</f>
        <v>1.815293</v>
      </c>
      <c r="U97" s="17">
        <f>'AEO 2023 Table 47 Raw'!X82</f>
        <v>1.827555</v>
      </c>
      <c r="V97" s="17">
        <f>'AEO 2023 Table 47 Raw'!Y82</f>
        <v>1.8388009999999999</v>
      </c>
      <c r="W97" s="17">
        <f>'AEO 2023 Table 47 Raw'!Z82</f>
        <v>1.849121</v>
      </c>
      <c r="X97" s="17">
        <f>'AEO 2023 Table 47 Raw'!AA82</f>
        <v>1.8585959999999999</v>
      </c>
      <c r="Y97" s="17">
        <f>'AEO 2023 Table 47 Raw'!AB82</f>
        <v>1.8672869999999999</v>
      </c>
      <c r="Z97" s="17">
        <f>'AEO 2023 Table 47 Raw'!AC82</f>
        <v>1.8752530000000001</v>
      </c>
      <c r="AA97" s="17">
        <f>'AEO 2023 Table 47 Raw'!AD82</f>
        <v>1.8825810000000001</v>
      </c>
      <c r="AB97" s="17">
        <f>'AEO 2023 Table 47 Raw'!AE82</f>
        <v>1.8892880000000001</v>
      </c>
      <c r="AC97" s="17">
        <f>'AEO 2023 Table 47 Raw'!AF82</f>
        <v>1.8954009999999999</v>
      </c>
      <c r="AD97" s="17">
        <f>'AEO 2023 Table 47 Raw'!AG82</f>
        <v>1.900908</v>
      </c>
      <c r="AE97" s="17">
        <f>'AEO 2023 Table 47 Raw'!AH82</f>
        <v>1.9058569999999999</v>
      </c>
      <c r="AF97" s="30">
        <f>'AEO 2023 Table 47 Raw'!AI82</f>
        <v>1.2999999999999999E-2</v>
      </c>
    </row>
    <row r="98" spans="1:32" ht="15" customHeight="1">
      <c r="A98" s="7" t="s">
        <v>619</v>
      </c>
      <c r="B98" s="16" t="s">
        <v>620</v>
      </c>
      <c r="C98" s="17">
        <f>'AEO 2023 Table 47 Raw'!F83</f>
        <v>1.3873660000000001</v>
      </c>
      <c r="D98" s="17">
        <f>'AEO 2023 Table 47 Raw'!G83</f>
        <v>1.5061150000000001</v>
      </c>
      <c r="E98" s="17">
        <f>'AEO 2023 Table 47 Raw'!H83</f>
        <v>1.6128100000000001</v>
      </c>
      <c r="F98" s="17">
        <f>'AEO 2023 Table 47 Raw'!I83</f>
        <v>1.7258629999999999</v>
      </c>
      <c r="G98" s="17">
        <f>'AEO 2023 Table 47 Raw'!J83</f>
        <v>1.854373</v>
      </c>
      <c r="H98" s="17">
        <f>'AEO 2023 Table 47 Raw'!K83</f>
        <v>1.978618</v>
      </c>
      <c r="I98" s="17">
        <f>'AEO 2023 Table 47 Raw'!L83</f>
        <v>2.0982919999999998</v>
      </c>
      <c r="J98" s="17">
        <f>'AEO 2023 Table 47 Raw'!M83</f>
        <v>2.212968</v>
      </c>
      <c r="K98" s="17">
        <f>'AEO 2023 Table 47 Raw'!N83</f>
        <v>2.3225889999999998</v>
      </c>
      <c r="L98" s="17">
        <f>'AEO 2023 Table 47 Raw'!O83</f>
        <v>2.4248690000000002</v>
      </c>
      <c r="M98" s="17">
        <f>'AEO 2023 Table 47 Raw'!P83</f>
        <v>2.5281760000000002</v>
      </c>
      <c r="N98" s="17">
        <f>'AEO 2023 Table 47 Raw'!Q83</f>
        <v>2.6335980000000001</v>
      </c>
      <c r="O98" s="17">
        <f>'AEO 2023 Table 47 Raw'!R83</f>
        <v>2.7414800000000001</v>
      </c>
      <c r="P98" s="17">
        <f>'AEO 2023 Table 47 Raw'!S83</f>
        <v>2.8521390000000002</v>
      </c>
      <c r="Q98" s="17">
        <f>'AEO 2023 Table 47 Raw'!T83</f>
        <v>2.9651719999999999</v>
      </c>
      <c r="R98" s="17">
        <f>'AEO 2023 Table 47 Raw'!U83</f>
        <v>3.081699</v>
      </c>
      <c r="S98" s="17">
        <f>'AEO 2023 Table 47 Raw'!V83</f>
        <v>3.2019039999999999</v>
      </c>
      <c r="T98" s="17">
        <f>'AEO 2023 Table 47 Raw'!W83</f>
        <v>3.3258559999999999</v>
      </c>
      <c r="U98" s="17">
        <f>'AEO 2023 Table 47 Raw'!X83</f>
        <v>3.4535149999999999</v>
      </c>
      <c r="V98" s="17">
        <f>'AEO 2023 Table 47 Raw'!Y83</f>
        <v>3.585645</v>
      </c>
      <c r="W98" s="17">
        <f>'AEO 2023 Table 47 Raw'!Z83</f>
        <v>3.7219479999999998</v>
      </c>
      <c r="X98" s="17">
        <f>'AEO 2023 Table 47 Raw'!AA83</f>
        <v>3.8624550000000002</v>
      </c>
      <c r="Y98" s="17">
        <f>'AEO 2023 Table 47 Raw'!AB83</f>
        <v>4.0071919999999999</v>
      </c>
      <c r="Z98" s="17">
        <f>'AEO 2023 Table 47 Raw'!AC83</f>
        <v>4.1561370000000002</v>
      </c>
      <c r="AA98" s="17">
        <f>'AEO 2023 Table 47 Raw'!AD83</f>
        <v>4.3064840000000002</v>
      </c>
      <c r="AB98" s="17">
        <f>'AEO 2023 Table 47 Raw'!AE83</f>
        <v>4.4612210000000001</v>
      </c>
      <c r="AC98" s="17">
        <f>'AEO 2023 Table 47 Raw'!AF83</f>
        <v>4.620444</v>
      </c>
      <c r="AD98" s="17">
        <f>'AEO 2023 Table 47 Raw'!AG83</f>
        <v>4.7842510000000003</v>
      </c>
      <c r="AE98" s="17">
        <f>'AEO 2023 Table 47 Raw'!AH83</f>
        <v>4.9525699999999997</v>
      </c>
      <c r="AF98" s="30">
        <f>'AEO 2023 Table 47 Raw'!AI83</f>
        <v>4.5999999999999999E-2</v>
      </c>
    </row>
    <row r="99" spans="1:32" ht="15" customHeight="1">
      <c r="A99" s="7" t="s">
        <v>621</v>
      </c>
      <c r="B99" s="16" t="s">
        <v>622</v>
      </c>
      <c r="C99" s="17">
        <f>'AEO 2023 Table 47 Raw'!F84</f>
        <v>33.362082999999998</v>
      </c>
      <c r="D99" s="17">
        <f>'AEO 2023 Table 47 Raw'!G84</f>
        <v>33.291046000000001</v>
      </c>
      <c r="E99" s="17">
        <f>'AEO 2023 Table 47 Raw'!H84</f>
        <v>33.543773999999999</v>
      </c>
      <c r="F99" s="17">
        <f>'AEO 2023 Table 47 Raw'!I84</f>
        <v>33.943812999999999</v>
      </c>
      <c r="G99" s="17">
        <f>'AEO 2023 Table 47 Raw'!J84</f>
        <v>34.447868</v>
      </c>
      <c r="H99" s="17">
        <f>'AEO 2023 Table 47 Raw'!K84</f>
        <v>34.956932000000002</v>
      </c>
      <c r="I99" s="17">
        <f>'AEO 2023 Table 47 Raw'!L84</f>
        <v>35.476719000000003</v>
      </c>
      <c r="J99" s="17">
        <f>'AEO 2023 Table 47 Raw'!M84</f>
        <v>35.983359999999998</v>
      </c>
      <c r="K99" s="17">
        <f>'AEO 2023 Table 47 Raw'!N84</f>
        <v>36.478530999999997</v>
      </c>
      <c r="L99" s="17">
        <f>'AEO 2023 Table 47 Raw'!O84</f>
        <v>36.997509000000001</v>
      </c>
      <c r="M99" s="17">
        <f>'AEO 2023 Table 47 Raw'!P84</f>
        <v>37.577545000000001</v>
      </c>
      <c r="N99" s="17">
        <f>'AEO 2023 Table 47 Raw'!Q84</f>
        <v>38.168385000000001</v>
      </c>
      <c r="O99" s="17">
        <f>'AEO 2023 Table 47 Raw'!R84</f>
        <v>38.726424999999999</v>
      </c>
      <c r="P99" s="17">
        <f>'AEO 2023 Table 47 Raw'!S84</f>
        <v>39.286076000000001</v>
      </c>
      <c r="Q99" s="17">
        <f>'AEO 2023 Table 47 Raw'!T84</f>
        <v>39.871765000000003</v>
      </c>
      <c r="R99" s="17">
        <f>'AEO 2023 Table 47 Raw'!U84</f>
        <v>40.487602000000003</v>
      </c>
      <c r="S99" s="17">
        <f>'AEO 2023 Table 47 Raw'!V84</f>
        <v>41.134417999999997</v>
      </c>
      <c r="T99" s="17">
        <f>'AEO 2023 Table 47 Raw'!W84</f>
        <v>41.797691</v>
      </c>
      <c r="U99" s="17">
        <f>'AEO 2023 Table 47 Raw'!X84</f>
        <v>42.491652999999999</v>
      </c>
      <c r="V99" s="17">
        <f>'AEO 2023 Table 47 Raw'!Y84</f>
        <v>43.184508999999998</v>
      </c>
      <c r="W99" s="17">
        <f>'AEO 2023 Table 47 Raw'!Z84</f>
        <v>43.892471</v>
      </c>
      <c r="X99" s="17">
        <f>'AEO 2023 Table 47 Raw'!AA84</f>
        <v>44.611888999999998</v>
      </c>
      <c r="Y99" s="17">
        <f>'AEO 2023 Table 47 Raw'!AB84</f>
        <v>45.339897000000001</v>
      </c>
      <c r="Z99" s="17">
        <f>'AEO 2023 Table 47 Raw'!AC84</f>
        <v>46.064582999999999</v>
      </c>
      <c r="AA99" s="17">
        <f>'AEO 2023 Table 47 Raw'!AD84</f>
        <v>46.800407</v>
      </c>
      <c r="AB99" s="17">
        <f>'AEO 2023 Table 47 Raw'!AE84</f>
        <v>47.554264000000003</v>
      </c>
      <c r="AC99" s="17">
        <f>'AEO 2023 Table 47 Raw'!AF84</f>
        <v>48.323734000000002</v>
      </c>
      <c r="AD99" s="17">
        <f>'AEO 2023 Table 47 Raw'!AG84</f>
        <v>49.105536999999998</v>
      </c>
      <c r="AE99" s="17">
        <f>'AEO 2023 Table 47 Raw'!AH84</f>
        <v>49.902842999999997</v>
      </c>
      <c r="AF99" s="30">
        <f>'AEO 2023 Table 47 Raw'!AI84</f>
        <v>1.4E-2</v>
      </c>
    </row>
    <row r="100" spans="1:32" ht="15" customHeight="1">
      <c r="A100" s="7" t="s">
        <v>623</v>
      </c>
      <c r="B100" s="16" t="s">
        <v>624</v>
      </c>
      <c r="C100" s="17">
        <f>'AEO 2023 Table 47 Raw'!F85</f>
        <v>83.452560000000005</v>
      </c>
      <c r="D100" s="17">
        <f>'AEO 2023 Table 47 Raw'!G85</f>
        <v>87.040908999999999</v>
      </c>
      <c r="E100" s="17">
        <f>'AEO 2023 Table 47 Raw'!H85</f>
        <v>91.019249000000002</v>
      </c>
      <c r="F100" s="17">
        <f>'AEO 2023 Table 47 Raw'!I85</f>
        <v>94.816528000000005</v>
      </c>
      <c r="G100" s="17">
        <f>'AEO 2023 Table 47 Raw'!J85</f>
        <v>98.465987999999996</v>
      </c>
      <c r="H100" s="17">
        <f>'AEO 2023 Table 47 Raw'!K85</f>
        <v>101.86409</v>
      </c>
      <c r="I100" s="17">
        <f>'AEO 2023 Table 47 Raw'!L85</f>
        <v>105.071213</v>
      </c>
      <c r="J100" s="17">
        <f>'AEO 2023 Table 47 Raw'!M85</f>
        <v>108.08477000000001</v>
      </c>
      <c r="K100" s="17">
        <f>'AEO 2023 Table 47 Raw'!N85</f>
        <v>110.938408</v>
      </c>
      <c r="L100" s="17">
        <f>'AEO 2023 Table 47 Raw'!O85</f>
        <v>113.716522</v>
      </c>
      <c r="M100" s="17">
        <f>'AEO 2023 Table 47 Raw'!P85</f>
        <v>116.52939600000001</v>
      </c>
      <c r="N100" s="17">
        <f>'AEO 2023 Table 47 Raw'!Q85</f>
        <v>119.30880000000001</v>
      </c>
      <c r="O100" s="17">
        <f>'AEO 2023 Table 47 Raw'!R85</f>
        <v>121.966949</v>
      </c>
      <c r="P100" s="17">
        <f>'AEO 2023 Table 47 Raw'!S85</f>
        <v>124.580147</v>
      </c>
      <c r="Q100" s="17">
        <f>'AEO 2023 Table 47 Raw'!T85</f>
        <v>127.227577</v>
      </c>
      <c r="R100" s="17">
        <f>'AEO 2023 Table 47 Raw'!U85</f>
        <v>129.93373099999999</v>
      </c>
      <c r="S100" s="17">
        <f>'AEO 2023 Table 47 Raw'!V85</f>
        <v>132.70126300000001</v>
      </c>
      <c r="T100" s="17">
        <f>'AEO 2023 Table 47 Raw'!W85</f>
        <v>135.505447</v>
      </c>
      <c r="U100" s="17">
        <f>'AEO 2023 Table 47 Raw'!X85</f>
        <v>138.39643899999999</v>
      </c>
      <c r="V100" s="17">
        <f>'AEO 2023 Table 47 Raw'!Y85</f>
        <v>141.29568499999999</v>
      </c>
      <c r="W100" s="17">
        <f>'AEO 2023 Table 47 Raw'!Z85</f>
        <v>144.24375900000001</v>
      </c>
      <c r="X100" s="17">
        <f>'AEO 2023 Table 47 Raw'!AA85</f>
        <v>147.23117099999999</v>
      </c>
      <c r="Y100" s="17">
        <f>'AEO 2023 Table 47 Raw'!AB85</f>
        <v>150.25071700000001</v>
      </c>
      <c r="Z100" s="17">
        <f>'AEO 2023 Table 47 Raw'!AC85</f>
        <v>153.27423099999999</v>
      </c>
      <c r="AA100" s="17">
        <f>'AEO 2023 Table 47 Raw'!AD85</f>
        <v>156.33902</v>
      </c>
      <c r="AB100" s="17">
        <f>'AEO 2023 Table 47 Raw'!AE85</f>
        <v>159.47041300000001</v>
      </c>
      <c r="AC100" s="17">
        <f>'AEO 2023 Table 47 Raw'!AF85</f>
        <v>162.66952499999999</v>
      </c>
      <c r="AD100" s="17">
        <f>'AEO 2023 Table 47 Raw'!AG85</f>
        <v>165.93566899999999</v>
      </c>
      <c r="AE100" s="17">
        <f>'AEO 2023 Table 47 Raw'!AH85</f>
        <v>169.28036499999999</v>
      </c>
      <c r="AF100" s="30">
        <f>'AEO 2023 Table 47 Raw'!AI85</f>
        <v>2.5999999999999999E-2</v>
      </c>
    </row>
    <row r="101" spans="1:32" ht="15" customHeight="1">
      <c r="A101" s="7" t="s">
        <v>625</v>
      </c>
      <c r="B101" s="16" t="s">
        <v>626</v>
      </c>
      <c r="C101" s="17">
        <f>'AEO 2023 Table 47 Raw'!F86</f>
        <v>116.81465900000001</v>
      </c>
      <c r="D101" s="17">
        <f>'AEO 2023 Table 47 Raw'!G86</f>
        <v>120.331947</v>
      </c>
      <c r="E101" s="17">
        <f>'AEO 2023 Table 47 Raw'!H86</f>
        <v>124.563034</v>
      </c>
      <c r="F101" s="17">
        <f>'AEO 2023 Table 47 Raw'!I86</f>
        <v>128.76033000000001</v>
      </c>
      <c r="G101" s="17">
        <f>'AEO 2023 Table 47 Raw'!J86</f>
        <v>132.91386399999999</v>
      </c>
      <c r="H101" s="17">
        <f>'AEO 2023 Table 47 Raw'!K86</f>
        <v>136.820999</v>
      </c>
      <c r="I101" s="17">
        <f>'AEO 2023 Table 47 Raw'!L86</f>
        <v>140.54792800000001</v>
      </c>
      <c r="J101" s="17">
        <f>'AEO 2023 Table 47 Raw'!M86</f>
        <v>144.06811500000001</v>
      </c>
      <c r="K101" s="17">
        <f>'AEO 2023 Table 47 Raw'!N86</f>
        <v>147.41693100000001</v>
      </c>
      <c r="L101" s="17">
        <f>'AEO 2023 Table 47 Raw'!O86</f>
        <v>150.71400499999999</v>
      </c>
      <c r="M101" s="17">
        <f>'AEO 2023 Table 47 Raw'!P86</f>
        <v>154.10694899999999</v>
      </c>
      <c r="N101" s="17">
        <f>'AEO 2023 Table 47 Raw'!Q86</f>
        <v>157.47714199999999</v>
      </c>
      <c r="O101" s="17">
        <f>'AEO 2023 Table 47 Raw'!R86</f>
        <v>160.69338999999999</v>
      </c>
      <c r="P101" s="17">
        <f>'AEO 2023 Table 47 Raw'!S86</f>
        <v>163.86622600000001</v>
      </c>
      <c r="Q101" s="17">
        <f>'AEO 2023 Table 47 Raw'!T86</f>
        <v>167.09934999999999</v>
      </c>
      <c r="R101" s="17">
        <f>'AEO 2023 Table 47 Raw'!U86</f>
        <v>170.42132599999999</v>
      </c>
      <c r="S101" s="17">
        <f>'AEO 2023 Table 47 Raw'!V86</f>
        <v>173.835678</v>
      </c>
      <c r="T101" s="17">
        <f>'AEO 2023 Table 47 Raw'!W86</f>
        <v>177.303146</v>
      </c>
      <c r="U101" s="17">
        <f>'AEO 2023 Table 47 Raw'!X86</f>
        <v>180.888092</v>
      </c>
      <c r="V101" s="17">
        <f>'AEO 2023 Table 47 Raw'!Y86</f>
        <v>184.480209</v>
      </c>
      <c r="W101" s="17">
        <f>'AEO 2023 Table 47 Raw'!Z86</f>
        <v>188.13623000000001</v>
      </c>
      <c r="X101" s="17">
        <f>'AEO 2023 Table 47 Raw'!AA86</f>
        <v>191.843063</v>
      </c>
      <c r="Y101" s="17">
        <f>'AEO 2023 Table 47 Raw'!AB86</f>
        <v>195.59063699999999</v>
      </c>
      <c r="Z101" s="17">
        <f>'AEO 2023 Table 47 Raw'!AC86</f>
        <v>199.33880600000001</v>
      </c>
      <c r="AA101" s="17">
        <f>'AEO 2023 Table 47 Raw'!AD86</f>
        <v>203.13940400000001</v>
      </c>
      <c r="AB101" s="17">
        <f>'AEO 2023 Table 47 Raw'!AE86</f>
        <v>207.02465799999999</v>
      </c>
      <c r="AC101" s="17">
        <f>'AEO 2023 Table 47 Raw'!AF86</f>
        <v>210.99328600000001</v>
      </c>
      <c r="AD101" s="17">
        <f>'AEO 2023 Table 47 Raw'!AG86</f>
        <v>215.04122899999999</v>
      </c>
      <c r="AE101" s="17">
        <f>'AEO 2023 Table 47 Raw'!AH86</f>
        <v>219.183167</v>
      </c>
      <c r="AF101" s="30">
        <f>'AEO 2023 Table 47 Raw'!AI86</f>
        <v>2.3E-2</v>
      </c>
    </row>
    <row r="102" spans="1:32" ht="15" customHeight="1">
      <c r="A102" s="7" t="s">
        <v>627</v>
      </c>
      <c r="B102" s="16" t="s">
        <v>628</v>
      </c>
      <c r="C102" s="17">
        <f>'AEO 2023 Table 47 Raw'!F87</f>
        <v>0</v>
      </c>
      <c r="D102" s="17">
        <f>'AEO 2023 Table 47 Raw'!G87</f>
        <v>0</v>
      </c>
      <c r="E102" s="17">
        <f>'AEO 2023 Table 47 Raw'!H87</f>
        <v>0</v>
      </c>
      <c r="F102" s="17">
        <f>'AEO 2023 Table 47 Raw'!I87</f>
        <v>0</v>
      </c>
      <c r="G102" s="17">
        <f>'AEO 2023 Table 47 Raw'!J87</f>
        <v>0</v>
      </c>
      <c r="H102" s="17">
        <f>'AEO 2023 Table 47 Raw'!K87</f>
        <v>0</v>
      </c>
      <c r="I102" s="17">
        <f>'AEO 2023 Table 47 Raw'!L87</f>
        <v>0</v>
      </c>
      <c r="J102" s="17">
        <f>'AEO 2023 Table 47 Raw'!M87</f>
        <v>0</v>
      </c>
      <c r="K102" s="17">
        <f>'AEO 2023 Table 47 Raw'!N87</f>
        <v>0</v>
      </c>
      <c r="L102" s="17">
        <f>'AEO 2023 Table 47 Raw'!O87</f>
        <v>0</v>
      </c>
      <c r="M102" s="17">
        <f>'AEO 2023 Table 47 Raw'!P87</f>
        <v>0</v>
      </c>
      <c r="N102" s="17">
        <f>'AEO 2023 Table 47 Raw'!Q87</f>
        <v>0</v>
      </c>
      <c r="O102" s="17">
        <f>'AEO 2023 Table 47 Raw'!R87</f>
        <v>0</v>
      </c>
      <c r="P102" s="17">
        <f>'AEO 2023 Table 47 Raw'!S87</f>
        <v>0</v>
      </c>
      <c r="Q102" s="17">
        <f>'AEO 2023 Table 47 Raw'!T87</f>
        <v>0</v>
      </c>
      <c r="R102" s="17">
        <f>'AEO 2023 Table 47 Raw'!U87</f>
        <v>0</v>
      </c>
      <c r="S102" s="17">
        <f>'AEO 2023 Table 47 Raw'!V87</f>
        <v>0</v>
      </c>
      <c r="T102" s="17">
        <f>'AEO 2023 Table 47 Raw'!W87</f>
        <v>0</v>
      </c>
      <c r="U102" s="17">
        <f>'AEO 2023 Table 47 Raw'!X87</f>
        <v>0</v>
      </c>
      <c r="V102" s="17">
        <f>'AEO 2023 Table 47 Raw'!Y87</f>
        <v>0</v>
      </c>
      <c r="W102" s="17">
        <f>'AEO 2023 Table 47 Raw'!Z87</f>
        <v>0</v>
      </c>
      <c r="X102" s="17">
        <f>'AEO 2023 Table 47 Raw'!AA87</f>
        <v>0</v>
      </c>
      <c r="Y102" s="17">
        <f>'AEO 2023 Table 47 Raw'!AB87</f>
        <v>0</v>
      </c>
      <c r="Z102" s="17">
        <f>'AEO 2023 Table 47 Raw'!AC87</f>
        <v>0</v>
      </c>
      <c r="AA102" s="17">
        <f>'AEO 2023 Table 47 Raw'!AD87</f>
        <v>0</v>
      </c>
      <c r="AB102" s="17">
        <f>'AEO 2023 Table 47 Raw'!AE87</f>
        <v>0</v>
      </c>
      <c r="AC102" s="17">
        <f>'AEO 2023 Table 47 Raw'!AF87</f>
        <v>0</v>
      </c>
      <c r="AD102" s="17">
        <f>'AEO 2023 Table 47 Raw'!AG87</f>
        <v>0</v>
      </c>
      <c r="AE102" s="17">
        <f>'AEO 2023 Table 47 Raw'!AH87</f>
        <v>0</v>
      </c>
      <c r="AF102" s="30">
        <f>'AEO 2023 Table 47 Raw'!AI87</f>
        <v>0</v>
      </c>
    </row>
    <row r="103" spans="1:32" ht="15" customHeight="1">
      <c r="A103" s="7" t="s">
        <v>629</v>
      </c>
      <c r="B103" s="16" t="s">
        <v>630</v>
      </c>
      <c r="C103" s="17">
        <f>'AEO 2023 Table 47 Raw'!F88</f>
        <v>1173.034668</v>
      </c>
      <c r="D103" s="17">
        <f>'AEO 2023 Table 47 Raw'!G88</f>
        <v>1318.6945800000001</v>
      </c>
      <c r="E103" s="17">
        <f>'AEO 2023 Table 47 Raw'!H88</f>
        <v>1350.2619629999999</v>
      </c>
      <c r="F103" s="17">
        <f>'AEO 2023 Table 47 Raw'!I88</f>
        <v>1352.2789310000001</v>
      </c>
      <c r="G103" s="17">
        <f>'AEO 2023 Table 47 Raw'!J88</f>
        <v>1371.197754</v>
      </c>
      <c r="H103" s="17">
        <f>'AEO 2023 Table 47 Raw'!K88</f>
        <v>1389.149414</v>
      </c>
      <c r="I103" s="17">
        <f>'AEO 2023 Table 47 Raw'!L88</f>
        <v>1407.1179199999999</v>
      </c>
      <c r="J103" s="17">
        <f>'AEO 2023 Table 47 Raw'!M88</f>
        <v>1421.592529</v>
      </c>
      <c r="K103" s="17">
        <f>'AEO 2023 Table 47 Raw'!N88</f>
        <v>1433.0273440000001</v>
      </c>
      <c r="L103" s="17">
        <f>'AEO 2023 Table 47 Raw'!O88</f>
        <v>1446.8048100000001</v>
      </c>
      <c r="M103" s="17">
        <f>'AEO 2023 Table 47 Raw'!P88</f>
        <v>1468.513672</v>
      </c>
      <c r="N103" s="17">
        <f>'AEO 2023 Table 47 Raw'!Q88</f>
        <v>1491.042236</v>
      </c>
      <c r="O103" s="17">
        <f>'AEO 2023 Table 47 Raw'!R88</f>
        <v>1508.001831</v>
      </c>
      <c r="P103" s="17">
        <f>'AEO 2023 Table 47 Raw'!S88</f>
        <v>1524.5074460000001</v>
      </c>
      <c r="Q103" s="17">
        <f>'AEO 2023 Table 47 Raw'!T88</f>
        <v>1544.2664789999999</v>
      </c>
      <c r="R103" s="17">
        <f>'AEO 2023 Table 47 Raw'!U88</f>
        <v>1567.9221190000001</v>
      </c>
      <c r="S103" s="17">
        <f>'AEO 2023 Table 47 Raw'!V88</f>
        <v>1595.6707759999999</v>
      </c>
      <c r="T103" s="17">
        <f>'AEO 2023 Table 47 Raw'!W88</f>
        <v>1625.223389</v>
      </c>
      <c r="U103" s="17">
        <f>'AEO 2023 Table 47 Raw'!X88</f>
        <v>1658.3792719999999</v>
      </c>
      <c r="V103" s="17">
        <f>'AEO 2023 Table 47 Raw'!Y88</f>
        <v>1690.6396480000001</v>
      </c>
      <c r="W103" s="17">
        <f>'AEO 2023 Table 47 Raw'!Z88</f>
        <v>1724.2036129999999</v>
      </c>
      <c r="X103" s="17">
        <f>'AEO 2023 Table 47 Raw'!AA88</f>
        <v>1758.7885739999999</v>
      </c>
      <c r="Y103" s="17">
        <f>'AEO 2023 Table 47 Raw'!AB88</f>
        <v>1794.2814940000001</v>
      </c>
      <c r="Z103" s="17">
        <f>'AEO 2023 Table 47 Raw'!AC88</f>
        <v>1829.1610109999999</v>
      </c>
      <c r="AA103" s="17">
        <f>'AEO 2023 Table 47 Raw'!AD88</f>
        <v>1866.1365969999999</v>
      </c>
      <c r="AB103" s="17">
        <f>'AEO 2023 Table 47 Raw'!AE88</f>
        <v>1905.77124</v>
      </c>
      <c r="AC103" s="17">
        <f>'AEO 2023 Table 47 Raw'!AF88</f>
        <v>1947.779663</v>
      </c>
      <c r="AD103" s="17">
        <f>'AEO 2023 Table 47 Raw'!AG88</f>
        <v>1991.880981</v>
      </c>
      <c r="AE103" s="17">
        <f>'AEO 2023 Table 47 Raw'!AH88</f>
        <v>2038.8267820000001</v>
      </c>
      <c r="AF103" s="30">
        <f>'AEO 2023 Table 47 Raw'!AI88</f>
        <v>0.02</v>
      </c>
    </row>
    <row r="104" spans="1:32" ht="15" customHeight="1">
      <c r="A104" s="7" t="s">
        <v>631</v>
      </c>
      <c r="B104" s="16" t="s">
        <v>632</v>
      </c>
      <c r="C104" s="17">
        <f>'AEO 2023 Table 47 Raw'!F89</f>
        <v>771.93774399999995</v>
      </c>
      <c r="D104" s="17">
        <f>'AEO 2023 Table 47 Raw'!G89</f>
        <v>826.14868200000001</v>
      </c>
      <c r="E104" s="17">
        <f>'AEO 2023 Table 47 Raw'!H89</f>
        <v>825.03100600000005</v>
      </c>
      <c r="F104" s="17">
        <f>'AEO 2023 Table 47 Raw'!I89</f>
        <v>821.41747999999995</v>
      </c>
      <c r="G104" s="17">
        <f>'AEO 2023 Table 47 Raw'!J89</f>
        <v>831.81805399999996</v>
      </c>
      <c r="H104" s="17">
        <f>'AEO 2023 Table 47 Raw'!K89</f>
        <v>841.58648700000003</v>
      </c>
      <c r="I104" s="17">
        <f>'AEO 2023 Table 47 Raw'!L89</f>
        <v>851.34570299999996</v>
      </c>
      <c r="J104" s="17">
        <f>'AEO 2023 Table 47 Raw'!M89</f>
        <v>858.87561000000005</v>
      </c>
      <c r="K104" s="17">
        <f>'AEO 2023 Table 47 Raw'!N89</f>
        <v>864.46972700000003</v>
      </c>
      <c r="L104" s="17">
        <f>'AEO 2023 Table 47 Raw'!O89</f>
        <v>871.53289800000005</v>
      </c>
      <c r="M104" s="17">
        <f>'AEO 2023 Table 47 Raw'!P89</f>
        <v>883.58019999999999</v>
      </c>
      <c r="N104" s="17">
        <f>'AEO 2023 Table 47 Raw'!Q89</f>
        <v>896.11834699999997</v>
      </c>
      <c r="O104" s="17">
        <f>'AEO 2023 Table 47 Raw'!R89</f>
        <v>905.12927200000001</v>
      </c>
      <c r="P104" s="17">
        <f>'AEO 2023 Table 47 Raw'!S89</f>
        <v>913.83673099999999</v>
      </c>
      <c r="Q104" s="17">
        <f>'AEO 2023 Table 47 Raw'!T89</f>
        <v>924.56738299999995</v>
      </c>
      <c r="R104" s="17">
        <f>'AEO 2023 Table 47 Raw'!U89</f>
        <v>937.716858</v>
      </c>
      <c r="S104" s="17">
        <f>'AEO 2023 Table 47 Raw'!V89</f>
        <v>953.39996299999996</v>
      </c>
      <c r="T104" s="17">
        <f>'AEO 2023 Table 47 Raw'!W89</f>
        <v>970.17730700000004</v>
      </c>
      <c r="U104" s="17">
        <f>'AEO 2023 Table 47 Raw'!X89</f>
        <v>989.16076699999996</v>
      </c>
      <c r="V104" s="17">
        <f>'AEO 2023 Table 47 Raw'!Y89</f>
        <v>1007.538635</v>
      </c>
      <c r="W104" s="17">
        <f>'AEO 2023 Table 47 Raw'!Z89</f>
        <v>1026.6834719999999</v>
      </c>
      <c r="X104" s="17">
        <f>'AEO 2023 Table 47 Raw'!AA89</f>
        <v>1046.4167480000001</v>
      </c>
      <c r="Y104" s="17">
        <f>'AEO 2023 Table 47 Raw'!AB89</f>
        <v>1066.6655270000001</v>
      </c>
      <c r="Z104" s="17">
        <f>'AEO 2023 Table 47 Raw'!AC89</f>
        <v>1086.4807129999999</v>
      </c>
      <c r="AA104" s="17">
        <f>'AEO 2023 Table 47 Raw'!AD89</f>
        <v>1107.5491939999999</v>
      </c>
      <c r="AB104" s="17">
        <f>'AEO 2023 Table 47 Raw'!AE89</f>
        <v>1130.216553</v>
      </c>
      <c r="AC104" s="17">
        <f>'AEO 2023 Table 47 Raw'!AF89</f>
        <v>1154.3011469999999</v>
      </c>
      <c r="AD104" s="17">
        <f>'AEO 2023 Table 47 Raw'!AG89</f>
        <v>1179.6252440000001</v>
      </c>
      <c r="AE104" s="17">
        <f>'AEO 2023 Table 47 Raw'!AH89</f>
        <v>1206.6517329999999</v>
      </c>
      <c r="AF104" s="30">
        <f>'AEO 2023 Table 47 Raw'!AI89</f>
        <v>1.6E-2</v>
      </c>
    </row>
    <row r="105" spans="1:32" ht="15" customHeight="1">
      <c r="A105" s="7" t="s">
        <v>633</v>
      </c>
      <c r="B105" s="16" t="s">
        <v>634</v>
      </c>
      <c r="C105" s="17">
        <f>'AEO 2023 Table 47 Raw'!F90</f>
        <v>291.44287100000003</v>
      </c>
      <c r="D105" s="17">
        <f>'AEO 2023 Table 47 Raw'!G90</f>
        <v>376.62927200000001</v>
      </c>
      <c r="E105" s="17">
        <f>'AEO 2023 Table 47 Raw'!H90</f>
        <v>410.172821</v>
      </c>
      <c r="F105" s="17">
        <f>'AEO 2023 Table 47 Raw'!I90</f>
        <v>416.49899299999998</v>
      </c>
      <c r="G105" s="17">
        <f>'AEO 2023 Table 47 Raw'!J90</f>
        <v>423.612549</v>
      </c>
      <c r="H105" s="17">
        <f>'AEO 2023 Table 47 Raw'!K90</f>
        <v>430.48113999999998</v>
      </c>
      <c r="I105" s="17">
        <f>'AEO 2023 Table 47 Raw'!L90</f>
        <v>437.37762500000002</v>
      </c>
      <c r="J105" s="17">
        <f>'AEO 2023 Table 47 Raw'!M90</f>
        <v>443.32412699999998</v>
      </c>
      <c r="K105" s="17">
        <f>'AEO 2023 Table 47 Raw'!N90</f>
        <v>448.44000199999999</v>
      </c>
      <c r="L105" s="17">
        <f>'AEO 2023 Table 47 Raw'!O90</f>
        <v>454.22287</v>
      </c>
      <c r="M105" s="17">
        <f>'AEO 2023 Table 47 Raw'!P90</f>
        <v>462.25238000000002</v>
      </c>
      <c r="N105" s="17">
        <f>'AEO 2023 Table 47 Raw'!Q90</f>
        <v>470.542755</v>
      </c>
      <c r="O105" s="17">
        <f>'AEO 2023 Table 47 Raw'!R90</f>
        <v>477.288544</v>
      </c>
      <c r="P105" s="17">
        <f>'AEO 2023 Table 47 Raw'!S90</f>
        <v>483.92678799999999</v>
      </c>
      <c r="Q105" s="17">
        <f>'AEO 2023 Table 47 Raw'!T90</f>
        <v>491.51174900000001</v>
      </c>
      <c r="R105" s="17">
        <f>'AEO 2023 Table 47 Raw'!U90</f>
        <v>500.235657</v>
      </c>
      <c r="S105" s="17">
        <f>'AEO 2023 Table 47 Raw'!V90</f>
        <v>510.16430700000001</v>
      </c>
      <c r="T105" s="17">
        <f>'AEO 2023 Table 47 Raw'!W90</f>
        <v>520.65051300000005</v>
      </c>
      <c r="U105" s="17">
        <f>'AEO 2023 Table 47 Raw'!X90</f>
        <v>532.22595200000001</v>
      </c>
      <c r="V105" s="17">
        <f>'AEO 2023 Table 47 Raw'!Y90</f>
        <v>543.59844999999996</v>
      </c>
      <c r="W105" s="17">
        <f>'AEO 2023 Table 47 Raw'!Z90</f>
        <v>555.40142800000001</v>
      </c>
      <c r="X105" s="17">
        <f>'AEO 2023 Table 47 Raw'!AA90</f>
        <v>567.55664100000001</v>
      </c>
      <c r="Y105" s="17">
        <f>'AEO 2023 Table 47 Raw'!AB90</f>
        <v>580.03369099999998</v>
      </c>
      <c r="Z105" s="17">
        <f>'AEO 2023 Table 47 Raw'!AC90</f>
        <v>592.39367700000003</v>
      </c>
      <c r="AA105" s="17">
        <f>'AEO 2023 Table 47 Raw'!AD90</f>
        <v>605.42309599999999</v>
      </c>
      <c r="AB105" s="17">
        <f>'AEO 2023 Table 47 Raw'!AE90</f>
        <v>619.29064900000003</v>
      </c>
      <c r="AC105" s="17">
        <f>'AEO 2023 Table 47 Raw'!AF90</f>
        <v>633.91833499999996</v>
      </c>
      <c r="AD105" s="17">
        <f>'AEO 2023 Table 47 Raw'!AG90</f>
        <v>649.228027</v>
      </c>
      <c r="AE105" s="17">
        <f>'AEO 2023 Table 47 Raw'!AH90</f>
        <v>665.44378700000004</v>
      </c>
      <c r="AF105" s="30">
        <f>'AEO 2023 Table 47 Raw'!AI90</f>
        <v>0.03</v>
      </c>
    </row>
    <row r="106" spans="1:32" ht="15" customHeight="1">
      <c r="A106" s="7" t="s">
        <v>635</v>
      </c>
      <c r="B106" s="16" t="s">
        <v>636</v>
      </c>
      <c r="C106" s="17">
        <f>'AEO 2023 Table 47 Raw'!F91</f>
        <v>109.65400700000001</v>
      </c>
      <c r="D106" s="17">
        <f>'AEO 2023 Table 47 Raw'!G91</f>
        <v>115.916664</v>
      </c>
      <c r="E106" s="17">
        <f>'AEO 2023 Table 47 Raw'!H91</f>
        <v>115.05811300000001</v>
      </c>
      <c r="F106" s="17">
        <f>'AEO 2023 Table 47 Raw'!I91</f>
        <v>114.36243399999999</v>
      </c>
      <c r="G106" s="17">
        <f>'AEO 2023 Table 47 Raw'!J91</f>
        <v>115.767021</v>
      </c>
      <c r="H106" s="17">
        <f>'AEO 2023 Table 47 Raw'!K91</f>
        <v>117.08181</v>
      </c>
      <c r="I106" s="17">
        <f>'AEO 2023 Table 47 Raw'!L91</f>
        <v>118.394547</v>
      </c>
      <c r="J106" s="17">
        <f>'AEO 2023 Table 47 Raw'!M91</f>
        <v>119.392647</v>
      </c>
      <c r="K106" s="17">
        <f>'AEO 2023 Table 47 Raw'!N91</f>
        <v>120.11769099999999</v>
      </c>
      <c r="L106" s="17">
        <f>'AEO 2023 Table 47 Raw'!O91</f>
        <v>121.049088</v>
      </c>
      <c r="M106" s="17">
        <f>'AEO 2023 Table 47 Raw'!P91</f>
        <v>122.68103000000001</v>
      </c>
      <c r="N106" s="17">
        <f>'AEO 2023 Table 47 Raw'!Q91</f>
        <v>124.381058</v>
      </c>
      <c r="O106" s="17">
        <f>'AEO 2023 Table 47 Raw'!R91</f>
        <v>125.584198</v>
      </c>
      <c r="P106" s="17">
        <f>'AEO 2023 Table 47 Raw'!S91</f>
        <v>126.74402600000001</v>
      </c>
      <c r="Q106" s="17">
        <f>'AEO 2023 Table 47 Raw'!T91</f>
        <v>128.187408</v>
      </c>
      <c r="R106" s="17">
        <f>'AEO 2023 Table 47 Raw'!U91</f>
        <v>129.96958900000001</v>
      </c>
      <c r="S106" s="17">
        <f>'AEO 2023 Table 47 Raw'!V91</f>
        <v>132.106415</v>
      </c>
      <c r="T106" s="17">
        <f>'AEO 2023 Table 47 Raw'!W91</f>
        <v>134.39553799999999</v>
      </c>
      <c r="U106" s="17">
        <f>'AEO 2023 Table 47 Raw'!X91</f>
        <v>136.99246199999999</v>
      </c>
      <c r="V106" s="17">
        <f>'AEO 2023 Table 47 Raw'!Y91</f>
        <v>139.50266999999999</v>
      </c>
      <c r="W106" s="17">
        <f>'AEO 2023 Table 47 Raw'!Z91</f>
        <v>142.11863700000001</v>
      </c>
      <c r="X106" s="17">
        <f>'AEO 2023 Table 47 Raw'!AA91</f>
        <v>144.81526199999999</v>
      </c>
      <c r="Y106" s="17">
        <f>'AEO 2023 Table 47 Raw'!AB91</f>
        <v>147.582245</v>
      </c>
      <c r="Z106" s="17">
        <f>'AEO 2023 Table 47 Raw'!AC91</f>
        <v>150.28645299999999</v>
      </c>
      <c r="AA106" s="17">
        <f>'AEO 2023 Table 47 Raw'!AD91</f>
        <v>153.16430700000001</v>
      </c>
      <c r="AB106" s="17">
        <f>'AEO 2023 Table 47 Raw'!AE91</f>
        <v>156.26412999999999</v>
      </c>
      <c r="AC106" s="17">
        <f>'AEO 2023 Table 47 Raw'!AF91</f>
        <v>159.560318</v>
      </c>
      <c r="AD106" s="17">
        <f>'AEO 2023 Table 47 Raw'!AG91</f>
        <v>163.027771</v>
      </c>
      <c r="AE106" s="17">
        <f>'AEO 2023 Table 47 Raw'!AH91</f>
        <v>166.73127700000001</v>
      </c>
      <c r="AF106" s="30">
        <f>'AEO 2023 Table 47 Raw'!AI91</f>
        <v>1.4999999999999999E-2</v>
      </c>
    </row>
    <row r="107" spans="1:32" ht="15" customHeight="1">
      <c r="AF107" s="33"/>
    </row>
    <row r="108" spans="1:32" ht="15" customHeight="1">
      <c r="B108" s="15" t="s">
        <v>637</v>
      </c>
      <c r="AF108" s="33"/>
    </row>
    <row r="109" spans="1:32" ht="15" customHeight="1">
      <c r="A109" s="7" t="s">
        <v>638</v>
      </c>
      <c r="B109" s="16" t="s">
        <v>604</v>
      </c>
      <c r="C109" s="17">
        <f>'AEO 2023 Table 47 Raw'!F93</f>
        <v>46.483733999999998</v>
      </c>
      <c r="D109" s="17">
        <f>'AEO 2023 Table 47 Raw'!G93</f>
        <v>52.576613999999999</v>
      </c>
      <c r="E109" s="17">
        <f>'AEO 2023 Table 47 Raw'!H93</f>
        <v>56.012763999999997</v>
      </c>
      <c r="F109" s="17">
        <f>'AEO 2023 Table 47 Raw'!I93</f>
        <v>58.483322000000001</v>
      </c>
      <c r="G109" s="17">
        <f>'AEO 2023 Table 47 Raw'!J93</f>
        <v>60.800694</v>
      </c>
      <c r="H109" s="17">
        <f>'AEO 2023 Table 47 Raw'!K93</f>
        <v>62.895470000000003</v>
      </c>
      <c r="I109" s="17">
        <f>'AEO 2023 Table 47 Raw'!L93</f>
        <v>64.119736000000003</v>
      </c>
      <c r="J109" s="17">
        <f>'AEO 2023 Table 47 Raw'!M93</f>
        <v>65.371596999999994</v>
      </c>
      <c r="K109" s="17">
        <f>'AEO 2023 Table 47 Raw'!N93</f>
        <v>66.645554000000004</v>
      </c>
      <c r="L109" s="17">
        <f>'AEO 2023 Table 47 Raw'!O93</f>
        <v>67.943336000000002</v>
      </c>
      <c r="M109" s="17">
        <f>'AEO 2023 Table 47 Raw'!P93</f>
        <v>69.261993000000004</v>
      </c>
      <c r="N109" s="17">
        <f>'AEO 2023 Table 47 Raw'!Q93</f>
        <v>70.597969000000006</v>
      </c>
      <c r="O109" s="17">
        <f>'AEO 2023 Table 47 Raw'!R93</f>
        <v>71.951194999999998</v>
      </c>
      <c r="P109" s="17">
        <f>'AEO 2023 Table 47 Raw'!S93</f>
        <v>73.321762000000007</v>
      </c>
      <c r="Q109" s="17">
        <f>'AEO 2023 Table 47 Raw'!T93</f>
        <v>74.709625000000003</v>
      </c>
      <c r="R109" s="17">
        <f>'AEO 2023 Table 47 Raw'!U93</f>
        <v>76.115097000000006</v>
      </c>
      <c r="S109" s="17">
        <f>'AEO 2023 Table 47 Raw'!V93</f>
        <v>77.538216000000006</v>
      </c>
      <c r="T109" s="17">
        <f>'AEO 2023 Table 47 Raw'!W93</f>
        <v>78.979500000000002</v>
      </c>
      <c r="U109" s="17">
        <f>'AEO 2023 Table 47 Raw'!X93</f>
        <v>80.436768000000001</v>
      </c>
      <c r="V109" s="17">
        <f>'AEO 2023 Table 47 Raw'!Y93</f>
        <v>81.911124999999998</v>
      </c>
      <c r="W109" s="17">
        <f>'AEO 2023 Table 47 Raw'!Z93</f>
        <v>83.403251999999995</v>
      </c>
      <c r="X109" s="17">
        <f>'AEO 2023 Table 47 Raw'!AA93</f>
        <v>84.912941000000004</v>
      </c>
      <c r="Y109" s="17">
        <f>'AEO 2023 Table 47 Raw'!AB93</f>
        <v>86.442954999999998</v>
      </c>
      <c r="Z109" s="17">
        <f>'AEO 2023 Table 47 Raw'!AC93</f>
        <v>87.994750999999994</v>
      </c>
      <c r="AA109" s="17">
        <f>'AEO 2023 Table 47 Raw'!AD93</f>
        <v>89.568877999999998</v>
      </c>
      <c r="AB109" s="17">
        <f>'AEO 2023 Table 47 Raw'!AE93</f>
        <v>91.166283000000007</v>
      </c>
      <c r="AC109" s="17">
        <f>'AEO 2023 Table 47 Raw'!AF93</f>
        <v>92.787719999999993</v>
      </c>
      <c r="AD109" s="17">
        <f>'AEO 2023 Table 47 Raw'!AG93</f>
        <v>94.434532000000004</v>
      </c>
      <c r="AE109" s="17">
        <f>'AEO 2023 Table 47 Raw'!AH93</f>
        <v>96.107642999999996</v>
      </c>
      <c r="AF109" s="30">
        <f>'AEO 2023 Table 47 Raw'!AI93</f>
        <v>2.5999999999999999E-2</v>
      </c>
    </row>
    <row r="110" spans="1:32" ht="15" customHeight="1">
      <c r="A110" s="7" t="s">
        <v>639</v>
      </c>
      <c r="B110" s="16" t="s">
        <v>606</v>
      </c>
      <c r="C110" s="17">
        <f>'AEO 2023 Table 47 Raw'!F94</f>
        <v>44.320006999999997</v>
      </c>
      <c r="D110" s="17">
        <f>'AEO 2023 Table 47 Raw'!G94</f>
        <v>56.016773000000001</v>
      </c>
      <c r="E110" s="17">
        <f>'AEO 2023 Table 47 Raw'!H94</f>
        <v>65.242180000000005</v>
      </c>
      <c r="F110" s="17">
        <f>'AEO 2023 Table 47 Raw'!I94</f>
        <v>71.493279000000001</v>
      </c>
      <c r="G110" s="17">
        <f>'AEO 2023 Table 47 Raw'!J94</f>
        <v>76.510611999999995</v>
      </c>
      <c r="H110" s="17">
        <f>'AEO 2023 Table 47 Raw'!K94</f>
        <v>80.981887999999998</v>
      </c>
      <c r="I110" s="17">
        <f>'AEO 2023 Table 47 Raw'!L94</f>
        <v>82.990195999999997</v>
      </c>
      <c r="J110" s="17">
        <f>'AEO 2023 Table 47 Raw'!M94</f>
        <v>85.038689000000005</v>
      </c>
      <c r="K110" s="17">
        <f>'AEO 2023 Table 47 Raw'!N94</f>
        <v>87.125076000000007</v>
      </c>
      <c r="L110" s="17">
        <f>'AEO 2023 Table 47 Raw'!O94</f>
        <v>89.250031000000007</v>
      </c>
      <c r="M110" s="17">
        <f>'AEO 2023 Table 47 Raw'!P94</f>
        <v>91.412482999999995</v>
      </c>
      <c r="N110" s="17">
        <f>'AEO 2023 Table 47 Raw'!Q94</f>
        <v>93.610962000000001</v>
      </c>
      <c r="O110" s="17">
        <f>'AEO 2023 Table 47 Raw'!R94</f>
        <v>95.845900999999998</v>
      </c>
      <c r="P110" s="17">
        <f>'AEO 2023 Table 47 Raw'!S94</f>
        <v>98.117858999999996</v>
      </c>
      <c r="Q110" s="17">
        <f>'AEO 2023 Table 47 Raw'!T94</f>
        <v>100.427132</v>
      </c>
      <c r="R110" s="17">
        <f>'AEO 2023 Table 47 Raw'!U94</f>
        <v>102.77475</v>
      </c>
      <c r="S110" s="17">
        <f>'AEO 2023 Table 47 Raw'!V94</f>
        <v>105.161118</v>
      </c>
      <c r="T110" s="17">
        <f>'AEO 2023 Table 47 Raw'!W94</f>
        <v>107.58744</v>
      </c>
      <c r="U110" s="17">
        <f>'AEO 2023 Table 47 Raw'!X94</f>
        <v>110.053513</v>
      </c>
      <c r="V110" s="17">
        <f>'AEO 2023 Table 47 Raw'!Y94</f>
        <v>112.55989099999999</v>
      </c>
      <c r="W110" s="17">
        <f>'AEO 2023 Table 47 Raw'!Z94</f>
        <v>115.107895</v>
      </c>
      <c r="X110" s="17">
        <f>'AEO 2023 Table 47 Raw'!AA94</f>
        <v>117.697464</v>
      </c>
      <c r="Y110" s="17">
        <f>'AEO 2023 Table 47 Raw'!AB94</f>
        <v>120.33337400000001</v>
      </c>
      <c r="Z110" s="17">
        <f>'AEO 2023 Table 47 Raw'!AC94</f>
        <v>123.01821099999999</v>
      </c>
      <c r="AA110" s="17">
        <f>'AEO 2023 Table 47 Raw'!AD94</f>
        <v>125.753281</v>
      </c>
      <c r="AB110" s="17">
        <f>'AEO 2023 Table 47 Raw'!AE94</f>
        <v>128.54042100000001</v>
      </c>
      <c r="AC110" s="17">
        <f>'AEO 2023 Table 47 Raw'!AF94</f>
        <v>131.38125600000001</v>
      </c>
      <c r="AD110" s="17">
        <f>'AEO 2023 Table 47 Raw'!AG94</f>
        <v>134.27836600000001</v>
      </c>
      <c r="AE110" s="17">
        <f>'AEO 2023 Table 47 Raw'!AH94</f>
        <v>137.233643</v>
      </c>
      <c r="AF110" s="30">
        <f>'AEO 2023 Table 47 Raw'!AI94</f>
        <v>4.1000000000000002E-2</v>
      </c>
    </row>
    <row r="111" spans="1:32" ht="15" customHeight="1">
      <c r="A111" s="7" t="s">
        <v>640</v>
      </c>
      <c r="B111" s="16" t="s">
        <v>608</v>
      </c>
      <c r="C111" s="17">
        <f>'AEO 2023 Table 47 Raw'!F95</f>
        <v>6.9848179999999997</v>
      </c>
      <c r="D111" s="17">
        <f>'AEO 2023 Table 47 Raw'!G95</f>
        <v>7.9436809999999998</v>
      </c>
      <c r="E111" s="17">
        <f>'AEO 2023 Table 47 Raw'!H95</f>
        <v>8.5961859999999994</v>
      </c>
      <c r="F111" s="17">
        <f>'AEO 2023 Table 47 Raw'!I95</f>
        <v>8.9671769999999995</v>
      </c>
      <c r="G111" s="17">
        <f>'AEO 2023 Table 47 Raw'!J95</f>
        <v>9.3172130000000006</v>
      </c>
      <c r="H111" s="17">
        <f>'AEO 2023 Table 47 Raw'!K95</f>
        <v>9.6337810000000008</v>
      </c>
      <c r="I111" s="17">
        <f>'AEO 2023 Table 47 Raw'!L95</f>
        <v>9.8202590000000001</v>
      </c>
      <c r="J111" s="17">
        <f>'AEO 2023 Table 47 Raw'!M95</f>
        <v>10.010951</v>
      </c>
      <c r="K111" s="17">
        <f>'AEO 2023 Table 47 Raw'!N95</f>
        <v>10.205007999999999</v>
      </c>
      <c r="L111" s="17">
        <f>'AEO 2023 Table 47 Raw'!O95</f>
        <v>10.402691000000001</v>
      </c>
      <c r="M111" s="17">
        <f>'AEO 2023 Table 47 Raw'!P95</f>
        <v>10.603547000000001</v>
      </c>
      <c r="N111" s="17">
        <f>'AEO 2023 Table 47 Raw'!Q95</f>
        <v>10.807024</v>
      </c>
      <c r="O111" s="17">
        <f>'AEO 2023 Table 47 Raw'!R95</f>
        <v>11.013108000000001</v>
      </c>
      <c r="P111" s="17">
        <f>'AEO 2023 Table 47 Raw'!S95</f>
        <v>11.221814</v>
      </c>
      <c r="Q111" s="17">
        <f>'AEO 2023 Table 47 Raw'!T95</f>
        <v>11.433130999999999</v>
      </c>
      <c r="R111" s="17">
        <f>'AEO 2023 Table 47 Raw'!U95</f>
        <v>11.647105</v>
      </c>
      <c r="S111" s="17">
        <f>'AEO 2023 Table 47 Raw'!V95</f>
        <v>11.863749</v>
      </c>
      <c r="T111" s="17">
        <f>'AEO 2023 Table 47 Raw'!W95</f>
        <v>12.083130000000001</v>
      </c>
      <c r="U111" s="17">
        <f>'AEO 2023 Table 47 Raw'!X95</f>
        <v>12.304914999999999</v>
      </c>
      <c r="V111" s="17">
        <f>'AEO 2023 Table 47 Raw'!Y95</f>
        <v>12.529273999999999</v>
      </c>
      <c r="W111" s="17">
        <f>'AEO 2023 Table 47 Raw'!Z95</f>
        <v>12.756309</v>
      </c>
      <c r="X111" s="17">
        <f>'AEO 2023 Table 47 Raw'!AA95</f>
        <v>12.985987</v>
      </c>
      <c r="Y111" s="17">
        <f>'AEO 2023 Table 47 Raw'!AB95</f>
        <v>13.218731</v>
      </c>
      <c r="Z111" s="17">
        <f>'AEO 2023 Table 47 Raw'!AC95</f>
        <v>13.45476</v>
      </c>
      <c r="AA111" s="17">
        <f>'AEO 2023 Table 47 Raw'!AD95</f>
        <v>13.694159000000001</v>
      </c>
      <c r="AB111" s="17">
        <f>'AEO 2023 Table 47 Raw'!AE95</f>
        <v>13.937068</v>
      </c>
      <c r="AC111" s="17">
        <f>'AEO 2023 Table 47 Raw'!AF95</f>
        <v>14.183602</v>
      </c>
      <c r="AD111" s="17">
        <f>'AEO 2023 Table 47 Raw'!AG95</f>
        <v>14.433968999999999</v>
      </c>
      <c r="AE111" s="17">
        <f>'AEO 2023 Table 47 Raw'!AH95</f>
        <v>14.688302999999999</v>
      </c>
      <c r="AF111" s="30">
        <f>'AEO 2023 Table 47 Raw'!AI95</f>
        <v>2.7E-2</v>
      </c>
    </row>
    <row r="112" spans="1:32" ht="15" customHeight="1">
      <c r="A112" s="7" t="s">
        <v>641</v>
      </c>
      <c r="B112" s="16" t="s">
        <v>610</v>
      </c>
      <c r="C112" s="17">
        <f>'AEO 2023 Table 47 Raw'!F96</f>
        <v>99.841224999999994</v>
      </c>
      <c r="D112" s="17">
        <f>'AEO 2023 Table 47 Raw'!G96</f>
        <v>121.38716100000001</v>
      </c>
      <c r="E112" s="17">
        <f>'AEO 2023 Table 47 Raw'!H96</f>
        <v>140.14009100000001</v>
      </c>
      <c r="F112" s="17">
        <f>'AEO 2023 Table 47 Raw'!I96</f>
        <v>151.262756</v>
      </c>
      <c r="G112" s="17">
        <f>'AEO 2023 Table 47 Raw'!J96</f>
        <v>161.67996199999999</v>
      </c>
      <c r="H112" s="17">
        <f>'AEO 2023 Table 47 Raw'!K96</f>
        <v>169.41802999999999</v>
      </c>
      <c r="I112" s="17">
        <f>'AEO 2023 Table 47 Raw'!L96</f>
        <v>176.163284</v>
      </c>
      <c r="J112" s="17">
        <f>'AEO 2023 Table 47 Raw'!M96</f>
        <v>182.32843</v>
      </c>
      <c r="K112" s="17">
        <f>'AEO 2023 Table 47 Raw'!N96</f>
        <v>188.683502</v>
      </c>
      <c r="L112" s="17">
        <f>'AEO 2023 Table 47 Raw'!O96</f>
        <v>195.21624800000001</v>
      </c>
      <c r="M112" s="17">
        <f>'AEO 2023 Table 47 Raw'!P96</f>
        <v>201.96676600000001</v>
      </c>
      <c r="N112" s="17">
        <f>'AEO 2023 Table 47 Raw'!Q96</f>
        <v>208.904144</v>
      </c>
      <c r="O112" s="17">
        <f>'AEO 2023 Table 47 Raw'!R96</f>
        <v>216.03270000000001</v>
      </c>
      <c r="P112" s="17">
        <f>'AEO 2023 Table 47 Raw'!S96</f>
        <v>223.35351600000001</v>
      </c>
      <c r="Q112" s="17">
        <f>'AEO 2023 Table 47 Raw'!T96</f>
        <v>230.84750399999999</v>
      </c>
      <c r="R112" s="17">
        <f>'AEO 2023 Table 47 Raw'!U96</f>
        <v>238.536697</v>
      </c>
      <c r="S112" s="17">
        <f>'AEO 2023 Table 47 Raw'!V96</f>
        <v>246.42671200000001</v>
      </c>
      <c r="T112" s="17">
        <f>'AEO 2023 Table 47 Raw'!W96</f>
        <v>254.52114900000001</v>
      </c>
      <c r="U112" s="17">
        <f>'AEO 2023 Table 47 Raw'!X96</f>
        <v>262.81677200000001</v>
      </c>
      <c r="V112" s="17">
        <f>'AEO 2023 Table 47 Raw'!Y96</f>
        <v>271.26284800000002</v>
      </c>
      <c r="W112" s="17">
        <f>'AEO 2023 Table 47 Raw'!Z96</f>
        <v>279.914154</v>
      </c>
      <c r="X112" s="17">
        <f>'AEO 2023 Table 47 Raw'!AA96</f>
        <v>288.77542099999999</v>
      </c>
      <c r="Y112" s="17">
        <f>'AEO 2023 Table 47 Raw'!AB96</f>
        <v>297.85025000000002</v>
      </c>
      <c r="Z112" s="17">
        <f>'AEO 2023 Table 47 Raw'!AC96</f>
        <v>307.14016700000002</v>
      </c>
      <c r="AA112" s="17">
        <f>'AEO 2023 Table 47 Raw'!AD96</f>
        <v>316.583099</v>
      </c>
      <c r="AB112" s="17">
        <f>'AEO 2023 Table 47 Raw'!AE96</f>
        <v>326.23324600000001</v>
      </c>
      <c r="AC112" s="17">
        <f>'AEO 2023 Table 47 Raw'!AF96</f>
        <v>336.11285400000003</v>
      </c>
      <c r="AD112" s="17">
        <f>'AEO 2023 Table 47 Raw'!AG96</f>
        <v>346.24740600000001</v>
      </c>
      <c r="AE112" s="17">
        <f>'AEO 2023 Table 47 Raw'!AH96</f>
        <v>356.65838600000001</v>
      </c>
      <c r="AF112" s="30">
        <f>'AEO 2023 Table 47 Raw'!AI96</f>
        <v>4.7E-2</v>
      </c>
    </row>
    <row r="113" spans="1:32" ht="12" customHeight="1">
      <c r="A113" s="7" t="s">
        <v>642</v>
      </c>
      <c r="B113" s="16" t="s">
        <v>612</v>
      </c>
      <c r="C113" s="17">
        <f>'AEO 2023 Table 47 Raw'!F97</f>
        <v>69.764510999999999</v>
      </c>
      <c r="D113" s="17">
        <f>'AEO 2023 Table 47 Raw'!G97</f>
        <v>84.004554999999996</v>
      </c>
      <c r="E113" s="17">
        <f>'AEO 2023 Table 47 Raw'!H97</f>
        <v>96.466919000000004</v>
      </c>
      <c r="F113" s="17">
        <f>'AEO 2023 Table 47 Raw'!I97</f>
        <v>103.140091</v>
      </c>
      <c r="G113" s="17">
        <f>'AEO 2023 Table 47 Raw'!J97</f>
        <v>109.625092</v>
      </c>
      <c r="H113" s="17">
        <f>'AEO 2023 Table 47 Raw'!K97</f>
        <v>114.665237</v>
      </c>
      <c r="I113" s="17">
        <f>'AEO 2023 Table 47 Raw'!L97</f>
        <v>119.181656</v>
      </c>
      <c r="J113" s="17">
        <f>'AEO 2023 Table 47 Raw'!M97</f>
        <v>123.406693</v>
      </c>
      <c r="K113" s="17">
        <f>'AEO 2023 Table 47 Raw'!N97</f>
        <v>127.766006</v>
      </c>
      <c r="L113" s="17">
        <f>'AEO 2023 Table 47 Raw'!O97</f>
        <v>132.25155599999999</v>
      </c>
      <c r="M113" s="17">
        <f>'AEO 2023 Table 47 Raw'!P97</f>
        <v>136.891357</v>
      </c>
      <c r="N113" s="17">
        <f>'AEO 2023 Table 47 Raw'!Q97</f>
        <v>141.66313199999999</v>
      </c>
      <c r="O113" s="17">
        <f>'AEO 2023 Table 47 Raw'!R97</f>
        <v>146.57012900000001</v>
      </c>
      <c r="P113" s="17">
        <f>'AEO 2023 Table 47 Raw'!S97</f>
        <v>151.61326600000001</v>
      </c>
      <c r="Q113" s="17">
        <f>'AEO 2023 Table 47 Raw'!T97</f>
        <v>156.778717</v>
      </c>
      <c r="R113" s="17">
        <f>'AEO 2023 Table 47 Raw'!U97</f>
        <v>162.08247399999999</v>
      </c>
      <c r="S113" s="17">
        <f>'AEO 2023 Table 47 Raw'!V97</f>
        <v>167.52858000000001</v>
      </c>
      <c r="T113" s="17">
        <f>'AEO 2023 Table 47 Raw'!W97</f>
        <v>173.11968999999999</v>
      </c>
      <c r="U113" s="17">
        <f>'AEO 2023 Table 47 Raw'!X97</f>
        <v>178.852982</v>
      </c>
      <c r="V113" s="17">
        <f>'AEO 2023 Table 47 Raw'!Y97</f>
        <v>184.691833</v>
      </c>
      <c r="W113" s="17">
        <f>'AEO 2023 Table 47 Raw'!Z97</f>
        <v>190.676163</v>
      </c>
      <c r="X113" s="17">
        <f>'AEO 2023 Table 47 Raw'!AA97</f>
        <v>196.80931100000001</v>
      </c>
      <c r="Y113" s="17">
        <f>'AEO 2023 Table 47 Raw'!AB97</f>
        <v>203.09402499999999</v>
      </c>
      <c r="Z113" s="17">
        <f>'AEO 2023 Table 47 Raw'!AC97</f>
        <v>209.53149400000001</v>
      </c>
      <c r="AA113" s="17">
        <f>'AEO 2023 Table 47 Raw'!AD97</f>
        <v>216.077438</v>
      </c>
      <c r="AB113" s="17">
        <f>'AEO 2023 Table 47 Raw'!AE97</f>
        <v>222.77117899999999</v>
      </c>
      <c r="AC113" s="17">
        <f>'AEO 2023 Table 47 Raw'!AF97</f>
        <v>229.627655</v>
      </c>
      <c r="AD113" s="17">
        <f>'AEO 2023 Table 47 Raw'!AG97</f>
        <v>236.664062</v>
      </c>
      <c r="AE113" s="17">
        <f>'AEO 2023 Table 47 Raw'!AH97</f>
        <v>243.894913</v>
      </c>
      <c r="AF113" s="30">
        <f>'AEO 2023 Table 47 Raw'!AI97</f>
        <v>4.5999999999999999E-2</v>
      </c>
    </row>
    <row r="114" spans="1:32" ht="15" customHeight="1">
      <c r="A114" s="7" t="s">
        <v>643</v>
      </c>
      <c r="B114" s="16" t="s">
        <v>606</v>
      </c>
      <c r="C114" s="17">
        <f>'AEO 2023 Table 47 Raw'!F98</f>
        <v>22.082386</v>
      </c>
      <c r="D114" s="17">
        <f>'AEO 2023 Table 47 Raw'!G98</f>
        <v>27.943691000000001</v>
      </c>
      <c r="E114" s="17">
        <f>'AEO 2023 Table 47 Raw'!H98</f>
        <v>32.981406999999997</v>
      </c>
      <c r="F114" s="17">
        <f>'AEO 2023 Table 47 Raw'!I98</f>
        <v>36.874682999999997</v>
      </c>
      <c r="G114" s="17">
        <f>'AEO 2023 Table 47 Raw'!J98</f>
        <v>40.216048999999998</v>
      </c>
      <c r="H114" s="17">
        <f>'AEO 2023 Table 47 Raw'!K98</f>
        <v>42.408810000000003</v>
      </c>
      <c r="I114" s="17">
        <f>'AEO 2023 Table 47 Raw'!L98</f>
        <v>44.160705999999998</v>
      </c>
      <c r="J114" s="17">
        <f>'AEO 2023 Table 47 Raw'!M98</f>
        <v>45.636051000000002</v>
      </c>
      <c r="K114" s="17">
        <f>'AEO 2023 Table 47 Raw'!N98</f>
        <v>47.151519999999998</v>
      </c>
      <c r="L114" s="17">
        <f>'AEO 2023 Table 47 Raw'!O98</f>
        <v>48.703654999999998</v>
      </c>
      <c r="M114" s="17">
        <f>'AEO 2023 Table 47 Raw'!P98</f>
        <v>50.301430000000003</v>
      </c>
      <c r="N114" s="17">
        <f>'AEO 2023 Table 47 Raw'!Q98</f>
        <v>51.938842999999999</v>
      </c>
      <c r="O114" s="17">
        <f>'AEO 2023 Table 47 Raw'!R98</f>
        <v>53.616570000000003</v>
      </c>
      <c r="P114" s="17">
        <f>'AEO 2023 Table 47 Raw'!S98</f>
        <v>55.334595</v>
      </c>
      <c r="Q114" s="17">
        <f>'AEO 2023 Table 47 Raw'!T98</f>
        <v>57.089325000000002</v>
      </c>
      <c r="R114" s="17">
        <f>'AEO 2023 Table 47 Raw'!U98</f>
        <v>58.884922000000003</v>
      </c>
      <c r="S114" s="17">
        <f>'AEO 2023 Table 47 Raw'!V98</f>
        <v>60.722434999999997</v>
      </c>
      <c r="T114" s="17">
        <f>'AEO 2023 Table 47 Raw'!W98</f>
        <v>62.602508999999998</v>
      </c>
      <c r="U114" s="17">
        <f>'AEO 2023 Table 47 Raw'!X98</f>
        <v>64.525108000000003</v>
      </c>
      <c r="V114" s="17">
        <f>'AEO 2023 Table 47 Raw'!Y98</f>
        <v>66.480514999999997</v>
      </c>
      <c r="W114" s="17">
        <f>'AEO 2023 Table 47 Raw'!Z98</f>
        <v>68.478851000000006</v>
      </c>
      <c r="X114" s="17">
        <f>'AEO 2023 Table 47 Raw'!AA98</f>
        <v>70.520927</v>
      </c>
      <c r="Y114" s="17">
        <f>'AEO 2023 Table 47 Raw'!AB98</f>
        <v>72.607429999999994</v>
      </c>
      <c r="Z114" s="17">
        <f>'AEO 2023 Table 47 Raw'!AC98</f>
        <v>74.738403000000005</v>
      </c>
      <c r="AA114" s="17">
        <f>'AEO 2023 Table 47 Raw'!AD98</f>
        <v>76.901359999999997</v>
      </c>
      <c r="AB114" s="17">
        <f>'AEO 2023 Table 47 Raw'!AE98</f>
        <v>79.106399999999994</v>
      </c>
      <c r="AC114" s="17">
        <f>'AEO 2023 Table 47 Raw'!AF98</f>
        <v>81.359183999999999</v>
      </c>
      <c r="AD114" s="17">
        <f>'AEO 2023 Table 47 Raw'!AG98</f>
        <v>83.666259999999994</v>
      </c>
      <c r="AE114" s="17">
        <f>'AEO 2023 Table 47 Raw'!AH98</f>
        <v>86.032966999999999</v>
      </c>
      <c r="AF114" s="30">
        <f>'AEO 2023 Table 47 Raw'!AI98</f>
        <v>0.05</v>
      </c>
    </row>
    <row r="115" spans="1:32" ht="15" customHeight="1">
      <c r="A115" s="7" t="s">
        <v>644</v>
      </c>
      <c r="B115" s="16" t="s">
        <v>608</v>
      </c>
      <c r="C115" s="17">
        <f>'AEO 2023 Table 47 Raw'!F99</f>
        <v>7.9943369999999998</v>
      </c>
      <c r="D115" s="17">
        <f>'AEO 2023 Table 47 Raw'!G99</f>
        <v>9.4389260000000004</v>
      </c>
      <c r="E115" s="17">
        <f>'AEO 2023 Table 47 Raw'!H99</f>
        <v>10.691757000000001</v>
      </c>
      <c r="F115" s="17">
        <f>'AEO 2023 Table 47 Raw'!I99</f>
        <v>11.247966999999999</v>
      </c>
      <c r="G115" s="17">
        <f>'AEO 2023 Table 47 Raw'!J99</f>
        <v>11.838803</v>
      </c>
      <c r="H115" s="17">
        <f>'AEO 2023 Table 47 Raw'!K99</f>
        <v>12.343989000000001</v>
      </c>
      <c r="I115" s="17">
        <f>'AEO 2023 Table 47 Raw'!L99</f>
        <v>12.820919</v>
      </c>
      <c r="J115" s="17">
        <f>'AEO 2023 Table 47 Raw'!M99</f>
        <v>13.285686999999999</v>
      </c>
      <c r="K115" s="17">
        <f>'AEO 2023 Table 47 Raw'!N99</f>
        <v>13.765993</v>
      </c>
      <c r="L115" s="17">
        <f>'AEO 2023 Table 47 Raw'!O99</f>
        <v>14.261029000000001</v>
      </c>
      <c r="M115" s="17">
        <f>'AEO 2023 Table 47 Raw'!P99</f>
        <v>14.773972000000001</v>
      </c>
      <c r="N115" s="17">
        <f>'AEO 2023 Table 47 Raw'!Q99</f>
        <v>15.302161999999999</v>
      </c>
      <c r="O115" s="17">
        <f>'AEO 2023 Table 47 Raw'!R99</f>
        <v>15.846017</v>
      </c>
      <c r="P115" s="17">
        <f>'AEO 2023 Table 47 Raw'!S99</f>
        <v>16.405667999999999</v>
      </c>
      <c r="Q115" s="17">
        <f>'AEO 2023 Table 47 Raw'!T99</f>
        <v>16.97946</v>
      </c>
      <c r="R115" s="17">
        <f>'AEO 2023 Table 47 Raw'!U99</f>
        <v>17.569309000000001</v>
      </c>
      <c r="S115" s="17">
        <f>'AEO 2023 Table 47 Raw'!V99</f>
        <v>18.175705000000001</v>
      </c>
      <c r="T115" s="17">
        <f>'AEO 2023 Table 47 Raw'!W99</f>
        <v>18.798973</v>
      </c>
      <c r="U115" s="17">
        <f>'AEO 2023 Table 47 Raw'!X99</f>
        <v>19.438686000000001</v>
      </c>
      <c r="V115" s="17">
        <f>'AEO 2023 Table 47 Raw'!Y99</f>
        <v>20.090475000000001</v>
      </c>
      <c r="W115" s="17">
        <f>'AEO 2023 Table 47 Raw'!Z99</f>
        <v>20.759160999999999</v>
      </c>
      <c r="X115" s="17">
        <f>'AEO 2023 Table 47 Raw'!AA99</f>
        <v>21.445156000000001</v>
      </c>
      <c r="Y115" s="17">
        <f>'AEO 2023 Table 47 Raw'!AB99</f>
        <v>22.148788</v>
      </c>
      <c r="Z115" s="17">
        <f>'AEO 2023 Table 47 Raw'!AC99</f>
        <v>22.870235000000001</v>
      </c>
      <c r="AA115" s="17">
        <f>'AEO 2023 Table 47 Raw'!AD99</f>
        <v>23.604284</v>
      </c>
      <c r="AB115" s="17">
        <f>'AEO 2023 Table 47 Raw'!AE99</f>
        <v>24.355677</v>
      </c>
      <c r="AC115" s="17">
        <f>'AEO 2023 Table 47 Raw'!AF99</f>
        <v>25.126003000000001</v>
      </c>
      <c r="AD115" s="17">
        <f>'AEO 2023 Table 47 Raw'!AG99</f>
        <v>25.917096999999998</v>
      </c>
      <c r="AE115" s="17">
        <f>'AEO 2023 Table 47 Raw'!AH99</f>
        <v>26.730518</v>
      </c>
      <c r="AF115" s="30">
        <f>'AEO 2023 Table 47 Raw'!AI99</f>
        <v>4.3999999999999997E-2</v>
      </c>
    </row>
    <row r="116" spans="1:32" ht="15" customHeight="1">
      <c r="A116" s="7" t="s">
        <v>645</v>
      </c>
      <c r="B116" s="16" t="s">
        <v>610</v>
      </c>
      <c r="C116" s="31">
        <f>'AEO 2023 Table 47 Raw'!F100</f>
        <v>877.59985400000005</v>
      </c>
      <c r="D116" s="31">
        <f>'AEO 2023 Table 47 Raw'!G100</f>
        <v>1119.4864500000001</v>
      </c>
      <c r="E116" s="31">
        <f>'AEO 2023 Table 47 Raw'!H100</f>
        <v>1274.9530030000001</v>
      </c>
      <c r="F116" s="31">
        <f>'AEO 2023 Table 47 Raw'!I100</f>
        <v>1333.865112</v>
      </c>
      <c r="G116" s="31">
        <f>'AEO 2023 Table 47 Raw'!J100</f>
        <v>1422.423706</v>
      </c>
      <c r="H116" s="31">
        <f>'AEO 2023 Table 47 Raw'!K100</f>
        <v>1452.9285890000001</v>
      </c>
      <c r="I116" s="31">
        <f>'AEO 2023 Table 47 Raw'!L100</f>
        <v>1483.7619629999999</v>
      </c>
      <c r="J116" s="31">
        <f>'AEO 2023 Table 47 Raw'!M100</f>
        <v>1515.0489500000001</v>
      </c>
      <c r="K116" s="31">
        <f>'AEO 2023 Table 47 Raw'!N100</f>
        <v>1546.865112</v>
      </c>
      <c r="L116" s="31">
        <f>'AEO 2023 Table 47 Raw'!O100</f>
        <v>1579.2467039999999</v>
      </c>
      <c r="M116" s="31">
        <f>'AEO 2023 Table 47 Raw'!P100</f>
        <v>1612.2222899999999</v>
      </c>
      <c r="N116" s="31">
        <f>'AEO 2023 Table 47 Raw'!Q100</f>
        <v>1645.8079829999999</v>
      </c>
      <c r="O116" s="31">
        <f>'AEO 2023 Table 47 Raw'!R100</f>
        <v>1679.958496</v>
      </c>
      <c r="P116" s="31">
        <f>'AEO 2023 Table 47 Raw'!S100</f>
        <v>1714.6062010000001</v>
      </c>
      <c r="Q116" s="31">
        <f>'AEO 2023 Table 47 Raw'!T100</f>
        <v>1749.828857</v>
      </c>
      <c r="R116" s="31">
        <f>'AEO 2023 Table 47 Raw'!U100</f>
        <v>1785.697144</v>
      </c>
      <c r="S116" s="31">
        <f>'AEO 2023 Table 47 Raw'!V100</f>
        <v>1822.179932</v>
      </c>
      <c r="T116" s="31">
        <f>'AEO 2023 Table 47 Raw'!W100</f>
        <v>1859.2739260000001</v>
      </c>
      <c r="U116" s="31">
        <f>'AEO 2023 Table 47 Raw'!X100</f>
        <v>1897.0032960000001</v>
      </c>
      <c r="V116" s="31">
        <f>'AEO 2023 Table 47 Raw'!Y100</f>
        <v>1935.334351</v>
      </c>
      <c r="W116" s="31">
        <f>'AEO 2023 Table 47 Raw'!Z100</f>
        <v>1974.259033</v>
      </c>
      <c r="X116" s="31">
        <f>'AEO 2023 Table 47 Raw'!AA100</f>
        <v>2013.7669679999999</v>
      </c>
      <c r="Y116" s="31">
        <f>'AEO 2023 Table 47 Raw'!AB100</f>
        <v>2053.8469239999999</v>
      </c>
      <c r="Z116" s="31">
        <f>'AEO 2023 Table 47 Raw'!AC100</f>
        <v>2094.4934079999998</v>
      </c>
      <c r="AA116" s="31">
        <f>'AEO 2023 Table 47 Raw'!AD100</f>
        <v>2135.6967770000001</v>
      </c>
      <c r="AB116" s="31">
        <f>'AEO 2023 Table 47 Raw'!AE100</f>
        <v>2177.4594729999999</v>
      </c>
      <c r="AC116" s="31">
        <f>'AEO 2023 Table 47 Raw'!AF100</f>
        <v>2219.830078</v>
      </c>
      <c r="AD116" s="31">
        <f>'AEO 2023 Table 47 Raw'!AG100</f>
        <v>2262.873047</v>
      </c>
      <c r="AE116" s="31">
        <f>'AEO 2023 Table 47 Raw'!AH100</f>
        <v>2306.6342770000001</v>
      </c>
      <c r="AF116" s="34">
        <f>'AEO 2023 Table 47 Raw'!AI100</f>
        <v>3.5000000000000003E-2</v>
      </c>
    </row>
    <row r="117" spans="1:32" ht="15" customHeight="1">
      <c r="A117" s="7" t="s">
        <v>646</v>
      </c>
      <c r="B117" s="16" t="s">
        <v>614</v>
      </c>
      <c r="C117" s="17">
        <f>'AEO 2023 Table 47 Raw'!F101</f>
        <v>457.99380500000001</v>
      </c>
      <c r="D117" s="17">
        <f>'AEO 2023 Table 47 Raw'!G101</f>
        <v>580.28509499999996</v>
      </c>
      <c r="E117" s="17">
        <f>'AEO 2023 Table 47 Raw'!H101</f>
        <v>654.986267</v>
      </c>
      <c r="F117" s="17">
        <f>'AEO 2023 Table 47 Raw'!I101</f>
        <v>680.76531999999997</v>
      </c>
      <c r="G117" s="17">
        <f>'AEO 2023 Table 47 Raw'!J101</f>
        <v>711.43078600000001</v>
      </c>
      <c r="H117" s="17">
        <f>'AEO 2023 Table 47 Raw'!K101</f>
        <v>727.30053699999996</v>
      </c>
      <c r="I117" s="17">
        <f>'AEO 2023 Table 47 Raw'!L101</f>
        <v>743.324524</v>
      </c>
      <c r="J117" s="17">
        <f>'AEO 2023 Table 47 Raw'!M101</f>
        <v>759.58312999999998</v>
      </c>
      <c r="K117" s="17">
        <f>'AEO 2023 Table 47 Raw'!N101</f>
        <v>776.12072799999999</v>
      </c>
      <c r="L117" s="17">
        <f>'AEO 2023 Table 47 Raw'!O101</f>
        <v>792.95568800000001</v>
      </c>
      <c r="M117" s="17">
        <f>'AEO 2023 Table 47 Raw'!P101</f>
        <v>810.10845900000004</v>
      </c>
      <c r="N117" s="17">
        <f>'AEO 2023 Table 47 Raw'!Q101</f>
        <v>827.59625200000005</v>
      </c>
      <c r="O117" s="17">
        <f>'AEO 2023 Table 47 Raw'!R101</f>
        <v>845.394409</v>
      </c>
      <c r="P117" s="17">
        <f>'AEO 2023 Table 47 Raw'!S101</f>
        <v>863.46362299999998</v>
      </c>
      <c r="Q117" s="17">
        <f>'AEO 2023 Table 47 Raw'!T101</f>
        <v>881.85449200000005</v>
      </c>
      <c r="R117" s="17">
        <f>'AEO 2023 Table 47 Raw'!U101</f>
        <v>900.60906999999997</v>
      </c>
      <c r="S117" s="17">
        <f>'AEO 2023 Table 47 Raw'!V101</f>
        <v>919.70696999999996</v>
      </c>
      <c r="T117" s="17">
        <f>'AEO 2023 Table 47 Raw'!W101</f>
        <v>939.14758300000005</v>
      </c>
      <c r="U117" s="17">
        <f>'AEO 2023 Table 47 Raw'!X101</f>
        <v>958.95074499999998</v>
      </c>
      <c r="V117" s="17">
        <f>'AEO 2023 Table 47 Raw'!Y101</f>
        <v>979.09222399999999</v>
      </c>
      <c r="W117" s="17">
        <f>'AEO 2023 Table 47 Raw'!Z101</f>
        <v>999.56774900000005</v>
      </c>
      <c r="X117" s="17">
        <f>'AEO 2023 Table 47 Raw'!AA101</f>
        <v>1020.372314</v>
      </c>
      <c r="Y117" s="17">
        <f>'AEO 2023 Table 47 Raw'!AB101</f>
        <v>1041.499268</v>
      </c>
      <c r="Z117" s="17">
        <f>'AEO 2023 Table 47 Raw'!AC101</f>
        <v>1062.9472659999999</v>
      </c>
      <c r="AA117" s="17">
        <f>'AEO 2023 Table 47 Raw'!AD101</f>
        <v>1084.717163</v>
      </c>
      <c r="AB117" s="17">
        <f>'AEO 2023 Table 47 Raw'!AE101</f>
        <v>1106.8122559999999</v>
      </c>
      <c r="AC117" s="17">
        <f>'AEO 2023 Table 47 Raw'!AF101</f>
        <v>1129.258789</v>
      </c>
      <c r="AD117" s="17">
        <f>'AEO 2023 Table 47 Raw'!AG101</f>
        <v>1152.091797</v>
      </c>
      <c r="AE117" s="17">
        <f>'AEO 2023 Table 47 Raw'!AH101</f>
        <v>1175.3342290000001</v>
      </c>
      <c r="AF117" s="30">
        <f>'AEO 2023 Table 47 Raw'!AI101</f>
        <v>3.4000000000000002E-2</v>
      </c>
    </row>
    <row r="118" spans="1:32" ht="15" customHeight="1">
      <c r="A118" s="7" t="s">
        <v>647</v>
      </c>
      <c r="B118" s="16" t="s">
        <v>606</v>
      </c>
      <c r="C118" s="17">
        <f>'AEO 2023 Table 47 Raw'!F102</f>
        <v>384.73519900000002</v>
      </c>
      <c r="D118" s="17">
        <f>'AEO 2023 Table 47 Raw'!G102</f>
        <v>494.32092299999999</v>
      </c>
      <c r="E118" s="17">
        <f>'AEO 2023 Table 47 Raw'!H102</f>
        <v>568.28112799999997</v>
      </c>
      <c r="F118" s="17">
        <f>'AEO 2023 Table 47 Raw'!I102</f>
        <v>599.45251499999995</v>
      </c>
      <c r="G118" s="17">
        <f>'AEO 2023 Table 47 Raw'!J102</f>
        <v>655.16479500000003</v>
      </c>
      <c r="H118" s="17">
        <f>'AEO 2023 Table 47 Raw'!K102</f>
        <v>668.54449499999998</v>
      </c>
      <c r="I118" s="17">
        <f>'AEO 2023 Table 47 Raw'!L102</f>
        <v>682.08648700000003</v>
      </c>
      <c r="J118" s="17">
        <f>'AEO 2023 Table 47 Raw'!M102</f>
        <v>695.82885699999997</v>
      </c>
      <c r="K118" s="17">
        <f>'AEO 2023 Table 47 Raw'!N102</f>
        <v>709.79925500000002</v>
      </c>
      <c r="L118" s="17">
        <f>'AEO 2023 Table 47 Raw'!O102</f>
        <v>724.01422100000002</v>
      </c>
      <c r="M118" s="17">
        <f>'AEO 2023 Table 47 Raw'!P102</f>
        <v>738.48004200000003</v>
      </c>
      <c r="N118" s="17">
        <f>'AEO 2023 Table 47 Raw'!Q102</f>
        <v>753.19427499999995</v>
      </c>
      <c r="O118" s="17">
        <f>'AEO 2023 Table 47 Raw'!R102</f>
        <v>768.13793899999996</v>
      </c>
      <c r="P118" s="17">
        <f>'AEO 2023 Table 47 Raw'!S102</f>
        <v>783.28631600000006</v>
      </c>
      <c r="Q118" s="17">
        <f>'AEO 2023 Table 47 Raw'!T102</f>
        <v>798.66192599999999</v>
      </c>
      <c r="R118" s="17">
        <f>'AEO 2023 Table 47 Raw'!U102</f>
        <v>814.29058799999996</v>
      </c>
      <c r="S118" s="17">
        <f>'AEO 2023 Table 47 Raw'!V102</f>
        <v>830.162598</v>
      </c>
      <c r="T118" s="17">
        <f>'AEO 2023 Table 47 Raw'!W102</f>
        <v>846.27569600000004</v>
      </c>
      <c r="U118" s="17">
        <f>'AEO 2023 Table 47 Raw'!X102</f>
        <v>862.63250700000003</v>
      </c>
      <c r="V118" s="17">
        <f>'AEO 2023 Table 47 Raw'!Y102</f>
        <v>879.22540300000003</v>
      </c>
      <c r="W118" s="17">
        <f>'AEO 2023 Table 47 Raw'!Z102</f>
        <v>896.05114700000001</v>
      </c>
      <c r="X118" s="17">
        <f>'AEO 2023 Table 47 Raw'!AA102</f>
        <v>913.104736</v>
      </c>
      <c r="Y118" s="17">
        <f>'AEO 2023 Table 47 Raw'!AB102</f>
        <v>930.38195800000005</v>
      </c>
      <c r="Z118" s="17">
        <f>'AEO 2023 Table 47 Raw'!AC102</f>
        <v>947.878601</v>
      </c>
      <c r="AA118" s="17">
        <f>'AEO 2023 Table 47 Raw'!AD102</f>
        <v>965.584473</v>
      </c>
      <c r="AB118" s="17">
        <f>'AEO 2023 Table 47 Raw'!AE102</f>
        <v>983.49823000000004</v>
      </c>
      <c r="AC118" s="17">
        <f>'AEO 2023 Table 47 Raw'!AF102</f>
        <v>1001.6401980000001</v>
      </c>
      <c r="AD118" s="17">
        <f>'AEO 2023 Table 47 Raw'!AG102</f>
        <v>1020.036865</v>
      </c>
      <c r="AE118" s="17">
        <f>'AEO 2023 Table 47 Raw'!AH102</f>
        <v>1038.7089840000001</v>
      </c>
      <c r="AF118" s="30">
        <f>'AEO 2023 Table 47 Raw'!AI102</f>
        <v>3.5999999999999997E-2</v>
      </c>
    </row>
    <row r="119" spans="1:32" ht="15" customHeight="1">
      <c r="A119" s="7" t="s">
        <v>648</v>
      </c>
      <c r="B119" s="16" t="s">
        <v>608</v>
      </c>
      <c r="C119" s="17">
        <f>'AEO 2023 Table 47 Raw'!F103</f>
        <v>34.870902999999998</v>
      </c>
      <c r="D119" s="17">
        <f>'AEO 2023 Table 47 Raw'!G103</f>
        <v>44.880547</v>
      </c>
      <c r="E119" s="17">
        <f>'AEO 2023 Table 47 Raw'!H103</f>
        <v>51.685589</v>
      </c>
      <c r="F119" s="17">
        <f>'AEO 2023 Table 47 Raw'!I103</f>
        <v>53.647475999999997</v>
      </c>
      <c r="G119" s="17">
        <f>'AEO 2023 Table 47 Raw'!J103</f>
        <v>55.828116999999999</v>
      </c>
      <c r="H119" s="17">
        <f>'AEO 2023 Table 47 Raw'!K103</f>
        <v>57.083621999999998</v>
      </c>
      <c r="I119" s="17">
        <f>'AEO 2023 Table 47 Raw'!L103</f>
        <v>58.351047999999999</v>
      </c>
      <c r="J119" s="17">
        <f>'AEO 2023 Table 47 Raw'!M103</f>
        <v>59.637023999999997</v>
      </c>
      <c r="K119" s="17">
        <f>'AEO 2023 Table 47 Raw'!N103</f>
        <v>60.945126000000002</v>
      </c>
      <c r="L119" s="17">
        <f>'AEO 2023 Table 47 Raw'!O103</f>
        <v>62.276809999999998</v>
      </c>
      <c r="M119" s="17">
        <f>'AEO 2023 Table 47 Raw'!P103</f>
        <v>63.633769999999998</v>
      </c>
      <c r="N119" s="17">
        <f>'AEO 2023 Table 47 Raw'!Q103</f>
        <v>65.017516999999998</v>
      </c>
      <c r="O119" s="17">
        <f>'AEO 2023 Table 47 Raw'!R103</f>
        <v>66.426085999999998</v>
      </c>
      <c r="P119" s="17">
        <f>'AEO 2023 Table 47 Raw'!S103</f>
        <v>67.856292999999994</v>
      </c>
      <c r="Q119" s="17">
        <f>'AEO 2023 Table 47 Raw'!T103</f>
        <v>69.312302000000003</v>
      </c>
      <c r="R119" s="17">
        <f>'AEO 2023 Table 47 Raw'!U103</f>
        <v>70.797531000000006</v>
      </c>
      <c r="S119" s="17">
        <f>'AEO 2023 Table 47 Raw'!V103</f>
        <v>72.310294999999996</v>
      </c>
      <c r="T119" s="17">
        <f>'AEO 2023 Table 47 Raw'!W103</f>
        <v>73.850562999999994</v>
      </c>
      <c r="U119" s="17">
        <f>'AEO 2023 Table 47 Raw'!X103</f>
        <v>75.420029</v>
      </c>
      <c r="V119" s="17">
        <f>'AEO 2023 Table 47 Raw'!Y103</f>
        <v>77.016670000000005</v>
      </c>
      <c r="W119" s="17">
        <f>'AEO 2023 Table 47 Raw'!Z103</f>
        <v>78.640129000000002</v>
      </c>
      <c r="X119" s="17">
        <f>'AEO 2023 Table 47 Raw'!AA103</f>
        <v>80.290030999999999</v>
      </c>
      <c r="Y119" s="17">
        <f>'AEO 2023 Table 47 Raw'!AB103</f>
        <v>81.965835999999996</v>
      </c>
      <c r="Z119" s="17">
        <f>'AEO 2023 Table 47 Raw'!AC103</f>
        <v>83.667450000000002</v>
      </c>
      <c r="AA119" s="17">
        <f>'AEO 2023 Table 47 Raw'!AD103</f>
        <v>85.395065000000002</v>
      </c>
      <c r="AB119" s="17">
        <f>'AEO 2023 Table 47 Raw'!AE103</f>
        <v>87.148910999999998</v>
      </c>
      <c r="AC119" s="17">
        <f>'AEO 2023 Table 47 Raw'!AF103</f>
        <v>88.931160000000006</v>
      </c>
      <c r="AD119" s="17">
        <f>'AEO 2023 Table 47 Raw'!AG103</f>
        <v>90.744545000000002</v>
      </c>
      <c r="AE119" s="17">
        <f>'AEO 2023 Table 47 Raw'!AH103</f>
        <v>92.590896999999998</v>
      </c>
      <c r="AF119" s="30">
        <f>'AEO 2023 Table 47 Raw'!AI103</f>
        <v>3.5000000000000003E-2</v>
      </c>
    </row>
    <row r="120" spans="1:32" ht="15" customHeight="1">
      <c r="A120" s="7" t="s">
        <v>649</v>
      </c>
      <c r="B120" s="16" t="s">
        <v>610</v>
      </c>
      <c r="C120" s="17">
        <f>'AEO 2023 Table 47 Raw'!F104</f>
        <v>101.69902</v>
      </c>
      <c r="D120" s="17">
        <f>'AEO 2023 Table 47 Raw'!G104</f>
        <v>148.23710600000001</v>
      </c>
      <c r="E120" s="17">
        <f>'AEO 2023 Table 47 Raw'!H104</f>
        <v>171.55920399999999</v>
      </c>
      <c r="F120" s="17">
        <f>'AEO 2023 Table 47 Raw'!I104</f>
        <v>184.58833300000001</v>
      </c>
      <c r="G120" s="17">
        <f>'AEO 2023 Table 47 Raw'!J104</f>
        <v>200.47425799999999</v>
      </c>
      <c r="H120" s="17">
        <f>'AEO 2023 Table 47 Raw'!K104</f>
        <v>210.807739</v>
      </c>
      <c r="I120" s="17">
        <f>'AEO 2023 Table 47 Raw'!L104</f>
        <v>220.13314800000001</v>
      </c>
      <c r="J120" s="17">
        <f>'AEO 2023 Table 47 Raw'!M104</f>
        <v>221.292801</v>
      </c>
      <c r="K120" s="17">
        <f>'AEO 2023 Table 47 Raw'!N104</f>
        <v>222.20796200000001</v>
      </c>
      <c r="L120" s="17">
        <f>'AEO 2023 Table 47 Raw'!O104</f>
        <v>222.935303</v>
      </c>
      <c r="M120" s="17">
        <f>'AEO 2023 Table 47 Raw'!P104</f>
        <v>223.57605000000001</v>
      </c>
      <c r="N120" s="17">
        <f>'AEO 2023 Table 47 Raw'!Q104</f>
        <v>224.21723900000001</v>
      </c>
      <c r="O120" s="17">
        <f>'AEO 2023 Table 47 Raw'!R104</f>
        <v>224.86488299999999</v>
      </c>
      <c r="P120" s="17">
        <f>'AEO 2023 Table 47 Raw'!S104</f>
        <v>225.51828</v>
      </c>
      <c r="Q120" s="17">
        <f>'AEO 2023 Table 47 Raw'!T104</f>
        <v>226.176514</v>
      </c>
      <c r="R120" s="17">
        <f>'AEO 2023 Table 47 Raw'!U104</f>
        <v>226.83900499999999</v>
      </c>
      <c r="S120" s="17">
        <f>'AEO 2023 Table 47 Raw'!V104</f>
        <v>227.50564600000001</v>
      </c>
      <c r="T120" s="17">
        <f>'AEO 2023 Table 47 Raw'!W104</f>
        <v>228.174622</v>
      </c>
      <c r="U120" s="17">
        <f>'AEO 2023 Table 47 Raw'!X104</f>
        <v>228.840012</v>
      </c>
      <c r="V120" s="17">
        <f>'AEO 2023 Table 47 Raw'!Y104</f>
        <v>229.505966</v>
      </c>
      <c r="W120" s="17">
        <f>'AEO 2023 Table 47 Raw'!Z104</f>
        <v>230.17013499999999</v>
      </c>
      <c r="X120" s="17">
        <f>'AEO 2023 Table 47 Raw'!AA104</f>
        <v>230.83374000000001</v>
      </c>
      <c r="Y120" s="17">
        <f>'AEO 2023 Table 47 Raw'!AB104</f>
        <v>231.507385</v>
      </c>
      <c r="Z120" s="17">
        <f>'AEO 2023 Table 47 Raw'!AC104</f>
        <v>232.219131</v>
      </c>
      <c r="AA120" s="17">
        <f>'AEO 2023 Table 47 Raw'!AD104</f>
        <v>232.98898299999999</v>
      </c>
      <c r="AB120" s="17">
        <f>'AEO 2023 Table 47 Raw'!AE104</f>
        <v>233.82221999999999</v>
      </c>
      <c r="AC120" s="17">
        <f>'AEO 2023 Table 47 Raw'!AF104</f>
        <v>234.71961999999999</v>
      </c>
      <c r="AD120" s="17">
        <f>'AEO 2023 Table 47 Raw'!AG104</f>
        <v>235.681839</v>
      </c>
      <c r="AE120" s="17">
        <f>'AEO 2023 Table 47 Raw'!AH104</f>
        <v>236.708923</v>
      </c>
      <c r="AF120" s="30">
        <f>'AEO 2023 Table 47 Raw'!AI104</f>
        <v>3.1E-2</v>
      </c>
    </row>
    <row r="121" spans="1:32" ht="15" customHeight="1">
      <c r="A121" s="7" t="s">
        <v>650</v>
      </c>
      <c r="B121" s="16" t="s">
        <v>616</v>
      </c>
      <c r="C121" s="17">
        <f>'AEO 2023 Table 47 Raw'!F105</f>
        <v>50.248626999999999</v>
      </c>
      <c r="D121" s="17">
        <f>'AEO 2023 Table 47 Raw'!G105</f>
        <v>73.327492000000007</v>
      </c>
      <c r="E121" s="17">
        <f>'AEO 2023 Table 47 Raw'!H105</f>
        <v>80.386336999999997</v>
      </c>
      <c r="F121" s="17">
        <f>'AEO 2023 Table 47 Raw'!I105</f>
        <v>83.712601000000006</v>
      </c>
      <c r="G121" s="17">
        <f>'AEO 2023 Table 47 Raw'!J105</f>
        <v>86.558563000000007</v>
      </c>
      <c r="H121" s="17">
        <f>'AEO 2023 Table 47 Raw'!K105</f>
        <v>88.524124</v>
      </c>
      <c r="I121" s="17">
        <f>'AEO 2023 Table 47 Raw'!L105</f>
        <v>90.305572999999995</v>
      </c>
      <c r="J121" s="17">
        <f>'AEO 2023 Table 47 Raw'!M105</f>
        <v>90.819534000000004</v>
      </c>
      <c r="K121" s="17">
        <f>'AEO 2023 Table 47 Raw'!N105</f>
        <v>91.274376000000004</v>
      </c>
      <c r="L121" s="17">
        <f>'AEO 2023 Table 47 Raw'!O105</f>
        <v>91.683593999999999</v>
      </c>
      <c r="M121" s="17">
        <f>'AEO 2023 Table 47 Raw'!P105</f>
        <v>92.070815999999994</v>
      </c>
      <c r="N121" s="17">
        <f>'AEO 2023 Table 47 Raw'!Q105</f>
        <v>92.456360000000004</v>
      </c>
      <c r="O121" s="17">
        <f>'AEO 2023 Table 47 Raw'!R105</f>
        <v>92.842277999999993</v>
      </c>
      <c r="P121" s="17">
        <f>'AEO 2023 Table 47 Raw'!S105</f>
        <v>93.228309999999993</v>
      </c>
      <c r="Q121" s="17">
        <f>'AEO 2023 Table 47 Raw'!T105</f>
        <v>93.614204000000001</v>
      </c>
      <c r="R121" s="17">
        <f>'AEO 2023 Table 47 Raw'!U105</f>
        <v>94.000174999999999</v>
      </c>
      <c r="S121" s="17">
        <f>'AEO 2023 Table 47 Raw'!V105</f>
        <v>94.386238000000006</v>
      </c>
      <c r="T121" s="17">
        <f>'AEO 2023 Table 47 Raw'!W105</f>
        <v>94.772171</v>
      </c>
      <c r="U121" s="17">
        <f>'AEO 2023 Table 47 Raw'!X105</f>
        <v>95.154160000000005</v>
      </c>
      <c r="V121" s="17">
        <f>'AEO 2023 Table 47 Raw'!Y105</f>
        <v>95.535126000000005</v>
      </c>
      <c r="W121" s="17">
        <f>'AEO 2023 Table 47 Raw'!Z105</f>
        <v>95.914664999999999</v>
      </c>
      <c r="X121" s="17">
        <f>'AEO 2023 Table 47 Raw'!AA105</f>
        <v>96.293319999999994</v>
      </c>
      <c r="Y121" s="17">
        <f>'AEO 2023 Table 47 Raw'!AB105</f>
        <v>96.674294000000003</v>
      </c>
      <c r="Z121" s="17">
        <f>'AEO 2023 Table 47 Raw'!AC105</f>
        <v>97.063903999999994</v>
      </c>
      <c r="AA121" s="17">
        <f>'AEO 2023 Table 47 Raw'!AD105</f>
        <v>97.467574999999997</v>
      </c>
      <c r="AB121" s="17">
        <f>'AEO 2023 Table 47 Raw'!AE105</f>
        <v>97.886573999999996</v>
      </c>
      <c r="AC121" s="17">
        <f>'AEO 2023 Table 47 Raw'!AF105</f>
        <v>98.320922999999993</v>
      </c>
      <c r="AD121" s="17">
        <f>'AEO 2023 Table 47 Raw'!AG105</f>
        <v>98.770683000000005</v>
      </c>
      <c r="AE121" s="17">
        <f>'AEO 2023 Table 47 Raw'!AH105</f>
        <v>99.235695000000007</v>
      </c>
      <c r="AF121" s="30">
        <f>'AEO 2023 Table 47 Raw'!AI105</f>
        <v>2.5000000000000001E-2</v>
      </c>
    </row>
    <row r="122" spans="1:32" ht="15" customHeight="1">
      <c r="A122" s="7" t="s">
        <v>651</v>
      </c>
      <c r="B122" s="16" t="s">
        <v>606</v>
      </c>
      <c r="C122" s="17">
        <f>'AEO 2023 Table 47 Raw'!F106</f>
        <v>45.078837999999998</v>
      </c>
      <c r="D122" s="17">
        <f>'AEO 2023 Table 47 Raw'!G106</f>
        <v>65.604156000000003</v>
      </c>
      <c r="E122" s="17">
        <f>'AEO 2023 Table 47 Raw'!H106</f>
        <v>81.211539999999999</v>
      </c>
      <c r="F122" s="17">
        <f>'AEO 2023 Table 47 Raw'!I106</f>
        <v>90.667961000000005</v>
      </c>
      <c r="G122" s="17">
        <f>'AEO 2023 Table 47 Raw'!J106</f>
        <v>103.62951700000001</v>
      </c>
      <c r="H122" s="17">
        <f>'AEO 2023 Table 47 Raw'!K106</f>
        <v>111.925438</v>
      </c>
      <c r="I122" s="17">
        <f>'AEO 2023 Table 47 Raw'!L106</f>
        <v>119.40303</v>
      </c>
      <c r="J122" s="17">
        <f>'AEO 2023 Table 47 Raw'!M106</f>
        <v>119.986786</v>
      </c>
      <c r="K122" s="17">
        <f>'AEO 2023 Table 47 Raw'!N106</f>
        <v>120.389191</v>
      </c>
      <c r="L122" s="17">
        <f>'AEO 2023 Table 47 Raw'!O106</f>
        <v>120.652519</v>
      </c>
      <c r="M122" s="17">
        <f>'AEO 2023 Table 47 Raw'!P106</f>
        <v>120.852875</v>
      </c>
      <c r="N122" s="17">
        <f>'AEO 2023 Table 47 Raw'!Q106</f>
        <v>121.055656</v>
      </c>
      <c r="O122" s="17">
        <f>'AEO 2023 Table 47 Raw'!R106</f>
        <v>121.264656</v>
      </c>
      <c r="P122" s="17">
        <f>'AEO 2023 Table 47 Raw'!S106</f>
        <v>121.479401</v>
      </c>
      <c r="Q122" s="17">
        <f>'AEO 2023 Table 47 Raw'!T106</f>
        <v>121.69931</v>
      </c>
      <c r="R122" s="17">
        <f>'AEO 2023 Table 47 Raw'!U106</f>
        <v>121.9235</v>
      </c>
      <c r="S122" s="17">
        <f>'AEO 2023 Table 47 Raw'!V106</f>
        <v>122.151825</v>
      </c>
      <c r="T122" s="17">
        <f>'AEO 2023 Table 47 Raw'!W106</f>
        <v>122.382729</v>
      </c>
      <c r="U122" s="17">
        <f>'AEO 2023 Table 47 Raw'!X106</f>
        <v>122.61462400000001</v>
      </c>
      <c r="V122" s="17">
        <f>'AEO 2023 Table 47 Raw'!Y106</f>
        <v>122.848282</v>
      </c>
      <c r="W122" s="17">
        <f>'AEO 2023 Table 47 Raw'!Z106</f>
        <v>123.08181</v>
      </c>
      <c r="X122" s="17">
        <f>'AEO 2023 Table 47 Raw'!AA106</f>
        <v>123.315765</v>
      </c>
      <c r="Y122" s="17">
        <f>'AEO 2023 Table 47 Raw'!AB106</f>
        <v>123.557365</v>
      </c>
      <c r="Z122" s="17">
        <f>'AEO 2023 Table 47 Raw'!AC106</f>
        <v>123.82785</v>
      </c>
      <c r="AA122" s="17">
        <f>'AEO 2023 Table 47 Raw'!AD106</f>
        <v>124.141457</v>
      </c>
      <c r="AB122" s="17">
        <f>'AEO 2023 Table 47 Raw'!AE106</f>
        <v>124.50206799999999</v>
      </c>
      <c r="AC122" s="17">
        <f>'AEO 2023 Table 47 Raw'!AF106</f>
        <v>124.910492</v>
      </c>
      <c r="AD122" s="17">
        <f>'AEO 2023 Table 47 Raw'!AG106</f>
        <v>125.36726400000001</v>
      </c>
      <c r="AE122" s="17">
        <f>'AEO 2023 Table 47 Raw'!AH106</f>
        <v>125.872688</v>
      </c>
      <c r="AF122" s="30">
        <f>'AEO 2023 Table 47 Raw'!AI106</f>
        <v>3.6999999999999998E-2</v>
      </c>
    </row>
    <row r="123" spans="1:32" ht="15" customHeight="1">
      <c r="A123" s="7" t="s">
        <v>652</v>
      </c>
      <c r="B123" s="16" t="s">
        <v>608</v>
      </c>
      <c r="C123" s="17">
        <f>'AEO 2023 Table 47 Raw'!F107</f>
        <v>6.3715529999999996</v>
      </c>
      <c r="D123" s="17">
        <f>'AEO 2023 Table 47 Raw'!G107</f>
        <v>9.3054469999999991</v>
      </c>
      <c r="E123" s="17">
        <f>'AEO 2023 Table 47 Raw'!H107</f>
        <v>9.9613259999999997</v>
      </c>
      <c r="F123" s="17">
        <f>'AEO 2023 Table 47 Raw'!I107</f>
        <v>10.207762000000001</v>
      </c>
      <c r="G123" s="17">
        <f>'AEO 2023 Table 47 Raw'!J107</f>
        <v>10.286180999999999</v>
      </c>
      <c r="H123" s="17">
        <f>'AEO 2023 Table 47 Raw'!K107</f>
        <v>10.358179</v>
      </c>
      <c r="I123" s="17">
        <f>'AEO 2023 Table 47 Raw'!L107</f>
        <v>10.424552</v>
      </c>
      <c r="J123" s="17">
        <f>'AEO 2023 Table 47 Raw'!M107</f>
        <v>10.486485999999999</v>
      </c>
      <c r="K123" s="17">
        <f>'AEO 2023 Table 47 Raw'!N107</f>
        <v>10.544403000000001</v>
      </c>
      <c r="L123" s="17">
        <f>'AEO 2023 Table 47 Raw'!O107</f>
        <v>10.599194000000001</v>
      </c>
      <c r="M123" s="17">
        <f>'AEO 2023 Table 47 Raw'!P107</f>
        <v>10.652366000000001</v>
      </c>
      <c r="N123" s="17">
        <f>'AEO 2023 Table 47 Raw'!Q107</f>
        <v>10.705219</v>
      </c>
      <c r="O123" s="17">
        <f>'AEO 2023 Table 47 Raw'!R107</f>
        <v>10.757960000000001</v>
      </c>
      <c r="P123" s="17">
        <f>'AEO 2023 Table 47 Raw'!S107</f>
        <v>10.810561</v>
      </c>
      <c r="Q123" s="17">
        <f>'AEO 2023 Table 47 Raw'!T107</f>
        <v>10.863001000000001</v>
      </c>
      <c r="R123" s="17">
        <f>'AEO 2023 Table 47 Raw'!U107</f>
        <v>10.915336</v>
      </c>
      <c r="S123" s="17">
        <f>'AEO 2023 Table 47 Raw'!V107</f>
        <v>10.967572000000001</v>
      </c>
      <c r="T123" s="17">
        <f>'AEO 2023 Table 47 Raw'!W107</f>
        <v>11.019721000000001</v>
      </c>
      <c r="U123" s="17">
        <f>'AEO 2023 Table 47 Raw'!X107</f>
        <v>11.071241000000001</v>
      </c>
      <c r="V123" s="17">
        <f>'AEO 2023 Table 47 Raw'!Y107</f>
        <v>11.122562</v>
      </c>
      <c r="W123" s="17">
        <f>'AEO 2023 Table 47 Raw'!Z107</f>
        <v>11.17367</v>
      </c>
      <c r="X123" s="17">
        <f>'AEO 2023 Table 47 Raw'!AA107</f>
        <v>11.224634</v>
      </c>
      <c r="Y123" s="17">
        <f>'AEO 2023 Table 47 Raw'!AB107</f>
        <v>11.275739</v>
      </c>
      <c r="Z123" s="17">
        <f>'AEO 2023 Table 47 Raw'!AC107</f>
        <v>11.327367000000001</v>
      </c>
      <c r="AA123" s="17">
        <f>'AEO 2023 Table 47 Raw'!AD107</f>
        <v>11.379951</v>
      </c>
      <c r="AB123" s="17">
        <f>'AEO 2023 Table 47 Raw'!AE107</f>
        <v>11.433577</v>
      </c>
      <c r="AC123" s="17">
        <f>'AEO 2023 Table 47 Raw'!AF107</f>
        <v>11.488227</v>
      </c>
      <c r="AD123" s="17">
        <f>'AEO 2023 Table 47 Raw'!AG107</f>
        <v>11.543894</v>
      </c>
      <c r="AE123" s="17">
        <f>'AEO 2023 Table 47 Raw'!AH107</f>
        <v>11.600548</v>
      </c>
      <c r="AF123" s="30">
        <f>'AEO 2023 Table 47 Raw'!AI107</f>
        <v>2.1999999999999999E-2</v>
      </c>
    </row>
    <row r="124" spans="1:32" ht="15" customHeight="1">
      <c r="A124" s="7" t="s">
        <v>653</v>
      </c>
      <c r="B124" s="16" t="s">
        <v>610</v>
      </c>
      <c r="C124" s="17">
        <f>'AEO 2023 Table 47 Raw'!F108</f>
        <v>83.549149</v>
      </c>
      <c r="D124" s="17">
        <f>'AEO 2023 Table 47 Raw'!G108</f>
        <v>121.20388</v>
      </c>
      <c r="E124" s="17">
        <f>'AEO 2023 Table 47 Raw'!H108</f>
        <v>149.299881</v>
      </c>
      <c r="F124" s="17">
        <f>'AEO 2023 Table 47 Raw'!I108</f>
        <v>168.68980400000001</v>
      </c>
      <c r="G124" s="17">
        <f>'AEO 2023 Table 47 Raw'!J108</f>
        <v>185.26075700000001</v>
      </c>
      <c r="H124" s="17">
        <f>'AEO 2023 Table 47 Raw'!K108</f>
        <v>196.63462799999999</v>
      </c>
      <c r="I124" s="17">
        <f>'AEO 2023 Table 47 Raw'!L108</f>
        <v>207.11045799999999</v>
      </c>
      <c r="J124" s="17">
        <f>'AEO 2023 Table 47 Raw'!M108</f>
        <v>213.33717300000001</v>
      </c>
      <c r="K124" s="17">
        <f>'AEO 2023 Table 47 Raw'!N108</f>
        <v>219.69072</v>
      </c>
      <c r="L124" s="17">
        <f>'AEO 2023 Table 47 Raw'!O108</f>
        <v>226.14747600000001</v>
      </c>
      <c r="M124" s="17">
        <f>'AEO 2023 Table 47 Raw'!P108</f>
        <v>232.66215500000001</v>
      </c>
      <c r="N124" s="17">
        <f>'AEO 2023 Table 47 Raw'!Q108</f>
        <v>239.25929300000001</v>
      </c>
      <c r="O124" s="17">
        <f>'AEO 2023 Table 47 Raw'!R108</f>
        <v>245.94813500000001</v>
      </c>
      <c r="P124" s="17">
        <f>'AEO 2023 Table 47 Raw'!S108</f>
        <v>252.61059599999999</v>
      </c>
      <c r="Q124" s="17">
        <f>'AEO 2023 Table 47 Raw'!T108</f>
        <v>259.33639499999998</v>
      </c>
      <c r="R124" s="17">
        <f>'AEO 2023 Table 47 Raw'!U108</f>
        <v>266.22772200000003</v>
      </c>
      <c r="S124" s="17">
        <f>'AEO 2023 Table 47 Raw'!V108</f>
        <v>273.25830100000002</v>
      </c>
      <c r="T124" s="17">
        <f>'AEO 2023 Table 47 Raw'!W108</f>
        <v>280.35229500000003</v>
      </c>
      <c r="U124" s="17">
        <f>'AEO 2023 Table 47 Raw'!X108</f>
        <v>287.51351899999997</v>
      </c>
      <c r="V124" s="17">
        <f>'AEO 2023 Table 47 Raw'!Y108</f>
        <v>294.79525799999999</v>
      </c>
      <c r="W124" s="17">
        <f>'AEO 2023 Table 47 Raw'!Z108</f>
        <v>302.209137</v>
      </c>
      <c r="X124" s="17">
        <f>'AEO 2023 Table 47 Raw'!AA108</f>
        <v>309.75473</v>
      </c>
      <c r="Y124" s="17">
        <f>'AEO 2023 Table 47 Raw'!AB108</f>
        <v>317.43218999999999</v>
      </c>
      <c r="Z124" s="17">
        <f>'AEO 2023 Table 47 Raw'!AC108</f>
        <v>325.23773199999999</v>
      </c>
      <c r="AA124" s="17">
        <f>'AEO 2023 Table 47 Raw'!AD108</f>
        <v>333.16507000000001</v>
      </c>
      <c r="AB124" s="17">
        <f>'AEO 2023 Table 47 Raw'!AE108</f>
        <v>341.21582000000001</v>
      </c>
      <c r="AC124" s="17">
        <f>'AEO 2023 Table 47 Raw'!AF108</f>
        <v>349.41198700000001</v>
      </c>
      <c r="AD124" s="17">
        <f>'AEO 2023 Table 47 Raw'!AG108</f>
        <v>357.75805700000001</v>
      </c>
      <c r="AE124" s="17">
        <f>'AEO 2023 Table 47 Raw'!AH108</f>
        <v>366.25451700000002</v>
      </c>
      <c r="AF124" s="30">
        <f>'AEO 2023 Table 47 Raw'!AI108</f>
        <v>5.3999999999999999E-2</v>
      </c>
    </row>
    <row r="125" spans="1:32" ht="15" customHeight="1">
      <c r="A125" s="7" t="s">
        <v>654</v>
      </c>
      <c r="B125" s="16" t="s">
        <v>618</v>
      </c>
      <c r="C125" s="17">
        <f>'AEO 2023 Table 47 Raw'!F109</f>
        <v>36.610782999999998</v>
      </c>
      <c r="D125" s="17">
        <f>'AEO 2023 Table 47 Raw'!G109</f>
        <v>49.266624</v>
      </c>
      <c r="E125" s="17">
        <f>'AEO 2023 Table 47 Raw'!H109</f>
        <v>55.787475999999998</v>
      </c>
      <c r="F125" s="17">
        <f>'AEO 2023 Table 47 Raw'!I109</f>
        <v>59.812798000000001</v>
      </c>
      <c r="G125" s="17">
        <f>'AEO 2023 Table 47 Raw'!J109</f>
        <v>62.062618000000001</v>
      </c>
      <c r="H125" s="17">
        <f>'AEO 2023 Table 47 Raw'!K109</f>
        <v>64.106048999999999</v>
      </c>
      <c r="I125" s="17">
        <f>'AEO 2023 Table 47 Raw'!L109</f>
        <v>66.122321999999997</v>
      </c>
      <c r="J125" s="17">
        <f>'AEO 2023 Table 47 Raw'!M109</f>
        <v>67.978454999999997</v>
      </c>
      <c r="K125" s="17">
        <f>'AEO 2023 Table 47 Raw'!N109</f>
        <v>69.866577000000007</v>
      </c>
      <c r="L125" s="17">
        <f>'AEO 2023 Table 47 Raw'!O109</f>
        <v>71.771736000000004</v>
      </c>
      <c r="M125" s="17">
        <f>'AEO 2023 Table 47 Raw'!P109</f>
        <v>73.667175</v>
      </c>
      <c r="N125" s="17">
        <f>'AEO 2023 Table 47 Raw'!Q109</f>
        <v>75.565291999999999</v>
      </c>
      <c r="O125" s="17">
        <f>'AEO 2023 Table 47 Raw'!R109</f>
        <v>77.469703999999993</v>
      </c>
      <c r="P125" s="17">
        <f>'AEO 2023 Table 47 Raw'!S109</f>
        <v>79.310828999999998</v>
      </c>
      <c r="Q125" s="17">
        <f>'AEO 2023 Table 47 Raw'!T109</f>
        <v>81.138930999999999</v>
      </c>
      <c r="R125" s="17">
        <f>'AEO 2023 Table 47 Raw'!U109</f>
        <v>83.011398</v>
      </c>
      <c r="S125" s="17">
        <f>'AEO 2023 Table 47 Raw'!V109</f>
        <v>84.911300999999995</v>
      </c>
      <c r="T125" s="17">
        <f>'AEO 2023 Table 47 Raw'!W109</f>
        <v>86.794128000000001</v>
      </c>
      <c r="U125" s="17">
        <f>'AEO 2023 Table 47 Raw'!X109</f>
        <v>88.660561000000001</v>
      </c>
      <c r="V125" s="17">
        <f>'AEO 2023 Table 47 Raw'!Y109</f>
        <v>90.540947000000003</v>
      </c>
      <c r="W125" s="17">
        <f>'AEO 2023 Table 47 Raw'!Z109</f>
        <v>92.441147000000001</v>
      </c>
      <c r="X125" s="17">
        <f>'AEO 2023 Table 47 Raw'!AA109</f>
        <v>94.360625999999996</v>
      </c>
      <c r="Y125" s="17">
        <f>'AEO 2023 Table 47 Raw'!AB109</f>
        <v>96.298569000000001</v>
      </c>
      <c r="Z125" s="17">
        <f>'AEO 2023 Table 47 Raw'!AC109</f>
        <v>98.252655000000004</v>
      </c>
      <c r="AA125" s="17">
        <f>'AEO 2023 Table 47 Raw'!AD109</f>
        <v>100.218834</v>
      </c>
      <c r="AB125" s="17">
        <f>'AEO 2023 Table 47 Raw'!AE109</f>
        <v>102.197517</v>
      </c>
      <c r="AC125" s="17">
        <f>'AEO 2023 Table 47 Raw'!AF109</f>
        <v>104.200531</v>
      </c>
      <c r="AD125" s="17">
        <f>'AEO 2023 Table 47 Raw'!AG109</f>
        <v>106.229347</v>
      </c>
      <c r="AE125" s="17">
        <f>'AEO 2023 Table 47 Raw'!AH109</f>
        <v>108.28325700000001</v>
      </c>
      <c r="AF125" s="30">
        <f>'AEO 2023 Table 47 Raw'!AI109</f>
        <v>3.9E-2</v>
      </c>
    </row>
    <row r="126" spans="1:32" ht="15" customHeight="1">
      <c r="A126" s="7" t="s">
        <v>655</v>
      </c>
      <c r="B126" s="16" t="s">
        <v>606</v>
      </c>
      <c r="C126" s="17">
        <f>'AEO 2023 Table 47 Raw'!F110</f>
        <v>42.035438999999997</v>
      </c>
      <c r="D126" s="17">
        <f>'AEO 2023 Table 47 Raw'!G110</f>
        <v>65.305633999999998</v>
      </c>
      <c r="E126" s="17">
        <f>'AEO 2023 Table 47 Raw'!H110</f>
        <v>85.952704999999995</v>
      </c>
      <c r="F126" s="17">
        <f>'AEO 2023 Table 47 Raw'!I110</f>
        <v>100.826874</v>
      </c>
      <c r="G126" s="17">
        <f>'AEO 2023 Table 47 Raw'!J110</f>
        <v>114.9105</v>
      </c>
      <c r="H126" s="17">
        <f>'AEO 2023 Table 47 Raw'!K110</f>
        <v>124.001762</v>
      </c>
      <c r="I126" s="17">
        <f>'AEO 2023 Table 47 Raw'!L110</f>
        <v>132.22051999999999</v>
      </c>
      <c r="J126" s="17">
        <f>'AEO 2023 Table 47 Raw'!M110</f>
        <v>136.34762599999999</v>
      </c>
      <c r="K126" s="17">
        <f>'AEO 2023 Table 47 Raw'!N110</f>
        <v>140.56552099999999</v>
      </c>
      <c r="L126" s="17">
        <f>'AEO 2023 Table 47 Raw'!O110</f>
        <v>144.867615</v>
      </c>
      <c r="M126" s="17">
        <f>'AEO 2023 Table 47 Raw'!P110</f>
        <v>149.23921200000001</v>
      </c>
      <c r="N126" s="17">
        <f>'AEO 2023 Table 47 Raw'!Q110</f>
        <v>153.69073499999999</v>
      </c>
      <c r="O126" s="17">
        <f>'AEO 2023 Table 47 Raw'!R110</f>
        <v>158.22726399999999</v>
      </c>
      <c r="P126" s="17">
        <f>'AEO 2023 Table 47 Raw'!S110</f>
        <v>162.81016500000001</v>
      </c>
      <c r="Q126" s="17">
        <f>'AEO 2023 Table 47 Raw'!T110</f>
        <v>167.47184799999999</v>
      </c>
      <c r="R126" s="17">
        <f>'AEO 2023 Table 47 Raw'!U110</f>
        <v>172.249008</v>
      </c>
      <c r="S126" s="17">
        <f>'AEO 2023 Table 47 Raw'!V110</f>
        <v>177.13464400000001</v>
      </c>
      <c r="T126" s="17">
        <f>'AEO 2023 Table 47 Raw'!W110</f>
        <v>182.10375999999999</v>
      </c>
      <c r="U126" s="17">
        <f>'AEO 2023 Table 47 Raw'!X110</f>
        <v>187.15948499999999</v>
      </c>
      <c r="V126" s="17">
        <f>'AEO 2023 Table 47 Raw'!Y110</f>
        <v>192.320404</v>
      </c>
      <c r="W126" s="17">
        <f>'AEO 2023 Table 47 Raw'!Z110</f>
        <v>197.591431</v>
      </c>
      <c r="X126" s="17">
        <f>'AEO 2023 Table 47 Raw'!AA110</f>
        <v>202.97283899999999</v>
      </c>
      <c r="Y126" s="17">
        <f>'AEO 2023 Table 47 Raw'!AB110</f>
        <v>208.46565200000001</v>
      </c>
      <c r="Z126" s="17">
        <f>'AEO 2023 Table 47 Raw'!AC110</f>
        <v>214.06880200000001</v>
      </c>
      <c r="AA126" s="17">
        <f>'AEO 2023 Table 47 Raw'!AD110</f>
        <v>219.78054800000001</v>
      </c>
      <c r="AB126" s="17">
        <f>'AEO 2023 Table 47 Raw'!AE110</f>
        <v>225.60205099999999</v>
      </c>
      <c r="AC126" s="17">
        <f>'AEO 2023 Table 47 Raw'!AF110</f>
        <v>231.54188500000001</v>
      </c>
      <c r="AD126" s="17">
        <f>'AEO 2023 Table 47 Raw'!AG110</f>
        <v>237.602844</v>
      </c>
      <c r="AE126" s="17">
        <f>'AEO 2023 Table 47 Raw'!AH110</f>
        <v>243.78623999999999</v>
      </c>
      <c r="AF126" s="30">
        <f>'AEO 2023 Table 47 Raw'!AI110</f>
        <v>6.5000000000000002E-2</v>
      </c>
    </row>
    <row r="127" spans="1:32" ht="15" customHeight="1">
      <c r="A127" s="7" t="s">
        <v>656</v>
      </c>
      <c r="B127" s="16" t="s">
        <v>608</v>
      </c>
      <c r="C127" s="17">
        <f>'AEO 2023 Table 47 Raw'!F111</f>
        <v>4.9029309999999997</v>
      </c>
      <c r="D127" s="17">
        <f>'AEO 2023 Table 47 Raw'!G111</f>
        <v>6.6316170000000003</v>
      </c>
      <c r="E127" s="17">
        <f>'AEO 2023 Table 47 Raw'!H111</f>
        <v>7.559685</v>
      </c>
      <c r="F127" s="17">
        <f>'AEO 2023 Table 47 Raw'!I111</f>
        <v>8.050122</v>
      </c>
      <c r="G127" s="17">
        <f>'AEO 2023 Table 47 Raw'!J111</f>
        <v>8.2876220000000007</v>
      </c>
      <c r="H127" s="17">
        <f>'AEO 2023 Table 47 Raw'!K111</f>
        <v>8.5268130000000006</v>
      </c>
      <c r="I127" s="17">
        <f>'AEO 2023 Table 47 Raw'!L111</f>
        <v>8.7675959999999993</v>
      </c>
      <c r="J127" s="17">
        <f>'AEO 2023 Table 47 Raw'!M111</f>
        <v>9.0110759999999992</v>
      </c>
      <c r="K127" s="17">
        <f>'AEO 2023 Table 47 Raw'!N111</f>
        <v>9.2586300000000001</v>
      </c>
      <c r="L127" s="17">
        <f>'AEO 2023 Table 47 Raw'!O111</f>
        <v>9.5081220000000002</v>
      </c>
      <c r="M127" s="17">
        <f>'AEO 2023 Table 47 Raw'!P111</f>
        <v>9.7557609999999997</v>
      </c>
      <c r="N127" s="17">
        <f>'AEO 2023 Table 47 Raw'!Q111</f>
        <v>10.003282</v>
      </c>
      <c r="O127" s="17">
        <f>'AEO 2023 Table 47 Raw'!R111</f>
        <v>10.25118</v>
      </c>
      <c r="P127" s="17">
        <f>'AEO 2023 Table 47 Raw'!S111</f>
        <v>10.489587</v>
      </c>
      <c r="Q127" s="17">
        <f>'AEO 2023 Table 47 Raw'!T111</f>
        <v>10.725602</v>
      </c>
      <c r="R127" s="17">
        <f>'AEO 2023 Table 47 Raw'!U111</f>
        <v>10.967332000000001</v>
      </c>
      <c r="S127" s="17">
        <f>'AEO 2023 Table 47 Raw'!V111</f>
        <v>11.212358</v>
      </c>
      <c r="T127" s="17">
        <f>'AEO 2023 Table 47 Raw'!W111</f>
        <v>11.454371999999999</v>
      </c>
      <c r="U127" s="17">
        <f>'AEO 2023 Table 47 Raw'!X111</f>
        <v>11.693458</v>
      </c>
      <c r="V127" s="17">
        <f>'AEO 2023 Table 47 Raw'!Y111</f>
        <v>11.933901000000001</v>
      </c>
      <c r="W127" s="17">
        <f>'AEO 2023 Table 47 Raw'!Z111</f>
        <v>12.176525</v>
      </c>
      <c r="X127" s="17">
        <f>'AEO 2023 Table 47 Raw'!AA111</f>
        <v>12.421250000000001</v>
      </c>
      <c r="Y127" s="17">
        <f>'AEO 2023 Table 47 Raw'!AB111</f>
        <v>12.667951</v>
      </c>
      <c r="Z127" s="17">
        <f>'AEO 2023 Table 47 Raw'!AC111</f>
        <v>12.916296000000001</v>
      </c>
      <c r="AA127" s="17">
        <f>'AEO 2023 Table 47 Raw'!AD111</f>
        <v>13.165709</v>
      </c>
      <c r="AB127" s="17">
        <f>'AEO 2023 Table 47 Raw'!AE111</f>
        <v>13.416244000000001</v>
      </c>
      <c r="AC127" s="17">
        <f>'AEO 2023 Table 47 Raw'!AF111</f>
        <v>13.669560000000001</v>
      </c>
      <c r="AD127" s="17">
        <f>'AEO 2023 Table 47 Raw'!AG111</f>
        <v>13.925858</v>
      </c>
      <c r="AE127" s="17">
        <f>'AEO 2023 Table 47 Raw'!AH111</f>
        <v>14.185025</v>
      </c>
      <c r="AF127" s="30">
        <f>'AEO 2023 Table 47 Raw'!AI111</f>
        <v>3.9E-2</v>
      </c>
    </row>
    <row r="128" spans="1:32" ht="12" customHeight="1">
      <c r="A128" s="7" t="s">
        <v>657</v>
      </c>
      <c r="B128" s="16" t="s">
        <v>610</v>
      </c>
      <c r="C128" s="17">
        <f>'AEO 2023 Table 47 Raw'!F112</f>
        <v>47.442936000000003</v>
      </c>
      <c r="D128" s="17">
        <f>'AEO 2023 Table 47 Raw'!G112</f>
        <v>63.984814</v>
      </c>
      <c r="E128" s="17">
        <f>'AEO 2023 Table 47 Raw'!H112</f>
        <v>76.679648999999998</v>
      </c>
      <c r="F128" s="17">
        <f>'AEO 2023 Table 47 Raw'!I112</f>
        <v>84.804374999999993</v>
      </c>
      <c r="G128" s="17">
        <f>'AEO 2023 Table 47 Raw'!J112</f>
        <v>96.071860999999998</v>
      </c>
      <c r="H128" s="17">
        <f>'AEO 2023 Table 47 Raw'!K112</f>
        <v>103.20470400000001</v>
      </c>
      <c r="I128" s="17">
        <f>'AEO 2023 Table 47 Raw'!L112</f>
        <v>109.64166299999999</v>
      </c>
      <c r="J128" s="17">
        <f>'AEO 2023 Table 47 Raw'!M112</f>
        <v>113.054253</v>
      </c>
      <c r="K128" s="17">
        <f>'AEO 2023 Table 47 Raw'!N112</f>
        <v>116.271835</v>
      </c>
      <c r="L128" s="17">
        <f>'AEO 2023 Table 47 Raw'!O112</f>
        <v>118.54128300000001</v>
      </c>
      <c r="M128" s="17">
        <f>'AEO 2023 Table 47 Raw'!P112</f>
        <v>119.45050000000001</v>
      </c>
      <c r="N128" s="17">
        <f>'AEO 2023 Table 47 Raw'!Q112</f>
        <v>120.097984</v>
      </c>
      <c r="O128" s="17">
        <f>'AEO 2023 Table 47 Raw'!R112</f>
        <v>120.730469</v>
      </c>
      <c r="P128" s="17">
        <f>'AEO 2023 Table 47 Raw'!S112</f>
        <v>121.325287</v>
      </c>
      <c r="Q128" s="17">
        <f>'AEO 2023 Table 47 Raw'!T112</f>
        <v>121.94425200000001</v>
      </c>
      <c r="R128" s="17">
        <f>'AEO 2023 Table 47 Raw'!U112</f>
        <v>122.356194</v>
      </c>
      <c r="S128" s="17">
        <f>'AEO 2023 Table 47 Raw'!V112</f>
        <v>122.580017</v>
      </c>
      <c r="T128" s="17">
        <f>'AEO 2023 Table 47 Raw'!W112</f>
        <v>122.83268700000001</v>
      </c>
      <c r="U128" s="17">
        <f>'AEO 2023 Table 47 Raw'!X112</f>
        <v>123.255264</v>
      </c>
      <c r="V128" s="17">
        <f>'AEO 2023 Table 47 Raw'!Y112</f>
        <v>123.997055</v>
      </c>
      <c r="W128" s="17">
        <f>'AEO 2023 Table 47 Raw'!Z112</f>
        <v>125.002296</v>
      </c>
      <c r="X128" s="17">
        <f>'AEO 2023 Table 47 Raw'!AA112</f>
        <v>126.128738</v>
      </c>
      <c r="Y128" s="17">
        <f>'AEO 2023 Table 47 Raw'!AB112</f>
        <v>127.33571600000001</v>
      </c>
      <c r="Z128" s="17">
        <f>'AEO 2023 Table 47 Raw'!AC112</f>
        <v>128.549927</v>
      </c>
      <c r="AA128" s="17">
        <f>'AEO 2023 Table 47 Raw'!AD112</f>
        <v>129.68714900000001</v>
      </c>
      <c r="AB128" s="17">
        <f>'AEO 2023 Table 47 Raw'!AE112</f>
        <v>130.74594099999999</v>
      </c>
      <c r="AC128" s="17">
        <f>'AEO 2023 Table 47 Raw'!AF112</f>
        <v>131.83163500000001</v>
      </c>
      <c r="AD128" s="17">
        <f>'AEO 2023 Table 47 Raw'!AG112</f>
        <v>133.03767400000001</v>
      </c>
      <c r="AE128" s="17">
        <f>'AEO 2023 Table 47 Raw'!AH112</f>
        <v>134.431183</v>
      </c>
      <c r="AF128" s="30">
        <f>'AEO 2023 Table 47 Raw'!AI112</f>
        <v>3.7999999999999999E-2</v>
      </c>
    </row>
    <row r="129" spans="1:32" ht="12" customHeight="1">
      <c r="A129" s="7" t="s">
        <v>658</v>
      </c>
      <c r="B129" s="16" t="s">
        <v>620</v>
      </c>
      <c r="C129" s="17">
        <f>'AEO 2023 Table 47 Raw'!F113</f>
        <v>18.514890999999999</v>
      </c>
      <c r="D129" s="17">
        <f>'AEO 2023 Table 47 Raw'!G113</f>
        <v>23.544308000000001</v>
      </c>
      <c r="E129" s="17">
        <f>'AEO 2023 Table 47 Raw'!H113</f>
        <v>27.278258999999998</v>
      </c>
      <c r="F129" s="17">
        <f>'AEO 2023 Table 47 Raw'!I113</f>
        <v>29.958317000000001</v>
      </c>
      <c r="G129" s="17">
        <f>'AEO 2023 Table 47 Raw'!J113</f>
        <v>33.320217</v>
      </c>
      <c r="H129" s="17">
        <f>'AEO 2023 Table 47 Raw'!K113</f>
        <v>35.412486999999999</v>
      </c>
      <c r="I129" s="17">
        <f>'AEO 2023 Table 47 Raw'!L113</f>
        <v>37.304820999999997</v>
      </c>
      <c r="J129" s="17">
        <f>'AEO 2023 Table 47 Raw'!M113</f>
        <v>38.347121999999999</v>
      </c>
      <c r="K129" s="17">
        <f>'AEO 2023 Table 47 Raw'!N113</f>
        <v>39.329655000000002</v>
      </c>
      <c r="L129" s="17">
        <f>'AEO 2023 Table 47 Raw'!O113</f>
        <v>40.027821000000003</v>
      </c>
      <c r="M129" s="17">
        <f>'AEO 2023 Table 47 Raw'!P113</f>
        <v>40.319026999999998</v>
      </c>
      <c r="N129" s="17">
        <f>'AEO 2023 Table 47 Raw'!Q113</f>
        <v>40.531295999999998</v>
      </c>
      <c r="O129" s="17">
        <f>'AEO 2023 Table 47 Raw'!R113</f>
        <v>40.737929999999999</v>
      </c>
      <c r="P129" s="17">
        <f>'AEO 2023 Table 47 Raw'!S113</f>
        <v>40.931778000000001</v>
      </c>
      <c r="Q129" s="17">
        <f>'AEO 2023 Table 47 Raw'!T113</f>
        <v>41.131241000000003</v>
      </c>
      <c r="R129" s="17">
        <f>'AEO 2023 Table 47 Raw'!U113</f>
        <v>41.267432999999997</v>
      </c>
      <c r="S129" s="17">
        <f>'AEO 2023 Table 47 Raw'!V113</f>
        <v>41.346015999999999</v>
      </c>
      <c r="T129" s="17">
        <f>'AEO 2023 Table 47 Raw'!W113</f>
        <v>41.431797000000003</v>
      </c>
      <c r="U129" s="17">
        <f>'AEO 2023 Table 47 Raw'!X113</f>
        <v>41.566597000000002</v>
      </c>
      <c r="V129" s="17">
        <f>'AEO 2023 Table 47 Raw'!Y113</f>
        <v>41.795025000000003</v>
      </c>
      <c r="W129" s="17">
        <f>'AEO 2023 Table 47 Raw'!Z113</f>
        <v>42.100310999999998</v>
      </c>
      <c r="X129" s="17">
        <f>'AEO 2023 Table 47 Raw'!AA113</f>
        <v>42.440052000000001</v>
      </c>
      <c r="Y129" s="17">
        <f>'AEO 2023 Table 47 Raw'!AB113</f>
        <v>42.802154999999999</v>
      </c>
      <c r="Z129" s="17">
        <f>'AEO 2023 Table 47 Raw'!AC113</f>
        <v>43.164817999999997</v>
      </c>
      <c r="AA129" s="17">
        <f>'AEO 2023 Table 47 Raw'!AD113</f>
        <v>43.502853000000002</v>
      </c>
      <c r="AB129" s="17">
        <f>'AEO 2023 Table 47 Raw'!AE113</f>
        <v>43.815761999999999</v>
      </c>
      <c r="AC129" s="17">
        <f>'AEO 2023 Table 47 Raw'!AF113</f>
        <v>44.134929999999997</v>
      </c>
      <c r="AD129" s="17">
        <f>'AEO 2023 Table 47 Raw'!AG113</f>
        <v>44.488182000000002</v>
      </c>
      <c r="AE129" s="17">
        <f>'AEO 2023 Table 47 Raw'!AH113</f>
        <v>44.895415999999997</v>
      </c>
      <c r="AF129" s="30">
        <f>'AEO 2023 Table 47 Raw'!AI113</f>
        <v>3.2000000000000001E-2</v>
      </c>
    </row>
    <row r="130" spans="1:32" ht="12" customHeight="1">
      <c r="A130" s="7" t="s">
        <v>659</v>
      </c>
      <c r="B130" s="16" t="s">
        <v>606</v>
      </c>
      <c r="C130" s="17">
        <f>'AEO 2023 Table 47 Raw'!F114</f>
        <v>28.078714000000002</v>
      </c>
      <c r="D130" s="17">
        <f>'AEO 2023 Table 47 Raw'!G114</f>
        <v>39.546764000000003</v>
      </c>
      <c r="E130" s="17">
        <f>'AEO 2023 Table 47 Raw'!H114</f>
        <v>48.440437000000003</v>
      </c>
      <c r="F130" s="17">
        <f>'AEO 2023 Table 47 Raw'!I114</f>
        <v>53.814338999999997</v>
      </c>
      <c r="G130" s="17">
        <f>'AEO 2023 Table 47 Raw'!J114</f>
        <v>61.674225</v>
      </c>
      <c r="H130" s="17">
        <f>'AEO 2023 Table 47 Raw'!K114</f>
        <v>66.691176999999996</v>
      </c>
      <c r="I130" s="17">
        <f>'AEO 2023 Table 47 Raw'!L114</f>
        <v>71.213875000000002</v>
      </c>
      <c r="J130" s="17">
        <f>'AEO 2023 Table 47 Raw'!M114</f>
        <v>73.566772</v>
      </c>
      <c r="K130" s="17">
        <f>'AEO 2023 Table 47 Raw'!N114</f>
        <v>75.785445999999993</v>
      </c>
      <c r="L130" s="17">
        <f>'AEO 2023 Table 47 Raw'!O114</f>
        <v>77.344414</v>
      </c>
      <c r="M130" s="17">
        <f>'AEO 2023 Table 47 Raw'!P114</f>
        <v>77.955794999999995</v>
      </c>
      <c r="N130" s="17">
        <f>'AEO 2023 Table 47 Raw'!Q114</f>
        <v>78.385551000000007</v>
      </c>
      <c r="O130" s="17">
        <f>'AEO 2023 Table 47 Raw'!R114</f>
        <v>78.806213</v>
      </c>
      <c r="P130" s="17">
        <f>'AEO 2023 Table 47 Raw'!S114</f>
        <v>79.202354</v>
      </c>
      <c r="Q130" s="17">
        <f>'AEO 2023 Table 47 Raw'!T114</f>
        <v>79.617142000000001</v>
      </c>
      <c r="R130" s="17">
        <f>'AEO 2023 Table 47 Raw'!U114</f>
        <v>79.889267000000004</v>
      </c>
      <c r="S130" s="17">
        <f>'AEO 2023 Table 47 Raw'!V114</f>
        <v>80.031859999999995</v>
      </c>
      <c r="T130" s="17">
        <f>'AEO 2023 Table 47 Raw'!W114</f>
        <v>80.196190000000001</v>
      </c>
      <c r="U130" s="17">
        <f>'AEO 2023 Table 47 Raw'!X114</f>
        <v>80.480971999999994</v>
      </c>
      <c r="V130" s="17">
        <f>'AEO 2023 Table 47 Raw'!Y114</f>
        <v>80.990279999999998</v>
      </c>
      <c r="W130" s="17">
        <f>'AEO 2023 Table 47 Raw'!Z114</f>
        <v>81.685349000000002</v>
      </c>
      <c r="X130" s="17">
        <f>'AEO 2023 Table 47 Raw'!AA114</f>
        <v>82.466942000000003</v>
      </c>
      <c r="Y130" s="17">
        <f>'AEO 2023 Table 47 Raw'!AB114</f>
        <v>83.306633000000005</v>
      </c>
      <c r="Z130" s="17">
        <f>'AEO 2023 Table 47 Raw'!AC114</f>
        <v>84.153221000000002</v>
      </c>
      <c r="AA130" s="17">
        <f>'AEO 2023 Table 47 Raw'!AD114</f>
        <v>84.947968000000003</v>
      </c>
      <c r="AB130" s="17">
        <f>'AEO 2023 Table 47 Raw'!AE114</f>
        <v>85.690010000000001</v>
      </c>
      <c r="AC130" s="17">
        <f>'AEO 2023 Table 47 Raw'!AF114</f>
        <v>86.452820000000003</v>
      </c>
      <c r="AD130" s="17">
        <f>'AEO 2023 Table 47 Raw'!AG114</f>
        <v>87.301688999999996</v>
      </c>
      <c r="AE130" s="17">
        <f>'AEO 2023 Table 47 Raw'!AH114</f>
        <v>88.283600000000007</v>
      </c>
      <c r="AF130" s="30">
        <f>'AEO 2023 Table 47 Raw'!AI114</f>
        <v>4.2000000000000003E-2</v>
      </c>
    </row>
    <row r="131" spans="1:32" ht="12" customHeight="1">
      <c r="A131" s="7" t="s">
        <v>660</v>
      </c>
      <c r="B131" s="16" t="s">
        <v>608</v>
      </c>
      <c r="C131" s="17">
        <f>'AEO 2023 Table 47 Raw'!F115</f>
        <v>0.84932799999999997</v>
      </c>
      <c r="D131" s="17">
        <f>'AEO 2023 Table 47 Raw'!G115</f>
        <v>0.89373599999999997</v>
      </c>
      <c r="E131" s="17">
        <f>'AEO 2023 Table 47 Raw'!H115</f>
        <v>0.960955</v>
      </c>
      <c r="F131" s="17">
        <f>'AEO 2023 Table 47 Raw'!I115</f>
        <v>1.031712</v>
      </c>
      <c r="G131" s="17">
        <f>'AEO 2023 Table 47 Raw'!J115</f>
        <v>1.077413</v>
      </c>
      <c r="H131" s="17">
        <f>'AEO 2023 Table 47 Raw'!K115</f>
        <v>1.10103</v>
      </c>
      <c r="I131" s="17">
        <f>'AEO 2023 Table 47 Raw'!L115</f>
        <v>1.1229610000000001</v>
      </c>
      <c r="J131" s="17">
        <f>'AEO 2023 Table 47 Raw'!M115</f>
        <v>1.14036</v>
      </c>
      <c r="K131" s="17">
        <f>'AEO 2023 Table 47 Raw'!N115</f>
        <v>1.1567350000000001</v>
      </c>
      <c r="L131" s="17">
        <f>'AEO 2023 Table 47 Raw'!O115</f>
        <v>1.169046</v>
      </c>
      <c r="M131" s="17">
        <f>'AEO 2023 Table 47 Raw'!P115</f>
        <v>1.1756770000000001</v>
      </c>
      <c r="N131" s="17">
        <f>'AEO 2023 Table 47 Raw'!Q115</f>
        <v>1.1811229999999999</v>
      </c>
      <c r="O131" s="17">
        <f>'AEO 2023 Table 47 Raw'!R115</f>
        <v>1.186334</v>
      </c>
      <c r="P131" s="17">
        <f>'AEO 2023 Table 47 Raw'!S115</f>
        <v>1.1911659999999999</v>
      </c>
      <c r="Q131" s="17">
        <f>'AEO 2023 Table 47 Raw'!T115</f>
        <v>1.1958610000000001</v>
      </c>
      <c r="R131" s="17">
        <f>'AEO 2023 Table 47 Raw'!U115</f>
        <v>1.1994929999999999</v>
      </c>
      <c r="S131" s="17">
        <f>'AEO 2023 Table 47 Raw'!V115</f>
        <v>1.2021440000000001</v>
      </c>
      <c r="T131" s="17">
        <f>'AEO 2023 Table 47 Raw'!W115</f>
        <v>1.2047049999999999</v>
      </c>
      <c r="U131" s="17">
        <f>'AEO 2023 Table 47 Raw'!X115</f>
        <v>1.2077059999999999</v>
      </c>
      <c r="V131" s="17">
        <f>'AEO 2023 Table 47 Raw'!Y115</f>
        <v>1.2117629999999999</v>
      </c>
      <c r="W131" s="17">
        <f>'AEO 2023 Table 47 Raw'!Z115</f>
        <v>1.2166319999999999</v>
      </c>
      <c r="X131" s="17">
        <f>'AEO 2023 Table 47 Raw'!AA115</f>
        <v>1.221738</v>
      </c>
      <c r="Y131" s="17">
        <f>'AEO 2023 Table 47 Raw'!AB115</f>
        <v>1.226926</v>
      </c>
      <c r="Z131" s="17">
        <f>'AEO 2023 Table 47 Raw'!AC115</f>
        <v>1.231905</v>
      </c>
      <c r="AA131" s="17">
        <f>'AEO 2023 Table 47 Raw'!AD115</f>
        <v>1.2363299999999999</v>
      </c>
      <c r="AB131" s="17">
        <f>'AEO 2023 Table 47 Raw'!AE115</f>
        <v>1.2401800000000001</v>
      </c>
      <c r="AC131" s="17">
        <f>'AEO 2023 Table 47 Raw'!AF115</f>
        <v>1.243879</v>
      </c>
      <c r="AD131" s="17">
        <f>'AEO 2023 Table 47 Raw'!AG115</f>
        <v>1.247797</v>
      </c>
      <c r="AE131" s="17">
        <f>'AEO 2023 Table 47 Raw'!AH115</f>
        <v>1.2521850000000001</v>
      </c>
      <c r="AF131" s="30">
        <f>'AEO 2023 Table 47 Raw'!AI115</f>
        <v>1.4E-2</v>
      </c>
    </row>
    <row r="132" spans="1:32" ht="12" customHeight="1">
      <c r="A132" s="7" t="s">
        <v>661</v>
      </c>
      <c r="B132" s="16" t="s">
        <v>610</v>
      </c>
      <c r="C132" s="17">
        <f>'AEO 2023 Table 47 Raw'!F116</f>
        <v>142.31442300000001</v>
      </c>
      <c r="D132" s="17">
        <f>'AEO 2023 Table 47 Raw'!G116</f>
        <v>151.89007599999999</v>
      </c>
      <c r="E132" s="17">
        <f>'AEO 2023 Table 47 Raw'!H116</f>
        <v>163.864655</v>
      </c>
      <c r="F132" s="17">
        <f>'AEO 2023 Table 47 Raw'!I116</f>
        <v>171.73625200000001</v>
      </c>
      <c r="G132" s="17">
        <f>'AEO 2023 Table 47 Raw'!J116</f>
        <v>178.46945199999999</v>
      </c>
      <c r="H132" s="17">
        <f>'AEO 2023 Table 47 Raw'!K116</f>
        <v>183.10032699999999</v>
      </c>
      <c r="I132" s="17">
        <f>'AEO 2023 Table 47 Raw'!L116</f>
        <v>186.982193</v>
      </c>
      <c r="J132" s="17">
        <f>'AEO 2023 Table 47 Raw'!M116</f>
        <v>189.93190000000001</v>
      </c>
      <c r="K132" s="17">
        <f>'AEO 2023 Table 47 Raw'!N116</f>
        <v>192.93220500000001</v>
      </c>
      <c r="L132" s="17">
        <f>'AEO 2023 Table 47 Raw'!O116</f>
        <v>196.037003</v>
      </c>
      <c r="M132" s="17">
        <f>'AEO 2023 Table 47 Raw'!P116</f>
        <v>199.21478300000001</v>
      </c>
      <c r="N132" s="17">
        <f>'AEO 2023 Table 47 Raw'!Q116</f>
        <v>202.44252</v>
      </c>
      <c r="O132" s="17">
        <f>'AEO 2023 Table 47 Raw'!R116</f>
        <v>205.73057600000001</v>
      </c>
      <c r="P132" s="17">
        <f>'AEO 2023 Table 47 Raw'!S116</f>
        <v>209.08891299999999</v>
      </c>
      <c r="Q132" s="17">
        <f>'AEO 2023 Table 47 Raw'!T116</f>
        <v>212.51480100000001</v>
      </c>
      <c r="R132" s="17">
        <f>'AEO 2023 Table 47 Raw'!U116</f>
        <v>216.002655</v>
      </c>
      <c r="S132" s="17">
        <f>'AEO 2023 Table 47 Raw'!V116</f>
        <v>219.55929599999999</v>
      </c>
      <c r="T132" s="17">
        <f>'AEO 2023 Table 47 Raw'!W116</f>
        <v>223.19146699999999</v>
      </c>
      <c r="U132" s="17">
        <f>'AEO 2023 Table 47 Raw'!X116</f>
        <v>226.899384</v>
      </c>
      <c r="V132" s="17">
        <f>'AEO 2023 Table 47 Raw'!Y116</f>
        <v>230.68907200000001</v>
      </c>
      <c r="W132" s="17">
        <f>'AEO 2023 Table 47 Raw'!Z116</f>
        <v>234.55947900000001</v>
      </c>
      <c r="X132" s="17">
        <f>'AEO 2023 Table 47 Raw'!AA116</f>
        <v>238.509064</v>
      </c>
      <c r="Y132" s="17">
        <f>'AEO 2023 Table 47 Raw'!AB116</f>
        <v>242.53810100000001</v>
      </c>
      <c r="Z132" s="17">
        <f>'AEO 2023 Table 47 Raw'!AC116</f>
        <v>246.64561499999999</v>
      </c>
      <c r="AA132" s="17">
        <f>'AEO 2023 Table 47 Raw'!AD116</f>
        <v>250.83862300000001</v>
      </c>
      <c r="AB132" s="17">
        <f>'AEO 2023 Table 47 Raw'!AE116</f>
        <v>255.11831699999999</v>
      </c>
      <c r="AC132" s="17">
        <f>'AEO 2023 Table 47 Raw'!AF116</f>
        <v>259.48089599999997</v>
      </c>
      <c r="AD132" s="17">
        <f>'AEO 2023 Table 47 Raw'!AG116</f>
        <v>263.92275999999998</v>
      </c>
      <c r="AE132" s="17">
        <f>'AEO 2023 Table 47 Raw'!AH116</f>
        <v>268.437927</v>
      </c>
      <c r="AF132" s="30">
        <f>'AEO 2023 Table 47 Raw'!AI116</f>
        <v>2.3E-2</v>
      </c>
    </row>
    <row r="133" spans="1:32" ht="12" customHeight="1">
      <c r="A133" s="7" t="s">
        <v>662</v>
      </c>
      <c r="B133" s="16" t="s">
        <v>622</v>
      </c>
      <c r="C133" s="17">
        <f>'AEO 2023 Table 47 Raw'!F117</f>
        <v>110.081108</v>
      </c>
      <c r="D133" s="17">
        <f>'AEO 2023 Table 47 Raw'!G117</f>
        <v>115.58123000000001</v>
      </c>
      <c r="E133" s="17">
        <f>'AEO 2023 Table 47 Raw'!H117</f>
        <v>122.967361</v>
      </c>
      <c r="F133" s="17">
        <f>'AEO 2023 Table 47 Raw'!I117</f>
        <v>127.819969</v>
      </c>
      <c r="G133" s="17">
        <f>'AEO 2023 Table 47 Raw'!J117</f>
        <v>132.20107999999999</v>
      </c>
      <c r="H133" s="17">
        <f>'AEO 2023 Table 47 Raw'!K117</f>
        <v>135.314087</v>
      </c>
      <c r="I133" s="17">
        <f>'AEO 2023 Table 47 Raw'!L117</f>
        <v>137.98341400000001</v>
      </c>
      <c r="J133" s="17">
        <f>'AEO 2023 Table 47 Raw'!M117</f>
        <v>140.101517</v>
      </c>
      <c r="K133" s="17">
        <f>'AEO 2023 Table 47 Raw'!N117</f>
        <v>142.25581399999999</v>
      </c>
      <c r="L133" s="17">
        <f>'AEO 2023 Table 47 Raw'!O117</f>
        <v>144.48762500000001</v>
      </c>
      <c r="M133" s="17">
        <f>'AEO 2023 Table 47 Raw'!P117</f>
        <v>146.77302599999999</v>
      </c>
      <c r="N133" s="17">
        <f>'AEO 2023 Table 47 Raw'!Q117</f>
        <v>149.094009</v>
      </c>
      <c r="O133" s="17">
        <f>'AEO 2023 Table 47 Raw'!R117</f>
        <v>151.45791600000001</v>
      </c>
      <c r="P133" s="17">
        <f>'AEO 2023 Table 47 Raw'!S117</f>
        <v>153.87184099999999</v>
      </c>
      <c r="Q133" s="17">
        <f>'AEO 2023 Table 47 Raw'!T117</f>
        <v>156.33377100000001</v>
      </c>
      <c r="R133" s="17">
        <f>'AEO 2023 Table 47 Raw'!U117</f>
        <v>158.83955399999999</v>
      </c>
      <c r="S133" s="17">
        <f>'AEO 2023 Table 47 Raw'!V117</f>
        <v>161.39404300000001</v>
      </c>
      <c r="T133" s="17">
        <f>'AEO 2023 Table 47 Raw'!W117</f>
        <v>164.00202899999999</v>
      </c>
      <c r="U133" s="17">
        <f>'AEO 2023 Table 47 Raw'!X117</f>
        <v>166.662949</v>
      </c>
      <c r="V133" s="17">
        <f>'AEO 2023 Table 47 Raw'!Y117</f>
        <v>169.381439</v>
      </c>
      <c r="W133" s="17">
        <f>'AEO 2023 Table 47 Raw'!Z117</f>
        <v>172.15664699999999</v>
      </c>
      <c r="X133" s="17">
        <f>'AEO 2023 Table 47 Raw'!AA117</f>
        <v>174.987381</v>
      </c>
      <c r="Y133" s="17">
        <f>'AEO 2023 Table 47 Raw'!AB117</f>
        <v>177.87385599999999</v>
      </c>
      <c r="Z133" s="17">
        <f>'AEO 2023 Table 47 Raw'!AC117</f>
        <v>180.81530799999999</v>
      </c>
      <c r="AA133" s="17">
        <f>'AEO 2023 Table 47 Raw'!AD117</f>
        <v>183.81668099999999</v>
      </c>
      <c r="AB133" s="17">
        <f>'AEO 2023 Table 47 Raw'!AE117</f>
        <v>186.878784</v>
      </c>
      <c r="AC133" s="17">
        <f>'AEO 2023 Table 47 Raw'!AF117</f>
        <v>189.99884</v>
      </c>
      <c r="AD133" s="17">
        <f>'AEO 2023 Table 47 Raw'!AG117</f>
        <v>193.17420999999999</v>
      </c>
      <c r="AE133" s="17">
        <f>'AEO 2023 Table 47 Raw'!AH117</f>
        <v>196.40057400000001</v>
      </c>
      <c r="AF133" s="30">
        <f>'AEO 2023 Table 47 Raw'!AI117</f>
        <v>2.1000000000000001E-2</v>
      </c>
    </row>
    <row r="134" spans="1:32" ht="12" customHeight="1">
      <c r="A134" s="7" t="s">
        <v>663</v>
      </c>
      <c r="B134" s="16" t="s">
        <v>606</v>
      </c>
      <c r="C134" s="17">
        <f>'AEO 2023 Table 47 Raw'!F118</f>
        <v>17.723891999999999</v>
      </c>
      <c r="D134" s="17">
        <f>'AEO 2023 Table 47 Raw'!G118</f>
        <v>21.558128</v>
      </c>
      <c r="E134" s="17">
        <f>'AEO 2023 Table 47 Raw'!H118</f>
        <v>25.640647999999999</v>
      </c>
      <c r="F134" s="17">
        <f>'AEO 2023 Table 47 Raw'!I118</f>
        <v>28.409416</v>
      </c>
      <c r="G134" s="17">
        <f>'AEO 2023 Table 47 Raw'!J118</f>
        <v>30.442050999999999</v>
      </c>
      <c r="H134" s="17">
        <f>'AEO 2023 Table 47 Raw'!K118</f>
        <v>31.694476999999999</v>
      </c>
      <c r="I134" s="17">
        <f>'AEO 2023 Table 47 Raw'!L118</f>
        <v>32.657162</v>
      </c>
      <c r="J134" s="17">
        <f>'AEO 2023 Table 47 Raw'!M118</f>
        <v>33.257838999999997</v>
      </c>
      <c r="K134" s="17">
        <f>'AEO 2023 Table 47 Raw'!N118</f>
        <v>33.868983999999998</v>
      </c>
      <c r="L134" s="17">
        <f>'AEO 2023 Table 47 Raw'!O118</f>
        <v>34.497799000000001</v>
      </c>
      <c r="M134" s="17">
        <f>'AEO 2023 Table 47 Raw'!P118</f>
        <v>35.139740000000003</v>
      </c>
      <c r="N134" s="17">
        <f>'AEO 2023 Table 47 Raw'!Q118</f>
        <v>35.792296999999998</v>
      </c>
      <c r="O134" s="17">
        <f>'AEO 2023 Table 47 Raw'!R118</f>
        <v>36.457706000000002</v>
      </c>
      <c r="P134" s="17">
        <f>'AEO 2023 Table 47 Raw'!S118</f>
        <v>37.138069000000002</v>
      </c>
      <c r="Q134" s="17">
        <f>'AEO 2023 Table 47 Raw'!T118</f>
        <v>37.832951000000001</v>
      </c>
      <c r="R134" s="17">
        <f>'AEO 2023 Table 47 Raw'!U118</f>
        <v>38.541350999999999</v>
      </c>
      <c r="S134" s="17">
        <f>'AEO 2023 Table 47 Raw'!V118</f>
        <v>39.264755000000001</v>
      </c>
      <c r="T134" s="17">
        <f>'AEO 2023 Table 47 Raw'!W118</f>
        <v>40.004631000000003</v>
      </c>
      <c r="U134" s="17">
        <f>'AEO 2023 Table 47 Raw'!X118</f>
        <v>40.762042999999998</v>
      </c>
      <c r="V134" s="17">
        <f>'AEO 2023 Table 47 Raw'!Y118</f>
        <v>41.537818999999999</v>
      </c>
      <c r="W134" s="17">
        <f>'AEO 2023 Table 47 Raw'!Z118</f>
        <v>42.331817999999998</v>
      </c>
      <c r="X134" s="17">
        <f>'AEO 2023 Table 47 Raw'!AA118</f>
        <v>43.143847999999998</v>
      </c>
      <c r="Y134" s="17">
        <f>'AEO 2023 Table 47 Raw'!AB118</f>
        <v>43.973972000000003</v>
      </c>
      <c r="Z134" s="17">
        <f>'AEO 2023 Table 47 Raw'!AC118</f>
        <v>44.822124000000002</v>
      </c>
      <c r="AA134" s="17">
        <f>'AEO 2023 Table 47 Raw'!AD118</f>
        <v>45.689816</v>
      </c>
      <c r="AB134" s="17">
        <f>'AEO 2023 Table 47 Raw'!AE118</f>
        <v>46.577365999999998</v>
      </c>
      <c r="AC134" s="17">
        <f>'AEO 2023 Table 47 Raw'!AF118</f>
        <v>47.484093000000001</v>
      </c>
      <c r="AD134" s="17">
        <f>'AEO 2023 Table 47 Raw'!AG118</f>
        <v>48.409294000000003</v>
      </c>
      <c r="AE134" s="17">
        <f>'AEO 2023 Table 47 Raw'!AH118</f>
        <v>49.351832999999999</v>
      </c>
      <c r="AF134" s="30">
        <f>'AEO 2023 Table 47 Raw'!AI118</f>
        <v>3.6999999999999998E-2</v>
      </c>
    </row>
    <row r="135" spans="1:32" ht="12" customHeight="1">
      <c r="A135" s="7" t="s">
        <v>664</v>
      </c>
      <c r="B135" s="16" t="s">
        <v>608</v>
      </c>
      <c r="C135" s="17">
        <f>'AEO 2023 Table 47 Raw'!F119</f>
        <v>14.50943</v>
      </c>
      <c r="D135" s="17">
        <f>'AEO 2023 Table 47 Raw'!G119</f>
        <v>14.750728000000001</v>
      </c>
      <c r="E135" s="17">
        <f>'AEO 2023 Table 47 Raw'!H119</f>
        <v>15.256656</v>
      </c>
      <c r="F135" s="17">
        <f>'AEO 2023 Table 47 Raw'!I119</f>
        <v>15.506875000000001</v>
      </c>
      <c r="G135" s="17">
        <f>'AEO 2023 Table 47 Raw'!J119</f>
        <v>15.82633</v>
      </c>
      <c r="H135" s="17">
        <f>'AEO 2023 Table 47 Raw'!K119</f>
        <v>16.091740000000001</v>
      </c>
      <c r="I135" s="17">
        <f>'AEO 2023 Table 47 Raw'!L119</f>
        <v>16.341602000000002</v>
      </c>
      <c r="J135" s="17">
        <f>'AEO 2023 Table 47 Raw'!M119</f>
        <v>16.572548000000001</v>
      </c>
      <c r="K135" s="17">
        <f>'AEO 2023 Table 47 Raw'!N119</f>
        <v>16.807404999999999</v>
      </c>
      <c r="L135" s="17">
        <f>'AEO 2023 Table 47 Raw'!O119</f>
        <v>17.051577000000002</v>
      </c>
      <c r="M135" s="17">
        <f>'AEO 2023 Table 47 Raw'!P119</f>
        <v>17.302004</v>
      </c>
      <c r="N135" s="17">
        <f>'AEO 2023 Table 47 Raw'!Q119</f>
        <v>17.556206</v>
      </c>
      <c r="O135" s="17">
        <f>'AEO 2023 Table 47 Raw'!R119</f>
        <v>17.814955000000001</v>
      </c>
      <c r="P135" s="17">
        <f>'AEO 2023 Table 47 Raw'!S119</f>
        <v>18.079001999999999</v>
      </c>
      <c r="Q135" s="17">
        <f>'AEO 2023 Table 47 Raw'!T119</f>
        <v>18.348101</v>
      </c>
      <c r="R135" s="17">
        <f>'AEO 2023 Table 47 Raw'!U119</f>
        <v>18.621765</v>
      </c>
      <c r="S135" s="17">
        <f>'AEO 2023 Table 47 Raw'!V119</f>
        <v>18.900500999999998</v>
      </c>
      <c r="T135" s="17">
        <f>'AEO 2023 Table 47 Raw'!W119</f>
        <v>19.184811</v>
      </c>
      <c r="U135" s="17">
        <f>'AEO 2023 Table 47 Raw'!X119</f>
        <v>19.474388000000001</v>
      </c>
      <c r="V135" s="17">
        <f>'AEO 2023 Table 47 Raw'!Y119</f>
        <v>19.769831</v>
      </c>
      <c r="W135" s="17">
        <f>'AEO 2023 Table 47 Raw'!Z119</f>
        <v>20.071031999999999</v>
      </c>
      <c r="X135" s="17">
        <f>'AEO 2023 Table 47 Raw'!AA119</f>
        <v>20.377831</v>
      </c>
      <c r="Y135" s="17">
        <f>'AEO 2023 Table 47 Raw'!AB119</f>
        <v>20.690248</v>
      </c>
      <c r="Z135" s="17">
        <f>'AEO 2023 Table 47 Raw'!AC119</f>
        <v>21.008171000000001</v>
      </c>
      <c r="AA135" s="17">
        <f>'AEO 2023 Table 47 Raw'!AD119</f>
        <v>21.332118999999999</v>
      </c>
      <c r="AB135" s="17">
        <f>'AEO 2023 Table 47 Raw'!AE119</f>
        <v>21.662158999999999</v>
      </c>
      <c r="AC135" s="17">
        <f>'AEO 2023 Table 47 Raw'!AF119</f>
        <v>21.997971</v>
      </c>
      <c r="AD135" s="17">
        <f>'AEO 2023 Table 47 Raw'!AG119</f>
        <v>22.339255999999999</v>
      </c>
      <c r="AE135" s="17">
        <f>'AEO 2023 Table 47 Raw'!AH119</f>
        <v>22.685524000000001</v>
      </c>
      <c r="AF135" s="30">
        <f>'AEO 2023 Table 47 Raw'!AI119</f>
        <v>1.6E-2</v>
      </c>
    </row>
    <row r="136" spans="1:32" ht="12" customHeight="1">
      <c r="A136" s="7" t="s">
        <v>665</v>
      </c>
      <c r="B136" s="16" t="s">
        <v>610</v>
      </c>
      <c r="C136" s="17">
        <f>'AEO 2023 Table 47 Raw'!F120</f>
        <v>48.721522999999998</v>
      </c>
      <c r="D136" s="17">
        <f>'AEO 2023 Table 47 Raw'!G120</f>
        <v>61.768990000000002</v>
      </c>
      <c r="E136" s="17">
        <f>'AEO 2023 Table 47 Raw'!H120</f>
        <v>73.845116000000004</v>
      </c>
      <c r="F136" s="17">
        <f>'AEO 2023 Table 47 Raw'!I120</f>
        <v>82.664268000000007</v>
      </c>
      <c r="G136" s="17">
        <f>'AEO 2023 Table 47 Raw'!J120</f>
        <v>90.551765000000003</v>
      </c>
      <c r="H136" s="17">
        <f>'AEO 2023 Table 47 Raw'!K120</f>
        <v>94.869156000000004</v>
      </c>
      <c r="I136" s="17">
        <f>'AEO 2023 Table 47 Raw'!L120</f>
        <v>98.194419999999994</v>
      </c>
      <c r="J136" s="17">
        <f>'AEO 2023 Table 47 Raw'!M120</f>
        <v>100.99239300000001</v>
      </c>
      <c r="K136" s="17">
        <f>'AEO 2023 Table 47 Raw'!N120</f>
        <v>103.867386</v>
      </c>
      <c r="L136" s="17">
        <f>'AEO 2023 Table 47 Raw'!O120</f>
        <v>106.882401</v>
      </c>
      <c r="M136" s="17">
        <f>'AEO 2023 Table 47 Raw'!P120</f>
        <v>109.995766</v>
      </c>
      <c r="N136" s="17">
        <f>'AEO 2023 Table 47 Raw'!Q120</f>
        <v>113.19216900000001</v>
      </c>
      <c r="O136" s="17">
        <f>'AEO 2023 Table 47 Raw'!R120</f>
        <v>116.47422</v>
      </c>
      <c r="P136" s="17">
        <f>'AEO 2023 Table 47 Raw'!S120</f>
        <v>119.84822800000001</v>
      </c>
      <c r="Q136" s="17">
        <f>'AEO 2023 Table 47 Raw'!T120</f>
        <v>123.249786</v>
      </c>
      <c r="R136" s="17">
        <f>'AEO 2023 Table 47 Raw'!U120</f>
        <v>126.73764799999999</v>
      </c>
      <c r="S136" s="17">
        <f>'AEO 2023 Table 47 Raw'!V120</f>
        <v>130.315765</v>
      </c>
      <c r="T136" s="17">
        <f>'AEO 2023 Table 47 Raw'!W120</f>
        <v>133.98472599999999</v>
      </c>
      <c r="U136" s="17">
        <f>'AEO 2023 Table 47 Raw'!X120</f>
        <v>137.747986</v>
      </c>
      <c r="V136" s="17">
        <f>'AEO 2023 Table 47 Raw'!Y120</f>
        <v>141.534378</v>
      </c>
      <c r="W136" s="17">
        <f>'AEO 2023 Table 47 Raw'!Z120</f>
        <v>145.41456600000001</v>
      </c>
      <c r="X136" s="17">
        <f>'AEO 2023 Table 47 Raw'!AA120</f>
        <v>149.39035000000001</v>
      </c>
      <c r="Y136" s="17">
        <f>'AEO 2023 Table 47 Raw'!AB120</f>
        <v>153.46047999999999</v>
      </c>
      <c r="Z136" s="17">
        <f>'AEO 2023 Table 47 Raw'!AC120</f>
        <v>157.62562600000001</v>
      </c>
      <c r="AA136" s="17">
        <f>'AEO 2023 Table 47 Raw'!AD120</f>
        <v>161.804001</v>
      </c>
      <c r="AB136" s="17">
        <f>'AEO 2023 Table 47 Raw'!AE120</f>
        <v>166.075638</v>
      </c>
      <c r="AC136" s="17">
        <f>'AEO 2023 Table 47 Raw'!AF120</f>
        <v>170.446091</v>
      </c>
      <c r="AD136" s="17">
        <f>'AEO 2023 Table 47 Raw'!AG120</f>
        <v>174.919006</v>
      </c>
      <c r="AE136" s="17">
        <f>'AEO 2023 Table 47 Raw'!AH120</f>
        <v>179.497559</v>
      </c>
      <c r="AF136" s="30">
        <f>'AEO 2023 Table 47 Raw'!AI120</f>
        <v>4.8000000000000001E-2</v>
      </c>
    </row>
    <row r="137" spans="1:32" ht="12" customHeight="1">
      <c r="A137" s="7" t="s">
        <v>666</v>
      </c>
      <c r="B137" s="16" t="s">
        <v>624</v>
      </c>
      <c r="C137" s="17">
        <f>'AEO 2023 Table 47 Raw'!F121</f>
        <v>40.367882000000002</v>
      </c>
      <c r="D137" s="17">
        <f>'AEO 2023 Table 47 Raw'!G121</f>
        <v>51.182053000000003</v>
      </c>
      <c r="E137" s="17">
        <f>'AEO 2023 Table 47 Raw'!H121</f>
        <v>61.307991000000001</v>
      </c>
      <c r="F137" s="17">
        <f>'AEO 2023 Table 47 Raw'!I121</f>
        <v>68.604468999999995</v>
      </c>
      <c r="G137" s="17">
        <f>'AEO 2023 Table 47 Raw'!J121</f>
        <v>75.149856999999997</v>
      </c>
      <c r="H137" s="17">
        <f>'AEO 2023 Table 47 Raw'!K121</f>
        <v>78.746758</v>
      </c>
      <c r="I137" s="17">
        <f>'AEO 2023 Table 47 Raw'!L121</f>
        <v>81.512482000000006</v>
      </c>
      <c r="J137" s="17">
        <f>'AEO 2023 Table 47 Raw'!M121</f>
        <v>83.836219999999997</v>
      </c>
      <c r="K137" s="17">
        <f>'AEO 2023 Table 47 Raw'!N121</f>
        <v>86.223915000000005</v>
      </c>
      <c r="L137" s="17">
        <f>'AEO 2023 Table 47 Raw'!O121</f>
        <v>88.727737000000005</v>
      </c>
      <c r="M137" s="17">
        <f>'AEO 2023 Table 47 Raw'!P121</f>
        <v>91.313179000000005</v>
      </c>
      <c r="N137" s="17">
        <f>'AEO 2023 Table 47 Raw'!Q121</f>
        <v>93.967590000000001</v>
      </c>
      <c r="O137" s="17">
        <f>'AEO 2023 Table 47 Raw'!R121</f>
        <v>96.693107999999995</v>
      </c>
      <c r="P137" s="17">
        <f>'AEO 2023 Table 47 Raw'!S121</f>
        <v>99.494986999999995</v>
      </c>
      <c r="Q137" s="17">
        <f>'AEO 2023 Table 47 Raw'!T121</f>
        <v>102.32</v>
      </c>
      <c r="R137" s="17">
        <f>'AEO 2023 Table 47 Raw'!U121</f>
        <v>105.216705</v>
      </c>
      <c r="S137" s="17">
        <f>'AEO 2023 Table 47 Raw'!V121</f>
        <v>108.188377</v>
      </c>
      <c r="T137" s="17">
        <f>'AEO 2023 Table 47 Raw'!W121</f>
        <v>111.235527</v>
      </c>
      <c r="U137" s="17">
        <f>'AEO 2023 Table 47 Raw'!X121</f>
        <v>114.361046</v>
      </c>
      <c r="V137" s="17">
        <f>'AEO 2023 Table 47 Raw'!Y121</f>
        <v>117.506035</v>
      </c>
      <c r="W137" s="17">
        <f>'AEO 2023 Table 47 Raw'!Z121</f>
        <v>120.728973</v>
      </c>
      <c r="X137" s="17">
        <f>'AEO 2023 Table 47 Raw'!AA121</f>
        <v>124.031364</v>
      </c>
      <c r="Y137" s="17">
        <f>'AEO 2023 Table 47 Raw'!AB121</f>
        <v>127.412148</v>
      </c>
      <c r="Z137" s="17">
        <f>'AEO 2023 Table 47 Raw'!AC121</f>
        <v>130.871872</v>
      </c>
      <c r="AA137" s="17">
        <f>'AEO 2023 Table 47 Raw'!AD121</f>
        <v>134.342804</v>
      </c>
      <c r="AB137" s="17">
        <f>'AEO 2023 Table 47 Raw'!AE121</f>
        <v>137.89123499999999</v>
      </c>
      <c r="AC137" s="17">
        <f>'AEO 2023 Table 47 Raw'!AF121</f>
        <v>141.52177399999999</v>
      </c>
      <c r="AD137" s="17">
        <f>'AEO 2023 Table 47 Raw'!AG121</f>
        <v>145.23748800000001</v>
      </c>
      <c r="AE137" s="17">
        <f>'AEO 2023 Table 47 Raw'!AH121</f>
        <v>149.04101600000001</v>
      </c>
      <c r="AF137" s="30">
        <f>'AEO 2023 Table 47 Raw'!AI121</f>
        <v>4.8000000000000001E-2</v>
      </c>
    </row>
    <row r="138" spans="1:32" ht="12" customHeight="1">
      <c r="A138" s="7" t="s">
        <v>667</v>
      </c>
      <c r="B138" s="16" t="s">
        <v>606</v>
      </c>
      <c r="C138" s="17">
        <f>'AEO 2023 Table 47 Raw'!F122</f>
        <v>4.8107499999999996</v>
      </c>
      <c r="D138" s="17">
        <f>'AEO 2023 Table 47 Raw'!G122</f>
        <v>6.1307200000000002</v>
      </c>
      <c r="E138" s="17">
        <f>'AEO 2023 Table 47 Raw'!H122</f>
        <v>7.171532</v>
      </c>
      <c r="F138" s="17">
        <f>'AEO 2023 Table 47 Raw'!I122</f>
        <v>7.9921449999999998</v>
      </c>
      <c r="G138" s="17">
        <f>'AEO 2023 Table 47 Raw'!J122</f>
        <v>8.7539029999999993</v>
      </c>
      <c r="H138" s="17">
        <f>'AEO 2023 Table 47 Raw'!K122</f>
        <v>9.1908320000000003</v>
      </c>
      <c r="I138" s="17">
        <f>'AEO 2023 Table 47 Raw'!L122</f>
        <v>9.5208630000000003</v>
      </c>
      <c r="J138" s="17">
        <f>'AEO 2023 Table 47 Raw'!M122</f>
        <v>9.7937060000000002</v>
      </c>
      <c r="K138" s="17">
        <f>'AEO 2023 Table 47 Raw'!N122</f>
        <v>10.074055</v>
      </c>
      <c r="L138" s="17">
        <f>'AEO 2023 Table 47 Raw'!O122</f>
        <v>10.367825</v>
      </c>
      <c r="M138" s="17">
        <f>'AEO 2023 Table 47 Raw'!P122</f>
        <v>10.671106999999999</v>
      </c>
      <c r="N138" s="17">
        <f>'AEO 2023 Table 47 Raw'!Q122</f>
        <v>10.982485</v>
      </c>
      <c r="O138" s="17">
        <f>'AEO 2023 Table 47 Raw'!R122</f>
        <v>11.302196</v>
      </c>
      <c r="P138" s="17">
        <f>'AEO 2023 Table 47 Raw'!S122</f>
        <v>11.630836</v>
      </c>
      <c r="Q138" s="17">
        <f>'AEO 2023 Table 47 Raw'!T122</f>
        <v>11.962536999999999</v>
      </c>
      <c r="R138" s="17">
        <f>'AEO 2023 Table 47 Raw'!U122</f>
        <v>12.302671</v>
      </c>
      <c r="S138" s="17">
        <f>'AEO 2023 Table 47 Raw'!V122</f>
        <v>12.651629</v>
      </c>
      <c r="T138" s="17">
        <f>'AEO 2023 Table 47 Raw'!W122</f>
        <v>13.009482</v>
      </c>
      <c r="U138" s="17">
        <f>'AEO 2023 Table 47 Raw'!X122</f>
        <v>13.376611</v>
      </c>
      <c r="V138" s="17">
        <f>'AEO 2023 Table 47 Raw'!Y122</f>
        <v>13.746362</v>
      </c>
      <c r="W138" s="17">
        <f>'AEO 2023 Table 47 Raw'!Z122</f>
        <v>14.125339</v>
      </c>
      <c r="X138" s="17">
        <f>'AEO 2023 Table 47 Raw'!AA122</f>
        <v>14.513700999999999</v>
      </c>
      <c r="Y138" s="17">
        <f>'AEO 2023 Table 47 Raw'!AB122</f>
        <v>14.911319000000001</v>
      </c>
      <c r="Z138" s="17">
        <f>'AEO 2023 Table 47 Raw'!AC122</f>
        <v>15.318254</v>
      </c>
      <c r="AA138" s="17">
        <f>'AEO 2023 Table 47 Raw'!AD122</f>
        <v>15.726773</v>
      </c>
      <c r="AB138" s="17">
        <f>'AEO 2023 Table 47 Raw'!AE122</f>
        <v>16.144462999999998</v>
      </c>
      <c r="AC138" s="17">
        <f>'AEO 2023 Table 47 Raw'!AF122</f>
        <v>16.571867000000001</v>
      </c>
      <c r="AD138" s="17">
        <f>'AEO 2023 Table 47 Raw'!AG122</f>
        <v>17.009353999999998</v>
      </c>
      <c r="AE138" s="17">
        <f>'AEO 2023 Table 47 Raw'!AH122</f>
        <v>17.457253999999999</v>
      </c>
      <c r="AF138" s="30">
        <f>'AEO 2023 Table 47 Raw'!AI122</f>
        <v>4.7E-2</v>
      </c>
    </row>
    <row r="139" spans="1:32" ht="12" customHeight="1">
      <c r="A139" s="7" t="s">
        <v>668</v>
      </c>
      <c r="B139" s="16" t="s">
        <v>608</v>
      </c>
      <c r="C139" s="17">
        <f>'AEO 2023 Table 47 Raw'!F123</f>
        <v>3.542891</v>
      </c>
      <c r="D139" s="17">
        <f>'AEO 2023 Table 47 Raw'!G123</f>
        <v>4.4562160000000004</v>
      </c>
      <c r="E139" s="17">
        <f>'AEO 2023 Table 47 Raw'!H123</f>
        <v>5.3655970000000002</v>
      </c>
      <c r="F139" s="17">
        <f>'AEO 2023 Table 47 Raw'!I123</f>
        <v>6.0676459999999999</v>
      </c>
      <c r="G139" s="17">
        <f>'AEO 2023 Table 47 Raw'!J123</f>
        <v>6.6479980000000003</v>
      </c>
      <c r="H139" s="17">
        <f>'AEO 2023 Table 47 Raw'!K123</f>
        <v>6.9315740000000003</v>
      </c>
      <c r="I139" s="17">
        <f>'AEO 2023 Table 47 Raw'!L123</f>
        <v>7.161073</v>
      </c>
      <c r="J139" s="17">
        <f>'AEO 2023 Table 47 Raw'!M123</f>
        <v>7.3624660000000004</v>
      </c>
      <c r="K139" s="17">
        <f>'AEO 2023 Table 47 Raw'!N123</f>
        <v>7.5694160000000004</v>
      </c>
      <c r="L139" s="17">
        <f>'AEO 2023 Table 47 Raw'!O123</f>
        <v>7.7868430000000002</v>
      </c>
      <c r="M139" s="17">
        <f>'AEO 2023 Table 47 Raw'!P123</f>
        <v>8.0114780000000003</v>
      </c>
      <c r="N139" s="17">
        <f>'AEO 2023 Table 47 Raw'!Q123</f>
        <v>8.2420969999999993</v>
      </c>
      <c r="O139" s="17">
        <f>'AEO 2023 Table 47 Raw'!R123</f>
        <v>8.4789100000000008</v>
      </c>
      <c r="P139" s="17">
        <f>'AEO 2023 Table 47 Raw'!S123</f>
        <v>8.7224079999999997</v>
      </c>
      <c r="Q139" s="17">
        <f>'AEO 2023 Table 47 Raw'!T123</f>
        <v>8.9672540000000005</v>
      </c>
      <c r="R139" s="17">
        <f>'AEO 2023 Table 47 Raw'!U123</f>
        <v>9.2182739999999992</v>
      </c>
      <c r="S139" s="17">
        <f>'AEO 2023 Table 47 Raw'!V123</f>
        <v>9.4757580000000008</v>
      </c>
      <c r="T139" s="17">
        <f>'AEO 2023 Table 47 Raw'!W123</f>
        <v>9.7397179999999999</v>
      </c>
      <c r="U139" s="17">
        <f>'AEO 2023 Table 47 Raw'!X123</f>
        <v>10.010329</v>
      </c>
      <c r="V139" s="17">
        <f>'AEO 2023 Table 47 Raw'!Y123</f>
        <v>10.281976999999999</v>
      </c>
      <c r="W139" s="17">
        <f>'AEO 2023 Table 47 Raw'!Z123</f>
        <v>10.560243</v>
      </c>
      <c r="X139" s="17">
        <f>'AEO 2023 Table 47 Raw'!AA123</f>
        <v>10.845281999999999</v>
      </c>
      <c r="Y139" s="17">
        <f>'AEO 2023 Table 47 Raw'!AB123</f>
        <v>11.137014000000001</v>
      </c>
      <c r="Z139" s="17">
        <f>'AEO 2023 Table 47 Raw'!AC123</f>
        <v>11.435499999999999</v>
      </c>
      <c r="AA139" s="17">
        <f>'AEO 2023 Table 47 Raw'!AD123</f>
        <v>11.734435</v>
      </c>
      <c r="AB139" s="17">
        <f>'AEO 2023 Table 47 Raw'!AE123</f>
        <v>12.039953000000001</v>
      </c>
      <c r="AC139" s="17">
        <f>'AEO 2023 Table 47 Raw'!AF123</f>
        <v>12.352451</v>
      </c>
      <c r="AD139" s="17">
        <f>'AEO 2023 Table 47 Raw'!AG123</f>
        <v>12.67216</v>
      </c>
      <c r="AE139" s="17">
        <f>'AEO 2023 Table 47 Raw'!AH123</f>
        <v>12.999294000000001</v>
      </c>
      <c r="AF139" s="30">
        <f>'AEO 2023 Table 47 Raw'!AI123</f>
        <v>4.8000000000000001E-2</v>
      </c>
    </row>
    <row r="140" spans="1:32" ht="12" customHeight="1">
      <c r="A140" s="7" t="s">
        <v>669</v>
      </c>
      <c r="B140" s="16" t="s">
        <v>610</v>
      </c>
      <c r="C140" s="17">
        <f>'AEO 2023 Table 47 Raw'!F124</f>
        <v>782.72277799999995</v>
      </c>
      <c r="D140" s="17">
        <f>'AEO 2023 Table 47 Raw'!G124</f>
        <v>779.99255400000004</v>
      </c>
      <c r="E140" s="17">
        <f>'AEO 2023 Table 47 Raw'!H124</f>
        <v>777.24194299999999</v>
      </c>
      <c r="F140" s="17">
        <f>'AEO 2023 Table 47 Raw'!I124</f>
        <v>836.20019500000001</v>
      </c>
      <c r="G140" s="17">
        <f>'AEO 2023 Table 47 Raw'!J124</f>
        <v>900.88647500000002</v>
      </c>
      <c r="H140" s="17">
        <f>'AEO 2023 Table 47 Raw'!K124</f>
        <v>959.77856399999996</v>
      </c>
      <c r="I140" s="17">
        <f>'AEO 2023 Table 47 Raw'!L124</f>
        <v>1015.328857</v>
      </c>
      <c r="J140" s="17">
        <f>'AEO 2023 Table 47 Raw'!M124</f>
        <v>1071.4494629999999</v>
      </c>
      <c r="K140" s="17">
        <f>'AEO 2023 Table 47 Raw'!N124</f>
        <v>1127.8001710000001</v>
      </c>
      <c r="L140" s="17">
        <f>'AEO 2023 Table 47 Raw'!O124</f>
        <v>1184.857544</v>
      </c>
      <c r="M140" s="17">
        <f>'AEO 2023 Table 47 Raw'!P124</f>
        <v>1242.602173</v>
      </c>
      <c r="N140" s="17">
        <f>'AEO 2023 Table 47 Raw'!Q124</f>
        <v>1300.8637699999999</v>
      </c>
      <c r="O140" s="17">
        <f>'AEO 2023 Table 47 Raw'!R124</f>
        <v>1359.7788089999999</v>
      </c>
      <c r="P140" s="17">
        <f>'AEO 2023 Table 47 Raw'!S124</f>
        <v>1419.6533199999999</v>
      </c>
      <c r="Q140" s="17">
        <f>'AEO 2023 Table 47 Raw'!T124</f>
        <v>1480.3670649999999</v>
      </c>
      <c r="R140" s="17">
        <f>'AEO 2023 Table 47 Raw'!U124</f>
        <v>1541.5150149999999</v>
      </c>
      <c r="S140" s="17">
        <f>'AEO 2023 Table 47 Raw'!V124</f>
        <v>1603.139404</v>
      </c>
      <c r="T140" s="17">
        <f>'AEO 2023 Table 47 Raw'!W124</f>
        <v>1665.5854489999999</v>
      </c>
      <c r="U140" s="17">
        <f>'AEO 2023 Table 47 Raw'!X124</f>
        <v>1729.3858640000001</v>
      </c>
      <c r="V140" s="17">
        <f>'AEO 2023 Table 47 Raw'!Y124</f>
        <v>1795.155029</v>
      </c>
      <c r="W140" s="17">
        <f>'AEO 2023 Table 47 Raw'!Z124</f>
        <v>1862.857422</v>
      </c>
      <c r="X140" s="17">
        <f>'AEO 2023 Table 47 Raw'!AA124</f>
        <v>1931.973999</v>
      </c>
      <c r="Y140" s="17">
        <f>'AEO 2023 Table 47 Raw'!AB124</f>
        <v>2001.8626710000001</v>
      </c>
      <c r="Z140" s="17">
        <f>'AEO 2023 Table 47 Raw'!AC124</f>
        <v>2071.8183589999999</v>
      </c>
      <c r="AA140" s="17">
        <f>'AEO 2023 Table 47 Raw'!AD124</f>
        <v>2141.7058109999998</v>
      </c>
      <c r="AB140" s="17">
        <f>'AEO 2023 Table 47 Raw'!AE124</f>
        <v>2211.8625489999999</v>
      </c>
      <c r="AC140" s="17">
        <f>'AEO 2023 Table 47 Raw'!AF124</f>
        <v>2282.0432129999999</v>
      </c>
      <c r="AD140" s="17">
        <f>'AEO 2023 Table 47 Raw'!AG124</f>
        <v>2351.5871579999998</v>
      </c>
      <c r="AE140" s="17">
        <f>'AEO 2023 Table 47 Raw'!AH124</f>
        <v>2419.7944339999999</v>
      </c>
      <c r="AF140" s="30">
        <f>'AEO 2023 Table 47 Raw'!AI124</f>
        <v>4.1000000000000002E-2</v>
      </c>
    </row>
    <row r="141" spans="1:32" ht="12" customHeight="1">
      <c r="A141" s="7" t="s">
        <v>670</v>
      </c>
      <c r="B141" s="16" t="s">
        <v>626</v>
      </c>
      <c r="C141" s="17">
        <f>'AEO 2023 Table 47 Raw'!F125</f>
        <v>607.629639</v>
      </c>
      <c r="D141" s="17">
        <f>'AEO 2023 Table 47 Raw'!G125</f>
        <v>579.78564500000005</v>
      </c>
      <c r="E141" s="17">
        <f>'AEO 2023 Table 47 Raw'!H125</f>
        <v>554.85424799999998</v>
      </c>
      <c r="F141" s="17">
        <f>'AEO 2023 Table 47 Raw'!I125</f>
        <v>591.023865</v>
      </c>
      <c r="G141" s="17">
        <f>'AEO 2023 Table 47 Raw'!J125</f>
        <v>632.18890399999998</v>
      </c>
      <c r="H141" s="17">
        <f>'AEO 2023 Table 47 Raw'!K125</f>
        <v>672.03393600000004</v>
      </c>
      <c r="I141" s="17">
        <f>'AEO 2023 Table 47 Raw'!L125</f>
        <v>711.24945100000002</v>
      </c>
      <c r="J141" s="17">
        <f>'AEO 2023 Table 47 Raw'!M125</f>
        <v>750.78301999999996</v>
      </c>
      <c r="K141" s="17">
        <f>'AEO 2023 Table 47 Raw'!N125</f>
        <v>790.37164299999995</v>
      </c>
      <c r="L141" s="17">
        <f>'AEO 2023 Table 47 Raw'!O125</f>
        <v>830.36956799999996</v>
      </c>
      <c r="M141" s="17">
        <f>'AEO 2023 Table 47 Raw'!P125</f>
        <v>870.75842299999999</v>
      </c>
      <c r="N141" s="17">
        <f>'AEO 2023 Table 47 Raw'!Q125</f>
        <v>911.40508999999997</v>
      </c>
      <c r="O141" s="17">
        <f>'AEO 2023 Table 47 Raw'!R125</f>
        <v>952.40625</v>
      </c>
      <c r="P141" s="17">
        <f>'AEO 2023 Table 47 Raw'!S125</f>
        <v>993.98687700000005</v>
      </c>
      <c r="Q141" s="17">
        <f>'AEO 2023 Table 47 Raw'!T125</f>
        <v>1036.053101</v>
      </c>
      <c r="R141" s="17">
        <f>'AEO 2023 Table 47 Raw'!U125</f>
        <v>1078.296143</v>
      </c>
      <c r="S141" s="17">
        <f>'AEO 2023 Table 47 Raw'!V125</f>
        <v>1120.742432</v>
      </c>
      <c r="T141" s="17">
        <f>'AEO 2023 Table 47 Raw'!W125</f>
        <v>1163.6453859999999</v>
      </c>
      <c r="U141" s="17">
        <f>'AEO 2023 Table 47 Raw'!X125</f>
        <v>1207.394775</v>
      </c>
      <c r="V141" s="17">
        <f>'AEO 2023 Table 47 Raw'!Y125</f>
        <v>1252.449341</v>
      </c>
      <c r="W141" s="17">
        <f>'AEO 2023 Table 47 Raw'!Z125</f>
        <v>1298.7775879999999</v>
      </c>
      <c r="X141" s="17">
        <f>'AEO 2023 Table 47 Raw'!AA125</f>
        <v>1345.984375</v>
      </c>
      <c r="Y141" s="17">
        <f>'AEO 2023 Table 47 Raw'!AB125</f>
        <v>1393.5820309999999</v>
      </c>
      <c r="Z141" s="17">
        <f>'AEO 2023 Table 47 Raw'!AC125</f>
        <v>1441.0375979999999</v>
      </c>
      <c r="AA141" s="17">
        <f>'AEO 2023 Table 47 Raw'!AD125</f>
        <v>1488.2482910000001</v>
      </c>
      <c r="AB141" s="17">
        <f>'AEO 2023 Table 47 Raw'!AE125</f>
        <v>1535.4626459999999</v>
      </c>
      <c r="AC141" s="17">
        <f>'AEO 2023 Table 47 Raw'!AF125</f>
        <v>1582.492432</v>
      </c>
      <c r="AD141" s="17">
        <f>'AEO 2023 Table 47 Raw'!AG125</f>
        <v>1628.837769</v>
      </c>
      <c r="AE141" s="17">
        <f>'AEO 2023 Table 47 Raw'!AH125</f>
        <v>1673.9719239999999</v>
      </c>
      <c r="AF141" s="30">
        <f>'AEO 2023 Table 47 Raw'!AI125</f>
        <v>3.6999999999999998E-2</v>
      </c>
    </row>
    <row r="142" spans="1:32" ht="12" customHeight="1">
      <c r="A142" s="7" t="s">
        <v>671</v>
      </c>
      <c r="B142" s="16" t="s">
        <v>606</v>
      </c>
      <c r="C142" s="17">
        <f>'AEO 2023 Table 47 Raw'!F126</f>
        <v>87.702171000000007</v>
      </c>
      <c r="D142" s="17">
        <f>'AEO 2023 Table 47 Raw'!G126</f>
        <v>118.64717899999999</v>
      </c>
      <c r="E142" s="17">
        <f>'AEO 2023 Table 47 Raw'!H126</f>
        <v>145.718872</v>
      </c>
      <c r="F142" s="17">
        <f>'AEO 2023 Table 47 Raw'!I126</f>
        <v>163.990128</v>
      </c>
      <c r="G142" s="17">
        <f>'AEO 2023 Table 47 Raw'!J126</f>
        <v>182.23019400000001</v>
      </c>
      <c r="H142" s="17">
        <f>'AEO 2023 Table 47 Raw'!K126</f>
        <v>195.94972200000001</v>
      </c>
      <c r="I142" s="17">
        <f>'AEO 2023 Table 47 Raw'!L126</f>
        <v>206.901611</v>
      </c>
      <c r="J142" s="17">
        <f>'AEO 2023 Table 47 Raw'!M126</f>
        <v>218.06899999999999</v>
      </c>
      <c r="K142" s="17">
        <f>'AEO 2023 Table 47 Raw'!N126</f>
        <v>229.41262800000001</v>
      </c>
      <c r="L142" s="17">
        <f>'AEO 2023 Table 47 Raw'!O126</f>
        <v>241.004807</v>
      </c>
      <c r="M142" s="17">
        <f>'AEO 2023 Table 47 Raw'!P126</f>
        <v>252.84724399999999</v>
      </c>
      <c r="N142" s="17">
        <f>'AEO 2023 Table 47 Raw'!Q126</f>
        <v>264.92242399999998</v>
      </c>
      <c r="O142" s="17">
        <f>'AEO 2023 Table 47 Raw'!R126</f>
        <v>277.25662199999999</v>
      </c>
      <c r="P142" s="17">
        <f>'AEO 2023 Table 47 Raw'!S126</f>
        <v>289.89932299999998</v>
      </c>
      <c r="Q142" s="17">
        <f>'AEO 2023 Table 47 Raw'!T126</f>
        <v>302.83795199999997</v>
      </c>
      <c r="R142" s="17">
        <f>'AEO 2023 Table 47 Raw'!U126</f>
        <v>316.01998900000001</v>
      </c>
      <c r="S142" s="17">
        <f>'AEO 2023 Table 47 Raw'!V126</f>
        <v>329.458618</v>
      </c>
      <c r="T142" s="17">
        <f>'AEO 2023 Table 47 Raw'!W126</f>
        <v>343.209473</v>
      </c>
      <c r="U142" s="17">
        <f>'AEO 2023 Table 47 Raw'!X126</f>
        <v>357.36090100000001</v>
      </c>
      <c r="V142" s="17">
        <f>'AEO 2023 Table 47 Raw'!Y126</f>
        <v>372.00381499999997</v>
      </c>
      <c r="W142" s="17">
        <f>'AEO 2023 Table 47 Raw'!Z126</f>
        <v>387.13888500000002</v>
      </c>
      <c r="X142" s="17">
        <f>'AEO 2023 Table 47 Raw'!AA126</f>
        <v>402.69903599999998</v>
      </c>
      <c r="Y142" s="17">
        <f>'AEO 2023 Table 47 Raw'!AB126</f>
        <v>418.59939600000001</v>
      </c>
      <c r="Z142" s="17">
        <f>'AEO 2023 Table 47 Raw'!AC126</f>
        <v>434.743561</v>
      </c>
      <c r="AA142" s="17">
        <f>'AEO 2023 Table 47 Raw'!AD126</f>
        <v>451.11456299999998</v>
      </c>
      <c r="AB142" s="17">
        <f>'AEO 2023 Table 47 Raw'!AE126</f>
        <v>467.76574699999998</v>
      </c>
      <c r="AC142" s="17">
        <f>'AEO 2023 Table 47 Raw'!AF126</f>
        <v>484.66757200000001</v>
      </c>
      <c r="AD142" s="17">
        <f>'AEO 2023 Table 47 Raw'!AG126</f>
        <v>501.73037699999998</v>
      </c>
      <c r="AE142" s="17">
        <f>'AEO 2023 Table 47 Raw'!AH126</f>
        <v>518.85571300000004</v>
      </c>
      <c r="AF142" s="30">
        <f>'AEO 2023 Table 47 Raw'!AI126</f>
        <v>6.6000000000000003E-2</v>
      </c>
    </row>
    <row r="143" spans="1:32" ht="12" customHeight="1">
      <c r="A143" s="7" t="s">
        <v>672</v>
      </c>
      <c r="B143" s="16" t="s">
        <v>608</v>
      </c>
      <c r="C143" s="17">
        <f>'AEO 2023 Table 47 Raw'!F127</f>
        <v>87.390906999999999</v>
      </c>
      <c r="D143" s="17">
        <f>'AEO 2023 Table 47 Raw'!G127</f>
        <v>81.559792000000002</v>
      </c>
      <c r="E143" s="17">
        <f>'AEO 2023 Table 47 Raw'!H127</f>
        <v>76.668800000000005</v>
      </c>
      <c r="F143" s="17">
        <f>'AEO 2023 Table 47 Raw'!I127</f>
        <v>81.186179999999993</v>
      </c>
      <c r="G143" s="17">
        <f>'AEO 2023 Table 47 Raw'!J127</f>
        <v>86.467392000000004</v>
      </c>
      <c r="H143" s="17">
        <f>'AEO 2023 Table 47 Raw'!K127</f>
        <v>91.794830000000005</v>
      </c>
      <c r="I143" s="17">
        <f>'AEO 2023 Table 47 Raw'!L127</f>
        <v>97.177802999999997</v>
      </c>
      <c r="J143" s="17">
        <f>'AEO 2023 Table 47 Raw'!M127</f>
        <v>102.597488</v>
      </c>
      <c r="K143" s="17">
        <f>'AEO 2023 Table 47 Raw'!N127</f>
        <v>108.01593800000001</v>
      </c>
      <c r="L143" s="17">
        <f>'AEO 2023 Table 47 Raw'!O127</f>
        <v>113.483192</v>
      </c>
      <c r="M143" s="17">
        <f>'AEO 2023 Table 47 Raw'!P127</f>
        <v>118.996407</v>
      </c>
      <c r="N143" s="17">
        <f>'AEO 2023 Table 47 Raw'!Q127</f>
        <v>124.536186</v>
      </c>
      <c r="O143" s="17">
        <f>'AEO 2023 Table 47 Raw'!R127</f>
        <v>130.11586</v>
      </c>
      <c r="P143" s="17">
        <f>'AEO 2023 Table 47 Raw'!S127</f>
        <v>135.76705899999999</v>
      </c>
      <c r="Q143" s="17">
        <f>'AEO 2023 Table 47 Raw'!T127</f>
        <v>141.47612000000001</v>
      </c>
      <c r="R143" s="17">
        <f>'AEO 2023 Table 47 Raw'!U127</f>
        <v>147.198837</v>
      </c>
      <c r="S143" s="17">
        <f>'AEO 2023 Table 47 Raw'!V127</f>
        <v>152.938492</v>
      </c>
      <c r="T143" s="17">
        <f>'AEO 2023 Table 47 Raw'!W127</f>
        <v>158.73074299999999</v>
      </c>
      <c r="U143" s="17">
        <f>'AEO 2023 Table 47 Raw'!X127</f>
        <v>164.63017300000001</v>
      </c>
      <c r="V143" s="17">
        <f>'AEO 2023 Table 47 Raw'!Y127</f>
        <v>170.70181299999999</v>
      </c>
      <c r="W143" s="17">
        <f>'AEO 2023 Table 47 Raw'!Z127</f>
        <v>176.94079600000001</v>
      </c>
      <c r="X143" s="17">
        <f>'AEO 2023 Table 47 Raw'!AA127</f>
        <v>183.29051200000001</v>
      </c>
      <c r="Y143" s="17">
        <f>'AEO 2023 Table 47 Raw'!AB127</f>
        <v>189.68124399999999</v>
      </c>
      <c r="Z143" s="17">
        <f>'AEO 2023 Table 47 Raw'!AC127</f>
        <v>196.03698700000001</v>
      </c>
      <c r="AA143" s="17">
        <f>'AEO 2023 Table 47 Raw'!AD127</f>
        <v>202.342896</v>
      </c>
      <c r="AB143" s="17">
        <f>'AEO 2023 Table 47 Raw'!AE127</f>
        <v>208.634064</v>
      </c>
      <c r="AC143" s="17">
        <f>'AEO 2023 Table 47 Raw'!AF127</f>
        <v>214.88330099999999</v>
      </c>
      <c r="AD143" s="17">
        <f>'AEO 2023 Table 47 Raw'!AG127</f>
        <v>221.019318</v>
      </c>
      <c r="AE143" s="17">
        <f>'AEO 2023 Table 47 Raw'!AH127</f>
        <v>226.96713299999999</v>
      </c>
      <c r="AF143" s="30">
        <f>'AEO 2023 Table 47 Raw'!AI127</f>
        <v>3.5000000000000003E-2</v>
      </c>
    </row>
    <row r="144" spans="1:32" ht="12" customHeight="1">
      <c r="A144" s="7" t="s">
        <v>673</v>
      </c>
      <c r="B144" s="16" t="s">
        <v>610</v>
      </c>
      <c r="C144" s="17">
        <f>'AEO 2023 Table 47 Raw'!F128</f>
        <v>105.801849</v>
      </c>
      <c r="D144" s="17">
        <f>'AEO 2023 Table 47 Raw'!G128</f>
        <v>131.08637999999999</v>
      </c>
      <c r="E144" s="17">
        <f>'AEO 2023 Table 47 Raw'!H128</f>
        <v>148.97323600000001</v>
      </c>
      <c r="F144" s="17">
        <f>'AEO 2023 Table 47 Raw'!I128</f>
        <v>162.49697900000001</v>
      </c>
      <c r="G144" s="17">
        <f>'AEO 2023 Table 47 Raw'!J128</f>
        <v>182.242538</v>
      </c>
      <c r="H144" s="17">
        <f>'AEO 2023 Table 47 Raw'!K128</f>
        <v>199.04045099999999</v>
      </c>
      <c r="I144" s="17">
        <f>'AEO 2023 Table 47 Raw'!L128</f>
        <v>215.68579099999999</v>
      </c>
      <c r="J144" s="17">
        <f>'AEO 2023 Table 47 Raw'!M128</f>
        <v>233.66879299999999</v>
      </c>
      <c r="K144" s="17">
        <f>'AEO 2023 Table 47 Raw'!N128</f>
        <v>252.08363299999999</v>
      </c>
      <c r="L144" s="17">
        <f>'AEO 2023 Table 47 Raw'!O128</f>
        <v>270.79431199999999</v>
      </c>
      <c r="M144" s="17">
        <f>'AEO 2023 Table 47 Raw'!P128</f>
        <v>289.70480300000003</v>
      </c>
      <c r="N144" s="17">
        <f>'AEO 2023 Table 47 Raw'!Q128</f>
        <v>308.69137599999999</v>
      </c>
      <c r="O144" s="17">
        <f>'AEO 2023 Table 47 Raw'!R128</f>
        <v>327.61547899999999</v>
      </c>
      <c r="P144" s="17">
        <f>'AEO 2023 Table 47 Raw'!S128</f>
        <v>346.53881799999999</v>
      </c>
      <c r="Q144" s="17">
        <f>'AEO 2023 Table 47 Raw'!T128</f>
        <v>365.61932400000001</v>
      </c>
      <c r="R144" s="17">
        <f>'AEO 2023 Table 47 Raw'!U128</f>
        <v>385.17947400000003</v>
      </c>
      <c r="S144" s="17">
        <f>'AEO 2023 Table 47 Raw'!V128</f>
        <v>405.21984900000001</v>
      </c>
      <c r="T144" s="17">
        <f>'AEO 2023 Table 47 Raw'!W128</f>
        <v>425.707581</v>
      </c>
      <c r="U144" s="17">
        <f>'AEO 2023 Table 47 Raw'!X128</f>
        <v>446.58886699999999</v>
      </c>
      <c r="V144" s="17">
        <f>'AEO 2023 Table 47 Raw'!Y128</f>
        <v>467.84079000000003</v>
      </c>
      <c r="W144" s="17">
        <f>'AEO 2023 Table 47 Raw'!Z128</f>
        <v>489.42877199999998</v>
      </c>
      <c r="X144" s="17">
        <f>'AEO 2023 Table 47 Raw'!AA128</f>
        <v>511.33187900000001</v>
      </c>
      <c r="Y144" s="17">
        <f>'AEO 2023 Table 47 Raw'!AB128</f>
        <v>533.48980700000004</v>
      </c>
      <c r="Z144" s="17">
        <f>'AEO 2023 Table 47 Raw'!AC128</f>
        <v>555.85424799999998</v>
      </c>
      <c r="AA144" s="17">
        <f>'AEO 2023 Table 47 Raw'!AD128</f>
        <v>578.37213099999997</v>
      </c>
      <c r="AB144" s="17">
        <f>'AEO 2023 Table 47 Raw'!AE128</f>
        <v>600.98870799999997</v>
      </c>
      <c r="AC144" s="17">
        <f>'AEO 2023 Table 47 Raw'!AF128</f>
        <v>623.63964799999997</v>
      </c>
      <c r="AD144" s="17">
        <f>'AEO 2023 Table 47 Raw'!AG128</f>
        <v>646.26062000000002</v>
      </c>
      <c r="AE144" s="17">
        <f>'AEO 2023 Table 47 Raw'!AH128</f>
        <v>668.79229699999996</v>
      </c>
      <c r="AF144" s="30">
        <f>'AEO 2023 Table 47 Raw'!AI128</f>
        <v>6.8000000000000005E-2</v>
      </c>
    </row>
    <row r="145" spans="1:32" ht="12" customHeight="1">
      <c r="A145" s="7" t="s">
        <v>674</v>
      </c>
      <c r="B145" s="16" t="s">
        <v>628</v>
      </c>
      <c r="C145" s="17">
        <f>'AEO 2023 Table 47 Raw'!F129</f>
        <v>75.193489</v>
      </c>
      <c r="D145" s="17">
        <f>'AEO 2023 Table 47 Raw'!G129</f>
        <v>88.749320999999995</v>
      </c>
      <c r="E145" s="17">
        <f>'AEO 2023 Table 47 Raw'!H129</f>
        <v>96.573020999999997</v>
      </c>
      <c r="F145" s="17">
        <f>'AEO 2023 Table 47 Raw'!I129</f>
        <v>102.475159</v>
      </c>
      <c r="G145" s="17">
        <f>'AEO 2023 Table 47 Raw'!J129</f>
        <v>114.042053</v>
      </c>
      <c r="H145" s="17">
        <f>'AEO 2023 Table 47 Raw'!K129</f>
        <v>124.892517</v>
      </c>
      <c r="I145" s="17">
        <f>'AEO 2023 Table 47 Raw'!L129</f>
        <v>135.918442</v>
      </c>
      <c r="J145" s="17">
        <f>'AEO 2023 Table 47 Raw'!M129</f>
        <v>147.58873</v>
      </c>
      <c r="K145" s="17">
        <f>'AEO 2023 Table 47 Raw'!N129</f>
        <v>159.55355800000001</v>
      </c>
      <c r="L145" s="17">
        <f>'AEO 2023 Table 47 Raw'!O129</f>
        <v>171.721115</v>
      </c>
      <c r="M145" s="17">
        <f>'AEO 2023 Table 47 Raw'!P129</f>
        <v>184.025848</v>
      </c>
      <c r="N145" s="17">
        <f>'AEO 2023 Table 47 Raw'!Q129</f>
        <v>196.38386499999999</v>
      </c>
      <c r="O145" s="17">
        <f>'AEO 2023 Table 47 Raw'!R129</f>
        <v>208.70137</v>
      </c>
      <c r="P145" s="17">
        <f>'AEO 2023 Table 47 Raw'!S129</f>
        <v>221.01852400000001</v>
      </c>
      <c r="Q145" s="17">
        <f>'AEO 2023 Table 47 Raw'!T129</f>
        <v>233.43985000000001</v>
      </c>
      <c r="R145" s="17">
        <f>'AEO 2023 Table 47 Raw'!U129</f>
        <v>246.18055699999999</v>
      </c>
      <c r="S145" s="17">
        <f>'AEO 2023 Table 47 Raw'!V129</f>
        <v>259.24078400000002</v>
      </c>
      <c r="T145" s="17">
        <f>'AEO 2023 Table 47 Raw'!W129</f>
        <v>272.59823599999999</v>
      </c>
      <c r="U145" s="17">
        <f>'AEO 2023 Table 47 Raw'!X129</f>
        <v>286.21472199999999</v>
      </c>
      <c r="V145" s="17">
        <f>'AEO 2023 Table 47 Raw'!Y129</f>
        <v>300.07556199999999</v>
      </c>
      <c r="W145" s="17">
        <f>'AEO 2023 Table 47 Raw'!Z129</f>
        <v>314.157196</v>
      </c>
      <c r="X145" s="17">
        <f>'AEO 2023 Table 47 Raw'!AA129</f>
        <v>328.44482399999998</v>
      </c>
      <c r="Y145" s="17">
        <f>'AEO 2023 Table 47 Raw'!AB129</f>
        <v>342.89700299999998</v>
      </c>
      <c r="Z145" s="17">
        <f>'AEO 2023 Table 47 Raw'!AC129</f>
        <v>357.48037699999998</v>
      </c>
      <c r="AA145" s="17">
        <f>'AEO 2023 Table 47 Raw'!AD129</f>
        <v>372.15881300000001</v>
      </c>
      <c r="AB145" s="17">
        <f>'AEO 2023 Table 47 Raw'!AE129</f>
        <v>386.89511099999999</v>
      </c>
      <c r="AC145" s="17">
        <f>'AEO 2023 Table 47 Raw'!AF129</f>
        <v>401.64532500000001</v>
      </c>
      <c r="AD145" s="17">
        <f>'AEO 2023 Table 47 Raw'!AG129</f>
        <v>416.36498999999998</v>
      </c>
      <c r="AE145" s="17">
        <f>'AEO 2023 Table 47 Raw'!AH129</f>
        <v>431.01361100000003</v>
      </c>
      <c r="AF145" s="30">
        <f>'AEO 2023 Table 47 Raw'!AI129</f>
        <v>6.4000000000000001E-2</v>
      </c>
    </row>
    <row r="146" spans="1:32" ht="12" customHeight="1">
      <c r="A146" s="7" t="s">
        <v>675</v>
      </c>
      <c r="B146" s="16" t="s">
        <v>606</v>
      </c>
      <c r="C146" s="17">
        <f>'AEO 2023 Table 47 Raw'!F130</f>
        <v>20.681094999999999</v>
      </c>
      <c r="D146" s="17">
        <f>'AEO 2023 Table 47 Raw'!G130</f>
        <v>31.151104</v>
      </c>
      <c r="E146" s="17">
        <f>'AEO 2023 Table 47 Raw'!H130</f>
        <v>40.734214999999999</v>
      </c>
      <c r="F146" s="17">
        <f>'AEO 2023 Table 47 Raw'!I130</f>
        <v>48.025737999999997</v>
      </c>
      <c r="G146" s="17">
        <f>'AEO 2023 Table 47 Raw'!J130</f>
        <v>54.971947</v>
      </c>
      <c r="H146" s="17">
        <f>'AEO 2023 Table 47 Raw'!K130</f>
        <v>59.613852999999999</v>
      </c>
      <c r="I146" s="17">
        <f>'AEO 2023 Table 47 Raw'!L130</f>
        <v>63.869911000000002</v>
      </c>
      <c r="J146" s="17">
        <f>'AEO 2023 Table 47 Raw'!M130</f>
        <v>68.771148999999994</v>
      </c>
      <c r="K146" s="17">
        <f>'AEO 2023 Table 47 Raw'!N130</f>
        <v>73.772148000000001</v>
      </c>
      <c r="L146" s="17">
        <f>'AEO 2023 Table 47 Raw'!O130</f>
        <v>78.840309000000005</v>
      </c>
      <c r="M146" s="17">
        <f>'AEO 2023 Table 47 Raw'!P130</f>
        <v>83.953598</v>
      </c>
      <c r="N146" s="17">
        <f>'AEO 2023 Table 47 Raw'!Q130</f>
        <v>89.082618999999994</v>
      </c>
      <c r="O146" s="17">
        <f>'AEO 2023 Table 47 Raw'!R130</f>
        <v>94.194580000000002</v>
      </c>
      <c r="P146" s="17">
        <f>'AEO 2023 Table 47 Raw'!S130</f>
        <v>99.306160000000006</v>
      </c>
      <c r="Q146" s="17">
        <f>'AEO 2023 Table 47 Raw'!T130</f>
        <v>104.45790100000001</v>
      </c>
      <c r="R146" s="17">
        <f>'AEO 2023 Table 47 Raw'!U130</f>
        <v>109.730125</v>
      </c>
      <c r="S146" s="17">
        <f>'AEO 2023 Table 47 Raw'!V130</f>
        <v>115.12342099999999</v>
      </c>
      <c r="T146" s="17">
        <f>'AEO 2023 Table 47 Raw'!W130</f>
        <v>120.629929</v>
      </c>
      <c r="U146" s="17">
        <f>'AEO 2023 Table 47 Raw'!X130</f>
        <v>126.239189</v>
      </c>
      <c r="V146" s="17">
        <f>'AEO 2023 Table 47 Raw'!Y130</f>
        <v>131.944626</v>
      </c>
      <c r="W146" s="17">
        <f>'AEO 2023 Table 47 Raw'!Z130</f>
        <v>137.73826600000001</v>
      </c>
      <c r="X146" s="17">
        <f>'AEO 2023 Table 47 Raw'!AA130</f>
        <v>143.61595199999999</v>
      </c>
      <c r="Y146" s="17">
        <f>'AEO 2023 Table 47 Raw'!AB130</f>
        <v>149.56410199999999</v>
      </c>
      <c r="Z146" s="17">
        <f>'AEO 2023 Table 47 Raw'!AC130</f>
        <v>155.57214400000001</v>
      </c>
      <c r="AA146" s="17">
        <f>'AEO 2023 Table 47 Raw'!AD130</f>
        <v>161.627579</v>
      </c>
      <c r="AB146" s="17">
        <f>'AEO 2023 Table 47 Raw'!AE130</f>
        <v>167.71759</v>
      </c>
      <c r="AC146" s="17">
        <f>'AEO 2023 Table 47 Raw'!AF130</f>
        <v>173.827698</v>
      </c>
      <c r="AD146" s="17">
        <f>'AEO 2023 Table 47 Raw'!AG130</f>
        <v>179.94335899999999</v>
      </c>
      <c r="AE146" s="17">
        <f>'AEO 2023 Table 47 Raw'!AH130</f>
        <v>186.051331</v>
      </c>
      <c r="AF146" s="30">
        <f>'AEO 2023 Table 47 Raw'!AI130</f>
        <v>8.2000000000000003E-2</v>
      </c>
    </row>
    <row r="147" spans="1:32" ht="12" customHeight="1">
      <c r="A147" s="7" t="s">
        <v>676</v>
      </c>
      <c r="B147" s="16" t="s">
        <v>608</v>
      </c>
      <c r="C147" s="17">
        <f>'AEO 2023 Table 47 Raw'!F131</f>
        <v>9.9272690000000008</v>
      </c>
      <c r="D147" s="17">
        <f>'AEO 2023 Table 47 Raw'!G131</f>
        <v>11.185945</v>
      </c>
      <c r="E147" s="17">
        <f>'AEO 2023 Table 47 Raw'!H131</f>
        <v>11.666002000000001</v>
      </c>
      <c r="F147" s="17">
        <f>'AEO 2023 Table 47 Raw'!I131</f>
        <v>11.996092000000001</v>
      </c>
      <c r="G147" s="17">
        <f>'AEO 2023 Table 47 Raw'!J131</f>
        <v>13.228529999999999</v>
      </c>
      <c r="H147" s="17">
        <f>'AEO 2023 Table 47 Raw'!K131</f>
        <v>14.534067</v>
      </c>
      <c r="I147" s="17">
        <f>'AEO 2023 Table 47 Raw'!L131</f>
        <v>15.897460000000001</v>
      </c>
      <c r="J147" s="17">
        <f>'AEO 2023 Table 47 Raw'!M131</f>
        <v>17.308926</v>
      </c>
      <c r="K147" s="17">
        <f>'AEO 2023 Table 47 Raw'!N131</f>
        <v>18.757919000000001</v>
      </c>
      <c r="L147" s="17">
        <f>'AEO 2023 Table 47 Raw'!O131</f>
        <v>20.232868</v>
      </c>
      <c r="M147" s="17">
        <f>'AEO 2023 Table 47 Raw'!P131</f>
        <v>21.725401000000002</v>
      </c>
      <c r="N147" s="17">
        <f>'AEO 2023 Table 47 Raw'!Q131</f>
        <v>23.224907000000002</v>
      </c>
      <c r="O147" s="17">
        <f>'AEO 2023 Table 47 Raw'!R131</f>
        <v>24.719524</v>
      </c>
      <c r="P147" s="17">
        <f>'AEO 2023 Table 47 Raw'!S131</f>
        <v>26.214109000000001</v>
      </c>
      <c r="Q147" s="17">
        <f>'AEO 2023 Table 47 Raw'!T131</f>
        <v>27.721582000000001</v>
      </c>
      <c r="R147" s="17">
        <f>'AEO 2023 Table 47 Raw'!U131</f>
        <v>29.26877</v>
      </c>
      <c r="S147" s="17">
        <f>'AEO 2023 Table 47 Raw'!V131</f>
        <v>30.855650000000001</v>
      </c>
      <c r="T147" s="17">
        <f>'AEO 2023 Table 47 Raw'!W131</f>
        <v>32.479407999999999</v>
      </c>
      <c r="U147" s="17">
        <f>'AEO 2023 Table 47 Raw'!X131</f>
        <v>34.134968000000001</v>
      </c>
      <c r="V147" s="17">
        <f>'AEO 2023 Table 47 Raw'!Y131</f>
        <v>35.820602000000001</v>
      </c>
      <c r="W147" s="17">
        <f>'AEO 2023 Table 47 Raw'!Z131</f>
        <v>37.533295000000003</v>
      </c>
      <c r="X147" s="17">
        <f>'AEO 2023 Table 47 Raw'!AA131</f>
        <v>39.271095000000003</v>
      </c>
      <c r="Y147" s="17">
        <f>'AEO 2023 Table 47 Raw'!AB131</f>
        <v>41.028694000000002</v>
      </c>
      <c r="Z147" s="17">
        <f>'AEO 2023 Table 47 Raw'!AC131</f>
        <v>42.801788000000002</v>
      </c>
      <c r="AA147" s="17">
        <f>'AEO 2023 Table 47 Raw'!AD131</f>
        <v>44.585773000000003</v>
      </c>
      <c r="AB147" s="17">
        <f>'AEO 2023 Table 47 Raw'!AE131</f>
        <v>46.375937999999998</v>
      </c>
      <c r="AC147" s="17">
        <f>'AEO 2023 Table 47 Raw'!AF131</f>
        <v>48.166649</v>
      </c>
      <c r="AD147" s="17">
        <f>'AEO 2023 Table 47 Raw'!AG131</f>
        <v>49.952205999999997</v>
      </c>
      <c r="AE147" s="17">
        <f>'AEO 2023 Table 47 Raw'!AH131</f>
        <v>51.727398000000001</v>
      </c>
      <c r="AF147" s="30">
        <f>'AEO 2023 Table 47 Raw'!AI131</f>
        <v>6.0999999999999999E-2</v>
      </c>
    </row>
    <row r="148" spans="1:32" ht="12" customHeight="1">
      <c r="A148" s="7" t="s">
        <v>677</v>
      </c>
      <c r="B148" s="16" t="s">
        <v>610</v>
      </c>
      <c r="C148" s="17">
        <f>'AEO 2023 Table 47 Raw'!F132</f>
        <v>375.91976899999997</v>
      </c>
      <c r="D148" s="17">
        <f>'AEO 2023 Table 47 Raw'!G132</f>
        <v>481.70532200000002</v>
      </c>
      <c r="E148" s="17">
        <f>'AEO 2023 Table 47 Raw'!H132</f>
        <v>566.80071999999996</v>
      </c>
      <c r="F148" s="17">
        <f>'AEO 2023 Table 47 Raw'!I132</f>
        <v>619.48498500000005</v>
      </c>
      <c r="G148" s="17">
        <f>'AEO 2023 Table 47 Raw'!J132</f>
        <v>692.50787400000002</v>
      </c>
      <c r="H148" s="17">
        <f>'AEO 2023 Table 47 Raw'!K132</f>
        <v>742.44305399999996</v>
      </c>
      <c r="I148" s="17">
        <f>'AEO 2023 Table 47 Raw'!L132</f>
        <v>789.48498500000005</v>
      </c>
      <c r="J148" s="17">
        <f>'AEO 2023 Table 47 Raw'!M132</f>
        <v>826.39794900000004</v>
      </c>
      <c r="K148" s="17">
        <f>'AEO 2023 Table 47 Raw'!N132</f>
        <v>863.72631799999999</v>
      </c>
      <c r="L148" s="17">
        <f>'AEO 2023 Table 47 Raw'!O132</f>
        <v>901.85369900000001</v>
      </c>
      <c r="M148" s="17">
        <f>'AEO 2023 Table 47 Raw'!P132</f>
        <v>941.02893100000006</v>
      </c>
      <c r="N148" s="17">
        <f>'AEO 2023 Table 47 Raw'!Q132</f>
        <v>981.25726299999997</v>
      </c>
      <c r="O148" s="17">
        <f>'AEO 2023 Table 47 Raw'!R132</f>
        <v>1022.627808</v>
      </c>
      <c r="P148" s="17">
        <f>'AEO 2023 Table 47 Raw'!S132</f>
        <v>1065.224731</v>
      </c>
      <c r="Q148" s="17">
        <f>'AEO 2023 Table 47 Raw'!T132</f>
        <v>1108.5661620000001</v>
      </c>
      <c r="R148" s="17">
        <f>'AEO 2023 Table 47 Raw'!U132</f>
        <v>1153.0804439999999</v>
      </c>
      <c r="S148" s="17">
        <f>'AEO 2023 Table 47 Raw'!V132</f>
        <v>1198.8654790000001</v>
      </c>
      <c r="T148" s="17">
        <f>'AEO 2023 Table 47 Raw'!W132</f>
        <v>1245.9023440000001</v>
      </c>
      <c r="U148" s="17">
        <f>'AEO 2023 Table 47 Raw'!X132</f>
        <v>1294.303101</v>
      </c>
      <c r="V148" s="17">
        <f>'AEO 2023 Table 47 Raw'!Y132</f>
        <v>1343.3957519999999</v>
      </c>
      <c r="W148" s="17">
        <f>'AEO 2023 Table 47 Raw'!Z132</f>
        <v>1393.615845</v>
      </c>
      <c r="X148" s="17">
        <f>'AEO 2023 Table 47 Raw'!AA132</f>
        <v>1445.0317379999999</v>
      </c>
      <c r="Y148" s="17">
        <f>'AEO 2023 Table 47 Raw'!AB132</f>
        <v>1497.6895750000001</v>
      </c>
      <c r="Z148" s="17">
        <f>'AEO 2023 Table 47 Raw'!AC132</f>
        <v>1551.5473629999999</v>
      </c>
      <c r="AA148" s="17">
        <f>'AEO 2023 Table 47 Raw'!AD132</f>
        <v>1605.368774</v>
      </c>
      <c r="AB148" s="17">
        <f>'AEO 2023 Table 47 Raw'!AE132</f>
        <v>1660.1064449999999</v>
      </c>
      <c r="AC148" s="17">
        <f>'AEO 2023 Table 47 Raw'!AF132</f>
        <v>1716.0744629999999</v>
      </c>
      <c r="AD148" s="17">
        <f>'AEO 2023 Table 47 Raw'!AG132</f>
        <v>1773.384644</v>
      </c>
      <c r="AE148" s="17">
        <f>'AEO 2023 Table 47 Raw'!AH132</f>
        <v>1832.1719969999999</v>
      </c>
      <c r="AF148" s="30">
        <f>'AEO 2023 Table 47 Raw'!AI132</f>
        <v>5.8000000000000003E-2</v>
      </c>
    </row>
    <row r="149" spans="1:32" ht="12" customHeight="1">
      <c r="A149" s="7" t="s">
        <v>678</v>
      </c>
      <c r="B149" s="16" t="s">
        <v>630</v>
      </c>
      <c r="C149" s="17">
        <f>'AEO 2023 Table 47 Raw'!F133</f>
        <v>202.08255</v>
      </c>
      <c r="D149" s="17">
        <f>'AEO 2023 Table 47 Raw'!G133</f>
        <v>239.99041700000001</v>
      </c>
      <c r="E149" s="17">
        <f>'AEO 2023 Table 47 Raw'!H133</f>
        <v>264.53637700000002</v>
      </c>
      <c r="F149" s="17">
        <f>'AEO 2023 Table 47 Raw'!I133</f>
        <v>278.37924199999998</v>
      </c>
      <c r="G149" s="17">
        <f>'AEO 2023 Table 47 Raw'!J133</f>
        <v>305.40206899999998</v>
      </c>
      <c r="H149" s="17">
        <f>'AEO 2023 Table 47 Raw'!K133</f>
        <v>325.109375</v>
      </c>
      <c r="I149" s="17">
        <f>'AEO 2023 Table 47 Raw'!L133</f>
        <v>344.39532500000001</v>
      </c>
      <c r="J149" s="17">
        <f>'AEO 2023 Table 47 Raw'!M133</f>
        <v>361.64950599999997</v>
      </c>
      <c r="K149" s="17">
        <f>'AEO 2023 Table 47 Raw'!N133</f>
        <v>379.05777</v>
      </c>
      <c r="L149" s="17">
        <f>'AEO 2023 Table 47 Raw'!O133</f>
        <v>396.874908</v>
      </c>
      <c r="M149" s="17">
        <f>'AEO 2023 Table 47 Raw'!P133</f>
        <v>415.19317599999999</v>
      </c>
      <c r="N149" s="17">
        <f>'AEO 2023 Table 47 Raw'!Q133</f>
        <v>434.01336700000002</v>
      </c>
      <c r="O149" s="17">
        <f>'AEO 2023 Table 47 Raw'!R133</f>
        <v>453.38519300000002</v>
      </c>
      <c r="P149" s="17">
        <f>'AEO 2023 Table 47 Raw'!S133</f>
        <v>473.35357699999997</v>
      </c>
      <c r="Q149" s="17">
        <f>'AEO 2023 Table 47 Raw'!T133</f>
        <v>493.69140599999997</v>
      </c>
      <c r="R149" s="17">
        <f>'AEO 2023 Table 47 Raw'!U133</f>
        <v>514.59161400000005</v>
      </c>
      <c r="S149" s="17">
        <f>'AEO 2023 Table 47 Raw'!V133</f>
        <v>536.10888699999998</v>
      </c>
      <c r="T149" s="17">
        <f>'AEO 2023 Table 47 Raw'!W133</f>
        <v>558.22985800000004</v>
      </c>
      <c r="U149" s="17">
        <f>'AEO 2023 Table 47 Raw'!X133</f>
        <v>581.01440400000001</v>
      </c>
      <c r="V149" s="17">
        <f>'AEO 2023 Table 47 Raw'!Y133</f>
        <v>604.13098100000002</v>
      </c>
      <c r="W149" s="17">
        <f>'AEO 2023 Table 47 Raw'!Z133</f>
        <v>627.776794</v>
      </c>
      <c r="X149" s="17">
        <f>'AEO 2023 Table 47 Raw'!AA133</f>
        <v>651.98644999999999</v>
      </c>
      <c r="Y149" s="17">
        <f>'AEO 2023 Table 47 Raw'!AB133</f>
        <v>676.78234899999995</v>
      </c>
      <c r="Z149" s="17">
        <f>'AEO 2023 Table 47 Raw'!AC133</f>
        <v>702.13751200000002</v>
      </c>
      <c r="AA149" s="17">
        <f>'AEO 2023 Table 47 Raw'!AD133</f>
        <v>727.42218000000003</v>
      </c>
      <c r="AB149" s="17">
        <f>'AEO 2023 Table 47 Raw'!AE133</f>
        <v>753.10339399999998</v>
      </c>
      <c r="AC149" s="17">
        <f>'AEO 2023 Table 47 Raw'!AF133</f>
        <v>779.35504200000003</v>
      </c>
      <c r="AD149" s="17">
        <f>'AEO 2023 Table 47 Raw'!AG133</f>
        <v>806.23724400000003</v>
      </c>
      <c r="AE149" s="17">
        <f>'AEO 2023 Table 47 Raw'!AH133</f>
        <v>833.82495100000006</v>
      </c>
      <c r="AF149" s="30">
        <f>'AEO 2023 Table 47 Raw'!AI133</f>
        <v>5.1999999999999998E-2</v>
      </c>
    </row>
    <row r="150" spans="1:32" ht="15" customHeight="1">
      <c r="A150" s="7" t="s">
        <v>679</v>
      </c>
      <c r="B150" s="16" t="s">
        <v>606</v>
      </c>
      <c r="C150" s="17">
        <f>'AEO 2023 Table 47 Raw'!F134</f>
        <v>155.46173099999999</v>
      </c>
      <c r="D150" s="17">
        <f>'AEO 2023 Table 47 Raw'!G134</f>
        <v>220.74285900000001</v>
      </c>
      <c r="E150" s="17">
        <f>'AEO 2023 Table 47 Raw'!H134</f>
        <v>279.43624899999998</v>
      </c>
      <c r="F150" s="17">
        <f>'AEO 2023 Table 47 Raw'!I134</f>
        <v>317.849243</v>
      </c>
      <c r="G150" s="17">
        <f>'AEO 2023 Table 47 Raw'!J134</f>
        <v>362.02066000000002</v>
      </c>
      <c r="H150" s="17">
        <f>'AEO 2023 Table 47 Raw'!K134</f>
        <v>390.80450400000001</v>
      </c>
      <c r="I150" s="17">
        <f>'AEO 2023 Table 47 Raw'!L134</f>
        <v>417.08648699999998</v>
      </c>
      <c r="J150" s="17">
        <f>'AEO 2023 Table 47 Raw'!M134</f>
        <v>435.25451700000002</v>
      </c>
      <c r="K150" s="17">
        <f>'AEO 2023 Table 47 Raw'!N134</f>
        <v>453.67334</v>
      </c>
      <c r="L150" s="17">
        <f>'AEO 2023 Table 47 Raw'!O134</f>
        <v>472.444458</v>
      </c>
      <c r="M150" s="17">
        <f>'AEO 2023 Table 47 Raw'!P134</f>
        <v>491.71816999999999</v>
      </c>
      <c r="N150" s="17">
        <f>'AEO 2023 Table 47 Raw'!Q134</f>
        <v>511.49902300000002</v>
      </c>
      <c r="O150" s="17">
        <f>'AEO 2023 Table 47 Raw'!R134</f>
        <v>531.82147199999997</v>
      </c>
      <c r="P150" s="17">
        <f>'AEO 2023 Table 47 Raw'!S134</f>
        <v>552.72070299999996</v>
      </c>
      <c r="Q150" s="17">
        <f>'AEO 2023 Table 47 Raw'!T134</f>
        <v>573.96124299999997</v>
      </c>
      <c r="R150" s="17">
        <f>'AEO 2023 Table 47 Raw'!U134</f>
        <v>595.76293899999996</v>
      </c>
      <c r="S150" s="17">
        <f>'AEO 2023 Table 47 Raw'!V134</f>
        <v>618.16339100000005</v>
      </c>
      <c r="T150" s="17">
        <f>'AEO 2023 Table 47 Raw'!W134</f>
        <v>641.15844700000002</v>
      </c>
      <c r="U150" s="17">
        <f>'AEO 2023 Table 47 Raw'!X134</f>
        <v>664.79449499999998</v>
      </c>
      <c r="V150" s="17">
        <f>'AEO 2023 Table 47 Raw'!Y134</f>
        <v>688.76110800000004</v>
      </c>
      <c r="W150" s="17">
        <f>'AEO 2023 Table 47 Raw'!Z134</f>
        <v>713.28021200000001</v>
      </c>
      <c r="X150" s="17">
        <f>'AEO 2023 Table 47 Raw'!AA134</f>
        <v>738.38207999999997</v>
      </c>
      <c r="Y150" s="17">
        <f>'AEO 2023 Table 47 Raw'!AB134</f>
        <v>764.08868399999994</v>
      </c>
      <c r="Z150" s="17">
        <f>'AEO 2023 Table 47 Raw'!AC134</f>
        <v>790.38763400000005</v>
      </c>
      <c r="AA150" s="17">
        <f>'AEO 2023 Table 47 Raw'!AD134</f>
        <v>816.730591</v>
      </c>
      <c r="AB150" s="17">
        <f>'AEO 2023 Table 47 Raw'!AE134</f>
        <v>843.56140100000005</v>
      </c>
      <c r="AC150" s="17">
        <f>'AEO 2023 Table 47 Raw'!AF134</f>
        <v>871.00286900000003</v>
      </c>
      <c r="AD150" s="17">
        <f>'AEO 2023 Table 47 Raw'!AG134</f>
        <v>899.10162400000002</v>
      </c>
      <c r="AE150" s="17">
        <f>'AEO 2023 Table 47 Raw'!AH134</f>
        <v>927.90972899999997</v>
      </c>
      <c r="AF150" s="30">
        <f>'AEO 2023 Table 47 Raw'!AI134</f>
        <v>6.6000000000000003E-2</v>
      </c>
    </row>
    <row r="151" spans="1:32" ht="15" customHeight="1">
      <c r="A151" s="7" t="s">
        <v>680</v>
      </c>
      <c r="B151" s="16" t="s">
        <v>608</v>
      </c>
      <c r="C151" s="17">
        <f>'AEO 2023 Table 47 Raw'!F135</f>
        <v>18.375473</v>
      </c>
      <c r="D151" s="17">
        <f>'AEO 2023 Table 47 Raw'!G135</f>
        <v>20.972035999999999</v>
      </c>
      <c r="E151" s="17">
        <f>'AEO 2023 Table 47 Raw'!H135</f>
        <v>22.828130999999999</v>
      </c>
      <c r="F151" s="17">
        <f>'AEO 2023 Table 47 Raw'!I135</f>
        <v>23.256474000000001</v>
      </c>
      <c r="G151" s="17">
        <f>'AEO 2023 Table 47 Raw'!J135</f>
        <v>25.085111999999999</v>
      </c>
      <c r="H151" s="17">
        <f>'AEO 2023 Table 47 Raw'!K135</f>
        <v>26.529171000000002</v>
      </c>
      <c r="I151" s="17">
        <f>'AEO 2023 Table 47 Raw'!L135</f>
        <v>28.003108999999998</v>
      </c>
      <c r="J151" s="17">
        <f>'AEO 2023 Table 47 Raw'!M135</f>
        <v>29.493925000000001</v>
      </c>
      <c r="K151" s="17">
        <f>'AEO 2023 Table 47 Raw'!N135</f>
        <v>30.995201000000002</v>
      </c>
      <c r="L151" s="17">
        <f>'AEO 2023 Table 47 Raw'!O135</f>
        <v>32.534325000000003</v>
      </c>
      <c r="M151" s="17">
        <f>'AEO 2023 Table 47 Raw'!P135</f>
        <v>34.117558000000002</v>
      </c>
      <c r="N151" s="17">
        <f>'AEO 2023 Table 47 Raw'!Q135</f>
        <v>35.744843000000003</v>
      </c>
      <c r="O151" s="17">
        <f>'AEO 2023 Table 47 Raw'!R135</f>
        <v>37.421059</v>
      </c>
      <c r="P151" s="17">
        <f>'AEO 2023 Table 47 Raw'!S135</f>
        <v>39.150475</v>
      </c>
      <c r="Q151" s="17">
        <f>'AEO 2023 Table 47 Raw'!T135</f>
        <v>40.913345</v>
      </c>
      <c r="R151" s="17">
        <f>'AEO 2023 Table 47 Raw'!U135</f>
        <v>42.7258</v>
      </c>
      <c r="S151" s="17">
        <f>'AEO 2023 Table 47 Raw'!V135</f>
        <v>44.593226999999999</v>
      </c>
      <c r="T151" s="17">
        <f>'AEO 2023 Table 47 Raw'!W135</f>
        <v>46.514130000000002</v>
      </c>
      <c r="U151" s="17">
        <f>'AEO 2023 Table 47 Raw'!X135</f>
        <v>48.494213000000002</v>
      </c>
      <c r="V151" s="17">
        <f>'AEO 2023 Table 47 Raw'!Y135</f>
        <v>50.503624000000002</v>
      </c>
      <c r="W151" s="17">
        <f>'AEO 2023 Table 47 Raw'!Z135</f>
        <v>52.558903000000001</v>
      </c>
      <c r="X151" s="17">
        <f>'AEO 2023 Table 47 Raw'!AA135</f>
        <v>54.663254000000002</v>
      </c>
      <c r="Y151" s="17">
        <f>'AEO 2023 Table 47 Raw'!AB135</f>
        <v>56.818660999999999</v>
      </c>
      <c r="Z151" s="17">
        <f>'AEO 2023 Table 47 Raw'!AC135</f>
        <v>59.022284999999997</v>
      </c>
      <c r="AA151" s="17">
        <f>'AEO 2023 Table 47 Raw'!AD135</f>
        <v>61.216000000000001</v>
      </c>
      <c r="AB151" s="17">
        <f>'AEO 2023 Table 47 Raw'!AE135</f>
        <v>63.441715000000002</v>
      </c>
      <c r="AC151" s="17">
        <f>'AEO 2023 Table 47 Raw'!AF135</f>
        <v>65.716399999999993</v>
      </c>
      <c r="AD151" s="17">
        <f>'AEO 2023 Table 47 Raw'!AG135</f>
        <v>68.045783999999998</v>
      </c>
      <c r="AE151" s="17">
        <f>'AEO 2023 Table 47 Raw'!AH135</f>
        <v>70.437195000000003</v>
      </c>
      <c r="AF151" s="30">
        <f>'AEO 2023 Table 47 Raw'!AI135</f>
        <v>4.9000000000000002E-2</v>
      </c>
    </row>
    <row r="152" spans="1:32" ht="15" customHeight="1">
      <c r="A152" s="7" t="s">
        <v>681</v>
      </c>
      <c r="B152" s="16" t="s">
        <v>610</v>
      </c>
      <c r="C152" s="17">
        <f>'AEO 2023 Table 47 Raw'!F136</f>
        <v>162.27954099999999</v>
      </c>
      <c r="D152" s="17">
        <f>'AEO 2023 Table 47 Raw'!G136</f>
        <v>220.34437600000001</v>
      </c>
      <c r="E152" s="17">
        <f>'AEO 2023 Table 47 Raw'!H136</f>
        <v>283.60168499999997</v>
      </c>
      <c r="F152" s="17">
        <f>'AEO 2023 Table 47 Raw'!I136</f>
        <v>335.28662100000003</v>
      </c>
      <c r="G152" s="17">
        <f>'AEO 2023 Table 47 Raw'!J136</f>
        <v>373.78436299999998</v>
      </c>
      <c r="H152" s="17">
        <f>'AEO 2023 Table 47 Raw'!K136</f>
        <v>399.65692100000001</v>
      </c>
      <c r="I152" s="17">
        <f>'AEO 2023 Table 47 Raw'!L136</f>
        <v>424.588165</v>
      </c>
      <c r="J152" s="17">
        <f>'AEO 2023 Table 47 Raw'!M136</f>
        <v>444.73553500000003</v>
      </c>
      <c r="K152" s="17">
        <f>'AEO 2023 Table 47 Raw'!N136</f>
        <v>465.55981400000002</v>
      </c>
      <c r="L152" s="17">
        <f>'AEO 2023 Table 47 Raw'!O136</f>
        <v>486.492706</v>
      </c>
      <c r="M152" s="17">
        <f>'AEO 2023 Table 47 Raw'!P136</f>
        <v>508.21795700000001</v>
      </c>
      <c r="N152" s="17">
        <f>'AEO 2023 Table 47 Raw'!Q136</f>
        <v>530.80432099999996</v>
      </c>
      <c r="O152" s="17">
        <f>'AEO 2023 Table 47 Raw'!R136</f>
        <v>554.29113800000005</v>
      </c>
      <c r="P152" s="17">
        <f>'AEO 2023 Table 47 Raw'!S136</f>
        <v>578.72289999999998</v>
      </c>
      <c r="Q152" s="17">
        <f>'AEO 2023 Table 47 Raw'!T136</f>
        <v>603.86834699999997</v>
      </c>
      <c r="R152" s="17">
        <f>'AEO 2023 Table 47 Raw'!U136</f>
        <v>629.992615</v>
      </c>
      <c r="S152" s="17">
        <f>'AEO 2023 Table 47 Raw'!V136</f>
        <v>657.12609899999995</v>
      </c>
      <c r="T152" s="17">
        <f>'AEO 2023 Table 47 Raw'!W136</f>
        <v>685.28576699999996</v>
      </c>
      <c r="U152" s="17">
        <f>'AEO 2023 Table 47 Raw'!X136</f>
        <v>714.50665300000003</v>
      </c>
      <c r="V152" s="17">
        <f>'AEO 2023 Table 47 Raw'!Y136</f>
        <v>744.58624299999997</v>
      </c>
      <c r="W152" s="17">
        <f>'AEO 2023 Table 47 Raw'!Z136</f>
        <v>775.77813700000002</v>
      </c>
      <c r="X152" s="17">
        <f>'AEO 2023 Table 47 Raw'!AA136</f>
        <v>808.120544</v>
      </c>
      <c r="Y152" s="17">
        <f>'AEO 2023 Table 47 Raw'!AB136</f>
        <v>841.64727800000003</v>
      </c>
      <c r="Z152" s="17">
        <f>'AEO 2023 Table 47 Raw'!AC136</f>
        <v>876.40563999999995</v>
      </c>
      <c r="AA152" s="17">
        <f>'AEO 2023 Table 47 Raw'!AD136</f>
        <v>912.07891800000004</v>
      </c>
      <c r="AB152" s="17">
        <f>'AEO 2023 Table 47 Raw'!AE136</f>
        <v>949.02533000000005</v>
      </c>
      <c r="AC152" s="17">
        <f>'AEO 2023 Table 47 Raw'!AF136</f>
        <v>987.29339600000003</v>
      </c>
      <c r="AD152" s="17">
        <f>'AEO 2023 Table 47 Raw'!AG136</f>
        <v>1026.921143</v>
      </c>
      <c r="AE152" s="17">
        <f>'AEO 2023 Table 47 Raw'!AH136</f>
        <v>1067.9521480000001</v>
      </c>
      <c r="AF152" s="30">
        <f>'AEO 2023 Table 47 Raw'!AI136</f>
        <v>7.0000000000000007E-2</v>
      </c>
    </row>
    <row r="153" spans="1:32" ht="15" customHeight="1">
      <c r="A153" s="7" t="s">
        <v>682</v>
      </c>
      <c r="B153" s="16" t="s">
        <v>632</v>
      </c>
      <c r="C153" s="17">
        <f>'AEO 2023 Table 47 Raw'!F137</f>
        <v>47.925185999999997</v>
      </c>
      <c r="D153" s="17">
        <f>'AEO 2023 Table 47 Raw'!G137</f>
        <v>65.206665000000001</v>
      </c>
      <c r="E153" s="17">
        <f>'AEO 2023 Table 47 Raw'!H137</f>
        <v>84.260093999999995</v>
      </c>
      <c r="F153" s="17">
        <f>'AEO 2023 Table 47 Raw'!I137</f>
        <v>98.283669000000003</v>
      </c>
      <c r="G153" s="17">
        <f>'AEO 2023 Table 47 Raw'!J137</f>
        <v>106.965828</v>
      </c>
      <c r="H153" s="17">
        <f>'AEO 2023 Table 47 Raw'!K137</f>
        <v>113.162628</v>
      </c>
      <c r="I153" s="17">
        <f>'AEO 2023 Table 47 Raw'!L137</f>
        <v>119.248817</v>
      </c>
      <c r="J153" s="17">
        <f>'AEO 2023 Table 47 Raw'!M137</f>
        <v>124.49781</v>
      </c>
      <c r="K153" s="17">
        <f>'AEO 2023 Table 47 Raw'!N137</f>
        <v>129.91471899999999</v>
      </c>
      <c r="L153" s="17">
        <f>'AEO 2023 Table 47 Raw'!O137</f>
        <v>135.37001000000001</v>
      </c>
      <c r="M153" s="17">
        <f>'AEO 2023 Table 47 Raw'!P137</f>
        <v>140.99529999999999</v>
      </c>
      <c r="N153" s="17">
        <f>'AEO 2023 Table 47 Raw'!Q137</f>
        <v>146.82103000000001</v>
      </c>
      <c r="O153" s="17">
        <f>'AEO 2023 Table 47 Raw'!R137</f>
        <v>152.85952800000001</v>
      </c>
      <c r="P153" s="17">
        <f>'AEO 2023 Table 47 Raw'!S137</f>
        <v>159.126328</v>
      </c>
      <c r="Q153" s="17">
        <f>'AEO 2023 Table 47 Raw'!T137</f>
        <v>165.56712300000001</v>
      </c>
      <c r="R153" s="17">
        <f>'AEO 2023 Table 47 Raw'!U137</f>
        <v>172.23751799999999</v>
      </c>
      <c r="S153" s="17">
        <f>'AEO 2023 Table 47 Raw'!V137</f>
        <v>179.143967</v>
      </c>
      <c r="T153" s="17">
        <f>'AEO 2023 Table 47 Raw'!W137</f>
        <v>186.28448499999999</v>
      </c>
      <c r="U153" s="17">
        <f>'AEO 2023 Table 47 Raw'!X137</f>
        <v>193.666122</v>
      </c>
      <c r="V153" s="17">
        <f>'AEO 2023 Table 47 Raw'!Y137</f>
        <v>201.24624600000001</v>
      </c>
      <c r="W153" s="17">
        <f>'AEO 2023 Table 47 Raw'!Z137</f>
        <v>209.07875100000001</v>
      </c>
      <c r="X153" s="17">
        <f>'AEO 2023 Table 47 Raw'!AA137</f>
        <v>217.173676</v>
      </c>
      <c r="Y153" s="17">
        <f>'AEO 2023 Table 47 Raw'!AB137</f>
        <v>225.537994</v>
      </c>
      <c r="Z153" s="17">
        <f>'AEO 2023 Table 47 Raw'!AC137</f>
        <v>234.18237300000001</v>
      </c>
      <c r="AA153" s="17">
        <f>'AEO 2023 Table 47 Raw'!AD137</f>
        <v>243.03521699999999</v>
      </c>
      <c r="AB153" s="17">
        <f>'AEO 2023 Table 47 Raw'!AE137</f>
        <v>252.17364499999999</v>
      </c>
      <c r="AC153" s="17">
        <f>'AEO 2023 Table 47 Raw'!AF137</f>
        <v>261.61105300000003</v>
      </c>
      <c r="AD153" s="17">
        <f>'AEO 2023 Table 47 Raw'!AG137</f>
        <v>271.35537699999998</v>
      </c>
      <c r="AE153" s="17">
        <f>'AEO 2023 Table 47 Raw'!AH137</f>
        <v>281.41656499999999</v>
      </c>
      <c r="AF153" s="30">
        <f>'AEO 2023 Table 47 Raw'!AI137</f>
        <v>6.5000000000000002E-2</v>
      </c>
    </row>
    <row r="154" spans="1:32" ht="15" customHeight="1">
      <c r="A154" s="7" t="s">
        <v>683</v>
      </c>
      <c r="B154" s="16" t="s">
        <v>606</v>
      </c>
      <c r="C154" s="17">
        <f>'AEO 2023 Table 47 Raw'!F138</f>
        <v>111.985527</v>
      </c>
      <c r="D154" s="17">
        <f>'AEO 2023 Table 47 Raw'!G138</f>
        <v>151.942352</v>
      </c>
      <c r="E154" s="17">
        <f>'AEO 2023 Table 47 Raw'!H138</f>
        <v>195.23732000000001</v>
      </c>
      <c r="F154" s="17">
        <f>'AEO 2023 Table 47 Raw'!I138</f>
        <v>232.306488</v>
      </c>
      <c r="G154" s="17">
        <f>'AEO 2023 Table 47 Raw'!J138</f>
        <v>261.88717700000001</v>
      </c>
      <c r="H154" s="17">
        <f>'AEO 2023 Table 47 Raw'!K138</f>
        <v>281.36276199999998</v>
      </c>
      <c r="I154" s="17">
        <f>'AEO 2023 Table 47 Raw'!L138</f>
        <v>300.00149499999998</v>
      </c>
      <c r="J154" s="17">
        <f>'AEO 2023 Table 47 Raw'!M138</f>
        <v>314.694458</v>
      </c>
      <c r="K154" s="17">
        <f>'AEO 2023 Table 47 Raw'!N138</f>
        <v>329.890533</v>
      </c>
      <c r="L154" s="17">
        <f>'AEO 2023 Table 47 Raw'!O138</f>
        <v>345.15454099999999</v>
      </c>
      <c r="M154" s="17">
        <f>'AEO 2023 Table 47 Raw'!P138</f>
        <v>361.03707900000001</v>
      </c>
      <c r="N154" s="17">
        <f>'AEO 2023 Table 47 Raw'!Q138</f>
        <v>377.57427999999999</v>
      </c>
      <c r="O154" s="17">
        <f>'AEO 2023 Table 47 Raw'!R138</f>
        <v>394.79260299999999</v>
      </c>
      <c r="P154" s="17">
        <f>'AEO 2023 Table 47 Raw'!S138</f>
        <v>412.71994000000001</v>
      </c>
      <c r="Q154" s="17">
        <f>'AEO 2023 Table 47 Raw'!T138</f>
        <v>431.18127399999997</v>
      </c>
      <c r="R154" s="17">
        <f>'AEO 2023 Table 47 Raw'!U138</f>
        <v>450.384613</v>
      </c>
      <c r="S154" s="17">
        <f>'AEO 2023 Table 47 Raw'!V138</f>
        <v>470.35406499999999</v>
      </c>
      <c r="T154" s="17">
        <f>'AEO 2023 Table 47 Raw'!W138</f>
        <v>491.10906999999997</v>
      </c>
      <c r="U154" s="17">
        <f>'AEO 2023 Table 47 Raw'!X138</f>
        <v>512.677368</v>
      </c>
      <c r="V154" s="17">
        <f>'AEO 2023 Table 47 Raw'!Y138</f>
        <v>534.90020800000002</v>
      </c>
      <c r="W154" s="17">
        <f>'AEO 2023 Table 47 Raw'!Z138</f>
        <v>557.97601299999997</v>
      </c>
      <c r="X154" s="17">
        <f>'AEO 2023 Table 47 Raw'!AA138</f>
        <v>581.93243399999994</v>
      </c>
      <c r="Y154" s="17">
        <f>'AEO 2023 Table 47 Raw'!AB138</f>
        <v>606.79632600000002</v>
      </c>
      <c r="Z154" s="17">
        <f>'AEO 2023 Table 47 Raw'!AC138</f>
        <v>632.60412599999995</v>
      </c>
      <c r="AA154" s="17">
        <f>'AEO 2023 Table 47 Raw'!AD138</f>
        <v>659.11236599999995</v>
      </c>
      <c r="AB154" s="17">
        <f>'AEO 2023 Table 47 Raw'!AE138</f>
        <v>686.60070800000005</v>
      </c>
      <c r="AC154" s="17">
        <f>'AEO 2023 Table 47 Raw'!AF138</f>
        <v>715.10357699999997</v>
      </c>
      <c r="AD154" s="17">
        <f>'AEO 2023 Table 47 Raw'!AG138</f>
        <v>744.650757</v>
      </c>
      <c r="AE154" s="17">
        <f>'AEO 2023 Table 47 Raw'!AH138</f>
        <v>775.27581799999996</v>
      </c>
      <c r="AF154" s="30">
        <f>'AEO 2023 Table 47 Raw'!AI138</f>
        <v>7.1999999999999995E-2</v>
      </c>
    </row>
    <row r="155" spans="1:32" ht="15" customHeight="1">
      <c r="A155" s="7" t="s">
        <v>684</v>
      </c>
      <c r="B155" s="16" t="s">
        <v>608</v>
      </c>
      <c r="C155" s="17">
        <f>'AEO 2023 Table 47 Raw'!F139</f>
        <v>2.3688289999999999</v>
      </c>
      <c r="D155" s="17">
        <f>'AEO 2023 Table 47 Raw'!G139</f>
        <v>3.1953429999999998</v>
      </c>
      <c r="E155" s="17">
        <f>'AEO 2023 Table 47 Raw'!H139</f>
        <v>4.1042870000000002</v>
      </c>
      <c r="F155" s="17">
        <f>'AEO 2023 Table 47 Raw'!I139</f>
        <v>4.6964689999999996</v>
      </c>
      <c r="G155" s="17">
        <f>'AEO 2023 Table 47 Raw'!J139</f>
        <v>4.9313560000000001</v>
      </c>
      <c r="H155" s="17">
        <f>'AEO 2023 Table 47 Raw'!K139</f>
        <v>5.1315350000000004</v>
      </c>
      <c r="I155" s="17">
        <f>'AEO 2023 Table 47 Raw'!L139</f>
        <v>5.3378620000000003</v>
      </c>
      <c r="J155" s="17">
        <f>'AEO 2023 Table 47 Raw'!M139</f>
        <v>5.5432589999999999</v>
      </c>
      <c r="K155" s="17">
        <f>'AEO 2023 Table 47 Raw'!N139</f>
        <v>5.7545710000000003</v>
      </c>
      <c r="L155" s="17">
        <f>'AEO 2023 Table 47 Raw'!O139</f>
        <v>5.968172</v>
      </c>
      <c r="M155" s="17">
        <f>'AEO 2023 Table 47 Raw'!P139</f>
        <v>6.1855859999999998</v>
      </c>
      <c r="N155" s="17">
        <f>'AEO 2023 Table 47 Raw'!Q139</f>
        <v>6.4089879999999999</v>
      </c>
      <c r="O155" s="17">
        <f>'AEO 2023 Table 47 Raw'!R139</f>
        <v>6.6390180000000001</v>
      </c>
      <c r="P155" s="17">
        <f>'AEO 2023 Table 47 Raw'!S139</f>
        <v>6.8765869999999998</v>
      </c>
      <c r="Q155" s="17">
        <f>'AEO 2023 Table 47 Raw'!T139</f>
        <v>7.1200349999999997</v>
      </c>
      <c r="R155" s="17">
        <f>'AEO 2023 Table 47 Raw'!U139</f>
        <v>7.3704929999999997</v>
      </c>
      <c r="S155" s="17">
        <f>'AEO 2023 Table 47 Raw'!V139</f>
        <v>7.6280970000000003</v>
      </c>
      <c r="T155" s="17">
        <f>'AEO 2023 Table 47 Raw'!W139</f>
        <v>7.8922679999999996</v>
      </c>
      <c r="U155" s="17">
        <f>'AEO 2023 Table 47 Raw'!X139</f>
        <v>8.1631269999999994</v>
      </c>
      <c r="V155" s="17">
        <f>'AEO 2023 Table 47 Raw'!Y139</f>
        <v>8.4397870000000008</v>
      </c>
      <c r="W155" s="17">
        <f>'AEO 2023 Table 47 Raw'!Z139</f>
        <v>8.7234130000000007</v>
      </c>
      <c r="X155" s="17">
        <f>'AEO 2023 Table 47 Raw'!AA139</f>
        <v>9.0144040000000007</v>
      </c>
      <c r="Y155" s="17">
        <f>'AEO 2023 Table 47 Raw'!AB139</f>
        <v>9.3128930000000008</v>
      </c>
      <c r="Z155" s="17">
        <f>'AEO 2023 Table 47 Raw'!AC139</f>
        <v>9.6191580000000005</v>
      </c>
      <c r="AA155" s="17">
        <f>'AEO 2023 Table 47 Raw'!AD139</f>
        <v>9.93126</v>
      </c>
      <c r="AB155" s="17">
        <f>'AEO 2023 Table 47 Raw'!AE139</f>
        <v>10.250947</v>
      </c>
      <c r="AC155" s="17">
        <f>'AEO 2023 Table 47 Raw'!AF139</f>
        <v>10.578808</v>
      </c>
      <c r="AD155" s="17">
        <f>'AEO 2023 Table 47 Raw'!AG139</f>
        <v>10.914996</v>
      </c>
      <c r="AE155" s="17">
        <f>'AEO 2023 Table 47 Raw'!AH139</f>
        <v>11.259789</v>
      </c>
      <c r="AF155" s="30">
        <f>'AEO 2023 Table 47 Raw'!AI139</f>
        <v>5.7000000000000002E-2</v>
      </c>
    </row>
    <row r="156" spans="1:32" ht="15" customHeight="1">
      <c r="A156" s="7" t="s">
        <v>685</v>
      </c>
      <c r="B156" s="16" t="s">
        <v>610</v>
      </c>
      <c r="C156" s="17">
        <f>'AEO 2023 Table 47 Raw'!F140</f>
        <v>108.068314</v>
      </c>
      <c r="D156" s="17">
        <f>'AEO 2023 Table 47 Raw'!G140</f>
        <v>134.33866900000001</v>
      </c>
      <c r="E156" s="17">
        <f>'AEO 2023 Table 47 Raw'!H140</f>
        <v>160.460846</v>
      </c>
      <c r="F156" s="17">
        <f>'AEO 2023 Table 47 Raw'!I140</f>
        <v>175.372849</v>
      </c>
      <c r="G156" s="17">
        <f>'AEO 2023 Table 47 Raw'!J140</f>
        <v>190.59790000000001</v>
      </c>
      <c r="H156" s="17">
        <f>'AEO 2023 Table 47 Raw'!K140</f>
        <v>200.96203600000001</v>
      </c>
      <c r="I156" s="17">
        <f>'AEO 2023 Table 47 Raw'!L140</f>
        <v>209.95349100000001</v>
      </c>
      <c r="J156" s="17">
        <f>'AEO 2023 Table 47 Raw'!M140</f>
        <v>219.482651</v>
      </c>
      <c r="K156" s="17">
        <f>'AEO 2023 Table 47 Raw'!N140</f>
        <v>229.459</v>
      </c>
      <c r="L156" s="17">
        <f>'AEO 2023 Table 47 Raw'!O140</f>
        <v>239.86399800000001</v>
      </c>
      <c r="M156" s="17">
        <f>'AEO 2023 Table 47 Raw'!P140</f>
        <v>250.63970900000001</v>
      </c>
      <c r="N156" s="17">
        <f>'AEO 2023 Table 47 Raw'!Q140</f>
        <v>261.76123000000001</v>
      </c>
      <c r="O156" s="17">
        <f>'AEO 2023 Table 47 Raw'!R140</f>
        <v>273.22671500000001</v>
      </c>
      <c r="P156" s="17">
        <f>'AEO 2023 Table 47 Raw'!S140</f>
        <v>285.03585800000002</v>
      </c>
      <c r="Q156" s="17">
        <f>'AEO 2023 Table 47 Raw'!T140</f>
        <v>297.30960099999999</v>
      </c>
      <c r="R156" s="17">
        <f>'AEO 2023 Table 47 Raw'!U140</f>
        <v>309.96319599999998</v>
      </c>
      <c r="S156" s="17">
        <f>'AEO 2023 Table 47 Raw'!V140</f>
        <v>322.98092700000001</v>
      </c>
      <c r="T156" s="17">
        <f>'AEO 2023 Table 47 Raw'!W140</f>
        <v>336.36114500000002</v>
      </c>
      <c r="U156" s="17">
        <f>'AEO 2023 Table 47 Raw'!X140</f>
        <v>350.11276199999998</v>
      </c>
      <c r="V156" s="17">
        <f>'AEO 2023 Table 47 Raw'!Y140</f>
        <v>364.35461400000003</v>
      </c>
      <c r="W156" s="17">
        <f>'AEO 2023 Table 47 Raw'!Z140</f>
        <v>378.99136399999998</v>
      </c>
      <c r="X156" s="17">
        <f>'AEO 2023 Table 47 Raw'!AA140</f>
        <v>394.01416</v>
      </c>
      <c r="Y156" s="17">
        <f>'AEO 2023 Table 47 Raw'!AB140</f>
        <v>409.428406</v>
      </c>
      <c r="Z156" s="17">
        <f>'AEO 2023 Table 47 Raw'!AC140</f>
        <v>425.250519</v>
      </c>
      <c r="AA156" s="17">
        <f>'AEO 2023 Table 47 Raw'!AD140</f>
        <v>441.58010899999999</v>
      </c>
      <c r="AB156" s="17">
        <f>'AEO 2023 Table 47 Raw'!AE140</f>
        <v>458.33084100000002</v>
      </c>
      <c r="AC156" s="17">
        <f>'AEO 2023 Table 47 Raw'!AF140</f>
        <v>475.49792500000001</v>
      </c>
      <c r="AD156" s="17">
        <f>'AEO 2023 Table 47 Raw'!AG140</f>
        <v>493.08587599999998</v>
      </c>
      <c r="AE156" s="17">
        <f>'AEO 2023 Table 47 Raw'!AH140</f>
        <v>511.11007699999999</v>
      </c>
      <c r="AF156" s="30">
        <f>'AEO 2023 Table 47 Raw'!AI140</f>
        <v>5.7000000000000002E-2</v>
      </c>
    </row>
    <row r="157" spans="1:32" ht="15" customHeight="1">
      <c r="A157" s="7" t="s">
        <v>686</v>
      </c>
      <c r="B157" s="16" t="s">
        <v>634</v>
      </c>
      <c r="C157" s="17">
        <f>'AEO 2023 Table 47 Raw'!F141</f>
        <v>45.485579999999999</v>
      </c>
      <c r="D157" s="17">
        <f>'AEO 2023 Table 47 Raw'!G141</f>
        <v>55.676124999999999</v>
      </c>
      <c r="E157" s="17">
        <f>'AEO 2023 Table 47 Raw'!H141</f>
        <v>66.977654000000001</v>
      </c>
      <c r="F157" s="17">
        <f>'AEO 2023 Table 47 Raw'!I141</f>
        <v>72.654563999999993</v>
      </c>
      <c r="G157" s="17">
        <f>'AEO 2023 Table 47 Raw'!J141</f>
        <v>78.271675000000002</v>
      </c>
      <c r="H157" s="17">
        <f>'AEO 2023 Table 47 Raw'!K141</f>
        <v>82.364295999999996</v>
      </c>
      <c r="I157" s="17">
        <f>'AEO 2023 Table 47 Raw'!L141</f>
        <v>86.127701000000002</v>
      </c>
      <c r="J157" s="17">
        <f>'AEO 2023 Table 47 Raw'!M141</f>
        <v>90.092490999999995</v>
      </c>
      <c r="K157" s="17">
        <f>'AEO 2023 Table 47 Raw'!N141</f>
        <v>94.245590000000007</v>
      </c>
      <c r="L157" s="17">
        <f>'AEO 2023 Table 47 Raw'!O141</f>
        <v>98.584045000000003</v>
      </c>
      <c r="M157" s="17">
        <f>'AEO 2023 Table 47 Raw'!P141</f>
        <v>103.082115</v>
      </c>
      <c r="N157" s="17">
        <f>'AEO 2023 Table 47 Raw'!Q141</f>
        <v>107.73053</v>
      </c>
      <c r="O157" s="17">
        <f>'AEO 2023 Table 47 Raw'!R141</f>
        <v>112.529045</v>
      </c>
      <c r="P157" s="17">
        <f>'AEO 2023 Table 47 Raw'!S141</f>
        <v>117.478104</v>
      </c>
      <c r="Q157" s="17">
        <f>'AEO 2023 Table 47 Raw'!T141</f>
        <v>122.62938699999999</v>
      </c>
      <c r="R157" s="17">
        <f>'AEO 2023 Table 47 Raw'!U141</f>
        <v>127.946747</v>
      </c>
      <c r="S157" s="17">
        <f>'AEO 2023 Table 47 Raw'!V141</f>
        <v>133.42456100000001</v>
      </c>
      <c r="T157" s="17">
        <f>'AEO 2023 Table 47 Raw'!W141</f>
        <v>139.062714</v>
      </c>
      <c r="U157" s="17">
        <f>'AEO 2023 Table 47 Raw'!X141</f>
        <v>144.863831</v>
      </c>
      <c r="V157" s="17">
        <f>'AEO 2023 Table 47 Raw'!Y141</f>
        <v>150.87931800000001</v>
      </c>
      <c r="W157" s="17">
        <f>'AEO 2023 Table 47 Raw'!Z141</f>
        <v>157.06916799999999</v>
      </c>
      <c r="X157" s="17">
        <f>'AEO 2023 Table 47 Raw'!AA141</f>
        <v>163.43048099999999</v>
      </c>
      <c r="Y157" s="17">
        <f>'AEO 2023 Table 47 Raw'!AB141</f>
        <v>169.96601899999999</v>
      </c>
      <c r="Z157" s="17">
        <f>'AEO 2023 Table 47 Raw'!AC141</f>
        <v>176.68287699999999</v>
      </c>
      <c r="AA157" s="17">
        <f>'AEO 2023 Table 47 Raw'!AD141</f>
        <v>183.623535</v>
      </c>
      <c r="AB157" s="17">
        <f>'AEO 2023 Table 47 Raw'!AE141</f>
        <v>190.75221300000001</v>
      </c>
      <c r="AC157" s="17">
        <f>'AEO 2023 Table 47 Raw'!AF141</f>
        <v>198.06779499999999</v>
      </c>
      <c r="AD157" s="17">
        <f>'AEO 2023 Table 47 Raw'!AG141</f>
        <v>205.57281499999999</v>
      </c>
      <c r="AE157" s="17">
        <f>'AEO 2023 Table 47 Raw'!AH141</f>
        <v>213.27409399999999</v>
      </c>
      <c r="AF157" s="30">
        <f>'AEO 2023 Table 47 Raw'!AI141</f>
        <v>5.7000000000000002E-2</v>
      </c>
    </row>
    <row r="158" spans="1:32" ht="15" customHeight="1">
      <c r="A158" s="7" t="s">
        <v>687</v>
      </c>
      <c r="B158" s="16" t="s">
        <v>606</v>
      </c>
      <c r="C158" s="17">
        <f>'AEO 2023 Table 47 Raw'!F142</f>
        <v>57.727024</v>
      </c>
      <c r="D158" s="17">
        <f>'AEO 2023 Table 47 Raw'!G142</f>
        <v>72.771004000000005</v>
      </c>
      <c r="E158" s="17">
        <f>'AEO 2023 Table 47 Raw'!H142</f>
        <v>86.377089999999995</v>
      </c>
      <c r="F158" s="17">
        <f>'AEO 2023 Table 47 Raw'!I142</f>
        <v>95.095618999999999</v>
      </c>
      <c r="G158" s="17">
        <f>'AEO 2023 Table 47 Raw'!J142</f>
        <v>104.223206</v>
      </c>
      <c r="H158" s="17">
        <f>'AEO 2023 Table 47 Raw'!K142</f>
        <v>110.09704600000001</v>
      </c>
      <c r="I158" s="17">
        <f>'AEO 2023 Table 47 Raw'!L142</f>
        <v>114.92420199999999</v>
      </c>
      <c r="J158" s="17">
        <f>'AEO 2023 Table 47 Raw'!M142</f>
        <v>120.06993900000001</v>
      </c>
      <c r="K158" s="17">
        <f>'AEO 2023 Table 47 Raw'!N142</f>
        <v>125.454285</v>
      </c>
      <c r="L158" s="17">
        <f>'AEO 2023 Table 47 Raw'!O142</f>
        <v>131.06126399999999</v>
      </c>
      <c r="M158" s="17">
        <f>'AEO 2023 Table 47 Raw'!P142</f>
        <v>136.86163300000001</v>
      </c>
      <c r="N158" s="17">
        <f>'AEO 2023 Table 47 Raw'!Q142</f>
        <v>142.84060700000001</v>
      </c>
      <c r="O158" s="17">
        <f>'AEO 2023 Table 47 Raw'!R142</f>
        <v>148.99646000000001</v>
      </c>
      <c r="P158" s="17">
        <f>'AEO 2023 Table 47 Raw'!S142</f>
        <v>155.32835399999999</v>
      </c>
      <c r="Q158" s="17">
        <f>'AEO 2023 Table 47 Raw'!T142</f>
        <v>161.89987199999999</v>
      </c>
      <c r="R158" s="17">
        <f>'AEO 2023 Table 47 Raw'!U142</f>
        <v>168.666382</v>
      </c>
      <c r="S158" s="17">
        <f>'AEO 2023 Table 47 Raw'!V142</f>
        <v>175.618225</v>
      </c>
      <c r="T158" s="17">
        <f>'AEO 2023 Table 47 Raw'!W142</f>
        <v>182.753784</v>
      </c>
      <c r="U158" s="17">
        <f>'AEO 2023 Table 47 Raw'!X142</f>
        <v>190.07925399999999</v>
      </c>
      <c r="V158" s="17">
        <f>'AEO 2023 Table 47 Raw'!Y142</f>
        <v>197.656296</v>
      </c>
      <c r="W158" s="17">
        <f>'AEO 2023 Table 47 Raw'!Z142</f>
        <v>205.43386799999999</v>
      </c>
      <c r="X158" s="17">
        <f>'AEO 2023 Table 47 Raw'!AA142</f>
        <v>213.40623500000001</v>
      </c>
      <c r="Y158" s="17">
        <f>'AEO 2023 Table 47 Raw'!AB142</f>
        <v>221.57566800000001</v>
      </c>
      <c r="Z158" s="17">
        <f>'AEO 2023 Table 47 Raw'!AC142</f>
        <v>229.95066800000001</v>
      </c>
      <c r="AA158" s="17">
        <f>'AEO 2023 Table 47 Raw'!AD142</f>
        <v>238.58374000000001</v>
      </c>
      <c r="AB158" s="17">
        <f>'AEO 2023 Table 47 Raw'!AE142</f>
        <v>247.42799400000001</v>
      </c>
      <c r="AC158" s="17">
        <f>'AEO 2023 Table 47 Raw'!AF142</f>
        <v>256.47988900000001</v>
      </c>
      <c r="AD158" s="17">
        <f>'AEO 2023 Table 47 Raw'!AG142</f>
        <v>265.74093599999998</v>
      </c>
      <c r="AE158" s="17">
        <f>'AEO 2023 Table 47 Raw'!AH142</f>
        <v>275.21890300000001</v>
      </c>
      <c r="AF158" s="30">
        <f>'AEO 2023 Table 47 Raw'!AI142</f>
        <v>5.7000000000000002E-2</v>
      </c>
    </row>
    <row r="159" spans="1:32" ht="15" customHeight="1">
      <c r="A159" s="7" t="s">
        <v>688</v>
      </c>
      <c r="B159" s="16" t="s">
        <v>608</v>
      </c>
      <c r="C159" s="17">
        <f>'AEO 2023 Table 47 Raw'!F143</f>
        <v>4.855702</v>
      </c>
      <c r="D159" s="17">
        <f>'AEO 2023 Table 47 Raw'!G143</f>
        <v>5.891534</v>
      </c>
      <c r="E159" s="17">
        <f>'AEO 2023 Table 47 Raw'!H143</f>
        <v>7.1060939999999997</v>
      </c>
      <c r="F159" s="17">
        <f>'AEO 2023 Table 47 Raw'!I143</f>
        <v>7.6226510000000003</v>
      </c>
      <c r="G159" s="17">
        <f>'AEO 2023 Table 47 Raw'!J143</f>
        <v>8.1030320000000007</v>
      </c>
      <c r="H159" s="17">
        <f>'AEO 2023 Table 47 Raw'!K143</f>
        <v>8.5006830000000004</v>
      </c>
      <c r="I159" s="17">
        <f>'AEO 2023 Table 47 Raw'!L143</f>
        <v>8.9015810000000002</v>
      </c>
      <c r="J159" s="17">
        <f>'AEO 2023 Table 47 Raw'!M143</f>
        <v>9.3202309999999997</v>
      </c>
      <c r="K159" s="17">
        <f>'AEO 2023 Table 47 Raw'!N143</f>
        <v>9.7591210000000004</v>
      </c>
      <c r="L159" s="17">
        <f>'AEO 2023 Table 47 Raw'!O143</f>
        <v>10.218685000000001</v>
      </c>
      <c r="M159" s="17">
        <f>'AEO 2023 Table 47 Raw'!P143</f>
        <v>10.695945999999999</v>
      </c>
      <c r="N159" s="17">
        <f>'AEO 2023 Table 47 Raw'!Q143</f>
        <v>11.190096</v>
      </c>
      <c r="O159" s="17">
        <f>'AEO 2023 Table 47 Raw'!R143</f>
        <v>11.701198</v>
      </c>
      <c r="P159" s="17">
        <f>'AEO 2023 Table 47 Raw'!S143</f>
        <v>12.229378000000001</v>
      </c>
      <c r="Q159" s="17">
        <f>'AEO 2023 Table 47 Raw'!T143</f>
        <v>12.780315999999999</v>
      </c>
      <c r="R159" s="17">
        <f>'AEO 2023 Table 47 Raw'!U143</f>
        <v>13.350054</v>
      </c>
      <c r="S159" s="17">
        <f>'AEO 2023 Table 47 Raw'!V143</f>
        <v>13.938138</v>
      </c>
      <c r="T159" s="17">
        <f>'AEO 2023 Table 47 Raw'!W143</f>
        <v>14.544650000000001</v>
      </c>
      <c r="U159" s="17">
        <f>'AEO 2023 Table 47 Raw'!X143</f>
        <v>15.169689</v>
      </c>
      <c r="V159" s="17">
        <f>'AEO 2023 Table 47 Raw'!Y143</f>
        <v>15.819004</v>
      </c>
      <c r="W159" s="17">
        <f>'AEO 2023 Table 47 Raw'!Z143</f>
        <v>16.488309999999998</v>
      </c>
      <c r="X159" s="17">
        <f>'AEO 2023 Table 47 Raw'!AA143</f>
        <v>17.177424999999999</v>
      </c>
      <c r="Y159" s="17">
        <f>'AEO 2023 Table 47 Raw'!AB143</f>
        <v>17.886718999999999</v>
      </c>
      <c r="Z159" s="17">
        <f>'AEO 2023 Table 47 Raw'!AC143</f>
        <v>18.616985</v>
      </c>
      <c r="AA159" s="17">
        <f>'AEO 2023 Table 47 Raw'!AD143</f>
        <v>19.372869000000001</v>
      </c>
      <c r="AB159" s="17">
        <f>'AEO 2023 Table 47 Raw'!AE143</f>
        <v>20.150623</v>
      </c>
      <c r="AC159" s="17">
        <f>'AEO 2023 Table 47 Raw'!AF143</f>
        <v>20.950258000000002</v>
      </c>
      <c r="AD159" s="17">
        <f>'AEO 2023 Table 47 Raw'!AG143</f>
        <v>21.772144000000001</v>
      </c>
      <c r="AE159" s="17">
        <f>'AEO 2023 Table 47 Raw'!AH143</f>
        <v>22.617076999999998</v>
      </c>
      <c r="AF159" s="30">
        <f>'AEO 2023 Table 47 Raw'!AI143</f>
        <v>5.6000000000000001E-2</v>
      </c>
    </row>
    <row r="160" spans="1:32" ht="15" customHeight="1">
      <c r="A160" s="7" t="s">
        <v>689</v>
      </c>
      <c r="B160" s="16" t="s">
        <v>610</v>
      </c>
      <c r="C160" s="17">
        <f>'AEO 2023 Table 47 Raw'!F144</f>
        <v>87.274039999999999</v>
      </c>
      <c r="D160" s="17">
        <f>'AEO 2023 Table 47 Raw'!G144</f>
        <v>97.675728000000007</v>
      </c>
      <c r="E160" s="17">
        <f>'AEO 2023 Table 47 Raw'!H144</f>
        <v>104.957893</v>
      </c>
      <c r="F160" s="17">
        <f>'AEO 2023 Table 47 Raw'!I144</f>
        <v>111.186455</v>
      </c>
      <c r="G160" s="17">
        <f>'AEO 2023 Table 47 Raw'!J144</f>
        <v>117.21154</v>
      </c>
      <c r="H160" s="17">
        <f>'AEO 2023 Table 47 Raw'!K144</f>
        <v>121.512398</v>
      </c>
      <c r="I160" s="17">
        <f>'AEO 2023 Table 47 Raw'!L144</f>
        <v>125.17572</v>
      </c>
      <c r="J160" s="17">
        <f>'AEO 2023 Table 47 Raw'!M144</f>
        <v>128.093277</v>
      </c>
      <c r="K160" s="17">
        <f>'AEO 2023 Table 47 Raw'!N144</f>
        <v>130.81806900000001</v>
      </c>
      <c r="L160" s="17">
        <f>'AEO 2023 Table 47 Raw'!O144</f>
        <v>133.28259299999999</v>
      </c>
      <c r="M160" s="17">
        <f>'AEO 2023 Table 47 Raw'!P144</f>
        <v>135.629974</v>
      </c>
      <c r="N160" s="17">
        <f>'AEO 2023 Table 47 Raw'!Q144</f>
        <v>137.85252399999999</v>
      </c>
      <c r="O160" s="17">
        <f>'AEO 2023 Table 47 Raw'!R144</f>
        <v>139.94085699999999</v>
      </c>
      <c r="P160" s="17">
        <f>'AEO 2023 Table 47 Raw'!S144</f>
        <v>141.886719</v>
      </c>
      <c r="Q160" s="17">
        <f>'AEO 2023 Table 47 Raw'!T144</f>
        <v>143.68980400000001</v>
      </c>
      <c r="R160" s="17">
        <f>'AEO 2023 Table 47 Raw'!U144</f>
        <v>145.369553</v>
      </c>
      <c r="S160" s="17">
        <f>'AEO 2023 Table 47 Raw'!V144</f>
        <v>146.93897999999999</v>
      </c>
      <c r="T160" s="17">
        <f>'AEO 2023 Table 47 Raw'!W144</f>
        <v>148.411224</v>
      </c>
      <c r="U160" s="17">
        <f>'AEO 2023 Table 47 Raw'!X144</f>
        <v>149.79480000000001</v>
      </c>
      <c r="V160" s="17">
        <f>'AEO 2023 Table 47 Raw'!Y144</f>
        <v>151.101685</v>
      </c>
      <c r="W160" s="17">
        <f>'AEO 2023 Table 47 Raw'!Z144</f>
        <v>152.338089</v>
      </c>
      <c r="X160" s="17">
        <f>'AEO 2023 Table 47 Raw'!AA144</f>
        <v>153.50933800000001</v>
      </c>
      <c r="Y160" s="17">
        <f>'AEO 2023 Table 47 Raw'!AB144</f>
        <v>154.61885100000001</v>
      </c>
      <c r="Z160" s="17">
        <f>'AEO 2023 Table 47 Raw'!AC144</f>
        <v>155.67060900000001</v>
      </c>
      <c r="AA160" s="17">
        <f>'AEO 2023 Table 47 Raw'!AD144</f>
        <v>156.67411799999999</v>
      </c>
      <c r="AB160" s="17">
        <f>'AEO 2023 Table 47 Raw'!AE144</f>
        <v>157.629074</v>
      </c>
      <c r="AC160" s="17">
        <f>'AEO 2023 Table 47 Raw'!AF144</f>
        <v>158.53407300000001</v>
      </c>
      <c r="AD160" s="17">
        <f>'AEO 2023 Table 47 Raw'!AG144</f>
        <v>159.38314800000001</v>
      </c>
      <c r="AE160" s="17">
        <f>'AEO 2023 Table 47 Raw'!AH144</f>
        <v>160.178146</v>
      </c>
      <c r="AF160" s="30">
        <f>'AEO 2023 Table 47 Raw'!AI144</f>
        <v>2.1999999999999999E-2</v>
      </c>
    </row>
    <row r="161" spans="1:32" ht="15" customHeight="1">
      <c r="A161" s="7" t="s">
        <v>690</v>
      </c>
      <c r="B161" s="15" t="s">
        <v>112</v>
      </c>
      <c r="C161" s="11">
        <f>'AEO 2023 Table 47 Raw'!F145</f>
        <v>55.069285999999998</v>
      </c>
      <c r="D161" s="11">
        <f>'AEO 2023 Table 47 Raw'!G145</f>
        <v>58.950187999999997</v>
      </c>
      <c r="E161" s="11">
        <f>'AEO 2023 Table 47 Raw'!H145</f>
        <v>60.784492</v>
      </c>
      <c r="F161" s="11">
        <f>'AEO 2023 Table 47 Raw'!I145</f>
        <v>63.028281999999997</v>
      </c>
      <c r="G161" s="11">
        <f>'AEO 2023 Table 47 Raw'!J145</f>
        <v>65.069220999999999</v>
      </c>
      <c r="H161" s="11">
        <f>'AEO 2023 Table 47 Raw'!K145</f>
        <v>66.783760000000001</v>
      </c>
      <c r="I161" s="11">
        <f>'AEO 2023 Table 47 Raw'!L145</f>
        <v>68.396538000000007</v>
      </c>
      <c r="J161" s="11">
        <f>'AEO 2023 Table 47 Raw'!M145</f>
        <v>69.879149999999996</v>
      </c>
      <c r="K161" s="11">
        <f>'AEO 2023 Table 47 Raw'!N145</f>
        <v>71.271529999999998</v>
      </c>
      <c r="L161" s="11">
        <f>'AEO 2023 Table 47 Raw'!O145</f>
        <v>72.542534000000003</v>
      </c>
      <c r="M161" s="11">
        <f>'AEO 2023 Table 47 Raw'!P145</f>
        <v>73.758780999999999</v>
      </c>
      <c r="N161" s="11">
        <f>'AEO 2023 Table 47 Raw'!Q145</f>
        <v>74.916718000000003</v>
      </c>
      <c r="O161" s="11">
        <f>'AEO 2023 Table 47 Raw'!R145</f>
        <v>76.011939999999996</v>
      </c>
      <c r="P161" s="11">
        <f>'AEO 2023 Table 47 Raw'!S145</f>
        <v>77.040688000000003</v>
      </c>
      <c r="Q161" s="11">
        <f>'AEO 2023 Table 47 Raw'!T145</f>
        <v>78.002571000000003</v>
      </c>
      <c r="R161" s="11">
        <f>'AEO 2023 Table 47 Raw'!U145</f>
        <v>78.906502000000003</v>
      </c>
      <c r="S161" s="11">
        <f>'AEO 2023 Table 47 Raw'!V145</f>
        <v>79.758544999999998</v>
      </c>
      <c r="T161" s="11">
        <f>'AEO 2023 Table 47 Raw'!W145</f>
        <v>80.564812000000003</v>
      </c>
      <c r="U161" s="11">
        <f>'AEO 2023 Table 47 Raw'!X145</f>
        <v>81.327788999999996</v>
      </c>
      <c r="V161" s="11">
        <f>'AEO 2023 Table 47 Raw'!Y145</f>
        <v>82.053589000000002</v>
      </c>
      <c r="W161" s="11">
        <f>'AEO 2023 Table 47 Raw'!Z145</f>
        <v>82.744964999999993</v>
      </c>
      <c r="X161" s="11">
        <f>'AEO 2023 Table 47 Raw'!AA145</f>
        <v>83.404449</v>
      </c>
      <c r="Y161" s="11">
        <f>'AEO 2023 Table 47 Raw'!AB145</f>
        <v>84.033835999999994</v>
      </c>
      <c r="Z161" s="11">
        <f>'AEO 2023 Table 47 Raw'!AC145</f>
        <v>84.634856999999997</v>
      </c>
      <c r="AA161" s="11">
        <f>'AEO 2023 Table 47 Raw'!AD145</f>
        <v>85.210953000000003</v>
      </c>
      <c r="AB161" s="11">
        <f>'AEO 2023 Table 47 Raw'!AE145</f>
        <v>85.762046999999995</v>
      </c>
      <c r="AC161" s="11">
        <f>'AEO 2023 Table 47 Raw'!AF145</f>
        <v>86.288871999999998</v>
      </c>
      <c r="AD161" s="11">
        <f>'AEO 2023 Table 47 Raw'!AG145</f>
        <v>86.790169000000006</v>
      </c>
      <c r="AE161" s="11">
        <f>'AEO 2023 Table 47 Raw'!AH145</f>
        <v>87.267905999999996</v>
      </c>
      <c r="AF161" s="32">
        <f>'AEO 2023 Table 47 Raw'!AI145</f>
        <v>1.7000000000000001E-2</v>
      </c>
    </row>
    <row r="162" spans="1:32" ht="15" customHeight="1">
      <c r="AF162" s="33"/>
    </row>
    <row r="163" spans="1:32" ht="12" customHeight="1">
      <c r="B163" s="15" t="s">
        <v>691</v>
      </c>
      <c r="AF163" s="33"/>
    </row>
    <row r="164" spans="1:32" ht="15" customHeight="1">
      <c r="B164" s="15" t="s">
        <v>692</v>
      </c>
      <c r="AF164" s="33"/>
    </row>
    <row r="165" spans="1:32" ht="15" customHeight="1">
      <c r="A165" s="7" t="s">
        <v>693</v>
      </c>
      <c r="B165" s="16" t="s">
        <v>606</v>
      </c>
      <c r="C165" s="18">
        <f>'AEO 2023 Table 47 Raw'!F148</f>
        <v>79.301177999999993</v>
      </c>
      <c r="D165" s="18">
        <f>'AEO 2023 Table 47 Raw'!G148</f>
        <v>101.63005099999999</v>
      </c>
      <c r="E165" s="18">
        <f>'AEO 2023 Table 47 Raw'!H148</f>
        <v>121.146072</v>
      </c>
      <c r="F165" s="18">
        <f>'AEO 2023 Table 47 Raw'!I148</f>
        <v>133.75103799999999</v>
      </c>
      <c r="G165" s="18">
        <f>'AEO 2023 Table 47 Raw'!J148</f>
        <v>144.38346899999999</v>
      </c>
      <c r="H165" s="18">
        <f>'AEO 2023 Table 47 Raw'!K148</f>
        <v>151.58453399999999</v>
      </c>
      <c r="I165" s="18">
        <f>'AEO 2023 Table 47 Raw'!L148</f>
        <v>157.44383199999999</v>
      </c>
      <c r="J165" s="18">
        <f>'AEO 2023 Table 47 Raw'!M148</f>
        <v>162.801773</v>
      </c>
      <c r="K165" s="18">
        <f>'AEO 2023 Table 47 Raw'!N148</f>
        <v>168.194412</v>
      </c>
      <c r="L165" s="18">
        <f>'AEO 2023 Table 47 Raw'!O148</f>
        <v>173.57832300000001</v>
      </c>
      <c r="M165" s="18">
        <f>'AEO 2023 Table 47 Raw'!P148</f>
        <v>179.07577499999999</v>
      </c>
      <c r="N165" s="18">
        <f>'AEO 2023 Table 47 Raw'!Q148</f>
        <v>184.704071</v>
      </c>
      <c r="O165" s="18">
        <f>'AEO 2023 Table 47 Raw'!R148</f>
        <v>190.47181699999999</v>
      </c>
      <c r="P165" s="18">
        <f>'AEO 2023 Table 47 Raw'!S148</f>
        <v>196.386841</v>
      </c>
      <c r="Q165" s="18">
        <f>'AEO 2023 Table 47 Raw'!T148</f>
        <v>202.43138099999999</v>
      </c>
      <c r="R165" s="18">
        <f>'AEO 2023 Table 47 Raw'!U148</f>
        <v>208.633804</v>
      </c>
      <c r="S165" s="18">
        <f>'AEO 2023 Table 47 Raw'!V148</f>
        <v>214.996399</v>
      </c>
      <c r="T165" s="18">
        <f>'AEO 2023 Table 47 Raw'!W148</f>
        <v>221.51997399999999</v>
      </c>
      <c r="U165" s="18">
        <f>'AEO 2023 Table 47 Raw'!X148</f>
        <v>228.20277400000001</v>
      </c>
      <c r="V165" s="18">
        <f>'AEO 2023 Table 47 Raw'!Y148</f>
        <v>235.039368</v>
      </c>
      <c r="W165" s="18">
        <f>'AEO 2023 Table 47 Raw'!Z148</f>
        <v>242.04367099999999</v>
      </c>
      <c r="X165" s="18">
        <f>'AEO 2023 Table 47 Raw'!AA148</f>
        <v>249.21748400000001</v>
      </c>
      <c r="Y165" s="18">
        <f>'AEO 2023 Table 47 Raw'!AB148</f>
        <v>256.56286599999999</v>
      </c>
      <c r="Z165" s="18">
        <f>'AEO 2023 Table 47 Raw'!AC148</f>
        <v>264.08050500000002</v>
      </c>
      <c r="AA165" s="18">
        <f>'AEO 2023 Table 47 Raw'!AD148</f>
        <v>271.71682700000002</v>
      </c>
      <c r="AB165" s="18">
        <f>'AEO 2023 Table 47 Raw'!AE148</f>
        <v>279.52886999999998</v>
      </c>
      <c r="AC165" s="18">
        <f>'AEO 2023 Table 47 Raw'!AF148</f>
        <v>287.52255200000002</v>
      </c>
      <c r="AD165" s="18">
        <f>'AEO 2023 Table 47 Raw'!AG148</f>
        <v>295.70309400000002</v>
      </c>
      <c r="AE165" s="18">
        <f>'AEO 2023 Table 47 Raw'!AH148</f>
        <v>304.07415800000001</v>
      </c>
      <c r="AF165" s="30">
        <f>'AEO 2023 Table 47 Raw'!AI148</f>
        <v>4.9000000000000002E-2</v>
      </c>
    </row>
    <row r="166" spans="1:32" ht="15" customHeight="1">
      <c r="A166" s="7" t="s">
        <v>694</v>
      </c>
      <c r="B166" s="16" t="s">
        <v>608</v>
      </c>
      <c r="C166" s="18">
        <f>'AEO 2023 Table 47 Raw'!F149</f>
        <v>47.678085000000003</v>
      </c>
      <c r="D166" s="18">
        <f>'AEO 2023 Table 47 Raw'!G149</f>
        <v>60.579250000000002</v>
      </c>
      <c r="E166" s="18">
        <f>'AEO 2023 Table 47 Raw'!H149</f>
        <v>71.433159000000003</v>
      </c>
      <c r="F166" s="18">
        <f>'AEO 2023 Table 47 Raw'!I149</f>
        <v>77.759079</v>
      </c>
      <c r="G166" s="18">
        <f>'AEO 2023 Table 47 Raw'!J149</f>
        <v>83.222747999999996</v>
      </c>
      <c r="H166" s="18">
        <f>'AEO 2023 Table 47 Raw'!K149</f>
        <v>87.090667999999994</v>
      </c>
      <c r="I166" s="18">
        <f>'AEO 2023 Table 47 Raw'!L149</f>
        <v>90.329620000000006</v>
      </c>
      <c r="J166" s="18">
        <f>'AEO 2023 Table 47 Raw'!M149</f>
        <v>93.328048999999993</v>
      </c>
      <c r="K166" s="18">
        <f>'AEO 2023 Table 47 Raw'!N149</f>
        <v>96.334464999999994</v>
      </c>
      <c r="L166" s="18">
        <f>'AEO 2023 Table 47 Raw'!O149</f>
        <v>99.321999000000005</v>
      </c>
      <c r="M166" s="18">
        <f>'AEO 2023 Table 47 Raw'!P149</f>
        <v>102.368782</v>
      </c>
      <c r="N166" s="18">
        <f>'AEO 2023 Table 47 Raw'!Q149</f>
        <v>105.485298</v>
      </c>
      <c r="O166" s="18">
        <f>'AEO 2023 Table 47 Raw'!R149</f>
        <v>108.67620100000001</v>
      </c>
      <c r="P166" s="18">
        <f>'AEO 2023 Table 47 Raw'!S149</f>
        <v>111.94573200000001</v>
      </c>
      <c r="Q166" s="18">
        <f>'AEO 2023 Table 47 Raw'!T149</f>
        <v>115.283394</v>
      </c>
      <c r="R166" s="18">
        <f>'AEO 2023 Table 47 Raw'!U149</f>
        <v>118.70564299999999</v>
      </c>
      <c r="S166" s="18">
        <f>'AEO 2023 Table 47 Raw'!V149</f>
        <v>122.213562</v>
      </c>
      <c r="T166" s="18">
        <f>'AEO 2023 Table 47 Raw'!W149</f>
        <v>125.807327</v>
      </c>
      <c r="U166" s="18">
        <f>'AEO 2023 Table 47 Raw'!X149</f>
        <v>129.48561100000001</v>
      </c>
      <c r="V166" s="18">
        <f>'AEO 2023 Table 47 Raw'!Y149</f>
        <v>133.24620100000001</v>
      </c>
      <c r="W166" s="18">
        <f>'AEO 2023 Table 47 Raw'!Z149</f>
        <v>137.09582499999999</v>
      </c>
      <c r="X166" s="18">
        <f>'AEO 2023 Table 47 Raw'!AA149</f>
        <v>141.03517199999999</v>
      </c>
      <c r="Y166" s="18">
        <f>'AEO 2023 Table 47 Raw'!AB149</f>
        <v>145.06509399999999</v>
      </c>
      <c r="Z166" s="18">
        <f>'AEO 2023 Table 47 Raw'!AC149</f>
        <v>149.185654</v>
      </c>
      <c r="AA166" s="18">
        <f>'AEO 2023 Table 47 Raw'!AD149</f>
        <v>153.36450199999999</v>
      </c>
      <c r="AB166" s="18">
        <f>'AEO 2023 Table 47 Raw'!AE149</f>
        <v>157.63568100000001</v>
      </c>
      <c r="AC166" s="18">
        <f>'AEO 2023 Table 47 Raw'!AF149</f>
        <v>162.00212099999999</v>
      </c>
      <c r="AD166" s="18">
        <f>'AEO 2023 Table 47 Raw'!AG149</f>
        <v>166.46650700000001</v>
      </c>
      <c r="AE166" s="18">
        <f>'AEO 2023 Table 47 Raw'!AH149</f>
        <v>171.03038000000001</v>
      </c>
      <c r="AF166" s="30">
        <f>'AEO 2023 Table 47 Raw'!AI149</f>
        <v>4.7E-2</v>
      </c>
    </row>
    <row r="167" spans="1:32" ht="15" customHeight="1">
      <c r="A167" s="7" t="s">
        <v>695</v>
      </c>
      <c r="B167" s="16" t="s">
        <v>610</v>
      </c>
      <c r="C167" s="18">
        <f>'AEO 2023 Table 47 Raw'!F150</f>
        <v>27.672314</v>
      </c>
      <c r="D167" s="18">
        <f>'AEO 2023 Table 47 Raw'!G150</f>
        <v>36.190651000000003</v>
      </c>
      <c r="E167" s="18">
        <f>'AEO 2023 Table 47 Raw'!H150</f>
        <v>44.102626999999998</v>
      </c>
      <c r="F167" s="18">
        <f>'AEO 2023 Table 47 Raw'!I150</f>
        <v>50.092044999999999</v>
      </c>
      <c r="G167" s="18">
        <f>'AEO 2023 Table 47 Raw'!J150</f>
        <v>54.982585999999998</v>
      </c>
      <c r="H167" s="18">
        <f>'AEO 2023 Table 47 Raw'!K150</f>
        <v>58.082782999999999</v>
      </c>
      <c r="I167" s="18">
        <f>'AEO 2023 Table 47 Raw'!L150</f>
        <v>60.489162</v>
      </c>
      <c r="J167" s="18">
        <f>'AEO 2023 Table 47 Raw'!M150</f>
        <v>62.643284000000001</v>
      </c>
      <c r="K167" s="18">
        <f>'AEO 2023 Table 47 Raw'!N150</f>
        <v>64.825858999999994</v>
      </c>
      <c r="L167" s="18">
        <f>'AEO 2023 Table 47 Raw'!O150</f>
        <v>67.022644</v>
      </c>
      <c r="M167" s="18">
        <f>'AEO 2023 Table 47 Raw'!P150</f>
        <v>69.270484999999994</v>
      </c>
      <c r="N167" s="18">
        <f>'AEO 2023 Table 47 Raw'!Q150</f>
        <v>71.575378000000001</v>
      </c>
      <c r="O167" s="18">
        <f>'AEO 2023 Table 47 Raw'!R150</f>
        <v>73.940926000000005</v>
      </c>
      <c r="P167" s="18">
        <f>'AEO 2023 Table 47 Raw'!S150</f>
        <v>76.370498999999995</v>
      </c>
      <c r="Q167" s="18">
        <f>'AEO 2023 Table 47 Raw'!T150</f>
        <v>78.857642999999996</v>
      </c>
      <c r="R167" s="18">
        <f>'AEO 2023 Table 47 Raw'!U150</f>
        <v>81.413055</v>
      </c>
      <c r="S167" s="18">
        <f>'AEO 2023 Table 47 Raw'!V150</f>
        <v>84.037871999999993</v>
      </c>
      <c r="T167" s="18">
        <f>'AEO 2023 Table 47 Raw'!W150</f>
        <v>86.732758000000004</v>
      </c>
      <c r="U167" s="18">
        <f>'AEO 2023 Table 47 Raw'!X150</f>
        <v>89.497505000000004</v>
      </c>
      <c r="V167" s="18">
        <f>'AEO 2023 Table 47 Raw'!Y150</f>
        <v>92.328818999999996</v>
      </c>
      <c r="W167" s="18">
        <f>'AEO 2023 Table 47 Raw'!Z150</f>
        <v>95.233681000000004</v>
      </c>
      <c r="X167" s="18">
        <f>'AEO 2023 Table 47 Raw'!AA150</f>
        <v>98.213158000000007</v>
      </c>
      <c r="Y167" s="18">
        <f>'AEO 2023 Table 47 Raw'!AB150</f>
        <v>101.268517</v>
      </c>
      <c r="Z167" s="18">
        <f>'AEO 2023 Table 47 Raw'!AC150</f>
        <v>104.400452</v>
      </c>
      <c r="AA167" s="18">
        <f>'AEO 2023 Table 47 Raw'!AD150</f>
        <v>107.59034</v>
      </c>
      <c r="AB167" s="18">
        <f>'AEO 2023 Table 47 Raw'!AE150</f>
        <v>110.858566</v>
      </c>
      <c r="AC167" s="18">
        <f>'AEO 2023 Table 47 Raw'!AF150</f>
        <v>114.207832</v>
      </c>
      <c r="AD167" s="18">
        <f>'AEO 2023 Table 47 Raw'!AG150</f>
        <v>117.64065600000001</v>
      </c>
      <c r="AE167" s="18">
        <f>'AEO 2023 Table 47 Raw'!AH150</f>
        <v>121.159058</v>
      </c>
      <c r="AF167" s="30">
        <f>'AEO 2023 Table 47 Raw'!AI150</f>
        <v>5.3999999999999999E-2</v>
      </c>
    </row>
    <row r="168" spans="1:32" ht="15" customHeight="1">
      <c r="A168" s="7" t="s">
        <v>696</v>
      </c>
      <c r="B168" s="16" t="s">
        <v>697</v>
      </c>
      <c r="C168" s="18">
        <f>'AEO 2023 Table 47 Raw'!F151</f>
        <v>3.9507759999999998</v>
      </c>
      <c r="D168" s="18">
        <f>'AEO 2023 Table 47 Raw'!G151</f>
        <v>4.8601390000000002</v>
      </c>
      <c r="E168" s="18">
        <f>'AEO 2023 Table 47 Raw'!H151</f>
        <v>5.6102879999999997</v>
      </c>
      <c r="F168" s="18">
        <f>'AEO 2023 Table 47 Raw'!I151</f>
        <v>5.8999009999999998</v>
      </c>
      <c r="G168" s="18">
        <f>'AEO 2023 Table 47 Raw'!J151</f>
        <v>6.1781309999999996</v>
      </c>
      <c r="H168" s="18">
        <f>'AEO 2023 Table 47 Raw'!K151</f>
        <v>6.4110950000000004</v>
      </c>
      <c r="I168" s="18">
        <f>'AEO 2023 Table 47 Raw'!L151</f>
        <v>6.6250410000000004</v>
      </c>
      <c r="J168" s="18">
        <f>'AEO 2023 Table 47 Raw'!M151</f>
        <v>6.8304140000000002</v>
      </c>
      <c r="K168" s="18">
        <f>'AEO 2023 Table 47 Raw'!N151</f>
        <v>7.0340759999999998</v>
      </c>
      <c r="L168" s="18">
        <f>'AEO 2023 Table 47 Raw'!O151</f>
        <v>7.2336809999999998</v>
      </c>
      <c r="M168" s="18">
        <f>'AEO 2023 Table 47 Raw'!P151</f>
        <v>7.4365009999999998</v>
      </c>
      <c r="N168" s="18">
        <f>'AEO 2023 Table 47 Raw'!Q151</f>
        <v>7.6434049999999996</v>
      </c>
      <c r="O168" s="18">
        <f>'AEO 2023 Table 47 Raw'!R151</f>
        <v>7.8546870000000002</v>
      </c>
      <c r="P168" s="18">
        <f>'AEO 2023 Table 47 Raw'!S151</f>
        <v>8.0706039999999994</v>
      </c>
      <c r="Q168" s="18">
        <f>'AEO 2023 Table 47 Raw'!T151</f>
        <v>8.2903300000000009</v>
      </c>
      <c r="R168" s="18">
        <f>'AEO 2023 Table 47 Raw'!U151</f>
        <v>8.5151039999999991</v>
      </c>
      <c r="S168" s="18">
        <f>'AEO 2023 Table 47 Raw'!V151</f>
        <v>8.7449670000000008</v>
      </c>
      <c r="T168" s="18">
        <f>'AEO 2023 Table 47 Raw'!W151</f>
        <v>8.9798720000000003</v>
      </c>
      <c r="U168" s="18">
        <f>'AEO 2023 Table 47 Raw'!X151</f>
        <v>9.2196569999999998</v>
      </c>
      <c r="V168" s="18">
        <f>'AEO 2023 Table 47 Raw'!Y151</f>
        <v>9.4643420000000003</v>
      </c>
      <c r="W168" s="18">
        <f>'AEO 2023 Table 47 Raw'!Z151</f>
        <v>9.7141710000000003</v>
      </c>
      <c r="X168" s="18">
        <f>'AEO 2023 Table 47 Raw'!AA151</f>
        <v>9.9691340000000004</v>
      </c>
      <c r="Y168" s="18">
        <f>'AEO 2023 Table 47 Raw'!AB151</f>
        <v>10.229227</v>
      </c>
      <c r="Z168" s="18">
        <f>'AEO 2023 Table 47 Raw'!AC151</f>
        <v>10.494389999999999</v>
      </c>
      <c r="AA168" s="18">
        <f>'AEO 2023 Table 47 Raw'!AD151</f>
        <v>10.761946999999999</v>
      </c>
      <c r="AB168" s="18">
        <f>'AEO 2023 Table 47 Raw'!AE151</f>
        <v>11.034632999999999</v>
      </c>
      <c r="AC168" s="18">
        <f>'AEO 2023 Table 47 Raw'!AF151</f>
        <v>11.31259</v>
      </c>
      <c r="AD168" s="18">
        <f>'AEO 2023 Table 47 Raw'!AG151</f>
        <v>11.595942000000001</v>
      </c>
      <c r="AE168" s="18">
        <f>'AEO 2023 Table 47 Raw'!AH151</f>
        <v>11.884709000000001</v>
      </c>
      <c r="AF168" s="30">
        <f>'AEO 2023 Table 47 Raw'!AI151</f>
        <v>0.04</v>
      </c>
    </row>
    <row r="169" spans="1:32" ht="15" customHeight="1">
      <c r="B169" s="15" t="s">
        <v>698</v>
      </c>
      <c r="AF169" s="33"/>
    </row>
    <row r="170" spans="1:32" ht="15" customHeight="1">
      <c r="A170" s="7" t="s">
        <v>699</v>
      </c>
      <c r="B170" s="16" t="s">
        <v>606</v>
      </c>
      <c r="C170" s="18">
        <f>'AEO 2023 Table 47 Raw'!F153</f>
        <v>2683.0664059999999</v>
      </c>
      <c r="D170" s="18">
        <f>'AEO 2023 Table 47 Raw'!G153</f>
        <v>3004.8544919999999</v>
      </c>
      <c r="E170" s="18">
        <f>'AEO 2023 Table 47 Raw'!H153</f>
        <v>3179.6435550000001</v>
      </c>
      <c r="F170" s="18">
        <f>'AEO 2023 Table 47 Raw'!I153</f>
        <v>3317.3186040000001</v>
      </c>
      <c r="G170" s="18">
        <f>'AEO 2023 Table 47 Raw'!J153</f>
        <v>3488.1293949999999</v>
      </c>
      <c r="H170" s="18">
        <f>'AEO 2023 Table 47 Raw'!K153</f>
        <v>3619.9882809999999</v>
      </c>
      <c r="I170" s="18">
        <f>'AEO 2023 Table 47 Raw'!L153</f>
        <v>3746.866211</v>
      </c>
      <c r="J170" s="18">
        <f>'AEO 2023 Table 47 Raw'!M153</f>
        <v>3866.138672</v>
      </c>
      <c r="K170" s="18">
        <f>'AEO 2023 Table 47 Raw'!N153</f>
        <v>3984.7014159999999</v>
      </c>
      <c r="L170" s="18">
        <f>'AEO 2023 Table 47 Raw'!O153</f>
        <v>4106.1660160000001</v>
      </c>
      <c r="M170" s="18">
        <f>'AEO 2023 Table 47 Raw'!P153</f>
        <v>4234.1674800000001</v>
      </c>
      <c r="N170" s="18">
        <f>'AEO 2023 Table 47 Raw'!Q153</f>
        <v>4364.3461909999996</v>
      </c>
      <c r="O170" s="18">
        <f>'AEO 2023 Table 47 Raw'!R153</f>
        <v>4492.8154299999997</v>
      </c>
      <c r="P170" s="18">
        <f>'AEO 2023 Table 47 Raw'!S153</f>
        <v>4623.0224609999996</v>
      </c>
      <c r="Q170" s="18">
        <f>'AEO 2023 Table 47 Raw'!T153</f>
        <v>4757.1152339999999</v>
      </c>
      <c r="R170" s="18">
        <f>'AEO 2023 Table 47 Raw'!U153</f>
        <v>4895.7231449999999</v>
      </c>
      <c r="S170" s="18">
        <f>'AEO 2023 Table 47 Raw'!V153</f>
        <v>5039.0322269999997</v>
      </c>
      <c r="T170" s="18">
        <f>'AEO 2023 Table 47 Raw'!W153</f>
        <v>5185.8525390000004</v>
      </c>
      <c r="U170" s="18">
        <f>'AEO 2023 Table 47 Raw'!X153</f>
        <v>5337.7739259999998</v>
      </c>
      <c r="V170" s="18">
        <f>'AEO 2023 Table 47 Raw'!Y153</f>
        <v>5492.0742190000001</v>
      </c>
      <c r="W170" s="18">
        <f>'AEO 2023 Table 47 Raw'!Z153</f>
        <v>5650.373047</v>
      </c>
      <c r="X170" s="18">
        <f>'AEO 2023 Table 47 Raw'!AA153</f>
        <v>5812.0830079999996</v>
      </c>
      <c r="Y170" s="18">
        <f>'AEO 2023 Table 47 Raw'!AB153</f>
        <v>5976.6274409999996</v>
      </c>
      <c r="Z170" s="18">
        <f>'AEO 2023 Table 47 Raw'!AC153</f>
        <v>6142.4643550000001</v>
      </c>
      <c r="AA170" s="18">
        <f>'AEO 2023 Table 47 Raw'!AD153</f>
        <v>6310.3242190000001</v>
      </c>
      <c r="AB170" s="18">
        <f>'AEO 2023 Table 47 Raw'!AE153</f>
        <v>6481.419922</v>
      </c>
      <c r="AC170" s="18">
        <f>'AEO 2023 Table 47 Raw'!AF153</f>
        <v>6655.6152339999999</v>
      </c>
      <c r="AD170" s="18">
        <f>'AEO 2023 Table 47 Raw'!AG153</f>
        <v>6832.3398440000001</v>
      </c>
      <c r="AE170" s="18">
        <f>'AEO 2023 Table 47 Raw'!AH153</f>
        <v>7011.6440430000002</v>
      </c>
      <c r="AF170" s="30">
        <f>'AEO 2023 Table 47 Raw'!AI153</f>
        <v>3.5000000000000003E-2</v>
      </c>
    </row>
    <row r="171" spans="1:32" ht="15" customHeight="1">
      <c r="A171" s="7" t="s">
        <v>700</v>
      </c>
      <c r="B171" s="16" t="s">
        <v>608</v>
      </c>
      <c r="C171" s="18">
        <f>'AEO 2023 Table 47 Raw'!F154</f>
        <v>1365.956543</v>
      </c>
      <c r="D171" s="18">
        <f>'AEO 2023 Table 47 Raw'!G154</f>
        <v>1815.0357670000001</v>
      </c>
      <c r="E171" s="18">
        <f>'AEO 2023 Table 47 Raw'!H154</f>
        <v>2152.5219729999999</v>
      </c>
      <c r="F171" s="18">
        <f>'AEO 2023 Table 47 Raw'!I154</f>
        <v>2352.9526369999999</v>
      </c>
      <c r="G171" s="18">
        <f>'AEO 2023 Table 47 Raw'!J154</f>
        <v>2578.5668949999999</v>
      </c>
      <c r="H171" s="18">
        <f>'AEO 2023 Table 47 Raw'!K154</f>
        <v>2707.555664</v>
      </c>
      <c r="I171" s="18">
        <f>'AEO 2023 Table 47 Raw'!L154</f>
        <v>2822.4821780000002</v>
      </c>
      <c r="J171" s="18">
        <f>'AEO 2023 Table 47 Raw'!M154</f>
        <v>2911.1027829999998</v>
      </c>
      <c r="K171" s="18">
        <f>'AEO 2023 Table 47 Raw'!N154</f>
        <v>3000.19751</v>
      </c>
      <c r="L171" s="18">
        <f>'AEO 2023 Table 47 Raw'!O154</f>
        <v>3090.4453119999998</v>
      </c>
      <c r="M171" s="18">
        <f>'AEO 2023 Table 47 Raw'!P154</f>
        <v>3183.960693</v>
      </c>
      <c r="N171" s="18">
        <f>'AEO 2023 Table 47 Raw'!Q154</f>
        <v>3279.5664059999999</v>
      </c>
      <c r="O171" s="18">
        <f>'AEO 2023 Table 47 Raw'!R154</f>
        <v>3375.6767580000001</v>
      </c>
      <c r="P171" s="18">
        <f>'AEO 2023 Table 47 Raw'!S154</f>
        <v>3473.7790530000002</v>
      </c>
      <c r="Q171" s="18">
        <f>'AEO 2023 Table 47 Raw'!T154</f>
        <v>3574.6906739999999</v>
      </c>
      <c r="R171" s="18">
        <f>'AEO 2023 Table 47 Raw'!U154</f>
        <v>3678.9440920000002</v>
      </c>
      <c r="S171" s="18">
        <f>'AEO 2023 Table 47 Raw'!V154</f>
        <v>3786.679443</v>
      </c>
      <c r="T171" s="18">
        <f>'AEO 2023 Table 47 Raw'!W154</f>
        <v>3897.4423830000001</v>
      </c>
      <c r="U171" s="18">
        <f>'AEO 2023 Table 47 Raw'!X154</f>
        <v>4012.033203</v>
      </c>
      <c r="V171" s="18">
        <f>'AEO 2023 Table 47 Raw'!Y154</f>
        <v>4128.9389650000003</v>
      </c>
      <c r="W171" s="18">
        <f>'AEO 2023 Table 47 Raw'!Z154</f>
        <v>4249.1440430000002</v>
      </c>
      <c r="X171" s="18">
        <f>'AEO 2023 Table 47 Raw'!AA154</f>
        <v>4372.451172</v>
      </c>
      <c r="Y171" s="18">
        <f>'AEO 2023 Table 47 Raw'!AB154</f>
        <v>4498.7680659999996</v>
      </c>
      <c r="Z171" s="18">
        <f>'AEO 2023 Table 47 Raw'!AC154</f>
        <v>4627.5498049999997</v>
      </c>
      <c r="AA171" s="18">
        <f>'AEO 2023 Table 47 Raw'!AD154</f>
        <v>4758.7285160000001</v>
      </c>
      <c r="AB171" s="18">
        <f>'AEO 2023 Table 47 Raw'!AE154</f>
        <v>4893.2329099999997</v>
      </c>
      <c r="AC171" s="18">
        <f>'AEO 2023 Table 47 Raw'!AF154</f>
        <v>5031.2045900000003</v>
      </c>
      <c r="AD171" s="18">
        <f>'AEO 2023 Table 47 Raw'!AG154</f>
        <v>5172.6411129999997</v>
      </c>
      <c r="AE171" s="18">
        <f>'AEO 2023 Table 47 Raw'!AH154</f>
        <v>5317.8256840000004</v>
      </c>
      <c r="AF171" s="30">
        <f>'AEO 2023 Table 47 Raw'!AI154</f>
        <v>0.05</v>
      </c>
    </row>
    <row r="172" spans="1:32" ht="12" customHeight="1">
      <c r="A172" s="7" t="s">
        <v>701</v>
      </c>
      <c r="B172" s="16" t="s">
        <v>610</v>
      </c>
      <c r="C172" s="18">
        <f>'AEO 2023 Table 47 Raw'!F155</f>
        <v>324.33532700000001</v>
      </c>
      <c r="D172" s="18">
        <f>'AEO 2023 Table 47 Raw'!G155</f>
        <v>350.07336400000003</v>
      </c>
      <c r="E172" s="18">
        <f>'AEO 2023 Table 47 Raw'!H155</f>
        <v>361.47143599999998</v>
      </c>
      <c r="F172" s="18">
        <f>'AEO 2023 Table 47 Raw'!I155</f>
        <v>372.34155299999998</v>
      </c>
      <c r="G172" s="18">
        <f>'AEO 2023 Table 47 Raw'!J155</f>
        <v>387.67550699999998</v>
      </c>
      <c r="H172" s="18">
        <f>'AEO 2023 Table 47 Raw'!K155</f>
        <v>401.05737299999998</v>
      </c>
      <c r="I172" s="18">
        <f>'AEO 2023 Table 47 Raw'!L155</f>
        <v>414.347961</v>
      </c>
      <c r="J172" s="18">
        <f>'AEO 2023 Table 47 Raw'!M155</f>
        <v>427.38775600000002</v>
      </c>
      <c r="K172" s="18">
        <f>'AEO 2023 Table 47 Raw'!N155</f>
        <v>440.263824</v>
      </c>
      <c r="L172" s="18">
        <f>'AEO 2023 Table 47 Raw'!O155</f>
        <v>453.51907299999999</v>
      </c>
      <c r="M172" s="18">
        <f>'AEO 2023 Table 47 Raw'!P155</f>
        <v>467.65096999999997</v>
      </c>
      <c r="N172" s="18">
        <f>'AEO 2023 Table 47 Raw'!Q155</f>
        <v>482.00097699999998</v>
      </c>
      <c r="O172" s="18">
        <f>'AEO 2023 Table 47 Raw'!R155</f>
        <v>496.01190200000002</v>
      </c>
      <c r="P172" s="18">
        <f>'AEO 2023 Table 47 Raw'!S155</f>
        <v>510.16720600000002</v>
      </c>
      <c r="Q172" s="18">
        <f>'AEO 2023 Table 47 Raw'!T155</f>
        <v>524.78045699999996</v>
      </c>
      <c r="R172" s="18">
        <f>'AEO 2023 Table 47 Raw'!U155</f>
        <v>539.92236300000002</v>
      </c>
      <c r="S172" s="18">
        <f>'AEO 2023 Table 47 Raw'!V155</f>
        <v>555.61492899999996</v>
      </c>
      <c r="T172" s="18">
        <f>'AEO 2023 Table 47 Raw'!W155</f>
        <v>571.68298300000004</v>
      </c>
      <c r="U172" s="18">
        <f>'AEO 2023 Table 47 Raw'!X155</f>
        <v>588.33850099999995</v>
      </c>
      <c r="V172" s="18">
        <f>'AEO 2023 Table 47 Raw'!Y155</f>
        <v>605.21984899999995</v>
      </c>
      <c r="W172" s="18">
        <f>'AEO 2023 Table 47 Raw'!Z155</f>
        <v>622.53668200000004</v>
      </c>
      <c r="X172" s="18">
        <f>'AEO 2023 Table 47 Raw'!AA155</f>
        <v>640.20806900000002</v>
      </c>
      <c r="Y172" s="18">
        <f>'AEO 2023 Table 47 Raw'!AB155</f>
        <v>658.15197799999999</v>
      </c>
      <c r="Z172" s="18">
        <f>'AEO 2023 Table 47 Raw'!AC155</f>
        <v>676.15301499999998</v>
      </c>
      <c r="AA172" s="18">
        <f>'AEO 2023 Table 47 Raw'!AD155</f>
        <v>694.35919200000001</v>
      </c>
      <c r="AB172" s="18">
        <f>'AEO 2023 Table 47 Raw'!AE155</f>
        <v>712.903503</v>
      </c>
      <c r="AC172" s="18">
        <f>'AEO 2023 Table 47 Raw'!AF155</f>
        <v>731.75134300000002</v>
      </c>
      <c r="AD172" s="18">
        <f>'AEO 2023 Table 47 Raw'!AG155</f>
        <v>750.81225600000005</v>
      </c>
      <c r="AE172" s="18">
        <f>'AEO 2023 Table 47 Raw'!AH155</f>
        <v>770.08294699999999</v>
      </c>
      <c r="AF172" s="30">
        <f>'AEO 2023 Table 47 Raw'!AI155</f>
        <v>3.1E-2</v>
      </c>
    </row>
    <row r="173" spans="1:32" ht="15" customHeight="1">
      <c r="A173" s="7" t="s">
        <v>702</v>
      </c>
      <c r="B173" s="16" t="s">
        <v>697</v>
      </c>
      <c r="C173" s="18">
        <f>'AEO 2023 Table 47 Raw'!F156</f>
        <v>0</v>
      </c>
      <c r="D173" s="18">
        <f>'AEO 2023 Table 47 Raw'!G156</f>
        <v>0</v>
      </c>
      <c r="E173" s="18">
        <f>'AEO 2023 Table 47 Raw'!H156</f>
        <v>0</v>
      </c>
      <c r="F173" s="18">
        <f>'AEO 2023 Table 47 Raw'!I156</f>
        <v>0</v>
      </c>
      <c r="G173" s="18">
        <f>'AEO 2023 Table 47 Raw'!J156</f>
        <v>0</v>
      </c>
      <c r="H173" s="18">
        <f>'AEO 2023 Table 47 Raw'!K156</f>
        <v>0</v>
      </c>
      <c r="I173" s="18">
        <f>'AEO 2023 Table 47 Raw'!L156</f>
        <v>0</v>
      </c>
      <c r="J173" s="18">
        <f>'AEO 2023 Table 47 Raw'!M156</f>
        <v>0</v>
      </c>
      <c r="K173" s="18">
        <f>'AEO 2023 Table 47 Raw'!N156</f>
        <v>0</v>
      </c>
      <c r="L173" s="18">
        <f>'AEO 2023 Table 47 Raw'!O156</f>
        <v>0</v>
      </c>
      <c r="M173" s="18">
        <f>'AEO 2023 Table 47 Raw'!P156</f>
        <v>0</v>
      </c>
      <c r="N173" s="18">
        <f>'AEO 2023 Table 47 Raw'!Q156</f>
        <v>0</v>
      </c>
      <c r="O173" s="18">
        <f>'AEO 2023 Table 47 Raw'!R156</f>
        <v>0</v>
      </c>
      <c r="P173" s="18">
        <f>'AEO 2023 Table 47 Raw'!S156</f>
        <v>0</v>
      </c>
      <c r="Q173" s="18">
        <f>'AEO 2023 Table 47 Raw'!T156</f>
        <v>0</v>
      </c>
      <c r="R173" s="18">
        <f>'AEO 2023 Table 47 Raw'!U156</f>
        <v>0</v>
      </c>
      <c r="S173" s="18">
        <f>'AEO 2023 Table 47 Raw'!V156</f>
        <v>0</v>
      </c>
      <c r="T173" s="18">
        <f>'AEO 2023 Table 47 Raw'!W156</f>
        <v>0</v>
      </c>
      <c r="U173" s="18">
        <f>'AEO 2023 Table 47 Raw'!X156</f>
        <v>0</v>
      </c>
      <c r="V173" s="18">
        <f>'AEO 2023 Table 47 Raw'!Y156</f>
        <v>0</v>
      </c>
      <c r="W173" s="18">
        <f>'AEO 2023 Table 47 Raw'!Z156</f>
        <v>0</v>
      </c>
      <c r="X173" s="18">
        <f>'AEO 2023 Table 47 Raw'!AA156</f>
        <v>0</v>
      </c>
      <c r="Y173" s="18">
        <f>'AEO 2023 Table 47 Raw'!AB156</f>
        <v>0</v>
      </c>
      <c r="Z173" s="18">
        <f>'AEO 2023 Table 47 Raw'!AC156</f>
        <v>0</v>
      </c>
      <c r="AA173" s="18">
        <f>'AEO 2023 Table 47 Raw'!AD156</f>
        <v>0</v>
      </c>
      <c r="AB173" s="18">
        <f>'AEO 2023 Table 47 Raw'!AE156</f>
        <v>0</v>
      </c>
      <c r="AC173" s="18">
        <f>'AEO 2023 Table 47 Raw'!AF156</f>
        <v>0</v>
      </c>
      <c r="AD173" s="18">
        <f>'AEO 2023 Table 47 Raw'!AG156</f>
        <v>0</v>
      </c>
      <c r="AE173" s="18">
        <f>'AEO 2023 Table 47 Raw'!AH156</f>
        <v>0</v>
      </c>
      <c r="AF173" s="30">
        <f>'AEO 2023 Table 47 Raw'!AI156</f>
        <v>0</v>
      </c>
    </row>
    <row r="174" spans="1:32" ht="15" customHeight="1">
      <c r="AF174" s="33"/>
    </row>
    <row r="175" spans="1:32" ht="15" customHeight="1">
      <c r="B175" s="15" t="s">
        <v>110</v>
      </c>
      <c r="AF175" s="33"/>
    </row>
    <row r="176" spans="1:32" ht="15" customHeight="1">
      <c r="B176" s="15" t="s">
        <v>703</v>
      </c>
      <c r="AF176" s="33"/>
    </row>
    <row r="177" spans="1:32" ht="15" customHeight="1">
      <c r="A177" s="7" t="s">
        <v>704</v>
      </c>
      <c r="B177" s="16" t="s">
        <v>520</v>
      </c>
      <c r="C177" s="17">
        <f>'AEO 2023 Table 47 Raw'!F159</f>
        <v>0</v>
      </c>
      <c r="D177" s="17">
        <f>'AEO 2023 Table 47 Raw'!G159</f>
        <v>39.340881000000003</v>
      </c>
      <c r="E177" s="17">
        <f>'AEO 2023 Table 47 Raw'!H159</f>
        <v>37.988616999999998</v>
      </c>
      <c r="F177" s="17">
        <f>'AEO 2023 Table 47 Raw'!I159</f>
        <v>7.9354370000000003</v>
      </c>
      <c r="G177" s="17">
        <f>'AEO 2023 Table 47 Raw'!J159</f>
        <v>22.899474999999999</v>
      </c>
      <c r="H177" s="17">
        <f>'AEO 2023 Table 47 Raw'!K159</f>
        <v>65.770118999999994</v>
      </c>
      <c r="I177" s="17">
        <f>'AEO 2023 Table 47 Raw'!L159</f>
        <v>67.841369999999998</v>
      </c>
      <c r="J177" s="17">
        <f>'AEO 2023 Table 47 Raw'!M159</f>
        <v>64.843872000000005</v>
      </c>
      <c r="K177" s="17">
        <f>'AEO 2023 Table 47 Raw'!N159</f>
        <v>61.797545999999997</v>
      </c>
      <c r="L177" s="17">
        <f>'AEO 2023 Table 47 Raw'!O159</f>
        <v>61.889342999999997</v>
      </c>
      <c r="M177" s="17">
        <f>'AEO 2023 Table 47 Raw'!P159</f>
        <v>65.417113999999998</v>
      </c>
      <c r="N177" s="17">
        <f>'AEO 2023 Table 47 Raw'!Q159</f>
        <v>64.408493000000007</v>
      </c>
      <c r="O177" s="17">
        <f>'AEO 2023 Table 47 Raw'!R159</f>
        <v>59.074790999999998</v>
      </c>
      <c r="P177" s="17">
        <f>'AEO 2023 Table 47 Raw'!S159</f>
        <v>57.096992</v>
      </c>
      <c r="Q177" s="17">
        <f>'AEO 2023 Table 47 Raw'!T159</f>
        <v>57.945704999999997</v>
      </c>
      <c r="R177" s="17">
        <f>'AEO 2023 Table 47 Raw'!U159</f>
        <v>59.668900000000001</v>
      </c>
      <c r="S177" s="17">
        <f>'AEO 2023 Table 47 Raw'!V159</f>
        <v>61.945683000000002</v>
      </c>
      <c r="T177" s="17">
        <f>'AEO 2023 Table 47 Raw'!W159</f>
        <v>63.071460999999999</v>
      </c>
      <c r="U177" s="17">
        <f>'AEO 2023 Table 47 Raw'!X159</f>
        <v>65.706481999999994</v>
      </c>
      <c r="V177" s="17">
        <f>'AEO 2023 Table 47 Raw'!Y159</f>
        <v>65.747039999999998</v>
      </c>
      <c r="W177" s="17">
        <f>'AEO 2023 Table 47 Raw'!Z159</f>
        <v>67.314468000000005</v>
      </c>
      <c r="X177" s="17">
        <f>'AEO 2023 Table 47 Raw'!AA159</f>
        <v>68.832672000000002</v>
      </c>
      <c r="Y177" s="17">
        <f>'AEO 2023 Table 47 Raw'!AB159</f>
        <v>70.226035999999993</v>
      </c>
      <c r="Z177" s="17">
        <f>'AEO 2023 Table 47 Raw'!AC159</f>
        <v>70.609099999999998</v>
      </c>
      <c r="AA177" s="17">
        <f>'AEO 2023 Table 47 Raw'!AD159</f>
        <v>72.683494999999994</v>
      </c>
      <c r="AB177" s="17">
        <f>'AEO 2023 Table 47 Raw'!AE159</f>
        <v>75.066970999999995</v>
      </c>
      <c r="AC177" s="17">
        <f>'AEO 2023 Table 47 Raw'!AF159</f>
        <v>77.259933000000004</v>
      </c>
      <c r="AD177" s="17">
        <f>'AEO 2023 Table 47 Raw'!AG159</f>
        <v>79.321548000000007</v>
      </c>
      <c r="AE177" s="17">
        <f>'AEO 2023 Table 47 Raw'!AH159</f>
        <v>81.872428999999997</v>
      </c>
      <c r="AF177" s="30" t="str">
        <f>'AEO 2023 Table 47 Raw'!AI159</f>
        <v>- -</v>
      </c>
    </row>
    <row r="178" spans="1:32" ht="15" customHeight="1">
      <c r="A178" s="7" t="s">
        <v>705</v>
      </c>
      <c r="B178" s="16" t="s">
        <v>522</v>
      </c>
      <c r="C178" s="17">
        <f>'AEO 2023 Table 47 Raw'!F160</f>
        <v>203.86596700000001</v>
      </c>
      <c r="D178" s="17">
        <f>'AEO 2023 Table 47 Raw'!G160</f>
        <v>165.05175800000001</v>
      </c>
      <c r="E178" s="17">
        <f>'AEO 2023 Table 47 Raw'!H160</f>
        <v>28.532226999999999</v>
      </c>
      <c r="F178" s="17">
        <f>'AEO 2023 Table 47 Raw'!I160</f>
        <v>33.744629000000003</v>
      </c>
      <c r="G178" s="17">
        <f>'AEO 2023 Table 47 Raw'!J160</f>
        <v>78.634521000000007</v>
      </c>
      <c r="H178" s="17">
        <f>'AEO 2023 Table 47 Raw'!K160</f>
        <v>83.990966999999998</v>
      </c>
      <c r="I178" s="17">
        <f>'AEO 2023 Table 47 Raw'!L160</f>
        <v>88.002441000000005</v>
      </c>
      <c r="J178" s="17">
        <f>'AEO 2023 Table 47 Raw'!M160</f>
        <v>85.537109000000001</v>
      </c>
      <c r="K178" s="17">
        <f>'AEO 2023 Table 47 Raw'!N160</f>
        <v>83.518799000000001</v>
      </c>
      <c r="L178" s="17">
        <f>'AEO 2023 Table 47 Raw'!O160</f>
        <v>90.350098000000003</v>
      </c>
      <c r="M178" s="17">
        <f>'AEO 2023 Table 47 Raw'!P160</f>
        <v>106.419678</v>
      </c>
      <c r="N178" s="17">
        <f>'AEO 2023 Table 47 Raw'!Q160</f>
        <v>110.49243199999999</v>
      </c>
      <c r="O178" s="17">
        <f>'AEO 2023 Table 47 Raw'!R160</f>
        <v>103.49292</v>
      </c>
      <c r="P178" s="17">
        <f>'AEO 2023 Table 47 Raw'!S160</f>
        <v>104.525391</v>
      </c>
      <c r="Q178" s="17">
        <f>'AEO 2023 Table 47 Raw'!T160</f>
        <v>111.57714799999999</v>
      </c>
      <c r="R178" s="17">
        <f>'AEO 2023 Table 47 Raw'!U160</f>
        <v>119.583252</v>
      </c>
      <c r="S178" s="17">
        <f>'AEO 2023 Table 47 Raw'!V160</f>
        <v>127.74706999999999</v>
      </c>
      <c r="T178" s="17">
        <f>'AEO 2023 Table 47 Raw'!W160</f>
        <v>132.03637699999999</v>
      </c>
      <c r="U178" s="17">
        <f>'AEO 2023 Table 47 Raw'!X160</f>
        <v>139.033691</v>
      </c>
      <c r="V178" s="17">
        <f>'AEO 2023 Table 47 Raw'!Y160</f>
        <v>138.71459999999999</v>
      </c>
      <c r="W178" s="17">
        <f>'AEO 2023 Table 47 Raw'!Z160</f>
        <v>141.738281</v>
      </c>
      <c r="X178" s="17">
        <f>'AEO 2023 Table 47 Raw'!AA160</f>
        <v>144.325684</v>
      </c>
      <c r="Y178" s="17">
        <f>'AEO 2023 Table 47 Raw'!AB160</f>
        <v>146.691406</v>
      </c>
      <c r="Z178" s="17">
        <f>'AEO 2023 Table 47 Raw'!AC160</f>
        <v>146.599121</v>
      </c>
      <c r="AA178" s="17">
        <f>'AEO 2023 Table 47 Raw'!AD160</f>
        <v>150.802246</v>
      </c>
      <c r="AB178" s="17">
        <f>'AEO 2023 Table 47 Raw'!AE160</f>
        <v>156.00903299999999</v>
      </c>
      <c r="AC178" s="17">
        <f>'AEO 2023 Table 47 Raw'!AF160</f>
        <v>160.830566</v>
      </c>
      <c r="AD178" s="17">
        <f>'AEO 2023 Table 47 Raw'!AG160</f>
        <v>165.24877900000001</v>
      </c>
      <c r="AE178" s="17">
        <f>'AEO 2023 Table 47 Raw'!AH160</f>
        <v>170.92163099999999</v>
      </c>
      <c r="AF178" s="30">
        <f>'AEO 2023 Table 47 Raw'!AI160</f>
        <v>-6.0000000000000001E-3</v>
      </c>
    </row>
    <row r="179" spans="1:32" ht="15" customHeight="1">
      <c r="A179" s="7" t="s">
        <v>706</v>
      </c>
      <c r="B179" s="16" t="s">
        <v>524</v>
      </c>
      <c r="C179" s="17">
        <f>'AEO 2023 Table 47 Raw'!F161</f>
        <v>0</v>
      </c>
      <c r="D179" s="17">
        <f>'AEO 2023 Table 47 Raw'!G161</f>
        <v>15.678391</v>
      </c>
      <c r="E179" s="17">
        <f>'AEO 2023 Table 47 Raw'!H161</f>
        <v>51.316887000000001</v>
      </c>
      <c r="F179" s="17">
        <f>'AEO 2023 Table 47 Raw'!I161</f>
        <v>50.117165</v>
      </c>
      <c r="G179" s="17">
        <f>'AEO 2023 Table 47 Raw'!J161</f>
        <v>52.954346000000001</v>
      </c>
      <c r="H179" s="17">
        <f>'AEO 2023 Table 47 Raw'!K161</f>
        <v>57.051322999999996</v>
      </c>
      <c r="I179" s="17">
        <f>'AEO 2023 Table 47 Raw'!L161</f>
        <v>44.861697999999997</v>
      </c>
      <c r="J179" s="17">
        <f>'AEO 2023 Table 47 Raw'!M161</f>
        <v>46.635117000000001</v>
      </c>
      <c r="K179" s="17">
        <f>'AEO 2023 Table 47 Raw'!N161</f>
        <v>49.951324</v>
      </c>
      <c r="L179" s="17">
        <f>'AEO 2023 Table 47 Raw'!O161</f>
        <v>50.769165000000001</v>
      </c>
      <c r="M179" s="17">
        <f>'AEO 2023 Table 47 Raw'!P161</f>
        <v>51.472060999999997</v>
      </c>
      <c r="N179" s="17">
        <f>'AEO 2023 Table 47 Raw'!Q161</f>
        <v>52.399932999999997</v>
      </c>
      <c r="O179" s="17">
        <f>'AEO 2023 Table 47 Raw'!R161</f>
        <v>53.103180000000002</v>
      </c>
      <c r="P179" s="17">
        <f>'AEO 2023 Table 47 Raw'!S161</f>
        <v>53.605300999999997</v>
      </c>
      <c r="Q179" s="17">
        <f>'AEO 2023 Table 47 Raw'!T161</f>
        <v>56.171036000000001</v>
      </c>
      <c r="R179" s="17">
        <f>'AEO 2023 Table 47 Raw'!U161</f>
        <v>56.427169999999997</v>
      </c>
      <c r="S179" s="17">
        <f>'AEO 2023 Table 47 Raw'!V161</f>
        <v>57.608795000000001</v>
      </c>
      <c r="T179" s="17">
        <f>'AEO 2023 Table 47 Raw'!W161</f>
        <v>58.449553999999999</v>
      </c>
      <c r="U179" s="17">
        <f>'AEO 2023 Table 47 Raw'!X161</f>
        <v>58.490127999999999</v>
      </c>
      <c r="V179" s="17">
        <f>'AEO 2023 Table 47 Raw'!Y161</f>
        <v>58.666182999999997</v>
      </c>
      <c r="W179" s="17">
        <f>'AEO 2023 Table 47 Raw'!Z161</f>
        <v>58.960326999999999</v>
      </c>
      <c r="X179" s="17">
        <f>'AEO 2023 Table 47 Raw'!AA161</f>
        <v>59.343628000000002</v>
      </c>
      <c r="Y179" s="17">
        <f>'AEO 2023 Table 47 Raw'!AB161</f>
        <v>59.845576999999999</v>
      </c>
      <c r="Z179" s="17">
        <f>'AEO 2023 Table 47 Raw'!AC161</f>
        <v>60.470764000000003</v>
      </c>
      <c r="AA179" s="17">
        <f>'AEO 2023 Table 47 Raw'!AD161</f>
        <v>61.182304000000002</v>
      </c>
      <c r="AB179" s="17">
        <f>'AEO 2023 Table 47 Raw'!AE161</f>
        <v>61.965812999999997</v>
      </c>
      <c r="AC179" s="17">
        <f>'AEO 2023 Table 47 Raw'!AF161</f>
        <v>62.802154999999999</v>
      </c>
      <c r="AD179" s="17">
        <f>'AEO 2023 Table 47 Raw'!AG161</f>
        <v>63.733001999999999</v>
      </c>
      <c r="AE179" s="17">
        <f>'AEO 2023 Table 47 Raw'!AH161</f>
        <v>64.763489000000007</v>
      </c>
      <c r="AF179" s="30" t="str">
        <f>'AEO 2023 Table 47 Raw'!AI161</f>
        <v>- -</v>
      </c>
    </row>
    <row r="180" spans="1:32" ht="15" customHeight="1">
      <c r="A180" s="7" t="s">
        <v>707</v>
      </c>
      <c r="B180" s="16" t="s">
        <v>526</v>
      </c>
      <c r="C180" s="17">
        <f>'AEO 2023 Table 47 Raw'!F162</f>
        <v>0</v>
      </c>
      <c r="D180" s="17">
        <f>'AEO 2023 Table 47 Raw'!G162</f>
        <v>0</v>
      </c>
      <c r="E180" s="17">
        <f>'AEO 2023 Table 47 Raw'!H162</f>
        <v>17.463474000000001</v>
      </c>
      <c r="F180" s="17">
        <f>'AEO 2023 Table 47 Raw'!I162</f>
        <v>21.329653</v>
      </c>
      <c r="G180" s="17">
        <f>'AEO 2023 Table 47 Raw'!J162</f>
        <v>24.371399</v>
      </c>
      <c r="H180" s="17">
        <f>'AEO 2023 Table 47 Raw'!K162</f>
        <v>23.494506999999999</v>
      </c>
      <c r="I180" s="17">
        <f>'AEO 2023 Table 47 Raw'!L162</f>
        <v>18.943511999999998</v>
      </c>
      <c r="J180" s="17">
        <f>'AEO 2023 Table 47 Raw'!M162</f>
        <v>19.374298</v>
      </c>
      <c r="K180" s="17">
        <f>'AEO 2023 Table 47 Raw'!N162</f>
        <v>19.766327</v>
      </c>
      <c r="L180" s="17">
        <f>'AEO 2023 Table 47 Raw'!O162</f>
        <v>20.132964999999999</v>
      </c>
      <c r="M180" s="17">
        <f>'AEO 2023 Table 47 Raw'!P162</f>
        <v>20.452881000000001</v>
      </c>
      <c r="N180" s="17">
        <f>'AEO 2023 Table 47 Raw'!Q162</f>
        <v>20.728363000000002</v>
      </c>
      <c r="O180" s="17">
        <f>'AEO 2023 Table 47 Raw'!R162</f>
        <v>20.983429000000001</v>
      </c>
      <c r="P180" s="17">
        <f>'AEO 2023 Table 47 Raw'!S162</f>
        <v>21.226134999999999</v>
      </c>
      <c r="Q180" s="17">
        <f>'AEO 2023 Table 47 Raw'!T162</f>
        <v>23.542083999999999</v>
      </c>
      <c r="R180" s="17">
        <f>'AEO 2023 Table 47 Raw'!U162</f>
        <v>23.546509</v>
      </c>
      <c r="S180" s="17">
        <f>'AEO 2023 Table 47 Raw'!V162</f>
        <v>23.508330999999998</v>
      </c>
      <c r="T180" s="17">
        <f>'AEO 2023 Table 47 Raw'!W162</f>
        <v>23.525696</v>
      </c>
      <c r="U180" s="17">
        <f>'AEO 2023 Table 47 Raw'!X162</f>
        <v>23.583984000000001</v>
      </c>
      <c r="V180" s="17">
        <f>'AEO 2023 Table 47 Raw'!Y162</f>
        <v>23.695709000000001</v>
      </c>
      <c r="W180" s="17">
        <f>'AEO 2023 Table 47 Raw'!Z162</f>
        <v>23.852905</v>
      </c>
      <c r="X180" s="17">
        <f>'AEO 2023 Table 47 Raw'!AA162</f>
        <v>24.047637999999999</v>
      </c>
      <c r="Y180" s="17">
        <f>'AEO 2023 Table 47 Raw'!AB162</f>
        <v>24.291533999999999</v>
      </c>
      <c r="Z180" s="17">
        <f>'AEO 2023 Table 47 Raw'!AC162</f>
        <v>24.574981999999999</v>
      </c>
      <c r="AA180" s="17">
        <f>'AEO 2023 Table 47 Raw'!AD162</f>
        <v>24.892365000000002</v>
      </c>
      <c r="AB180" s="17">
        <f>'AEO 2023 Table 47 Raw'!AE162</f>
        <v>25.243469000000001</v>
      </c>
      <c r="AC180" s="17">
        <f>'AEO 2023 Table 47 Raw'!AF162</f>
        <v>25.627898999999999</v>
      </c>
      <c r="AD180" s="17">
        <f>'AEO 2023 Table 47 Raw'!AG162</f>
        <v>26.047516000000002</v>
      </c>
      <c r="AE180" s="17">
        <f>'AEO 2023 Table 47 Raw'!AH162</f>
        <v>26.498474000000002</v>
      </c>
      <c r="AF180" s="30" t="str">
        <f>'AEO 2023 Table 47 Raw'!AI162</f>
        <v>- -</v>
      </c>
    </row>
    <row r="181" spans="1:32" ht="12" customHeight="1">
      <c r="A181" s="7" t="s">
        <v>708</v>
      </c>
      <c r="B181" s="16" t="s">
        <v>528</v>
      </c>
      <c r="C181" s="17">
        <f>'AEO 2023 Table 47 Raw'!F163</f>
        <v>0</v>
      </c>
      <c r="D181" s="17">
        <f>'AEO 2023 Table 47 Raw'!G163</f>
        <v>0</v>
      </c>
      <c r="E181" s="17">
        <f>'AEO 2023 Table 47 Raw'!H163</f>
        <v>2.6847050000000001</v>
      </c>
      <c r="F181" s="17">
        <f>'AEO 2023 Table 47 Raw'!I163</f>
        <v>8.6334879999999998</v>
      </c>
      <c r="G181" s="17">
        <f>'AEO 2023 Table 47 Raw'!J163</f>
        <v>7.5640429999999999</v>
      </c>
      <c r="H181" s="17">
        <f>'AEO 2023 Table 47 Raw'!K163</f>
        <v>7.6775729999999998</v>
      </c>
      <c r="I181" s="17">
        <f>'AEO 2023 Table 47 Raw'!L163</f>
        <v>4.8536409999999997</v>
      </c>
      <c r="J181" s="17">
        <f>'AEO 2023 Table 47 Raw'!M163</f>
        <v>5.8987879999999997</v>
      </c>
      <c r="K181" s="17">
        <f>'AEO 2023 Table 47 Raw'!N163</f>
        <v>8.4926449999999996</v>
      </c>
      <c r="L181" s="17">
        <f>'AEO 2023 Table 47 Raw'!O163</f>
        <v>8.6243289999999995</v>
      </c>
      <c r="M181" s="17">
        <f>'AEO 2023 Table 47 Raw'!P163</f>
        <v>8.7234649999999991</v>
      </c>
      <c r="N181" s="17">
        <f>'AEO 2023 Table 47 Raw'!Q163</f>
        <v>8.8013309999999993</v>
      </c>
      <c r="O181" s="17">
        <f>'AEO 2023 Table 47 Raw'!R163</f>
        <v>8.8686830000000008</v>
      </c>
      <c r="P181" s="17">
        <f>'AEO 2023 Table 47 Raw'!S163</f>
        <v>8.9318390000000001</v>
      </c>
      <c r="Q181" s="17">
        <f>'AEO 2023 Table 47 Raw'!T163</f>
        <v>8.9949490000000001</v>
      </c>
      <c r="R181" s="17">
        <f>'AEO 2023 Table 47 Raw'!U163</f>
        <v>9.0618739999999995</v>
      </c>
      <c r="S181" s="17">
        <f>'AEO 2023 Table 47 Raw'!V163</f>
        <v>10.095367</v>
      </c>
      <c r="T181" s="17">
        <f>'AEO 2023 Table 47 Raw'!W163</f>
        <v>10.726288</v>
      </c>
      <c r="U181" s="17">
        <f>'AEO 2023 Table 47 Raw'!X163</f>
        <v>10.520554000000001</v>
      </c>
      <c r="V181" s="17">
        <f>'AEO 2023 Table 47 Raw'!Y163</f>
        <v>10.378677</v>
      </c>
      <c r="W181" s="17">
        <f>'AEO 2023 Table 47 Raw'!Z163</f>
        <v>10.290741000000001</v>
      </c>
      <c r="X181" s="17">
        <f>'AEO 2023 Table 47 Raw'!AA163</f>
        <v>10.238586</v>
      </c>
      <c r="Y181" s="17">
        <f>'AEO 2023 Table 47 Raw'!AB163</f>
        <v>10.221401</v>
      </c>
      <c r="Z181" s="17">
        <f>'AEO 2023 Table 47 Raw'!AC163</f>
        <v>10.25827</v>
      </c>
      <c r="AA181" s="17">
        <f>'AEO 2023 Table 47 Raw'!AD163</f>
        <v>10.321465</v>
      </c>
      <c r="AB181" s="17">
        <f>'AEO 2023 Table 47 Raw'!AE163</f>
        <v>10.393303</v>
      </c>
      <c r="AC181" s="17">
        <f>'AEO 2023 Table 47 Raw'!AF163</f>
        <v>10.454742</v>
      </c>
      <c r="AD181" s="17">
        <f>'AEO 2023 Table 47 Raw'!AG163</f>
        <v>10.542479999999999</v>
      </c>
      <c r="AE181" s="17">
        <f>'AEO 2023 Table 47 Raw'!AH163</f>
        <v>10.666687</v>
      </c>
      <c r="AF181" s="30" t="str">
        <f>'AEO 2023 Table 47 Raw'!AI163</f>
        <v>- -</v>
      </c>
    </row>
    <row r="182" spans="1:32" ht="12" customHeight="1">
      <c r="A182" s="7" t="s">
        <v>709</v>
      </c>
      <c r="B182" s="16" t="s">
        <v>530</v>
      </c>
      <c r="C182" s="17">
        <f>'AEO 2023 Table 47 Raw'!F164</f>
        <v>0</v>
      </c>
      <c r="D182" s="17">
        <f>'AEO 2023 Table 47 Raw'!G164</f>
        <v>15.678391</v>
      </c>
      <c r="E182" s="17">
        <f>'AEO 2023 Table 47 Raw'!H164</f>
        <v>31.168710999999998</v>
      </c>
      <c r="F182" s="17">
        <f>'AEO 2023 Table 47 Raw'!I164</f>
        <v>20.154024</v>
      </c>
      <c r="G182" s="17">
        <f>'AEO 2023 Table 47 Raw'!J164</f>
        <v>21.018902000000001</v>
      </c>
      <c r="H182" s="17">
        <f>'AEO 2023 Table 47 Raw'!K164</f>
        <v>25.879242000000001</v>
      </c>
      <c r="I182" s="17">
        <f>'AEO 2023 Table 47 Raw'!L164</f>
        <v>21.064544999999999</v>
      </c>
      <c r="J182" s="17">
        <f>'AEO 2023 Table 47 Raw'!M164</f>
        <v>21.362030000000001</v>
      </c>
      <c r="K182" s="17">
        <f>'AEO 2023 Table 47 Raw'!N164</f>
        <v>21.692352</v>
      </c>
      <c r="L182" s="17">
        <f>'AEO 2023 Table 47 Raw'!O164</f>
        <v>22.011870999999999</v>
      </c>
      <c r="M182" s="17">
        <f>'AEO 2023 Table 47 Raw'!P164</f>
        <v>22.295715000000001</v>
      </c>
      <c r="N182" s="17">
        <f>'AEO 2023 Table 47 Raw'!Q164</f>
        <v>22.870239000000002</v>
      </c>
      <c r="O182" s="17">
        <f>'AEO 2023 Table 47 Raw'!R164</f>
        <v>23.251068</v>
      </c>
      <c r="P182" s="17">
        <f>'AEO 2023 Table 47 Raw'!S164</f>
        <v>23.447327000000001</v>
      </c>
      <c r="Q182" s="17">
        <f>'AEO 2023 Table 47 Raw'!T164</f>
        <v>23.634003</v>
      </c>
      <c r="R182" s="17">
        <f>'AEO 2023 Table 47 Raw'!U164</f>
        <v>23.818787</v>
      </c>
      <c r="S182" s="17">
        <f>'AEO 2023 Table 47 Raw'!V164</f>
        <v>24.005096000000002</v>
      </c>
      <c r="T182" s="17">
        <f>'AEO 2023 Table 47 Raw'!W164</f>
        <v>24.197571</v>
      </c>
      <c r="U182" s="17">
        <f>'AEO 2023 Table 47 Raw'!X164</f>
        <v>24.385590000000001</v>
      </c>
      <c r="V182" s="17">
        <f>'AEO 2023 Table 47 Raw'!Y164</f>
        <v>24.591797</v>
      </c>
      <c r="W182" s="17">
        <f>'AEO 2023 Table 47 Raw'!Z164</f>
        <v>24.816680999999999</v>
      </c>
      <c r="X182" s="17">
        <f>'AEO 2023 Table 47 Raw'!AA164</f>
        <v>25.057403999999998</v>
      </c>
      <c r="Y182" s="17">
        <f>'AEO 2023 Table 47 Raw'!AB164</f>
        <v>25.332642</v>
      </c>
      <c r="Z182" s="17">
        <f>'AEO 2023 Table 47 Raw'!AC164</f>
        <v>25.637512000000001</v>
      </c>
      <c r="AA182" s="17">
        <f>'AEO 2023 Table 47 Raw'!AD164</f>
        <v>25.968475000000002</v>
      </c>
      <c r="AB182" s="17">
        <f>'AEO 2023 Table 47 Raw'!AE164</f>
        <v>26.329041</v>
      </c>
      <c r="AC182" s="17">
        <f>'AEO 2023 Table 47 Raw'!AF164</f>
        <v>26.719512999999999</v>
      </c>
      <c r="AD182" s="17">
        <f>'AEO 2023 Table 47 Raw'!AG164</f>
        <v>27.143004999999999</v>
      </c>
      <c r="AE182" s="17">
        <f>'AEO 2023 Table 47 Raw'!AH164</f>
        <v>27.598327999999999</v>
      </c>
      <c r="AF182" s="30" t="str">
        <f>'AEO 2023 Table 47 Raw'!AI164</f>
        <v>- -</v>
      </c>
    </row>
    <row r="183" spans="1:32" ht="15" customHeight="1">
      <c r="A183" s="7" t="s">
        <v>710</v>
      </c>
      <c r="B183" s="16" t="s">
        <v>532</v>
      </c>
      <c r="C183" s="17">
        <f>'AEO 2023 Table 47 Raw'!F165</f>
        <v>0</v>
      </c>
      <c r="D183" s="17">
        <f>'AEO 2023 Table 47 Raw'!G165</f>
        <v>22.792006000000001</v>
      </c>
      <c r="E183" s="17">
        <f>'AEO 2023 Table 47 Raw'!H165</f>
        <v>74.402717999999993</v>
      </c>
      <c r="F183" s="17">
        <f>'AEO 2023 Table 47 Raw'!I165</f>
        <v>44.716248</v>
      </c>
      <c r="G183" s="17">
        <f>'AEO 2023 Table 47 Raw'!J165</f>
        <v>57.993133999999998</v>
      </c>
      <c r="H183" s="17">
        <f>'AEO 2023 Table 47 Raw'!K165</f>
        <v>54.273457000000001</v>
      </c>
      <c r="I183" s="17">
        <f>'AEO 2023 Table 47 Raw'!L165</f>
        <v>51.795287999999999</v>
      </c>
      <c r="J183" s="17">
        <f>'AEO 2023 Table 47 Raw'!M165</f>
        <v>51.212234000000002</v>
      </c>
      <c r="K183" s="17">
        <f>'AEO 2023 Table 47 Raw'!N165</f>
        <v>52.077075999999998</v>
      </c>
      <c r="L183" s="17">
        <f>'AEO 2023 Table 47 Raw'!O165</f>
        <v>54.758178999999998</v>
      </c>
      <c r="M183" s="17">
        <f>'AEO 2023 Table 47 Raw'!P165</f>
        <v>57.779369000000003</v>
      </c>
      <c r="N183" s="17">
        <f>'AEO 2023 Table 47 Raw'!Q165</f>
        <v>61.833809000000002</v>
      </c>
      <c r="O183" s="17">
        <f>'AEO 2023 Table 47 Raw'!R165</f>
        <v>66.168610000000001</v>
      </c>
      <c r="P183" s="17">
        <f>'AEO 2023 Table 47 Raw'!S165</f>
        <v>69.022034000000005</v>
      </c>
      <c r="Q183" s="17">
        <f>'AEO 2023 Table 47 Raw'!T165</f>
        <v>71.720344999999995</v>
      </c>
      <c r="R183" s="17">
        <f>'AEO 2023 Table 47 Raw'!U165</f>
        <v>74.601128000000003</v>
      </c>
      <c r="S183" s="17">
        <f>'AEO 2023 Table 47 Raw'!V165</f>
        <v>77.492294000000001</v>
      </c>
      <c r="T183" s="17">
        <f>'AEO 2023 Table 47 Raw'!W165</f>
        <v>80.764747999999997</v>
      </c>
      <c r="U183" s="17">
        <f>'AEO 2023 Table 47 Raw'!X165</f>
        <v>83.840393000000006</v>
      </c>
      <c r="V183" s="17">
        <f>'AEO 2023 Table 47 Raw'!Y165</f>
        <v>85.916290000000004</v>
      </c>
      <c r="W183" s="17">
        <f>'AEO 2023 Table 47 Raw'!Z165</f>
        <v>88.354316999999995</v>
      </c>
      <c r="X183" s="17">
        <f>'AEO 2023 Table 47 Raw'!AA165</f>
        <v>90.725646999999995</v>
      </c>
      <c r="Y183" s="17">
        <f>'AEO 2023 Table 47 Raw'!AB165</f>
        <v>93.012282999999996</v>
      </c>
      <c r="Z183" s="17">
        <f>'AEO 2023 Table 47 Raw'!AC165</f>
        <v>95.275702999999993</v>
      </c>
      <c r="AA183" s="17">
        <f>'AEO 2023 Table 47 Raw'!AD165</f>
        <v>96.930526999999998</v>
      </c>
      <c r="AB183" s="17">
        <f>'AEO 2023 Table 47 Raw'!AE165</f>
        <v>99.070449999999994</v>
      </c>
      <c r="AC183" s="17">
        <f>'AEO 2023 Table 47 Raw'!AF165</f>
        <v>101.387764</v>
      </c>
      <c r="AD183" s="17">
        <f>'AEO 2023 Table 47 Raw'!AG165</f>
        <v>103.807503</v>
      </c>
      <c r="AE183" s="17">
        <f>'AEO 2023 Table 47 Raw'!AH165</f>
        <v>106.413315</v>
      </c>
      <c r="AF183" s="30" t="str">
        <f>'AEO 2023 Table 47 Raw'!AI165</f>
        <v>- -</v>
      </c>
    </row>
    <row r="184" spans="1:32" ht="15" customHeight="1">
      <c r="A184" s="7" t="s">
        <v>711</v>
      </c>
      <c r="B184" s="16" t="s">
        <v>534</v>
      </c>
      <c r="C184" s="17">
        <f>'AEO 2023 Table 47 Raw'!F166</f>
        <v>0</v>
      </c>
      <c r="D184" s="17">
        <f>'AEO 2023 Table 47 Raw'!G166</f>
        <v>3.6042939999999999</v>
      </c>
      <c r="E184" s="17">
        <f>'AEO 2023 Table 47 Raw'!H166</f>
        <v>47.323338</v>
      </c>
      <c r="F184" s="17">
        <f>'AEO 2023 Table 47 Raw'!I166</f>
        <v>25.081547</v>
      </c>
      <c r="G184" s="17">
        <f>'AEO 2023 Table 47 Raw'!J166</f>
        <v>36.088225999999999</v>
      </c>
      <c r="H184" s="17">
        <f>'AEO 2023 Table 47 Raw'!K166</f>
        <v>35.250145000000003</v>
      </c>
      <c r="I184" s="17">
        <f>'AEO 2023 Table 47 Raw'!L166</f>
        <v>33.467136000000004</v>
      </c>
      <c r="J184" s="17">
        <f>'AEO 2023 Table 47 Raw'!M166</f>
        <v>32.919186000000003</v>
      </c>
      <c r="K184" s="17">
        <f>'AEO 2023 Table 47 Raw'!N166</f>
        <v>34.377158999999999</v>
      </c>
      <c r="L184" s="17">
        <f>'AEO 2023 Table 47 Raw'!O166</f>
        <v>35.893459</v>
      </c>
      <c r="M184" s="17">
        <f>'AEO 2023 Table 47 Raw'!P166</f>
        <v>37.667839000000001</v>
      </c>
      <c r="N184" s="17">
        <f>'AEO 2023 Table 47 Raw'!Q166</f>
        <v>39.338538999999997</v>
      </c>
      <c r="O184" s="17">
        <f>'AEO 2023 Table 47 Raw'!R166</f>
        <v>41.088473999999998</v>
      </c>
      <c r="P184" s="17">
        <f>'AEO 2023 Table 47 Raw'!S166</f>
        <v>42.883583000000002</v>
      </c>
      <c r="Q184" s="17">
        <f>'AEO 2023 Table 47 Raw'!T166</f>
        <v>44.583351</v>
      </c>
      <c r="R184" s="17">
        <f>'AEO 2023 Table 47 Raw'!U166</f>
        <v>46.405234999999998</v>
      </c>
      <c r="S184" s="17">
        <f>'AEO 2023 Table 47 Raw'!V166</f>
        <v>48.237968000000002</v>
      </c>
      <c r="T184" s="17">
        <f>'AEO 2023 Table 47 Raw'!W166</f>
        <v>50.054909000000002</v>
      </c>
      <c r="U184" s="17">
        <f>'AEO 2023 Table 47 Raw'!X166</f>
        <v>51.816090000000003</v>
      </c>
      <c r="V184" s="17">
        <f>'AEO 2023 Table 47 Raw'!Y166</f>
        <v>53.149906000000001</v>
      </c>
      <c r="W184" s="17">
        <f>'AEO 2023 Table 47 Raw'!Z166</f>
        <v>54.709114</v>
      </c>
      <c r="X184" s="17">
        <f>'AEO 2023 Table 47 Raw'!AA166</f>
        <v>56.237555999999998</v>
      </c>
      <c r="Y184" s="17">
        <f>'AEO 2023 Table 47 Raw'!AB166</f>
        <v>57.744278000000001</v>
      </c>
      <c r="Z184" s="17">
        <f>'AEO 2023 Table 47 Raw'!AC166</f>
        <v>59.240203999999999</v>
      </c>
      <c r="AA184" s="17">
        <f>'AEO 2023 Table 47 Raw'!AD166</f>
        <v>60.373123</v>
      </c>
      <c r="AB184" s="17">
        <f>'AEO 2023 Table 47 Raw'!AE166</f>
        <v>61.808743</v>
      </c>
      <c r="AC184" s="17">
        <f>'AEO 2023 Table 47 Raw'!AF166</f>
        <v>63.379292</v>
      </c>
      <c r="AD184" s="17">
        <f>'AEO 2023 Table 47 Raw'!AG166</f>
        <v>65.004767999999999</v>
      </c>
      <c r="AE184" s="17">
        <f>'AEO 2023 Table 47 Raw'!AH166</f>
        <v>66.742683</v>
      </c>
      <c r="AF184" s="30" t="str">
        <f>'AEO 2023 Table 47 Raw'!AI166</f>
        <v>- -</v>
      </c>
    </row>
    <row r="185" spans="1:32" ht="15" customHeight="1">
      <c r="A185" s="7" t="s">
        <v>712</v>
      </c>
      <c r="B185" s="16" t="s">
        <v>536</v>
      </c>
      <c r="C185" s="17">
        <f>'AEO 2023 Table 47 Raw'!F167</f>
        <v>0</v>
      </c>
      <c r="D185" s="17">
        <f>'AEO 2023 Table 47 Raw'!G167</f>
        <v>0</v>
      </c>
      <c r="E185" s="17">
        <f>'AEO 2023 Table 47 Raw'!H167</f>
        <v>1.1706829999999999</v>
      </c>
      <c r="F185" s="17">
        <f>'AEO 2023 Table 47 Raw'!I167</f>
        <v>6.5943160000000001</v>
      </c>
      <c r="G185" s="17">
        <f>'AEO 2023 Table 47 Raw'!J167</f>
        <v>5.9159930000000003</v>
      </c>
      <c r="H185" s="17">
        <f>'AEO 2023 Table 47 Raw'!K167</f>
        <v>4.2207160000000004</v>
      </c>
      <c r="I185" s="17">
        <f>'AEO 2023 Table 47 Raw'!L167</f>
        <v>3.7680630000000002</v>
      </c>
      <c r="J185" s="17">
        <f>'AEO 2023 Table 47 Raw'!M167</f>
        <v>3.664326</v>
      </c>
      <c r="K185" s="17">
        <f>'AEO 2023 Table 47 Raw'!N167</f>
        <v>2.497312</v>
      </c>
      <c r="L185" s="17">
        <f>'AEO 2023 Table 47 Raw'!O167</f>
        <v>3.0966079999999998</v>
      </c>
      <c r="M185" s="17">
        <f>'AEO 2023 Table 47 Raw'!P167</f>
        <v>3.723773</v>
      </c>
      <c r="N185" s="17">
        <f>'AEO 2023 Table 47 Raw'!Q167</f>
        <v>5.5370480000000004</v>
      </c>
      <c r="O185" s="17">
        <f>'AEO 2023 Table 47 Raw'!R167</f>
        <v>7.546837</v>
      </c>
      <c r="P185" s="17">
        <f>'AEO 2023 Table 47 Raw'!S167</f>
        <v>8.0298370000000006</v>
      </c>
      <c r="Q185" s="17">
        <f>'AEO 2023 Table 47 Raw'!T167</f>
        <v>8.4824219999999997</v>
      </c>
      <c r="R185" s="17">
        <f>'AEO 2023 Table 47 Raw'!U167</f>
        <v>8.9627379999999999</v>
      </c>
      <c r="S185" s="17">
        <f>'AEO 2023 Table 47 Raw'!V167</f>
        <v>9.4329149999999995</v>
      </c>
      <c r="T185" s="17">
        <f>'AEO 2023 Table 47 Raw'!W167</f>
        <v>9.8785399999999992</v>
      </c>
      <c r="U185" s="17">
        <f>'AEO 2023 Table 47 Raw'!X167</f>
        <v>10.28767</v>
      </c>
      <c r="V185" s="17">
        <f>'AEO 2023 Table 47 Raw'!Y167</f>
        <v>10.555084000000001</v>
      </c>
      <c r="W185" s="17">
        <f>'AEO 2023 Table 47 Raw'!Z167</f>
        <v>10.858917</v>
      </c>
      <c r="X185" s="17">
        <f>'AEO 2023 Table 47 Raw'!AA167</f>
        <v>11.105093</v>
      </c>
      <c r="Y185" s="17">
        <f>'AEO 2023 Table 47 Raw'!AB167</f>
        <v>11.269012999999999</v>
      </c>
      <c r="Z185" s="17">
        <f>'AEO 2023 Table 47 Raw'!AC167</f>
        <v>11.400671000000001</v>
      </c>
      <c r="AA185" s="17">
        <f>'AEO 2023 Table 47 Raw'!AD167</f>
        <v>11.372805</v>
      </c>
      <c r="AB185" s="17">
        <f>'AEO 2023 Table 47 Raw'!AE167</f>
        <v>11.416981</v>
      </c>
      <c r="AC185" s="17">
        <f>'AEO 2023 Table 47 Raw'!AF167</f>
        <v>11.454242000000001</v>
      </c>
      <c r="AD185" s="17">
        <f>'AEO 2023 Table 47 Raw'!AG167</f>
        <v>11.487852</v>
      </c>
      <c r="AE185" s="17">
        <f>'AEO 2023 Table 47 Raw'!AH167</f>
        <v>11.547215</v>
      </c>
      <c r="AF185" s="30" t="str">
        <f>'AEO 2023 Table 47 Raw'!AI167</f>
        <v>- -</v>
      </c>
    </row>
    <row r="186" spans="1:32" ht="15" customHeight="1">
      <c r="A186" s="7" t="s">
        <v>713</v>
      </c>
      <c r="B186" s="16" t="s">
        <v>538</v>
      </c>
      <c r="C186" s="17">
        <f>'AEO 2023 Table 47 Raw'!F168</f>
        <v>0</v>
      </c>
      <c r="D186" s="17">
        <f>'AEO 2023 Table 47 Raw'!G168</f>
        <v>19.187712000000001</v>
      </c>
      <c r="E186" s="17">
        <f>'AEO 2023 Table 47 Raw'!H168</f>
        <v>25.908698999999999</v>
      </c>
      <c r="F186" s="17">
        <f>'AEO 2023 Table 47 Raw'!I168</f>
        <v>13.040388</v>
      </c>
      <c r="G186" s="17">
        <f>'AEO 2023 Table 47 Raw'!J168</f>
        <v>15.988916</v>
      </c>
      <c r="H186" s="17">
        <f>'AEO 2023 Table 47 Raw'!K168</f>
        <v>14.802597</v>
      </c>
      <c r="I186" s="17">
        <f>'AEO 2023 Table 47 Raw'!L168</f>
        <v>14.560089</v>
      </c>
      <c r="J186" s="17">
        <f>'AEO 2023 Table 47 Raw'!M168</f>
        <v>14.628723000000001</v>
      </c>
      <c r="K186" s="17">
        <f>'AEO 2023 Table 47 Raw'!N168</f>
        <v>15.202605999999999</v>
      </c>
      <c r="L186" s="17">
        <f>'AEO 2023 Table 47 Raw'!O168</f>
        <v>15.768112</v>
      </c>
      <c r="M186" s="17">
        <f>'AEO 2023 Table 47 Raw'!P168</f>
        <v>16.387756</v>
      </c>
      <c r="N186" s="17">
        <f>'AEO 2023 Table 47 Raw'!Q168</f>
        <v>16.958221000000002</v>
      </c>
      <c r="O186" s="17">
        <f>'AEO 2023 Table 47 Raw'!R168</f>
        <v>17.533294999999999</v>
      </c>
      <c r="P186" s="17">
        <f>'AEO 2023 Table 47 Raw'!S168</f>
        <v>18.108612000000001</v>
      </c>
      <c r="Q186" s="17">
        <f>'AEO 2023 Table 47 Raw'!T168</f>
        <v>18.654572000000002</v>
      </c>
      <c r="R186" s="17">
        <f>'AEO 2023 Table 47 Raw'!U168</f>
        <v>19.233153999999999</v>
      </c>
      <c r="S186" s="17">
        <f>'AEO 2023 Table 47 Raw'!V168</f>
        <v>19.821411000000001</v>
      </c>
      <c r="T186" s="17">
        <f>'AEO 2023 Table 47 Raw'!W168</f>
        <v>20.831299000000001</v>
      </c>
      <c r="U186" s="17">
        <f>'AEO 2023 Table 47 Raw'!X168</f>
        <v>21.736633000000001</v>
      </c>
      <c r="V186" s="17">
        <f>'AEO 2023 Table 47 Raw'!Y168</f>
        <v>22.211303999999998</v>
      </c>
      <c r="W186" s="17">
        <f>'AEO 2023 Table 47 Raw'!Z168</f>
        <v>22.786284999999999</v>
      </c>
      <c r="X186" s="17">
        <f>'AEO 2023 Table 47 Raw'!AA168</f>
        <v>23.382995999999999</v>
      </c>
      <c r="Y186" s="17">
        <f>'AEO 2023 Table 47 Raw'!AB168</f>
        <v>23.998992999999999</v>
      </c>
      <c r="Z186" s="17">
        <f>'AEO 2023 Table 47 Raw'!AC168</f>
        <v>24.634827000000001</v>
      </c>
      <c r="AA186" s="17">
        <f>'AEO 2023 Table 47 Raw'!AD168</f>
        <v>25.184601000000001</v>
      </c>
      <c r="AB186" s="17">
        <f>'AEO 2023 Table 47 Raw'!AE168</f>
        <v>25.844726999999999</v>
      </c>
      <c r="AC186" s="17">
        <f>'AEO 2023 Table 47 Raw'!AF168</f>
        <v>26.55423</v>
      </c>
      <c r="AD186" s="17">
        <f>'AEO 2023 Table 47 Raw'!AG168</f>
        <v>27.314879999999999</v>
      </c>
      <c r="AE186" s="17">
        <f>'AEO 2023 Table 47 Raw'!AH168</f>
        <v>28.123412999999999</v>
      </c>
      <c r="AF186" s="30" t="str">
        <f>'AEO 2023 Table 47 Raw'!AI168</f>
        <v>- -</v>
      </c>
    </row>
    <row r="187" spans="1:32" ht="15" customHeight="1">
      <c r="A187" s="7" t="s">
        <v>714</v>
      </c>
      <c r="B187" s="16" t="s">
        <v>540</v>
      </c>
      <c r="C187" s="17">
        <f>'AEO 2023 Table 47 Raw'!F169</f>
        <v>0</v>
      </c>
      <c r="D187" s="17">
        <f>'AEO 2023 Table 47 Raw'!G169</f>
        <v>209.46492000000001</v>
      </c>
      <c r="E187" s="17">
        <f>'AEO 2023 Table 47 Raw'!H169</f>
        <v>460.13586400000003</v>
      </c>
      <c r="F187" s="17">
        <f>'AEO 2023 Table 47 Raw'!I169</f>
        <v>229.08583100000001</v>
      </c>
      <c r="G187" s="17">
        <f>'AEO 2023 Table 47 Raw'!J169</f>
        <v>317.47808800000001</v>
      </c>
      <c r="H187" s="17">
        <f>'AEO 2023 Table 47 Raw'!K169</f>
        <v>187.26048299999999</v>
      </c>
      <c r="I187" s="17">
        <f>'AEO 2023 Table 47 Raw'!L169</f>
        <v>214.348862</v>
      </c>
      <c r="J187" s="17">
        <f>'AEO 2023 Table 47 Raw'!M169</f>
        <v>249.834259</v>
      </c>
      <c r="K187" s="17">
        <f>'AEO 2023 Table 47 Raw'!N169</f>
        <v>296.81411700000001</v>
      </c>
      <c r="L187" s="17">
        <f>'AEO 2023 Table 47 Raw'!O169</f>
        <v>319.17443800000001</v>
      </c>
      <c r="M187" s="17">
        <f>'AEO 2023 Table 47 Raw'!P169</f>
        <v>339.22967499999999</v>
      </c>
      <c r="N187" s="17">
        <f>'AEO 2023 Table 47 Raw'!Q169</f>
        <v>397.25842299999999</v>
      </c>
      <c r="O187" s="17">
        <f>'AEO 2023 Table 47 Raw'!R169</f>
        <v>406.20275900000001</v>
      </c>
      <c r="P187" s="17">
        <f>'AEO 2023 Table 47 Raw'!S169</f>
        <v>413.12435900000003</v>
      </c>
      <c r="Q187" s="17">
        <f>'AEO 2023 Table 47 Raw'!T169</f>
        <v>419.67819200000002</v>
      </c>
      <c r="R187" s="17">
        <f>'AEO 2023 Table 47 Raw'!U169</f>
        <v>426.31133999999997</v>
      </c>
      <c r="S187" s="17">
        <f>'AEO 2023 Table 47 Raw'!V169</f>
        <v>432.356964</v>
      </c>
      <c r="T187" s="17">
        <f>'AEO 2023 Table 47 Raw'!W169</f>
        <v>437.99243200000001</v>
      </c>
      <c r="U187" s="17">
        <f>'AEO 2023 Table 47 Raw'!X169</f>
        <v>444.01953099999997</v>
      </c>
      <c r="V187" s="17">
        <f>'AEO 2023 Table 47 Raw'!Y169</f>
        <v>449.06921399999999</v>
      </c>
      <c r="W187" s="17">
        <f>'AEO 2023 Table 47 Raw'!Z169</f>
        <v>453.67553700000002</v>
      </c>
      <c r="X187" s="17">
        <f>'AEO 2023 Table 47 Raw'!AA169</f>
        <v>457.88363600000002</v>
      </c>
      <c r="Y187" s="17">
        <f>'AEO 2023 Table 47 Raw'!AB169</f>
        <v>461.77047700000003</v>
      </c>
      <c r="Z187" s="17">
        <f>'AEO 2023 Table 47 Raw'!AC169</f>
        <v>465.51147500000002</v>
      </c>
      <c r="AA187" s="17">
        <f>'AEO 2023 Table 47 Raw'!AD169</f>
        <v>469.37573200000003</v>
      </c>
      <c r="AB187" s="17">
        <f>'AEO 2023 Table 47 Raw'!AE169</f>
        <v>473.366669</v>
      </c>
      <c r="AC187" s="17">
        <f>'AEO 2023 Table 47 Raw'!AF169</f>
        <v>477.805969</v>
      </c>
      <c r="AD187" s="17">
        <f>'AEO 2023 Table 47 Raw'!AG169</f>
        <v>483.20083599999998</v>
      </c>
      <c r="AE187" s="17">
        <f>'AEO 2023 Table 47 Raw'!AH169</f>
        <v>489.35626200000002</v>
      </c>
      <c r="AF187" s="30" t="str">
        <f>'AEO 2023 Table 47 Raw'!AI169</f>
        <v>- -</v>
      </c>
    </row>
    <row r="188" spans="1:32" ht="12" customHeight="1">
      <c r="A188" s="7" t="s">
        <v>715</v>
      </c>
      <c r="B188" s="16" t="s">
        <v>542</v>
      </c>
      <c r="C188" s="17">
        <f>'AEO 2023 Table 47 Raw'!F170</f>
        <v>0</v>
      </c>
      <c r="D188" s="17">
        <f>'AEO 2023 Table 47 Raw'!G170</f>
        <v>0</v>
      </c>
      <c r="E188" s="17">
        <f>'AEO 2023 Table 47 Raw'!H170</f>
        <v>221.829926</v>
      </c>
      <c r="F188" s="17">
        <f>'AEO 2023 Table 47 Raw'!I170</f>
        <v>120.38294999999999</v>
      </c>
      <c r="G188" s="17">
        <f>'AEO 2023 Table 47 Raw'!J170</f>
        <v>159.10351600000001</v>
      </c>
      <c r="H188" s="17">
        <f>'AEO 2023 Table 47 Raw'!K170</f>
        <v>105.838966</v>
      </c>
      <c r="I188" s="17">
        <f>'AEO 2023 Table 47 Raw'!L170</f>
        <v>123.445007</v>
      </c>
      <c r="J188" s="17">
        <f>'AEO 2023 Table 47 Raw'!M170</f>
        <v>142.73538199999999</v>
      </c>
      <c r="K188" s="17">
        <f>'AEO 2023 Table 47 Raw'!N170</f>
        <v>161.134232</v>
      </c>
      <c r="L188" s="17">
        <f>'AEO 2023 Table 47 Raw'!O170</f>
        <v>178.18235799999999</v>
      </c>
      <c r="M188" s="17">
        <f>'AEO 2023 Table 47 Raw'!P170</f>
        <v>193.75765999999999</v>
      </c>
      <c r="N188" s="17">
        <f>'AEO 2023 Table 47 Raw'!Q170</f>
        <v>247.382935</v>
      </c>
      <c r="O188" s="17">
        <f>'AEO 2023 Table 47 Raw'!R170</f>
        <v>252.203857</v>
      </c>
      <c r="P188" s="17">
        <f>'AEO 2023 Table 47 Raw'!S170</f>
        <v>255.38964799999999</v>
      </c>
      <c r="Q188" s="17">
        <f>'AEO 2023 Table 47 Raw'!T170</f>
        <v>258.36474600000003</v>
      </c>
      <c r="R188" s="17">
        <f>'AEO 2023 Table 47 Raw'!U170</f>
        <v>261.22705100000002</v>
      </c>
      <c r="S188" s="17">
        <f>'AEO 2023 Table 47 Raw'!V170</f>
        <v>263.53198200000003</v>
      </c>
      <c r="T188" s="17">
        <f>'AEO 2023 Table 47 Raw'!W170</f>
        <v>265.51074199999999</v>
      </c>
      <c r="U188" s="17">
        <f>'AEO 2023 Table 47 Raw'!X170</f>
        <v>267.742188</v>
      </c>
      <c r="V188" s="17">
        <f>'AEO 2023 Table 47 Raw'!Y170</f>
        <v>269.3125</v>
      </c>
      <c r="W188" s="17">
        <f>'AEO 2023 Table 47 Raw'!Z170</f>
        <v>270.68798800000002</v>
      </c>
      <c r="X188" s="17">
        <f>'AEO 2023 Table 47 Raw'!AA170</f>
        <v>271.945312</v>
      </c>
      <c r="Y188" s="17">
        <f>'AEO 2023 Table 47 Raw'!AB170</f>
        <v>273.14111300000002</v>
      </c>
      <c r="Z188" s="17">
        <f>'AEO 2023 Table 47 Raw'!AC170</f>
        <v>274.41601600000001</v>
      </c>
      <c r="AA188" s="17">
        <f>'AEO 2023 Table 47 Raw'!AD170</f>
        <v>275.93505900000002</v>
      </c>
      <c r="AB188" s="17">
        <f>'AEO 2023 Table 47 Raw'!AE170</f>
        <v>277.73779300000001</v>
      </c>
      <c r="AC188" s="17">
        <f>'AEO 2023 Table 47 Raw'!AF170</f>
        <v>280.03198200000003</v>
      </c>
      <c r="AD188" s="17">
        <f>'AEO 2023 Table 47 Raw'!AG170</f>
        <v>283.20404100000002</v>
      </c>
      <c r="AE188" s="17">
        <f>'AEO 2023 Table 47 Raw'!AH170</f>
        <v>286.96154799999999</v>
      </c>
      <c r="AF188" s="30" t="str">
        <f>'AEO 2023 Table 47 Raw'!AI170</f>
        <v>- -</v>
      </c>
    </row>
    <row r="189" spans="1:32" ht="15" customHeight="1">
      <c r="A189" s="7" t="s">
        <v>716</v>
      </c>
      <c r="B189" s="16" t="s">
        <v>544</v>
      </c>
      <c r="C189" s="17">
        <f>'AEO 2023 Table 47 Raw'!F171</f>
        <v>0</v>
      </c>
      <c r="D189" s="17">
        <f>'AEO 2023 Table 47 Raw'!G171</f>
        <v>0</v>
      </c>
      <c r="E189" s="17">
        <f>'AEO 2023 Table 47 Raw'!H171</f>
        <v>47.794128000000001</v>
      </c>
      <c r="F189" s="17">
        <f>'AEO 2023 Table 47 Raw'!I171</f>
        <v>34.290160999999998</v>
      </c>
      <c r="G189" s="17">
        <f>'AEO 2023 Table 47 Raw'!J171</f>
        <v>78.167045999999999</v>
      </c>
      <c r="H189" s="17">
        <f>'AEO 2023 Table 47 Raw'!K171</f>
        <v>21.906136</v>
      </c>
      <c r="I189" s="17">
        <f>'AEO 2023 Table 47 Raw'!L171</f>
        <v>29.046921000000001</v>
      </c>
      <c r="J189" s="17">
        <f>'AEO 2023 Table 47 Raw'!M171</f>
        <v>42.34742</v>
      </c>
      <c r="K189" s="17">
        <f>'AEO 2023 Table 47 Raw'!N171</f>
        <v>67.976646000000002</v>
      </c>
      <c r="L189" s="17">
        <f>'AEO 2023 Table 47 Raw'!O171</f>
        <v>70.347549000000001</v>
      </c>
      <c r="M189" s="17">
        <f>'AEO 2023 Table 47 Raw'!P171</f>
        <v>71.901809999999998</v>
      </c>
      <c r="N189" s="17">
        <f>'AEO 2023 Table 47 Raw'!Q171</f>
        <v>73.409531000000001</v>
      </c>
      <c r="O189" s="17">
        <f>'AEO 2023 Table 47 Raw'!R171</f>
        <v>74.759415000000004</v>
      </c>
      <c r="P189" s="17">
        <f>'AEO 2023 Table 47 Raw'!S171</f>
        <v>75.880463000000006</v>
      </c>
      <c r="Q189" s="17">
        <f>'AEO 2023 Table 47 Raw'!T171</f>
        <v>76.833099000000004</v>
      </c>
      <c r="R189" s="17">
        <f>'AEO 2023 Table 47 Raw'!U171</f>
        <v>77.983086</v>
      </c>
      <c r="S189" s="17">
        <f>'AEO 2023 Table 47 Raw'!V171</f>
        <v>79.231110000000001</v>
      </c>
      <c r="T189" s="17">
        <f>'AEO 2023 Table 47 Raw'!W171</f>
        <v>80.483269000000007</v>
      </c>
      <c r="U189" s="17">
        <f>'AEO 2023 Table 47 Raw'!X171</f>
        <v>81.913345000000007</v>
      </c>
      <c r="V189" s="17">
        <f>'AEO 2023 Table 47 Raw'!Y171</f>
        <v>83.149544000000006</v>
      </c>
      <c r="W189" s="17">
        <f>'AEO 2023 Table 47 Raw'!Z171</f>
        <v>84.208145000000002</v>
      </c>
      <c r="X189" s="17">
        <f>'AEO 2023 Table 47 Raw'!AA171</f>
        <v>85.047950999999998</v>
      </c>
      <c r="Y189" s="17">
        <f>'AEO 2023 Table 47 Raw'!AB171</f>
        <v>85.678557999999995</v>
      </c>
      <c r="Z189" s="17">
        <f>'AEO 2023 Table 47 Raw'!AC171</f>
        <v>86.113647</v>
      </c>
      <c r="AA189" s="17">
        <f>'AEO 2023 Table 47 Raw'!AD171</f>
        <v>86.440674000000001</v>
      </c>
      <c r="AB189" s="17">
        <f>'AEO 2023 Table 47 Raw'!AE171</f>
        <v>86.611412000000001</v>
      </c>
      <c r="AC189" s="17">
        <f>'AEO 2023 Table 47 Raw'!AF171</f>
        <v>86.682541000000001</v>
      </c>
      <c r="AD189" s="17">
        <f>'AEO 2023 Table 47 Raw'!AG171</f>
        <v>86.753997999999996</v>
      </c>
      <c r="AE189" s="17">
        <f>'AEO 2023 Table 47 Raw'!AH171</f>
        <v>86.938659999999999</v>
      </c>
      <c r="AF189" s="30" t="str">
        <f>'AEO 2023 Table 47 Raw'!AI171</f>
        <v>- -</v>
      </c>
    </row>
    <row r="190" spans="1:32" ht="15" customHeight="1">
      <c r="A190" s="7" t="s">
        <v>717</v>
      </c>
      <c r="B190" s="16" t="s">
        <v>602</v>
      </c>
      <c r="C190" s="17">
        <f>'AEO 2023 Table 47 Raw'!F172</f>
        <v>0</v>
      </c>
      <c r="D190" s="17">
        <f>'AEO 2023 Table 47 Raw'!G172</f>
        <v>209.46492000000001</v>
      </c>
      <c r="E190" s="17">
        <f>'AEO 2023 Table 47 Raw'!H172</f>
        <v>190.51182600000001</v>
      </c>
      <c r="F190" s="17">
        <f>'AEO 2023 Table 47 Raw'!I172</f>
        <v>74.412719999999993</v>
      </c>
      <c r="G190" s="17">
        <f>'AEO 2023 Table 47 Raw'!J172</f>
        <v>80.207520000000002</v>
      </c>
      <c r="H190" s="17">
        <f>'AEO 2023 Table 47 Raw'!K172</f>
        <v>59.515380999999998</v>
      </c>
      <c r="I190" s="17">
        <f>'AEO 2023 Table 47 Raw'!L172</f>
        <v>61.856934000000003</v>
      </c>
      <c r="J190" s="17">
        <f>'AEO 2023 Table 47 Raw'!M172</f>
        <v>64.751464999999996</v>
      </c>
      <c r="K190" s="17">
        <f>'AEO 2023 Table 47 Raw'!N172</f>
        <v>67.703247000000005</v>
      </c>
      <c r="L190" s="17">
        <f>'AEO 2023 Table 47 Raw'!O172</f>
        <v>70.644531000000001</v>
      </c>
      <c r="M190" s="17">
        <f>'AEO 2023 Table 47 Raw'!P172</f>
        <v>73.570189999999997</v>
      </c>
      <c r="N190" s="17">
        <f>'AEO 2023 Table 47 Raw'!Q172</f>
        <v>76.465941999999998</v>
      </c>
      <c r="O190" s="17">
        <f>'AEO 2023 Table 47 Raw'!R172</f>
        <v>79.239502000000002</v>
      </c>
      <c r="P190" s="17">
        <f>'AEO 2023 Table 47 Raw'!S172</f>
        <v>81.854247999999998</v>
      </c>
      <c r="Q190" s="17">
        <f>'AEO 2023 Table 47 Raw'!T172</f>
        <v>84.480346999999995</v>
      </c>
      <c r="R190" s="17">
        <f>'AEO 2023 Table 47 Raw'!U172</f>
        <v>87.101196000000002</v>
      </c>
      <c r="S190" s="17">
        <f>'AEO 2023 Table 47 Raw'!V172</f>
        <v>89.593872000000005</v>
      </c>
      <c r="T190" s="17">
        <f>'AEO 2023 Table 47 Raw'!W172</f>
        <v>91.998412999999999</v>
      </c>
      <c r="U190" s="17">
        <f>'AEO 2023 Table 47 Raw'!X172</f>
        <v>94.364013999999997</v>
      </c>
      <c r="V190" s="17">
        <f>'AEO 2023 Table 47 Raw'!Y172</f>
        <v>96.607178000000005</v>
      </c>
      <c r="W190" s="17">
        <f>'AEO 2023 Table 47 Raw'!Z172</f>
        <v>98.779419000000004</v>
      </c>
      <c r="X190" s="17">
        <f>'AEO 2023 Table 47 Raw'!AA172</f>
        <v>100.890381</v>
      </c>
      <c r="Y190" s="17">
        <f>'AEO 2023 Table 47 Raw'!AB172</f>
        <v>102.950806</v>
      </c>
      <c r="Z190" s="17">
        <f>'AEO 2023 Table 47 Raw'!AC172</f>
        <v>104.98181200000001</v>
      </c>
      <c r="AA190" s="17">
        <f>'AEO 2023 Table 47 Raw'!AD172</f>
        <v>107</v>
      </c>
      <c r="AB190" s="17">
        <f>'AEO 2023 Table 47 Raw'!AE172</f>
        <v>109.017456</v>
      </c>
      <c r="AC190" s="17">
        <f>'AEO 2023 Table 47 Raw'!AF172</f>
        <v>111.091431</v>
      </c>
      <c r="AD190" s="17">
        <f>'AEO 2023 Table 47 Raw'!AG172</f>
        <v>113.24279799999999</v>
      </c>
      <c r="AE190" s="17">
        <f>'AEO 2023 Table 47 Raw'!AH172</f>
        <v>115.45605500000001</v>
      </c>
      <c r="AF190" s="30" t="str">
        <f>'AEO 2023 Table 47 Raw'!AI172</f>
        <v>- -</v>
      </c>
    </row>
    <row r="191" spans="1:32" ht="15" customHeight="1">
      <c r="A191" s="7" t="s">
        <v>718</v>
      </c>
      <c r="B191" s="16" t="s">
        <v>719</v>
      </c>
      <c r="C191" s="17">
        <f>'AEO 2023 Table 47 Raw'!F173</f>
        <v>0.79372399999999999</v>
      </c>
      <c r="D191" s="17">
        <f>'AEO 2023 Table 47 Raw'!G173</f>
        <v>12.980262</v>
      </c>
      <c r="E191" s="17">
        <f>'AEO 2023 Table 47 Raw'!H173</f>
        <v>13.87327</v>
      </c>
      <c r="F191" s="17">
        <f>'AEO 2023 Table 47 Raw'!I173</f>
        <v>26.350292</v>
      </c>
      <c r="G191" s="17">
        <f>'AEO 2023 Table 47 Raw'!J173</f>
        <v>34.025683999999998</v>
      </c>
      <c r="H191" s="17">
        <f>'AEO 2023 Table 47 Raw'!K173</f>
        <v>23.44116</v>
      </c>
      <c r="I191" s="17">
        <f>'AEO 2023 Table 47 Raw'!L173</f>
        <v>23.946943000000001</v>
      </c>
      <c r="J191" s="17">
        <f>'AEO 2023 Table 47 Raw'!M173</f>
        <v>7.5498479999999999</v>
      </c>
      <c r="K191" s="17">
        <f>'AEO 2023 Table 47 Raw'!N173</f>
        <v>10.049531999999999</v>
      </c>
      <c r="L191" s="17">
        <f>'AEO 2023 Table 47 Raw'!O173</f>
        <v>12.750522999999999</v>
      </c>
      <c r="M191" s="17">
        <f>'AEO 2023 Table 47 Raw'!P173</f>
        <v>15.652850000000001</v>
      </c>
      <c r="N191" s="17">
        <f>'AEO 2023 Table 47 Raw'!Q173</f>
        <v>19.172958000000001</v>
      </c>
      <c r="O191" s="17">
        <f>'AEO 2023 Table 47 Raw'!R173</f>
        <v>21.966609999999999</v>
      </c>
      <c r="P191" s="17">
        <f>'AEO 2023 Table 47 Raw'!S173</f>
        <v>24.430050000000001</v>
      </c>
      <c r="Q191" s="17">
        <f>'AEO 2023 Table 47 Raw'!T173</f>
        <v>26.608149000000001</v>
      </c>
      <c r="R191" s="17">
        <f>'AEO 2023 Table 47 Raw'!U173</f>
        <v>29.806080000000001</v>
      </c>
      <c r="S191" s="17">
        <f>'AEO 2023 Table 47 Raw'!V173</f>
        <v>31.115946000000001</v>
      </c>
      <c r="T191" s="17">
        <f>'AEO 2023 Table 47 Raw'!W173</f>
        <v>32.410407999999997</v>
      </c>
      <c r="U191" s="17">
        <f>'AEO 2023 Table 47 Raw'!X173</f>
        <v>32.874062000000002</v>
      </c>
      <c r="V191" s="17">
        <f>'AEO 2023 Table 47 Raw'!Y173</f>
        <v>33.091309000000003</v>
      </c>
      <c r="W191" s="17">
        <f>'AEO 2023 Table 47 Raw'!Z173</f>
        <v>35.272255000000001</v>
      </c>
      <c r="X191" s="17">
        <f>'AEO 2023 Table 47 Raw'!AA173</f>
        <v>35.527016000000003</v>
      </c>
      <c r="Y191" s="17">
        <f>'AEO 2023 Table 47 Raw'!AB173</f>
        <v>34.892966999999999</v>
      </c>
      <c r="Z191" s="17">
        <f>'AEO 2023 Table 47 Raw'!AC173</f>
        <v>34.265090999999998</v>
      </c>
      <c r="AA191" s="17">
        <f>'AEO 2023 Table 47 Raw'!AD173</f>
        <v>33.642463999999997</v>
      </c>
      <c r="AB191" s="17">
        <f>'AEO 2023 Table 47 Raw'!AE173</f>
        <v>33.005409</v>
      </c>
      <c r="AC191" s="17">
        <f>'AEO 2023 Table 47 Raw'!AF173</f>
        <v>32.366652999999999</v>
      </c>
      <c r="AD191" s="17">
        <f>'AEO 2023 Table 47 Raw'!AG173</f>
        <v>31.752213000000001</v>
      </c>
      <c r="AE191" s="17">
        <f>'AEO 2023 Table 47 Raw'!AH173</f>
        <v>31.186401</v>
      </c>
      <c r="AF191" s="30">
        <f>'AEO 2023 Table 47 Raw'!AI173</f>
        <v>0.14000000000000001</v>
      </c>
    </row>
    <row r="192" spans="1:32" ht="15" customHeight="1">
      <c r="A192" s="7" t="s">
        <v>720</v>
      </c>
      <c r="B192" s="16" t="s">
        <v>721</v>
      </c>
      <c r="C192" s="17">
        <f>'AEO 2023 Table 47 Raw'!F174</f>
        <v>0.79372399999999999</v>
      </c>
      <c r="D192" s="17">
        <f>'AEO 2023 Table 47 Raw'!G174</f>
        <v>7.4462910000000004</v>
      </c>
      <c r="E192" s="17">
        <f>'AEO 2023 Table 47 Raw'!H174</f>
        <v>10.540979</v>
      </c>
      <c r="F192" s="17">
        <f>'AEO 2023 Table 47 Raw'!I174</f>
        <v>9.1241839999999996</v>
      </c>
      <c r="G192" s="17">
        <f>'AEO 2023 Table 47 Raw'!J174</f>
        <v>8.5874229999999994</v>
      </c>
      <c r="H192" s="17">
        <f>'AEO 2023 Table 47 Raw'!K174</f>
        <v>6.9385599999999998</v>
      </c>
      <c r="I192" s="17">
        <f>'AEO 2023 Table 47 Raw'!L174</f>
        <v>7.4051960000000001</v>
      </c>
      <c r="J192" s="17">
        <f>'AEO 2023 Table 47 Raw'!M174</f>
        <v>4.6872920000000002</v>
      </c>
      <c r="K192" s="17">
        <f>'AEO 2023 Table 47 Raw'!N174</f>
        <v>5.5550129999999998</v>
      </c>
      <c r="L192" s="17">
        <f>'AEO 2023 Table 47 Raw'!O174</f>
        <v>6.4856889999999998</v>
      </c>
      <c r="M192" s="17">
        <f>'AEO 2023 Table 47 Raw'!P174</f>
        <v>7.4760400000000002</v>
      </c>
      <c r="N192" s="17">
        <f>'AEO 2023 Table 47 Raw'!Q174</f>
        <v>8.5032789999999991</v>
      </c>
      <c r="O192" s="17">
        <f>'AEO 2023 Table 47 Raw'!R174</f>
        <v>9.4984909999999996</v>
      </c>
      <c r="P192" s="17">
        <f>'AEO 2023 Table 47 Raw'!S174</f>
        <v>10.436935999999999</v>
      </c>
      <c r="Q192" s="17">
        <f>'AEO 2023 Table 47 Raw'!T174</f>
        <v>11.300264</v>
      </c>
      <c r="R192" s="17">
        <f>'AEO 2023 Table 47 Raw'!U174</f>
        <v>12.071911</v>
      </c>
      <c r="S192" s="17">
        <f>'AEO 2023 Table 47 Raw'!V174</f>
        <v>13.071901</v>
      </c>
      <c r="T192" s="17">
        <f>'AEO 2023 Table 47 Raw'!W174</f>
        <v>14.14739</v>
      </c>
      <c r="U192" s="17">
        <f>'AEO 2023 Table 47 Raw'!X174</f>
        <v>14.482977</v>
      </c>
      <c r="V192" s="17">
        <f>'AEO 2023 Table 47 Raw'!Y174</f>
        <v>14.647125000000001</v>
      </c>
      <c r="W192" s="17">
        <f>'AEO 2023 Table 47 Raw'!Z174</f>
        <v>14.705292</v>
      </c>
      <c r="X192" s="17">
        <f>'AEO 2023 Table 47 Raw'!AA174</f>
        <v>14.677673</v>
      </c>
      <c r="Y192" s="17">
        <f>'AEO 2023 Table 47 Raw'!AB174</f>
        <v>14.582153</v>
      </c>
      <c r="Z192" s="17">
        <f>'AEO 2023 Table 47 Raw'!AC174</f>
        <v>14.438843</v>
      </c>
      <c r="AA192" s="17">
        <f>'AEO 2023 Table 47 Raw'!AD174</f>
        <v>14.260223</v>
      </c>
      <c r="AB192" s="17">
        <f>'AEO 2023 Table 47 Raw'!AE174</f>
        <v>14.050934</v>
      </c>
      <c r="AC192" s="17">
        <f>'AEO 2023 Table 47 Raw'!AF174</f>
        <v>13.821960000000001</v>
      </c>
      <c r="AD192" s="17">
        <f>'AEO 2023 Table 47 Raw'!AG174</f>
        <v>13.586792000000001</v>
      </c>
      <c r="AE192" s="17">
        <f>'AEO 2023 Table 47 Raw'!AH174</f>
        <v>13.356964</v>
      </c>
      <c r="AF192" s="30">
        <f>'AEO 2023 Table 47 Raw'!AI174</f>
        <v>0.106</v>
      </c>
    </row>
    <row r="193" spans="2:33" ht="15" customHeight="1" thickBot="1"/>
    <row r="194" spans="2:33" ht="12" customHeight="1">
      <c r="B194" s="24" t="s">
        <v>722</v>
      </c>
      <c r="C194" s="20"/>
      <c r="D194" s="20"/>
      <c r="E194" s="20"/>
      <c r="F194" s="20"/>
      <c r="G194" s="20"/>
      <c r="H194" s="20"/>
      <c r="I194" s="20"/>
      <c r="J194" s="20"/>
      <c r="K194" s="20"/>
      <c r="L194" s="20"/>
      <c r="M194" s="20"/>
      <c r="N194" s="20"/>
      <c r="O194" s="20"/>
      <c r="P194" s="20"/>
      <c r="Q194" s="20"/>
      <c r="R194" s="20"/>
      <c r="S194" s="20"/>
      <c r="T194" s="20"/>
      <c r="U194" s="20"/>
      <c r="V194" s="20"/>
      <c r="W194" s="20"/>
      <c r="X194" s="20"/>
      <c r="Y194" s="20"/>
      <c r="Z194" s="20"/>
      <c r="AA194" s="20"/>
      <c r="AB194" s="20"/>
      <c r="AC194" s="20"/>
      <c r="AD194" s="20"/>
      <c r="AE194" s="20"/>
      <c r="AF194" s="20"/>
      <c r="AG194" s="20"/>
    </row>
    <row r="195" spans="2:33" ht="15" customHeight="1">
      <c r="B195" s="4" t="s">
        <v>723</v>
      </c>
    </row>
    <row r="196" spans="2:33" ht="15" customHeight="1">
      <c r="B196" s="4" t="s">
        <v>724</v>
      </c>
    </row>
    <row r="197" spans="2:33" ht="15" customHeight="1">
      <c r="B197" s="4" t="s">
        <v>725</v>
      </c>
    </row>
    <row r="198" spans="2:33" ht="15" customHeight="1">
      <c r="B198" s="4" t="s">
        <v>726</v>
      </c>
    </row>
    <row r="199" spans="2:33" ht="15" customHeight="1">
      <c r="B199" s="4" t="s">
        <v>157</v>
      </c>
    </row>
    <row r="200" spans="2:33" ht="12" customHeight="1">
      <c r="B200" s="4" t="s">
        <v>502</v>
      </c>
    </row>
    <row r="201" spans="2:33" ht="15" customHeight="1">
      <c r="B201" s="4" t="s">
        <v>158</v>
      </c>
    </row>
    <row r="202" spans="2:33" ht="15" customHeight="1">
      <c r="B202" s="4" t="s">
        <v>727</v>
      </c>
    </row>
    <row r="203" spans="2:33" ht="15" customHeight="1">
      <c r="B203" s="4" t="s">
        <v>728</v>
      </c>
    </row>
    <row r="204" spans="2:33" ht="12" customHeight="1"/>
    <row r="205" spans="2:33" ht="15" customHeight="1"/>
    <row r="206" spans="2:33" ht="15" customHeight="1"/>
    <row r="207" spans="2:33" ht="15" customHeight="1"/>
    <row r="208" spans="2:33" ht="15" customHeight="1"/>
    <row r="209" ht="12" customHeight="1"/>
    <row r="210" ht="15" customHeight="1"/>
    <row r="211" ht="15" customHeight="1"/>
    <row r="212" ht="15" customHeight="1"/>
    <row r="213" ht="15" customHeight="1"/>
    <row r="214" ht="15" customHeight="1"/>
    <row r="215" ht="15" customHeight="1"/>
    <row r="216" ht="15" customHeight="1"/>
    <row r="217" ht="15" customHeight="1"/>
    <row r="218" ht="15" customHeight="1"/>
    <row r="219" ht="15" customHeight="1"/>
    <row r="220" ht="15" customHeight="1"/>
    <row r="221" ht="15" customHeight="1"/>
    <row r="222" ht="15" customHeight="1"/>
    <row r="223" ht="15" customHeight="1"/>
    <row r="224" ht="15" customHeight="1"/>
    <row r="225" ht="15" customHeight="1"/>
    <row r="226" ht="15" customHeight="1"/>
    <row r="227" ht="15" customHeight="1"/>
    <row r="228" ht="15" customHeight="1"/>
    <row r="229" ht="15" customHeight="1"/>
    <row r="230" ht="15" customHeight="1"/>
    <row r="231" ht="15" customHeight="1"/>
    <row r="232" ht="15" customHeight="1"/>
    <row r="233" ht="15" customHeight="1"/>
    <row r="234" ht="15" customHeight="1"/>
    <row r="235" ht="15" customHeight="1"/>
    <row r="236" ht="15" customHeight="1"/>
    <row r="237" ht="15" customHeight="1"/>
    <row r="238" ht="15" customHeight="1"/>
    <row r="239" ht="15" customHeight="1"/>
    <row r="240" ht="15" customHeight="1"/>
    <row r="241" ht="15" customHeight="1"/>
    <row r="242" ht="15" customHeight="1"/>
    <row r="243" ht="15" customHeight="1"/>
    <row r="244" ht="15" customHeight="1"/>
    <row r="245" ht="15" customHeight="1"/>
    <row r="246" ht="15" customHeight="1"/>
    <row r="247" ht="15" customHeight="1"/>
    <row r="248" ht="12" customHeight="1"/>
    <row r="249" ht="15" customHeight="1"/>
    <row r="250" ht="15" customHeight="1"/>
    <row r="251" ht="15" customHeight="1"/>
    <row r="252" ht="12" customHeight="1"/>
    <row r="253" ht="15" customHeight="1"/>
    <row r="254" ht="15" customHeight="1"/>
    <row r="255" ht="12" customHeight="1"/>
    <row r="256" ht="15" customHeight="1"/>
    <row r="257" ht="15" customHeight="1"/>
    <row r="258" ht="15" customHeight="1"/>
    <row r="259" ht="15" customHeight="1"/>
    <row r="260" ht="15" customHeight="1"/>
    <row r="261" ht="15" customHeight="1"/>
    <row r="262" ht="15" customHeight="1"/>
    <row r="263" ht="15" customHeight="1"/>
    <row r="264" ht="15" customHeight="1"/>
    <row r="265" ht="15" customHeight="1"/>
    <row r="266" ht="15" customHeight="1"/>
    <row r="267" ht="12" customHeight="1"/>
    <row r="268" ht="12" customHeight="1"/>
    <row r="269" ht="12" customHeight="1"/>
    <row r="270" ht="12" customHeight="1"/>
    <row r="271" ht="12" customHeight="1"/>
    <row r="272" ht="12" customHeight="1"/>
    <row r="273" ht="12" customHeight="1"/>
    <row r="274" ht="12" customHeight="1"/>
    <row r="275" ht="12" customHeight="1"/>
    <row r="276" ht="12" customHeight="1"/>
    <row r="277" ht="12" customHeight="1"/>
    <row r="278" ht="12" customHeight="1"/>
    <row r="279" ht="12" customHeight="1"/>
    <row r="280" ht="12" customHeight="1"/>
    <row r="281" ht="12" customHeight="1"/>
    <row r="282" ht="12" customHeight="1"/>
    <row r="283" ht="12" customHeight="1"/>
    <row r="284" ht="12" customHeight="1"/>
    <row r="285" ht="12" customHeight="1"/>
    <row r="286" ht="12" customHeight="1"/>
    <row r="287" ht="12" customHeight="1"/>
    <row r="288" ht="12" customHeight="1"/>
    <row r="289" ht="12" customHeight="1"/>
    <row r="290" ht="12" customHeight="1"/>
    <row r="291" ht="12" customHeight="1"/>
    <row r="292" ht="12" customHeight="1"/>
    <row r="293" ht="12" customHeight="1"/>
    <row r="294" ht="12" customHeight="1"/>
    <row r="295" ht="12" customHeight="1"/>
    <row r="296" ht="12" customHeight="1"/>
    <row r="297" ht="12" customHeight="1"/>
    <row r="298" ht="12" customHeight="1"/>
    <row r="299" ht="12" customHeight="1"/>
    <row r="300" ht="15" customHeight="1"/>
    <row r="301" ht="15" customHeight="1"/>
    <row r="302" ht="15" customHeight="1"/>
    <row r="303" ht="15" customHeight="1"/>
    <row r="304" ht="15" customHeight="1"/>
    <row r="305" ht="15" customHeight="1"/>
    <row r="306" ht="15" customHeight="1"/>
    <row r="307" ht="15" customHeight="1"/>
    <row r="308" ht="15" customHeight="1"/>
    <row r="309" ht="15" customHeight="1"/>
    <row r="310" ht="12" customHeight="1"/>
    <row r="311" ht="15" customHeight="1"/>
    <row r="312" ht="15" customHeight="1"/>
    <row r="313" ht="15" customHeight="1"/>
    <row r="314" ht="15" customHeight="1"/>
    <row r="315" ht="15" customHeight="1"/>
    <row r="316" ht="15" customHeight="1"/>
    <row r="317" ht="15" customHeight="1"/>
    <row r="318" ht="15" customHeight="1"/>
    <row r="319" ht="15" customHeight="1"/>
    <row r="320" ht="15" customHeight="1"/>
    <row r="321" ht="15" customHeight="1"/>
    <row r="322" ht="15" customHeight="1"/>
    <row r="323" ht="15" customHeight="1"/>
    <row r="324" ht="15" customHeight="1"/>
    <row r="325" ht="15" customHeight="1"/>
    <row r="326" ht="15" customHeight="1"/>
    <row r="327" ht="12" customHeight="1"/>
    <row r="328" ht="15" customHeight="1"/>
    <row r="329" ht="12" customHeight="1"/>
    <row r="330" ht="15" customHeight="1"/>
    <row r="331" ht="15" customHeight="1"/>
    <row r="332" ht="15" customHeight="1"/>
    <row r="333" ht="15" customHeight="1"/>
    <row r="334" ht="15" customHeight="1"/>
    <row r="335" ht="15" customHeight="1"/>
    <row r="336" ht="15" customHeight="1"/>
    <row r="337" ht="15" customHeight="1"/>
    <row r="338" ht="15" customHeight="1"/>
    <row r="339" ht="15" customHeight="1"/>
    <row r="340" ht="15" customHeight="1"/>
    <row r="341" ht="15" customHeight="1"/>
    <row r="342" ht="15" customHeight="1"/>
    <row r="343" ht="15" customHeight="1"/>
    <row r="344" ht="15" customHeight="1"/>
    <row r="345" ht="15" customHeight="1"/>
    <row r="346" ht="12" customHeight="1"/>
    <row r="347" ht="12" customHeight="1"/>
    <row r="348" ht="12" customHeight="1"/>
    <row r="349" ht="12" customHeight="1"/>
    <row r="350" ht="12" customHeight="1"/>
    <row r="351" ht="12" customHeight="1"/>
    <row r="352" ht="12" customHeight="1"/>
    <row r="353" ht="12" customHeight="1"/>
    <row r="354" ht="12" customHeight="1"/>
    <row r="355" ht="12" customHeight="1"/>
    <row r="356" ht="12" customHeight="1"/>
    <row r="357" ht="12" customHeight="1"/>
    <row r="358" ht="12" customHeight="1"/>
    <row r="359" ht="12" customHeight="1"/>
    <row r="360" ht="12" customHeight="1"/>
    <row r="361" ht="12" customHeight="1"/>
    <row r="362" ht="12" customHeight="1"/>
    <row r="363" ht="12" customHeight="1"/>
    <row r="364" ht="12" customHeight="1"/>
    <row r="365" ht="12" customHeight="1"/>
    <row r="366" ht="12" customHeight="1"/>
    <row r="367" ht="12" customHeight="1"/>
    <row r="368" ht="12" customHeight="1"/>
    <row r="369" ht="12" customHeight="1"/>
    <row r="370" ht="12" customHeight="1"/>
    <row r="371" ht="12" customHeight="1"/>
    <row r="372" ht="12" customHeight="1"/>
    <row r="373" ht="12" customHeight="1"/>
    <row r="374" ht="12" customHeight="1"/>
    <row r="375" ht="15" customHeight="1"/>
    <row r="376" ht="15" customHeight="1"/>
    <row r="377" ht="15" customHeight="1"/>
    <row r="378" ht="15" customHeight="1"/>
    <row r="379" ht="15" customHeight="1"/>
    <row r="380" ht="15" customHeight="1"/>
    <row r="381" ht="15" customHeight="1"/>
    <row r="382" ht="15" customHeight="1"/>
    <row r="383" ht="15" customHeight="1"/>
    <row r="384" ht="15" customHeight="1"/>
    <row r="385" ht="12" customHeight="1"/>
    <row r="386" ht="15" customHeight="1"/>
    <row r="387" ht="15" customHeight="1"/>
    <row r="388" ht="15" customHeight="1"/>
    <row r="389" ht="15" customHeight="1"/>
    <row r="390" ht="15" customHeight="1"/>
    <row r="391" ht="15" customHeight="1"/>
    <row r="392" ht="15" customHeight="1"/>
    <row r="393" ht="15" customHeight="1"/>
    <row r="394" ht="15" customHeight="1"/>
    <row r="395" ht="15" customHeight="1"/>
    <row r="396" ht="15" customHeight="1"/>
    <row r="397" ht="15" customHeight="1"/>
    <row r="398" ht="15" customHeight="1"/>
    <row r="399" ht="15" customHeight="1"/>
    <row r="400" ht="15" customHeight="1"/>
    <row r="401" ht="15" customHeight="1"/>
    <row r="402" ht="12" customHeight="1"/>
    <row r="403" ht="15" customHeight="1"/>
    <row r="404" ht="15" customHeight="1"/>
    <row r="405" ht="12" customHeight="1"/>
    <row r="406" ht="15" customHeight="1"/>
    <row r="407" ht="15" customHeight="1"/>
    <row r="408" ht="15" customHeight="1"/>
    <row r="409" ht="15" customHeight="1"/>
    <row r="410" ht="15" customHeight="1"/>
    <row r="411" ht="12" customHeight="1"/>
    <row r="412" ht="15" customHeight="1"/>
    <row r="413" ht="15" customHeight="1"/>
    <row r="414" ht="15" customHeight="1"/>
    <row r="415" ht="15" customHeight="1"/>
    <row r="416" ht="15" customHeight="1"/>
    <row r="417" ht="15" customHeight="1"/>
    <row r="418" ht="15" customHeight="1"/>
    <row r="419" ht="15" customHeight="1"/>
    <row r="420" ht="15" customHeight="1"/>
    <row r="421" ht="15" customHeight="1"/>
    <row r="422" ht="15" customHeight="1"/>
    <row r="423" ht="15" customHeight="1"/>
    <row r="424" ht="15" customHeight="1"/>
    <row r="425" ht="15" customHeight="1"/>
    <row r="426" ht="15" customHeight="1"/>
    <row r="427" ht="15" customHeight="1"/>
    <row r="428" ht="12" customHeight="1"/>
    <row r="429" ht="15" customHeight="1"/>
    <row r="430" ht="15" customHeight="1"/>
    <row r="431" ht="12" customHeight="1"/>
    <row r="432" ht="15" customHeight="1"/>
    <row r="433" ht="15" customHeight="1"/>
    <row r="434" ht="15" customHeight="1"/>
    <row r="435" ht="12" customHeight="1"/>
    <row r="436" ht="15" customHeight="1"/>
    <row r="437" ht="15" customHeight="1"/>
    <row r="438" ht="15" customHeight="1"/>
    <row r="439" ht="15" customHeight="1"/>
    <row r="440" ht="15" customHeight="1"/>
    <row r="441" ht="15" customHeight="1"/>
    <row r="442" ht="15" customHeight="1"/>
    <row r="443" ht="15" customHeight="1"/>
    <row r="444" ht="15" customHeight="1"/>
    <row r="445" ht="15" customHeight="1"/>
    <row r="446" ht="12" customHeight="1"/>
    <row r="447" ht="15" customHeight="1"/>
    <row r="448" ht="15" customHeight="1"/>
    <row r="449" ht="12" customHeight="1"/>
    <row r="450" ht="15" customHeight="1"/>
    <row r="451" ht="15" customHeight="1"/>
    <row r="452" ht="15" customHeight="1"/>
    <row r="453" ht="15" customHeight="1"/>
    <row r="454" ht="15" customHeight="1"/>
    <row r="455" ht="15" customHeight="1"/>
    <row r="456" ht="15" customHeight="1"/>
    <row r="457" ht="15" customHeight="1"/>
    <row r="458" ht="15" customHeight="1"/>
    <row r="459" ht="15" customHeight="1"/>
    <row r="460" ht="12" customHeight="1"/>
    <row r="461" ht="12" customHeight="1"/>
    <row r="462" ht="12" customHeight="1"/>
    <row r="463" ht="12" customHeight="1"/>
    <row r="464" ht="12" customHeight="1"/>
    <row r="465" ht="12" customHeight="1"/>
    <row r="466" ht="12" customHeight="1"/>
    <row r="467" ht="12" customHeight="1"/>
    <row r="468" ht="12" customHeight="1"/>
    <row r="469" ht="12" customHeight="1"/>
    <row r="470" ht="12" customHeight="1"/>
    <row r="471" ht="12" customHeight="1"/>
    <row r="472" ht="12" customHeight="1"/>
    <row r="473" ht="12" customHeight="1"/>
    <row r="474" ht="12" customHeight="1"/>
    <row r="475" ht="12" customHeight="1"/>
    <row r="476" ht="12" customHeight="1"/>
    <row r="477" ht="12" customHeight="1"/>
    <row r="478" ht="12" customHeight="1"/>
    <row r="479" ht="12" customHeight="1"/>
    <row r="480" ht="12" customHeight="1"/>
    <row r="481" ht="12" customHeight="1"/>
    <row r="482" ht="12" customHeight="1"/>
    <row r="483" ht="12" customHeight="1"/>
    <row r="484" ht="12" customHeight="1"/>
    <row r="485" ht="12" customHeight="1"/>
    <row r="486" ht="12" customHeight="1"/>
    <row r="487" ht="12" customHeight="1"/>
    <row r="488" ht="12" customHeight="1"/>
    <row r="489" ht="12" customHeight="1"/>
    <row r="490" ht="12" customHeight="1"/>
    <row r="491" ht="12" customHeight="1"/>
    <row r="492" ht="12" customHeight="1"/>
    <row r="493" ht="12" customHeight="1"/>
    <row r="494" ht="12" customHeight="1"/>
    <row r="495" ht="12" customHeight="1"/>
    <row r="496" ht="12" customHeight="1"/>
    <row r="497" ht="12" customHeight="1"/>
    <row r="498" ht="12" customHeight="1"/>
    <row r="499" ht="12" customHeight="1"/>
    <row r="500" ht="15" customHeight="1"/>
    <row r="501" ht="15" customHeight="1"/>
    <row r="502" ht="15" customHeight="1"/>
    <row r="503" ht="15" customHeight="1"/>
    <row r="504" ht="15" customHeight="1"/>
    <row r="505" ht="15" customHeight="1"/>
    <row r="506" ht="15" customHeight="1"/>
    <row r="507" ht="15" customHeight="1"/>
    <row r="508" ht="15" customHeight="1"/>
    <row r="509" ht="15" customHeight="1"/>
    <row r="510" ht="12" customHeight="1"/>
    <row r="511" ht="15" customHeight="1"/>
    <row r="512" ht="15" customHeight="1"/>
    <row r="513" ht="15" customHeight="1"/>
    <row r="514" ht="15" customHeight="1"/>
    <row r="515" ht="15" customHeight="1"/>
    <row r="516" ht="15" customHeight="1"/>
    <row r="517" ht="15" customHeight="1"/>
    <row r="518" ht="15" customHeight="1"/>
    <row r="519" ht="15" customHeight="1"/>
    <row r="520" ht="15" customHeight="1"/>
    <row r="521" ht="15" customHeight="1"/>
    <row r="522" ht="15" customHeight="1"/>
    <row r="523" ht="15" customHeight="1"/>
    <row r="524" ht="15" customHeight="1"/>
    <row r="525" ht="15" customHeight="1"/>
    <row r="526" ht="15" customHeight="1"/>
    <row r="527" ht="12" customHeight="1"/>
    <row r="528" ht="15" customHeight="1"/>
    <row r="529" ht="12" customHeight="1"/>
    <row r="530" ht="15" customHeight="1"/>
    <row r="531" ht="15" customHeight="1"/>
    <row r="532" ht="15" customHeight="1"/>
    <row r="533" ht="15" customHeight="1"/>
    <row r="534" ht="15" customHeight="1"/>
    <row r="535" ht="12" customHeight="1"/>
    <row r="536" ht="15" customHeight="1"/>
    <row r="537" ht="15" customHeight="1"/>
    <row r="538" ht="15" customHeight="1"/>
    <row r="539" ht="15" customHeight="1"/>
    <row r="540" ht="15" customHeight="1"/>
    <row r="541" ht="15" customHeight="1"/>
    <row r="542" ht="15" customHeight="1"/>
    <row r="543" ht="15" customHeight="1"/>
    <row r="544" ht="15" customHeight="1"/>
    <row r="545" ht="15" customHeight="1"/>
    <row r="546" ht="15" customHeight="1"/>
    <row r="547" ht="15" customHeight="1"/>
    <row r="548" ht="15" customHeight="1"/>
    <row r="549" ht="15" customHeight="1"/>
    <row r="550" ht="15" customHeight="1"/>
    <row r="551" ht="15" customHeight="1"/>
    <row r="552" ht="12" customHeight="1"/>
    <row r="553" ht="15" customHeight="1"/>
    <row r="554" ht="12" customHeight="1"/>
    <row r="555" ht="15" customHeight="1"/>
    <row r="556" ht="15" customHeight="1"/>
    <row r="557" ht="15" customHeight="1"/>
    <row r="558" ht="15" customHeight="1"/>
    <row r="559" ht="15" customHeight="1"/>
    <row r="560" ht="15" customHeight="1"/>
    <row r="561" ht="15" customHeight="1"/>
    <row r="562" ht="12" customHeight="1"/>
    <row r="563" ht="12" customHeight="1"/>
    <row r="564" ht="12" customHeight="1"/>
    <row r="565" ht="12" customHeight="1"/>
    <row r="566" ht="12" customHeight="1"/>
    <row r="567" ht="12" customHeight="1"/>
    <row r="568" ht="12" customHeight="1"/>
    <row r="569" ht="12" customHeight="1"/>
    <row r="570" ht="12" customHeight="1"/>
    <row r="571" ht="12" customHeight="1"/>
    <row r="572" ht="12" customHeight="1"/>
    <row r="573" ht="12" customHeight="1"/>
    <row r="574" ht="12" customHeight="1"/>
    <row r="575" ht="15" customHeight="1"/>
    <row r="576" ht="15" customHeight="1"/>
    <row r="577" ht="15" customHeight="1"/>
    <row r="578" ht="15" customHeight="1"/>
    <row r="579" ht="15" customHeight="1"/>
    <row r="580" ht="15" customHeight="1"/>
    <row r="581" ht="15" customHeight="1"/>
    <row r="582" ht="15" customHeight="1"/>
    <row r="583" ht="15" customHeight="1"/>
    <row r="584" ht="12" customHeight="1"/>
    <row r="585" ht="15" customHeight="1"/>
    <row r="586" ht="15" customHeight="1"/>
    <row r="587" ht="15" customHeight="1"/>
    <row r="588" ht="15" customHeight="1"/>
    <row r="589" ht="15" customHeight="1"/>
    <row r="590" ht="15" customHeight="1"/>
    <row r="591" ht="15" customHeight="1"/>
    <row r="592" ht="15" customHeight="1"/>
    <row r="593" ht="15" customHeight="1"/>
    <row r="594" ht="15" customHeight="1"/>
    <row r="595" ht="15" customHeight="1"/>
    <row r="596" ht="15" customHeight="1"/>
    <row r="597" ht="15" customHeight="1"/>
    <row r="598" ht="15" customHeight="1"/>
    <row r="599" ht="15" customHeight="1"/>
    <row r="600" ht="12" customHeight="1"/>
    <row r="601" ht="15" customHeight="1"/>
    <row r="602" ht="12" customHeight="1"/>
    <row r="603" ht="15" customHeight="1"/>
    <row r="604" ht="15" customHeight="1"/>
    <row r="605" ht="15" customHeight="1"/>
    <row r="606" ht="15" customHeight="1"/>
    <row r="607" ht="12" customHeight="1"/>
    <row r="608" ht="15" customHeight="1"/>
    <row r="609" ht="15" customHeight="1"/>
    <row r="610" ht="15" customHeight="1"/>
    <row r="611" ht="15" customHeight="1"/>
    <row r="612" ht="15" customHeight="1"/>
    <row r="613" ht="15" customHeight="1"/>
    <row r="614" ht="15" customHeight="1"/>
    <row r="615" ht="15" customHeight="1"/>
    <row r="616" ht="15" customHeight="1"/>
    <row r="617" ht="15" customHeight="1"/>
    <row r="618" ht="15" customHeight="1"/>
    <row r="619" ht="15" customHeight="1"/>
    <row r="620" ht="15" customHeight="1"/>
    <row r="621" ht="15" customHeight="1"/>
    <row r="622" ht="15" customHeight="1"/>
    <row r="623" ht="12" customHeight="1"/>
    <row r="624" ht="15" customHeight="1"/>
    <row r="625" ht="12" customHeight="1"/>
    <row r="626" ht="15" customHeight="1"/>
    <row r="627" ht="12" customHeight="1"/>
    <row r="628" ht="15" customHeight="1"/>
    <row r="629" ht="15" customHeight="1"/>
    <row r="630" ht="12" customHeight="1"/>
    <row r="631" ht="15" customHeight="1"/>
    <row r="632" ht="12" customHeight="1"/>
    <row r="633" ht="12" customHeight="1"/>
    <row r="634" ht="15" customHeight="1"/>
    <row r="635" ht="12" customHeight="1"/>
    <row r="636" ht="15" customHeight="1"/>
    <row r="637" ht="15" customHeight="1"/>
    <row r="638" ht="15" customHeight="1"/>
    <row r="639" ht="15" customHeight="1"/>
    <row r="640" ht="15" customHeight="1"/>
    <row r="641" ht="15" customHeight="1"/>
    <row r="642" ht="15" customHeight="1"/>
    <row r="643" ht="12" customHeight="1"/>
    <row r="644" ht="12" customHeight="1"/>
    <row r="645" ht="12" customHeight="1"/>
    <row r="646" ht="12" customHeight="1"/>
    <row r="647" ht="12" customHeight="1"/>
    <row r="648" ht="12" customHeight="1"/>
    <row r="649" ht="12" customHeight="1"/>
    <row r="650" ht="12" customHeight="1"/>
    <row r="651" ht="12" customHeight="1"/>
    <row r="652" ht="12" customHeight="1"/>
    <row r="653" ht="12" customHeight="1"/>
    <row r="654" ht="12" customHeight="1"/>
    <row r="655" ht="12" customHeight="1"/>
    <row r="656" ht="12" customHeight="1"/>
    <row r="657" ht="12" customHeight="1"/>
    <row r="658" ht="12" customHeight="1"/>
    <row r="659" ht="12" customHeight="1"/>
    <row r="660" ht="12" customHeight="1"/>
    <row r="661" ht="12" customHeight="1"/>
    <row r="662" ht="12" customHeight="1"/>
    <row r="663" ht="12" customHeight="1"/>
    <row r="664" ht="12" customHeight="1"/>
    <row r="665" ht="12" customHeight="1"/>
    <row r="666" ht="12" customHeight="1"/>
    <row r="667" ht="12" customHeight="1"/>
    <row r="668" ht="12" customHeight="1"/>
    <row r="669" ht="12" customHeight="1"/>
    <row r="670" ht="12" customHeight="1"/>
    <row r="671" ht="12" customHeight="1"/>
    <row r="672" ht="12" customHeight="1"/>
    <row r="673" ht="12" customHeight="1"/>
    <row r="674" ht="12" customHeight="1"/>
    <row r="675" ht="15" customHeight="1"/>
    <row r="676" ht="15" customHeight="1"/>
    <row r="677" ht="15" customHeight="1"/>
    <row r="678" ht="15" customHeight="1"/>
    <row r="679" ht="15" customHeight="1"/>
    <row r="680" ht="15" customHeight="1"/>
    <row r="681" ht="15" customHeight="1"/>
    <row r="682" ht="12" customHeight="1"/>
    <row r="683" ht="15" customHeight="1"/>
    <row r="684" ht="15" customHeight="1"/>
    <row r="685" ht="15" customHeight="1"/>
    <row r="686" ht="15" customHeight="1"/>
    <row r="687" ht="15" customHeight="1"/>
    <row r="688" ht="15" customHeight="1"/>
    <row r="689" ht="15" customHeight="1"/>
    <row r="690" ht="15" customHeight="1"/>
    <row r="691" ht="15" customHeight="1"/>
    <row r="692" ht="15" customHeight="1"/>
    <row r="693" ht="15" customHeight="1"/>
    <row r="694" ht="15" customHeight="1"/>
    <row r="695" ht="15" customHeight="1"/>
    <row r="696" ht="15" customHeight="1"/>
    <row r="697" ht="15" customHeight="1"/>
    <row r="698" ht="12" customHeight="1"/>
    <row r="699" ht="15" customHeight="1"/>
    <row r="700" ht="15" customHeight="1"/>
    <row r="701" ht="15" customHeight="1"/>
    <row r="702" ht="15" customHeight="1"/>
    <row r="703" ht="12" customHeight="1"/>
    <row r="704" ht="15" customHeight="1"/>
    <row r="705" ht="15" customHeight="1"/>
    <row r="706" ht="15" customHeight="1"/>
    <row r="707" ht="15" customHeight="1"/>
    <row r="708" ht="15" customHeight="1"/>
    <row r="709" ht="15" customHeight="1"/>
    <row r="710" ht="15" customHeight="1"/>
    <row r="711" ht="15" customHeight="1"/>
    <row r="712" ht="15" customHeight="1"/>
    <row r="713" ht="15" customHeight="1"/>
    <row r="714" ht="15" customHeight="1"/>
    <row r="715" ht="15" customHeight="1"/>
    <row r="716" ht="12" customHeight="1"/>
    <row r="717" ht="12" customHeight="1"/>
    <row r="718" ht="12" customHeight="1"/>
    <row r="719" ht="12" customHeight="1"/>
    <row r="720" ht="12" customHeight="1"/>
    <row r="721" ht="12" customHeight="1"/>
    <row r="722" ht="12" customHeight="1"/>
    <row r="723" ht="12" customHeight="1"/>
    <row r="724" ht="12" customHeight="1"/>
    <row r="725" ht="12" customHeight="1"/>
    <row r="726" ht="12" customHeight="1"/>
    <row r="727" ht="12" customHeight="1"/>
    <row r="728" ht="12" customHeight="1"/>
    <row r="729" ht="12" customHeight="1"/>
    <row r="730" ht="12" customHeight="1"/>
    <row r="731" ht="12" customHeight="1"/>
    <row r="732" ht="12" customHeight="1"/>
    <row r="733" ht="12" customHeight="1"/>
    <row r="734" ht="12" customHeight="1"/>
    <row r="735" ht="12" customHeight="1"/>
    <row r="736" ht="12" customHeight="1"/>
    <row r="737" ht="12" customHeight="1"/>
    <row r="738" ht="12" customHeight="1"/>
    <row r="739" ht="12" customHeight="1"/>
    <row r="740" ht="12" customHeight="1"/>
    <row r="741" ht="12" customHeight="1"/>
    <row r="742" ht="12" customHeight="1"/>
    <row r="743" ht="12" customHeight="1"/>
    <row r="744" ht="12" customHeight="1"/>
    <row r="745" ht="12" customHeight="1"/>
    <row r="746" ht="12" customHeight="1"/>
    <row r="747" ht="12" customHeight="1"/>
    <row r="748" ht="12" customHeight="1"/>
    <row r="749" ht="12" customHeight="1"/>
    <row r="750" ht="15" customHeight="1"/>
    <row r="751" ht="15" customHeight="1"/>
    <row r="752" ht="15" customHeight="1"/>
    <row r="753" ht="15" customHeight="1"/>
    <row r="754" ht="15" customHeight="1"/>
    <row r="755" ht="15" customHeight="1"/>
    <row r="756" ht="15" customHeight="1"/>
    <row r="757" ht="15" customHeight="1"/>
    <row r="758" ht="15" customHeight="1"/>
    <row r="759" ht="15" customHeight="1"/>
    <row r="760" ht="15" customHeight="1"/>
    <row r="761" ht="15" customHeight="1"/>
    <row r="762" ht="15" customHeight="1"/>
    <row r="763" ht="15" customHeight="1"/>
    <row r="764" ht="15" customHeight="1"/>
    <row r="765" ht="15" customHeight="1"/>
    <row r="766" ht="15" customHeight="1"/>
    <row r="767" ht="15" customHeight="1"/>
    <row r="768" ht="12" customHeight="1"/>
    <row r="769" ht="15" customHeight="1"/>
    <row r="770" ht="15" customHeight="1"/>
    <row r="771" ht="15" customHeight="1"/>
    <row r="772" ht="15" customHeight="1"/>
    <row r="773" ht="15" customHeight="1"/>
    <row r="774" ht="15" customHeight="1"/>
    <row r="775" ht="15" customHeight="1"/>
    <row r="776" ht="15" customHeight="1"/>
    <row r="777" ht="15" customHeight="1"/>
    <row r="778" ht="15" customHeight="1"/>
    <row r="779" ht="15" customHeight="1"/>
    <row r="780" ht="12" customHeight="1"/>
    <row r="781" ht="15" customHeight="1"/>
    <row r="782" ht="15" customHeight="1"/>
    <row r="783" ht="15" customHeight="1"/>
    <row r="784" ht="12" customHeight="1"/>
    <row r="785" ht="15" customHeight="1"/>
    <row r="786" ht="15" customHeight="1"/>
    <row r="787" ht="15" customHeight="1"/>
    <row r="788" ht="15" customHeight="1"/>
    <row r="789" ht="15" customHeight="1"/>
    <row r="790" ht="15" customHeight="1"/>
    <row r="791" ht="15" customHeight="1"/>
    <row r="792" ht="15" customHeight="1"/>
    <row r="793" ht="15" customHeight="1"/>
    <row r="794" ht="15" customHeight="1"/>
    <row r="795" ht="15" customHeight="1"/>
    <row r="796" ht="12" customHeight="1"/>
    <row r="797" ht="15" customHeight="1"/>
    <row r="798" ht="15" customHeight="1"/>
    <row r="799" ht="15" customHeight="1"/>
    <row r="800" ht="15" customHeight="1"/>
    <row r="801" ht="15" customHeight="1"/>
    <row r="802" ht="15" customHeight="1"/>
    <row r="803" ht="15" customHeight="1"/>
    <row r="804" ht="15" customHeight="1"/>
    <row r="805" ht="15" customHeight="1"/>
    <row r="806" ht="15" customHeight="1"/>
    <row r="807" ht="15" customHeight="1"/>
    <row r="808" ht="15" customHeight="1"/>
    <row r="809" ht="15" customHeight="1"/>
    <row r="810" ht="12" customHeight="1"/>
    <row r="811" ht="15" customHeight="1"/>
    <row r="812" ht="15" customHeight="1"/>
    <row r="813" ht="15" customHeight="1"/>
    <row r="814" ht="12" customHeight="1"/>
    <row r="815" ht="15" customHeight="1"/>
    <row r="816" ht="15" customHeight="1"/>
    <row r="817" ht="15" customHeight="1"/>
    <row r="818" ht="15" customHeight="1"/>
    <row r="819" ht="15" customHeight="1"/>
    <row r="820" ht="15" customHeight="1"/>
    <row r="821" ht="15" customHeight="1"/>
    <row r="822" ht="15" customHeight="1"/>
    <row r="823" ht="15" customHeight="1"/>
    <row r="824" ht="15" customHeight="1"/>
    <row r="825" ht="12" customHeight="1"/>
    <row r="826" ht="15" customHeight="1"/>
    <row r="827" ht="15" customHeight="1"/>
    <row r="828" ht="15" customHeight="1"/>
    <row r="829" ht="15" customHeight="1"/>
    <row r="830" ht="15" customHeight="1"/>
    <row r="831" ht="15" customHeight="1"/>
    <row r="832" ht="15" customHeight="1"/>
    <row r="833" ht="15" customHeight="1"/>
    <row r="834" ht="15" customHeight="1"/>
    <row r="835" ht="12" customHeight="1"/>
    <row r="836" ht="15" customHeight="1"/>
    <row r="837" ht="15" customHeight="1"/>
    <row r="838" ht="15" customHeight="1"/>
    <row r="839" ht="15" customHeight="1"/>
    <row r="840" ht="15" customHeight="1"/>
    <row r="841" ht="15" customHeight="1"/>
    <row r="842" ht="15" customHeight="1"/>
    <row r="843" ht="15" customHeight="1"/>
    <row r="844" ht="15" customHeight="1"/>
    <row r="845" ht="15" customHeight="1"/>
    <row r="846" ht="15" customHeight="1"/>
    <row r="847" ht="12" customHeight="1"/>
    <row r="848" ht="15" customHeight="1"/>
    <row r="849" ht="15" customHeight="1"/>
    <row r="850" ht="15" customHeight="1"/>
    <row r="851" ht="15" customHeight="1"/>
    <row r="852" ht="15" customHeight="1"/>
    <row r="853" ht="15" customHeight="1"/>
    <row r="854" ht="15" customHeight="1"/>
    <row r="855" ht="15" customHeight="1"/>
    <row r="856" ht="15" customHeight="1"/>
    <row r="857" ht="15" customHeight="1"/>
    <row r="858" ht="12" customHeight="1"/>
    <row r="859" ht="15" customHeight="1"/>
    <row r="860" ht="15" customHeight="1"/>
    <row r="861" ht="15" customHeight="1"/>
    <row r="862" ht="15" customHeight="1"/>
    <row r="863" ht="15" customHeight="1"/>
    <row r="864" ht="15" customHeight="1"/>
    <row r="865" ht="15" customHeight="1"/>
    <row r="866" ht="15" customHeight="1"/>
    <row r="867" ht="15" customHeight="1"/>
    <row r="868" ht="15" customHeight="1"/>
    <row r="869" ht="15" customHeight="1"/>
    <row r="870" ht="12" customHeight="1"/>
    <row r="871" ht="15" customHeight="1"/>
    <row r="872" ht="15" customHeight="1"/>
    <row r="873" ht="15" customHeight="1"/>
    <row r="874" ht="15" customHeight="1"/>
    <row r="875" ht="15" customHeight="1"/>
    <row r="876" ht="15" customHeight="1"/>
    <row r="877" ht="15" customHeight="1"/>
    <row r="878" ht="15" customHeight="1"/>
    <row r="879" ht="15" customHeight="1"/>
    <row r="880" ht="15" customHeight="1"/>
    <row r="881" ht="12" customHeight="1"/>
    <row r="882" ht="15" customHeight="1"/>
    <row r="883" ht="15" customHeight="1"/>
    <row r="884" ht="15" customHeight="1"/>
    <row r="885" ht="15" customHeight="1"/>
    <row r="886" ht="15" customHeight="1"/>
    <row r="887" ht="15" customHeight="1"/>
    <row r="888" ht="15" customHeight="1"/>
    <row r="889" ht="12" customHeight="1"/>
    <row r="890" ht="12" customHeight="1"/>
    <row r="891" ht="12" customHeight="1"/>
    <row r="892" ht="12" customHeight="1"/>
    <row r="893" ht="12" customHeight="1"/>
    <row r="894" ht="12" customHeight="1"/>
    <row r="895" ht="12" customHeight="1"/>
    <row r="896" ht="12" customHeight="1"/>
    <row r="897" ht="12" customHeight="1"/>
    <row r="898" ht="12" customHeight="1"/>
    <row r="899" ht="12" customHeight="1"/>
    <row r="900" ht="15" customHeight="1"/>
    <row r="901" ht="15" customHeight="1"/>
    <row r="902" ht="15" customHeight="1"/>
    <row r="903" ht="15" customHeight="1"/>
    <row r="904" ht="15" customHeight="1"/>
    <row r="905" ht="15" customHeight="1"/>
    <row r="906" ht="15" customHeight="1"/>
    <row r="907" ht="15" customHeight="1"/>
    <row r="908" ht="15" customHeight="1"/>
    <row r="909" ht="15" customHeight="1"/>
    <row r="910" ht="12" customHeight="1"/>
    <row r="911" ht="15" customHeight="1"/>
    <row r="912" ht="15" customHeight="1"/>
    <row r="913" ht="15" customHeight="1"/>
    <row r="914" ht="15" customHeight="1"/>
    <row r="915" ht="15" customHeight="1"/>
    <row r="916" ht="15" customHeight="1"/>
    <row r="917" ht="15" customHeight="1"/>
    <row r="918" ht="15" customHeight="1"/>
    <row r="919" ht="15" customHeight="1"/>
    <row r="920" ht="15" customHeight="1"/>
    <row r="921" ht="15" customHeight="1"/>
    <row r="922" ht="15" customHeight="1"/>
    <row r="923" ht="15" customHeight="1"/>
    <row r="924" ht="15" customHeight="1"/>
    <row r="925" ht="15" customHeight="1"/>
    <row r="926" ht="15" customHeight="1"/>
    <row r="927" ht="12" customHeight="1"/>
    <row r="928" ht="15" customHeight="1"/>
    <row r="929" ht="12" customHeight="1"/>
    <row r="930" ht="15" customHeight="1"/>
    <row r="931" ht="15" customHeight="1"/>
    <row r="932" ht="15" customHeight="1"/>
    <row r="933" ht="15" customHeight="1"/>
    <row r="934" ht="15" customHeight="1"/>
    <row r="935" ht="12" customHeight="1"/>
    <row r="936" ht="15" customHeight="1"/>
    <row r="937" ht="15" customHeight="1"/>
    <row r="938" ht="15" customHeight="1"/>
    <row r="939" ht="15" customHeight="1"/>
    <row r="940" ht="15" customHeight="1"/>
    <row r="941" ht="15" customHeight="1"/>
    <row r="942" ht="15" customHeight="1"/>
    <row r="943" ht="15" customHeight="1"/>
    <row r="944" ht="15" customHeight="1"/>
    <row r="945" ht="15" customHeight="1"/>
    <row r="946" ht="15" customHeight="1"/>
    <row r="947" ht="15" customHeight="1"/>
    <row r="948" ht="15" customHeight="1"/>
    <row r="949" ht="15" customHeight="1"/>
    <row r="950" ht="15" customHeight="1"/>
    <row r="951" ht="15" customHeight="1"/>
    <row r="952" ht="12" customHeight="1"/>
    <row r="953" ht="15" customHeight="1"/>
    <row r="954" ht="12" customHeight="1"/>
    <row r="955" ht="15" customHeight="1"/>
    <row r="956" ht="12" customHeight="1"/>
    <row r="957" ht="15" customHeight="1"/>
    <row r="958" ht="15" customHeight="1"/>
    <row r="959" ht="15" customHeight="1"/>
    <row r="960" ht="15" customHeight="1"/>
    <row r="961" ht="15" customHeight="1"/>
    <row r="962" ht="15" customHeight="1"/>
    <row r="963" ht="15" customHeight="1"/>
    <row r="964" ht="15" customHeight="1"/>
    <row r="965" ht="15" customHeight="1"/>
    <row r="966" ht="15" customHeight="1"/>
    <row r="967" ht="15" customHeight="1"/>
    <row r="968" ht="15" customHeight="1"/>
    <row r="969" ht="15" customHeight="1"/>
    <row r="970" ht="15" customHeight="1"/>
    <row r="971" ht="15" customHeight="1"/>
    <row r="972" ht="15" customHeight="1"/>
    <row r="973" ht="15" customHeight="1"/>
    <row r="974" ht="15" customHeight="1"/>
    <row r="975" ht="12" customHeight="1"/>
    <row r="976" ht="12" customHeight="1"/>
    <row r="977" ht="12" customHeight="1"/>
    <row r="978" ht="12" customHeight="1"/>
    <row r="979" ht="12" customHeight="1"/>
    <row r="980" ht="12" customHeight="1"/>
    <row r="981" ht="12" customHeight="1"/>
    <row r="982" ht="12" customHeight="1"/>
    <row r="983" ht="12" customHeight="1"/>
    <row r="984" ht="12" customHeight="1"/>
    <row r="985" ht="12" customHeight="1"/>
    <row r="986" ht="12" customHeight="1"/>
    <row r="987" ht="12" customHeight="1"/>
    <row r="988" ht="12" customHeight="1"/>
    <row r="989" ht="12" customHeight="1"/>
    <row r="990" ht="12" customHeight="1"/>
    <row r="991" ht="12" customHeight="1"/>
    <row r="992" ht="12" customHeight="1"/>
    <row r="993" ht="12" customHeight="1"/>
    <row r="994" ht="12" customHeight="1"/>
    <row r="995" ht="12" customHeight="1"/>
    <row r="996" ht="12" customHeight="1"/>
    <row r="997" ht="12" customHeight="1"/>
    <row r="998" ht="12" customHeight="1"/>
    <row r="999" ht="12" customHeight="1"/>
    <row r="1000" ht="15" customHeight="1"/>
    <row r="1001" ht="15" customHeight="1"/>
    <row r="1002" ht="15" customHeight="1"/>
    <row r="1003" ht="15" customHeight="1"/>
    <row r="1004" ht="15" customHeight="1"/>
    <row r="1005" ht="15" customHeight="1"/>
    <row r="1006" ht="15" customHeight="1"/>
    <row r="1007" ht="15" customHeight="1"/>
    <row r="1008" ht="15" customHeight="1"/>
    <row r="1009" ht="15" customHeight="1"/>
    <row r="1010" ht="12" customHeight="1"/>
    <row r="1011" ht="15" customHeight="1"/>
    <row r="1012" ht="15" customHeight="1"/>
    <row r="1013" ht="15" customHeight="1"/>
    <row r="1014" ht="15" customHeight="1"/>
    <row r="1015" ht="15" customHeight="1"/>
    <row r="1016" ht="15" customHeight="1"/>
    <row r="1017" ht="15" customHeight="1"/>
    <row r="1018" ht="15" customHeight="1"/>
    <row r="1019" ht="15" customHeight="1"/>
    <row r="1020" ht="15" customHeight="1"/>
    <row r="1021" ht="15" customHeight="1"/>
    <row r="1022" ht="15" customHeight="1"/>
    <row r="1023" ht="15" customHeight="1"/>
    <row r="1024" ht="15" customHeight="1"/>
    <row r="1025" ht="15" customHeight="1"/>
    <row r="1026" ht="15" customHeight="1"/>
    <row r="1027" ht="12" customHeight="1"/>
    <row r="1028" ht="15" customHeight="1"/>
    <row r="1029" ht="15" customHeight="1"/>
    <row r="1030" ht="12" customHeight="1"/>
    <row r="1031" ht="15" customHeight="1"/>
    <row r="1032" ht="15" customHeight="1"/>
    <row r="1033" ht="15" customHeight="1"/>
    <row r="1034" ht="15" customHeight="1"/>
    <row r="1035" ht="15" customHeight="1"/>
    <row r="1036" ht="12" customHeight="1"/>
    <row r="1037" ht="15" customHeight="1"/>
    <row r="1038" ht="15" customHeight="1"/>
    <row r="1039" ht="15" customHeight="1"/>
    <row r="1040" ht="15" customHeight="1"/>
    <row r="1041" ht="15" customHeight="1"/>
    <row r="1042" ht="15" customHeight="1"/>
    <row r="1043" ht="15" customHeight="1"/>
    <row r="1044" ht="15" customHeight="1"/>
    <row r="1045" ht="15" customHeight="1"/>
    <row r="1046" ht="15" customHeight="1"/>
    <row r="1047" ht="15" customHeight="1"/>
    <row r="1048" ht="15" customHeight="1"/>
    <row r="1049" ht="15" customHeight="1"/>
    <row r="1050" ht="15" customHeight="1"/>
    <row r="1051" ht="15" customHeight="1"/>
    <row r="1052" ht="15" customHeight="1"/>
    <row r="1053" ht="12" customHeight="1"/>
    <row r="1054" ht="15" customHeight="1"/>
    <row r="1055" ht="15" customHeight="1"/>
    <row r="1056" ht="12" customHeight="1"/>
    <row r="1057" ht="15" customHeight="1"/>
    <row r="1058" ht="12" customHeight="1"/>
    <row r="1059" ht="15" customHeight="1"/>
    <row r="1060" ht="15" customHeight="1"/>
    <row r="1061" ht="15" customHeight="1"/>
    <row r="1062" ht="15" customHeight="1"/>
    <row r="1063" ht="15" customHeight="1"/>
    <row r="1064" ht="15" customHeight="1"/>
    <row r="1065" ht="15" customHeight="1"/>
    <row r="1066" ht="15" customHeight="1"/>
    <row r="1067" ht="15" customHeight="1"/>
    <row r="1068" ht="15" customHeight="1"/>
    <row r="1069" ht="15" customHeight="1"/>
    <row r="1070" ht="15" customHeight="1"/>
    <row r="1071" ht="15" customHeight="1"/>
    <row r="1072" ht="15" customHeight="1"/>
    <row r="1073" ht="15" customHeight="1"/>
    <row r="1074" ht="15" customHeight="1"/>
    <row r="1075" ht="15" customHeight="1"/>
    <row r="1076" ht="15" customHeight="1"/>
    <row r="1077" ht="12" customHeight="1"/>
    <row r="1078" ht="12" customHeight="1"/>
    <row r="1079" ht="12" customHeight="1"/>
    <row r="1080" ht="12" customHeight="1"/>
    <row r="1081" ht="12" customHeight="1"/>
    <row r="1082" ht="12" customHeight="1"/>
    <row r="1083" ht="12" customHeight="1"/>
    <row r="1084" ht="12" customHeight="1"/>
    <row r="1085" ht="12" customHeight="1"/>
    <row r="1086" ht="12" customHeight="1"/>
    <row r="1087" ht="12" customHeight="1"/>
    <row r="1088" ht="12" customHeight="1"/>
    <row r="1089" ht="12" customHeight="1"/>
    <row r="1090" ht="12" customHeight="1"/>
    <row r="1091" ht="12" customHeight="1"/>
    <row r="1092" ht="12" customHeight="1"/>
    <row r="1093" ht="12" customHeight="1"/>
    <row r="1094" ht="12" customHeight="1"/>
    <row r="1095" ht="12" customHeight="1"/>
    <row r="1096" ht="12" customHeight="1"/>
    <row r="1097" ht="12" customHeight="1"/>
    <row r="1098" ht="12" customHeight="1"/>
    <row r="1099" ht="12" customHeight="1"/>
    <row r="1100" ht="15" customHeight="1"/>
    <row r="1101" ht="15" customHeight="1"/>
    <row r="1102" ht="15" customHeight="1"/>
    <row r="1103" ht="15" customHeight="1"/>
    <row r="1104" ht="15" customHeight="1"/>
    <row r="1105" ht="15" customHeight="1"/>
    <row r="1106" ht="15" customHeight="1"/>
    <row r="1107" ht="15" customHeight="1"/>
    <row r="1108" ht="15" customHeight="1"/>
    <row r="1109" ht="15" customHeight="1"/>
    <row r="1110" ht="12" customHeight="1"/>
    <row r="1111" ht="15" customHeight="1"/>
    <row r="1112" ht="15" customHeight="1"/>
    <row r="1113" ht="15" customHeight="1"/>
    <row r="1114" ht="15" customHeight="1"/>
    <row r="1115" ht="15" customHeight="1"/>
    <row r="1116" ht="15" customHeight="1"/>
    <row r="1117" ht="15" customHeight="1"/>
    <row r="1118" ht="15" customHeight="1"/>
    <row r="1119" ht="15" customHeight="1"/>
    <row r="1120" ht="15" customHeight="1"/>
    <row r="1121" ht="15" customHeight="1"/>
    <row r="1122" ht="15" customHeight="1"/>
    <row r="1123" ht="15" customHeight="1"/>
    <row r="1124" ht="15" customHeight="1"/>
    <row r="1125" ht="15" customHeight="1"/>
    <row r="1126" ht="15" customHeight="1"/>
    <row r="1127" ht="12" customHeight="1"/>
    <row r="1128" ht="15" customHeight="1"/>
    <row r="1129" ht="12" customHeight="1"/>
    <row r="1130" ht="15" customHeight="1"/>
    <row r="1131" ht="15" customHeight="1"/>
    <row r="1132" ht="15" customHeight="1"/>
    <row r="1133" ht="15" customHeight="1"/>
    <row r="1134" ht="15" customHeight="1"/>
    <row r="1135" ht="12" customHeight="1"/>
    <row r="1136" ht="15" customHeight="1"/>
    <row r="1137" ht="15" customHeight="1"/>
    <row r="1138" ht="15" customHeight="1"/>
    <row r="1139" ht="15" customHeight="1"/>
    <row r="1140" ht="15" customHeight="1"/>
    <row r="1141" ht="15" customHeight="1"/>
    <row r="1142" ht="15" customHeight="1"/>
    <row r="1143" ht="15" customHeight="1"/>
    <row r="1144" ht="15" customHeight="1"/>
    <row r="1145" ht="15" customHeight="1"/>
    <row r="1146" ht="15" customHeight="1"/>
    <row r="1147" ht="15" customHeight="1"/>
    <row r="1148" ht="15" customHeight="1"/>
    <row r="1149" ht="15" customHeight="1"/>
    <row r="1150" ht="15" customHeight="1"/>
    <row r="1151" ht="15" customHeight="1"/>
    <row r="1152" ht="12" customHeight="1"/>
    <row r="1153" ht="15" customHeight="1"/>
    <row r="1154" ht="12" customHeight="1"/>
    <row r="1155" ht="15" customHeight="1"/>
    <row r="1156" ht="12" customHeight="1"/>
    <row r="1157" ht="15" customHeight="1"/>
    <row r="1158" ht="15" customHeight="1"/>
    <row r="1159" ht="15" customHeight="1"/>
    <row r="1160" ht="15" customHeight="1"/>
    <row r="1161" ht="15" customHeight="1"/>
    <row r="1162" ht="15" customHeight="1"/>
    <row r="1163" ht="15" customHeight="1"/>
    <row r="1164" ht="15" customHeight="1"/>
    <row r="1165" ht="15" customHeight="1"/>
    <row r="1166" ht="15" customHeight="1"/>
    <row r="1167" ht="15" customHeight="1"/>
    <row r="1168" ht="15" customHeight="1"/>
    <row r="1169" ht="15" customHeight="1"/>
    <row r="1170" ht="15" customHeight="1"/>
    <row r="1171" ht="15" customHeight="1"/>
    <row r="1172" ht="15" customHeight="1"/>
    <row r="1173" ht="15" customHeight="1"/>
    <row r="1174" ht="15" customHeight="1"/>
    <row r="1175" ht="12" customHeight="1"/>
    <row r="1176" ht="12" customHeight="1"/>
    <row r="1177" ht="12" customHeight="1"/>
    <row r="1178" ht="12" customHeight="1"/>
    <row r="1179" ht="12" customHeight="1"/>
    <row r="1180" ht="12" customHeight="1"/>
    <row r="1181" ht="12" customHeight="1"/>
    <row r="1182" ht="12" customHeight="1"/>
    <row r="1183" ht="12" customHeight="1"/>
    <row r="1184" ht="12" customHeight="1"/>
    <row r="1185" ht="12" customHeight="1"/>
    <row r="1186" ht="12" customHeight="1"/>
    <row r="1187" ht="12" customHeight="1"/>
    <row r="1188" ht="12" customHeight="1"/>
    <row r="1189" ht="12" customHeight="1"/>
    <row r="1190" ht="12" customHeight="1"/>
    <row r="1191" ht="12" customHeight="1"/>
    <row r="1192" ht="12" customHeight="1"/>
    <row r="1193" ht="12" customHeight="1"/>
    <row r="1194" ht="12" customHeight="1"/>
    <row r="1195" ht="12" customHeight="1"/>
    <row r="1196" ht="12" customHeight="1"/>
    <row r="1197" ht="12" customHeight="1"/>
    <row r="1198" ht="12" customHeight="1"/>
    <row r="1199" ht="12" customHeight="1"/>
    <row r="1200" ht="15" customHeight="1"/>
    <row r="1201" ht="15" customHeight="1"/>
    <row r="1202" ht="15" customHeight="1"/>
    <row r="1203" ht="15" customHeight="1"/>
    <row r="1204" ht="15" customHeight="1"/>
    <row r="1205" ht="15" customHeight="1"/>
    <row r="1206" ht="15" customHeight="1"/>
    <row r="1207" ht="15" customHeight="1"/>
    <row r="1208" ht="15" customHeight="1"/>
    <row r="1209" ht="15" customHeight="1"/>
    <row r="1210" ht="12" customHeight="1"/>
    <row r="1211" ht="15" customHeight="1"/>
    <row r="1212" ht="15" customHeight="1"/>
    <row r="1213" ht="15" customHeight="1"/>
    <row r="1214" ht="15" customHeight="1"/>
    <row r="1215" ht="15" customHeight="1"/>
    <row r="1216" ht="15" customHeight="1"/>
    <row r="1217" ht="15" customHeight="1"/>
    <row r="1218" ht="15" customHeight="1"/>
    <row r="1219" ht="15" customHeight="1"/>
    <row r="1220" ht="15" customHeight="1"/>
    <row r="1221" ht="15" customHeight="1"/>
    <row r="1222" ht="15" customHeight="1"/>
    <row r="1223" ht="15" customHeight="1"/>
    <row r="1224" ht="15" customHeight="1"/>
    <row r="1225" ht="15" customHeight="1"/>
    <row r="1226" ht="15" customHeight="1"/>
    <row r="1227" ht="12" customHeight="1"/>
    <row r="1228" ht="15" customHeight="1"/>
    <row r="1229" ht="12" customHeight="1"/>
    <row r="1230" ht="15" customHeight="1"/>
    <row r="1231" ht="15" customHeight="1"/>
    <row r="1232" ht="15" customHeight="1"/>
    <row r="1233" ht="15" customHeight="1"/>
    <row r="1234" ht="15" customHeight="1"/>
    <row r="1235" ht="12" customHeight="1"/>
    <row r="1236" ht="15" customHeight="1"/>
    <row r="1237" ht="15" customHeight="1"/>
    <row r="1238" ht="15" customHeight="1"/>
    <row r="1239" ht="15" customHeight="1"/>
    <row r="1240" ht="15" customHeight="1"/>
    <row r="1241" ht="15" customHeight="1"/>
    <row r="1242" ht="15" customHeight="1"/>
    <row r="1243" ht="15" customHeight="1"/>
    <row r="1244" ht="15" customHeight="1"/>
    <row r="1245" ht="15" customHeight="1"/>
    <row r="1246" ht="15" customHeight="1"/>
    <row r="1247" ht="15" customHeight="1"/>
    <row r="1248" ht="15" customHeight="1"/>
    <row r="1249" ht="15" customHeight="1"/>
    <row r="1250" ht="15" customHeight="1"/>
    <row r="1251" ht="15" customHeight="1"/>
    <row r="1252" ht="12" customHeight="1"/>
    <row r="1253" ht="15" customHeight="1"/>
    <row r="1254" ht="12" customHeight="1"/>
    <row r="1255" ht="15" customHeight="1"/>
    <row r="1256" ht="12" customHeight="1"/>
    <row r="1257" ht="15" customHeight="1"/>
    <row r="1258" ht="15" customHeight="1"/>
    <row r="1259" ht="15" customHeight="1"/>
    <row r="1260" ht="15" customHeight="1"/>
    <row r="1261" ht="15" customHeight="1"/>
    <row r="1262" ht="15" customHeight="1"/>
    <row r="1263" ht="15" customHeight="1"/>
    <row r="1264" ht="15" customHeight="1"/>
    <row r="1265" ht="15" customHeight="1"/>
    <row r="1266" ht="15" customHeight="1"/>
    <row r="1267" ht="15" customHeight="1"/>
    <row r="1268" ht="15" customHeight="1"/>
    <row r="1269" ht="15" customHeight="1"/>
    <row r="1270" ht="15" customHeight="1"/>
    <row r="1271" ht="15" customHeight="1"/>
    <row r="1272" ht="15" customHeight="1"/>
    <row r="1273" ht="15" customHeight="1"/>
    <row r="1274" ht="15" customHeight="1"/>
    <row r="1275" ht="12" customHeight="1"/>
    <row r="1276" ht="12" customHeight="1"/>
    <row r="1277" ht="12" customHeight="1"/>
    <row r="1278" ht="12" customHeight="1"/>
    <row r="1279" ht="12" customHeight="1"/>
    <row r="1280" ht="12" customHeight="1"/>
    <row r="1281" ht="12" customHeight="1"/>
    <row r="1282" ht="12" customHeight="1"/>
    <row r="1283" ht="12" customHeight="1"/>
    <row r="1284" ht="12" customHeight="1"/>
    <row r="1285" ht="12" customHeight="1"/>
    <row r="1286" ht="12" customHeight="1"/>
    <row r="1287" ht="12" customHeight="1"/>
    <row r="1288" ht="12" customHeight="1"/>
    <row r="1289" ht="12" customHeight="1"/>
    <row r="1290" ht="12" customHeight="1"/>
    <row r="1291" ht="12" customHeight="1"/>
    <row r="1292" ht="12" customHeight="1"/>
    <row r="1293" ht="12" customHeight="1"/>
    <row r="1294" ht="12" customHeight="1"/>
    <row r="1295" ht="12" customHeight="1"/>
    <row r="1296" ht="12" customHeight="1"/>
    <row r="1297" ht="12" customHeight="1"/>
    <row r="1298" ht="12" customHeight="1"/>
    <row r="1299" ht="12" customHeight="1"/>
    <row r="1300" ht="15" customHeight="1"/>
    <row r="1301" ht="15" customHeight="1"/>
    <row r="1302" ht="15" customHeight="1"/>
    <row r="1303" ht="15" customHeight="1"/>
    <row r="1304" ht="15" customHeight="1"/>
    <row r="1305" ht="15" customHeight="1"/>
    <row r="1306" ht="12" customHeight="1"/>
    <row r="1307" ht="15" customHeight="1"/>
    <row r="1308" ht="15" customHeight="1"/>
    <row r="1309" ht="15" customHeight="1"/>
    <row r="1310" ht="15" customHeight="1"/>
    <row r="1311" ht="12" customHeight="1"/>
    <row r="1312" ht="15" customHeight="1"/>
    <row r="1313" ht="15" customHeight="1"/>
    <row r="1314" ht="15" customHeight="1"/>
    <row r="1315" ht="12" customHeight="1"/>
    <row r="1316" ht="15" customHeight="1"/>
    <row r="1317" ht="15" customHeight="1"/>
    <row r="1318" ht="15" customHeight="1"/>
    <row r="1319" ht="15" customHeight="1"/>
    <row r="1320" ht="15" customHeight="1"/>
    <row r="1321" ht="15" customHeight="1"/>
    <row r="1322" ht="15" customHeight="1"/>
    <row r="1323" ht="15" customHeight="1"/>
    <row r="1324" ht="15" customHeight="1"/>
    <row r="1325" ht="15" customHeight="1"/>
    <row r="1326" ht="15" customHeight="1"/>
    <row r="1327" ht="15" customHeight="1"/>
    <row r="1328" ht="15" customHeight="1"/>
    <row r="1329" ht="15" customHeight="1"/>
    <row r="1330" ht="15" customHeight="1"/>
    <row r="1331" ht="12" customHeight="1"/>
    <row r="1332" ht="15" customHeight="1"/>
    <row r="1333" ht="15" customHeight="1"/>
    <row r="1334" ht="15" customHeight="1"/>
    <row r="1335" ht="15" customHeight="1"/>
    <row r="1336" ht="15" customHeight="1"/>
    <row r="1337" ht="15" customHeight="1"/>
    <row r="1338" ht="15" customHeight="1"/>
    <row r="1339" ht="15" customHeight="1"/>
    <row r="1340" ht="15" customHeight="1"/>
    <row r="1341" ht="15" customHeight="1"/>
    <row r="1342" ht="15" customHeight="1"/>
    <row r="1343" ht="15" customHeight="1"/>
    <row r="1344" ht="15" customHeight="1"/>
    <row r="1345" ht="15" customHeight="1"/>
    <row r="1346" ht="15" customHeight="1"/>
    <row r="1347" ht="15" customHeight="1"/>
    <row r="1348" ht="15" customHeight="1"/>
    <row r="1349" ht="15" customHeight="1"/>
    <row r="1350" ht="15" customHeight="1"/>
    <row r="1351" ht="15" customHeight="1"/>
    <row r="1352" ht="15" customHeight="1"/>
    <row r="1353" ht="15" customHeight="1"/>
    <row r="1354" ht="15" customHeight="1"/>
    <row r="1355" ht="15" customHeight="1"/>
    <row r="1356" ht="15" customHeight="1"/>
    <row r="1357" ht="15" customHeight="1"/>
    <row r="1358" ht="15" customHeight="1"/>
    <row r="1359" ht="15" customHeight="1"/>
    <row r="1360" ht="15" customHeight="1"/>
    <row r="1361" ht="15" customHeight="1"/>
    <row r="1362" ht="12" customHeight="1"/>
    <row r="1363" ht="15" customHeight="1"/>
    <row r="1364" ht="15" customHeight="1"/>
    <row r="1365" ht="15" customHeight="1"/>
    <row r="1366" ht="15" customHeight="1"/>
    <row r="1367" ht="15" customHeight="1"/>
    <row r="1368" ht="15" customHeight="1"/>
    <row r="1369" ht="15" customHeight="1"/>
    <row r="1370" ht="15" customHeight="1"/>
    <row r="1371" ht="15" customHeight="1"/>
    <row r="1372" ht="15" customHeight="1"/>
    <row r="1373" ht="15" customHeight="1"/>
    <row r="1374" ht="15" customHeight="1"/>
    <row r="1375" ht="15" customHeight="1"/>
    <row r="1376" ht="15" customHeight="1"/>
    <row r="1377" ht="15" customHeight="1"/>
    <row r="1378" ht="12" customHeight="1"/>
    <row r="1379" ht="15" customHeight="1"/>
    <row r="1380" ht="15" customHeight="1"/>
    <row r="1381" ht="15" customHeight="1"/>
    <row r="1382" ht="15" customHeight="1"/>
    <row r="1383" ht="15" customHeight="1"/>
    <row r="1384" ht="15" customHeight="1"/>
    <row r="1385" ht="15" customHeight="1"/>
    <row r="1386" ht="15" customHeight="1"/>
    <row r="1387" ht="15" customHeight="1"/>
    <row r="1388" ht="15" customHeight="1"/>
    <row r="1389" ht="15" customHeight="1"/>
    <row r="1390" ht="15" customHeight="1"/>
    <row r="1391" ht="15" customHeight="1"/>
    <row r="1392" ht="15" customHeight="1"/>
    <row r="1393" ht="15" customHeight="1"/>
    <row r="1394" ht="15" customHeight="1"/>
    <row r="1395" ht="15" customHeight="1"/>
    <row r="1396" ht="15" customHeight="1"/>
    <row r="1397" ht="12" customHeight="1"/>
    <row r="1398" ht="15" customHeight="1"/>
    <row r="1399" ht="15" customHeight="1"/>
    <row r="1400" ht="15" customHeight="1"/>
    <row r="1401" ht="15" customHeight="1"/>
    <row r="1402" ht="15" customHeight="1"/>
    <row r="1403" ht="15" customHeight="1"/>
    <row r="1404" ht="15" customHeight="1"/>
    <row r="1405" ht="15" customHeight="1"/>
    <row r="1406" ht="15" customHeight="1"/>
    <row r="1407" ht="15" customHeight="1"/>
    <row r="1408" ht="15" customHeight="1"/>
    <row r="1409" ht="15" customHeight="1"/>
    <row r="1410" ht="15" customHeight="1"/>
    <row r="1411" ht="15" customHeight="1"/>
    <row r="1412" ht="15" customHeight="1"/>
    <row r="1413" ht="15" customHeight="1"/>
    <row r="1414" ht="15" customHeight="1"/>
    <row r="1415" ht="15" customHeight="1"/>
    <row r="1416" ht="15" customHeight="1"/>
    <row r="1417" ht="15" customHeight="1"/>
    <row r="1418" ht="15" customHeight="1"/>
    <row r="1419" ht="15" customHeight="1"/>
    <row r="1420" ht="15" customHeight="1"/>
    <row r="1421" ht="15" customHeight="1"/>
    <row r="1422" ht="15" customHeight="1"/>
    <row r="1423" ht="15" customHeight="1"/>
    <row r="1424" ht="15" customHeight="1"/>
    <row r="1425" ht="15" customHeight="1"/>
    <row r="1426" ht="15" customHeight="1"/>
    <row r="1427" ht="15" customHeight="1"/>
    <row r="1428" ht="15" customHeight="1"/>
    <row r="1429" ht="15" customHeight="1"/>
    <row r="1430" ht="15" customHeight="1"/>
    <row r="1431" ht="15" customHeight="1"/>
    <row r="1432" ht="15" customHeight="1"/>
    <row r="1433" ht="15" customHeight="1"/>
    <row r="1434" ht="15" customHeight="1"/>
    <row r="1435" ht="15" customHeight="1"/>
    <row r="1436" ht="15" customHeight="1"/>
    <row r="1437" ht="15" customHeight="1"/>
    <row r="1438" ht="15" customHeight="1"/>
    <row r="1439" ht="15" customHeight="1"/>
    <row r="1440" ht="15" customHeight="1"/>
    <row r="1441" ht="15" customHeight="1"/>
    <row r="1442" ht="15" customHeight="1"/>
    <row r="1443" ht="15" customHeight="1"/>
    <row r="1444" ht="15" customHeight="1"/>
    <row r="1445" ht="15" customHeight="1"/>
    <row r="1446" ht="15" customHeight="1"/>
    <row r="1447" ht="15" customHeight="1"/>
    <row r="1448" ht="15" customHeight="1"/>
    <row r="1449" ht="15" customHeight="1"/>
    <row r="1450" ht="15" customHeight="1"/>
    <row r="1451" ht="15" customHeight="1"/>
    <row r="1452" ht="12" customHeight="1"/>
    <row r="1453" ht="15" customHeight="1"/>
    <row r="1454" ht="15" customHeight="1"/>
    <row r="1455" ht="15" customHeight="1"/>
    <row r="1456" ht="15" customHeight="1"/>
    <row r="1457" ht="15" customHeight="1"/>
    <row r="1458" ht="15" customHeight="1"/>
    <row r="1459" ht="15" customHeight="1"/>
    <row r="1460" ht="15" customHeight="1"/>
    <row r="1461" ht="15" customHeight="1"/>
    <row r="1462" ht="15" customHeight="1"/>
    <row r="1463" ht="15" customHeight="1"/>
    <row r="1464" ht="12" customHeight="1"/>
    <row r="1465" ht="15" customHeight="1"/>
    <row r="1466" ht="15" customHeight="1"/>
    <row r="1467" ht="15" customHeight="1"/>
    <row r="1468" ht="15" customHeight="1"/>
    <row r="1469" ht="15" customHeight="1"/>
    <row r="1470" ht="15" customHeight="1"/>
    <row r="1471" ht="15" customHeight="1"/>
    <row r="1472" ht="15" customHeight="1"/>
    <row r="1473" ht="15" customHeight="1"/>
    <row r="1474" ht="15" customHeight="1"/>
    <row r="1475" ht="15" customHeight="1"/>
    <row r="1476" ht="15" customHeight="1"/>
    <row r="1477" ht="15" customHeight="1"/>
    <row r="1478" ht="15" customHeight="1"/>
    <row r="1479" ht="15" customHeight="1"/>
    <row r="1480" ht="15" customHeight="1"/>
    <row r="1481" ht="15" customHeight="1"/>
    <row r="1482" ht="15" customHeight="1"/>
    <row r="1483" ht="15" customHeight="1"/>
    <row r="1484" ht="15" customHeight="1"/>
    <row r="1485" ht="15" customHeight="1"/>
    <row r="1486" ht="15" customHeight="1"/>
    <row r="1487" ht="15" customHeight="1"/>
    <row r="1488" ht="15" customHeight="1"/>
    <row r="1489" ht="15" customHeight="1"/>
    <row r="1490" ht="15" customHeight="1"/>
    <row r="1491" ht="15" customHeight="1"/>
    <row r="1492" ht="15" customHeight="1"/>
    <row r="1493" ht="15" customHeight="1"/>
    <row r="1494" ht="12" customHeight="1"/>
    <row r="1495" ht="12" customHeight="1"/>
    <row r="1496" ht="12" customHeight="1"/>
    <row r="1497" ht="12" customHeight="1"/>
    <row r="1498" ht="12" customHeight="1"/>
    <row r="1499" ht="12" customHeight="1"/>
    <row r="1500" ht="12" customHeight="1"/>
    <row r="1501" ht="12" customHeight="1"/>
    <row r="1502" ht="12" customHeight="1"/>
    <row r="1503" ht="12" customHeight="1"/>
    <row r="1504" ht="12" customHeight="1"/>
    <row r="1505" ht="12" customHeight="1"/>
    <row r="1506" ht="12" customHeight="1"/>
    <row r="1507" ht="12" customHeight="1"/>
    <row r="1508" ht="12" customHeight="1"/>
    <row r="1509" ht="12" customHeight="1"/>
    <row r="1510" ht="12" customHeight="1"/>
    <row r="1511" ht="12" customHeight="1"/>
    <row r="1512" ht="12" customHeight="1"/>
    <row r="1513" ht="12" customHeight="1"/>
    <row r="1514" ht="12" customHeight="1"/>
    <row r="1515" ht="12" customHeight="1"/>
    <row r="1516" ht="12" customHeight="1"/>
    <row r="1517" ht="12" customHeight="1"/>
    <row r="1518" ht="12" customHeight="1"/>
    <row r="1519" ht="12" customHeight="1"/>
    <row r="1520" ht="12" customHeight="1"/>
    <row r="1521" ht="12" customHeight="1"/>
    <row r="1522" ht="12" customHeight="1"/>
    <row r="1523" ht="12" customHeight="1"/>
    <row r="1524" ht="12" customHeight="1"/>
    <row r="1525" ht="15" customHeight="1"/>
    <row r="1526" ht="15" customHeight="1"/>
    <row r="1527" ht="15" customHeight="1"/>
    <row r="1528" ht="15" customHeight="1"/>
    <row r="1529" ht="15" customHeight="1"/>
    <row r="1530" ht="15" customHeight="1"/>
    <row r="1531" ht="15" customHeight="1"/>
    <row r="1532" ht="15" customHeight="1"/>
    <row r="1533" ht="15" customHeight="1"/>
    <row r="1534" ht="15" customHeight="1"/>
    <row r="1535" ht="15" customHeight="1"/>
    <row r="1536" ht="15" customHeight="1"/>
    <row r="1537" ht="15" customHeight="1"/>
    <row r="1538" ht="15" customHeight="1"/>
    <row r="1539" ht="15" customHeight="1"/>
    <row r="1540" ht="15" customHeight="1"/>
    <row r="1541" ht="15" customHeight="1"/>
    <row r="1542" ht="15" customHeight="1"/>
    <row r="1543" ht="15" customHeight="1"/>
    <row r="1544" ht="15" customHeight="1"/>
    <row r="1545" ht="15" customHeight="1"/>
    <row r="1546" ht="15" customHeight="1"/>
    <row r="1547" ht="15" customHeight="1"/>
    <row r="1548" ht="15" customHeight="1"/>
    <row r="1549" ht="15" customHeight="1"/>
    <row r="1550" ht="15" customHeight="1"/>
    <row r="1551" ht="15" customHeight="1"/>
    <row r="1552" ht="15" customHeight="1"/>
    <row r="1553" ht="15" customHeight="1"/>
    <row r="1554" ht="15" customHeight="1"/>
    <row r="1555" ht="15" customHeight="1"/>
    <row r="1556" ht="15" customHeight="1"/>
    <row r="1557" ht="15" customHeight="1"/>
    <row r="1558" ht="15" customHeight="1"/>
    <row r="1559" ht="15" customHeight="1"/>
    <row r="1560" ht="15" customHeight="1"/>
    <row r="1561" ht="15" customHeight="1"/>
    <row r="1562" ht="15" customHeight="1"/>
    <row r="1563" ht="15" customHeight="1"/>
    <row r="1564" ht="15" customHeight="1"/>
    <row r="1565" ht="15" customHeight="1"/>
    <row r="1566" ht="15" customHeight="1"/>
    <row r="1567" ht="15" customHeight="1"/>
    <row r="1568" ht="15" customHeight="1"/>
    <row r="1569" ht="15" customHeight="1"/>
    <row r="1570" ht="15" customHeight="1"/>
    <row r="1571" ht="15" customHeight="1"/>
    <row r="1572" ht="15" customHeight="1"/>
    <row r="1573" ht="15" customHeight="1"/>
    <row r="1574" ht="15" customHeight="1"/>
    <row r="1575" ht="15" customHeight="1"/>
    <row r="1576" ht="15" customHeight="1"/>
    <row r="1577" ht="15" customHeight="1"/>
    <row r="1578" ht="15" customHeight="1"/>
    <row r="1579" ht="15" customHeight="1"/>
    <row r="1580" ht="15" customHeight="1"/>
    <row r="1581" ht="15" customHeight="1"/>
    <row r="1582" ht="15" customHeight="1"/>
    <row r="1583" ht="15" customHeight="1"/>
    <row r="1584" ht="12" customHeight="1"/>
    <row r="1585" ht="12" customHeight="1"/>
    <row r="1586" ht="15" customHeight="1"/>
    <row r="1587" ht="15" customHeight="1"/>
    <row r="1588" ht="15" customHeight="1"/>
    <row r="1589" ht="15" customHeight="1"/>
    <row r="1590" ht="15" customHeight="1"/>
    <row r="1591" ht="15" customHeight="1"/>
    <row r="1592" ht="15" customHeight="1"/>
    <row r="1593" ht="15" customHeight="1"/>
    <row r="1594" ht="15" customHeight="1"/>
    <row r="1595" ht="15" customHeight="1"/>
    <row r="1596" ht="15" customHeight="1"/>
    <row r="1597" ht="15" customHeight="1"/>
    <row r="1598" ht="15" customHeight="1"/>
    <row r="1599" ht="15" customHeight="1"/>
    <row r="1600" ht="15" customHeight="1"/>
    <row r="1601" ht="15" customHeight="1"/>
    <row r="1602" ht="15" customHeight="1"/>
    <row r="1603" ht="15" customHeight="1"/>
    <row r="1604" ht="15" customHeight="1"/>
    <row r="1605" ht="15" customHeight="1"/>
    <row r="1606" ht="15" customHeight="1"/>
    <row r="1607" ht="15" customHeight="1"/>
    <row r="1608" ht="15" customHeight="1"/>
    <row r="1609" ht="15" customHeight="1"/>
    <row r="1610" ht="15" customHeight="1"/>
    <row r="1611" ht="15" customHeight="1"/>
    <row r="1612" ht="15" customHeight="1"/>
    <row r="1613" ht="15" customHeight="1"/>
    <row r="1614" ht="15" customHeight="1"/>
    <row r="1615" ht="15" customHeight="1"/>
    <row r="1616" ht="15" customHeight="1"/>
    <row r="1617" ht="15" customHeight="1"/>
    <row r="1618" ht="15" customHeight="1"/>
    <row r="1619" ht="15" customHeight="1"/>
    <row r="1620" ht="15" customHeight="1"/>
    <row r="1621" ht="15" customHeight="1"/>
    <row r="1622" ht="15" customHeight="1"/>
    <row r="1623" ht="15" customHeight="1"/>
    <row r="1624" ht="15" customHeight="1"/>
    <row r="1625" ht="15" customHeight="1"/>
    <row r="1626" ht="15" customHeight="1"/>
    <row r="1627" ht="15" customHeight="1"/>
    <row r="1628" ht="15" customHeight="1"/>
    <row r="1629" ht="15" customHeight="1"/>
    <row r="1630" ht="15" customHeight="1"/>
    <row r="1631" ht="15" customHeight="1"/>
    <row r="1632" ht="15" customHeight="1"/>
    <row r="1633" ht="15" customHeight="1"/>
    <row r="1634" ht="15" customHeight="1"/>
    <row r="1635" ht="15" customHeight="1"/>
    <row r="1636" ht="15" customHeight="1"/>
    <row r="1637" ht="15" customHeight="1"/>
    <row r="1638" ht="15" customHeight="1"/>
    <row r="1639" ht="15" customHeight="1"/>
    <row r="1640" ht="12" customHeight="1"/>
    <row r="1641" ht="12" customHeight="1"/>
    <row r="1642" ht="15" customHeight="1"/>
    <row r="1643" ht="15" customHeight="1"/>
    <row r="1644" ht="15" customHeight="1"/>
    <row r="1645" ht="15" customHeight="1"/>
    <row r="1646" ht="15" customHeight="1"/>
    <row r="1647" ht="15" customHeight="1"/>
    <row r="1648" ht="15" customHeight="1"/>
    <row r="1649" ht="15" customHeight="1"/>
    <row r="1650" ht="15" customHeight="1"/>
    <row r="1651" ht="15" customHeight="1"/>
    <row r="1652" ht="15" customHeight="1"/>
    <row r="1653" ht="15" customHeight="1"/>
    <row r="1654" ht="15" customHeight="1"/>
    <row r="1655" ht="15" customHeight="1"/>
    <row r="1656" ht="15" customHeight="1"/>
    <row r="1657" ht="15" customHeight="1"/>
    <row r="1658" ht="15" customHeight="1"/>
    <row r="1659" ht="15" customHeight="1"/>
    <row r="1660" ht="15" customHeight="1"/>
    <row r="1661" ht="15" customHeight="1"/>
    <row r="1662" ht="15" customHeight="1"/>
    <row r="1663" ht="15" customHeight="1"/>
    <row r="1664" ht="15" customHeight="1"/>
    <row r="1665" ht="15" customHeight="1"/>
    <row r="1666" ht="15" customHeight="1"/>
    <row r="1667" ht="15" customHeight="1"/>
    <row r="1668" ht="15" customHeight="1"/>
    <row r="1669" ht="15" customHeight="1"/>
    <row r="1670" ht="15" customHeight="1"/>
    <row r="1671" ht="15" customHeight="1"/>
    <row r="1672" ht="15" customHeight="1"/>
    <row r="1673" ht="15" customHeight="1"/>
    <row r="1674" ht="15" customHeight="1"/>
    <row r="1675" ht="15" customHeight="1"/>
    <row r="1676" ht="15" customHeight="1"/>
    <row r="1677" ht="15" customHeight="1"/>
    <row r="1678" ht="15" customHeight="1"/>
    <row r="1679" ht="15" customHeight="1"/>
    <row r="1680" ht="15" customHeight="1"/>
    <row r="1681" ht="15" customHeight="1"/>
    <row r="1682" ht="15" customHeight="1"/>
    <row r="1683" ht="15" customHeight="1"/>
    <row r="1684" ht="15" customHeight="1"/>
    <row r="1685" ht="15" customHeight="1"/>
    <row r="1686" ht="15" customHeight="1"/>
    <row r="1687" ht="15" customHeight="1"/>
    <row r="1688" ht="15" customHeight="1"/>
    <row r="1689" ht="15" customHeight="1"/>
    <row r="1690" ht="15" customHeight="1"/>
    <row r="1691" ht="15" customHeight="1"/>
    <row r="1692" ht="15" customHeight="1"/>
    <row r="1693" ht="15" customHeight="1"/>
    <row r="1694" ht="15" customHeight="1"/>
    <row r="1695" ht="15" customHeight="1"/>
    <row r="1696" ht="12" customHeight="1"/>
    <row r="1697" ht="12" customHeight="1"/>
    <row r="1698" ht="15" customHeight="1"/>
    <row r="1699" ht="15" customHeight="1"/>
    <row r="1700" ht="15" customHeight="1"/>
    <row r="1701" ht="15" customHeight="1"/>
    <row r="1702" ht="15" customHeight="1"/>
    <row r="1703" ht="15" customHeight="1"/>
    <row r="1704" ht="15" customHeight="1"/>
    <row r="1705" ht="15" customHeight="1"/>
    <row r="1706" ht="15" customHeight="1"/>
    <row r="1707" ht="15" customHeight="1"/>
    <row r="1708" ht="15" customHeight="1"/>
    <row r="1709" ht="15" customHeight="1"/>
    <row r="1710" ht="15" customHeight="1"/>
    <row r="1711" ht="15" customHeight="1"/>
    <row r="1712" ht="15" customHeight="1"/>
    <row r="1713" ht="15" customHeight="1"/>
    <row r="1714" ht="12" customHeight="1"/>
    <row r="1715" ht="12" customHeight="1"/>
    <row r="1716" ht="12" customHeight="1"/>
    <row r="1717" ht="12" customHeight="1"/>
    <row r="1718" ht="12" customHeight="1"/>
    <row r="1719" ht="12" customHeight="1"/>
    <row r="1720" ht="12" customHeight="1"/>
    <row r="1721" ht="12" customHeight="1"/>
    <row r="1722" ht="12" customHeight="1"/>
    <row r="1723" ht="12" customHeight="1"/>
    <row r="1724" ht="12" customHeight="1"/>
    <row r="1725" ht="15" customHeight="1"/>
    <row r="1726" ht="15" customHeight="1"/>
    <row r="1727" ht="15" customHeight="1"/>
    <row r="1728" ht="15" customHeight="1"/>
    <row r="1729" ht="15" customHeight="1"/>
    <row r="1730" ht="15" customHeight="1"/>
    <row r="1731" ht="12" customHeight="1"/>
    <row r="1732" ht="15" customHeight="1"/>
    <row r="1733" ht="15" customHeight="1"/>
    <row r="1734" ht="15" customHeight="1"/>
    <row r="1735" ht="15" customHeight="1"/>
    <row r="1736" ht="15" customHeight="1"/>
    <row r="1737" ht="15" customHeight="1"/>
    <row r="1738" ht="15" customHeight="1"/>
    <row r="1739" ht="15" customHeight="1"/>
    <row r="1740" ht="15" customHeight="1"/>
    <row r="1741" ht="15" customHeight="1"/>
    <row r="1742" ht="15" customHeight="1"/>
    <row r="1743" ht="15" customHeight="1"/>
    <row r="1744" ht="15" customHeight="1"/>
    <row r="1745" ht="15" customHeight="1"/>
    <row r="1746" ht="15" customHeight="1"/>
    <row r="1747" ht="15" customHeight="1"/>
    <row r="1748" ht="15" customHeight="1"/>
    <row r="1749" ht="15" customHeight="1"/>
    <row r="1750" ht="15" customHeight="1"/>
    <row r="1751" ht="15" customHeight="1"/>
    <row r="1752" ht="15" customHeight="1"/>
    <row r="1753" ht="15" customHeight="1"/>
    <row r="1754" ht="15" customHeight="1"/>
    <row r="1755" ht="15" customHeight="1"/>
    <row r="1756" ht="15" customHeight="1"/>
    <row r="1757" ht="15" customHeight="1"/>
    <row r="1758" ht="15" customHeight="1"/>
    <row r="1759" ht="15" customHeight="1"/>
    <row r="1760" ht="15" customHeight="1"/>
    <row r="1761" ht="15" customHeight="1"/>
    <row r="1762" ht="15" customHeight="1"/>
    <row r="1763" ht="15" customHeight="1"/>
    <row r="1764" ht="15" customHeight="1"/>
    <row r="1765" ht="15" customHeight="1"/>
    <row r="1766" ht="15" customHeight="1"/>
    <row r="1767" ht="12" customHeight="1"/>
    <row r="1768" ht="15" customHeight="1"/>
    <row r="1769" ht="15" customHeight="1"/>
    <row r="1770" ht="15" customHeight="1"/>
    <row r="1771" ht="15" customHeight="1"/>
    <row r="1772" ht="15" customHeight="1"/>
    <row r="1773" ht="15" customHeight="1"/>
    <row r="1774" ht="15" customHeight="1"/>
    <row r="1775" ht="15" customHeight="1"/>
    <row r="1776" ht="15" customHeight="1"/>
    <row r="1777" ht="15" customHeight="1"/>
    <row r="1778" ht="15" customHeight="1"/>
    <row r="1779" ht="15" customHeight="1"/>
    <row r="1780" ht="15" customHeight="1"/>
    <row r="1781" ht="15" customHeight="1"/>
    <row r="1782" ht="15" customHeight="1"/>
    <row r="1783" ht="15" customHeight="1"/>
    <row r="1784" ht="15" customHeight="1"/>
    <row r="1785" ht="15" customHeight="1"/>
    <row r="1786" ht="15" customHeight="1"/>
    <row r="1787" ht="15" customHeight="1"/>
    <row r="1788" ht="15" customHeight="1"/>
    <row r="1789" ht="15" customHeight="1"/>
    <row r="1790" ht="15" customHeight="1"/>
    <row r="1791" ht="15" customHeight="1"/>
    <row r="1792" ht="15" customHeight="1"/>
    <row r="1793" ht="15" customHeight="1"/>
    <row r="1794" ht="15" customHeight="1"/>
    <row r="1795" ht="15" customHeight="1"/>
    <row r="1796" ht="15" customHeight="1"/>
    <row r="1797" ht="15" customHeight="1"/>
    <row r="1798" ht="15" customHeight="1"/>
    <row r="1799" ht="15" customHeight="1"/>
    <row r="1800" ht="15" customHeight="1"/>
    <row r="1801" ht="15" customHeight="1"/>
    <row r="1802" ht="15" customHeight="1"/>
    <row r="1803" ht="15" customHeight="1"/>
    <row r="1804" ht="15" customHeight="1"/>
    <row r="1805" ht="15" customHeight="1"/>
    <row r="1806" ht="15" customHeight="1"/>
    <row r="1807" ht="15" customHeight="1"/>
    <row r="1808" ht="15" customHeight="1"/>
    <row r="1809" ht="15" customHeight="1"/>
    <row r="1810" ht="15" customHeight="1"/>
    <row r="1811" ht="15" customHeight="1"/>
    <row r="1812" ht="15" customHeight="1"/>
    <row r="1813" ht="12" customHeight="1"/>
    <row r="1814" ht="15" customHeight="1"/>
    <row r="1815" ht="15" customHeight="1"/>
    <row r="1816" ht="15" customHeight="1"/>
    <row r="1817" ht="15" customHeight="1"/>
    <row r="1818" ht="15" customHeight="1"/>
    <row r="1819" ht="15" customHeight="1"/>
    <row r="1820" ht="15" customHeight="1"/>
    <row r="1821" ht="15" customHeight="1"/>
    <row r="1822" ht="15" customHeight="1"/>
    <row r="1823" ht="15" customHeight="1"/>
    <row r="1824" ht="15" customHeight="1"/>
    <row r="1825" ht="15" customHeight="1"/>
    <row r="1826" ht="15" customHeight="1"/>
    <row r="1827" ht="15" customHeight="1"/>
    <row r="1828" ht="15" customHeight="1"/>
    <row r="1829" ht="15" customHeight="1"/>
    <row r="1830" ht="15" customHeight="1"/>
    <row r="1831" ht="15" customHeight="1"/>
    <row r="1832" ht="15" customHeight="1"/>
    <row r="1833" ht="15" customHeight="1"/>
    <row r="1834" ht="15" customHeight="1"/>
    <row r="1835" ht="15" customHeight="1"/>
    <row r="1836" ht="15" customHeight="1"/>
    <row r="1837" ht="15" customHeight="1"/>
    <row r="1838" ht="15" customHeight="1"/>
    <row r="1839" ht="15" customHeight="1"/>
    <row r="1840" ht="15" customHeight="1"/>
    <row r="1841" ht="15" customHeight="1"/>
    <row r="1842" ht="15" customHeight="1"/>
    <row r="1843" ht="15" customHeight="1"/>
    <row r="1844" ht="15" customHeight="1"/>
    <row r="1845" ht="15" customHeight="1"/>
    <row r="1846" ht="15" customHeight="1"/>
    <row r="1847" ht="15" customHeight="1"/>
    <row r="1848" ht="15" customHeight="1"/>
    <row r="1849" ht="12" customHeight="1"/>
    <row r="1850" ht="15" customHeight="1"/>
    <row r="1851" ht="15" customHeight="1"/>
    <row r="1852" ht="15" customHeight="1"/>
    <row r="1853" ht="15" customHeight="1"/>
    <row r="1854" ht="15" customHeight="1"/>
    <row r="1855" ht="15" customHeight="1"/>
    <row r="1856" ht="15" customHeight="1"/>
    <row r="1857" ht="15" customHeight="1"/>
    <row r="1858" ht="15" customHeight="1"/>
    <row r="1859" ht="15" customHeight="1"/>
    <row r="1860" ht="15" customHeight="1"/>
    <row r="1861" ht="15" customHeight="1"/>
    <row r="1862" ht="15" customHeight="1"/>
    <row r="1863" ht="15" customHeight="1"/>
    <row r="1864" ht="15" customHeight="1"/>
    <row r="1865" ht="15" customHeight="1"/>
    <row r="1866" ht="15" customHeight="1"/>
    <row r="1867" ht="15" customHeight="1"/>
    <row r="1868" ht="15" customHeight="1"/>
    <row r="1869" ht="15" customHeight="1"/>
    <row r="1870" ht="15" customHeight="1"/>
    <row r="1871" ht="15" customHeight="1"/>
    <row r="1872" ht="15" customHeight="1"/>
    <row r="1873" ht="15" customHeight="1"/>
    <row r="1874" ht="15" customHeight="1"/>
    <row r="1875" ht="15" customHeight="1"/>
    <row r="1876" ht="15" customHeight="1"/>
    <row r="1877" ht="15" customHeight="1"/>
    <row r="1878" ht="15" customHeight="1"/>
    <row r="1879" ht="15" customHeight="1"/>
    <row r="1880" ht="15" customHeight="1"/>
    <row r="1881" ht="15" customHeight="1"/>
    <row r="1882" ht="15" customHeight="1"/>
    <row r="1883" ht="15" customHeight="1"/>
    <row r="1884" ht="15" customHeight="1"/>
    <row r="1885" ht="12" customHeight="1"/>
    <row r="1886" ht="15" customHeight="1"/>
    <row r="1887" ht="12" customHeight="1"/>
    <row r="1888" ht="15" customHeight="1"/>
    <row r="1889" ht="15" customHeight="1"/>
    <row r="1890" ht="15" customHeight="1"/>
    <row r="1891" ht="15" customHeight="1"/>
    <row r="1892" ht="15" customHeight="1"/>
    <row r="1893" ht="15" customHeight="1"/>
    <row r="1894" ht="15" customHeight="1"/>
    <row r="1895" ht="15" customHeight="1"/>
    <row r="1896" ht="15" customHeight="1"/>
    <row r="1897" ht="15" customHeight="1"/>
    <row r="1898" ht="15" customHeight="1"/>
    <row r="1899" ht="15" customHeight="1"/>
    <row r="1900" ht="15" customHeight="1"/>
    <row r="1901" ht="15" customHeight="1"/>
    <row r="1902" ht="15" customHeight="1"/>
    <row r="1903" ht="15" customHeight="1"/>
    <row r="1904" ht="15" customHeight="1"/>
    <row r="1905" ht="15" customHeight="1"/>
    <row r="1906" ht="15" customHeight="1"/>
    <row r="1907" ht="15" customHeight="1"/>
    <row r="1908" ht="15" customHeight="1"/>
    <row r="1909" ht="15" customHeight="1"/>
    <row r="1910" ht="15" customHeight="1"/>
    <row r="1911" ht="15" customHeight="1"/>
    <row r="1912" ht="15" customHeight="1"/>
    <row r="1913" ht="15" customHeight="1"/>
    <row r="1914" ht="15" customHeight="1"/>
    <row r="1915" ht="15" customHeight="1"/>
    <row r="1916" ht="15" customHeight="1"/>
    <row r="1917" ht="15" customHeight="1"/>
    <row r="1918" ht="15" customHeight="1"/>
    <row r="1919" ht="15" customHeight="1"/>
    <row r="1920" ht="15" customHeight="1"/>
    <row r="1921" ht="15" customHeight="1"/>
    <row r="1922" ht="15" customHeight="1"/>
    <row r="1923" ht="12" customHeight="1"/>
    <row r="1924" ht="15" customHeight="1"/>
    <row r="1925" ht="15" customHeight="1"/>
    <row r="1926" ht="15" customHeight="1"/>
    <row r="1927" ht="15" customHeight="1"/>
    <row r="1928" ht="15" customHeight="1"/>
    <row r="1929" ht="15" customHeight="1"/>
    <row r="1930" ht="15" customHeight="1"/>
    <row r="1931" ht="15" customHeight="1"/>
    <row r="1932" ht="15" customHeight="1"/>
    <row r="1933" ht="15" customHeight="1"/>
    <row r="1934" ht="15" customHeight="1"/>
    <row r="1935" ht="15" customHeight="1"/>
    <row r="1936" ht="15" customHeight="1"/>
    <row r="1937" ht="15" customHeight="1"/>
    <row r="1938" ht="15" customHeight="1"/>
    <row r="1939" ht="15" customHeight="1"/>
    <row r="1940" ht="15" customHeight="1"/>
    <row r="1941" ht="15" customHeight="1"/>
    <row r="1942" ht="15" customHeight="1"/>
    <row r="1943" ht="15" customHeight="1"/>
    <row r="1944" ht="15" customHeight="1"/>
    <row r="1945" ht="15" customHeight="1"/>
    <row r="1946" ht="15" customHeight="1"/>
    <row r="1947" ht="15" customHeight="1"/>
    <row r="1948" ht="15" customHeight="1"/>
    <row r="1949" ht="15" customHeight="1"/>
    <row r="1950" ht="15" customHeight="1"/>
    <row r="1951" ht="15" customHeight="1"/>
    <row r="1952" ht="15" customHeight="1"/>
    <row r="1953" ht="15" customHeight="1"/>
    <row r="1954" ht="15" customHeight="1"/>
    <row r="1955" ht="15" customHeight="1"/>
    <row r="1956" ht="15" customHeight="1"/>
    <row r="1957" ht="15" customHeight="1"/>
    <row r="1958" ht="15" customHeight="1"/>
    <row r="1959" ht="12" customHeight="1"/>
    <row r="1960" ht="12" customHeight="1"/>
    <row r="1961" ht="12" customHeight="1"/>
    <row r="1962" ht="15" customHeight="1"/>
    <row r="1963" ht="15" customHeight="1"/>
    <row r="1964" ht="15" customHeight="1"/>
    <row r="1965" ht="15" customHeight="1"/>
    <row r="1966" ht="15" customHeight="1"/>
    <row r="1967" ht="15" customHeight="1"/>
    <row r="1968" ht="15" customHeight="1"/>
    <row r="1969" ht="15" customHeight="1"/>
    <row r="1970" ht="12" customHeight="1"/>
    <row r="1971" ht="15" customHeight="1"/>
    <row r="1972" ht="15" customHeight="1"/>
    <row r="1973" ht="15" customHeight="1"/>
    <row r="1974" ht="15" customHeight="1"/>
    <row r="1975" ht="15" customHeight="1"/>
    <row r="1976" ht="15" customHeight="1"/>
    <row r="1977" ht="15" customHeight="1"/>
    <row r="1978" ht="15" customHeight="1"/>
    <row r="1979" ht="12" customHeight="1"/>
    <row r="1980" ht="15" customHeight="1"/>
    <row r="1981" ht="15" customHeight="1"/>
    <row r="1982" ht="15" customHeight="1"/>
    <row r="1983" ht="15" customHeight="1"/>
    <row r="1984" ht="15" customHeight="1"/>
    <row r="1985" ht="15" customHeight="1"/>
    <row r="1986" ht="15" customHeight="1"/>
    <row r="1987" ht="15" customHeight="1"/>
    <row r="1988" ht="15" customHeight="1"/>
    <row r="1989" ht="15" customHeight="1"/>
    <row r="1990" ht="15" customHeight="1"/>
    <row r="1991" ht="15" customHeight="1"/>
    <row r="1992" ht="15" customHeight="1"/>
    <row r="1993" ht="15" customHeight="1"/>
    <row r="1994" ht="15" customHeight="1"/>
    <row r="1995" ht="15" customHeight="1"/>
    <row r="1996" ht="15" customHeight="1"/>
    <row r="1997" ht="15" customHeight="1"/>
    <row r="1998" ht="12" customHeight="1"/>
    <row r="1999" ht="12" customHeight="1"/>
    <row r="2000" ht="12" customHeight="1"/>
    <row r="2001" ht="12" customHeight="1"/>
    <row r="2002" ht="12" customHeight="1"/>
    <row r="2003" ht="12" customHeight="1"/>
    <row r="2004" ht="12" customHeight="1"/>
    <row r="2005" ht="12" customHeight="1"/>
    <row r="2006" ht="12" customHeight="1"/>
    <row r="2007" ht="12" customHeight="1"/>
    <row r="2008" ht="12" customHeight="1"/>
    <row r="2009" ht="12" customHeight="1"/>
    <row r="2010" ht="12" customHeight="1"/>
    <row r="2011" ht="12" customHeight="1"/>
    <row r="2012" ht="12" customHeight="1"/>
    <row r="2013" ht="12" customHeight="1"/>
    <row r="2014" ht="12" customHeight="1"/>
    <row r="2015" ht="12" customHeight="1"/>
    <row r="2016" ht="12" customHeight="1"/>
    <row r="2017" ht="12" customHeight="1"/>
    <row r="2018" ht="12" customHeight="1"/>
    <row r="2019" ht="12" customHeight="1"/>
    <row r="2020" ht="12" customHeight="1"/>
    <row r="2021" ht="12" customHeight="1"/>
    <row r="2022" ht="12" customHeight="1"/>
    <row r="2023" ht="12" customHeight="1"/>
    <row r="2024" ht="12" customHeight="1"/>
    <row r="2025" ht="12" customHeight="1"/>
    <row r="2026" ht="12" customHeight="1"/>
    <row r="2027" ht="12" customHeight="1"/>
    <row r="2028" ht="12" customHeight="1"/>
    <row r="2029" ht="12" customHeight="1"/>
    <row r="2030" ht="12" customHeight="1"/>
    <row r="2031" ht="12" customHeight="1"/>
    <row r="2032" ht="12" customHeight="1"/>
    <row r="2033" ht="12" customHeight="1"/>
    <row r="2034" ht="12" customHeight="1"/>
    <row r="2035" ht="12" customHeight="1"/>
    <row r="2036" ht="12" customHeight="1"/>
    <row r="2037" ht="12" customHeight="1"/>
    <row r="2038" ht="12" customHeight="1"/>
    <row r="2039" ht="12" customHeight="1"/>
    <row r="2040" ht="12" customHeight="1"/>
    <row r="2041" ht="12" customHeight="1"/>
    <row r="2042" ht="12" customHeight="1"/>
    <row r="2043" ht="12" customHeight="1"/>
    <row r="2044" ht="12" customHeight="1"/>
    <row r="2045" ht="12" customHeight="1"/>
    <row r="2046" ht="12" customHeight="1"/>
    <row r="2047" ht="12" customHeight="1"/>
    <row r="2048" ht="12" customHeight="1"/>
    <row r="2049" ht="12" customHeight="1"/>
    <row r="2050" ht="15" customHeight="1"/>
    <row r="2051" ht="15" customHeight="1"/>
    <row r="2052" ht="15" customHeight="1"/>
    <row r="2053" ht="15" customHeight="1"/>
    <row r="2054" ht="15" customHeight="1"/>
    <row r="2055" ht="15" customHeight="1"/>
    <row r="2056" ht="15" customHeight="1"/>
    <row r="2057" ht="15" customHeight="1"/>
    <row r="2058" ht="15" customHeight="1"/>
    <row r="2059" ht="15" customHeight="1"/>
    <row r="2060" ht="15" customHeight="1"/>
    <row r="2061" ht="15" customHeight="1"/>
    <row r="2062" ht="15" customHeight="1"/>
    <row r="2063" ht="15" customHeight="1"/>
    <row r="2064" ht="15" customHeight="1"/>
    <row r="2065" ht="15" customHeight="1"/>
    <row r="2066" ht="15" customHeight="1"/>
    <row r="2067" ht="15" customHeight="1"/>
    <row r="2068" ht="15" customHeight="1"/>
    <row r="2069" ht="15" customHeight="1"/>
    <row r="2070" ht="15" customHeight="1"/>
    <row r="2071" ht="15" customHeight="1"/>
    <row r="2072" ht="15" customHeight="1"/>
    <row r="2073" ht="15" customHeight="1"/>
    <row r="2074" ht="15" customHeight="1"/>
    <row r="2075" ht="15" customHeight="1"/>
    <row r="2076" ht="15" customHeight="1"/>
    <row r="2077" ht="15" customHeight="1"/>
    <row r="2078" ht="15" customHeight="1"/>
    <row r="2079" ht="15" customHeight="1"/>
    <row r="2080" ht="15" customHeight="1"/>
    <row r="2081" ht="15" customHeight="1"/>
    <row r="2082" ht="15" customHeight="1"/>
    <row r="2083" ht="15" customHeight="1"/>
    <row r="2084" ht="15" customHeight="1"/>
    <row r="2085" ht="15" customHeight="1"/>
    <row r="2086" ht="15" customHeight="1"/>
    <row r="2087" ht="15" customHeight="1"/>
    <row r="2088" ht="15" customHeight="1"/>
    <row r="2089" ht="15" customHeight="1"/>
    <row r="2090" ht="15" customHeight="1"/>
    <row r="2091" ht="15" customHeight="1"/>
    <row r="2092" ht="15" customHeight="1"/>
    <row r="2093" ht="15" customHeight="1"/>
    <row r="2094" ht="15" customHeight="1"/>
    <row r="2095" ht="15" customHeight="1"/>
    <row r="2096" ht="15" customHeight="1"/>
    <row r="2097" ht="15" customHeight="1"/>
    <row r="2098" ht="15" customHeight="1"/>
    <row r="2099" ht="15" customHeight="1"/>
    <row r="2100" ht="15" customHeight="1"/>
    <row r="2101" ht="15" customHeight="1"/>
    <row r="2102" ht="15" customHeight="1"/>
    <row r="2103" ht="15" customHeight="1"/>
    <row r="2104" ht="15" customHeight="1"/>
    <row r="2105" ht="15" customHeight="1"/>
    <row r="2106" ht="15" customHeight="1"/>
    <row r="2107" ht="15" customHeight="1"/>
    <row r="2108" ht="15" customHeight="1"/>
    <row r="2109" ht="15" customHeight="1"/>
    <row r="2110" ht="15" customHeight="1"/>
    <row r="2111" ht="15" customHeight="1"/>
    <row r="2112" ht="15" customHeight="1"/>
    <row r="2113" ht="15" customHeight="1"/>
    <row r="2114" ht="15" customHeight="1"/>
    <row r="2115" ht="15" customHeight="1"/>
    <row r="2116" ht="15" customHeight="1"/>
    <row r="2117" ht="15" customHeight="1"/>
    <row r="2118" ht="15" customHeight="1"/>
    <row r="2119" ht="15" customHeight="1"/>
    <row r="2120" ht="15" customHeight="1"/>
    <row r="2121" ht="15" customHeight="1"/>
    <row r="2122" ht="15" customHeight="1"/>
    <row r="2123" ht="15" customHeight="1"/>
    <row r="2124" ht="15" customHeight="1"/>
    <row r="2125" ht="15" customHeight="1"/>
    <row r="2126" ht="15" customHeight="1"/>
    <row r="2127" ht="15" customHeight="1"/>
    <row r="2128" ht="15" customHeight="1"/>
    <row r="2129" ht="15" customHeight="1"/>
    <row r="2130" ht="15" customHeight="1"/>
    <row r="2131" ht="15" customHeight="1"/>
    <row r="2132" ht="15" customHeight="1"/>
    <row r="2133" ht="15" customHeight="1"/>
    <row r="2134" ht="15" customHeight="1"/>
    <row r="2135" ht="15" customHeight="1"/>
    <row r="2136" ht="15" customHeight="1"/>
    <row r="2137" ht="15" customHeight="1"/>
    <row r="2138" ht="15" customHeight="1"/>
    <row r="2139" ht="15" customHeight="1"/>
    <row r="2140" ht="15" customHeight="1"/>
    <row r="2141" ht="15" customHeight="1"/>
    <row r="2142" ht="15" customHeight="1"/>
    <row r="2143" ht="15" customHeight="1"/>
    <row r="2144" ht="12" customHeight="1"/>
    <row r="2145" ht="15" customHeight="1"/>
    <row r="2146" ht="15" customHeight="1"/>
    <row r="2147" ht="15" customHeight="1"/>
    <row r="2148" ht="15" customHeight="1"/>
    <row r="2149" ht="15" customHeight="1"/>
    <row r="2150" ht="15" customHeight="1"/>
    <row r="2151" ht="15" customHeight="1"/>
    <row r="2152" ht="15" customHeight="1"/>
    <row r="2153" ht="15" customHeight="1"/>
    <row r="2154" ht="15" customHeight="1"/>
    <row r="2155" ht="15" customHeight="1"/>
    <row r="2156" ht="15" customHeight="1"/>
    <row r="2157" ht="15" customHeight="1"/>
    <row r="2158" ht="15" customHeight="1"/>
    <row r="2159" ht="15" customHeight="1"/>
    <row r="2160" ht="15" customHeight="1"/>
    <row r="2161" ht="15" customHeight="1"/>
    <row r="2162" ht="15" customHeight="1"/>
    <row r="2163" ht="15" customHeight="1"/>
    <row r="2164" ht="15" customHeight="1"/>
    <row r="2165" ht="15" customHeight="1"/>
    <row r="2166" ht="15" customHeight="1"/>
    <row r="2167" ht="15" customHeight="1"/>
    <row r="2168" ht="15" customHeight="1"/>
    <row r="2169" ht="15" customHeight="1"/>
    <row r="2170" ht="15" customHeight="1"/>
    <row r="2171" ht="15" customHeight="1"/>
    <row r="2172" ht="15" customHeight="1"/>
    <row r="2173" ht="15" customHeight="1"/>
    <row r="2174" ht="15" customHeight="1"/>
    <row r="2175" ht="15" customHeight="1"/>
    <row r="2176" ht="15" customHeight="1"/>
    <row r="2177" ht="15" customHeight="1"/>
    <row r="2178" ht="15" customHeight="1"/>
    <row r="2179" ht="15" customHeight="1"/>
    <row r="2180" ht="15" customHeight="1"/>
    <row r="2181" ht="15" customHeight="1"/>
    <row r="2182" ht="15" customHeight="1"/>
    <row r="2183" ht="15" customHeight="1"/>
    <row r="2184" ht="15" customHeight="1"/>
    <row r="2185" ht="15" customHeight="1"/>
    <row r="2186" ht="15" customHeight="1"/>
    <row r="2187" ht="15" customHeight="1"/>
    <row r="2188" ht="15" customHeight="1"/>
    <row r="2189" ht="15" customHeight="1"/>
    <row r="2190" ht="15" customHeight="1"/>
    <row r="2191" ht="15" customHeight="1"/>
    <row r="2192" ht="15" customHeight="1"/>
    <row r="2193" ht="15" customHeight="1"/>
    <row r="2194" ht="15" customHeight="1"/>
    <row r="2195" ht="15" customHeight="1"/>
    <row r="2196" ht="15" customHeight="1"/>
    <row r="2197" ht="15" customHeight="1"/>
    <row r="2198" ht="15" customHeight="1"/>
    <row r="2199" ht="15" customHeight="1"/>
    <row r="2200" ht="15" customHeight="1"/>
    <row r="2201" ht="15" customHeight="1"/>
    <row r="2202" ht="15" customHeight="1"/>
    <row r="2203" ht="15" customHeight="1"/>
    <row r="2204" ht="15" customHeight="1"/>
    <row r="2205" ht="15" customHeight="1"/>
    <row r="2206" ht="15" customHeight="1"/>
    <row r="2207" ht="15" customHeight="1"/>
    <row r="2208" ht="15" customHeight="1"/>
    <row r="2209" ht="15" customHeight="1"/>
    <row r="2210" ht="15" customHeight="1"/>
    <row r="2211" ht="15" customHeight="1"/>
    <row r="2212" ht="15" customHeight="1"/>
    <row r="2213" ht="15" customHeight="1"/>
    <row r="2214" ht="15" customHeight="1"/>
    <row r="2215" ht="15" customHeight="1"/>
    <row r="2216" ht="15" customHeight="1"/>
    <row r="2217" ht="15" customHeight="1"/>
    <row r="2218" ht="15" customHeight="1"/>
    <row r="2219" ht="15" customHeight="1"/>
    <row r="2220" ht="15" customHeight="1"/>
    <row r="2221" ht="15" customHeight="1"/>
    <row r="2222" ht="15" customHeight="1"/>
    <row r="2223" ht="15" customHeight="1"/>
    <row r="2224" ht="15" customHeight="1"/>
    <row r="2225" ht="15" customHeight="1"/>
    <row r="2226" ht="15" customHeight="1"/>
    <row r="2227" ht="15" customHeight="1"/>
    <row r="2228" ht="15" customHeight="1"/>
    <row r="2229" ht="15" customHeight="1"/>
    <row r="2230" ht="15" customHeight="1"/>
    <row r="2231" ht="15" customHeight="1"/>
    <row r="2232" ht="15" customHeight="1"/>
    <row r="2233" ht="15" customHeight="1"/>
    <row r="2234" ht="12" customHeight="1"/>
    <row r="2235" ht="15" customHeight="1"/>
    <row r="2236" ht="15" customHeight="1"/>
    <row r="2237" ht="15" customHeight="1"/>
    <row r="2238" ht="15" customHeight="1"/>
    <row r="2239" ht="15" customHeight="1"/>
    <row r="2240" ht="15" customHeight="1"/>
    <row r="2241" ht="15" customHeight="1"/>
    <row r="2242" ht="15" customHeight="1"/>
    <row r="2243" ht="15" customHeight="1"/>
    <row r="2244" ht="15" customHeight="1"/>
    <row r="2245" ht="15" customHeight="1"/>
    <row r="2246" ht="15" customHeight="1"/>
    <row r="2247" ht="15" customHeight="1"/>
    <row r="2248" ht="15" customHeight="1"/>
    <row r="2249" ht="15" customHeight="1"/>
    <row r="2250" ht="15" customHeight="1"/>
    <row r="2251" ht="15" customHeight="1"/>
    <row r="2252" ht="15" customHeight="1"/>
    <row r="2253" ht="15" customHeight="1"/>
    <row r="2254" ht="15" customHeight="1"/>
    <row r="2255" ht="15" customHeight="1"/>
    <row r="2256" ht="15" customHeight="1"/>
    <row r="2257" ht="15" customHeight="1"/>
    <row r="2258" ht="15" customHeight="1"/>
    <row r="2259" ht="15" customHeight="1"/>
    <row r="2260" ht="15" customHeight="1"/>
    <row r="2261" ht="15" customHeight="1"/>
    <row r="2262" ht="15" customHeight="1"/>
    <row r="2263" ht="15" customHeight="1"/>
    <row r="2264" ht="15" customHeight="1"/>
    <row r="2265" ht="15" customHeight="1"/>
    <row r="2266" ht="15" customHeight="1"/>
    <row r="2267" ht="15" customHeight="1"/>
    <row r="2268" ht="15" customHeight="1"/>
    <row r="2269" ht="15" customHeight="1"/>
    <row r="2270" ht="15" customHeight="1"/>
    <row r="2271" ht="15" customHeight="1"/>
    <row r="2272" ht="15" customHeight="1"/>
    <row r="2273" ht="15" customHeight="1"/>
    <row r="2274" ht="15" customHeight="1"/>
    <row r="2275" ht="15" customHeight="1"/>
    <row r="2276" ht="15" customHeight="1"/>
    <row r="2277" ht="15" customHeight="1"/>
    <row r="2278" ht="15" customHeight="1"/>
    <row r="2279" ht="15" customHeight="1"/>
    <row r="2280" ht="15" customHeight="1"/>
    <row r="2281" ht="15" customHeight="1"/>
    <row r="2282" ht="15" customHeight="1"/>
    <row r="2283" ht="15" customHeight="1"/>
    <row r="2284" ht="15" customHeight="1"/>
    <row r="2285" ht="15" customHeight="1"/>
    <row r="2286" ht="15" customHeight="1"/>
    <row r="2287" ht="15" customHeight="1"/>
    <row r="2288" ht="15" customHeight="1"/>
    <row r="2289" ht="15" customHeight="1"/>
    <row r="2290" ht="15" customHeight="1"/>
    <row r="2291" ht="15" customHeight="1"/>
    <row r="2292" ht="15" customHeight="1"/>
    <row r="2293" ht="15" customHeight="1"/>
    <row r="2294" ht="15" customHeight="1"/>
    <row r="2295" ht="15" customHeight="1"/>
    <row r="2296" ht="15" customHeight="1"/>
    <row r="2297" ht="15" customHeight="1"/>
    <row r="2298" ht="15" customHeight="1"/>
    <row r="2299" ht="15" customHeight="1"/>
    <row r="2300" ht="15" customHeight="1"/>
    <row r="2301" ht="15" customHeight="1"/>
    <row r="2302" ht="15" customHeight="1"/>
    <row r="2303" ht="15" customHeight="1"/>
    <row r="2304" ht="15" customHeight="1"/>
    <row r="2305" ht="15" customHeight="1"/>
    <row r="2306" ht="15" customHeight="1"/>
    <row r="2307" ht="15" customHeight="1"/>
    <row r="2308" ht="15" customHeight="1"/>
    <row r="2309" ht="15" customHeight="1"/>
    <row r="2310" ht="15" customHeight="1"/>
    <row r="2311" ht="15" customHeight="1"/>
    <row r="2312" ht="15" customHeight="1"/>
    <row r="2313" ht="15" customHeight="1"/>
    <row r="2314" ht="15" customHeight="1"/>
    <row r="2315" ht="15" customHeight="1"/>
    <row r="2316" ht="15" customHeight="1"/>
    <row r="2317" ht="15" customHeight="1"/>
    <row r="2318" ht="15" customHeight="1"/>
    <row r="2319" ht="15" customHeight="1"/>
    <row r="2320" ht="15" customHeight="1"/>
    <row r="2321" ht="15" customHeight="1"/>
    <row r="2322" ht="15" customHeight="1"/>
    <row r="2323" ht="15" customHeight="1"/>
    <row r="2324" ht="15" customHeight="1"/>
    <row r="2325" ht="15" customHeight="1"/>
    <row r="2326" ht="15" customHeight="1"/>
    <row r="2327" ht="12" customHeight="1"/>
    <row r="2328" ht="12" customHeight="1"/>
    <row r="2329" ht="12" customHeight="1"/>
    <row r="2330" ht="12" customHeight="1"/>
    <row r="2331" ht="12" customHeight="1"/>
    <row r="2332" ht="12" customHeight="1"/>
    <row r="2333" ht="12" customHeight="1"/>
    <row r="2334" ht="12" customHeight="1"/>
    <row r="2335" ht="12" customHeight="1"/>
    <row r="2336" ht="12" customHeight="1"/>
    <row r="2337" ht="12" customHeight="1"/>
    <row r="2338" ht="12" customHeight="1"/>
    <row r="2339" ht="12" customHeight="1"/>
    <row r="2340" ht="12" customHeight="1"/>
    <row r="2341" ht="12" customHeight="1"/>
    <row r="2342" ht="12" customHeight="1"/>
    <row r="2343" ht="12" customHeight="1"/>
    <row r="2344" ht="12" customHeight="1"/>
    <row r="2345" ht="12" customHeight="1"/>
    <row r="2346" ht="12" customHeight="1"/>
    <row r="2347" ht="12" customHeight="1"/>
    <row r="2348" ht="12" customHeight="1"/>
    <row r="2349" ht="12" customHeight="1"/>
    <row r="2350" ht="15" customHeight="1"/>
    <row r="2351" ht="15" customHeight="1"/>
    <row r="2352" ht="15" customHeight="1"/>
    <row r="2353" ht="15" customHeight="1"/>
    <row r="2354" ht="15" customHeight="1"/>
    <row r="2355" ht="15" customHeight="1"/>
    <row r="2356" ht="15" customHeight="1"/>
    <row r="2357" ht="15" customHeight="1"/>
    <row r="2358" ht="15" customHeight="1"/>
    <row r="2359" ht="15" customHeight="1"/>
    <row r="2360" ht="15" customHeight="1"/>
    <row r="2361" ht="15" customHeight="1"/>
    <row r="2362" ht="15" customHeight="1"/>
    <row r="2363" ht="15" customHeight="1"/>
    <row r="2364" ht="15" customHeight="1"/>
    <row r="2365" ht="15" customHeight="1"/>
    <row r="2366" ht="15" customHeight="1"/>
    <row r="2367" ht="15" customHeight="1"/>
    <row r="2368" ht="15" customHeight="1"/>
    <row r="2369" ht="15" customHeight="1"/>
    <row r="2370" ht="15" customHeight="1"/>
    <row r="2371" ht="15" customHeight="1"/>
    <row r="2372" ht="12" customHeight="1"/>
    <row r="2373" ht="15" customHeight="1"/>
    <row r="2374" ht="15" customHeight="1"/>
    <row r="2375" ht="15" customHeight="1"/>
    <row r="2376" ht="15" customHeight="1"/>
    <row r="2377" ht="15" customHeight="1"/>
    <row r="2378" ht="15" customHeight="1"/>
    <row r="2379" ht="15" customHeight="1"/>
    <row r="2380" ht="15" customHeight="1"/>
    <row r="2381" ht="15" customHeight="1"/>
    <row r="2382" ht="15" customHeight="1"/>
    <row r="2383" ht="15" customHeight="1"/>
    <row r="2384" ht="15" customHeight="1"/>
    <row r="2385" ht="15" customHeight="1"/>
    <row r="2386" ht="15" customHeight="1"/>
    <row r="2387" ht="15" customHeight="1"/>
    <row r="2388" ht="15" customHeight="1"/>
    <row r="2389" ht="15" customHeight="1"/>
    <row r="2390" ht="12" customHeight="1"/>
    <row r="2391" ht="15" customHeight="1"/>
    <row r="2392" ht="15" customHeight="1"/>
    <row r="2393" ht="15" customHeight="1"/>
    <row r="2394" ht="15" customHeight="1"/>
    <row r="2395" ht="15" customHeight="1"/>
    <row r="2396" ht="15" customHeight="1"/>
    <row r="2397" ht="15" customHeight="1"/>
    <row r="2398" ht="15" customHeight="1"/>
    <row r="2399" ht="15" customHeight="1"/>
    <row r="2400" ht="15" customHeight="1"/>
    <row r="2401" ht="15" customHeight="1"/>
    <row r="2402" ht="15" customHeight="1"/>
    <row r="2403" ht="15" customHeight="1"/>
    <row r="2404" ht="15" customHeight="1"/>
    <row r="2405" ht="15" customHeight="1"/>
    <row r="2406" ht="15" customHeight="1"/>
    <row r="2407" ht="15" customHeight="1"/>
    <row r="2408" ht="12" customHeight="1"/>
    <row r="2409" ht="15" customHeight="1"/>
    <row r="2410" ht="15" customHeight="1"/>
    <row r="2411" ht="15" customHeight="1"/>
    <row r="2412" ht="15" customHeight="1"/>
    <row r="2413" ht="15" customHeight="1"/>
    <row r="2414" ht="15" customHeight="1"/>
    <row r="2415" ht="15" customHeight="1"/>
    <row r="2416" ht="15" customHeight="1"/>
    <row r="2417" ht="15" customHeight="1"/>
    <row r="2418" ht="15" customHeight="1"/>
    <row r="2419" ht="15" customHeight="1"/>
    <row r="2420" ht="15" customHeight="1"/>
    <row r="2421" ht="15" customHeight="1"/>
    <row r="2422" ht="15" customHeight="1"/>
    <row r="2423" ht="15" customHeight="1"/>
    <row r="2424" ht="15" customHeight="1"/>
    <row r="2425" ht="15" customHeight="1"/>
    <row r="2426" ht="12" customHeight="1"/>
    <row r="2427" ht="15" customHeight="1"/>
    <row r="2428" ht="15" customHeight="1"/>
    <row r="2429" ht="15" customHeight="1"/>
    <row r="2430" ht="15" customHeight="1"/>
    <row r="2431" ht="15" customHeight="1"/>
    <row r="2432" ht="15" customHeight="1"/>
    <row r="2433" ht="15" customHeight="1"/>
    <row r="2434" ht="15" customHeight="1"/>
    <row r="2435" ht="15" customHeight="1"/>
    <row r="2436" ht="15" customHeight="1"/>
    <row r="2437" ht="15" customHeight="1"/>
    <row r="2438" ht="15" customHeight="1"/>
    <row r="2439" ht="15" customHeight="1"/>
    <row r="2440" ht="15" customHeight="1"/>
    <row r="2441" ht="15" customHeight="1"/>
    <row r="2442" ht="15" customHeight="1"/>
    <row r="2443" ht="15" customHeight="1"/>
    <row r="2444" ht="12" customHeight="1"/>
    <row r="2445" ht="15" customHeight="1"/>
    <row r="2446" ht="15" customHeight="1"/>
    <row r="2447" ht="15" customHeight="1"/>
    <row r="2448" ht="15" customHeight="1"/>
    <row r="2449" ht="15" customHeight="1"/>
    <row r="2450" ht="15" customHeight="1"/>
    <row r="2451" ht="15" customHeight="1"/>
    <row r="2452" ht="15" customHeight="1"/>
    <row r="2453" ht="15" customHeight="1"/>
    <row r="2454" ht="15" customHeight="1"/>
    <row r="2455" ht="15" customHeight="1"/>
    <row r="2456" ht="15" customHeight="1"/>
    <row r="2457" ht="15" customHeight="1"/>
    <row r="2458" ht="15" customHeight="1"/>
    <row r="2459" ht="15" customHeight="1"/>
    <row r="2460" ht="15" customHeight="1"/>
    <row r="2461" ht="15" customHeight="1"/>
    <row r="2462" ht="12" customHeight="1"/>
    <row r="2463" ht="12" customHeight="1"/>
    <row r="2464" ht="15" customHeight="1"/>
    <row r="2465" ht="15" customHeight="1"/>
    <row r="2466" ht="15" customHeight="1"/>
    <row r="2467" ht="15" customHeight="1"/>
    <row r="2468" ht="15" customHeight="1"/>
    <row r="2469" ht="15" customHeight="1"/>
    <row r="2470" ht="15" customHeight="1"/>
    <row r="2471" ht="15" customHeight="1"/>
    <row r="2472" ht="15" customHeight="1"/>
    <row r="2473" ht="15" customHeight="1"/>
    <row r="2474" ht="15" customHeight="1"/>
    <row r="2475" ht="15" customHeight="1"/>
    <row r="2476" ht="15" customHeight="1"/>
    <row r="2477" ht="15" customHeight="1"/>
    <row r="2478" ht="15" customHeight="1"/>
    <row r="2479" ht="15" customHeight="1"/>
    <row r="2480" ht="15" customHeight="1"/>
    <row r="2481" ht="12" customHeight="1"/>
    <row r="2482" ht="15" customHeight="1"/>
    <row r="2483" ht="15" customHeight="1"/>
    <row r="2484" ht="15" customHeight="1"/>
    <row r="2485" ht="15" customHeight="1"/>
    <row r="2486" ht="15" customHeight="1"/>
    <row r="2487" ht="15" customHeight="1"/>
    <row r="2488" ht="15" customHeight="1"/>
    <row r="2489" ht="15" customHeight="1"/>
    <row r="2490" ht="15" customHeight="1"/>
    <row r="2491" ht="15" customHeight="1"/>
    <row r="2492" ht="15" customHeight="1"/>
    <row r="2493" ht="15" customHeight="1"/>
    <row r="2494" ht="15" customHeight="1"/>
    <row r="2495" ht="15" customHeight="1"/>
    <row r="2496" ht="15" customHeight="1"/>
    <row r="2497" ht="15" customHeight="1"/>
    <row r="2498" ht="15" customHeight="1"/>
    <row r="2499" ht="12" customHeight="1"/>
    <row r="2500" ht="15" customHeight="1"/>
    <row r="2501" ht="15" customHeight="1"/>
    <row r="2502" ht="15" customHeight="1"/>
    <row r="2503" ht="15" customHeight="1"/>
    <row r="2504" ht="15" customHeight="1"/>
    <row r="2505" ht="15" customHeight="1"/>
    <row r="2506" ht="15" customHeight="1"/>
    <row r="2507" ht="15" customHeight="1"/>
    <row r="2508" ht="15" customHeight="1"/>
    <row r="2509" ht="15" customHeight="1"/>
    <row r="2510" ht="15" customHeight="1"/>
    <row r="2511" ht="15" customHeight="1"/>
    <row r="2512" ht="15" customHeight="1"/>
    <row r="2513" ht="15" customHeight="1"/>
    <row r="2514" ht="15" customHeight="1"/>
    <row r="2515" ht="15" customHeight="1"/>
    <row r="2516" ht="15" customHeight="1"/>
    <row r="2517" ht="12" customHeight="1"/>
    <row r="2518" ht="12" customHeight="1"/>
    <row r="2519" ht="15" customHeight="1"/>
    <row r="2520" ht="15" customHeight="1"/>
    <row r="2521" ht="15" customHeight="1"/>
    <row r="2522" ht="15" customHeight="1"/>
    <row r="2523" ht="15" customHeight="1"/>
    <row r="2524" ht="15" customHeight="1"/>
    <row r="2525" ht="15" customHeight="1"/>
    <row r="2526" ht="15" customHeight="1"/>
    <row r="2527" ht="15" customHeight="1"/>
    <row r="2528" ht="15" customHeight="1"/>
    <row r="2529" ht="15" customHeight="1"/>
    <row r="2530" ht="15" customHeight="1"/>
    <row r="2531" ht="15" customHeight="1"/>
    <row r="2532" ht="15" customHeight="1"/>
    <row r="2533" ht="15" customHeight="1"/>
    <row r="2534" ht="15" customHeight="1"/>
    <row r="2535" ht="15" customHeight="1"/>
    <row r="2536" ht="12" customHeight="1"/>
    <row r="2537" ht="15" customHeight="1"/>
    <row r="2538" ht="15" customHeight="1"/>
    <row r="2539" ht="15" customHeight="1"/>
    <row r="2540" ht="15" customHeight="1"/>
    <row r="2541" ht="15" customHeight="1"/>
    <row r="2542" ht="15" customHeight="1"/>
    <row r="2543" ht="15" customHeight="1"/>
    <row r="2544" ht="15" customHeight="1"/>
    <row r="2545" ht="15" customHeight="1"/>
    <row r="2546" ht="15" customHeight="1"/>
    <row r="2547" ht="15" customHeight="1"/>
    <row r="2548" ht="15" customHeight="1"/>
    <row r="2549" ht="15" customHeight="1"/>
    <row r="2550" ht="15" customHeight="1"/>
    <row r="2551" ht="15" customHeight="1"/>
    <row r="2552" ht="15" customHeight="1"/>
    <row r="2553" ht="15" customHeight="1"/>
    <row r="2554" ht="12" customHeight="1"/>
    <row r="2555" ht="15" customHeight="1"/>
    <row r="2556" ht="15" customHeight="1"/>
    <row r="2557" ht="15" customHeight="1"/>
    <row r="2558" ht="15" customHeight="1"/>
    <row r="2559" ht="15" customHeight="1"/>
    <row r="2560" ht="15" customHeight="1"/>
    <row r="2561" ht="15" customHeight="1"/>
    <row r="2562" ht="15" customHeight="1"/>
    <row r="2563" ht="15" customHeight="1"/>
    <row r="2564" ht="15" customHeight="1"/>
    <row r="2565" ht="15" customHeight="1"/>
    <row r="2566" ht="15" customHeight="1"/>
    <row r="2567" ht="15" customHeight="1"/>
    <row r="2568" ht="15" customHeight="1"/>
    <row r="2569" ht="15" customHeight="1"/>
    <row r="2570" ht="15" customHeight="1"/>
    <row r="2571" ht="15" customHeight="1"/>
    <row r="2572" ht="12" customHeight="1"/>
    <row r="2573" ht="15" customHeight="1"/>
    <row r="2574" ht="15" customHeight="1"/>
    <row r="2575" ht="15" customHeight="1"/>
    <row r="2576" ht="15" customHeight="1"/>
    <row r="2577" ht="15" customHeight="1"/>
    <row r="2578" ht="15" customHeight="1"/>
    <row r="2579" ht="15" customHeight="1"/>
    <row r="2580" ht="15" customHeight="1"/>
    <row r="2581" ht="15" customHeight="1"/>
    <row r="2582" ht="15" customHeight="1"/>
    <row r="2583" ht="15" customHeight="1"/>
    <row r="2584" ht="15" customHeight="1"/>
    <row r="2585" ht="15" customHeight="1"/>
    <row r="2586" ht="15" customHeight="1"/>
    <row r="2587" ht="15" customHeight="1"/>
    <row r="2588" ht="15" customHeight="1"/>
    <row r="2589" ht="15" customHeight="1"/>
    <row r="2590" ht="12" customHeight="1"/>
    <row r="2591" ht="15" customHeight="1"/>
    <row r="2592" ht="15" customHeight="1"/>
    <row r="2593" ht="15" customHeight="1"/>
    <row r="2594" ht="15" customHeight="1"/>
    <row r="2595" ht="15" customHeight="1"/>
    <row r="2596" ht="15" customHeight="1"/>
    <row r="2597" ht="15" customHeight="1"/>
    <row r="2598" ht="15" customHeight="1"/>
    <row r="2599" ht="15" customHeight="1"/>
    <row r="2600" ht="15" customHeight="1"/>
    <row r="2601" ht="15" customHeight="1"/>
    <row r="2602" ht="15" customHeight="1"/>
    <row r="2603" ht="15" customHeight="1"/>
    <row r="2604" ht="15" customHeight="1"/>
    <row r="2605" ht="15" customHeight="1"/>
    <row r="2606" ht="15" customHeight="1"/>
    <row r="2607" ht="15" customHeight="1"/>
    <row r="2608" ht="12" customHeight="1"/>
    <row r="2609" ht="15" customHeight="1"/>
    <row r="2610" ht="15" customHeight="1"/>
    <row r="2611" ht="15" customHeight="1"/>
    <row r="2612" ht="15" customHeight="1"/>
    <row r="2613" ht="15" customHeight="1"/>
    <row r="2614" ht="15" customHeight="1"/>
    <row r="2615" ht="15" customHeight="1"/>
    <row r="2616" ht="15" customHeight="1"/>
    <row r="2617" ht="15" customHeight="1"/>
    <row r="2618" ht="15" customHeight="1"/>
    <row r="2619" ht="15" customHeight="1"/>
    <row r="2620" ht="15" customHeight="1"/>
    <row r="2621" ht="15" customHeight="1"/>
    <row r="2622" ht="15" customHeight="1"/>
    <row r="2623" ht="15" customHeight="1"/>
    <row r="2624" ht="15" customHeight="1"/>
    <row r="2625" ht="15" customHeight="1"/>
    <row r="2626" ht="12" customHeight="1"/>
    <row r="2627" ht="15" customHeight="1"/>
    <row r="2628" ht="15" customHeight="1"/>
    <row r="2629" ht="15" customHeight="1"/>
    <row r="2630" ht="15" customHeight="1"/>
    <row r="2631" ht="15" customHeight="1"/>
    <row r="2632" ht="15" customHeight="1"/>
    <row r="2633" ht="15" customHeight="1"/>
    <row r="2634" ht="15" customHeight="1"/>
    <row r="2635" ht="15" customHeight="1"/>
    <row r="2636" ht="15" customHeight="1"/>
    <row r="2637" ht="15" customHeight="1"/>
    <row r="2638" ht="15" customHeight="1"/>
    <row r="2639" ht="15" customHeight="1"/>
    <row r="2640" ht="15" customHeight="1"/>
    <row r="2641" ht="15" customHeight="1"/>
    <row r="2642" ht="15" customHeight="1"/>
    <row r="2643" ht="15" customHeight="1"/>
    <row r="2644" ht="15" customHeight="1"/>
    <row r="2645" ht="15" customHeight="1"/>
    <row r="2646" ht="15" customHeight="1"/>
    <row r="2647" ht="12" customHeight="1"/>
    <row r="2648" ht="12" customHeight="1"/>
    <row r="2649" ht="12" customHeight="1"/>
    <row r="2650" ht="12" customHeight="1"/>
    <row r="2651" ht="12" customHeight="1"/>
    <row r="2652" ht="12" customHeight="1"/>
    <row r="2653" ht="12" customHeight="1"/>
    <row r="2654" ht="12" customHeight="1"/>
    <row r="2655" ht="12" customHeight="1"/>
    <row r="2656" ht="12" customHeight="1"/>
    <row r="2657" ht="12" customHeight="1"/>
    <row r="2658" ht="12" customHeight="1"/>
    <row r="2659" ht="12" customHeight="1"/>
    <row r="2660" ht="12" customHeight="1"/>
    <row r="2661" ht="12" customHeight="1"/>
    <row r="2662" ht="12" customHeight="1"/>
    <row r="2663" ht="12" customHeight="1"/>
    <row r="2664" ht="12" customHeight="1"/>
    <row r="2665" ht="12" customHeight="1"/>
    <row r="2666" ht="12" customHeight="1"/>
    <row r="2667" ht="12" customHeight="1"/>
    <row r="2668" ht="12" customHeight="1"/>
    <row r="2669" ht="12" customHeight="1"/>
    <row r="2670" ht="12" customHeight="1"/>
    <row r="2671" ht="12" customHeight="1"/>
    <row r="2672" ht="12" customHeight="1"/>
    <row r="2673" ht="12" customHeight="1"/>
    <row r="2674" ht="12" customHeight="1"/>
    <row r="2675" ht="15" customHeight="1"/>
    <row r="2676" ht="15" customHeight="1"/>
    <row r="2677" ht="15" customHeight="1"/>
    <row r="2678" ht="15" customHeight="1"/>
    <row r="2679" ht="15" customHeight="1"/>
    <row r="2680" ht="15" customHeight="1"/>
    <row r="2681" ht="15" customHeight="1"/>
    <row r="2682" ht="15" customHeight="1"/>
    <row r="2683" ht="15" customHeight="1"/>
    <row r="2684" ht="15" customHeight="1"/>
    <row r="2685" ht="15" customHeight="1"/>
    <row r="2686" ht="15" customHeight="1"/>
    <row r="2687" ht="15" customHeight="1"/>
    <row r="2688" ht="15" customHeight="1"/>
    <row r="2689" ht="15" customHeight="1"/>
    <row r="2690" ht="15" customHeight="1"/>
    <row r="2691" ht="15" customHeight="1"/>
    <row r="2692" ht="15" customHeight="1"/>
    <row r="2693" ht="15" customHeight="1"/>
    <row r="2694" ht="15" customHeight="1"/>
    <row r="2695" ht="15" customHeight="1"/>
    <row r="2696" ht="15" customHeight="1"/>
    <row r="2697" ht="12" customHeight="1"/>
    <row r="2698" ht="15" customHeight="1"/>
    <row r="2699" ht="15" customHeight="1"/>
    <row r="2700" ht="15" customHeight="1"/>
    <row r="2701" ht="15" customHeight="1"/>
    <row r="2702" ht="15" customHeight="1"/>
    <row r="2703" ht="15" customHeight="1"/>
    <row r="2704" ht="15" customHeight="1"/>
    <row r="2705" ht="15" customHeight="1"/>
    <row r="2706" ht="15" customHeight="1"/>
    <row r="2707" ht="15" customHeight="1"/>
    <row r="2708" ht="15" customHeight="1"/>
    <row r="2709" ht="15" customHeight="1"/>
    <row r="2710" ht="15" customHeight="1"/>
    <row r="2711" ht="15" customHeight="1"/>
    <row r="2712" ht="15" customHeight="1"/>
    <row r="2713" ht="15" customHeight="1"/>
    <row r="2714" ht="15" customHeight="1"/>
    <row r="2715" ht="12" customHeight="1"/>
    <row r="2716" ht="15" customHeight="1"/>
    <row r="2717" ht="15" customHeight="1"/>
    <row r="2718" ht="15" customHeight="1"/>
    <row r="2719" ht="15" customHeight="1"/>
    <row r="2720" ht="15" customHeight="1"/>
    <row r="2721" ht="15" customHeight="1"/>
    <row r="2722" ht="15" customHeight="1"/>
    <row r="2723" ht="15" customHeight="1"/>
    <row r="2724" ht="15" customHeight="1"/>
    <row r="2725" ht="15" customHeight="1"/>
    <row r="2726" ht="15" customHeight="1"/>
    <row r="2727" ht="15" customHeight="1"/>
    <row r="2728" ht="15" customHeight="1"/>
    <row r="2729" ht="15" customHeight="1"/>
    <row r="2730" ht="15" customHeight="1"/>
    <row r="2731" ht="15" customHeight="1"/>
    <row r="2732" ht="15" customHeight="1"/>
    <row r="2733" ht="12" customHeight="1"/>
    <row r="2734" ht="15" customHeight="1"/>
    <row r="2735" ht="15" customHeight="1"/>
    <row r="2736" ht="15" customHeight="1"/>
    <row r="2737" ht="15" customHeight="1"/>
    <row r="2738" ht="15" customHeight="1"/>
    <row r="2739" ht="15" customHeight="1"/>
    <row r="2740" ht="15" customHeight="1"/>
    <row r="2741" ht="15" customHeight="1"/>
    <row r="2742" ht="15" customHeight="1"/>
    <row r="2743" ht="15" customHeight="1"/>
    <row r="2744" ht="15" customHeight="1"/>
    <row r="2745" ht="15" customHeight="1"/>
    <row r="2746" ht="15" customHeight="1"/>
    <row r="2747" ht="15" customHeight="1"/>
    <row r="2748" ht="15" customHeight="1"/>
    <row r="2749" ht="15" customHeight="1"/>
    <row r="2750" ht="15" customHeight="1"/>
    <row r="2751" ht="12" customHeight="1"/>
    <row r="2752" ht="15" customHeight="1"/>
    <row r="2753" ht="15" customHeight="1"/>
    <row r="2754" ht="15" customHeight="1"/>
    <row r="2755" ht="15" customHeight="1"/>
    <row r="2756" ht="15" customHeight="1"/>
    <row r="2757" ht="15" customHeight="1"/>
    <row r="2758" ht="15" customHeight="1"/>
    <row r="2759" ht="15" customHeight="1"/>
    <row r="2760" ht="15" customHeight="1"/>
    <row r="2761" ht="15" customHeight="1"/>
    <row r="2762" ht="15" customHeight="1"/>
    <row r="2763" ht="15" customHeight="1"/>
    <row r="2764" ht="15" customHeight="1"/>
    <row r="2765" ht="15" customHeight="1"/>
    <row r="2766" ht="15" customHeight="1"/>
    <row r="2767" ht="15" customHeight="1"/>
    <row r="2768" ht="15" customHeight="1"/>
    <row r="2769" ht="15" customHeight="1"/>
    <row r="2770" ht="15" customHeight="1"/>
    <row r="2771" ht="15" customHeight="1"/>
    <row r="2772" ht="15" customHeight="1"/>
    <row r="2773" ht="15" customHeight="1"/>
    <row r="2774" ht="15" customHeight="1"/>
    <row r="2775" ht="15" customHeight="1"/>
    <row r="2776" ht="15" customHeight="1"/>
    <row r="2777" ht="15" customHeight="1"/>
    <row r="2778" ht="15" customHeight="1"/>
    <row r="2779" ht="15" customHeight="1"/>
    <row r="2780" ht="15" customHeight="1"/>
    <row r="2781" ht="15" customHeight="1"/>
    <row r="2782" ht="15" customHeight="1"/>
    <row r="2783" ht="15" customHeight="1"/>
    <row r="2784" ht="15" customHeight="1"/>
    <row r="2785" ht="15" customHeight="1"/>
    <row r="2786" ht="12" customHeight="1"/>
    <row r="2787" ht="15" customHeight="1"/>
    <row r="2788" ht="15" customHeight="1"/>
    <row r="2789" ht="15" customHeight="1"/>
    <row r="2790" ht="15" customHeight="1"/>
    <row r="2791" ht="15" customHeight="1"/>
    <row r="2792" ht="15" customHeight="1"/>
    <row r="2793" ht="15" customHeight="1"/>
    <row r="2794" ht="15" customHeight="1"/>
    <row r="2795" ht="15" customHeight="1"/>
    <row r="2796" ht="15" customHeight="1"/>
    <row r="2797" ht="15" customHeight="1"/>
    <row r="2798" ht="15" customHeight="1"/>
    <row r="2799" ht="15" customHeight="1"/>
    <row r="2800" ht="15" customHeight="1"/>
    <row r="2801" ht="15" customHeight="1"/>
    <row r="2802" ht="15" customHeight="1"/>
    <row r="2803" ht="15" customHeight="1"/>
    <row r="2804" ht="12" customHeight="1"/>
    <row r="2805" ht="15" customHeight="1"/>
    <row r="2806" ht="15" customHeight="1"/>
    <row r="2807" ht="15" customHeight="1"/>
    <row r="2808" ht="15" customHeight="1"/>
    <row r="2809" ht="15" customHeight="1"/>
    <row r="2810" ht="15" customHeight="1"/>
    <row r="2811" ht="15" customHeight="1"/>
    <row r="2812" ht="15" customHeight="1"/>
    <row r="2813" ht="15" customHeight="1"/>
    <row r="2814" ht="15" customHeight="1"/>
    <row r="2815" ht="15" customHeight="1"/>
    <row r="2816" ht="15" customHeight="1"/>
    <row r="2817" ht="15" customHeight="1"/>
    <row r="2818" ht="15" customHeight="1"/>
    <row r="2819" ht="15" customHeight="1"/>
    <row r="2820" ht="15" customHeight="1"/>
    <row r="2821" ht="15" customHeight="1"/>
    <row r="2822" ht="15" customHeight="1"/>
    <row r="2823" ht="15" customHeight="1"/>
    <row r="2824" ht="15" customHeight="1"/>
    <row r="2825" ht="15" customHeight="1"/>
    <row r="2826" ht="15" customHeight="1"/>
    <row r="2827" ht="15" customHeight="1"/>
    <row r="2828" ht="15" customHeight="1"/>
    <row r="2829" ht="15" customHeight="1"/>
    <row r="2830" ht="15" customHeight="1"/>
    <row r="2831" ht="15" customHeight="1"/>
    <row r="2832" ht="15" customHeight="1"/>
    <row r="2833" ht="15" customHeight="1"/>
    <row r="2834" ht="15" customHeight="1"/>
    <row r="2835" ht="15" customHeight="1"/>
    <row r="2836" ht="15" customHeight="1"/>
    <row r="2837" ht="15" customHeight="1"/>
    <row r="2838" ht="15" customHeight="1"/>
    <row r="2839" ht="12" customHeight="1"/>
    <row r="2840" ht="15" customHeight="1"/>
    <row r="2841" ht="15" customHeight="1"/>
    <row r="2842" ht="15" customHeight="1"/>
    <row r="2843" ht="15" customHeight="1"/>
    <row r="2844" ht="15" customHeight="1"/>
    <row r="2845" ht="15" customHeight="1"/>
    <row r="2846" ht="15" customHeight="1"/>
    <row r="2847" ht="15" customHeight="1"/>
    <row r="2848" ht="15" customHeight="1"/>
    <row r="2849" ht="15" customHeight="1"/>
    <row r="2850" ht="15" customHeight="1"/>
    <row r="2851" ht="15" customHeight="1"/>
    <row r="2852" ht="15" customHeight="1"/>
    <row r="2853" ht="15" customHeight="1"/>
    <row r="2854" ht="15" customHeight="1"/>
    <row r="2855" ht="15" customHeight="1"/>
    <row r="2856" ht="15" customHeight="1"/>
    <row r="2857" ht="12" customHeight="1"/>
    <row r="2858" ht="15" customHeight="1"/>
    <row r="2859" ht="15" customHeight="1"/>
    <row r="2860" ht="15" customHeight="1"/>
    <row r="2861" ht="15" customHeight="1"/>
    <row r="2862" ht="15" customHeight="1"/>
    <row r="2863" ht="15" customHeight="1"/>
    <row r="2864" ht="15" customHeight="1"/>
    <row r="2865" ht="15" customHeight="1"/>
    <row r="2866" ht="15" customHeight="1"/>
    <row r="2867" ht="15" customHeight="1"/>
    <row r="2868" ht="15" customHeight="1"/>
    <row r="2869" ht="15" customHeight="1"/>
    <row r="2870" ht="15" customHeight="1"/>
    <row r="2871" ht="15" customHeight="1"/>
    <row r="2872" ht="15" customHeight="1"/>
    <row r="2873" ht="15" customHeight="1"/>
    <row r="2874" ht="15" customHeight="1"/>
    <row r="2875" ht="12" customHeight="1"/>
    <row r="2876" ht="15" customHeight="1"/>
    <row r="2877" ht="15" customHeight="1"/>
    <row r="2878" ht="15" customHeight="1"/>
    <row r="2879" ht="15" customHeight="1"/>
    <row r="2880" ht="15" customHeight="1"/>
    <row r="2881" ht="15" customHeight="1"/>
    <row r="2882" ht="15" customHeight="1"/>
    <row r="2883" ht="15" customHeight="1"/>
    <row r="2884" ht="15" customHeight="1"/>
    <row r="2885" ht="15" customHeight="1"/>
    <row r="2886" ht="15" customHeight="1"/>
    <row r="2887" ht="15" customHeight="1"/>
    <row r="2888" ht="15" customHeight="1"/>
    <row r="2889" ht="15" customHeight="1"/>
    <row r="2890" ht="15" customHeight="1"/>
    <row r="2891" ht="15" customHeight="1"/>
    <row r="2892" ht="15" customHeight="1"/>
    <row r="2893" ht="12" customHeight="1"/>
    <row r="2894" ht="15" customHeight="1"/>
    <row r="2895" ht="15" customHeight="1"/>
    <row r="2896" ht="15" customHeight="1"/>
    <row r="2897" ht="15" customHeight="1"/>
    <row r="2898" ht="15" customHeight="1"/>
    <row r="2899" ht="15" customHeight="1"/>
    <row r="2900" ht="15" customHeight="1"/>
    <row r="2901" ht="15" customHeight="1"/>
    <row r="2902" ht="15" customHeight="1"/>
    <row r="2903" ht="15" customHeight="1"/>
    <row r="2904" ht="15" customHeight="1"/>
    <row r="2905" ht="15" customHeight="1"/>
    <row r="2906" ht="15" customHeight="1"/>
    <row r="2907" ht="15" customHeight="1"/>
    <row r="2908" ht="15" customHeight="1"/>
    <row r="2909" ht="15" customHeight="1"/>
    <row r="2910" ht="15" customHeight="1"/>
    <row r="2911" ht="12" customHeight="1"/>
    <row r="2912" ht="15" customHeight="1"/>
    <row r="2913" ht="15" customHeight="1"/>
    <row r="2914" ht="15" customHeight="1"/>
    <row r="2915" ht="15" customHeight="1"/>
    <row r="2916" ht="15" customHeight="1"/>
    <row r="2917" ht="15" customHeight="1"/>
    <row r="2918" ht="15" customHeight="1"/>
    <row r="2919" ht="15" customHeight="1"/>
    <row r="2920" ht="15" customHeight="1"/>
    <row r="2921" ht="15" customHeight="1"/>
    <row r="2922" ht="15" customHeight="1"/>
    <row r="2923" ht="15" customHeight="1"/>
    <row r="2924" ht="15" customHeight="1"/>
    <row r="2925" ht="15" customHeight="1"/>
    <row r="2926" ht="15" customHeight="1"/>
    <row r="2927" ht="15" customHeight="1"/>
    <row r="2928" ht="15" customHeight="1"/>
    <row r="2929" ht="12" customHeight="1"/>
    <row r="2930" ht="15" customHeight="1"/>
    <row r="2931" ht="15" customHeight="1"/>
    <row r="2932" ht="15" customHeight="1"/>
    <row r="2933" ht="15" customHeight="1"/>
    <row r="2934" ht="15" customHeight="1"/>
    <row r="2935" ht="15" customHeight="1"/>
    <row r="2936" ht="15" customHeight="1"/>
    <row r="2937" ht="15" customHeight="1"/>
    <row r="2938" ht="15" customHeight="1"/>
    <row r="2939" ht="15" customHeight="1"/>
    <row r="2940" ht="15" customHeight="1"/>
    <row r="2941" ht="15" customHeight="1"/>
    <row r="2942" ht="15" customHeight="1"/>
    <row r="2943" ht="15" customHeight="1"/>
    <row r="2944" ht="15" customHeight="1"/>
    <row r="2945" ht="15" customHeight="1"/>
    <row r="2946" ht="15" customHeight="1"/>
    <row r="2947" ht="12" customHeight="1"/>
    <row r="2948" ht="15" customHeight="1"/>
    <row r="2949" ht="15" customHeight="1"/>
    <row r="2950" ht="15" customHeight="1"/>
    <row r="2951" ht="15" customHeight="1"/>
    <row r="2952" ht="15" customHeight="1"/>
    <row r="2953" ht="15" customHeight="1"/>
    <row r="2954" ht="15" customHeight="1"/>
    <row r="2955" ht="15" customHeight="1"/>
    <row r="2956" ht="15" customHeight="1"/>
    <row r="2957" ht="15" customHeight="1"/>
    <row r="2958" ht="15" customHeight="1"/>
    <row r="2959" ht="15" customHeight="1"/>
    <row r="2960" ht="15" customHeight="1"/>
    <row r="2961" ht="15" customHeight="1"/>
    <row r="2962" ht="15" customHeight="1"/>
    <row r="2963" ht="15" customHeight="1"/>
    <row r="2964" ht="15" customHeight="1"/>
    <row r="2965" ht="12" customHeight="1"/>
    <row r="2966" ht="15" customHeight="1"/>
    <row r="2967" ht="15" customHeight="1"/>
    <row r="2968" ht="15" customHeight="1"/>
    <row r="2969" ht="15" customHeight="1"/>
    <row r="2970" ht="15" customHeight="1"/>
    <row r="2971" ht="15" customHeight="1"/>
    <row r="2972" ht="15" customHeight="1"/>
    <row r="2973" ht="12" customHeight="1"/>
    <row r="2974" ht="12" customHeight="1"/>
    <row r="2975" ht="12" customHeight="1"/>
    <row r="2976" ht="12" customHeight="1"/>
    <row r="2977" ht="12" customHeight="1"/>
    <row r="2978" ht="12" customHeight="1"/>
    <row r="2979" ht="12" customHeight="1"/>
    <row r="2980" ht="12" customHeight="1"/>
    <row r="2981" ht="12" customHeight="1"/>
    <row r="2982" ht="12" customHeight="1"/>
    <row r="2983" ht="12" customHeight="1"/>
    <row r="2984" ht="12" customHeight="1"/>
    <row r="2985" ht="12" customHeight="1"/>
    <row r="2986" ht="12" customHeight="1"/>
    <row r="2987" ht="12" customHeight="1"/>
    <row r="2988" ht="12" customHeight="1"/>
    <row r="2989" ht="12" customHeight="1"/>
    <row r="2990" ht="12" customHeight="1"/>
    <row r="2991" ht="12" customHeight="1"/>
    <row r="2992" ht="12" customHeight="1"/>
    <row r="2993" ht="12" customHeight="1"/>
    <row r="2994" ht="12" customHeight="1"/>
    <row r="2995" ht="12" customHeight="1"/>
    <row r="2996" ht="12" customHeight="1"/>
    <row r="2997" ht="12" customHeight="1"/>
    <row r="2998" ht="12" customHeight="1"/>
    <row r="2999" ht="12" customHeight="1"/>
    <row r="3000" ht="15" customHeight="1"/>
    <row r="3001" ht="15" customHeight="1"/>
    <row r="3002" ht="15" customHeight="1"/>
    <row r="3003" ht="15" customHeight="1"/>
    <row r="3004" ht="15" customHeight="1"/>
    <row r="3005" ht="15" customHeight="1"/>
    <row r="3006" ht="15" customHeight="1"/>
    <row r="3007" ht="15" customHeight="1"/>
    <row r="3008" ht="15" customHeight="1"/>
    <row r="3009" ht="15" customHeight="1"/>
    <row r="3010" ht="15" customHeight="1"/>
    <row r="3011" ht="15" customHeight="1"/>
    <row r="3012" ht="15" customHeight="1"/>
    <row r="3013" ht="15" customHeight="1"/>
    <row r="3014" ht="15" customHeight="1"/>
    <row r="3015" ht="15" customHeight="1"/>
    <row r="3016" ht="15" customHeight="1"/>
    <row r="3017" ht="15" customHeight="1"/>
    <row r="3018" ht="15" customHeight="1"/>
    <row r="3019" ht="15" customHeight="1"/>
    <row r="3020" ht="15" customHeight="1"/>
    <row r="3021" ht="15" customHeight="1"/>
    <row r="3022" ht="12" customHeight="1"/>
    <row r="3023" ht="15" customHeight="1"/>
    <row r="3024" ht="15" customHeight="1"/>
    <row r="3025" ht="15" customHeight="1"/>
    <row r="3026" ht="15" customHeight="1"/>
    <row r="3027" ht="15" customHeight="1"/>
    <row r="3028" ht="15" customHeight="1"/>
    <row r="3029" ht="15" customHeight="1"/>
    <row r="3030" ht="15" customHeight="1"/>
    <row r="3031" ht="15" customHeight="1"/>
    <row r="3032" ht="15" customHeight="1"/>
    <row r="3033" ht="15" customHeight="1"/>
    <row r="3034" ht="15" customHeight="1"/>
    <row r="3035" ht="15" customHeight="1"/>
    <row r="3036" ht="15" customHeight="1"/>
    <row r="3037" ht="15" customHeight="1"/>
    <row r="3038" ht="15" customHeight="1"/>
    <row r="3039" ht="15" customHeight="1"/>
    <row r="3040" ht="12" customHeight="1"/>
    <row r="3041" ht="15" customHeight="1"/>
    <row r="3042" ht="15" customHeight="1"/>
    <row r="3043" ht="15" customHeight="1"/>
    <row r="3044" ht="15" customHeight="1"/>
    <row r="3045" ht="15" customHeight="1"/>
    <row r="3046" ht="15" customHeight="1"/>
    <row r="3047" ht="15" customHeight="1"/>
    <row r="3048" ht="15" customHeight="1"/>
    <row r="3049" ht="15" customHeight="1"/>
    <row r="3050" ht="15" customHeight="1"/>
    <row r="3051" ht="15" customHeight="1"/>
    <row r="3052" ht="15" customHeight="1"/>
    <row r="3053" ht="15" customHeight="1"/>
    <row r="3054" ht="15" customHeight="1"/>
    <row r="3055" ht="15" customHeight="1"/>
    <row r="3056" ht="15" customHeight="1"/>
    <row r="3057" ht="15" customHeight="1"/>
    <row r="3058" ht="12" customHeight="1"/>
    <row r="3059" ht="15" customHeight="1"/>
    <row r="3060" ht="15" customHeight="1"/>
    <row r="3061" ht="15" customHeight="1"/>
    <row r="3062" ht="15" customHeight="1"/>
    <row r="3063" ht="15" customHeight="1"/>
    <row r="3064" ht="15" customHeight="1"/>
    <row r="3065" ht="15" customHeight="1"/>
    <row r="3066" ht="15" customHeight="1"/>
    <row r="3067" ht="15" customHeight="1"/>
    <row r="3068" ht="15" customHeight="1"/>
    <row r="3069" ht="15" customHeight="1"/>
    <row r="3070" ht="15" customHeight="1"/>
    <row r="3071" ht="15" customHeight="1"/>
    <row r="3072" ht="15" customHeight="1"/>
    <row r="3073" ht="15" customHeight="1"/>
    <row r="3074" ht="15" customHeight="1"/>
    <row r="3075" ht="15" customHeight="1"/>
    <row r="3076" ht="12" customHeight="1"/>
    <row r="3077" ht="15" customHeight="1"/>
    <row r="3078" ht="15" customHeight="1"/>
    <row r="3079" ht="15" customHeight="1"/>
    <row r="3080" ht="15" customHeight="1"/>
    <row r="3081" ht="15" customHeight="1"/>
    <row r="3082" ht="15" customHeight="1"/>
    <row r="3083" ht="15" customHeight="1"/>
    <row r="3084" ht="15" customHeight="1"/>
    <row r="3085" ht="15" customHeight="1"/>
    <row r="3086" ht="15" customHeight="1"/>
    <row r="3087" ht="15" customHeight="1"/>
    <row r="3088" ht="15" customHeight="1"/>
    <row r="3089" ht="15" customHeight="1"/>
    <row r="3090" ht="15" customHeight="1"/>
    <row r="3091" ht="15" customHeight="1"/>
    <row r="3092" ht="15" customHeight="1"/>
    <row r="3093" ht="15" customHeight="1"/>
    <row r="3094" ht="15" customHeight="1"/>
    <row r="3095" ht="15" customHeight="1"/>
    <row r="3096" ht="15" customHeight="1"/>
    <row r="3097" ht="15" customHeight="1"/>
    <row r="3098" ht="15" customHeight="1"/>
    <row r="3099" ht="15" customHeight="1"/>
    <row r="3100" ht="15" customHeight="1"/>
    <row r="3101" ht="15" customHeight="1"/>
    <row r="3102" ht="15" customHeight="1"/>
    <row r="3103" ht="15" customHeight="1"/>
    <row r="3104" ht="15" customHeight="1"/>
    <row r="3105" ht="15" customHeight="1"/>
    <row r="3106" ht="15" customHeight="1"/>
    <row r="3107" ht="15" customHeight="1"/>
    <row r="3108" ht="15" customHeight="1"/>
    <row r="3109" ht="15" customHeight="1"/>
    <row r="3110" ht="15" customHeight="1"/>
    <row r="3111" ht="12" customHeight="1"/>
    <row r="3112" ht="15" customHeight="1"/>
    <row r="3113" ht="15" customHeight="1"/>
    <row r="3114" ht="15" customHeight="1"/>
    <row r="3115" ht="15" customHeight="1"/>
    <row r="3116" ht="15" customHeight="1"/>
    <row r="3117" ht="15" customHeight="1"/>
    <row r="3118" ht="15" customHeight="1"/>
    <row r="3119" ht="15" customHeight="1"/>
    <row r="3120" ht="15" customHeight="1"/>
    <row r="3121" ht="15" customHeight="1"/>
    <row r="3122" ht="15" customHeight="1"/>
    <row r="3123" ht="15" customHeight="1"/>
    <row r="3124" ht="15" customHeight="1"/>
    <row r="3125" ht="15" customHeight="1"/>
    <row r="3126" ht="15" customHeight="1"/>
    <row r="3127" ht="15" customHeight="1"/>
    <row r="3128" ht="15" customHeight="1"/>
    <row r="3129" ht="12" customHeight="1"/>
    <row r="3130" ht="15" customHeight="1"/>
    <row r="3131" ht="15" customHeight="1"/>
    <row r="3132" ht="15" customHeight="1"/>
    <row r="3133" ht="15" customHeight="1"/>
    <row r="3134" ht="15" customHeight="1"/>
    <row r="3135" ht="15" customHeight="1"/>
    <row r="3136" ht="15" customHeight="1"/>
    <row r="3137" ht="15" customHeight="1"/>
    <row r="3138" ht="15" customHeight="1"/>
    <row r="3139" ht="15" customHeight="1"/>
    <row r="3140" ht="15" customHeight="1"/>
    <row r="3141" ht="15" customHeight="1"/>
    <row r="3142" ht="15" customHeight="1"/>
    <row r="3143" ht="15" customHeight="1"/>
    <row r="3144" ht="15" customHeight="1"/>
    <row r="3145" ht="15" customHeight="1"/>
    <row r="3146" ht="15" customHeight="1"/>
    <row r="3147" ht="12" customHeight="1"/>
    <row r="3148" ht="15" customHeight="1"/>
    <row r="3149" ht="15" customHeight="1"/>
    <row r="3150" ht="15" customHeight="1"/>
    <row r="3151" ht="15" customHeight="1"/>
    <row r="3152" ht="15" customHeight="1"/>
    <row r="3153" ht="15" customHeight="1"/>
    <row r="3154" ht="15" customHeight="1"/>
    <row r="3155" ht="15" customHeight="1"/>
    <row r="3156" ht="15" customHeight="1"/>
    <row r="3157" ht="15" customHeight="1"/>
    <row r="3158" ht="15" customHeight="1"/>
    <row r="3159" ht="15" customHeight="1"/>
    <row r="3160" ht="15" customHeight="1"/>
    <row r="3161" ht="15" customHeight="1"/>
    <row r="3162" ht="15" customHeight="1"/>
    <row r="3163" ht="15" customHeight="1"/>
    <row r="3164" ht="15" customHeight="1"/>
    <row r="3165" ht="12" customHeight="1"/>
    <row r="3166" ht="12" customHeight="1"/>
    <row r="3167" ht="15" customHeight="1"/>
    <row r="3168" ht="15" customHeight="1"/>
    <row r="3169" ht="15" customHeight="1"/>
    <row r="3170" ht="15" customHeight="1"/>
    <row r="3171" ht="15" customHeight="1"/>
    <row r="3172" ht="15" customHeight="1"/>
    <row r="3173" ht="15" customHeight="1"/>
    <row r="3174" ht="15" customHeight="1"/>
    <row r="3175" ht="15" customHeight="1"/>
    <row r="3176" ht="15" customHeight="1"/>
    <row r="3177" ht="15" customHeight="1"/>
    <row r="3178" ht="15" customHeight="1"/>
    <row r="3179" ht="15" customHeight="1"/>
    <row r="3180" ht="15" customHeight="1"/>
    <row r="3181" ht="15" customHeight="1"/>
    <row r="3182" ht="15" customHeight="1"/>
    <row r="3183" ht="15" customHeight="1"/>
    <row r="3184" ht="12" customHeight="1"/>
    <row r="3185" ht="15" customHeight="1"/>
    <row r="3186" ht="15" customHeight="1"/>
    <row r="3187" ht="15" customHeight="1"/>
    <row r="3188" ht="15" customHeight="1"/>
    <row r="3189" ht="15" customHeight="1"/>
    <row r="3190" ht="15" customHeight="1"/>
    <row r="3191" ht="15" customHeight="1"/>
    <row r="3192" ht="15" customHeight="1"/>
    <row r="3193" ht="15" customHeight="1"/>
    <row r="3194" ht="15" customHeight="1"/>
    <row r="3195" ht="15" customHeight="1"/>
    <row r="3196" ht="15" customHeight="1"/>
    <row r="3197" ht="15" customHeight="1"/>
    <row r="3198" ht="15" customHeight="1"/>
    <row r="3199" ht="15" customHeight="1"/>
    <row r="3200" ht="15" customHeight="1"/>
    <row r="3201" ht="15" customHeight="1"/>
    <row r="3202" ht="12" customHeight="1"/>
    <row r="3203" ht="15" customHeight="1"/>
    <row r="3204" ht="15" customHeight="1"/>
    <row r="3205" ht="15" customHeight="1"/>
    <row r="3206" ht="15" customHeight="1"/>
    <row r="3207" ht="15" customHeight="1"/>
    <row r="3208" ht="15" customHeight="1"/>
    <row r="3209" ht="15" customHeight="1"/>
    <row r="3210" ht="15" customHeight="1"/>
    <row r="3211" ht="15" customHeight="1"/>
    <row r="3212" ht="15" customHeight="1"/>
    <row r="3213" ht="15" customHeight="1"/>
    <row r="3214" ht="15" customHeight="1"/>
    <row r="3215" ht="15" customHeight="1"/>
    <row r="3216" ht="15" customHeight="1"/>
    <row r="3217" ht="15" customHeight="1"/>
    <row r="3218" ht="15" customHeight="1"/>
    <row r="3219" ht="15" customHeight="1"/>
    <row r="3220" ht="12" customHeight="1"/>
    <row r="3221" ht="15" customHeight="1"/>
    <row r="3222" ht="15" customHeight="1"/>
    <row r="3223" ht="15" customHeight="1"/>
    <row r="3224" ht="15" customHeight="1"/>
    <row r="3225" ht="15" customHeight="1"/>
    <row r="3226" ht="15" customHeight="1"/>
    <row r="3227" ht="15" customHeight="1"/>
    <row r="3228" ht="15" customHeight="1"/>
    <row r="3229" ht="15" customHeight="1"/>
    <row r="3230" ht="15" customHeight="1"/>
    <row r="3231" ht="15" customHeight="1"/>
    <row r="3232" ht="15" customHeight="1"/>
    <row r="3233" ht="15" customHeight="1"/>
    <row r="3234" ht="15" customHeight="1"/>
    <row r="3235" ht="15" customHeight="1"/>
    <row r="3236" ht="15" customHeight="1"/>
    <row r="3237" ht="15" customHeight="1"/>
    <row r="3238" ht="12" customHeight="1"/>
    <row r="3239" ht="15" customHeight="1"/>
    <row r="3240" ht="15" customHeight="1"/>
    <row r="3241" ht="15" customHeight="1"/>
    <row r="3242" ht="15" customHeight="1"/>
    <row r="3243" ht="15" customHeight="1"/>
    <row r="3244" ht="15" customHeight="1"/>
    <row r="3245" ht="15" customHeight="1"/>
    <row r="3246" ht="15" customHeight="1"/>
    <row r="3247" ht="15" customHeight="1"/>
    <row r="3248" ht="15" customHeight="1"/>
    <row r="3249" ht="15" customHeight="1"/>
    <row r="3250" ht="15" customHeight="1"/>
    <row r="3251" ht="15" customHeight="1"/>
    <row r="3252" ht="15" customHeight="1"/>
    <row r="3253" ht="15" customHeight="1"/>
    <row r="3254" ht="15" customHeight="1"/>
    <row r="3255" ht="15" customHeight="1"/>
    <row r="3256" ht="12" customHeight="1"/>
    <row r="3257" ht="15" customHeight="1"/>
    <row r="3258" ht="15" customHeight="1"/>
    <row r="3259" ht="15" customHeight="1"/>
    <row r="3260" ht="15" customHeight="1"/>
    <row r="3261" ht="15" customHeight="1"/>
    <row r="3262" ht="15" customHeight="1"/>
    <row r="3263" ht="15" customHeight="1"/>
    <row r="3264" ht="15" customHeight="1"/>
    <row r="3265" ht="15" customHeight="1"/>
    <row r="3266" ht="15" customHeight="1"/>
    <row r="3267" ht="15" customHeight="1"/>
    <row r="3268" ht="15" customHeight="1"/>
    <row r="3269" ht="15" customHeight="1"/>
    <row r="3270" ht="15" customHeight="1"/>
    <row r="3271" ht="15" customHeight="1"/>
    <row r="3272" ht="15" customHeight="1"/>
    <row r="3273" ht="15" customHeight="1"/>
    <row r="3274" ht="12" customHeight="1"/>
    <row r="3275" ht="15" customHeight="1"/>
    <row r="3276" ht="15" customHeight="1"/>
    <row r="3277" ht="15" customHeight="1"/>
    <row r="3278" ht="15" customHeight="1"/>
    <row r="3279" ht="15" customHeight="1"/>
    <row r="3280" ht="15" customHeight="1"/>
    <row r="3281" ht="15" customHeight="1"/>
    <row r="3282" ht="15" customHeight="1"/>
    <row r="3283" ht="15" customHeight="1"/>
    <row r="3284" ht="15" customHeight="1"/>
    <row r="3285" ht="15" customHeight="1"/>
    <row r="3286" ht="15" customHeight="1"/>
    <row r="3287" ht="15" customHeight="1"/>
    <row r="3288" ht="15" customHeight="1"/>
    <row r="3289" ht="15" customHeight="1"/>
    <row r="3290" ht="15" customHeight="1"/>
    <row r="3291" ht="15" customHeight="1"/>
    <row r="3292" ht="15" customHeight="1"/>
    <row r="3293" ht="15" customHeight="1"/>
    <row r="3294" ht="12" customHeight="1"/>
    <row r="3295" ht="12" customHeight="1"/>
    <row r="3296" ht="12" customHeight="1"/>
    <row r="3297" ht="12" customHeight="1"/>
    <row r="3298" ht="12" customHeight="1"/>
    <row r="3299" ht="12" customHeight="1"/>
    <row r="3300" ht="12" customHeight="1"/>
    <row r="3301" ht="12" customHeight="1"/>
    <row r="3302" ht="12" customHeight="1"/>
    <row r="3303" ht="12" customHeight="1"/>
    <row r="3304" ht="12" customHeight="1"/>
    <row r="3305" ht="12" customHeight="1"/>
    <row r="3306" ht="12" customHeight="1"/>
    <row r="3307" ht="12" customHeight="1"/>
    <row r="3308" ht="12" customHeight="1"/>
    <row r="3309" ht="12" customHeight="1"/>
    <row r="3310" ht="12" customHeight="1"/>
    <row r="3311" ht="12" customHeight="1"/>
    <row r="3312" ht="12" customHeight="1"/>
    <row r="3313" ht="12" customHeight="1"/>
    <row r="3314" ht="12" customHeight="1"/>
    <row r="3315" ht="12" customHeight="1"/>
    <row r="3316" ht="12" customHeight="1"/>
    <row r="3317" ht="12" customHeight="1"/>
    <row r="3318" ht="12" customHeight="1"/>
    <row r="3319" ht="12" customHeight="1"/>
    <row r="3320" ht="12" customHeight="1"/>
    <row r="3321" ht="12" customHeight="1"/>
    <row r="3322" ht="12" customHeight="1"/>
    <row r="3323" ht="12" customHeight="1"/>
    <row r="3324" ht="12" customHeight="1"/>
    <row r="3325" ht="15" customHeight="1"/>
    <row r="3326" ht="15" customHeight="1"/>
    <row r="3327" ht="15" customHeight="1"/>
    <row r="3328" ht="15" customHeight="1"/>
    <row r="3329" ht="15" customHeight="1"/>
    <row r="3330" ht="15" customHeight="1"/>
    <row r="3331" ht="15" customHeight="1"/>
    <row r="3332" ht="15" customHeight="1"/>
    <row r="3333" ht="15" customHeight="1"/>
    <row r="3334" ht="15" customHeight="1"/>
    <row r="3335" ht="12" customHeight="1"/>
    <row r="3336" ht="15" customHeight="1"/>
    <row r="3337" ht="15" customHeight="1"/>
    <row r="3338" ht="15" customHeight="1"/>
    <row r="3339" ht="15" customHeight="1"/>
    <row r="3340" ht="15" customHeight="1"/>
    <row r="3341" ht="15" customHeight="1"/>
    <row r="3342" ht="15" customHeight="1"/>
    <row r="3343" ht="15" customHeight="1"/>
    <row r="3344" ht="15" customHeight="1"/>
    <row r="3345" ht="15" customHeight="1"/>
    <row r="3346" ht="15" customHeight="1"/>
    <row r="3347" ht="15" customHeight="1"/>
    <row r="3348" ht="15" customHeight="1"/>
    <row r="3349" ht="15" customHeight="1"/>
    <row r="3350" ht="15" customHeight="1"/>
    <row r="3351" ht="15" customHeight="1"/>
    <row r="3352" ht="12" customHeight="1"/>
    <row r="3353" ht="15" customHeight="1"/>
    <row r="3354" ht="15" customHeight="1"/>
    <row r="3355" ht="12" customHeight="1"/>
    <row r="3356" ht="15" customHeight="1"/>
    <row r="3357" ht="15" customHeight="1"/>
    <row r="3358" ht="15" customHeight="1"/>
    <row r="3359" ht="15" customHeight="1"/>
    <row r="3360" ht="15" customHeight="1"/>
    <row r="3361" ht="12" customHeight="1"/>
    <row r="3362" ht="15" customHeight="1"/>
    <row r="3363" ht="15" customHeight="1"/>
    <row r="3364" ht="15" customHeight="1"/>
    <row r="3365" ht="15" customHeight="1"/>
    <row r="3366" ht="15" customHeight="1"/>
    <row r="3367" ht="15" customHeight="1"/>
    <row r="3368" ht="15" customHeight="1"/>
    <row r="3369" ht="15" customHeight="1"/>
    <row r="3370" ht="15" customHeight="1"/>
    <row r="3371" ht="15" customHeight="1"/>
    <row r="3372" ht="15" customHeight="1"/>
    <row r="3373" ht="15" customHeight="1"/>
    <row r="3374" ht="15" customHeight="1"/>
    <row r="3375" ht="15" customHeight="1"/>
    <row r="3376" ht="15" customHeight="1"/>
    <row r="3377" ht="15" customHeight="1"/>
    <row r="3378" ht="12" customHeight="1"/>
    <row r="3379" ht="15" customHeight="1"/>
    <row r="3380" ht="15" customHeight="1"/>
    <row r="3381" ht="12" customHeight="1"/>
    <row r="3382" ht="15" customHeight="1"/>
    <row r="3383" ht="15" customHeight="1"/>
    <row r="3384" ht="15" customHeight="1"/>
    <row r="3385" ht="12" customHeight="1"/>
    <row r="3386" ht="15" customHeight="1"/>
    <row r="3387" ht="15" customHeight="1"/>
    <row r="3388" ht="15" customHeight="1"/>
    <row r="3389" ht="15" customHeight="1"/>
    <row r="3390" ht="15" customHeight="1"/>
    <row r="3391" ht="15" customHeight="1"/>
    <row r="3392" ht="15" customHeight="1"/>
    <row r="3393" ht="15" customHeight="1"/>
    <row r="3394" ht="15" customHeight="1"/>
    <row r="3395" ht="15" customHeight="1"/>
    <row r="3396" ht="12" customHeight="1"/>
    <row r="3397" ht="15" customHeight="1"/>
    <row r="3398" ht="15" customHeight="1"/>
    <row r="3399" ht="12" customHeight="1"/>
    <row r="3400" ht="15" customHeight="1"/>
    <row r="3401" ht="15" customHeight="1"/>
    <row r="3402" ht="15" customHeight="1"/>
    <row r="3403" ht="15" customHeight="1"/>
    <row r="3404" ht="15" customHeight="1"/>
    <row r="3405" ht="15" customHeight="1"/>
    <row r="3406" ht="15" customHeight="1"/>
    <row r="3407" ht="15" customHeight="1"/>
    <row r="3408" ht="15" customHeight="1"/>
    <row r="3409" ht="15" customHeight="1"/>
    <row r="3410" ht="12" customHeight="1"/>
    <row r="3411" ht="12" customHeight="1"/>
    <row r="3412" ht="12" customHeight="1"/>
    <row r="3413" ht="12" customHeight="1"/>
    <row r="3414" ht="12" customHeight="1"/>
    <row r="3415" ht="12" customHeight="1"/>
    <row r="3416" ht="12" customHeight="1"/>
    <row r="3417" ht="12" customHeight="1"/>
    <row r="3418" ht="12" customHeight="1"/>
    <row r="3419" ht="12" customHeight="1"/>
    <row r="3420" ht="12" customHeight="1"/>
    <row r="3421" ht="12" customHeight="1"/>
    <row r="3422" ht="12" customHeight="1"/>
    <row r="3423" ht="12" customHeight="1"/>
    <row r="3424" ht="12" customHeight="1"/>
    <row r="3425" ht="12" customHeight="1"/>
    <row r="3426" ht="12" customHeight="1"/>
    <row r="3427" ht="12" customHeight="1"/>
    <row r="3428" ht="12" customHeight="1"/>
    <row r="3429" ht="12" customHeight="1"/>
    <row r="3430" ht="12" customHeight="1"/>
    <row r="3431" ht="12" customHeight="1"/>
    <row r="3432" ht="12" customHeight="1"/>
    <row r="3433" ht="12" customHeight="1"/>
    <row r="3434" ht="12" customHeight="1"/>
    <row r="3435" ht="12" customHeight="1"/>
    <row r="3436" ht="12" customHeight="1"/>
    <row r="3437" ht="12" customHeight="1"/>
    <row r="3438" ht="12" customHeight="1"/>
    <row r="3439" ht="12" customHeight="1"/>
    <row r="3440" ht="12" customHeight="1"/>
    <row r="3441" ht="12" customHeight="1"/>
    <row r="3442" ht="12" customHeight="1"/>
    <row r="3443" ht="12" customHeight="1"/>
    <row r="3444" ht="12" customHeight="1"/>
    <row r="3445" ht="12" customHeight="1"/>
    <row r="3446" ht="12" customHeight="1"/>
    <row r="3447" ht="12" customHeight="1"/>
    <row r="3448" ht="12" customHeight="1"/>
    <row r="3449" ht="12" customHeight="1"/>
    <row r="3450" ht="15" customHeight="1"/>
    <row r="3451" ht="15" customHeight="1"/>
    <row r="3452" ht="15" customHeight="1"/>
    <row r="3453" ht="15" customHeight="1"/>
    <row r="3454" ht="15" customHeight="1"/>
    <row r="3455" ht="15" customHeight="1"/>
    <row r="3456" ht="15" customHeight="1"/>
    <row r="3457" ht="15" customHeight="1"/>
    <row r="3458" ht="15" customHeight="1"/>
    <row r="3459" ht="15" customHeight="1"/>
    <row r="3460" ht="12" customHeight="1"/>
    <row r="3461" ht="15" customHeight="1"/>
    <row r="3462" ht="15" customHeight="1"/>
    <row r="3463" ht="15" customHeight="1"/>
    <row r="3464" ht="15" customHeight="1"/>
    <row r="3465" ht="15" customHeight="1"/>
    <row r="3466" ht="15" customHeight="1"/>
    <row r="3467" ht="15" customHeight="1"/>
    <row r="3468" ht="15" customHeight="1"/>
    <row r="3469" ht="15" customHeight="1"/>
    <row r="3470" ht="15" customHeight="1"/>
    <row r="3471" ht="15" customHeight="1"/>
    <row r="3472" ht="15" customHeight="1"/>
    <row r="3473" ht="15" customHeight="1"/>
    <row r="3474" ht="15" customHeight="1"/>
    <row r="3475" ht="15" customHeight="1"/>
    <row r="3476" ht="15" customHeight="1"/>
    <row r="3477" ht="12" customHeight="1"/>
    <row r="3478" ht="15" customHeight="1"/>
    <row r="3479" ht="15" customHeight="1"/>
    <row r="3480" ht="12" customHeight="1"/>
    <row r="3481" ht="15" customHeight="1"/>
    <row r="3482" ht="15" customHeight="1"/>
    <row r="3483" ht="15" customHeight="1"/>
    <row r="3484" ht="15" customHeight="1"/>
    <row r="3485" ht="15" customHeight="1"/>
    <row r="3486" ht="12" customHeight="1"/>
    <row r="3487" ht="15" customHeight="1"/>
    <row r="3488" ht="15" customHeight="1"/>
    <row r="3489" ht="15" customHeight="1"/>
    <row r="3490" ht="15" customHeight="1"/>
    <row r="3491" ht="15" customHeight="1"/>
    <row r="3492" ht="15" customHeight="1"/>
    <row r="3493" ht="15" customHeight="1"/>
    <row r="3494" ht="15" customHeight="1"/>
    <row r="3495" ht="15" customHeight="1"/>
    <row r="3496" ht="15" customHeight="1"/>
    <row r="3497" ht="15" customHeight="1"/>
    <row r="3498" ht="15" customHeight="1"/>
    <row r="3499" ht="15" customHeight="1"/>
    <row r="3500" ht="15" customHeight="1"/>
    <row r="3501" ht="15" customHeight="1"/>
    <row r="3502" ht="15" customHeight="1"/>
    <row r="3503" ht="12" customHeight="1"/>
    <row r="3504" ht="15" customHeight="1"/>
    <row r="3505" ht="15" customHeight="1"/>
    <row r="3506" ht="12" customHeight="1"/>
    <row r="3507" ht="15" customHeight="1"/>
    <row r="3508" ht="15" customHeight="1"/>
    <row r="3509" ht="15" customHeight="1"/>
    <row r="3510" ht="12" customHeight="1"/>
    <row r="3511" ht="15" customHeight="1"/>
    <row r="3512" ht="15" customHeight="1"/>
    <row r="3513" ht="15" customHeight="1"/>
    <row r="3514" ht="15" customHeight="1"/>
    <row r="3515" ht="15" customHeight="1"/>
    <row r="3516" ht="15" customHeight="1"/>
    <row r="3517" ht="15" customHeight="1"/>
    <row r="3518" ht="15" customHeight="1"/>
    <row r="3519" ht="15" customHeight="1"/>
    <row r="3520" ht="15" customHeight="1"/>
    <row r="3521" ht="12" customHeight="1"/>
    <row r="3522" ht="15" customHeight="1"/>
    <row r="3523" ht="15" customHeight="1"/>
    <row r="3524" ht="12" customHeight="1"/>
    <row r="3525" ht="15" customHeight="1"/>
    <row r="3526" ht="15" customHeight="1"/>
    <row r="3527" ht="15" customHeight="1"/>
    <row r="3528" ht="15" customHeight="1"/>
    <row r="3529" ht="15" customHeight="1"/>
    <row r="3530" ht="15" customHeight="1"/>
    <row r="3531" ht="15" customHeight="1"/>
    <row r="3532" ht="15" customHeight="1"/>
    <row r="3533" ht="15" customHeight="1"/>
    <row r="3534" ht="15" customHeight="1"/>
    <row r="3535" ht="12" customHeight="1"/>
    <row r="3536" ht="12" customHeight="1"/>
    <row r="3537" ht="12" customHeight="1"/>
    <row r="3538" ht="12" customHeight="1"/>
    <row r="3539" ht="12" customHeight="1"/>
    <row r="3540" ht="12" customHeight="1"/>
    <row r="3541" ht="12" customHeight="1"/>
    <row r="3542" ht="12" customHeight="1"/>
    <row r="3543" ht="12" customHeight="1"/>
    <row r="3544" ht="12" customHeight="1"/>
    <row r="3545" ht="12" customHeight="1"/>
    <row r="3546" ht="12" customHeight="1"/>
    <row r="3547" ht="12" customHeight="1"/>
    <row r="3548" ht="12" customHeight="1"/>
    <row r="3549" ht="12" customHeight="1"/>
    <row r="3550" ht="12" customHeight="1"/>
    <row r="3551" ht="12" customHeight="1"/>
    <row r="3552" ht="12" customHeight="1"/>
    <row r="3553" ht="12" customHeight="1"/>
    <row r="3554" ht="12" customHeight="1"/>
    <row r="3555" ht="12" customHeight="1"/>
    <row r="3556" ht="12" customHeight="1"/>
    <row r="3557" ht="12" customHeight="1"/>
    <row r="3558" ht="12" customHeight="1"/>
    <row r="3559" ht="12" customHeight="1"/>
    <row r="3560" ht="12" customHeight="1"/>
    <row r="3561" ht="12" customHeight="1"/>
    <row r="3562" ht="12" customHeight="1"/>
    <row r="3563" ht="12" customHeight="1"/>
    <row r="3564" ht="12" customHeight="1"/>
    <row r="3565" ht="12" customHeight="1"/>
    <row r="3566" ht="12" customHeight="1"/>
    <row r="3567" ht="12" customHeight="1"/>
    <row r="3568" ht="12" customHeight="1"/>
    <row r="3569" ht="12" customHeight="1"/>
    <row r="3570" ht="12" customHeight="1"/>
    <row r="3571" ht="12" customHeight="1"/>
    <row r="3572" ht="12" customHeight="1"/>
    <row r="3573" ht="12" customHeight="1"/>
    <row r="3574" ht="12" customHeight="1"/>
    <row r="3575" ht="15" customHeight="1"/>
    <row r="3576" ht="15" customHeight="1"/>
    <row r="3577" ht="15" customHeight="1"/>
    <row r="3578" ht="15" customHeight="1"/>
    <row r="3579" ht="15" customHeight="1"/>
    <row r="3580" ht="15" customHeight="1"/>
    <row r="3581" ht="15" customHeight="1"/>
    <row r="3582" ht="15" customHeight="1"/>
    <row r="3583" ht="15" customHeight="1"/>
    <row r="3584" ht="15" customHeight="1"/>
    <row r="3585" ht="12" customHeight="1"/>
    <row r="3586" ht="15" customHeight="1"/>
    <row r="3587" ht="15" customHeight="1"/>
    <row r="3588" ht="15" customHeight="1"/>
    <row r="3589" ht="15" customHeight="1"/>
    <row r="3590" ht="15" customHeight="1"/>
    <row r="3591" ht="15" customHeight="1"/>
    <row r="3592" ht="15" customHeight="1"/>
    <row r="3593" ht="15" customHeight="1"/>
    <row r="3594" ht="15" customHeight="1"/>
    <row r="3595" ht="15" customHeight="1"/>
    <row r="3596" ht="15" customHeight="1"/>
    <row r="3597" ht="15" customHeight="1"/>
    <row r="3598" ht="15" customHeight="1"/>
    <row r="3599" ht="15" customHeight="1"/>
    <row r="3600" ht="15" customHeight="1"/>
    <row r="3601" ht="15" customHeight="1"/>
    <row r="3602" ht="12" customHeight="1"/>
    <row r="3603" ht="15" customHeight="1"/>
    <row r="3604" ht="15" customHeight="1"/>
    <row r="3605" ht="12" customHeight="1"/>
    <row r="3606" ht="15" customHeight="1"/>
    <row r="3607" ht="15" customHeight="1"/>
    <row r="3608" ht="15" customHeight="1"/>
    <row r="3609" ht="15" customHeight="1"/>
    <row r="3610" ht="15" customHeight="1"/>
    <row r="3611" ht="12" customHeight="1"/>
    <row r="3612" ht="15" customHeight="1"/>
    <row r="3613" ht="15" customHeight="1"/>
    <row r="3614" ht="15" customHeight="1"/>
    <row r="3615" ht="15" customHeight="1"/>
    <row r="3616" ht="15" customHeight="1"/>
    <row r="3617" ht="15" customHeight="1"/>
    <row r="3618" ht="15" customHeight="1"/>
    <row r="3619" ht="15" customHeight="1"/>
    <row r="3620" ht="15" customHeight="1"/>
    <row r="3621" ht="15" customHeight="1"/>
    <row r="3622" ht="15" customHeight="1"/>
    <row r="3623" ht="15" customHeight="1"/>
    <row r="3624" ht="15" customHeight="1"/>
    <row r="3625" ht="15" customHeight="1"/>
    <row r="3626" ht="15" customHeight="1"/>
    <row r="3627" ht="15" customHeight="1"/>
    <row r="3628" ht="12" customHeight="1"/>
    <row r="3629" ht="15" customHeight="1"/>
    <row r="3630" ht="15" customHeight="1"/>
    <row r="3631" ht="12" customHeight="1"/>
    <row r="3632" ht="15" customHeight="1"/>
    <row r="3633" ht="15" customHeight="1"/>
    <row r="3634" ht="15" customHeight="1"/>
    <row r="3635" ht="12" customHeight="1"/>
    <row r="3636" ht="15" customHeight="1"/>
    <row r="3637" ht="15" customHeight="1"/>
    <row r="3638" ht="15" customHeight="1"/>
    <row r="3639" ht="15" customHeight="1"/>
    <row r="3640" ht="15" customHeight="1"/>
    <row r="3641" ht="15" customHeight="1"/>
    <row r="3642" ht="15" customHeight="1"/>
    <row r="3643" ht="15" customHeight="1"/>
    <row r="3644" ht="15" customHeight="1"/>
    <row r="3645" ht="15" customHeight="1"/>
    <row r="3646" ht="12" customHeight="1"/>
    <row r="3647" ht="15" customHeight="1"/>
    <row r="3648" ht="15" customHeight="1"/>
    <row r="3649" ht="12" customHeight="1"/>
    <row r="3650" ht="15" customHeight="1"/>
    <row r="3651" ht="15" customHeight="1"/>
    <row r="3652" ht="15" customHeight="1"/>
    <row r="3653" ht="15" customHeight="1"/>
    <row r="3654" ht="15" customHeight="1"/>
    <row r="3655" ht="15" customHeight="1"/>
    <row r="3656" ht="15" customHeight="1"/>
    <row r="3657" ht="15" customHeight="1"/>
    <row r="3658" ht="15" customHeight="1"/>
    <row r="3659" ht="15" customHeight="1"/>
    <row r="3660" ht="12" customHeight="1"/>
    <row r="3661" ht="12" customHeight="1"/>
    <row r="3662" ht="12" customHeight="1"/>
    <row r="3663" ht="12" customHeight="1"/>
    <row r="3664" ht="12" customHeight="1"/>
    <row r="3665" ht="12" customHeight="1"/>
    <row r="3666" ht="12" customHeight="1"/>
    <row r="3667" ht="12" customHeight="1"/>
    <row r="3668" ht="12" customHeight="1"/>
    <row r="3669" ht="12" customHeight="1"/>
    <row r="3670" ht="12" customHeight="1"/>
    <row r="3671" ht="12" customHeight="1"/>
    <row r="3672" ht="12" customHeight="1"/>
    <row r="3673" ht="12" customHeight="1"/>
    <row r="3674" ht="12" customHeight="1"/>
    <row r="3675" ht="12" customHeight="1"/>
    <row r="3676" ht="12" customHeight="1"/>
    <row r="3677" ht="12" customHeight="1"/>
    <row r="3678" ht="12" customHeight="1"/>
    <row r="3679" ht="12" customHeight="1"/>
    <row r="3680" ht="12" customHeight="1"/>
    <row r="3681" ht="12" customHeight="1"/>
    <row r="3682" ht="12" customHeight="1"/>
    <row r="3683" ht="12" customHeight="1"/>
    <row r="3684" ht="12" customHeight="1"/>
    <row r="3685" ht="12" customHeight="1"/>
    <row r="3686" ht="12" customHeight="1"/>
    <row r="3687" ht="12" customHeight="1"/>
    <row r="3688" ht="12" customHeight="1"/>
    <row r="3689" ht="12" customHeight="1"/>
    <row r="3690" ht="12" customHeight="1"/>
    <row r="3691" ht="12" customHeight="1"/>
    <row r="3692" ht="12" customHeight="1"/>
    <row r="3693" ht="12" customHeight="1"/>
    <row r="3694" ht="12" customHeight="1"/>
    <row r="3695" ht="12" customHeight="1"/>
    <row r="3696" ht="12" customHeight="1"/>
    <row r="3697" ht="12" customHeight="1"/>
    <row r="3698" ht="12" customHeight="1"/>
    <row r="3699" ht="12" customHeight="1"/>
    <row r="3700" ht="15" customHeight="1"/>
    <row r="3701" ht="15" customHeight="1"/>
    <row r="3702" ht="15" customHeight="1"/>
    <row r="3703" ht="15" customHeight="1"/>
    <row r="3704" ht="15" customHeight="1"/>
    <row r="3705" ht="15" customHeight="1"/>
    <row r="3706" ht="15" customHeight="1"/>
    <row r="3707" ht="15" customHeight="1"/>
    <row r="3708" ht="15" customHeight="1"/>
    <row r="3709" ht="15" customHeight="1"/>
    <row r="3710" ht="12" customHeight="1"/>
    <row r="3711" ht="15" customHeight="1"/>
    <row r="3712" ht="15" customHeight="1"/>
    <row r="3713" ht="15" customHeight="1"/>
    <row r="3714" ht="15" customHeight="1"/>
    <row r="3715" ht="15" customHeight="1"/>
    <row r="3716" ht="15" customHeight="1"/>
    <row r="3717" ht="15" customHeight="1"/>
    <row r="3718" ht="15" customHeight="1"/>
    <row r="3719" ht="15" customHeight="1"/>
    <row r="3720" ht="15" customHeight="1"/>
    <row r="3721" ht="15" customHeight="1"/>
    <row r="3722" ht="15" customHeight="1"/>
    <row r="3723" ht="15" customHeight="1"/>
    <row r="3724" ht="15" customHeight="1"/>
    <row r="3725" ht="15" customHeight="1"/>
    <row r="3726" ht="15" customHeight="1"/>
    <row r="3727" ht="12" customHeight="1"/>
    <row r="3728" ht="15" customHeight="1"/>
    <row r="3729" ht="15" customHeight="1"/>
    <row r="3730" ht="12" customHeight="1"/>
    <row r="3731" ht="15" customHeight="1"/>
    <row r="3732" ht="15" customHeight="1"/>
    <row r="3733" ht="15" customHeight="1"/>
    <row r="3734" ht="15" customHeight="1"/>
    <row r="3735" ht="15" customHeight="1"/>
    <row r="3736" ht="12" customHeight="1"/>
    <row r="3737" ht="15" customHeight="1"/>
    <row r="3738" ht="15" customHeight="1"/>
    <row r="3739" ht="15" customHeight="1"/>
    <row r="3740" ht="15" customHeight="1"/>
    <row r="3741" ht="15" customHeight="1"/>
    <row r="3742" ht="15" customHeight="1"/>
    <row r="3743" ht="15" customHeight="1"/>
    <row r="3744" ht="15" customHeight="1"/>
    <row r="3745" ht="15" customHeight="1"/>
    <row r="3746" ht="15" customHeight="1"/>
    <row r="3747" ht="15" customHeight="1"/>
    <row r="3748" ht="15" customHeight="1"/>
    <row r="3749" ht="15" customHeight="1"/>
    <row r="3750" ht="15" customHeight="1"/>
    <row r="3751" ht="15" customHeight="1"/>
    <row r="3752" ht="15" customHeight="1"/>
    <row r="3753" ht="12" customHeight="1"/>
    <row r="3754" ht="15" customHeight="1"/>
    <row r="3755" ht="15" customHeight="1"/>
    <row r="3756" ht="12" customHeight="1"/>
    <row r="3757" ht="15" customHeight="1"/>
    <row r="3758" ht="15" customHeight="1"/>
    <row r="3759" ht="15" customHeight="1"/>
    <row r="3760" ht="12" customHeight="1"/>
    <row r="3761" ht="15" customHeight="1"/>
    <row r="3762" ht="15" customHeight="1"/>
    <row r="3763" ht="15" customHeight="1"/>
    <row r="3764" ht="15" customHeight="1"/>
    <row r="3765" ht="15" customHeight="1"/>
    <row r="3766" ht="15" customHeight="1"/>
    <row r="3767" ht="15" customHeight="1"/>
    <row r="3768" ht="15" customHeight="1"/>
    <row r="3769" ht="15" customHeight="1"/>
    <row r="3770" ht="15" customHeight="1"/>
    <row r="3771" ht="12" customHeight="1"/>
    <row r="3772" ht="15" customHeight="1"/>
    <row r="3773" ht="15" customHeight="1"/>
    <row r="3774" ht="12" customHeight="1"/>
    <row r="3775" ht="15" customHeight="1"/>
    <row r="3776" ht="15" customHeight="1"/>
    <row r="3777" ht="15" customHeight="1"/>
    <row r="3778" ht="15" customHeight="1"/>
    <row r="3779" ht="15" customHeight="1"/>
    <row r="3780" ht="15" customHeight="1"/>
    <row r="3781" ht="15" customHeight="1"/>
    <row r="3782" ht="15" customHeight="1"/>
    <row r="3783" ht="15" customHeight="1"/>
    <row r="3784" ht="15" customHeight="1"/>
    <row r="3785" ht="12" customHeight="1"/>
    <row r="3786" ht="12" customHeight="1"/>
    <row r="3787" ht="12" customHeight="1"/>
    <row r="3788" ht="12" customHeight="1"/>
    <row r="3789" ht="12" customHeight="1"/>
    <row r="3790" ht="12" customHeight="1"/>
    <row r="3791" ht="12" customHeight="1"/>
    <row r="3792" ht="12" customHeight="1"/>
    <row r="3793" ht="12" customHeight="1"/>
    <row r="3794" ht="12" customHeight="1"/>
    <row r="3795" ht="12" customHeight="1"/>
    <row r="3796" ht="12" customHeight="1"/>
    <row r="3797" ht="12" customHeight="1"/>
    <row r="3798" ht="12" customHeight="1"/>
    <row r="3799" ht="12" customHeight="1"/>
    <row r="3800" ht="12" customHeight="1"/>
    <row r="3801" ht="12" customHeight="1"/>
    <row r="3802" ht="12" customHeight="1"/>
    <row r="3803" ht="12" customHeight="1"/>
    <row r="3804" ht="12" customHeight="1"/>
    <row r="3805" ht="12" customHeight="1"/>
    <row r="3806" ht="12" customHeight="1"/>
    <row r="3807" ht="12" customHeight="1"/>
    <row r="3808" ht="12" customHeight="1"/>
    <row r="3809" ht="12" customHeight="1"/>
    <row r="3810" ht="12" customHeight="1"/>
    <row r="3811" ht="12" customHeight="1"/>
    <row r="3812" ht="12" customHeight="1"/>
    <row r="3813" ht="12" customHeight="1"/>
    <row r="3814" ht="12" customHeight="1"/>
    <row r="3815" ht="12" customHeight="1"/>
    <row r="3816" ht="12" customHeight="1"/>
    <row r="3817" ht="12" customHeight="1"/>
    <row r="3818" ht="12" customHeight="1"/>
    <row r="3819" ht="12" customHeight="1"/>
    <row r="3820" ht="12" customHeight="1"/>
    <row r="3821" ht="12" customHeight="1"/>
    <row r="3822" ht="12" customHeight="1"/>
    <row r="3823" ht="12" customHeight="1"/>
    <row r="3824" ht="12" customHeight="1"/>
    <row r="3825" ht="15" customHeight="1"/>
    <row r="3826" ht="15" customHeight="1"/>
    <row r="3827" ht="15" customHeight="1"/>
    <row r="3828" ht="15" customHeight="1"/>
    <row r="3829" ht="15" customHeight="1"/>
    <row r="3830" ht="15" customHeight="1"/>
    <row r="3831" ht="15" customHeight="1"/>
    <row r="3832" ht="15" customHeight="1"/>
    <row r="3833" ht="15" customHeight="1"/>
    <row r="3834" ht="15" customHeight="1"/>
    <row r="3835" ht="12" customHeight="1"/>
    <row r="3836" ht="15" customHeight="1"/>
    <row r="3837" ht="15" customHeight="1"/>
    <row r="3838" ht="15" customHeight="1"/>
    <row r="3839" ht="15" customHeight="1"/>
    <row r="3840" ht="15" customHeight="1"/>
    <row r="3841" ht="15" customHeight="1"/>
    <row r="3842" ht="15" customHeight="1"/>
    <row r="3843" ht="15" customHeight="1"/>
    <row r="3844" ht="15" customHeight="1"/>
    <row r="3845" ht="15" customHeight="1"/>
    <row r="3846" ht="15" customHeight="1"/>
    <row r="3847" ht="15" customHeight="1"/>
    <row r="3848" ht="15" customHeight="1"/>
    <row r="3849" ht="15" customHeight="1"/>
    <row r="3850" ht="15" customHeight="1"/>
    <row r="3851" ht="15" customHeight="1"/>
    <row r="3852" ht="12" customHeight="1"/>
    <row r="3853" ht="15" customHeight="1"/>
    <row r="3854" ht="15" customHeight="1"/>
    <row r="3855" ht="12" customHeight="1"/>
    <row r="3856" ht="15" customHeight="1"/>
    <row r="3857" ht="15" customHeight="1"/>
    <row r="3858" ht="15" customHeight="1"/>
    <row r="3859" ht="15" customHeight="1"/>
    <row r="3860" ht="15" customHeight="1"/>
    <row r="3861" ht="12" customHeight="1"/>
    <row r="3862" ht="15" customHeight="1"/>
    <row r="3863" ht="15" customHeight="1"/>
    <row r="3864" ht="15" customHeight="1"/>
    <row r="3865" ht="15" customHeight="1"/>
    <row r="3866" ht="15" customHeight="1"/>
    <row r="3867" ht="15" customHeight="1"/>
    <row r="3868" ht="15" customHeight="1"/>
    <row r="3869" ht="15" customHeight="1"/>
    <row r="3870" ht="15" customHeight="1"/>
    <row r="3871" ht="15" customHeight="1"/>
    <row r="3872" ht="15" customHeight="1"/>
    <row r="3873" ht="15" customHeight="1"/>
    <row r="3874" ht="15" customHeight="1"/>
    <row r="3875" ht="15" customHeight="1"/>
    <row r="3876" ht="15" customHeight="1"/>
    <row r="3877" ht="15" customHeight="1"/>
    <row r="3878" ht="12" customHeight="1"/>
    <row r="3879" ht="15" customHeight="1"/>
    <row r="3880" ht="15" customHeight="1"/>
    <row r="3881" ht="12" customHeight="1"/>
    <row r="3882" ht="15" customHeight="1"/>
    <row r="3883" ht="15" customHeight="1"/>
    <row r="3884" ht="15" customHeight="1"/>
    <row r="3885" ht="12" customHeight="1"/>
    <row r="3886" ht="15" customHeight="1"/>
    <row r="3887" ht="15" customHeight="1"/>
    <row r="3888" ht="15" customHeight="1"/>
    <row r="3889" ht="15" customHeight="1"/>
    <row r="3890" ht="15" customHeight="1"/>
    <row r="3891" ht="15" customHeight="1"/>
    <row r="3892" ht="15" customHeight="1"/>
    <row r="3893" ht="15" customHeight="1"/>
    <row r="3894" ht="15" customHeight="1"/>
    <row r="3895" ht="15" customHeight="1"/>
    <row r="3896" ht="12" customHeight="1"/>
    <row r="3897" ht="15" customHeight="1"/>
    <row r="3898" ht="15" customHeight="1"/>
    <row r="3899" ht="12" customHeight="1"/>
    <row r="3900" ht="15" customHeight="1"/>
    <row r="3901" ht="15" customHeight="1"/>
    <row r="3902" ht="15" customHeight="1"/>
    <row r="3903" ht="15" customHeight="1"/>
    <row r="3904" ht="15" customHeight="1"/>
    <row r="3905" ht="15" customHeight="1"/>
    <row r="3906" ht="15" customHeight="1"/>
    <row r="3907" ht="15" customHeight="1"/>
    <row r="3908" ht="15" customHeight="1"/>
    <row r="3909" ht="15" customHeight="1"/>
    <row r="3910" ht="12" customHeight="1"/>
    <row r="3911" ht="12" customHeight="1"/>
    <row r="3912" ht="12" customHeight="1"/>
    <row r="3913" ht="12" customHeight="1"/>
    <row r="3914" ht="12" customHeight="1"/>
    <row r="3915" ht="12" customHeight="1"/>
    <row r="3916" ht="12" customHeight="1"/>
    <row r="3917" ht="12" customHeight="1"/>
    <row r="3918" ht="12" customHeight="1"/>
    <row r="3919" ht="12" customHeight="1"/>
    <row r="3920" ht="12" customHeight="1"/>
    <row r="3921" ht="12" customHeight="1"/>
    <row r="3922" ht="12" customHeight="1"/>
    <row r="3923" ht="12" customHeight="1"/>
    <row r="3924" ht="12" customHeight="1"/>
    <row r="3925" ht="12" customHeight="1"/>
    <row r="3926" ht="12" customHeight="1"/>
    <row r="3927" ht="12" customHeight="1"/>
    <row r="3928" ht="12" customHeight="1"/>
    <row r="3929" ht="12" customHeight="1"/>
    <row r="3930" ht="12" customHeight="1"/>
    <row r="3931" ht="12" customHeight="1"/>
    <row r="3932" ht="12" customHeight="1"/>
    <row r="3933" ht="12" customHeight="1"/>
    <row r="3934" ht="12" customHeight="1"/>
    <row r="3935" ht="12" customHeight="1"/>
    <row r="3936" ht="12" customHeight="1"/>
    <row r="3937" ht="12" customHeight="1"/>
    <row r="3938" ht="12" customHeight="1"/>
    <row r="3939" ht="12" customHeight="1"/>
    <row r="3940" ht="12" customHeight="1"/>
    <row r="3941" ht="12" customHeight="1"/>
    <row r="3942" ht="12" customHeight="1"/>
    <row r="3943" ht="12" customHeight="1"/>
    <row r="3944" ht="12" customHeight="1"/>
    <row r="3945" ht="12" customHeight="1"/>
    <row r="3946" ht="12" customHeight="1"/>
    <row r="3947" ht="12" customHeight="1"/>
    <row r="3948" ht="12" customHeight="1"/>
    <row r="3949" ht="12" customHeight="1"/>
    <row r="3950" ht="15" customHeight="1"/>
    <row r="3951" ht="15" customHeight="1"/>
    <row r="3952" ht="15" customHeight="1"/>
    <row r="3953" ht="15" customHeight="1"/>
    <row r="3954" ht="15" customHeight="1"/>
    <row r="3955" ht="15" customHeight="1"/>
    <row r="3956" ht="15" customHeight="1"/>
    <row r="3957" ht="15" customHeight="1"/>
    <row r="3958" ht="15" customHeight="1"/>
    <row r="3959" ht="15" customHeight="1"/>
    <row r="3960" ht="12" customHeight="1"/>
    <row r="3961" ht="15" customHeight="1"/>
    <row r="3962" ht="15" customHeight="1"/>
    <row r="3963" ht="15" customHeight="1"/>
    <row r="3964" ht="15" customHeight="1"/>
    <row r="3965" ht="15" customHeight="1"/>
    <row r="3966" ht="15" customHeight="1"/>
    <row r="3967" ht="15" customHeight="1"/>
    <row r="3968" ht="15" customHeight="1"/>
    <row r="3969" ht="15" customHeight="1"/>
    <row r="3970" ht="15" customHeight="1"/>
    <row r="3971" ht="15" customHeight="1"/>
    <row r="3972" ht="15" customHeight="1"/>
    <row r="3973" ht="15" customHeight="1"/>
    <row r="3974" ht="15" customHeight="1"/>
    <row r="3975" ht="15" customHeight="1"/>
    <row r="3976" ht="15" customHeight="1"/>
    <row r="3977" ht="12" customHeight="1"/>
    <row r="3978" ht="15" customHeight="1"/>
    <row r="3979" ht="15" customHeight="1"/>
    <row r="3980" ht="12" customHeight="1"/>
    <row r="3981" ht="15" customHeight="1"/>
    <row r="3982" ht="15" customHeight="1"/>
    <row r="3983" ht="15" customHeight="1"/>
    <row r="3984" ht="15" customHeight="1"/>
    <row r="3985" ht="15" customHeight="1"/>
    <row r="3986" ht="12" customHeight="1"/>
    <row r="3987" ht="15" customHeight="1"/>
    <row r="3988" ht="15" customHeight="1"/>
    <row r="3989" ht="15" customHeight="1"/>
    <row r="3990" ht="15" customHeight="1"/>
    <row r="3991" ht="15" customHeight="1"/>
    <row r="3992" ht="15" customHeight="1"/>
    <row r="3993" ht="15" customHeight="1"/>
    <row r="3994" ht="15" customHeight="1"/>
    <row r="3995" ht="15" customHeight="1"/>
    <row r="3996" ht="15" customHeight="1"/>
    <row r="3997" ht="15" customHeight="1"/>
    <row r="3998" ht="15" customHeight="1"/>
    <row r="3999" ht="15" customHeight="1"/>
    <row r="4000" ht="15" customHeight="1"/>
    <row r="4001" ht="15" customHeight="1"/>
    <row r="4002" ht="15" customHeight="1"/>
    <row r="4003" ht="12" customHeight="1"/>
    <row r="4004" ht="15" customHeight="1"/>
    <row r="4005" ht="15" customHeight="1"/>
    <row r="4006" ht="12" customHeight="1"/>
    <row r="4007" ht="15" customHeight="1"/>
    <row r="4008" ht="15" customHeight="1"/>
    <row r="4009" ht="15" customHeight="1"/>
    <row r="4010" ht="12" customHeight="1"/>
    <row r="4011" ht="15" customHeight="1"/>
    <row r="4012" ht="15" customHeight="1"/>
    <row r="4013" ht="15" customHeight="1"/>
    <row r="4014" ht="15" customHeight="1"/>
    <row r="4015" ht="15" customHeight="1"/>
    <row r="4016" ht="15" customHeight="1"/>
    <row r="4017" ht="15" customHeight="1"/>
    <row r="4018" ht="15" customHeight="1"/>
    <row r="4019" ht="15" customHeight="1"/>
    <row r="4020" ht="15" customHeight="1"/>
    <row r="4021" ht="12" customHeight="1"/>
    <row r="4022" ht="15" customHeight="1"/>
    <row r="4023" ht="15" customHeight="1"/>
    <row r="4024" ht="12" customHeight="1"/>
    <row r="4025" ht="15" customHeight="1"/>
    <row r="4026" ht="15" customHeight="1"/>
    <row r="4027" ht="15" customHeight="1"/>
    <row r="4028" ht="15" customHeight="1"/>
    <row r="4029" ht="15" customHeight="1"/>
    <row r="4030" ht="15" customHeight="1"/>
    <row r="4031" ht="15" customHeight="1"/>
    <row r="4032" ht="15" customHeight="1"/>
    <row r="4033" ht="15" customHeight="1"/>
    <row r="4034" ht="15" customHeight="1"/>
    <row r="4035" ht="12" customHeight="1"/>
    <row r="4036" ht="12" customHeight="1"/>
    <row r="4037" ht="12" customHeight="1"/>
    <row r="4038" ht="12" customHeight="1"/>
    <row r="4039" ht="12" customHeight="1"/>
    <row r="4040" ht="12" customHeight="1"/>
    <row r="4041" ht="12" customHeight="1"/>
    <row r="4042" ht="12" customHeight="1"/>
    <row r="4043" ht="12" customHeight="1"/>
    <row r="4044" ht="12" customHeight="1"/>
    <row r="4045" ht="12" customHeight="1"/>
    <row r="4046" ht="12" customHeight="1"/>
    <row r="4047" ht="12" customHeight="1"/>
    <row r="4048" ht="12" customHeight="1"/>
    <row r="4049" ht="12" customHeight="1"/>
    <row r="4050" ht="12" customHeight="1"/>
    <row r="4051" ht="12" customHeight="1"/>
    <row r="4052" ht="12" customHeight="1"/>
    <row r="4053" ht="12" customHeight="1"/>
    <row r="4054" ht="12" customHeight="1"/>
    <row r="4055" ht="12" customHeight="1"/>
    <row r="4056" ht="12" customHeight="1"/>
    <row r="4057" ht="12" customHeight="1"/>
    <row r="4058" ht="12" customHeight="1"/>
    <row r="4059" ht="12" customHeight="1"/>
    <row r="4060" ht="12" customHeight="1"/>
    <row r="4061" ht="12" customHeight="1"/>
    <row r="4062" ht="12" customHeight="1"/>
    <row r="4063" ht="12" customHeight="1"/>
    <row r="4064" ht="12" customHeight="1"/>
    <row r="4065" ht="12" customHeight="1"/>
    <row r="4066" ht="12" customHeight="1"/>
    <row r="4067" ht="12" customHeight="1"/>
    <row r="4068" ht="12" customHeight="1"/>
    <row r="4069" ht="12" customHeight="1"/>
    <row r="4070" ht="12" customHeight="1"/>
    <row r="4071" ht="12" customHeight="1"/>
    <row r="4072" ht="12" customHeight="1"/>
    <row r="4073" ht="12" customHeight="1"/>
    <row r="4074" ht="12" customHeight="1"/>
    <row r="4075" ht="15" customHeight="1"/>
    <row r="4076" ht="15" customHeight="1"/>
    <row r="4077" ht="15" customHeight="1"/>
    <row r="4078" ht="15" customHeight="1"/>
    <row r="4079" ht="15" customHeight="1"/>
    <row r="4080" ht="15" customHeight="1"/>
    <row r="4081" ht="15" customHeight="1"/>
    <row r="4082" ht="15" customHeight="1"/>
    <row r="4083" ht="15" customHeight="1"/>
    <row r="4084" ht="15" customHeight="1"/>
    <row r="4085" ht="12" customHeight="1"/>
    <row r="4086" ht="15" customHeight="1"/>
    <row r="4087" ht="15" customHeight="1"/>
    <row r="4088" ht="15" customHeight="1"/>
    <row r="4089" ht="15" customHeight="1"/>
    <row r="4090" ht="15" customHeight="1"/>
    <row r="4091" ht="15" customHeight="1"/>
    <row r="4092" ht="15" customHeight="1"/>
    <row r="4093" ht="15" customHeight="1"/>
    <row r="4094" ht="15" customHeight="1"/>
    <row r="4095" ht="15" customHeight="1"/>
    <row r="4096" ht="15" customHeight="1"/>
    <row r="4097" ht="15" customHeight="1"/>
    <row r="4098" ht="15" customHeight="1"/>
    <row r="4099" ht="15" customHeight="1"/>
    <row r="4100" ht="15" customHeight="1"/>
    <row r="4101" ht="15" customHeight="1"/>
    <row r="4102" ht="12" customHeight="1"/>
    <row r="4103" ht="15" customHeight="1"/>
    <row r="4104" ht="15" customHeight="1"/>
    <row r="4105" ht="12" customHeight="1"/>
    <row r="4106" ht="15" customHeight="1"/>
    <row r="4107" ht="15" customHeight="1"/>
    <row r="4108" ht="15" customHeight="1"/>
    <row r="4109" ht="15" customHeight="1"/>
    <row r="4110" ht="15" customHeight="1"/>
    <row r="4111" ht="12" customHeight="1"/>
    <row r="4112" ht="15" customHeight="1"/>
    <row r="4113" ht="15" customHeight="1"/>
    <row r="4114" ht="15" customHeight="1"/>
    <row r="4115" ht="15" customHeight="1"/>
    <row r="4116" ht="15" customHeight="1"/>
    <row r="4117" ht="15" customHeight="1"/>
    <row r="4118" ht="15" customHeight="1"/>
    <row r="4119" ht="15" customHeight="1"/>
    <row r="4120" ht="15" customHeight="1"/>
    <row r="4121" ht="15" customHeight="1"/>
    <row r="4122" ht="15" customHeight="1"/>
    <row r="4123" ht="15" customHeight="1"/>
    <row r="4124" ht="15" customHeight="1"/>
    <row r="4125" ht="15" customHeight="1"/>
    <row r="4126" ht="15" customHeight="1"/>
    <row r="4127" ht="15" customHeight="1"/>
    <row r="4128" ht="12" customHeight="1"/>
    <row r="4129" ht="15" customHeight="1"/>
    <row r="4130" ht="15" customHeight="1"/>
    <row r="4131" ht="12" customHeight="1"/>
    <row r="4132" ht="15" customHeight="1"/>
    <row r="4133" ht="15" customHeight="1"/>
    <row r="4134" ht="15" customHeight="1"/>
    <row r="4135" ht="12" customHeight="1"/>
    <row r="4136" ht="15" customHeight="1"/>
    <row r="4137" ht="15" customHeight="1"/>
    <row r="4138" ht="15" customHeight="1"/>
    <row r="4139" ht="15" customHeight="1"/>
    <row r="4140" ht="15" customHeight="1"/>
    <row r="4141" ht="15" customHeight="1"/>
    <row r="4142" ht="15" customHeight="1"/>
    <row r="4143" ht="15" customHeight="1"/>
    <row r="4144" ht="15" customHeight="1"/>
    <row r="4145" ht="15" customHeight="1"/>
    <row r="4146" ht="12" customHeight="1"/>
    <row r="4147" ht="15" customHeight="1"/>
    <row r="4148" ht="15" customHeight="1"/>
    <row r="4149" ht="12" customHeight="1"/>
    <row r="4150" ht="15" customHeight="1"/>
    <row r="4151" ht="15" customHeight="1"/>
    <row r="4152" ht="15" customHeight="1"/>
    <row r="4153" ht="15" customHeight="1"/>
    <row r="4154" ht="15" customHeight="1"/>
    <row r="4155" ht="15" customHeight="1"/>
    <row r="4156" ht="15" customHeight="1"/>
    <row r="4157" ht="15" customHeight="1"/>
    <row r="4158" ht="15" customHeight="1"/>
    <row r="4159" ht="15" customHeight="1"/>
    <row r="4160" ht="12" customHeight="1"/>
    <row r="4161" ht="12" customHeight="1"/>
    <row r="4162" ht="12" customHeight="1"/>
    <row r="4163" ht="12" customHeight="1"/>
    <row r="4164" ht="12" customHeight="1"/>
    <row r="4165" ht="12" customHeight="1"/>
    <row r="4166" ht="12" customHeight="1"/>
    <row r="4167" ht="12" customHeight="1"/>
    <row r="4168" ht="12" customHeight="1"/>
    <row r="4169" ht="12" customHeight="1"/>
    <row r="4170" ht="12" customHeight="1"/>
    <row r="4171" ht="12" customHeight="1"/>
    <row r="4172" ht="12" customHeight="1"/>
    <row r="4173" ht="12" customHeight="1"/>
    <row r="4174" ht="12" customHeight="1"/>
    <row r="4175" ht="12" customHeight="1"/>
    <row r="4176" ht="12" customHeight="1"/>
    <row r="4177" ht="12" customHeight="1"/>
    <row r="4178" ht="12" customHeight="1"/>
    <row r="4179" ht="12" customHeight="1"/>
    <row r="4180" ht="12" customHeight="1"/>
    <row r="4181" ht="12" customHeight="1"/>
    <row r="4182" ht="12" customHeight="1"/>
    <row r="4183" ht="12" customHeight="1"/>
    <row r="4184" ht="12" customHeight="1"/>
    <row r="4185" ht="12" customHeight="1"/>
    <row r="4186" ht="12" customHeight="1"/>
    <row r="4187" ht="12" customHeight="1"/>
    <row r="4188" ht="12" customHeight="1"/>
    <row r="4189" ht="12" customHeight="1"/>
    <row r="4190" ht="12" customHeight="1"/>
    <row r="4191" ht="12" customHeight="1"/>
    <row r="4192" ht="12" customHeight="1"/>
    <row r="4193" ht="12" customHeight="1"/>
    <row r="4194" ht="12" customHeight="1"/>
    <row r="4195" ht="12" customHeight="1"/>
    <row r="4196" ht="12" customHeight="1"/>
    <row r="4197" ht="12" customHeight="1"/>
    <row r="4198" ht="12" customHeight="1"/>
    <row r="4199" ht="12" customHeight="1"/>
    <row r="4200" ht="15" customHeight="1"/>
    <row r="4201" ht="15" customHeight="1"/>
    <row r="4202" ht="15" customHeight="1"/>
    <row r="4203" ht="15" customHeight="1"/>
    <row r="4204" ht="15" customHeight="1"/>
    <row r="4205" ht="15" customHeight="1"/>
    <row r="4206" ht="15" customHeight="1"/>
    <row r="4207" ht="15" customHeight="1"/>
    <row r="4208" ht="15" customHeight="1"/>
    <row r="4209" ht="15" customHeight="1"/>
    <row r="4210" ht="12" customHeight="1"/>
    <row r="4211" ht="15" customHeight="1"/>
    <row r="4212" ht="15" customHeight="1"/>
    <row r="4213" ht="15" customHeight="1"/>
    <row r="4214" ht="15" customHeight="1"/>
    <row r="4215" ht="15" customHeight="1"/>
    <row r="4216" ht="15" customHeight="1"/>
    <row r="4217" ht="15" customHeight="1"/>
    <row r="4218" ht="15" customHeight="1"/>
    <row r="4219" ht="15" customHeight="1"/>
    <row r="4220" ht="15" customHeight="1"/>
    <row r="4221" ht="15" customHeight="1"/>
    <row r="4222" ht="15" customHeight="1"/>
    <row r="4223" ht="15" customHeight="1"/>
    <row r="4224" ht="15" customHeight="1"/>
    <row r="4225" ht="15" customHeight="1"/>
    <row r="4226" ht="15" customHeight="1"/>
    <row r="4227" ht="12" customHeight="1"/>
    <row r="4228" ht="15" customHeight="1"/>
    <row r="4229" ht="15" customHeight="1"/>
    <row r="4230" ht="12" customHeight="1"/>
    <row r="4231" ht="15" customHeight="1"/>
    <row r="4232" ht="15" customHeight="1"/>
    <row r="4233" ht="15" customHeight="1"/>
    <row r="4234" ht="15" customHeight="1"/>
    <row r="4235" ht="15" customHeight="1"/>
    <row r="4236" ht="12" customHeight="1"/>
    <row r="4237" ht="15" customHeight="1"/>
    <row r="4238" ht="15" customHeight="1"/>
    <row r="4239" ht="15" customHeight="1"/>
    <row r="4240" ht="15" customHeight="1"/>
    <row r="4241" ht="15" customHeight="1"/>
    <row r="4242" ht="15" customHeight="1"/>
    <row r="4243" ht="15" customHeight="1"/>
    <row r="4244" ht="15" customHeight="1"/>
    <row r="4245" ht="15" customHeight="1"/>
    <row r="4246" ht="15" customHeight="1"/>
    <row r="4247" ht="15" customHeight="1"/>
    <row r="4248" ht="15" customHeight="1"/>
    <row r="4249" ht="15" customHeight="1"/>
    <row r="4250" ht="15" customHeight="1"/>
    <row r="4251" ht="15" customHeight="1"/>
    <row r="4252" ht="15" customHeight="1"/>
    <row r="4253" ht="12" customHeight="1"/>
    <row r="4254" ht="15" customHeight="1"/>
    <row r="4255" ht="15" customHeight="1"/>
    <row r="4256" ht="12" customHeight="1"/>
    <row r="4257" ht="15" customHeight="1"/>
    <row r="4258" ht="15" customHeight="1"/>
    <row r="4259" ht="15" customHeight="1"/>
    <row r="4260" ht="12" customHeight="1"/>
    <row r="4261" ht="15" customHeight="1"/>
    <row r="4262" ht="15" customHeight="1"/>
    <row r="4263" ht="15" customHeight="1"/>
    <row r="4264" ht="15" customHeight="1"/>
    <row r="4265" ht="15" customHeight="1"/>
    <row r="4266" ht="15" customHeight="1"/>
    <row r="4267" ht="15" customHeight="1"/>
    <row r="4268" ht="15" customHeight="1"/>
    <row r="4269" ht="15" customHeight="1"/>
    <row r="4270" ht="15" customHeight="1"/>
    <row r="4271" ht="12" customHeight="1"/>
    <row r="4272" ht="15" customHeight="1"/>
    <row r="4273" ht="15" customHeight="1"/>
    <row r="4274" ht="12" customHeight="1"/>
    <row r="4275" ht="15" customHeight="1"/>
    <row r="4276" ht="15" customHeight="1"/>
    <row r="4277" ht="15" customHeight="1"/>
    <row r="4278" ht="15" customHeight="1"/>
    <row r="4279" ht="15" customHeight="1"/>
    <row r="4280" ht="15" customHeight="1"/>
    <row r="4281" ht="15" customHeight="1"/>
    <row r="4282" ht="15" customHeight="1"/>
    <row r="4283" ht="15" customHeight="1"/>
    <row r="4284" ht="15" customHeight="1"/>
    <row r="4285" ht="12" customHeight="1"/>
    <row r="4286" ht="12" customHeight="1"/>
    <row r="4287" ht="12" customHeight="1"/>
    <row r="4288" ht="12" customHeight="1"/>
    <row r="4289" ht="12" customHeight="1"/>
    <row r="4290" ht="12" customHeight="1"/>
    <row r="4291" ht="12" customHeight="1"/>
    <row r="4292" ht="12" customHeight="1"/>
    <row r="4293" ht="12" customHeight="1"/>
    <row r="4294" ht="12" customHeight="1"/>
    <row r="4295" ht="12" customHeight="1"/>
    <row r="4296" ht="12" customHeight="1"/>
    <row r="4297" ht="12" customHeight="1"/>
    <row r="4298" ht="12" customHeight="1"/>
    <row r="4299" ht="12" customHeight="1"/>
    <row r="4300" ht="12" customHeight="1"/>
    <row r="4301" ht="12" customHeight="1"/>
    <row r="4302" ht="12" customHeight="1"/>
    <row r="4303" ht="12" customHeight="1"/>
    <row r="4304" ht="12" customHeight="1"/>
    <row r="4305" ht="12" customHeight="1"/>
    <row r="4306" ht="12" customHeight="1"/>
    <row r="4307" ht="12" customHeight="1"/>
    <row r="4308" ht="12" customHeight="1"/>
    <row r="4309" ht="12" customHeight="1"/>
    <row r="4310" ht="12" customHeight="1"/>
    <row r="4311" ht="12" customHeight="1"/>
    <row r="4312" ht="12" customHeight="1"/>
    <row r="4313" ht="12" customHeight="1"/>
    <row r="4314" ht="12" customHeight="1"/>
    <row r="4315" ht="12" customHeight="1"/>
    <row r="4316" ht="12" customHeight="1"/>
    <row r="4317" ht="12" customHeight="1"/>
    <row r="4318" ht="12" customHeight="1"/>
    <row r="4319" ht="12" customHeight="1"/>
    <row r="4320" ht="12" customHeight="1"/>
    <row r="4321" ht="12" customHeight="1"/>
    <row r="4322" ht="12" customHeight="1"/>
    <row r="4323" ht="12" customHeight="1"/>
    <row r="4324" ht="12" customHeight="1"/>
    <row r="4325" ht="15" customHeight="1"/>
    <row r="4326" ht="15" customHeight="1"/>
    <row r="4327" ht="15" customHeight="1"/>
    <row r="4328" ht="15" customHeight="1"/>
    <row r="4329" ht="15" customHeight="1"/>
    <row r="4330" ht="15" customHeight="1"/>
    <row r="4331" ht="15" customHeight="1"/>
    <row r="4332" ht="15" customHeight="1"/>
    <row r="4333" ht="15" customHeight="1"/>
    <row r="4334" ht="15" customHeight="1"/>
    <row r="4335" ht="12" customHeight="1"/>
    <row r="4336" ht="15" customHeight="1"/>
    <row r="4337" ht="15" customHeight="1"/>
    <row r="4338" ht="15" customHeight="1"/>
    <row r="4339" ht="15" customHeight="1"/>
    <row r="4340" ht="15" customHeight="1"/>
    <row r="4341" ht="15" customHeight="1"/>
    <row r="4342" ht="15" customHeight="1"/>
    <row r="4343" ht="15" customHeight="1"/>
    <row r="4344" ht="15" customHeight="1"/>
    <row r="4345" ht="15" customHeight="1"/>
    <row r="4346" ht="15" customHeight="1"/>
    <row r="4347" ht="15" customHeight="1"/>
    <row r="4348" ht="15" customHeight="1"/>
    <row r="4349" ht="15" customHeight="1"/>
    <row r="4350" ht="15" customHeight="1"/>
    <row r="4351" ht="15" customHeight="1"/>
    <row r="4352" ht="12" customHeight="1"/>
    <row r="4353" ht="15" customHeight="1"/>
    <row r="4354" ht="15" customHeight="1"/>
    <row r="4355" ht="12" customHeight="1"/>
    <row r="4356" ht="15" customHeight="1"/>
    <row r="4357" ht="15" customHeight="1"/>
    <row r="4358" ht="15" customHeight="1"/>
    <row r="4359" ht="15" customHeight="1"/>
    <row r="4360" ht="15" customHeight="1"/>
    <row r="4361" ht="12" customHeight="1"/>
    <row r="4362" ht="15" customHeight="1"/>
    <row r="4363" ht="15" customHeight="1"/>
    <row r="4364" ht="15" customHeight="1"/>
    <row r="4365" ht="15" customHeight="1"/>
    <row r="4366" ht="15" customHeight="1"/>
    <row r="4367" ht="15" customHeight="1"/>
    <row r="4368" ht="15" customHeight="1"/>
    <row r="4369" ht="15" customHeight="1"/>
    <row r="4370" ht="15" customHeight="1"/>
    <row r="4371" ht="15" customHeight="1"/>
    <row r="4372" ht="15" customHeight="1"/>
    <row r="4373" ht="15" customHeight="1"/>
    <row r="4374" ht="15" customHeight="1"/>
    <row r="4375" ht="15" customHeight="1"/>
    <row r="4376" ht="15" customHeight="1"/>
    <row r="4377" ht="15" customHeight="1"/>
    <row r="4378" ht="12" customHeight="1"/>
    <row r="4379" ht="15" customHeight="1"/>
    <row r="4380" ht="15" customHeight="1"/>
    <row r="4381" ht="12" customHeight="1"/>
    <row r="4382" ht="15" customHeight="1"/>
    <row r="4383" ht="15" customHeight="1"/>
    <row r="4384" ht="15" customHeight="1"/>
    <row r="4385" ht="12" customHeight="1"/>
    <row r="4386" ht="15" customHeight="1"/>
    <row r="4387" ht="15" customHeight="1"/>
    <row r="4388" ht="15" customHeight="1"/>
    <row r="4389" ht="15" customHeight="1"/>
    <row r="4390" ht="15" customHeight="1"/>
    <row r="4391" ht="15" customHeight="1"/>
    <row r="4392" ht="15" customHeight="1"/>
    <row r="4393" ht="15" customHeight="1"/>
    <row r="4394" ht="15" customHeight="1"/>
    <row r="4395" ht="15" customHeight="1"/>
    <row r="4396" ht="12" customHeight="1"/>
    <row r="4397" ht="15" customHeight="1"/>
    <row r="4398" ht="15" customHeight="1"/>
    <row r="4399" ht="12" customHeight="1"/>
    <row r="4400" ht="15" customHeight="1"/>
    <row r="4401" ht="15" customHeight="1"/>
    <row r="4402" ht="15" customHeight="1"/>
    <row r="4403" ht="15" customHeight="1"/>
    <row r="4404" ht="15" customHeight="1"/>
    <row r="4405" ht="15" customHeight="1"/>
    <row r="4406" ht="15" customHeight="1"/>
    <row r="4407" ht="15" customHeight="1"/>
    <row r="4408" ht="15" customHeight="1"/>
    <row r="4409" ht="15" customHeight="1"/>
  </sheetData>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125C186-B07E-437F-9FA0-A0B88DF0AD3F}">
  <sheetPr>
    <tabColor theme="6" tint="0.79998168889431442"/>
  </sheetPr>
  <dimension ref="A1:AI252"/>
  <sheetViews>
    <sheetView workbookViewId="0"/>
  </sheetViews>
  <sheetFormatPr defaultRowHeight="15"/>
  <sheetData>
    <row r="1" spans="1:35">
      <c r="A1" t="s">
        <v>233</v>
      </c>
    </row>
    <row r="2" spans="1:35">
      <c r="A2" t="s">
        <v>1664</v>
      </c>
    </row>
    <row r="3" spans="1:35">
      <c r="A3" t="s">
        <v>1665</v>
      </c>
    </row>
    <row r="4" spans="1:35">
      <c r="A4" t="s">
        <v>146</v>
      </c>
    </row>
    <row r="5" spans="1:35">
      <c r="B5" t="s">
        <v>198</v>
      </c>
      <c r="C5" t="s">
        <v>199</v>
      </c>
      <c r="D5" t="s">
        <v>200</v>
      </c>
      <c r="E5">
        <v>2021</v>
      </c>
      <c r="F5">
        <v>2022</v>
      </c>
      <c r="G5">
        <v>2023</v>
      </c>
      <c r="H5">
        <v>2024</v>
      </c>
      <c r="I5">
        <v>2025</v>
      </c>
      <c r="J5">
        <v>2026</v>
      </c>
      <c r="K5">
        <v>2027</v>
      </c>
      <c r="L5">
        <v>2028</v>
      </c>
      <c r="M5">
        <v>2029</v>
      </c>
      <c r="N5">
        <v>2030</v>
      </c>
      <c r="O5">
        <v>2031</v>
      </c>
      <c r="P5">
        <v>2032</v>
      </c>
      <c r="Q5">
        <v>2033</v>
      </c>
      <c r="R5">
        <v>2034</v>
      </c>
      <c r="S5">
        <v>2035</v>
      </c>
      <c r="T5">
        <v>2036</v>
      </c>
      <c r="U5">
        <v>2037</v>
      </c>
      <c r="V5">
        <v>2038</v>
      </c>
      <c r="W5">
        <v>2039</v>
      </c>
      <c r="X5">
        <v>2040</v>
      </c>
      <c r="Y5">
        <v>2041</v>
      </c>
      <c r="Z5">
        <v>2042</v>
      </c>
      <c r="AA5">
        <v>2043</v>
      </c>
      <c r="AB5">
        <v>2044</v>
      </c>
      <c r="AC5">
        <v>2045</v>
      </c>
      <c r="AD5">
        <v>2046</v>
      </c>
      <c r="AE5">
        <v>2047</v>
      </c>
      <c r="AF5">
        <v>2048</v>
      </c>
      <c r="AG5">
        <v>2049</v>
      </c>
      <c r="AH5">
        <v>2050</v>
      </c>
      <c r="AI5" t="s">
        <v>1042</v>
      </c>
    </row>
    <row r="6" spans="1:35">
      <c r="A6" t="s">
        <v>147</v>
      </c>
    </row>
    <row r="7" spans="1:35">
      <c r="A7" t="s">
        <v>234</v>
      </c>
    </row>
    <row r="8" spans="1:35">
      <c r="A8" t="s">
        <v>170</v>
      </c>
    </row>
    <row r="9" spans="1:35">
      <c r="A9" t="s">
        <v>189</v>
      </c>
      <c r="B9" t="s">
        <v>1666</v>
      </c>
      <c r="C9" t="s">
        <v>1667</v>
      </c>
      <c r="D9" t="s">
        <v>202</v>
      </c>
      <c r="F9">
        <v>54.584907999999999</v>
      </c>
      <c r="G9">
        <v>53.184821999999997</v>
      </c>
      <c r="H9">
        <v>52.318644999999997</v>
      </c>
      <c r="I9">
        <v>51.949874999999999</v>
      </c>
      <c r="J9">
        <v>51.704253999999999</v>
      </c>
      <c r="K9">
        <v>51.242474000000001</v>
      </c>
      <c r="L9">
        <v>50.771141</v>
      </c>
      <c r="M9">
        <v>50.362385000000003</v>
      </c>
      <c r="N9">
        <v>50.209102999999999</v>
      </c>
      <c r="O9">
        <v>50.291786000000002</v>
      </c>
      <c r="P9">
        <v>50.63496</v>
      </c>
      <c r="Q9">
        <v>50.989128000000001</v>
      </c>
      <c r="R9">
        <v>51.335712000000001</v>
      </c>
      <c r="S9">
        <v>51.762928000000002</v>
      </c>
      <c r="T9">
        <v>52.096587999999997</v>
      </c>
      <c r="U9">
        <v>52.565826000000001</v>
      </c>
      <c r="V9">
        <v>53.041763000000003</v>
      </c>
      <c r="W9">
        <v>53.500053000000001</v>
      </c>
      <c r="X9">
        <v>54.070895999999998</v>
      </c>
      <c r="Y9">
        <v>54.664409999999997</v>
      </c>
      <c r="Z9">
        <v>55.331341000000002</v>
      </c>
      <c r="AA9">
        <v>56.018265</v>
      </c>
      <c r="AB9">
        <v>56.689281000000001</v>
      </c>
      <c r="AC9">
        <v>57.395836000000003</v>
      </c>
      <c r="AD9">
        <v>58.203060000000001</v>
      </c>
      <c r="AE9">
        <v>59.050575000000002</v>
      </c>
      <c r="AF9">
        <v>59.917839000000001</v>
      </c>
      <c r="AG9">
        <v>60.865924999999997</v>
      </c>
      <c r="AH9">
        <v>61.861980000000003</v>
      </c>
      <c r="AI9" s="22">
        <v>4.0000000000000001E-3</v>
      </c>
    </row>
    <row r="10" spans="1:35">
      <c r="A10" t="s">
        <v>235</v>
      </c>
      <c r="B10" t="s">
        <v>1668</v>
      </c>
      <c r="C10" t="s">
        <v>1669</v>
      </c>
      <c r="D10" t="s">
        <v>202</v>
      </c>
      <c r="F10">
        <v>16.903614000000001</v>
      </c>
      <c r="G10">
        <v>17.710211000000001</v>
      </c>
      <c r="H10">
        <v>18.609635999999998</v>
      </c>
      <c r="I10">
        <v>19.599958000000001</v>
      </c>
      <c r="J10">
        <v>20.561823</v>
      </c>
      <c r="K10">
        <v>21.350653000000001</v>
      </c>
      <c r="L10">
        <v>22.038038</v>
      </c>
      <c r="M10">
        <v>22.67135</v>
      </c>
      <c r="N10">
        <v>23.336506</v>
      </c>
      <c r="O10">
        <v>24.02421</v>
      </c>
      <c r="P10">
        <v>24.801221999999999</v>
      </c>
      <c r="Q10">
        <v>25.563036</v>
      </c>
      <c r="R10">
        <v>26.279444000000002</v>
      </c>
      <c r="S10">
        <v>27.005465999999998</v>
      </c>
      <c r="T10">
        <v>27.677506999999999</v>
      </c>
      <c r="U10">
        <v>28.407959000000002</v>
      </c>
      <c r="V10">
        <v>29.101161999999999</v>
      </c>
      <c r="W10">
        <v>29.711493000000001</v>
      </c>
      <c r="X10">
        <v>30.334042</v>
      </c>
      <c r="Y10">
        <v>30.964428000000002</v>
      </c>
      <c r="Z10">
        <v>31.595704999999999</v>
      </c>
      <c r="AA10">
        <v>32.155334000000003</v>
      </c>
      <c r="AB10">
        <v>32.654217000000003</v>
      </c>
      <c r="AC10">
        <v>33.136063</v>
      </c>
      <c r="AD10">
        <v>33.651271999999999</v>
      </c>
      <c r="AE10">
        <v>34.163403000000002</v>
      </c>
      <c r="AF10">
        <v>34.655211999999999</v>
      </c>
      <c r="AG10">
        <v>35.178958999999999</v>
      </c>
      <c r="AH10">
        <v>35.732093999999996</v>
      </c>
      <c r="AI10" s="22">
        <v>2.7E-2</v>
      </c>
    </row>
    <row r="11" spans="1:35">
      <c r="A11" t="s">
        <v>192</v>
      </c>
      <c r="B11" t="s">
        <v>1670</v>
      </c>
      <c r="C11" t="s">
        <v>1671</v>
      </c>
      <c r="D11" t="s">
        <v>202</v>
      </c>
      <c r="F11">
        <v>5.8699999999999996E-4</v>
      </c>
      <c r="G11">
        <v>6.9350000000000002E-3</v>
      </c>
      <c r="H11">
        <v>1.3313E-2</v>
      </c>
      <c r="I11">
        <v>1.9325999999999999E-2</v>
      </c>
      <c r="J11">
        <v>2.4979999999999999E-2</v>
      </c>
      <c r="K11">
        <v>3.0086000000000002E-2</v>
      </c>
      <c r="L11">
        <v>3.4862999999999998E-2</v>
      </c>
      <c r="M11">
        <v>3.9439000000000002E-2</v>
      </c>
      <c r="N11">
        <v>4.3985999999999997E-2</v>
      </c>
      <c r="O11">
        <v>4.8625000000000002E-2</v>
      </c>
      <c r="P11">
        <v>5.3524000000000002E-2</v>
      </c>
      <c r="Q11">
        <v>5.8466999999999998E-2</v>
      </c>
      <c r="R11">
        <v>6.3285999999999995E-2</v>
      </c>
      <c r="S11">
        <v>6.8178000000000002E-2</v>
      </c>
      <c r="T11">
        <v>7.3107000000000005E-2</v>
      </c>
      <c r="U11">
        <v>7.8546000000000005E-2</v>
      </c>
      <c r="V11">
        <v>8.4434999999999996E-2</v>
      </c>
      <c r="W11">
        <v>9.0785000000000005E-2</v>
      </c>
      <c r="X11">
        <v>9.7857E-2</v>
      </c>
      <c r="Y11">
        <v>0.105584</v>
      </c>
      <c r="Z11">
        <v>0.11405899999999999</v>
      </c>
      <c r="AA11">
        <v>0.12317</v>
      </c>
      <c r="AB11">
        <v>0.13269400000000001</v>
      </c>
      <c r="AC11">
        <v>0.14286699999999999</v>
      </c>
      <c r="AD11">
        <v>0.15390799999999999</v>
      </c>
      <c r="AE11">
        <v>0.16563800000000001</v>
      </c>
      <c r="AF11">
        <v>0.177929</v>
      </c>
      <c r="AG11">
        <v>0.19094900000000001</v>
      </c>
      <c r="AH11">
        <v>0.204571</v>
      </c>
      <c r="AI11" s="22">
        <v>0.23300000000000001</v>
      </c>
    </row>
    <row r="12" spans="1:35">
      <c r="A12" t="s">
        <v>195</v>
      </c>
      <c r="B12" t="s">
        <v>1672</v>
      </c>
      <c r="C12" t="s">
        <v>1673</v>
      </c>
      <c r="D12" t="s">
        <v>202</v>
      </c>
      <c r="F12">
        <v>1.5476999999999999E-2</v>
      </c>
      <c r="G12">
        <v>1.4120000000000001E-2</v>
      </c>
      <c r="H12">
        <v>1.2951000000000001E-2</v>
      </c>
      <c r="I12">
        <v>1.1922E-2</v>
      </c>
      <c r="J12">
        <v>1.0976E-2</v>
      </c>
      <c r="K12">
        <v>1.0057E-2</v>
      </c>
      <c r="L12">
        <v>9.195E-3</v>
      </c>
      <c r="M12">
        <v>8.4010000000000005E-3</v>
      </c>
      <c r="N12">
        <v>7.698E-3</v>
      </c>
      <c r="O12">
        <v>7.0740000000000004E-3</v>
      </c>
      <c r="P12">
        <v>6.5170000000000002E-3</v>
      </c>
      <c r="Q12">
        <v>5.9610000000000002E-3</v>
      </c>
      <c r="R12">
        <v>5.3949999999999996E-3</v>
      </c>
      <c r="S12">
        <v>4.8170000000000001E-3</v>
      </c>
      <c r="T12">
        <v>4.2300000000000003E-3</v>
      </c>
      <c r="U12">
        <v>3.6210000000000001E-3</v>
      </c>
      <c r="V12">
        <v>3.055E-3</v>
      </c>
      <c r="W12">
        <v>2.5360000000000001E-3</v>
      </c>
      <c r="X12">
        <v>2.0149999999999999E-3</v>
      </c>
      <c r="Y12">
        <v>1.604E-3</v>
      </c>
      <c r="Z12">
        <v>1.3029999999999999E-3</v>
      </c>
      <c r="AA12">
        <v>1.0859999999999999E-3</v>
      </c>
      <c r="AB12">
        <v>9.4399999999999996E-4</v>
      </c>
      <c r="AC12">
        <v>8.4599999999999996E-4</v>
      </c>
      <c r="AD12">
        <v>7.6999999999999996E-4</v>
      </c>
      <c r="AE12">
        <v>7.1900000000000002E-4</v>
      </c>
      <c r="AF12">
        <v>6.5499999999999998E-4</v>
      </c>
      <c r="AG12">
        <v>5.8200000000000005E-4</v>
      </c>
      <c r="AH12">
        <v>4.8899999999999996E-4</v>
      </c>
      <c r="AI12" s="22">
        <v>-0.11600000000000001</v>
      </c>
    </row>
    <row r="13" spans="1:35">
      <c r="A13" t="s">
        <v>236</v>
      </c>
      <c r="B13" t="s">
        <v>1674</v>
      </c>
      <c r="C13" t="s">
        <v>1675</v>
      </c>
      <c r="D13" t="s">
        <v>202</v>
      </c>
      <c r="F13">
        <v>3.824589</v>
      </c>
      <c r="G13">
        <v>3.7806299999999999</v>
      </c>
      <c r="H13">
        <v>3.7545269999999999</v>
      </c>
      <c r="I13">
        <v>3.7400190000000002</v>
      </c>
      <c r="J13">
        <v>3.725336</v>
      </c>
      <c r="K13">
        <v>3.6981660000000001</v>
      </c>
      <c r="L13">
        <v>3.669842</v>
      </c>
      <c r="M13">
        <v>3.646439</v>
      </c>
      <c r="N13">
        <v>3.637159</v>
      </c>
      <c r="O13">
        <v>3.642811</v>
      </c>
      <c r="P13">
        <v>3.6650930000000002</v>
      </c>
      <c r="Q13">
        <v>3.6841620000000002</v>
      </c>
      <c r="R13">
        <v>3.6838760000000002</v>
      </c>
      <c r="S13">
        <v>3.6760130000000002</v>
      </c>
      <c r="T13">
        <v>3.6506970000000001</v>
      </c>
      <c r="U13">
        <v>3.63028</v>
      </c>
      <c r="V13">
        <v>3.5939450000000002</v>
      </c>
      <c r="W13">
        <v>3.5525120000000001</v>
      </c>
      <c r="X13">
        <v>3.524807</v>
      </c>
      <c r="Y13">
        <v>3.5007060000000001</v>
      </c>
      <c r="Z13">
        <v>3.4909029999999999</v>
      </c>
      <c r="AA13">
        <v>3.4946220000000001</v>
      </c>
      <c r="AB13">
        <v>3.511501</v>
      </c>
      <c r="AC13">
        <v>3.5344699999999998</v>
      </c>
      <c r="AD13">
        <v>3.566999</v>
      </c>
      <c r="AE13">
        <v>3.604692</v>
      </c>
      <c r="AF13">
        <v>3.6455489999999999</v>
      </c>
      <c r="AG13">
        <v>3.6905670000000002</v>
      </c>
      <c r="AH13">
        <v>3.738531</v>
      </c>
      <c r="AI13" s="22">
        <v>-1E-3</v>
      </c>
    </row>
    <row r="14" spans="1:35">
      <c r="A14" t="s">
        <v>237</v>
      </c>
      <c r="B14" t="s">
        <v>1676</v>
      </c>
      <c r="C14" t="s">
        <v>1677</v>
      </c>
      <c r="D14" t="s">
        <v>202</v>
      </c>
      <c r="F14">
        <v>8.0599999999999997E-4</v>
      </c>
      <c r="G14">
        <v>7.3300000000000004E-4</v>
      </c>
      <c r="H14">
        <v>6.7500000000000004E-4</v>
      </c>
      <c r="I14">
        <v>6.3000000000000003E-4</v>
      </c>
      <c r="J14">
        <v>5.9400000000000002E-4</v>
      </c>
      <c r="K14">
        <v>5.6400000000000005E-4</v>
      </c>
      <c r="L14">
        <v>5.4000000000000001E-4</v>
      </c>
      <c r="M14">
        <v>5.0500000000000002E-4</v>
      </c>
      <c r="N14">
        <v>4.6099999999999998E-4</v>
      </c>
      <c r="O14">
        <v>4.2099999999999999E-4</v>
      </c>
      <c r="P14">
        <v>3.86E-4</v>
      </c>
      <c r="Q14">
        <v>3.2299999999999999E-4</v>
      </c>
      <c r="R14">
        <v>2.5300000000000002E-4</v>
      </c>
      <c r="S14">
        <v>1.9900000000000001E-4</v>
      </c>
      <c r="T14">
        <v>1.55E-4</v>
      </c>
      <c r="U14">
        <v>1.22E-4</v>
      </c>
      <c r="V14">
        <v>9.5000000000000005E-5</v>
      </c>
      <c r="W14">
        <v>7.3999999999999996E-5</v>
      </c>
      <c r="X14">
        <v>6.6000000000000005E-5</v>
      </c>
      <c r="Y14">
        <v>6.3999999999999997E-5</v>
      </c>
      <c r="Z14">
        <v>6.2000000000000003E-5</v>
      </c>
      <c r="AA14">
        <v>6.0999999999999999E-5</v>
      </c>
      <c r="AB14">
        <v>4.8999999999999998E-5</v>
      </c>
      <c r="AC14">
        <v>3.4E-5</v>
      </c>
      <c r="AD14">
        <v>2.4000000000000001E-5</v>
      </c>
      <c r="AE14">
        <v>1.7E-5</v>
      </c>
      <c r="AF14">
        <v>1.2E-5</v>
      </c>
      <c r="AG14">
        <v>7.9999999999999996E-6</v>
      </c>
      <c r="AH14">
        <v>6.0000000000000002E-6</v>
      </c>
      <c r="AI14" s="22">
        <v>-0.16200000000000001</v>
      </c>
    </row>
    <row r="15" spans="1:35">
      <c r="A15" t="s">
        <v>238</v>
      </c>
      <c r="B15" t="s">
        <v>1678</v>
      </c>
      <c r="C15" t="s">
        <v>1679</v>
      </c>
      <c r="D15" t="s">
        <v>202</v>
      </c>
      <c r="F15">
        <v>0</v>
      </c>
      <c r="G15">
        <v>5.2110000000000004E-3</v>
      </c>
      <c r="H15">
        <v>1.0501E-2</v>
      </c>
      <c r="I15">
        <v>1.6119000000000001E-2</v>
      </c>
      <c r="J15">
        <v>2.1829999999999999E-2</v>
      </c>
      <c r="K15">
        <v>2.7378E-2</v>
      </c>
      <c r="L15">
        <v>3.2855000000000002E-2</v>
      </c>
      <c r="M15">
        <v>3.8309000000000003E-2</v>
      </c>
      <c r="N15">
        <v>4.3867999999999997E-2</v>
      </c>
      <c r="O15">
        <v>4.9632000000000003E-2</v>
      </c>
      <c r="P15">
        <v>5.5828999999999997E-2</v>
      </c>
      <c r="Q15">
        <v>6.2269999999999999E-2</v>
      </c>
      <c r="R15">
        <v>6.8892999999999996E-2</v>
      </c>
      <c r="S15">
        <v>7.5951000000000005E-2</v>
      </c>
      <c r="T15">
        <v>8.3381999999999998E-2</v>
      </c>
      <c r="U15">
        <v>9.1698000000000002E-2</v>
      </c>
      <c r="V15">
        <v>0.10086100000000001</v>
      </c>
      <c r="W15">
        <v>0.110917</v>
      </c>
      <c r="X15">
        <v>0.12228600000000001</v>
      </c>
      <c r="Y15">
        <v>0.13492899999999999</v>
      </c>
      <c r="Z15">
        <v>0.14883299999999999</v>
      </c>
      <c r="AA15">
        <v>0.163662</v>
      </c>
      <c r="AB15">
        <v>0.17921799999999999</v>
      </c>
      <c r="AC15">
        <v>0.19561000000000001</v>
      </c>
      <c r="AD15">
        <v>0.21280199999999999</v>
      </c>
      <c r="AE15">
        <v>0.230485</v>
      </c>
      <c r="AF15">
        <v>0.248469</v>
      </c>
      <c r="AG15">
        <v>0.26697199999999999</v>
      </c>
      <c r="AH15">
        <v>0.28581499999999999</v>
      </c>
      <c r="AI15" t="s">
        <v>111</v>
      </c>
    </row>
    <row r="16" spans="1:35">
      <c r="A16" t="s">
        <v>239</v>
      </c>
      <c r="B16" t="s">
        <v>1680</v>
      </c>
      <c r="C16" t="s">
        <v>1681</v>
      </c>
      <c r="D16" t="s">
        <v>202</v>
      </c>
      <c r="F16">
        <v>0</v>
      </c>
      <c r="G16">
        <v>5.6709999999999998E-3</v>
      </c>
      <c r="H16">
        <v>1.1320999999999999E-2</v>
      </c>
      <c r="I16">
        <v>1.7173000000000001E-2</v>
      </c>
      <c r="J16">
        <v>2.2991000000000001E-2</v>
      </c>
      <c r="K16">
        <v>2.8535000000000001E-2</v>
      </c>
      <c r="L16">
        <v>3.3867000000000001E-2</v>
      </c>
      <c r="M16">
        <v>3.9045000000000003E-2</v>
      </c>
      <c r="N16">
        <v>4.4247000000000002E-2</v>
      </c>
      <c r="O16">
        <v>4.9634999999999999E-2</v>
      </c>
      <c r="P16">
        <v>5.5454999999999997E-2</v>
      </c>
      <c r="Q16">
        <v>6.1592000000000001E-2</v>
      </c>
      <c r="R16">
        <v>6.8018999999999996E-2</v>
      </c>
      <c r="S16">
        <v>7.5022000000000005E-2</v>
      </c>
      <c r="T16">
        <v>8.2565E-2</v>
      </c>
      <c r="U16">
        <v>9.1197E-2</v>
      </c>
      <c r="V16">
        <v>0.10090399999999999</v>
      </c>
      <c r="W16">
        <v>0.111765</v>
      </c>
      <c r="X16">
        <v>0.124236</v>
      </c>
      <c r="Y16">
        <v>0.13830200000000001</v>
      </c>
      <c r="Z16">
        <v>0.15390100000000001</v>
      </c>
      <c r="AA16">
        <v>0.17066000000000001</v>
      </c>
      <c r="AB16">
        <v>0.18835099999999999</v>
      </c>
      <c r="AC16">
        <v>0.20710600000000001</v>
      </c>
      <c r="AD16">
        <v>0.226853</v>
      </c>
      <c r="AE16">
        <v>0.247225</v>
      </c>
      <c r="AF16">
        <v>0.26799200000000001</v>
      </c>
      <c r="AG16">
        <v>0.28937200000000002</v>
      </c>
      <c r="AH16">
        <v>0.311143</v>
      </c>
      <c r="AI16" t="s">
        <v>111</v>
      </c>
    </row>
    <row r="17" spans="1:35">
      <c r="A17" t="s">
        <v>240</v>
      </c>
      <c r="B17" t="s">
        <v>1682</v>
      </c>
      <c r="C17" t="s">
        <v>1683</v>
      </c>
      <c r="D17" t="s">
        <v>202</v>
      </c>
      <c r="F17">
        <v>0</v>
      </c>
      <c r="G17">
        <v>0</v>
      </c>
      <c r="H17">
        <v>1.9999999999999999E-6</v>
      </c>
      <c r="I17">
        <v>3.0000000000000001E-6</v>
      </c>
      <c r="J17">
        <v>5.0000000000000004E-6</v>
      </c>
      <c r="K17">
        <v>6.9999999999999999E-6</v>
      </c>
      <c r="L17">
        <v>9.0000000000000002E-6</v>
      </c>
      <c r="M17">
        <v>1.0000000000000001E-5</v>
      </c>
      <c r="N17">
        <v>1.2E-5</v>
      </c>
      <c r="O17">
        <v>1.2999999999999999E-5</v>
      </c>
      <c r="P17">
        <v>1.5E-5</v>
      </c>
      <c r="Q17">
        <v>1.5999999999999999E-5</v>
      </c>
      <c r="R17">
        <v>1.7E-5</v>
      </c>
      <c r="S17">
        <v>1.8E-5</v>
      </c>
      <c r="T17">
        <v>1.9000000000000001E-5</v>
      </c>
      <c r="U17">
        <v>2.0000000000000002E-5</v>
      </c>
      <c r="V17">
        <v>2.0999999999999999E-5</v>
      </c>
      <c r="W17">
        <v>2.1999999999999999E-5</v>
      </c>
      <c r="X17">
        <v>2.3E-5</v>
      </c>
      <c r="Y17">
        <v>2.3E-5</v>
      </c>
      <c r="Z17">
        <v>2.4000000000000001E-5</v>
      </c>
      <c r="AA17">
        <v>2.4000000000000001E-5</v>
      </c>
      <c r="AB17">
        <v>2.4000000000000001E-5</v>
      </c>
      <c r="AC17">
        <v>2.4000000000000001E-5</v>
      </c>
      <c r="AD17">
        <v>2.4000000000000001E-5</v>
      </c>
      <c r="AE17">
        <v>2.4000000000000001E-5</v>
      </c>
      <c r="AF17">
        <v>2.3E-5</v>
      </c>
      <c r="AG17">
        <v>2.3E-5</v>
      </c>
      <c r="AH17">
        <v>2.1999999999999999E-5</v>
      </c>
      <c r="AI17" t="s">
        <v>111</v>
      </c>
    </row>
    <row r="18" spans="1:35">
      <c r="A18" t="s">
        <v>241</v>
      </c>
      <c r="B18" t="s">
        <v>1684</v>
      </c>
      <c r="C18" t="s">
        <v>1685</v>
      </c>
      <c r="D18" t="s">
        <v>202</v>
      </c>
      <c r="F18">
        <v>75.329880000000003</v>
      </c>
      <c r="G18">
        <v>74.708290000000005</v>
      </c>
      <c r="H18">
        <v>74.731575000000007</v>
      </c>
      <c r="I18">
        <v>75.354934999999998</v>
      </c>
      <c r="J18">
        <v>76.072838000000004</v>
      </c>
      <c r="K18">
        <v>76.387794</v>
      </c>
      <c r="L18">
        <v>76.590232999999998</v>
      </c>
      <c r="M18">
        <v>76.805655999999999</v>
      </c>
      <c r="N18">
        <v>77.322913999999997</v>
      </c>
      <c r="O18">
        <v>78.114249999999998</v>
      </c>
      <c r="P18">
        <v>79.273087000000004</v>
      </c>
      <c r="Q18">
        <v>80.425064000000006</v>
      </c>
      <c r="R18">
        <v>81.504715000000004</v>
      </c>
      <c r="S18">
        <v>82.668625000000006</v>
      </c>
      <c r="T18">
        <v>83.668182000000002</v>
      </c>
      <c r="U18">
        <v>84.868926999999999</v>
      </c>
      <c r="V18">
        <v>86.026199000000005</v>
      </c>
      <c r="W18">
        <v>87.079978999999994</v>
      </c>
      <c r="X18">
        <v>88.276038999999997</v>
      </c>
      <c r="Y18">
        <v>89.509856999999997</v>
      </c>
      <c r="Z18">
        <v>90.835953000000003</v>
      </c>
      <c r="AA18">
        <v>92.126778000000002</v>
      </c>
      <c r="AB18">
        <v>93.356110000000001</v>
      </c>
      <c r="AC18">
        <v>94.612769999999998</v>
      </c>
      <c r="AD18">
        <v>96.015647999999999</v>
      </c>
      <c r="AE18">
        <v>97.462638999999996</v>
      </c>
      <c r="AF18">
        <v>98.913696000000002</v>
      </c>
      <c r="AG18">
        <v>100.48333</v>
      </c>
      <c r="AH18">
        <v>102.134598</v>
      </c>
      <c r="AI18" s="22">
        <v>1.0999999999999999E-2</v>
      </c>
    </row>
    <row r="19" spans="1:35">
      <c r="A19" t="s">
        <v>171</v>
      </c>
    </row>
    <row r="20" spans="1:35">
      <c r="A20" t="s">
        <v>189</v>
      </c>
      <c r="B20" t="s">
        <v>1686</v>
      </c>
      <c r="C20" t="s">
        <v>1687</v>
      </c>
      <c r="D20" t="s">
        <v>202</v>
      </c>
      <c r="F20">
        <v>39.529170999999998</v>
      </c>
      <c r="G20">
        <v>38.896900000000002</v>
      </c>
      <c r="H20">
        <v>38.484572999999997</v>
      </c>
      <c r="I20">
        <v>38.545726999999999</v>
      </c>
      <c r="J20">
        <v>38.897826999999999</v>
      </c>
      <c r="K20">
        <v>39.222183000000001</v>
      </c>
      <c r="L20">
        <v>39.550044999999997</v>
      </c>
      <c r="M20">
        <v>39.808833999999997</v>
      </c>
      <c r="N20">
        <v>40.095215000000003</v>
      </c>
      <c r="O20">
        <v>40.422203000000003</v>
      </c>
      <c r="P20">
        <v>40.891948999999997</v>
      </c>
      <c r="Q20">
        <v>41.273074999999999</v>
      </c>
      <c r="R20">
        <v>41.550567999999998</v>
      </c>
      <c r="S20">
        <v>41.873848000000002</v>
      </c>
      <c r="T20">
        <v>42.154518000000003</v>
      </c>
      <c r="U20">
        <v>42.573521</v>
      </c>
      <c r="V20">
        <v>42.993110999999999</v>
      </c>
      <c r="W20">
        <v>43.369812000000003</v>
      </c>
      <c r="X20">
        <v>43.790680000000002</v>
      </c>
      <c r="Y20">
        <v>44.181046000000002</v>
      </c>
      <c r="Z20">
        <v>44.593116999999999</v>
      </c>
      <c r="AA20">
        <v>45.021278000000002</v>
      </c>
      <c r="AB20">
        <v>45.446564000000002</v>
      </c>
      <c r="AC20">
        <v>45.846603000000002</v>
      </c>
      <c r="AD20">
        <v>46.256549999999997</v>
      </c>
      <c r="AE20">
        <v>46.662227999999999</v>
      </c>
      <c r="AF20">
        <v>47.063594999999999</v>
      </c>
      <c r="AG20">
        <v>47.558945000000001</v>
      </c>
      <c r="AH20">
        <v>48.111702000000001</v>
      </c>
      <c r="AI20" s="22">
        <v>7.0000000000000001E-3</v>
      </c>
    </row>
    <row r="21" spans="1:35">
      <c r="A21" t="s">
        <v>235</v>
      </c>
      <c r="B21" t="s">
        <v>1688</v>
      </c>
      <c r="C21" t="s">
        <v>1689</v>
      </c>
      <c r="D21" t="s">
        <v>202</v>
      </c>
      <c r="F21">
        <v>19.491807999999999</v>
      </c>
      <c r="G21">
        <v>19.083292</v>
      </c>
      <c r="H21">
        <v>18.816191</v>
      </c>
      <c r="I21">
        <v>18.716362</v>
      </c>
      <c r="J21">
        <v>18.750782000000001</v>
      </c>
      <c r="K21">
        <v>18.762295000000002</v>
      </c>
      <c r="L21">
        <v>18.792428999999998</v>
      </c>
      <c r="M21">
        <v>18.814743</v>
      </c>
      <c r="N21">
        <v>18.861035999999999</v>
      </c>
      <c r="O21">
        <v>18.929902999999999</v>
      </c>
      <c r="P21">
        <v>19.087959000000001</v>
      </c>
      <c r="Q21">
        <v>19.209437999999999</v>
      </c>
      <c r="R21">
        <v>19.305622</v>
      </c>
      <c r="S21">
        <v>19.427961</v>
      </c>
      <c r="T21">
        <v>19.513062999999999</v>
      </c>
      <c r="U21">
        <v>19.682444</v>
      </c>
      <c r="V21">
        <v>19.808668000000001</v>
      </c>
      <c r="W21">
        <v>19.963616999999999</v>
      </c>
      <c r="X21">
        <v>20.113333000000001</v>
      </c>
      <c r="Y21">
        <v>20.270605</v>
      </c>
      <c r="Z21">
        <v>20.453330999999999</v>
      </c>
      <c r="AA21">
        <v>20.649372</v>
      </c>
      <c r="AB21">
        <v>20.844239999999999</v>
      </c>
      <c r="AC21">
        <v>21.02281</v>
      </c>
      <c r="AD21">
        <v>21.206516000000001</v>
      </c>
      <c r="AE21">
        <v>21.382107000000001</v>
      </c>
      <c r="AF21">
        <v>21.550604</v>
      </c>
      <c r="AG21">
        <v>21.759744999999999</v>
      </c>
      <c r="AH21">
        <v>21.983118000000001</v>
      </c>
      <c r="AI21" s="22">
        <v>4.0000000000000001E-3</v>
      </c>
    </row>
    <row r="22" spans="1:35">
      <c r="A22" t="s">
        <v>192</v>
      </c>
      <c r="B22" t="s">
        <v>1690</v>
      </c>
      <c r="C22" t="s">
        <v>1691</v>
      </c>
      <c r="D22" t="s">
        <v>202</v>
      </c>
      <c r="F22">
        <v>3.5415000000000002E-2</v>
      </c>
      <c r="G22">
        <v>3.6131999999999997E-2</v>
      </c>
      <c r="H22">
        <v>3.6977999999999997E-2</v>
      </c>
      <c r="I22">
        <v>3.8226000000000003E-2</v>
      </c>
      <c r="J22">
        <v>3.9857999999999998E-2</v>
      </c>
      <c r="K22">
        <v>4.1535999999999997E-2</v>
      </c>
      <c r="L22">
        <v>4.3343E-2</v>
      </c>
      <c r="M22">
        <v>4.5186999999999998E-2</v>
      </c>
      <c r="N22">
        <v>4.7301000000000003E-2</v>
      </c>
      <c r="O22">
        <v>4.9747E-2</v>
      </c>
      <c r="P22">
        <v>5.2754000000000002E-2</v>
      </c>
      <c r="Q22">
        <v>5.6218999999999998E-2</v>
      </c>
      <c r="R22">
        <v>5.9885000000000001E-2</v>
      </c>
      <c r="S22">
        <v>6.3491000000000006E-2</v>
      </c>
      <c r="T22">
        <v>6.7275000000000001E-2</v>
      </c>
      <c r="U22">
        <v>7.1670999999999999E-2</v>
      </c>
      <c r="V22">
        <v>7.6576000000000005E-2</v>
      </c>
      <c r="W22">
        <v>8.1951999999999997E-2</v>
      </c>
      <c r="X22">
        <v>8.795E-2</v>
      </c>
      <c r="Y22">
        <v>9.4425999999999996E-2</v>
      </c>
      <c r="Z22">
        <v>0.10133399999999999</v>
      </c>
      <c r="AA22">
        <v>0.108612</v>
      </c>
      <c r="AB22">
        <v>0.116158</v>
      </c>
      <c r="AC22">
        <v>0.12385500000000001</v>
      </c>
      <c r="AD22">
        <v>0.13172</v>
      </c>
      <c r="AE22">
        <v>0.13959199999999999</v>
      </c>
      <c r="AF22">
        <v>0.14738699999999999</v>
      </c>
      <c r="AG22">
        <v>0.15496799999999999</v>
      </c>
      <c r="AH22">
        <v>0.16275000000000001</v>
      </c>
      <c r="AI22" s="22">
        <v>5.6000000000000001E-2</v>
      </c>
    </row>
    <row r="23" spans="1:35">
      <c r="A23" t="s">
        <v>195</v>
      </c>
      <c r="B23" t="s">
        <v>1692</v>
      </c>
      <c r="C23" t="s">
        <v>1693</v>
      </c>
      <c r="D23" t="s">
        <v>202</v>
      </c>
      <c r="F23">
        <v>4.0755E-2</v>
      </c>
      <c r="G23">
        <v>3.8651999999999999E-2</v>
      </c>
      <c r="H23">
        <v>3.6609000000000003E-2</v>
      </c>
      <c r="I23">
        <v>3.4756000000000002E-2</v>
      </c>
      <c r="J23">
        <v>3.2994000000000002E-2</v>
      </c>
      <c r="K23">
        <v>3.1092999999999999E-2</v>
      </c>
      <c r="L23">
        <v>2.9238E-2</v>
      </c>
      <c r="M23">
        <v>2.7328999999999999E-2</v>
      </c>
      <c r="N23">
        <v>2.545E-2</v>
      </c>
      <c r="O23">
        <v>2.3702999999999998E-2</v>
      </c>
      <c r="P23">
        <v>2.213E-2</v>
      </c>
      <c r="Q23">
        <v>2.0587000000000001E-2</v>
      </c>
      <c r="R23">
        <v>1.907E-2</v>
      </c>
      <c r="S23">
        <v>1.7646999999999999E-2</v>
      </c>
      <c r="T23">
        <v>1.6278999999999998E-2</v>
      </c>
      <c r="U23">
        <v>1.5096E-2</v>
      </c>
      <c r="V23">
        <v>1.4012999999999999E-2</v>
      </c>
      <c r="W23">
        <v>1.3047E-2</v>
      </c>
      <c r="X23">
        <v>1.2141000000000001E-2</v>
      </c>
      <c r="Y23">
        <v>1.1221999999999999E-2</v>
      </c>
      <c r="Z23">
        <v>1.0409E-2</v>
      </c>
      <c r="AA23">
        <v>9.4929999999999997E-3</v>
      </c>
      <c r="AB23">
        <v>8.5679999999999992E-3</v>
      </c>
      <c r="AC23">
        <v>7.7999999999999996E-3</v>
      </c>
      <c r="AD23">
        <v>7.1529999999999996E-3</v>
      </c>
      <c r="AE23">
        <v>6.5009999999999998E-3</v>
      </c>
      <c r="AF23">
        <v>5.8510000000000003E-3</v>
      </c>
      <c r="AG23">
        <v>5.2680000000000001E-3</v>
      </c>
      <c r="AH23">
        <v>4.7749999999999997E-3</v>
      </c>
      <c r="AI23" s="22">
        <v>-7.3999999999999996E-2</v>
      </c>
    </row>
    <row r="24" spans="1:35">
      <c r="A24" t="s">
        <v>236</v>
      </c>
      <c r="B24" t="s">
        <v>1694</v>
      </c>
      <c r="C24" t="s">
        <v>1695</v>
      </c>
      <c r="D24" t="s">
        <v>202</v>
      </c>
      <c r="F24">
        <v>0.57358799999999999</v>
      </c>
      <c r="G24">
        <v>0.60140700000000002</v>
      </c>
      <c r="H24">
        <v>0.63454600000000005</v>
      </c>
      <c r="I24">
        <v>0.67766099999999996</v>
      </c>
      <c r="J24">
        <v>0.73062700000000003</v>
      </c>
      <c r="K24">
        <v>0.79032999999999998</v>
      </c>
      <c r="L24">
        <v>0.85507999999999995</v>
      </c>
      <c r="M24">
        <v>0.92379500000000003</v>
      </c>
      <c r="N24">
        <v>0.99948099999999995</v>
      </c>
      <c r="O24">
        <v>1.0843339999999999</v>
      </c>
      <c r="P24">
        <v>1.1830499999999999</v>
      </c>
      <c r="Q24">
        <v>1.290122</v>
      </c>
      <c r="R24">
        <v>1.4036139999999999</v>
      </c>
      <c r="S24">
        <v>1.5246489999999999</v>
      </c>
      <c r="T24">
        <v>1.645715</v>
      </c>
      <c r="U24">
        <v>1.778392</v>
      </c>
      <c r="V24">
        <v>1.914102</v>
      </c>
      <c r="W24">
        <v>2.0496180000000002</v>
      </c>
      <c r="X24">
        <v>2.1929249999999998</v>
      </c>
      <c r="Y24">
        <v>2.3334109999999999</v>
      </c>
      <c r="Z24">
        <v>2.4729649999999999</v>
      </c>
      <c r="AA24">
        <v>2.6083229999999999</v>
      </c>
      <c r="AB24">
        <v>2.737482</v>
      </c>
      <c r="AC24">
        <v>2.8611119999999999</v>
      </c>
      <c r="AD24">
        <v>2.9812919999999998</v>
      </c>
      <c r="AE24">
        <v>3.0955110000000001</v>
      </c>
      <c r="AF24">
        <v>3.2030799999999999</v>
      </c>
      <c r="AG24">
        <v>3.3133699999999999</v>
      </c>
      <c r="AH24">
        <v>3.4238439999999999</v>
      </c>
      <c r="AI24" s="22">
        <v>6.6000000000000003E-2</v>
      </c>
    </row>
    <row r="25" spans="1:35">
      <c r="A25" t="s">
        <v>237</v>
      </c>
      <c r="B25" t="s">
        <v>1696</v>
      </c>
      <c r="C25" t="s">
        <v>1697</v>
      </c>
      <c r="D25" t="s">
        <v>202</v>
      </c>
      <c r="F25">
        <v>4.7520000000000001E-3</v>
      </c>
      <c r="G25">
        <v>5.4910000000000002E-3</v>
      </c>
      <c r="H25">
        <v>6.0499999999999998E-3</v>
      </c>
      <c r="I25">
        <v>6.5360000000000001E-3</v>
      </c>
      <c r="J25">
        <v>6.9290000000000003E-3</v>
      </c>
      <c r="K25">
        <v>7.182E-3</v>
      </c>
      <c r="L25">
        <v>7.3159999999999996E-3</v>
      </c>
      <c r="M25">
        <v>7.345E-3</v>
      </c>
      <c r="N25">
        <v>7.3070000000000001E-3</v>
      </c>
      <c r="O25">
        <v>7.2189999999999997E-3</v>
      </c>
      <c r="P25">
        <v>7.1009999999999997E-3</v>
      </c>
      <c r="Q25">
        <v>6.9329999999999999E-3</v>
      </c>
      <c r="R25">
        <v>6.718E-3</v>
      </c>
      <c r="S25">
        <v>6.5050000000000004E-3</v>
      </c>
      <c r="T25">
        <v>6.2319999999999997E-3</v>
      </c>
      <c r="U25">
        <v>5.9480000000000002E-3</v>
      </c>
      <c r="V25">
        <v>5.7070000000000003E-3</v>
      </c>
      <c r="W25">
        <v>5.4489999999999999E-3</v>
      </c>
      <c r="X25">
        <v>5.1570000000000001E-3</v>
      </c>
      <c r="Y25">
        <v>4.8700000000000002E-3</v>
      </c>
      <c r="Z25">
        <v>4.6059999999999999E-3</v>
      </c>
      <c r="AA25">
        <v>4.3509999999999998E-3</v>
      </c>
      <c r="AB25">
        <v>4.1050000000000001E-3</v>
      </c>
      <c r="AC25">
        <v>3.8700000000000002E-3</v>
      </c>
      <c r="AD25">
        <v>3.6519999999999999E-3</v>
      </c>
      <c r="AE25">
        <v>3.4450000000000001E-3</v>
      </c>
      <c r="AF25">
        <v>3.248E-3</v>
      </c>
      <c r="AG25">
        <v>3.0590000000000001E-3</v>
      </c>
      <c r="AH25">
        <v>2.885E-3</v>
      </c>
      <c r="AI25" s="22">
        <v>-1.7999999999999999E-2</v>
      </c>
    </row>
    <row r="26" spans="1:35">
      <c r="A26" t="s">
        <v>238</v>
      </c>
      <c r="B26" t="s">
        <v>1698</v>
      </c>
      <c r="C26" t="s">
        <v>1699</v>
      </c>
      <c r="D26" t="s">
        <v>202</v>
      </c>
      <c r="F26">
        <v>0</v>
      </c>
      <c r="G26">
        <v>0</v>
      </c>
      <c r="H26">
        <v>4.0569999999999998E-3</v>
      </c>
      <c r="I26">
        <v>8.1670000000000006E-3</v>
      </c>
      <c r="J26">
        <v>1.2279999999999999E-2</v>
      </c>
      <c r="K26">
        <v>1.6237999999999999E-2</v>
      </c>
      <c r="L26">
        <v>2.0057999999999999E-2</v>
      </c>
      <c r="M26">
        <v>2.3657999999999998E-2</v>
      </c>
      <c r="N26">
        <v>2.7074000000000001E-2</v>
      </c>
      <c r="O26">
        <v>3.0387999999999998E-2</v>
      </c>
      <c r="P26">
        <v>3.3786999999999998E-2</v>
      </c>
      <c r="Q26">
        <v>3.7179999999999998E-2</v>
      </c>
      <c r="R26">
        <v>4.0497999999999999E-2</v>
      </c>
      <c r="S26">
        <v>4.3855999999999999E-2</v>
      </c>
      <c r="T26">
        <v>4.7225999999999997E-2</v>
      </c>
      <c r="U26">
        <v>5.0868999999999998E-2</v>
      </c>
      <c r="V26">
        <v>5.4696000000000002E-2</v>
      </c>
      <c r="W26">
        <v>5.8694000000000003E-2</v>
      </c>
      <c r="X26">
        <v>6.3043000000000002E-2</v>
      </c>
      <c r="Y26">
        <v>6.7706000000000002E-2</v>
      </c>
      <c r="Z26">
        <v>7.2775999999999993E-2</v>
      </c>
      <c r="AA26">
        <v>7.8029000000000001E-2</v>
      </c>
      <c r="AB26">
        <v>8.3586999999999995E-2</v>
      </c>
      <c r="AC26">
        <v>8.9401999999999995E-2</v>
      </c>
      <c r="AD26">
        <v>9.5547000000000007E-2</v>
      </c>
      <c r="AE26">
        <v>0.10193000000000001</v>
      </c>
      <c r="AF26">
        <v>0.108524</v>
      </c>
      <c r="AG26">
        <v>0.11551</v>
      </c>
      <c r="AH26">
        <v>0.122839</v>
      </c>
      <c r="AI26" t="s">
        <v>111</v>
      </c>
    </row>
    <row r="27" spans="1:35">
      <c r="A27" t="s">
        <v>239</v>
      </c>
      <c r="B27" t="s">
        <v>1700</v>
      </c>
      <c r="C27" t="s">
        <v>1701</v>
      </c>
      <c r="D27" t="s">
        <v>202</v>
      </c>
      <c r="F27">
        <v>0</v>
      </c>
      <c r="G27">
        <v>0</v>
      </c>
      <c r="H27">
        <v>4.0610000000000004E-3</v>
      </c>
      <c r="I27">
        <v>8.0339999999999995E-3</v>
      </c>
      <c r="J27">
        <v>1.1905000000000001E-2</v>
      </c>
      <c r="K27">
        <v>1.5573E-2</v>
      </c>
      <c r="L27">
        <v>1.9036999999999998E-2</v>
      </c>
      <c r="M27">
        <v>2.2249999999999999E-2</v>
      </c>
      <c r="N27">
        <v>2.5312000000000001E-2</v>
      </c>
      <c r="O27">
        <v>2.836E-2</v>
      </c>
      <c r="P27">
        <v>3.1593999999999997E-2</v>
      </c>
      <c r="Q27">
        <v>3.4971000000000002E-2</v>
      </c>
      <c r="R27">
        <v>3.8427000000000003E-2</v>
      </c>
      <c r="S27">
        <v>4.2057999999999998E-2</v>
      </c>
      <c r="T27">
        <v>4.589E-2</v>
      </c>
      <c r="U27">
        <v>5.0213000000000001E-2</v>
      </c>
      <c r="V27">
        <v>5.4961999999999997E-2</v>
      </c>
      <c r="W27">
        <v>6.0159999999999998E-2</v>
      </c>
      <c r="X27">
        <v>6.6020999999999996E-2</v>
      </c>
      <c r="Y27">
        <v>7.2526999999999994E-2</v>
      </c>
      <c r="Z27">
        <v>7.9758999999999997E-2</v>
      </c>
      <c r="AA27">
        <v>8.7495000000000003E-2</v>
      </c>
      <c r="AB27">
        <v>9.5846000000000001E-2</v>
      </c>
      <c r="AC27">
        <v>0.10474799999999999</v>
      </c>
      <c r="AD27">
        <v>0.114255</v>
      </c>
      <c r="AE27">
        <v>0.124223</v>
      </c>
      <c r="AF27">
        <v>0.13459199999999999</v>
      </c>
      <c r="AG27">
        <v>0.14565800000000001</v>
      </c>
      <c r="AH27">
        <v>0.15723400000000001</v>
      </c>
      <c r="AI27" t="s">
        <v>111</v>
      </c>
    </row>
    <row r="28" spans="1:35">
      <c r="A28" t="s">
        <v>240</v>
      </c>
      <c r="B28" t="s">
        <v>1702</v>
      </c>
      <c r="C28" t="s">
        <v>1703</v>
      </c>
      <c r="D28" t="s">
        <v>202</v>
      </c>
      <c r="F28">
        <v>0</v>
      </c>
      <c r="G28">
        <v>0</v>
      </c>
      <c r="H28">
        <v>6.7840000000000001E-3</v>
      </c>
      <c r="I28">
        <v>1.3694E-2</v>
      </c>
      <c r="J28">
        <v>2.0728E-2</v>
      </c>
      <c r="K28">
        <v>2.7577000000000001E-2</v>
      </c>
      <c r="L28">
        <v>3.4187000000000002E-2</v>
      </c>
      <c r="M28">
        <v>4.0457E-2</v>
      </c>
      <c r="N28">
        <v>4.6433000000000002E-2</v>
      </c>
      <c r="O28">
        <v>5.2238E-2</v>
      </c>
      <c r="P28">
        <v>5.8138000000000002E-2</v>
      </c>
      <c r="Q28">
        <v>6.3926999999999998E-2</v>
      </c>
      <c r="R28">
        <v>6.9538000000000003E-2</v>
      </c>
      <c r="S28">
        <v>7.5242000000000003E-2</v>
      </c>
      <c r="T28">
        <v>8.0976000000000006E-2</v>
      </c>
      <c r="U28">
        <v>8.7225999999999998E-2</v>
      </c>
      <c r="V28">
        <v>9.3895999999999993E-2</v>
      </c>
      <c r="W28">
        <v>0.10097399999999999</v>
      </c>
      <c r="X28">
        <v>0.10878699999999999</v>
      </c>
      <c r="Y28">
        <v>0.11728</v>
      </c>
      <c r="Z28">
        <v>0.12661900000000001</v>
      </c>
      <c r="AA28">
        <v>0.136432</v>
      </c>
      <c r="AB28">
        <v>0.14691299999999999</v>
      </c>
      <c r="AC28">
        <v>0.15795899999999999</v>
      </c>
      <c r="AD28">
        <v>0.16969300000000001</v>
      </c>
      <c r="AE28">
        <v>0.18194399999999999</v>
      </c>
      <c r="AF28">
        <v>0.19465099999999999</v>
      </c>
      <c r="AG28">
        <v>0.20824400000000001</v>
      </c>
      <c r="AH28">
        <v>0.222495</v>
      </c>
      <c r="AI28" t="s">
        <v>111</v>
      </c>
    </row>
    <row r="29" spans="1:35">
      <c r="A29" t="s">
        <v>242</v>
      </c>
      <c r="B29" t="s">
        <v>1704</v>
      </c>
      <c r="C29" t="s">
        <v>1705</v>
      </c>
      <c r="D29" t="s">
        <v>202</v>
      </c>
      <c r="F29">
        <v>59.675491000000001</v>
      </c>
      <c r="G29">
        <v>58.661780999999998</v>
      </c>
      <c r="H29">
        <v>58.029797000000002</v>
      </c>
      <c r="I29">
        <v>58.049156000000004</v>
      </c>
      <c r="J29">
        <v>58.503886999999999</v>
      </c>
      <c r="K29">
        <v>58.913939999999997</v>
      </c>
      <c r="L29">
        <v>59.350769</v>
      </c>
      <c r="M29">
        <v>59.713520000000003</v>
      </c>
      <c r="N29">
        <v>60.134556000000003</v>
      </c>
      <c r="O29">
        <v>60.628036000000002</v>
      </c>
      <c r="P29">
        <v>61.368358999999998</v>
      </c>
      <c r="Q29">
        <v>61.992427999999997</v>
      </c>
      <c r="R29">
        <v>62.493834999999997</v>
      </c>
      <c r="S29">
        <v>63.075363000000003</v>
      </c>
      <c r="T29">
        <v>63.577190000000002</v>
      </c>
      <c r="U29">
        <v>64.315276999999995</v>
      </c>
      <c r="V29">
        <v>65.015548999999993</v>
      </c>
      <c r="W29">
        <v>65.703140000000005</v>
      </c>
      <c r="X29">
        <v>66.439789000000005</v>
      </c>
      <c r="Y29">
        <v>67.153098999999997</v>
      </c>
      <c r="Z29">
        <v>67.914848000000006</v>
      </c>
      <c r="AA29">
        <v>68.703293000000002</v>
      </c>
      <c r="AB29">
        <v>69.483185000000006</v>
      </c>
      <c r="AC29">
        <v>70.217613</v>
      </c>
      <c r="AD29">
        <v>70.96611</v>
      </c>
      <c r="AE29">
        <v>71.697151000000005</v>
      </c>
      <c r="AF29">
        <v>72.411263000000005</v>
      </c>
      <c r="AG29">
        <v>73.264426999999998</v>
      </c>
      <c r="AH29">
        <v>74.191055000000006</v>
      </c>
      <c r="AI29" s="22">
        <v>8.0000000000000002E-3</v>
      </c>
    </row>
    <row r="30" spans="1:35">
      <c r="A30" t="s">
        <v>243</v>
      </c>
    </row>
    <row r="31" spans="1:35">
      <c r="A31" t="s">
        <v>189</v>
      </c>
      <c r="B31" t="s">
        <v>1706</v>
      </c>
      <c r="C31" t="s">
        <v>1707</v>
      </c>
      <c r="D31" t="s">
        <v>202</v>
      </c>
      <c r="F31">
        <v>184.60037199999999</v>
      </c>
      <c r="G31">
        <v>181.659302</v>
      </c>
      <c r="H31">
        <v>179.33776900000001</v>
      </c>
      <c r="I31">
        <v>179.120193</v>
      </c>
      <c r="J31">
        <v>180.21894800000001</v>
      </c>
      <c r="K31">
        <v>181.00943000000001</v>
      </c>
      <c r="L31">
        <v>181.60069300000001</v>
      </c>
      <c r="M31">
        <v>181.741882</v>
      </c>
      <c r="N31">
        <v>181.81384299999999</v>
      </c>
      <c r="O31">
        <v>181.88819899999999</v>
      </c>
      <c r="P31">
        <v>182.31565900000001</v>
      </c>
      <c r="Q31">
        <v>182.31204199999999</v>
      </c>
      <c r="R31">
        <v>181.79646299999999</v>
      </c>
      <c r="S31">
        <v>181.348389</v>
      </c>
      <c r="T31">
        <v>180.57669100000001</v>
      </c>
      <c r="U31">
        <v>180.37922699999999</v>
      </c>
      <c r="V31">
        <v>180.30328399999999</v>
      </c>
      <c r="W31">
        <v>180.01679999999999</v>
      </c>
      <c r="X31">
        <v>179.91267400000001</v>
      </c>
      <c r="Y31">
        <v>179.668015</v>
      </c>
      <c r="Z31">
        <v>179.53393600000001</v>
      </c>
      <c r="AA31">
        <v>179.28070099999999</v>
      </c>
      <c r="AB31">
        <v>178.90154999999999</v>
      </c>
      <c r="AC31">
        <v>178.38395700000001</v>
      </c>
      <c r="AD31">
        <v>177.84689299999999</v>
      </c>
      <c r="AE31">
        <v>177.18598900000001</v>
      </c>
      <c r="AF31">
        <v>176.449005</v>
      </c>
      <c r="AG31">
        <v>176.03950499999999</v>
      </c>
      <c r="AH31">
        <v>175.83848599999999</v>
      </c>
      <c r="AI31" s="22">
        <v>-2E-3</v>
      </c>
    </row>
    <row r="32" spans="1:35">
      <c r="A32" t="s">
        <v>235</v>
      </c>
      <c r="B32" t="s">
        <v>1708</v>
      </c>
      <c r="C32" t="s">
        <v>1709</v>
      </c>
      <c r="D32" t="s">
        <v>202</v>
      </c>
      <c r="F32">
        <v>0.17738300000000001</v>
      </c>
      <c r="G32">
        <v>0.17443600000000001</v>
      </c>
      <c r="H32">
        <v>0.17478399999999999</v>
      </c>
      <c r="I32">
        <v>0.17882700000000001</v>
      </c>
      <c r="J32">
        <v>0.18665300000000001</v>
      </c>
      <c r="K32">
        <v>0.19601199999999999</v>
      </c>
      <c r="L32">
        <v>0.20597799999999999</v>
      </c>
      <c r="M32">
        <v>0.21579200000000001</v>
      </c>
      <c r="N32">
        <v>0.226576</v>
      </c>
      <c r="O32">
        <v>0.237146</v>
      </c>
      <c r="P32">
        <v>0.247638</v>
      </c>
      <c r="Q32">
        <v>0.25715700000000002</v>
      </c>
      <c r="R32">
        <v>0.26541300000000001</v>
      </c>
      <c r="S32">
        <v>0.27308100000000002</v>
      </c>
      <c r="T32">
        <v>0.27896799999999999</v>
      </c>
      <c r="U32">
        <v>0.284694</v>
      </c>
      <c r="V32">
        <v>0.28928999999999999</v>
      </c>
      <c r="W32">
        <v>0.29280400000000001</v>
      </c>
      <c r="X32">
        <v>0.296269</v>
      </c>
      <c r="Y32">
        <v>0.29911900000000002</v>
      </c>
      <c r="Z32">
        <v>0.30070000000000002</v>
      </c>
      <c r="AA32">
        <v>0.30173499999999998</v>
      </c>
      <c r="AB32">
        <v>0.30324099999999998</v>
      </c>
      <c r="AC32">
        <v>0.30465999999999999</v>
      </c>
      <c r="AD32">
        <v>0.30624899999999999</v>
      </c>
      <c r="AE32">
        <v>0.30773899999999998</v>
      </c>
      <c r="AF32">
        <v>0.309114</v>
      </c>
      <c r="AG32">
        <v>0.310919</v>
      </c>
      <c r="AH32">
        <v>0.31297900000000001</v>
      </c>
      <c r="AI32" s="22">
        <v>0.02</v>
      </c>
    </row>
    <row r="33" spans="1:35">
      <c r="A33" t="s">
        <v>192</v>
      </c>
      <c r="B33" t="s">
        <v>1710</v>
      </c>
      <c r="C33" t="s">
        <v>1711</v>
      </c>
      <c r="D33" t="s">
        <v>202</v>
      </c>
      <c r="F33">
        <v>2.7491999999999999E-2</v>
      </c>
      <c r="G33">
        <v>2.9336000000000001E-2</v>
      </c>
      <c r="H33">
        <v>3.1071000000000001E-2</v>
      </c>
      <c r="I33">
        <v>3.2966000000000002E-2</v>
      </c>
      <c r="J33">
        <v>3.4987999999999998E-2</v>
      </c>
      <c r="K33">
        <v>3.6720000000000003E-2</v>
      </c>
      <c r="L33">
        <v>3.8114000000000002E-2</v>
      </c>
      <c r="M33">
        <v>3.9049E-2</v>
      </c>
      <c r="N33">
        <v>3.9738999999999997E-2</v>
      </c>
      <c r="O33">
        <v>4.0235E-2</v>
      </c>
      <c r="P33">
        <v>4.0661000000000003E-2</v>
      </c>
      <c r="Q33">
        <v>4.104E-2</v>
      </c>
      <c r="R33">
        <v>4.1381000000000001E-2</v>
      </c>
      <c r="S33">
        <v>4.1751000000000003E-2</v>
      </c>
      <c r="T33">
        <v>4.1957000000000001E-2</v>
      </c>
      <c r="U33">
        <v>4.2249000000000002E-2</v>
      </c>
      <c r="V33">
        <v>4.2424999999999997E-2</v>
      </c>
      <c r="W33">
        <v>4.2535999999999997E-2</v>
      </c>
      <c r="X33">
        <v>4.2664000000000001E-2</v>
      </c>
      <c r="Y33">
        <v>4.2823E-2</v>
      </c>
      <c r="Z33">
        <v>4.2963000000000001E-2</v>
      </c>
      <c r="AA33">
        <v>4.3061000000000002E-2</v>
      </c>
      <c r="AB33">
        <v>4.3122000000000001E-2</v>
      </c>
      <c r="AC33">
        <v>4.3159000000000003E-2</v>
      </c>
      <c r="AD33">
        <v>4.3212E-2</v>
      </c>
      <c r="AE33">
        <v>4.3248000000000002E-2</v>
      </c>
      <c r="AF33">
        <v>4.3262000000000002E-2</v>
      </c>
      <c r="AG33">
        <v>4.3311000000000002E-2</v>
      </c>
      <c r="AH33">
        <v>4.3357E-2</v>
      </c>
      <c r="AI33" s="22">
        <v>1.6E-2</v>
      </c>
    </row>
    <row r="34" spans="1:35">
      <c r="A34" t="s">
        <v>195</v>
      </c>
      <c r="B34" t="s">
        <v>1712</v>
      </c>
      <c r="C34" t="s">
        <v>1713</v>
      </c>
      <c r="D34" t="s">
        <v>202</v>
      </c>
      <c r="F34">
        <v>2.1400009999999998</v>
      </c>
      <c r="G34">
        <v>2.1557870000000001</v>
      </c>
      <c r="H34">
        <v>2.1666439999999998</v>
      </c>
      <c r="I34">
        <v>2.1866439999999998</v>
      </c>
      <c r="J34">
        <v>2.2050589999999999</v>
      </c>
      <c r="K34">
        <v>2.2023570000000001</v>
      </c>
      <c r="L34">
        <v>2.1771889999999998</v>
      </c>
      <c r="M34">
        <v>2.1333489999999999</v>
      </c>
      <c r="N34">
        <v>2.0832540000000002</v>
      </c>
      <c r="O34">
        <v>2.037004</v>
      </c>
      <c r="P34">
        <v>2.005252</v>
      </c>
      <c r="Q34">
        <v>1.9869589999999999</v>
      </c>
      <c r="R34">
        <v>1.982839</v>
      </c>
      <c r="S34">
        <v>1.9954099999999999</v>
      </c>
      <c r="T34">
        <v>2.017182</v>
      </c>
      <c r="U34">
        <v>2.0574680000000001</v>
      </c>
      <c r="V34">
        <v>2.110242</v>
      </c>
      <c r="W34">
        <v>2.1724429999999999</v>
      </c>
      <c r="X34">
        <v>2.2483599999999999</v>
      </c>
      <c r="Y34">
        <v>2.33386</v>
      </c>
      <c r="Z34">
        <v>2.4286789999999998</v>
      </c>
      <c r="AA34">
        <v>2.5310320000000002</v>
      </c>
      <c r="AB34">
        <v>2.6404960000000002</v>
      </c>
      <c r="AC34">
        <v>2.7555730000000001</v>
      </c>
      <c r="AD34">
        <v>2.8782350000000001</v>
      </c>
      <c r="AE34">
        <v>3.0066389999999998</v>
      </c>
      <c r="AF34">
        <v>3.1391810000000002</v>
      </c>
      <c r="AG34">
        <v>3.284789</v>
      </c>
      <c r="AH34">
        <v>3.442669</v>
      </c>
      <c r="AI34" s="22">
        <v>1.7000000000000001E-2</v>
      </c>
    </row>
    <row r="35" spans="1:35">
      <c r="A35" t="s">
        <v>236</v>
      </c>
      <c r="B35" t="s">
        <v>1714</v>
      </c>
      <c r="C35" t="s">
        <v>1715</v>
      </c>
      <c r="D35" t="s">
        <v>202</v>
      </c>
      <c r="F35">
        <v>0</v>
      </c>
      <c r="G35">
        <v>0</v>
      </c>
      <c r="H35">
        <v>0</v>
      </c>
      <c r="I35">
        <v>0</v>
      </c>
      <c r="J35">
        <v>0</v>
      </c>
      <c r="K35">
        <v>0</v>
      </c>
      <c r="L35">
        <v>0</v>
      </c>
      <c r="M35">
        <v>0</v>
      </c>
      <c r="N35">
        <v>0</v>
      </c>
      <c r="O35">
        <v>0</v>
      </c>
      <c r="P35">
        <v>0</v>
      </c>
      <c r="Q35">
        <v>0</v>
      </c>
      <c r="R35">
        <v>0</v>
      </c>
      <c r="S35">
        <v>0</v>
      </c>
      <c r="T35">
        <v>0</v>
      </c>
      <c r="U35">
        <v>0</v>
      </c>
      <c r="V35">
        <v>0</v>
      </c>
      <c r="W35">
        <v>0</v>
      </c>
      <c r="X35">
        <v>0</v>
      </c>
      <c r="Y35">
        <v>0</v>
      </c>
      <c r="Z35">
        <v>0</v>
      </c>
      <c r="AA35">
        <v>0</v>
      </c>
      <c r="AB35">
        <v>0</v>
      </c>
      <c r="AC35">
        <v>0</v>
      </c>
      <c r="AD35">
        <v>0</v>
      </c>
      <c r="AE35">
        <v>0</v>
      </c>
      <c r="AF35">
        <v>0</v>
      </c>
      <c r="AG35">
        <v>0</v>
      </c>
      <c r="AH35">
        <v>0</v>
      </c>
      <c r="AI35" t="s">
        <v>111</v>
      </c>
    </row>
    <row r="36" spans="1:35">
      <c r="A36" t="s">
        <v>237</v>
      </c>
      <c r="B36" t="s">
        <v>1716</v>
      </c>
      <c r="C36" t="s">
        <v>1717</v>
      </c>
      <c r="D36" t="s">
        <v>202</v>
      </c>
      <c r="F36">
        <v>4.2389999999999997E-3</v>
      </c>
      <c r="G36">
        <v>4.8370000000000002E-3</v>
      </c>
      <c r="H36">
        <v>5.3550000000000004E-3</v>
      </c>
      <c r="I36">
        <v>5.8450000000000004E-3</v>
      </c>
      <c r="J36">
        <v>6.2740000000000001E-3</v>
      </c>
      <c r="K36">
        <v>6.5900000000000004E-3</v>
      </c>
      <c r="L36">
        <v>6.7970000000000001E-3</v>
      </c>
      <c r="M36">
        <v>6.8970000000000004E-3</v>
      </c>
      <c r="N36">
        <v>6.9160000000000003E-3</v>
      </c>
      <c r="O36">
        <v>6.8609999999999999E-3</v>
      </c>
      <c r="P36">
        <v>6.7429999999999999E-3</v>
      </c>
      <c r="Q36">
        <v>6.5449999999999996E-3</v>
      </c>
      <c r="R36">
        <v>6.2859999999999999E-3</v>
      </c>
      <c r="S36">
        <v>6.0010000000000003E-3</v>
      </c>
      <c r="T36">
        <v>5.6860000000000001E-3</v>
      </c>
      <c r="U36">
        <v>5.3920000000000001E-3</v>
      </c>
      <c r="V36">
        <v>5.1000000000000004E-3</v>
      </c>
      <c r="W36">
        <v>4.7580000000000001E-3</v>
      </c>
      <c r="X36">
        <v>4.4060000000000002E-3</v>
      </c>
      <c r="Y36">
        <v>4.1019999999999997E-3</v>
      </c>
      <c r="Z36">
        <v>3.8579999999999999E-3</v>
      </c>
      <c r="AA36">
        <v>3.6110000000000001E-3</v>
      </c>
      <c r="AB36">
        <v>3.3869999999999998E-3</v>
      </c>
      <c r="AC36">
        <v>3.1779999999999998E-3</v>
      </c>
      <c r="AD36">
        <v>2.9849999999999998E-3</v>
      </c>
      <c r="AE36">
        <v>2.807E-3</v>
      </c>
      <c r="AF36">
        <v>2.64E-3</v>
      </c>
      <c r="AG36">
        <v>2.4889999999999999E-3</v>
      </c>
      <c r="AH36">
        <v>2.3509999999999998E-3</v>
      </c>
      <c r="AI36" s="22">
        <v>-2.1000000000000001E-2</v>
      </c>
    </row>
    <row r="37" spans="1:35">
      <c r="A37" t="s">
        <v>238</v>
      </c>
      <c r="B37" t="s">
        <v>1718</v>
      </c>
      <c r="C37" t="s">
        <v>1719</v>
      </c>
      <c r="D37" t="s">
        <v>202</v>
      </c>
      <c r="F37">
        <v>0</v>
      </c>
      <c r="G37">
        <v>0</v>
      </c>
      <c r="H37">
        <v>1.047E-3</v>
      </c>
      <c r="I37">
        <v>2.127E-3</v>
      </c>
      <c r="J37">
        <v>3.241E-3</v>
      </c>
      <c r="K37">
        <v>4.3540000000000002E-3</v>
      </c>
      <c r="L37">
        <v>5.4720000000000003E-3</v>
      </c>
      <c r="M37">
        <v>6.5729999999999998E-3</v>
      </c>
      <c r="N37">
        <v>7.6629999999999997E-3</v>
      </c>
      <c r="O37">
        <v>8.7530000000000004E-3</v>
      </c>
      <c r="P37">
        <v>9.8750000000000001E-3</v>
      </c>
      <c r="Q37">
        <v>1.0983E-2</v>
      </c>
      <c r="R37">
        <v>1.2050999999999999E-2</v>
      </c>
      <c r="S37">
        <v>1.3096999999999999E-2</v>
      </c>
      <c r="T37">
        <v>1.4095E-2</v>
      </c>
      <c r="U37">
        <v>1.511E-2</v>
      </c>
      <c r="V37">
        <v>1.6105000000000001E-2</v>
      </c>
      <c r="W37">
        <v>1.7072E-2</v>
      </c>
      <c r="X37">
        <v>1.8075000000000001E-2</v>
      </c>
      <c r="Y37">
        <v>1.9120000000000002E-2</v>
      </c>
      <c r="Z37">
        <v>2.0253E-2</v>
      </c>
      <c r="AA37">
        <v>2.1441000000000002E-2</v>
      </c>
      <c r="AB37">
        <v>2.2678E-2</v>
      </c>
      <c r="AC37">
        <v>2.3994000000000001E-2</v>
      </c>
      <c r="AD37">
        <v>2.5464000000000001E-2</v>
      </c>
      <c r="AE37">
        <v>2.7054000000000002E-2</v>
      </c>
      <c r="AF37">
        <v>2.877E-2</v>
      </c>
      <c r="AG37">
        <v>3.0686000000000001E-2</v>
      </c>
      <c r="AH37">
        <v>3.2786000000000003E-2</v>
      </c>
      <c r="AI37" t="s">
        <v>111</v>
      </c>
    </row>
    <row r="38" spans="1:35">
      <c r="A38" t="s">
        <v>239</v>
      </c>
      <c r="B38" t="s">
        <v>1720</v>
      </c>
      <c r="C38" t="s">
        <v>1721</v>
      </c>
      <c r="D38" t="s">
        <v>202</v>
      </c>
      <c r="F38">
        <v>0</v>
      </c>
      <c r="G38">
        <v>0</v>
      </c>
      <c r="H38">
        <v>2.3640000000000002E-3</v>
      </c>
      <c r="I38">
        <v>4.7369999999999999E-3</v>
      </c>
      <c r="J38">
        <v>7.1450000000000003E-3</v>
      </c>
      <c r="K38">
        <v>9.5219999999999992E-3</v>
      </c>
      <c r="L38">
        <v>1.1861E-2</v>
      </c>
      <c r="M38">
        <v>1.4121999999999999E-2</v>
      </c>
      <c r="N38">
        <v>1.6327000000000001E-2</v>
      </c>
      <c r="O38">
        <v>1.8509000000000001E-2</v>
      </c>
      <c r="P38">
        <v>2.0725E-2</v>
      </c>
      <c r="Q38">
        <v>2.2883000000000001E-2</v>
      </c>
      <c r="R38">
        <v>2.4927000000000001E-2</v>
      </c>
      <c r="S38">
        <v>2.6898999999999999E-2</v>
      </c>
      <c r="T38">
        <v>2.8738E-2</v>
      </c>
      <c r="U38">
        <v>3.0574E-2</v>
      </c>
      <c r="V38">
        <v>3.2329999999999998E-2</v>
      </c>
      <c r="W38">
        <v>3.3996999999999999E-2</v>
      </c>
      <c r="X38">
        <v>3.5702999999999999E-2</v>
      </c>
      <c r="Y38">
        <v>3.7462000000000002E-2</v>
      </c>
      <c r="Z38">
        <v>3.9357000000000003E-2</v>
      </c>
      <c r="AA38">
        <v>4.1302999999999999E-2</v>
      </c>
      <c r="AB38">
        <v>4.3270999999999997E-2</v>
      </c>
      <c r="AC38">
        <v>4.5317999999999997E-2</v>
      </c>
      <c r="AD38">
        <v>4.7577000000000001E-2</v>
      </c>
      <c r="AE38">
        <v>4.9952000000000003E-2</v>
      </c>
      <c r="AF38">
        <v>5.2423999999999998E-2</v>
      </c>
      <c r="AG38">
        <v>5.5099000000000002E-2</v>
      </c>
      <c r="AH38">
        <v>5.7922000000000001E-2</v>
      </c>
      <c r="AI38" t="s">
        <v>111</v>
      </c>
    </row>
    <row r="39" spans="1:35">
      <c r="A39" t="s">
        <v>240</v>
      </c>
      <c r="B39" t="s">
        <v>1722</v>
      </c>
      <c r="C39" t="s">
        <v>1723</v>
      </c>
      <c r="D39" t="s">
        <v>202</v>
      </c>
      <c r="F39">
        <v>0</v>
      </c>
      <c r="G39">
        <v>0</v>
      </c>
      <c r="H39">
        <v>5.7010000000000003E-3</v>
      </c>
      <c r="I39">
        <v>1.1606999999999999E-2</v>
      </c>
      <c r="J39">
        <v>1.7784000000000001E-2</v>
      </c>
      <c r="K39">
        <v>2.4011999999999999E-2</v>
      </c>
      <c r="L39">
        <v>3.0249999999999999E-2</v>
      </c>
      <c r="M39">
        <v>3.6382999999999999E-2</v>
      </c>
      <c r="N39">
        <v>4.2418999999999998E-2</v>
      </c>
      <c r="O39">
        <v>4.8391999999999998E-2</v>
      </c>
      <c r="P39">
        <v>5.4426000000000002E-2</v>
      </c>
      <c r="Q39">
        <v>6.0228999999999998E-2</v>
      </c>
      <c r="R39">
        <v>6.5667000000000003E-2</v>
      </c>
      <c r="S39">
        <v>7.0873000000000005E-2</v>
      </c>
      <c r="T39">
        <v>7.5647000000000006E-2</v>
      </c>
      <c r="U39">
        <v>8.0312999999999996E-2</v>
      </c>
      <c r="V39">
        <v>8.4670999999999996E-2</v>
      </c>
      <c r="W39">
        <v>8.8666999999999996E-2</v>
      </c>
      <c r="X39">
        <v>9.2609999999999998E-2</v>
      </c>
      <c r="Y39">
        <v>9.6520999999999996E-2</v>
      </c>
      <c r="Z39">
        <v>0.100616</v>
      </c>
      <c r="AA39">
        <v>0.104708</v>
      </c>
      <c r="AB39">
        <v>0.108751</v>
      </c>
      <c r="AC39">
        <v>0.112911</v>
      </c>
      <c r="AD39">
        <v>0.11756999999999999</v>
      </c>
      <c r="AE39">
        <v>0.12256499999999999</v>
      </c>
      <c r="AF39">
        <v>0.12792899999999999</v>
      </c>
      <c r="AG39">
        <v>0.13400100000000001</v>
      </c>
      <c r="AH39">
        <v>0.14074999999999999</v>
      </c>
      <c r="AI39" t="s">
        <v>111</v>
      </c>
    </row>
    <row r="40" spans="1:35">
      <c r="A40" t="s">
        <v>244</v>
      </c>
      <c r="B40" t="s">
        <v>1724</v>
      </c>
      <c r="C40" t="s">
        <v>1725</v>
      </c>
      <c r="D40" t="s">
        <v>202</v>
      </c>
      <c r="F40">
        <v>186.94918799999999</v>
      </c>
      <c r="G40">
        <v>184.02345299999999</v>
      </c>
      <c r="H40">
        <v>181.72447199999999</v>
      </c>
      <c r="I40">
        <v>181.54272499999999</v>
      </c>
      <c r="J40">
        <v>182.67984000000001</v>
      </c>
      <c r="K40">
        <v>183.488831</v>
      </c>
      <c r="L40">
        <v>184.07605000000001</v>
      </c>
      <c r="M40">
        <v>184.193726</v>
      </c>
      <c r="N40">
        <v>184.23619099999999</v>
      </c>
      <c r="O40">
        <v>184.284637</v>
      </c>
      <c r="P40">
        <v>184.70048499999999</v>
      </c>
      <c r="Q40">
        <v>184.697327</v>
      </c>
      <c r="R40">
        <v>184.19468699999999</v>
      </c>
      <c r="S40">
        <v>183.775024</v>
      </c>
      <c r="T40">
        <v>183.03814700000001</v>
      </c>
      <c r="U40">
        <v>182.89442399999999</v>
      </c>
      <c r="V40">
        <v>182.88275100000001</v>
      </c>
      <c r="W40">
        <v>182.668274</v>
      </c>
      <c r="X40">
        <v>182.65016199999999</v>
      </c>
      <c r="Y40">
        <v>182.50058000000001</v>
      </c>
      <c r="Z40">
        <v>182.46910099999999</v>
      </c>
      <c r="AA40">
        <v>182.32656900000001</v>
      </c>
      <c r="AB40">
        <v>182.065201</v>
      </c>
      <c r="AC40">
        <v>181.671616</v>
      </c>
      <c r="AD40">
        <v>181.266907</v>
      </c>
      <c r="AE40">
        <v>180.744415</v>
      </c>
      <c r="AF40">
        <v>180.15121500000001</v>
      </c>
      <c r="AG40">
        <v>179.89952099999999</v>
      </c>
      <c r="AH40">
        <v>179.86982699999999</v>
      </c>
      <c r="AI40" s="22">
        <v>-1E-3</v>
      </c>
    </row>
    <row r="41" spans="1:35">
      <c r="A41" t="s">
        <v>245</v>
      </c>
      <c r="B41" t="s">
        <v>1726</v>
      </c>
      <c r="C41" t="s">
        <v>1727</v>
      </c>
      <c r="D41" t="s">
        <v>202</v>
      </c>
      <c r="F41">
        <v>321.95339999999999</v>
      </c>
      <c r="G41">
        <v>317.39248700000002</v>
      </c>
      <c r="H41">
        <v>314.48513800000001</v>
      </c>
      <c r="I41">
        <v>314.94528200000002</v>
      </c>
      <c r="J41">
        <v>317.255585</v>
      </c>
      <c r="K41">
        <v>318.78924599999999</v>
      </c>
      <c r="L41">
        <v>320.01522799999998</v>
      </c>
      <c r="M41">
        <v>320.71121199999999</v>
      </c>
      <c r="N41">
        <v>321.69329800000003</v>
      </c>
      <c r="O41">
        <v>323.025848</v>
      </c>
      <c r="P41">
        <v>325.34118699999999</v>
      </c>
      <c r="Q41">
        <v>327.113831</v>
      </c>
      <c r="R41">
        <v>328.192047</v>
      </c>
      <c r="S41">
        <v>329.51705900000002</v>
      </c>
      <c r="T41">
        <v>330.28295900000001</v>
      </c>
      <c r="U41">
        <v>332.07742300000001</v>
      </c>
      <c r="V41">
        <v>333.92361499999998</v>
      </c>
      <c r="W41">
        <v>335.44903599999998</v>
      </c>
      <c r="X41">
        <v>337.36404399999998</v>
      </c>
      <c r="Y41">
        <v>339.16110200000003</v>
      </c>
      <c r="Z41">
        <v>341.21862800000002</v>
      </c>
      <c r="AA41">
        <v>343.15524299999998</v>
      </c>
      <c r="AB41">
        <v>344.90252700000002</v>
      </c>
      <c r="AC41">
        <v>346.50024400000001</v>
      </c>
      <c r="AD41">
        <v>348.24490400000002</v>
      </c>
      <c r="AE41">
        <v>349.90035999999998</v>
      </c>
      <c r="AF41">
        <v>351.47170999999997</v>
      </c>
      <c r="AG41">
        <v>353.64367700000003</v>
      </c>
      <c r="AH41">
        <v>356.19241299999999</v>
      </c>
      <c r="AI41" s="22">
        <v>4.0000000000000001E-3</v>
      </c>
    </row>
    <row r="42" spans="1:35">
      <c r="A42" t="s">
        <v>246</v>
      </c>
    </row>
    <row r="43" spans="1:35">
      <c r="A43" t="s">
        <v>170</v>
      </c>
    </row>
    <row r="44" spans="1:35">
      <c r="A44" t="s">
        <v>189</v>
      </c>
      <c r="B44" t="s">
        <v>1728</v>
      </c>
      <c r="C44" t="s">
        <v>1729</v>
      </c>
      <c r="D44" t="s">
        <v>201</v>
      </c>
      <c r="F44">
        <v>505.03723100000002</v>
      </c>
      <c r="G44">
        <v>485.44491599999998</v>
      </c>
      <c r="H44">
        <v>469.56829800000003</v>
      </c>
      <c r="I44">
        <v>457.05853300000001</v>
      </c>
      <c r="J44">
        <v>445.32620200000002</v>
      </c>
      <c r="K44">
        <v>431.78775000000002</v>
      </c>
      <c r="L44">
        <v>418.97491500000001</v>
      </c>
      <c r="M44">
        <v>407.44158900000002</v>
      </c>
      <c r="N44">
        <v>398.90502900000001</v>
      </c>
      <c r="O44">
        <v>393.05145299999998</v>
      </c>
      <c r="P44">
        <v>389.76025399999997</v>
      </c>
      <c r="Q44">
        <v>387.04650900000001</v>
      </c>
      <c r="R44">
        <v>384.93383799999998</v>
      </c>
      <c r="S44">
        <v>383.96670499999999</v>
      </c>
      <c r="T44">
        <v>382.68963600000001</v>
      </c>
      <c r="U44">
        <v>382.74392699999999</v>
      </c>
      <c r="V44">
        <v>383.16451999999998</v>
      </c>
      <c r="W44">
        <v>383.860657</v>
      </c>
      <c r="X44">
        <v>385.70626800000002</v>
      </c>
      <c r="Y44">
        <v>387.97345000000001</v>
      </c>
      <c r="Z44">
        <v>391.06152300000002</v>
      </c>
      <c r="AA44">
        <v>394.662262</v>
      </c>
      <c r="AB44">
        <v>398.46346999999997</v>
      </c>
      <c r="AC44">
        <v>402.75805700000001</v>
      </c>
      <c r="AD44">
        <v>407.94180299999999</v>
      </c>
      <c r="AE44">
        <v>413.58783</v>
      </c>
      <c r="AF44">
        <v>419.52957199999997</v>
      </c>
      <c r="AG44">
        <v>426.11764499999998</v>
      </c>
      <c r="AH44">
        <v>433.09433000000001</v>
      </c>
      <c r="AI44" s="22">
        <v>-5.0000000000000001E-3</v>
      </c>
    </row>
    <row r="45" spans="1:35">
      <c r="A45" t="s">
        <v>235</v>
      </c>
      <c r="B45" t="s">
        <v>1730</v>
      </c>
      <c r="C45" t="s">
        <v>1731</v>
      </c>
      <c r="D45" t="s">
        <v>201</v>
      </c>
      <c r="F45">
        <v>197.09033199999999</v>
      </c>
      <c r="G45">
        <v>201.26857000000001</v>
      </c>
      <c r="H45">
        <v>206.06437700000001</v>
      </c>
      <c r="I45">
        <v>211.38995399999999</v>
      </c>
      <c r="J45">
        <v>216.262878</v>
      </c>
      <c r="K45">
        <v>219.178146</v>
      </c>
      <c r="L45">
        <v>221.272842</v>
      </c>
      <c r="M45">
        <v>223.02633700000001</v>
      </c>
      <c r="N45">
        <v>225.39292900000001</v>
      </c>
      <c r="O45">
        <v>228.195145</v>
      </c>
      <c r="P45">
        <v>232.10806299999999</v>
      </c>
      <c r="Q45">
        <v>236.13992300000001</v>
      </c>
      <c r="R45">
        <v>239.99026499999999</v>
      </c>
      <c r="S45">
        <v>244.10591099999999</v>
      </c>
      <c r="T45">
        <v>247.91830400000001</v>
      </c>
      <c r="U45">
        <v>252.39035000000001</v>
      </c>
      <c r="V45">
        <v>256.58529700000003</v>
      </c>
      <c r="W45">
        <v>260.04367100000002</v>
      </c>
      <c r="X45">
        <v>263.66922</v>
      </c>
      <c r="Y45">
        <v>268.157196</v>
      </c>
      <c r="Z45">
        <v>272.69494600000002</v>
      </c>
      <c r="AA45">
        <v>276.627747</v>
      </c>
      <c r="AB45">
        <v>280.18627900000001</v>
      </c>
      <c r="AC45">
        <v>283.63119499999999</v>
      </c>
      <c r="AD45">
        <v>287.394745</v>
      </c>
      <c r="AE45">
        <v>291.14355499999999</v>
      </c>
      <c r="AF45">
        <v>294.69296300000002</v>
      </c>
      <c r="AG45">
        <v>298.480591</v>
      </c>
      <c r="AH45">
        <v>302.51641799999999</v>
      </c>
      <c r="AI45" s="22">
        <v>1.4999999999999999E-2</v>
      </c>
    </row>
    <row r="46" spans="1:35">
      <c r="A46" t="s">
        <v>192</v>
      </c>
      <c r="B46" t="s">
        <v>1732</v>
      </c>
      <c r="C46" t="s">
        <v>1733</v>
      </c>
      <c r="D46" t="s">
        <v>201</v>
      </c>
      <c r="F46">
        <v>8.8570000000000003E-3</v>
      </c>
      <c r="G46">
        <v>7.2086999999999998E-2</v>
      </c>
      <c r="H46">
        <v>0.13471</v>
      </c>
      <c r="I46">
        <v>0.19301199999999999</v>
      </c>
      <c r="J46">
        <v>0.24727499999999999</v>
      </c>
      <c r="K46">
        <v>0.29535499999999998</v>
      </c>
      <c r="L46">
        <v>0.33980399999999999</v>
      </c>
      <c r="M46">
        <v>0.38144499999999998</v>
      </c>
      <c r="N46">
        <v>0.42167100000000002</v>
      </c>
      <c r="O46">
        <v>0.46169700000000002</v>
      </c>
      <c r="P46">
        <v>0.50309700000000002</v>
      </c>
      <c r="Q46">
        <v>0.54411500000000002</v>
      </c>
      <c r="R46">
        <v>0.58357700000000001</v>
      </c>
      <c r="S46">
        <v>0.62368699999999999</v>
      </c>
      <c r="T46">
        <v>0.66417899999999996</v>
      </c>
      <c r="U46">
        <v>0.70931200000000005</v>
      </c>
      <c r="V46">
        <v>0.75850799999999996</v>
      </c>
      <c r="W46">
        <v>0.81182399999999999</v>
      </c>
      <c r="X46">
        <v>0.87161</v>
      </c>
      <c r="Y46">
        <v>0.93724099999999999</v>
      </c>
      <c r="Z46">
        <v>1.0095240000000001</v>
      </c>
      <c r="AA46">
        <v>1.087445</v>
      </c>
      <c r="AB46">
        <v>1.1688320000000001</v>
      </c>
      <c r="AC46">
        <v>1.2558339999999999</v>
      </c>
      <c r="AD46">
        <v>1.35043</v>
      </c>
      <c r="AE46">
        <v>1.45109</v>
      </c>
      <c r="AF46">
        <v>1.556732</v>
      </c>
      <c r="AG46">
        <v>1.6688339999999999</v>
      </c>
      <c r="AH46">
        <v>1.786314</v>
      </c>
      <c r="AI46" s="22">
        <v>0.20899999999999999</v>
      </c>
    </row>
    <row r="47" spans="1:35">
      <c r="A47" t="s">
        <v>195</v>
      </c>
      <c r="B47" t="s">
        <v>1734</v>
      </c>
      <c r="C47" t="s">
        <v>1735</v>
      </c>
      <c r="D47" t="s">
        <v>201</v>
      </c>
      <c r="F47">
        <v>0.192854</v>
      </c>
      <c r="G47">
        <v>0.175927</v>
      </c>
      <c r="H47">
        <v>0.16134599999999999</v>
      </c>
      <c r="I47">
        <v>0.148507</v>
      </c>
      <c r="J47">
        <v>0.13669799999999999</v>
      </c>
      <c r="K47">
        <v>0.12523899999999999</v>
      </c>
      <c r="L47">
        <v>0.114492</v>
      </c>
      <c r="M47">
        <v>0.104583</v>
      </c>
      <c r="N47">
        <v>9.5825999999999995E-2</v>
      </c>
      <c r="O47">
        <v>8.8041999999999995E-2</v>
      </c>
      <c r="P47">
        <v>8.1095E-2</v>
      </c>
      <c r="Q47">
        <v>7.4130000000000001E-2</v>
      </c>
      <c r="R47">
        <v>6.6986000000000004E-2</v>
      </c>
      <c r="S47">
        <v>5.9619999999999999E-2</v>
      </c>
      <c r="T47">
        <v>5.2169E-2</v>
      </c>
      <c r="U47">
        <v>4.4464999999999998E-2</v>
      </c>
      <c r="V47">
        <v>3.7345999999999997E-2</v>
      </c>
      <c r="W47">
        <v>3.0891999999999999E-2</v>
      </c>
      <c r="X47">
        <v>2.4523E-2</v>
      </c>
      <c r="Y47">
        <v>1.9553999999999998E-2</v>
      </c>
      <c r="Z47">
        <v>1.5955E-2</v>
      </c>
      <c r="AA47">
        <v>1.3365E-2</v>
      </c>
      <c r="AB47">
        <v>1.17E-2</v>
      </c>
      <c r="AC47">
        <v>1.0548999999999999E-2</v>
      </c>
      <c r="AD47">
        <v>9.6310000000000007E-3</v>
      </c>
      <c r="AE47">
        <v>8.9779999999999999E-3</v>
      </c>
      <c r="AF47">
        <v>8.1410000000000007E-3</v>
      </c>
      <c r="AG47">
        <v>7.1910000000000003E-3</v>
      </c>
      <c r="AH47">
        <v>6.0070000000000002E-3</v>
      </c>
      <c r="AI47" s="22">
        <v>-0.11700000000000001</v>
      </c>
    </row>
    <row r="48" spans="1:35">
      <c r="A48" t="s">
        <v>236</v>
      </c>
      <c r="B48" t="s">
        <v>1736</v>
      </c>
      <c r="C48" t="s">
        <v>1737</v>
      </c>
      <c r="D48" t="s">
        <v>201</v>
      </c>
      <c r="F48">
        <v>46.30368</v>
      </c>
      <c r="G48">
        <v>45.147464999999997</v>
      </c>
      <c r="H48">
        <v>44.153458000000001</v>
      </c>
      <c r="I48">
        <v>43.265628999999997</v>
      </c>
      <c r="J48">
        <v>42.385063000000002</v>
      </c>
      <c r="K48">
        <v>41.373074000000003</v>
      </c>
      <c r="L48">
        <v>40.410004000000001</v>
      </c>
      <c r="M48">
        <v>39.551361</v>
      </c>
      <c r="N48">
        <v>38.888568999999997</v>
      </c>
      <c r="O48">
        <v>38.416331999999997</v>
      </c>
      <c r="P48">
        <v>38.143318000000001</v>
      </c>
      <c r="Q48">
        <v>37.850304000000001</v>
      </c>
      <c r="R48">
        <v>37.347014999999999</v>
      </c>
      <c r="S48">
        <v>36.758690000000001</v>
      </c>
      <c r="T48">
        <v>35.986319999999999</v>
      </c>
      <c r="U48">
        <v>35.266883999999997</v>
      </c>
      <c r="V48">
        <v>34.371727</v>
      </c>
      <c r="W48">
        <v>33.439532999999997</v>
      </c>
      <c r="X48">
        <v>32.662486999999999</v>
      </c>
      <c r="Y48">
        <v>32.055050000000001</v>
      </c>
      <c r="Z48">
        <v>31.636341000000002</v>
      </c>
      <c r="AA48">
        <v>31.408114999999999</v>
      </c>
      <c r="AB48">
        <v>31.356092</v>
      </c>
      <c r="AC48">
        <v>31.392386999999999</v>
      </c>
      <c r="AD48">
        <v>31.533971999999999</v>
      </c>
      <c r="AE48">
        <v>31.735731000000001</v>
      </c>
      <c r="AF48">
        <v>31.973125</v>
      </c>
      <c r="AG48">
        <v>32.235847</v>
      </c>
      <c r="AH48">
        <v>32.518433000000002</v>
      </c>
      <c r="AI48" s="22">
        <v>-1.2999999999999999E-2</v>
      </c>
    </row>
    <row r="49" spans="1:35">
      <c r="A49" t="s">
        <v>237</v>
      </c>
      <c r="B49" t="s">
        <v>1738</v>
      </c>
      <c r="C49" t="s">
        <v>1739</v>
      </c>
      <c r="D49" t="s">
        <v>201</v>
      </c>
      <c r="F49">
        <v>4.6360000000000004E-3</v>
      </c>
      <c r="G49">
        <v>4.2170000000000003E-3</v>
      </c>
      <c r="H49">
        <v>3.882E-3</v>
      </c>
      <c r="I49">
        <v>3.62E-3</v>
      </c>
      <c r="J49">
        <v>3.4129999999999998E-3</v>
      </c>
      <c r="K49">
        <v>3.241E-3</v>
      </c>
      <c r="L49">
        <v>3.107E-3</v>
      </c>
      <c r="M49">
        <v>2.9020000000000001E-3</v>
      </c>
      <c r="N49">
        <v>2.6519999999999998E-3</v>
      </c>
      <c r="O49">
        <v>2.4220000000000001E-3</v>
      </c>
      <c r="P49">
        <v>2.2169999999999998E-3</v>
      </c>
      <c r="Q49">
        <v>1.856E-3</v>
      </c>
      <c r="R49">
        <v>1.4549999999999999E-3</v>
      </c>
      <c r="S49">
        <v>1.142E-3</v>
      </c>
      <c r="T49">
        <v>8.9400000000000005E-4</v>
      </c>
      <c r="U49">
        <v>7.0100000000000002E-4</v>
      </c>
      <c r="V49">
        <v>5.4799999999999998E-4</v>
      </c>
      <c r="W49">
        <v>4.2700000000000002E-4</v>
      </c>
      <c r="X49">
        <v>3.79E-4</v>
      </c>
      <c r="Y49">
        <v>3.6900000000000002E-4</v>
      </c>
      <c r="Z49">
        <v>3.59E-4</v>
      </c>
      <c r="AA49">
        <v>3.48E-4</v>
      </c>
      <c r="AB49">
        <v>2.81E-4</v>
      </c>
      <c r="AC49">
        <v>1.9699999999999999E-4</v>
      </c>
      <c r="AD49">
        <v>1.3799999999999999E-4</v>
      </c>
      <c r="AE49">
        <v>9.7E-5</v>
      </c>
      <c r="AF49">
        <v>6.7999999999999999E-5</v>
      </c>
      <c r="AG49">
        <v>4.8000000000000001E-5</v>
      </c>
      <c r="AH49">
        <v>3.3000000000000003E-5</v>
      </c>
      <c r="AI49" s="22">
        <v>-0.16200000000000001</v>
      </c>
    </row>
    <row r="50" spans="1:35">
      <c r="A50" t="s">
        <v>238</v>
      </c>
      <c r="B50" t="s">
        <v>1740</v>
      </c>
      <c r="C50" t="s">
        <v>1741</v>
      </c>
      <c r="D50" t="s">
        <v>201</v>
      </c>
      <c r="F50">
        <v>0</v>
      </c>
      <c r="G50">
        <v>3.1223000000000001E-2</v>
      </c>
      <c r="H50">
        <v>6.2052000000000003E-2</v>
      </c>
      <c r="I50">
        <v>9.4270999999999994E-2</v>
      </c>
      <c r="J50">
        <v>0.12647800000000001</v>
      </c>
      <c r="K50">
        <v>0.15697800000000001</v>
      </c>
      <c r="L50">
        <v>0.18640999999999999</v>
      </c>
      <c r="M50">
        <v>0.214703</v>
      </c>
      <c r="N50">
        <v>0.24248700000000001</v>
      </c>
      <c r="O50">
        <v>0.27023999999999998</v>
      </c>
      <c r="P50">
        <v>0.29915000000000003</v>
      </c>
      <c r="Q50">
        <v>0.32853300000000002</v>
      </c>
      <c r="R50">
        <v>0.35842000000000002</v>
      </c>
      <c r="S50">
        <v>0.39030399999999998</v>
      </c>
      <c r="T50">
        <v>0.42387000000000002</v>
      </c>
      <c r="U50">
        <v>0.46174199999999999</v>
      </c>
      <c r="V50">
        <v>0.50373699999999999</v>
      </c>
      <c r="W50">
        <v>0.55010000000000003</v>
      </c>
      <c r="X50">
        <v>0.60294199999999998</v>
      </c>
      <c r="Y50">
        <v>0.66208199999999995</v>
      </c>
      <c r="Z50">
        <v>0.72731500000000004</v>
      </c>
      <c r="AA50">
        <v>0.79698999999999998</v>
      </c>
      <c r="AB50">
        <v>0.87017100000000003</v>
      </c>
      <c r="AC50">
        <v>0.94737499999999997</v>
      </c>
      <c r="AD50">
        <v>1.0282020000000001</v>
      </c>
      <c r="AE50">
        <v>1.111251</v>
      </c>
      <c r="AF50">
        <v>1.195668</v>
      </c>
      <c r="AG50">
        <v>1.282565</v>
      </c>
      <c r="AH50">
        <v>1.3711439999999999</v>
      </c>
      <c r="AI50" t="s">
        <v>111</v>
      </c>
    </row>
    <row r="51" spans="1:35">
      <c r="A51" t="s">
        <v>239</v>
      </c>
      <c r="B51" t="s">
        <v>1742</v>
      </c>
      <c r="C51" t="s">
        <v>1743</v>
      </c>
      <c r="D51" t="s">
        <v>201</v>
      </c>
      <c r="F51">
        <v>0</v>
      </c>
      <c r="G51">
        <v>3.7399000000000002E-2</v>
      </c>
      <c r="H51">
        <v>7.4163000000000007E-2</v>
      </c>
      <c r="I51">
        <v>0.11178100000000001</v>
      </c>
      <c r="J51">
        <v>0.14894499999999999</v>
      </c>
      <c r="K51">
        <v>0.18398300000000001</v>
      </c>
      <c r="L51">
        <v>0.21740999999999999</v>
      </c>
      <c r="M51">
        <v>0.24943899999999999</v>
      </c>
      <c r="N51">
        <v>0.28114099999999997</v>
      </c>
      <c r="O51">
        <v>0.31350499999999998</v>
      </c>
      <c r="P51">
        <v>0.34805000000000003</v>
      </c>
      <c r="Q51">
        <v>0.38410100000000003</v>
      </c>
      <c r="R51">
        <v>0.42158600000000002</v>
      </c>
      <c r="S51">
        <v>0.46238800000000002</v>
      </c>
      <c r="T51">
        <v>0.506243</v>
      </c>
      <c r="U51">
        <v>0.55655399999999999</v>
      </c>
      <c r="V51">
        <v>0.61326000000000003</v>
      </c>
      <c r="W51">
        <v>0.67687399999999998</v>
      </c>
      <c r="X51">
        <v>0.75017900000000004</v>
      </c>
      <c r="Y51">
        <v>0.83308300000000002</v>
      </c>
      <c r="Z51">
        <v>0.92514799999999997</v>
      </c>
      <c r="AA51">
        <v>1.0241309999999999</v>
      </c>
      <c r="AB51">
        <v>1.1286910000000001</v>
      </c>
      <c r="AC51">
        <v>1.239614</v>
      </c>
      <c r="AD51">
        <v>1.356347</v>
      </c>
      <c r="AE51">
        <v>1.4767459999999999</v>
      </c>
      <c r="AF51">
        <v>1.599477</v>
      </c>
      <c r="AG51">
        <v>1.725881</v>
      </c>
      <c r="AH51">
        <v>1.854649</v>
      </c>
      <c r="AI51" t="s">
        <v>111</v>
      </c>
    </row>
    <row r="52" spans="1:35">
      <c r="A52" t="s">
        <v>240</v>
      </c>
      <c r="B52" t="s">
        <v>1744</v>
      </c>
      <c r="C52" t="s">
        <v>1745</v>
      </c>
      <c r="D52" t="s">
        <v>201</v>
      </c>
      <c r="F52">
        <v>0</v>
      </c>
      <c r="G52">
        <v>0</v>
      </c>
      <c r="H52">
        <v>1.2E-5</v>
      </c>
      <c r="I52">
        <v>2.6999999999999999E-5</v>
      </c>
      <c r="J52">
        <v>4.3000000000000002E-5</v>
      </c>
      <c r="K52">
        <v>5.8E-5</v>
      </c>
      <c r="L52">
        <v>7.2000000000000002E-5</v>
      </c>
      <c r="M52">
        <v>8.6000000000000003E-5</v>
      </c>
      <c r="N52">
        <v>9.8999999999999994E-5</v>
      </c>
      <c r="O52">
        <v>1.12E-4</v>
      </c>
      <c r="P52">
        <v>1.2400000000000001E-4</v>
      </c>
      <c r="Q52">
        <v>1.36E-4</v>
      </c>
      <c r="R52">
        <v>1.46E-4</v>
      </c>
      <c r="S52">
        <v>1.56E-4</v>
      </c>
      <c r="T52">
        <v>1.65E-4</v>
      </c>
      <c r="U52">
        <v>1.73E-4</v>
      </c>
      <c r="V52">
        <v>1.8000000000000001E-4</v>
      </c>
      <c r="W52">
        <v>1.8599999999999999E-4</v>
      </c>
      <c r="X52">
        <v>1.92E-4</v>
      </c>
      <c r="Y52">
        <v>1.9699999999999999E-4</v>
      </c>
      <c r="Z52">
        <v>2.0100000000000001E-4</v>
      </c>
      <c r="AA52">
        <v>2.04E-4</v>
      </c>
      <c r="AB52">
        <v>2.05E-4</v>
      </c>
      <c r="AC52">
        <v>2.0599999999999999E-4</v>
      </c>
      <c r="AD52">
        <v>2.05E-4</v>
      </c>
      <c r="AE52">
        <v>2.03E-4</v>
      </c>
      <c r="AF52">
        <v>1.9900000000000001E-4</v>
      </c>
      <c r="AG52">
        <v>1.94E-4</v>
      </c>
      <c r="AH52">
        <v>1.8799999999999999E-4</v>
      </c>
      <c r="AI52" t="s">
        <v>111</v>
      </c>
    </row>
    <row r="53" spans="1:35">
      <c r="A53" t="s">
        <v>241</v>
      </c>
      <c r="B53" t="s">
        <v>1746</v>
      </c>
      <c r="C53" t="s">
        <v>1747</v>
      </c>
      <c r="D53" t="s">
        <v>201</v>
      </c>
      <c r="F53">
        <v>748.63757299999997</v>
      </c>
      <c r="G53">
        <v>732.18170199999997</v>
      </c>
      <c r="H53">
        <v>720.22216800000001</v>
      </c>
      <c r="I53">
        <v>712.26519800000005</v>
      </c>
      <c r="J53">
        <v>704.637024</v>
      </c>
      <c r="K53">
        <v>693.10351600000001</v>
      </c>
      <c r="L53">
        <v>681.51892099999998</v>
      </c>
      <c r="M53">
        <v>670.97229000000004</v>
      </c>
      <c r="N53">
        <v>664.22985800000004</v>
      </c>
      <c r="O53">
        <v>660.79852300000005</v>
      </c>
      <c r="P53">
        <v>661.24548300000004</v>
      </c>
      <c r="Q53">
        <v>662.36968999999999</v>
      </c>
      <c r="R53">
        <v>663.70306400000004</v>
      </c>
      <c r="S53">
        <v>666.36871299999996</v>
      </c>
      <c r="T53">
        <v>668.24139400000001</v>
      </c>
      <c r="U53">
        <v>672.17394999999999</v>
      </c>
      <c r="V53">
        <v>676.034851</v>
      </c>
      <c r="W53">
        <v>679.41394000000003</v>
      </c>
      <c r="X53">
        <v>684.28704800000003</v>
      </c>
      <c r="Y53">
        <v>690.63824499999998</v>
      </c>
      <c r="Z53">
        <v>698.07128899999998</v>
      </c>
      <c r="AA53">
        <v>705.62066700000003</v>
      </c>
      <c r="AB53">
        <v>713.18554700000004</v>
      </c>
      <c r="AC53">
        <v>721.23504600000001</v>
      </c>
      <c r="AD53">
        <v>730.61511199999995</v>
      </c>
      <c r="AE53">
        <v>740.51525900000001</v>
      </c>
      <c r="AF53">
        <v>750.55535899999995</v>
      </c>
      <c r="AG53">
        <v>761.51879899999994</v>
      </c>
      <c r="AH53">
        <v>773.14739999999995</v>
      </c>
      <c r="AI53" s="22">
        <v>1E-3</v>
      </c>
    </row>
    <row r="54" spans="1:35">
      <c r="A54" t="s">
        <v>171</v>
      </c>
    </row>
    <row r="55" spans="1:35">
      <c r="A55" t="s">
        <v>189</v>
      </c>
      <c r="B55" t="s">
        <v>1748</v>
      </c>
      <c r="C55" t="s">
        <v>1749</v>
      </c>
      <c r="D55" t="s">
        <v>201</v>
      </c>
      <c r="F55">
        <v>596.71069299999999</v>
      </c>
      <c r="G55">
        <v>577.86407499999996</v>
      </c>
      <c r="H55">
        <v>561.91143799999998</v>
      </c>
      <c r="I55">
        <v>551.58679199999995</v>
      </c>
      <c r="J55">
        <v>544.22857699999997</v>
      </c>
      <c r="K55">
        <v>535.85253899999998</v>
      </c>
      <c r="L55">
        <v>527.97473100000002</v>
      </c>
      <c r="M55">
        <v>519.22680700000001</v>
      </c>
      <c r="N55">
        <v>511.23809799999998</v>
      </c>
      <c r="O55">
        <v>504.13198899999998</v>
      </c>
      <c r="P55">
        <v>499.34158300000001</v>
      </c>
      <c r="Q55">
        <v>494.26428199999998</v>
      </c>
      <c r="R55">
        <v>488.88336199999998</v>
      </c>
      <c r="S55">
        <v>484.94207799999998</v>
      </c>
      <c r="T55">
        <v>481.30944799999997</v>
      </c>
      <c r="U55">
        <v>479.89810199999999</v>
      </c>
      <c r="V55">
        <v>478.96508799999998</v>
      </c>
      <c r="W55">
        <v>477.97808800000001</v>
      </c>
      <c r="X55">
        <v>477.87914999999998</v>
      </c>
      <c r="Y55">
        <v>477.79556300000002</v>
      </c>
      <c r="Z55">
        <v>478.32308999999998</v>
      </c>
      <c r="AA55">
        <v>479.55770899999999</v>
      </c>
      <c r="AB55">
        <v>481.22937000000002</v>
      </c>
      <c r="AC55">
        <v>482.93978900000002</v>
      </c>
      <c r="AD55">
        <v>484.90911899999998</v>
      </c>
      <c r="AE55">
        <v>487.035797</v>
      </c>
      <c r="AF55">
        <v>489.28424100000001</v>
      </c>
      <c r="AG55">
        <v>492.56643700000001</v>
      </c>
      <c r="AH55">
        <v>496.462738</v>
      </c>
      <c r="AI55" s="22">
        <v>-7.0000000000000001E-3</v>
      </c>
    </row>
    <row r="56" spans="1:35">
      <c r="A56" t="s">
        <v>235</v>
      </c>
      <c r="B56" t="s">
        <v>1750</v>
      </c>
      <c r="C56" t="s">
        <v>1751</v>
      </c>
      <c r="D56" t="s">
        <v>201</v>
      </c>
      <c r="F56">
        <v>361.335083</v>
      </c>
      <c r="G56">
        <v>350.68691999999999</v>
      </c>
      <c r="H56">
        <v>342.39187600000002</v>
      </c>
      <c r="I56">
        <v>336.454407</v>
      </c>
      <c r="J56">
        <v>332.32705700000002</v>
      </c>
      <c r="K56">
        <v>327.322113</v>
      </c>
      <c r="L56">
        <v>322.78909299999998</v>
      </c>
      <c r="M56">
        <v>318.01577800000001</v>
      </c>
      <c r="N56">
        <v>313.64859000000001</v>
      </c>
      <c r="O56">
        <v>309.65252700000002</v>
      </c>
      <c r="P56">
        <v>307.22006199999998</v>
      </c>
      <c r="Q56">
        <v>304.33242799999999</v>
      </c>
      <c r="R56">
        <v>301.408997</v>
      </c>
      <c r="S56">
        <v>299.17279100000002</v>
      </c>
      <c r="T56">
        <v>296.57843000000003</v>
      </c>
      <c r="U56">
        <v>295.55175800000001</v>
      </c>
      <c r="V56">
        <v>293.95367399999998</v>
      </c>
      <c r="W56">
        <v>293.10812399999998</v>
      </c>
      <c r="X56">
        <v>292.27783199999999</v>
      </c>
      <c r="Y56">
        <v>291.80944799999997</v>
      </c>
      <c r="Z56">
        <v>291.92584199999999</v>
      </c>
      <c r="AA56">
        <v>292.504211</v>
      </c>
      <c r="AB56">
        <v>293.29244999999997</v>
      </c>
      <c r="AC56">
        <v>293.97250400000001</v>
      </c>
      <c r="AD56">
        <v>294.81460600000003</v>
      </c>
      <c r="AE56">
        <v>295.618134</v>
      </c>
      <c r="AF56">
        <v>296.45013399999999</v>
      </c>
      <c r="AG56">
        <v>297.938019</v>
      </c>
      <c r="AH56">
        <v>299.64453099999997</v>
      </c>
      <c r="AI56" s="22">
        <v>-7.0000000000000001E-3</v>
      </c>
    </row>
    <row r="57" spans="1:35">
      <c r="A57" t="s">
        <v>192</v>
      </c>
      <c r="B57" t="s">
        <v>1752</v>
      </c>
      <c r="C57" t="s">
        <v>1753</v>
      </c>
      <c r="D57" t="s">
        <v>201</v>
      </c>
      <c r="F57">
        <v>0.66393199999999997</v>
      </c>
      <c r="G57">
        <v>0.67068700000000003</v>
      </c>
      <c r="H57">
        <v>0.67880300000000005</v>
      </c>
      <c r="I57">
        <v>0.69245299999999999</v>
      </c>
      <c r="J57">
        <v>0.71065699999999998</v>
      </c>
      <c r="K57">
        <v>0.72716999999999998</v>
      </c>
      <c r="L57">
        <v>0.74464799999999998</v>
      </c>
      <c r="M57">
        <v>0.760656</v>
      </c>
      <c r="N57">
        <v>0.77964599999999995</v>
      </c>
      <c r="O57">
        <v>0.80235199999999995</v>
      </c>
      <c r="P57">
        <v>0.83257599999999998</v>
      </c>
      <c r="Q57">
        <v>0.86914499999999995</v>
      </c>
      <c r="R57">
        <v>0.90859400000000001</v>
      </c>
      <c r="S57">
        <v>0.945886</v>
      </c>
      <c r="T57">
        <v>0.98561200000000004</v>
      </c>
      <c r="U57">
        <v>1.0343070000000001</v>
      </c>
      <c r="V57">
        <v>1.0903769999999999</v>
      </c>
      <c r="W57">
        <v>1.153419</v>
      </c>
      <c r="X57">
        <v>1.225795</v>
      </c>
      <c r="Y57">
        <v>1.3056989999999999</v>
      </c>
      <c r="Z57">
        <v>1.3922490000000001</v>
      </c>
      <c r="AA57">
        <v>1.484488</v>
      </c>
      <c r="AB57">
        <v>1.5809979999999999</v>
      </c>
      <c r="AC57">
        <v>1.6801299999999999</v>
      </c>
      <c r="AD57">
        <v>1.7820590000000001</v>
      </c>
      <c r="AE57">
        <v>1.884468</v>
      </c>
      <c r="AF57">
        <v>1.9861610000000001</v>
      </c>
      <c r="AG57">
        <v>2.0826009999999999</v>
      </c>
      <c r="AH57">
        <v>2.1823290000000002</v>
      </c>
      <c r="AI57" s="22">
        <v>4.2999999999999997E-2</v>
      </c>
    </row>
    <row r="58" spans="1:35">
      <c r="A58" t="s">
        <v>195</v>
      </c>
      <c r="B58" t="s">
        <v>1754</v>
      </c>
      <c r="C58" t="s">
        <v>1755</v>
      </c>
      <c r="D58" t="s">
        <v>201</v>
      </c>
      <c r="F58">
        <v>0.76294700000000004</v>
      </c>
      <c r="G58">
        <v>0.71779700000000002</v>
      </c>
      <c r="H58">
        <v>0.67420999999999998</v>
      </c>
      <c r="I58">
        <v>0.63435699999999995</v>
      </c>
      <c r="J58">
        <v>0.59662400000000004</v>
      </c>
      <c r="K58">
        <v>0.55701900000000004</v>
      </c>
      <c r="L58">
        <v>0.51948000000000005</v>
      </c>
      <c r="M58">
        <v>0.48167900000000002</v>
      </c>
      <c r="N58">
        <v>0.44507600000000003</v>
      </c>
      <c r="O58">
        <v>0.41159099999999998</v>
      </c>
      <c r="P58">
        <v>0.38195299999999999</v>
      </c>
      <c r="Q58">
        <v>0.353408</v>
      </c>
      <c r="R58">
        <v>0.32573099999999999</v>
      </c>
      <c r="S58">
        <v>0.30006699999999997</v>
      </c>
      <c r="T58">
        <v>0.27565400000000001</v>
      </c>
      <c r="U58">
        <v>0.25478499999999998</v>
      </c>
      <c r="V58">
        <v>0.23588799999999999</v>
      </c>
      <c r="W58">
        <v>0.21936</v>
      </c>
      <c r="X58">
        <v>0.204011</v>
      </c>
      <c r="Y58">
        <v>0.18836</v>
      </c>
      <c r="Z58">
        <v>0.17463999999999999</v>
      </c>
      <c r="AA58">
        <v>0.158723</v>
      </c>
      <c r="AB58">
        <v>0.14244699999999999</v>
      </c>
      <c r="AC58">
        <v>0.12915199999999999</v>
      </c>
      <c r="AD58">
        <v>0.118099</v>
      </c>
      <c r="AE58">
        <v>0.106783</v>
      </c>
      <c r="AF58">
        <v>9.5460000000000003E-2</v>
      </c>
      <c r="AG58">
        <v>8.5358000000000003E-2</v>
      </c>
      <c r="AH58">
        <v>7.6896000000000006E-2</v>
      </c>
      <c r="AI58" s="22">
        <v>-7.9000000000000001E-2</v>
      </c>
    </row>
    <row r="59" spans="1:35">
      <c r="A59" t="s">
        <v>236</v>
      </c>
      <c r="B59" t="s">
        <v>1756</v>
      </c>
      <c r="C59" t="s">
        <v>1757</v>
      </c>
      <c r="D59" t="s">
        <v>201</v>
      </c>
      <c r="F59">
        <v>10.430758000000001</v>
      </c>
      <c r="G59">
        <v>10.828306</v>
      </c>
      <c r="H59">
        <v>11.286505999999999</v>
      </c>
      <c r="I59">
        <v>11.871587</v>
      </c>
      <c r="J59">
        <v>12.567764</v>
      </c>
      <c r="K59">
        <v>13.31671</v>
      </c>
      <c r="L59">
        <v>14.132089000000001</v>
      </c>
      <c r="M59">
        <v>14.969037999999999</v>
      </c>
      <c r="N59">
        <v>15.886168</v>
      </c>
      <c r="O59">
        <v>16.907169</v>
      </c>
      <c r="P59">
        <v>18.109857999999999</v>
      </c>
      <c r="Q59">
        <v>19.412040999999999</v>
      </c>
      <c r="R59">
        <v>20.819136</v>
      </c>
      <c r="S59">
        <v>22.333103000000001</v>
      </c>
      <c r="T59">
        <v>23.839766999999998</v>
      </c>
      <c r="U59">
        <v>25.520502</v>
      </c>
      <c r="V59">
        <v>27.246191</v>
      </c>
      <c r="W59">
        <v>28.969595000000002</v>
      </c>
      <c r="X59">
        <v>30.822426</v>
      </c>
      <c r="Y59">
        <v>32.632908</v>
      </c>
      <c r="Z59">
        <v>34.439242999999998</v>
      </c>
      <c r="AA59">
        <v>36.195014999999998</v>
      </c>
      <c r="AB59">
        <v>37.869453</v>
      </c>
      <c r="AC59">
        <v>39.473038000000003</v>
      </c>
      <c r="AD59">
        <v>41.030662999999997</v>
      </c>
      <c r="AE59">
        <v>42.506256</v>
      </c>
      <c r="AF59">
        <v>43.889240000000001</v>
      </c>
      <c r="AG59">
        <v>45.314704999999996</v>
      </c>
      <c r="AH59">
        <v>46.748733999999999</v>
      </c>
      <c r="AI59" s="22">
        <v>5.5E-2</v>
      </c>
    </row>
    <row r="60" spans="1:35">
      <c r="A60" t="s">
        <v>237</v>
      </c>
      <c r="B60" t="s">
        <v>1758</v>
      </c>
      <c r="C60" t="s">
        <v>1759</v>
      </c>
      <c r="D60" t="s">
        <v>201</v>
      </c>
      <c r="F60">
        <v>3.7860999999999999E-2</v>
      </c>
      <c r="G60">
        <v>4.3709999999999999E-2</v>
      </c>
      <c r="H60">
        <v>4.7997999999999999E-2</v>
      </c>
      <c r="I60">
        <v>5.1563999999999999E-2</v>
      </c>
      <c r="J60">
        <v>5.4260999999999997E-2</v>
      </c>
      <c r="K60">
        <v>5.5766000000000003E-2</v>
      </c>
      <c r="L60">
        <v>5.6363999999999997E-2</v>
      </c>
      <c r="M60">
        <v>5.6127999999999997E-2</v>
      </c>
      <c r="N60">
        <v>5.5379999999999999E-2</v>
      </c>
      <c r="O60">
        <v>5.4268999999999998E-2</v>
      </c>
      <c r="P60">
        <v>5.2969000000000002E-2</v>
      </c>
      <c r="Q60">
        <v>5.1353999999999997E-2</v>
      </c>
      <c r="R60">
        <v>4.9551999999999999E-2</v>
      </c>
      <c r="S60">
        <v>4.7759999999999997E-2</v>
      </c>
      <c r="T60">
        <v>4.5504999999999997E-2</v>
      </c>
      <c r="U60">
        <v>4.3230999999999999E-2</v>
      </c>
      <c r="V60">
        <v>4.1355999999999997E-2</v>
      </c>
      <c r="W60">
        <v>3.9386999999999998E-2</v>
      </c>
      <c r="X60">
        <v>3.7150000000000002E-2</v>
      </c>
      <c r="Y60">
        <v>3.4993999999999997E-2</v>
      </c>
      <c r="Z60">
        <v>3.3027000000000001E-2</v>
      </c>
      <c r="AA60">
        <v>3.1154999999999999E-2</v>
      </c>
      <c r="AB60">
        <v>2.9354999999999999E-2</v>
      </c>
      <c r="AC60">
        <v>2.7653E-2</v>
      </c>
      <c r="AD60">
        <v>2.6076999999999999E-2</v>
      </c>
      <c r="AE60">
        <v>2.4584999999999999E-2</v>
      </c>
      <c r="AF60">
        <v>2.3174E-2</v>
      </c>
      <c r="AG60">
        <v>2.1876E-2</v>
      </c>
      <c r="AH60">
        <v>2.0629999999999999E-2</v>
      </c>
      <c r="AI60" s="22">
        <v>-2.1000000000000001E-2</v>
      </c>
    </row>
    <row r="61" spans="1:35">
      <c r="A61" t="s">
        <v>238</v>
      </c>
      <c r="B61" t="s">
        <v>1760</v>
      </c>
      <c r="C61" t="s">
        <v>1761</v>
      </c>
      <c r="D61" t="s">
        <v>201</v>
      </c>
      <c r="F61">
        <v>0</v>
      </c>
      <c r="G61">
        <v>0</v>
      </c>
      <c r="H61">
        <v>3.8661000000000001E-2</v>
      </c>
      <c r="I61">
        <v>7.6413999999999996E-2</v>
      </c>
      <c r="J61">
        <v>0.11343300000000001</v>
      </c>
      <c r="K61">
        <v>0.14805499999999999</v>
      </c>
      <c r="L61">
        <v>0.18076100000000001</v>
      </c>
      <c r="M61">
        <v>0.21062</v>
      </c>
      <c r="N61">
        <v>0.23810300000000001</v>
      </c>
      <c r="O61">
        <v>0.26388400000000001</v>
      </c>
      <c r="P61">
        <v>0.28945799999999999</v>
      </c>
      <c r="Q61">
        <v>0.31404100000000001</v>
      </c>
      <c r="R61">
        <v>0.33735700000000002</v>
      </c>
      <c r="S61">
        <v>0.36081600000000003</v>
      </c>
      <c r="T61">
        <v>0.38390299999999999</v>
      </c>
      <c r="U61">
        <v>0.40889700000000001</v>
      </c>
      <c r="V61">
        <v>0.435332</v>
      </c>
      <c r="W61">
        <v>0.46310400000000002</v>
      </c>
      <c r="X61">
        <v>0.49369800000000003</v>
      </c>
      <c r="Y61">
        <v>0.52685999999999999</v>
      </c>
      <c r="Z61">
        <v>0.56333100000000003</v>
      </c>
      <c r="AA61">
        <v>0.60099999999999998</v>
      </c>
      <c r="AB61">
        <v>0.64114800000000005</v>
      </c>
      <c r="AC61">
        <v>0.68338600000000005</v>
      </c>
      <c r="AD61">
        <v>0.72826199999999996</v>
      </c>
      <c r="AE61">
        <v>0.77503500000000003</v>
      </c>
      <c r="AF61">
        <v>0.82349799999999995</v>
      </c>
      <c r="AG61">
        <v>0.87576799999999999</v>
      </c>
      <c r="AH61">
        <v>0.93063399999999996</v>
      </c>
      <c r="AI61" t="s">
        <v>111</v>
      </c>
    </row>
    <row r="62" spans="1:35">
      <c r="A62" t="s">
        <v>239</v>
      </c>
      <c r="B62" t="s">
        <v>1762</v>
      </c>
      <c r="C62" t="s">
        <v>1763</v>
      </c>
      <c r="D62" t="s">
        <v>201</v>
      </c>
      <c r="F62">
        <v>0</v>
      </c>
      <c r="G62">
        <v>0</v>
      </c>
      <c r="H62">
        <v>4.8370000000000003E-2</v>
      </c>
      <c r="I62">
        <v>9.4232999999999997E-2</v>
      </c>
      <c r="J62">
        <v>0.13824400000000001</v>
      </c>
      <c r="K62">
        <v>0.17905299999999999</v>
      </c>
      <c r="L62">
        <v>0.21695200000000001</v>
      </c>
      <c r="M62">
        <v>0.25115599999999999</v>
      </c>
      <c r="N62">
        <v>0.28272599999999998</v>
      </c>
      <c r="O62">
        <v>0.313085</v>
      </c>
      <c r="P62">
        <v>0.344219</v>
      </c>
      <c r="Q62">
        <v>0.37559399999999998</v>
      </c>
      <c r="R62">
        <v>0.40673199999999998</v>
      </c>
      <c r="S62">
        <v>0.43945800000000002</v>
      </c>
      <c r="T62">
        <v>0.473408</v>
      </c>
      <c r="U62">
        <v>0.511772</v>
      </c>
      <c r="V62">
        <v>0.55420800000000003</v>
      </c>
      <c r="W62">
        <v>0.60096400000000005</v>
      </c>
      <c r="X62">
        <v>0.65425299999999997</v>
      </c>
      <c r="Y62">
        <v>0.71394500000000005</v>
      </c>
      <c r="Z62">
        <v>0.78086999999999995</v>
      </c>
      <c r="AA62">
        <v>0.85239799999999999</v>
      </c>
      <c r="AB62">
        <v>0.930037</v>
      </c>
      <c r="AC62">
        <v>1.013144</v>
      </c>
      <c r="AD62">
        <v>1.1022259999999999</v>
      </c>
      <c r="AE62">
        <v>1.195867</v>
      </c>
      <c r="AF62">
        <v>1.2934749999999999</v>
      </c>
      <c r="AG62">
        <v>1.3978710000000001</v>
      </c>
      <c r="AH62">
        <v>1.5072430000000001</v>
      </c>
      <c r="AI62" t="s">
        <v>111</v>
      </c>
    </row>
    <row r="63" spans="1:35">
      <c r="A63" t="s">
        <v>240</v>
      </c>
      <c r="B63" t="s">
        <v>1764</v>
      </c>
      <c r="C63" t="s">
        <v>1765</v>
      </c>
      <c r="D63" t="s">
        <v>201</v>
      </c>
      <c r="F63">
        <v>0</v>
      </c>
      <c r="G63">
        <v>0</v>
      </c>
      <c r="H63">
        <v>8.1702999999999998E-2</v>
      </c>
      <c r="I63">
        <v>0.16492399999999999</v>
      </c>
      <c r="J63">
        <v>0.249639</v>
      </c>
      <c r="K63">
        <v>0.33211400000000002</v>
      </c>
      <c r="L63">
        <v>0.41172500000000001</v>
      </c>
      <c r="M63">
        <v>0.48722900000000002</v>
      </c>
      <c r="N63">
        <v>0.55920099999999995</v>
      </c>
      <c r="O63">
        <v>0.62911099999999998</v>
      </c>
      <c r="P63">
        <v>0.70016299999999998</v>
      </c>
      <c r="Q63">
        <v>0.76988800000000002</v>
      </c>
      <c r="R63">
        <v>0.837453</v>
      </c>
      <c r="S63">
        <v>0.90615100000000004</v>
      </c>
      <c r="T63">
        <v>0.97520799999999996</v>
      </c>
      <c r="U63">
        <v>1.050481</v>
      </c>
      <c r="V63">
        <v>1.1308</v>
      </c>
      <c r="W63">
        <v>1.216048</v>
      </c>
      <c r="X63">
        <v>1.310146</v>
      </c>
      <c r="Y63">
        <v>1.412428</v>
      </c>
      <c r="Z63">
        <v>1.5248949999999999</v>
      </c>
      <c r="AA63">
        <v>1.643073</v>
      </c>
      <c r="AB63">
        <v>1.769298</v>
      </c>
      <c r="AC63">
        <v>1.902334</v>
      </c>
      <c r="AD63">
        <v>2.0436429999999999</v>
      </c>
      <c r="AE63">
        <v>2.1911909999999999</v>
      </c>
      <c r="AF63">
        <v>2.34422</v>
      </c>
      <c r="AG63">
        <v>2.5079220000000002</v>
      </c>
      <c r="AH63">
        <v>2.679551</v>
      </c>
      <c r="AI63" t="s">
        <v>111</v>
      </c>
    </row>
    <row r="64" spans="1:35">
      <c r="A64" t="s">
        <v>242</v>
      </c>
      <c r="B64" t="s">
        <v>1766</v>
      </c>
      <c r="C64" t="s">
        <v>1767</v>
      </c>
      <c r="D64" t="s">
        <v>201</v>
      </c>
      <c r="F64">
        <v>969.94104000000004</v>
      </c>
      <c r="G64">
        <v>940.81140100000005</v>
      </c>
      <c r="H64">
        <v>917.15948500000002</v>
      </c>
      <c r="I64">
        <v>901.62683100000004</v>
      </c>
      <c r="J64">
        <v>890.986267</v>
      </c>
      <c r="K64">
        <v>878.49066200000004</v>
      </c>
      <c r="L64">
        <v>867.02545199999997</v>
      </c>
      <c r="M64">
        <v>854.45935099999997</v>
      </c>
      <c r="N64">
        <v>843.13299600000005</v>
      </c>
      <c r="O64">
        <v>833.16625999999997</v>
      </c>
      <c r="P64">
        <v>827.27294900000004</v>
      </c>
      <c r="Q64">
        <v>820.74218800000006</v>
      </c>
      <c r="R64">
        <v>813.97717299999999</v>
      </c>
      <c r="S64">
        <v>809.44793700000002</v>
      </c>
      <c r="T64">
        <v>804.86724900000002</v>
      </c>
      <c r="U64">
        <v>804.27380400000004</v>
      </c>
      <c r="V64">
        <v>803.65301499999998</v>
      </c>
      <c r="W64">
        <v>803.74835199999995</v>
      </c>
      <c r="X64">
        <v>804.90423599999997</v>
      </c>
      <c r="Y64">
        <v>806.42053199999998</v>
      </c>
      <c r="Z64">
        <v>809.15692100000001</v>
      </c>
      <c r="AA64">
        <v>813.02740500000004</v>
      </c>
      <c r="AB64">
        <v>817.48468000000003</v>
      </c>
      <c r="AC64">
        <v>821.82128899999998</v>
      </c>
      <c r="AD64">
        <v>826.55474900000002</v>
      </c>
      <c r="AE64">
        <v>831.33837900000003</v>
      </c>
      <c r="AF64">
        <v>836.18963599999995</v>
      </c>
      <c r="AG64">
        <v>842.79064900000003</v>
      </c>
      <c r="AH64">
        <v>850.25305200000003</v>
      </c>
      <c r="AI64" s="22">
        <v>-5.0000000000000001E-3</v>
      </c>
    </row>
    <row r="65" spans="1:35">
      <c r="A65" t="s">
        <v>243</v>
      </c>
    </row>
    <row r="66" spans="1:35">
      <c r="A66" t="s">
        <v>189</v>
      </c>
      <c r="B66" t="s">
        <v>1768</v>
      </c>
      <c r="C66" t="s">
        <v>1769</v>
      </c>
      <c r="D66" t="s">
        <v>201</v>
      </c>
      <c r="F66">
        <v>4148.1689450000003</v>
      </c>
      <c r="G66">
        <v>4031.2768550000001</v>
      </c>
      <c r="H66">
        <v>3923.3715820000002</v>
      </c>
      <c r="I66">
        <v>3854.0532229999999</v>
      </c>
      <c r="J66">
        <v>3806.7148440000001</v>
      </c>
      <c r="K66">
        <v>3750.2373050000001</v>
      </c>
      <c r="L66">
        <v>3693.4155270000001</v>
      </c>
      <c r="M66">
        <v>3630.9484859999998</v>
      </c>
      <c r="N66">
        <v>3571.5920409999999</v>
      </c>
      <c r="O66">
        <v>3516.5554200000001</v>
      </c>
      <c r="P66">
        <v>3472.7036130000001</v>
      </c>
      <c r="Q66">
        <v>3426.9506839999999</v>
      </c>
      <c r="R66">
        <v>3378.28125</v>
      </c>
      <c r="S66">
        <v>3336.9165039999998</v>
      </c>
      <c r="T66">
        <v>3294.4421390000002</v>
      </c>
      <c r="U66">
        <v>3266.608643</v>
      </c>
      <c r="V66">
        <v>3244.7055660000001</v>
      </c>
      <c r="W66">
        <v>3221.592529</v>
      </c>
      <c r="X66">
        <v>3204.0227049999999</v>
      </c>
      <c r="Y66">
        <v>3185.608643</v>
      </c>
      <c r="Z66">
        <v>3171.5009770000001</v>
      </c>
      <c r="AA66">
        <v>3157.0290530000002</v>
      </c>
      <c r="AB66">
        <v>3141.9304200000001</v>
      </c>
      <c r="AC66">
        <v>3125.6206050000001</v>
      </c>
      <c r="AD66">
        <v>3109.5190429999998</v>
      </c>
      <c r="AE66">
        <v>3091.6689449999999</v>
      </c>
      <c r="AF66">
        <v>3072.7773440000001</v>
      </c>
      <c r="AG66">
        <v>3059.4216310000002</v>
      </c>
      <c r="AH66">
        <v>3049.4814449999999</v>
      </c>
      <c r="AI66" s="22">
        <v>-1.0999999999999999E-2</v>
      </c>
    </row>
    <row r="67" spans="1:35">
      <c r="A67" t="s">
        <v>235</v>
      </c>
      <c r="B67" t="s">
        <v>1770</v>
      </c>
      <c r="C67" t="s">
        <v>1771</v>
      </c>
      <c r="D67" t="s">
        <v>201</v>
      </c>
      <c r="F67">
        <v>3.9627940000000001</v>
      </c>
      <c r="G67">
        <v>3.8460070000000002</v>
      </c>
      <c r="H67">
        <v>3.804529</v>
      </c>
      <c r="I67">
        <v>3.841955</v>
      </c>
      <c r="J67">
        <v>3.9621430000000002</v>
      </c>
      <c r="K67">
        <v>4.1158770000000002</v>
      </c>
      <c r="L67">
        <v>4.2837519999999998</v>
      </c>
      <c r="M67">
        <v>4.4468259999999997</v>
      </c>
      <c r="N67">
        <v>4.6316410000000001</v>
      </c>
      <c r="O67">
        <v>4.8100990000000001</v>
      </c>
      <c r="P67">
        <v>4.9843229999999998</v>
      </c>
      <c r="Q67">
        <v>5.1373819999999997</v>
      </c>
      <c r="R67">
        <v>5.265428</v>
      </c>
      <c r="S67">
        <v>5.3822130000000001</v>
      </c>
      <c r="T67">
        <v>5.4628730000000001</v>
      </c>
      <c r="U67">
        <v>5.5420579999999999</v>
      </c>
      <c r="V67">
        <v>5.6001430000000001</v>
      </c>
      <c r="W67">
        <v>5.6377040000000003</v>
      </c>
      <c r="X67">
        <v>5.6738970000000002</v>
      </c>
      <c r="Y67">
        <v>5.7021569999999997</v>
      </c>
      <c r="Z67">
        <v>5.7064909999999998</v>
      </c>
      <c r="AA67">
        <v>5.7013220000000002</v>
      </c>
      <c r="AB67">
        <v>5.7074999999999996</v>
      </c>
      <c r="AC67">
        <v>5.7172200000000002</v>
      </c>
      <c r="AD67">
        <v>5.7331320000000003</v>
      </c>
      <c r="AE67">
        <v>5.7496049999999999</v>
      </c>
      <c r="AF67">
        <v>5.7660749999999998</v>
      </c>
      <c r="AG67">
        <v>5.7918760000000002</v>
      </c>
      <c r="AH67">
        <v>5.8238260000000004</v>
      </c>
      <c r="AI67" s="22">
        <v>1.4E-2</v>
      </c>
    </row>
    <row r="68" spans="1:35">
      <c r="A68" t="s">
        <v>192</v>
      </c>
      <c r="B68" t="s">
        <v>1772</v>
      </c>
      <c r="C68" t="s">
        <v>1773</v>
      </c>
      <c r="D68" t="s">
        <v>201</v>
      </c>
      <c r="F68">
        <v>0.56835999999999998</v>
      </c>
      <c r="G68">
        <v>0.60670599999999997</v>
      </c>
      <c r="H68">
        <v>0.64312599999999998</v>
      </c>
      <c r="I68">
        <v>0.68250599999999995</v>
      </c>
      <c r="J68">
        <v>0.72353500000000004</v>
      </c>
      <c r="K68">
        <v>0.75692199999999998</v>
      </c>
      <c r="L68">
        <v>0.782138</v>
      </c>
      <c r="M68">
        <v>0.79613500000000004</v>
      </c>
      <c r="N68">
        <v>0.80374400000000001</v>
      </c>
      <c r="O68">
        <v>0.80603999999999998</v>
      </c>
      <c r="P68">
        <v>0.80596699999999999</v>
      </c>
      <c r="Q68">
        <v>0.804809</v>
      </c>
      <c r="R68">
        <v>0.80398999999999998</v>
      </c>
      <c r="S68">
        <v>0.80492399999999997</v>
      </c>
      <c r="T68">
        <v>0.80324899999999999</v>
      </c>
      <c r="U68">
        <v>0.803678</v>
      </c>
      <c r="V68">
        <v>0.80220499999999995</v>
      </c>
      <c r="W68">
        <v>0.79977500000000001</v>
      </c>
      <c r="X68">
        <v>0.79792799999999997</v>
      </c>
      <c r="Y68">
        <v>0.79701900000000003</v>
      </c>
      <c r="Z68">
        <v>0.79640699999999998</v>
      </c>
      <c r="AA68">
        <v>0.79543399999999997</v>
      </c>
      <c r="AB68">
        <v>0.79418699999999998</v>
      </c>
      <c r="AC68">
        <v>0.79286000000000001</v>
      </c>
      <c r="AD68">
        <v>0.79214099999999998</v>
      </c>
      <c r="AE68">
        <v>0.79139000000000004</v>
      </c>
      <c r="AF68">
        <v>0.79042599999999996</v>
      </c>
      <c r="AG68">
        <v>0.78996599999999995</v>
      </c>
      <c r="AH68">
        <v>0.78929800000000006</v>
      </c>
      <c r="AI68" s="22">
        <v>1.2E-2</v>
      </c>
    </row>
    <row r="69" spans="1:35">
      <c r="A69" t="s">
        <v>195</v>
      </c>
      <c r="B69" t="s">
        <v>1774</v>
      </c>
      <c r="C69" t="s">
        <v>1775</v>
      </c>
      <c r="D69" t="s">
        <v>201</v>
      </c>
      <c r="F69">
        <v>50.280738999999997</v>
      </c>
      <c r="G69">
        <v>50.068455</v>
      </c>
      <c r="H69">
        <v>49.655692999999999</v>
      </c>
      <c r="I69">
        <v>49.359779000000003</v>
      </c>
      <c r="J69">
        <v>48.977187999999998</v>
      </c>
      <c r="K69">
        <v>48.107246000000004</v>
      </c>
      <c r="L69">
        <v>46.838107999999998</v>
      </c>
      <c r="M69">
        <v>45.236046000000002</v>
      </c>
      <c r="N69">
        <v>43.567093</v>
      </c>
      <c r="O69">
        <v>42.027355</v>
      </c>
      <c r="P69">
        <v>40.837364000000001</v>
      </c>
      <c r="Q69">
        <v>39.986961000000001</v>
      </c>
      <c r="R69">
        <v>39.485703000000001</v>
      </c>
      <c r="S69">
        <v>39.368915999999999</v>
      </c>
      <c r="T69">
        <v>39.458328000000002</v>
      </c>
      <c r="U69">
        <v>39.932766000000001</v>
      </c>
      <c r="V69">
        <v>40.665218000000003</v>
      </c>
      <c r="W69">
        <v>41.599049000000001</v>
      </c>
      <c r="X69">
        <v>42.818123</v>
      </c>
      <c r="Y69">
        <v>44.241703000000001</v>
      </c>
      <c r="Z69">
        <v>45.859436000000002</v>
      </c>
      <c r="AA69">
        <v>47.627850000000002</v>
      </c>
      <c r="AB69">
        <v>49.540225999999997</v>
      </c>
      <c r="AC69">
        <v>51.565514</v>
      </c>
      <c r="AD69">
        <v>53.733218999999998</v>
      </c>
      <c r="AE69">
        <v>56.009075000000003</v>
      </c>
      <c r="AF69">
        <v>58.349373</v>
      </c>
      <c r="AG69">
        <v>60.919922</v>
      </c>
      <c r="AH69">
        <v>63.711185</v>
      </c>
      <c r="AI69" s="22">
        <v>8.0000000000000002E-3</v>
      </c>
    </row>
    <row r="70" spans="1:35">
      <c r="A70" t="s">
        <v>236</v>
      </c>
      <c r="B70" t="s">
        <v>1776</v>
      </c>
      <c r="C70" t="s">
        <v>1777</v>
      </c>
      <c r="D70" t="s">
        <v>201</v>
      </c>
      <c r="F70">
        <v>0</v>
      </c>
      <c r="G70">
        <v>0</v>
      </c>
      <c r="H70">
        <v>0</v>
      </c>
      <c r="I70">
        <v>0</v>
      </c>
      <c r="J70">
        <v>0</v>
      </c>
      <c r="K70">
        <v>0</v>
      </c>
      <c r="L70">
        <v>0</v>
      </c>
      <c r="M70">
        <v>0</v>
      </c>
      <c r="N70">
        <v>0</v>
      </c>
      <c r="O70">
        <v>0</v>
      </c>
      <c r="P70">
        <v>0</v>
      </c>
      <c r="Q70">
        <v>0</v>
      </c>
      <c r="R70">
        <v>0</v>
      </c>
      <c r="S70">
        <v>0</v>
      </c>
      <c r="T70">
        <v>0</v>
      </c>
      <c r="U70">
        <v>0</v>
      </c>
      <c r="V70">
        <v>0</v>
      </c>
      <c r="W70">
        <v>0</v>
      </c>
      <c r="X70">
        <v>0</v>
      </c>
      <c r="Y70">
        <v>0</v>
      </c>
      <c r="Z70">
        <v>0</v>
      </c>
      <c r="AA70">
        <v>0</v>
      </c>
      <c r="AB70">
        <v>0</v>
      </c>
      <c r="AC70">
        <v>0</v>
      </c>
      <c r="AD70">
        <v>0</v>
      </c>
      <c r="AE70">
        <v>0</v>
      </c>
      <c r="AF70">
        <v>0</v>
      </c>
      <c r="AG70">
        <v>0</v>
      </c>
      <c r="AH70">
        <v>0</v>
      </c>
      <c r="AI70" t="s">
        <v>111</v>
      </c>
    </row>
    <row r="71" spans="1:35">
      <c r="A71" t="s">
        <v>237</v>
      </c>
      <c r="B71" t="s">
        <v>1778</v>
      </c>
      <c r="C71" t="s">
        <v>1779</v>
      </c>
      <c r="D71" t="s">
        <v>201</v>
      </c>
      <c r="F71">
        <v>4.6922999999999999E-2</v>
      </c>
      <c r="G71">
        <v>5.4698999999999998E-2</v>
      </c>
      <c r="H71">
        <v>6.1366999999999998E-2</v>
      </c>
      <c r="I71">
        <v>6.7617999999999998E-2</v>
      </c>
      <c r="J71">
        <v>7.3111999999999996E-2</v>
      </c>
      <c r="K71">
        <v>7.7225000000000002E-2</v>
      </c>
      <c r="L71">
        <v>8.0045000000000005E-2</v>
      </c>
      <c r="M71">
        <v>8.1566E-2</v>
      </c>
      <c r="N71">
        <v>8.2086999999999993E-2</v>
      </c>
      <c r="O71">
        <v>8.1693000000000002E-2</v>
      </c>
      <c r="P71">
        <v>8.0528000000000002E-2</v>
      </c>
      <c r="Q71">
        <v>7.8351000000000004E-2</v>
      </c>
      <c r="R71">
        <v>7.5394000000000003E-2</v>
      </c>
      <c r="S71">
        <v>7.2048000000000001E-2</v>
      </c>
      <c r="T71">
        <v>6.8336999999999995E-2</v>
      </c>
      <c r="U71">
        <v>6.4832000000000001E-2</v>
      </c>
      <c r="V71">
        <v>6.1281000000000002E-2</v>
      </c>
      <c r="W71">
        <v>5.7109E-2</v>
      </c>
      <c r="X71">
        <v>5.2908999999999998E-2</v>
      </c>
      <c r="Y71">
        <v>4.9218999999999999E-2</v>
      </c>
      <c r="Z71">
        <v>4.6171999999999998E-2</v>
      </c>
      <c r="AA71">
        <v>4.3128E-2</v>
      </c>
      <c r="AB71">
        <v>4.0410000000000001E-2</v>
      </c>
      <c r="AC71">
        <v>3.7878000000000002E-2</v>
      </c>
      <c r="AD71">
        <v>3.5562999999999997E-2</v>
      </c>
      <c r="AE71">
        <v>3.3422E-2</v>
      </c>
      <c r="AF71">
        <v>3.1433000000000003E-2</v>
      </c>
      <c r="AG71">
        <v>2.9628999999999999E-2</v>
      </c>
      <c r="AH71">
        <v>2.7977999999999999E-2</v>
      </c>
      <c r="AI71" s="22">
        <v>-1.7999999999999999E-2</v>
      </c>
    </row>
    <row r="72" spans="1:35">
      <c r="A72" t="s">
        <v>238</v>
      </c>
      <c r="B72" t="s">
        <v>1780</v>
      </c>
      <c r="C72" t="s">
        <v>1781</v>
      </c>
      <c r="D72" t="s">
        <v>201</v>
      </c>
      <c r="F72">
        <v>0</v>
      </c>
      <c r="G72">
        <v>0</v>
      </c>
      <c r="H72">
        <v>9.3968999999999997E-2</v>
      </c>
      <c r="I72">
        <v>0.10784000000000001</v>
      </c>
      <c r="J72">
        <v>0.12324599999999999</v>
      </c>
      <c r="K72">
        <v>0.138739</v>
      </c>
      <c r="L72">
        <v>0.154194</v>
      </c>
      <c r="M72">
        <v>0.16878799999999999</v>
      </c>
      <c r="N72">
        <v>0.18259400000000001</v>
      </c>
      <c r="O72">
        <v>0.19550100000000001</v>
      </c>
      <c r="P72">
        <v>0.207788</v>
      </c>
      <c r="Q72">
        <v>0.21850600000000001</v>
      </c>
      <c r="R72">
        <v>0.227493</v>
      </c>
      <c r="S72">
        <v>0.235429</v>
      </c>
      <c r="T72">
        <v>0.24181</v>
      </c>
      <c r="U72">
        <v>0.24799399999999999</v>
      </c>
      <c r="V72">
        <v>0.253774</v>
      </c>
      <c r="W72">
        <v>0.25946200000000003</v>
      </c>
      <c r="X72">
        <v>0.26647300000000002</v>
      </c>
      <c r="Y72">
        <v>0.27532699999999999</v>
      </c>
      <c r="Z72">
        <v>0.28709600000000002</v>
      </c>
      <c r="AA72">
        <v>0.297709</v>
      </c>
      <c r="AB72">
        <v>0.30827700000000002</v>
      </c>
      <c r="AC72">
        <v>0.32179400000000002</v>
      </c>
      <c r="AD72">
        <v>0.34068999999999999</v>
      </c>
      <c r="AE72">
        <v>0.35961700000000002</v>
      </c>
      <c r="AF72">
        <v>0.38024000000000002</v>
      </c>
      <c r="AG72">
        <v>0.403499</v>
      </c>
      <c r="AH72">
        <v>0.42918600000000001</v>
      </c>
      <c r="AI72" t="s">
        <v>111</v>
      </c>
    </row>
    <row r="73" spans="1:35">
      <c r="A73" t="s">
        <v>239</v>
      </c>
      <c r="B73" t="s">
        <v>1782</v>
      </c>
      <c r="C73" t="s">
        <v>1783</v>
      </c>
      <c r="D73" t="s">
        <v>201</v>
      </c>
      <c r="F73">
        <v>0</v>
      </c>
      <c r="G73">
        <v>0</v>
      </c>
      <c r="H73">
        <v>0.20038</v>
      </c>
      <c r="I73">
        <v>0.227545</v>
      </c>
      <c r="J73">
        <v>0.25758599999999998</v>
      </c>
      <c r="K73">
        <v>0.287607</v>
      </c>
      <c r="L73">
        <v>0.31698300000000001</v>
      </c>
      <c r="M73">
        <v>0.34418100000000001</v>
      </c>
      <c r="N73">
        <v>0.36947000000000002</v>
      </c>
      <c r="O73">
        <v>0.39272800000000002</v>
      </c>
      <c r="P73">
        <v>0.41434799999999999</v>
      </c>
      <c r="Q73">
        <v>0.43237199999999998</v>
      </c>
      <c r="R73">
        <v>0.44650499999999999</v>
      </c>
      <c r="S73">
        <v>0.45807900000000001</v>
      </c>
      <c r="T73">
        <v>0.46613700000000002</v>
      </c>
      <c r="U73">
        <v>0.47335500000000003</v>
      </c>
      <c r="V73">
        <v>0.479375</v>
      </c>
      <c r="W73">
        <v>0.48491600000000001</v>
      </c>
      <c r="X73">
        <v>0.49279499999999998</v>
      </c>
      <c r="Y73">
        <v>0.50410500000000003</v>
      </c>
      <c r="Z73">
        <v>0.52083800000000002</v>
      </c>
      <c r="AA73">
        <v>0.53412099999999996</v>
      </c>
      <c r="AB73">
        <v>0.54621799999999998</v>
      </c>
      <c r="AC73">
        <v>0.56340500000000004</v>
      </c>
      <c r="AD73">
        <v>0.59040000000000004</v>
      </c>
      <c r="AE73">
        <v>0.61546299999999998</v>
      </c>
      <c r="AF73">
        <v>0.64187399999999994</v>
      </c>
      <c r="AG73">
        <v>0.67086900000000005</v>
      </c>
      <c r="AH73">
        <v>0.70177400000000001</v>
      </c>
      <c r="AI73" t="s">
        <v>111</v>
      </c>
    </row>
    <row r="74" spans="1:35">
      <c r="A74" t="s">
        <v>240</v>
      </c>
      <c r="B74" t="s">
        <v>1784</v>
      </c>
      <c r="C74" t="s">
        <v>1785</v>
      </c>
      <c r="D74" t="s">
        <v>201</v>
      </c>
      <c r="F74">
        <v>0</v>
      </c>
      <c r="G74">
        <v>0</v>
      </c>
      <c r="H74">
        <v>0.111358</v>
      </c>
      <c r="I74">
        <v>0.226552</v>
      </c>
      <c r="J74">
        <v>0.34701100000000001</v>
      </c>
      <c r="K74">
        <v>0.46850000000000003</v>
      </c>
      <c r="L74">
        <v>0.59016000000000002</v>
      </c>
      <c r="M74">
        <v>0.70980200000000004</v>
      </c>
      <c r="N74">
        <v>0.827546</v>
      </c>
      <c r="O74">
        <v>0.94406100000000004</v>
      </c>
      <c r="P74">
        <v>1.0617449999999999</v>
      </c>
      <c r="Q74">
        <v>1.1749270000000001</v>
      </c>
      <c r="R74">
        <v>1.2809429999999999</v>
      </c>
      <c r="S74">
        <v>1.3823890000000001</v>
      </c>
      <c r="T74">
        <v>1.4753540000000001</v>
      </c>
      <c r="U74">
        <v>1.5660940000000001</v>
      </c>
      <c r="V74">
        <v>1.650725</v>
      </c>
      <c r="W74">
        <v>1.728137</v>
      </c>
      <c r="X74">
        <v>1.804441</v>
      </c>
      <c r="Y74">
        <v>1.880045</v>
      </c>
      <c r="Z74">
        <v>1.959276</v>
      </c>
      <c r="AA74">
        <v>2.0384820000000001</v>
      </c>
      <c r="AB74">
        <v>2.1167880000000001</v>
      </c>
      <c r="AC74">
        <v>2.1974689999999999</v>
      </c>
      <c r="AD74">
        <v>2.2879350000000001</v>
      </c>
      <c r="AE74">
        <v>2.3849619999999998</v>
      </c>
      <c r="AF74">
        <v>2.4892069999999999</v>
      </c>
      <c r="AG74">
        <v>2.6072109999999999</v>
      </c>
      <c r="AH74">
        <v>2.738353</v>
      </c>
      <c r="AI74" t="s">
        <v>111</v>
      </c>
    </row>
    <row r="75" spans="1:35">
      <c r="A75" t="s">
        <v>244</v>
      </c>
      <c r="B75" t="s">
        <v>1786</v>
      </c>
      <c r="C75" t="s">
        <v>1787</v>
      </c>
      <c r="D75" t="s">
        <v>201</v>
      </c>
      <c r="F75">
        <v>4203.0288090000004</v>
      </c>
      <c r="G75">
        <v>4085.8522950000001</v>
      </c>
      <c r="H75">
        <v>3977.9414059999999</v>
      </c>
      <c r="I75">
        <v>3908.5683589999999</v>
      </c>
      <c r="J75">
        <v>3861.1779790000001</v>
      </c>
      <c r="K75">
        <v>3804.1889649999998</v>
      </c>
      <c r="L75">
        <v>3746.460693</v>
      </c>
      <c r="M75">
        <v>3682.7314449999999</v>
      </c>
      <c r="N75">
        <v>3622.056885</v>
      </c>
      <c r="O75">
        <v>3565.8129880000001</v>
      </c>
      <c r="P75">
        <v>3521.0964359999998</v>
      </c>
      <c r="Q75">
        <v>3474.783203</v>
      </c>
      <c r="R75">
        <v>3425.866211</v>
      </c>
      <c r="S75">
        <v>3384.6201169999999</v>
      </c>
      <c r="T75">
        <v>3342.4174800000001</v>
      </c>
      <c r="U75">
        <v>3315.2402339999999</v>
      </c>
      <c r="V75">
        <v>3294.218018</v>
      </c>
      <c r="W75">
        <v>3272.1579590000001</v>
      </c>
      <c r="X75">
        <v>3255.9282229999999</v>
      </c>
      <c r="Y75">
        <v>3239.0588379999999</v>
      </c>
      <c r="Z75">
        <v>3226.6770019999999</v>
      </c>
      <c r="AA75">
        <v>3214.0676269999999</v>
      </c>
      <c r="AB75">
        <v>3200.9846189999998</v>
      </c>
      <c r="AC75">
        <v>3186.8178710000002</v>
      </c>
      <c r="AD75">
        <v>3173.03125</v>
      </c>
      <c r="AE75">
        <v>3157.6115719999998</v>
      </c>
      <c r="AF75">
        <v>3141.225586</v>
      </c>
      <c r="AG75">
        <v>3130.6340329999998</v>
      </c>
      <c r="AH75">
        <v>3123.702393</v>
      </c>
      <c r="AI75" s="22">
        <v>-1.0999999999999999E-2</v>
      </c>
    </row>
    <row r="76" spans="1:35">
      <c r="A76" t="s">
        <v>170</v>
      </c>
      <c r="B76" t="s">
        <v>247</v>
      </c>
      <c r="C76" t="s">
        <v>266</v>
      </c>
    </row>
    <row r="77" spans="1:35">
      <c r="A77" t="s">
        <v>189</v>
      </c>
      <c r="B77" t="s">
        <v>1788</v>
      </c>
      <c r="C77" t="s">
        <v>1789</v>
      </c>
      <c r="D77" t="s">
        <v>201</v>
      </c>
      <c r="F77">
        <v>5249.9169920000004</v>
      </c>
      <c r="G77">
        <v>5094.5859380000002</v>
      </c>
      <c r="H77">
        <v>4954.8515619999998</v>
      </c>
      <c r="I77">
        <v>4862.6987300000001</v>
      </c>
      <c r="J77">
        <v>4796.2695309999999</v>
      </c>
      <c r="K77">
        <v>4717.8774409999996</v>
      </c>
      <c r="L77">
        <v>4640.3652339999999</v>
      </c>
      <c r="M77">
        <v>4557.6166990000002</v>
      </c>
      <c r="N77">
        <v>4481.7353519999997</v>
      </c>
      <c r="O77">
        <v>4413.7387699999999</v>
      </c>
      <c r="P77">
        <v>4361.8056640000004</v>
      </c>
      <c r="Q77">
        <v>4308.2617190000001</v>
      </c>
      <c r="R77">
        <v>4252.0986329999996</v>
      </c>
      <c r="S77">
        <v>4205.8251950000003</v>
      </c>
      <c r="T77">
        <v>4158.4414059999999</v>
      </c>
      <c r="U77">
        <v>4129.2504879999997</v>
      </c>
      <c r="V77">
        <v>4106.8349609999996</v>
      </c>
      <c r="W77">
        <v>4083.4311520000001</v>
      </c>
      <c r="X77">
        <v>4067.608154</v>
      </c>
      <c r="Y77">
        <v>4051.3776859999998</v>
      </c>
      <c r="Z77">
        <v>4040.8857419999999</v>
      </c>
      <c r="AA77">
        <v>4031.2490229999999</v>
      </c>
      <c r="AB77">
        <v>4021.6232909999999</v>
      </c>
      <c r="AC77">
        <v>4011.3183589999999</v>
      </c>
      <c r="AD77">
        <v>4002.3701169999999</v>
      </c>
      <c r="AE77">
        <v>3992.2924800000001</v>
      </c>
      <c r="AF77">
        <v>3981.5913089999999</v>
      </c>
      <c r="AG77">
        <v>3978.1057129999999</v>
      </c>
      <c r="AH77">
        <v>3979.0385740000002</v>
      </c>
      <c r="AI77" s="22">
        <v>-0.01</v>
      </c>
    </row>
    <row r="78" spans="1:35">
      <c r="A78" t="s">
        <v>235</v>
      </c>
      <c r="B78" t="s">
        <v>1790</v>
      </c>
      <c r="C78" t="s">
        <v>1791</v>
      </c>
      <c r="D78" t="s">
        <v>201</v>
      </c>
      <c r="F78">
        <v>562.38818400000002</v>
      </c>
      <c r="G78">
        <v>555.801514</v>
      </c>
      <c r="H78">
        <v>552.26074200000005</v>
      </c>
      <c r="I78">
        <v>551.68633999999997</v>
      </c>
      <c r="J78">
        <v>552.55212400000005</v>
      </c>
      <c r="K78">
        <v>550.61614999999995</v>
      </c>
      <c r="L78">
        <v>548.34570299999996</v>
      </c>
      <c r="M78">
        <v>545.48895300000004</v>
      </c>
      <c r="N78">
        <v>543.67315699999995</v>
      </c>
      <c r="O78">
        <v>542.65777600000001</v>
      </c>
      <c r="P78">
        <v>544.31243900000004</v>
      </c>
      <c r="Q78">
        <v>545.60974099999999</v>
      </c>
      <c r="R78">
        <v>546.66473399999995</v>
      </c>
      <c r="S78">
        <v>548.660889</v>
      </c>
      <c r="T78">
        <v>549.95959500000004</v>
      </c>
      <c r="U78">
        <v>553.48419200000001</v>
      </c>
      <c r="V78">
        <v>556.13909899999999</v>
      </c>
      <c r="W78">
        <v>558.78949</v>
      </c>
      <c r="X78">
        <v>561.62091099999998</v>
      </c>
      <c r="Y78">
        <v>565.66882299999997</v>
      </c>
      <c r="Z78">
        <v>570.327271</v>
      </c>
      <c r="AA78">
        <v>574.83325200000002</v>
      </c>
      <c r="AB78">
        <v>579.18627900000001</v>
      </c>
      <c r="AC78">
        <v>583.32092299999999</v>
      </c>
      <c r="AD78">
        <v>587.94250499999998</v>
      </c>
      <c r="AE78">
        <v>592.51135299999999</v>
      </c>
      <c r="AF78">
        <v>596.90911900000003</v>
      </c>
      <c r="AG78">
        <v>602.21044900000004</v>
      </c>
      <c r="AH78">
        <v>607.98480199999995</v>
      </c>
      <c r="AI78" s="22">
        <v>3.0000000000000001E-3</v>
      </c>
    </row>
    <row r="79" spans="1:35">
      <c r="A79" t="s">
        <v>192</v>
      </c>
      <c r="B79" t="s">
        <v>1792</v>
      </c>
      <c r="C79" t="s">
        <v>1793</v>
      </c>
      <c r="D79" t="s">
        <v>201</v>
      </c>
      <c r="F79">
        <v>1.2411490000000001</v>
      </c>
      <c r="G79">
        <v>1.34948</v>
      </c>
      <c r="H79">
        <v>1.456639</v>
      </c>
      <c r="I79">
        <v>1.567971</v>
      </c>
      <c r="J79">
        <v>1.681467</v>
      </c>
      <c r="K79">
        <v>1.7794460000000001</v>
      </c>
      <c r="L79">
        <v>1.86659</v>
      </c>
      <c r="M79">
        <v>1.9382360000000001</v>
      </c>
      <c r="N79">
        <v>2.005061</v>
      </c>
      <c r="O79">
        <v>2.0700889999999998</v>
      </c>
      <c r="P79">
        <v>2.1416400000000002</v>
      </c>
      <c r="Q79">
        <v>2.2180689999999998</v>
      </c>
      <c r="R79">
        <v>2.2961619999999998</v>
      </c>
      <c r="S79">
        <v>2.3744969999999999</v>
      </c>
      <c r="T79">
        <v>2.4530400000000001</v>
      </c>
      <c r="U79">
        <v>2.5472969999999999</v>
      </c>
      <c r="V79">
        <v>2.6510910000000001</v>
      </c>
      <c r="W79">
        <v>2.765018</v>
      </c>
      <c r="X79">
        <v>2.8953329999999999</v>
      </c>
      <c r="Y79">
        <v>3.0399590000000001</v>
      </c>
      <c r="Z79">
        <v>3.1981799999999998</v>
      </c>
      <c r="AA79">
        <v>3.3673670000000002</v>
      </c>
      <c r="AB79">
        <v>3.5440170000000002</v>
      </c>
      <c r="AC79">
        <v>3.7288239999999999</v>
      </c>
      <c r="AD79">
        <v>3.9246300000000001</v>
      </c>
      <c r="AE79">
        <v>4.1269479999999996</v>
      </c>
      <c r="AF79">
        <v>4.3333190000000004</v>
      </c>
      <c r="AG79">
        <v>4.5414009999999996</v>
      </c>
      <c r="AH79">
        <v>4.7579419999999999</v>
      </c>
      <c r="AI79" s="22">
        <v>4.9000000000000002E-2</v>
      </c>
    </row>
    <row r="80" spans="1:35">
      <c r="A80" t="s">
        <v>195</v>
      </c>
      <c r="B80" t="s">
        <v>1794</v>
      </c>
      <c r="C80" t="s">
        <v>1795</v>
      </c>
      <c r="D80" t="s">
        <v>201</v>
      </c>
      <c r="F80">
        <v>51.236542</v>
      </c>
      <c r="G80">
        <v>50.962176999999997</v>
      </c>
      <c r="H80">
        <v>50.491249000000003</v>
      </c>
      <c r="I80">
        <v>50.142643</v>
      </c>
      <c r="J80">
        <v>49.710509999999999</v>
      </c>
      <c r="K80">
        <v>48.789504999999998</v>
      </c>
      <c r="L80">
        <v>47.472079999999998</v>
      </c>
      <c r="M80">
        <v>45.822308</v>
      </c>
      <c r="N80">
        <v>44.107993999999998</v>
      </c>
      <c r="O80">
        <v>42.526989</v>
      </c>
      <c r="P80">
        <v>41.300410999999997</v>
      </c>
      <c r="Q80">
        <v>40.414501000000001</v>
      </c>
      <c r="R80">
        <v>39.878418000000003</v>
      </c>
      <c r="S80">
        <v>39.728603</v>
      </c>
      <c r="T80">
        <v>39.786152000000001</v>
      </c>
      <c r="U80">
        <v>40.232017999999997</v>
      </c>
      <c r="V80">
        <v>40.938454</v>
      </c>
      <c r="W80">
        <v>41.849299999999999</v>
      </c>
      <c r="X80">
        <v>43.046658000000001</v>
      </c>
      <c r="Y80">
        <v>44.449615000000001</v>
      </c>
      <c r="Z80">
        <v>46.05003</v>
      </c>
      <c r="AA80">
        <v>47.799937999999997</v>
      </c>
      <c r="AB80">
        <v>49.694374000000003</v>
      </c>
      <c r="AC80">
        <v>51.705215000000003</v>
      </c>
      <c r="AD80">
        <v>53.860950000000003</v>
      </c>
      <c r="AE80">
        <v>56.124836000000002</v>
      </c>
      <c r="AF80">
        <v>58.452976</v>
      </c>
      <c r="AG80">
        <v>61.01247</v>
      </c>
      <c r="AH80">
        <v>63.794086</v>
      </c>
      <c r="AI80" s="22">
        <v>8.0000000000000002E-3</v>
      </c>
    </row>
    <row r="81" spans="1:35">
      <c r="A81" t="s">
        <v>236</v>
      </c>
      <c r="B81" t="s">
        <v>1796</v>
      </c>
      <c r="C81" t="s">
        <v>1797</v>
      </c>
      <c r="D81" t="s">
        <v>201</v>
      </c>
      <c r="F81">
        <v>56.734439999999999</v>
      </c>
      <c r="G81">
        <v>55.975769</v>
      </c>
      <c r="H81">
        <v>55.439964000000003</v>
      </c>
      <c r="I81">
        <v>55.137214999999998</v>
      </c>
      <c r="J81">
        <v>54.952826999999999</v>
      </c>
      <c r="K81">
        <v>54.689785000000001</v>
      </c>
      <c r="L81">
        <v>54.542090999999999</v>
      </c>
      <c r="M81">
        <v>54.520401</v>
      </c>
      <c r="N81">
        <v>54.774734000000002</v>
      </c>
      <c r="O81">
        <v>55.323501999999998</v>
      </c>
      <c r="P81">
        <v>56.253174000000001</v>
      </c>
      <c r="Q81">
        <v>57.262343999999999</v>
      </c>
      <c r="R81">
        <v>58.166153000000001</v>
      </c>
      <c r="S81">
        <v>59.091793000000003</v>
      </c>
      <c r="T81">
        <v>59.826087999999999</v>
      </c>
      <c r="U81">
        <v>60.787384000000003</v>
      </c>
      <c r="V81">
        <v>61.617919999999998</v>
      </c>
      <c r="W81">
        <v>62.409126000000001</v>
      </c>
      <c r="X81">
        <v>63.484912999999999</v>
      </c>
      <c r="Y81">
        <v>64.687957999999995</v>
      </c>
      <c r="Z81">
        <v>66.075584000000006</v>
      </c>
      <c r="AA81">
        <v>67.603133999999997</v>
      </c>
      <c r="AB81">
        <v>69.225548000000003</v>
      </c>
      <c r="AC81">
        <v>70.865425000000002</v>
      </c>
      <c r="AD81">
        <v>72.564635999999993</v>
      </c>
      <c r="AE81">
        <v>74.241989000000004</v>
      </c>
      <c r="AF81">
        <v>75.862365999999994</v>
      </c>
      <c r="AG81">
        <v>77.550551999999996</v>
      </c>
      <c r="AH81">
        <v>79.267166000000003</v>
      </c>
      <c r="AI81" s="22">
        <v>1.2E-2</v>
      </c>
    </row>
    <row r="82" spans="1:35">
      <c r="A82" t="s">
        <v>237</v>
      </c>
      <c r="B82" t="s">
        <v>1798</v>
      </c>
      <c r="C82" t="s">
        <v>1799</v>
      </c>
      <c r="D82" t="s">
        <v>201</v>
      </c>
      <c r="F82">
        <v>8.9421E-2</v>
      </c>
      <c r="G82">
        <v>0.102626</v>
      </c>
      <c r="H82">
        <v>0.113247</v>
      </c>
      <c r="I82">
        <v>0.12280199999999999</v>
      </c>
      <c r="J82">
        <v>0.13078600000000001</v>
      </c>
      <c r="K82">
        <v>0.13623199999999999</v>
      </c>
      <c r="L82">
        <v>0.139515</v>
      </c>
      <c r="M82">
        <v>0.140596</v>
      </c>
      <c r="N82">
        <v>0.14011799999999999</v>
      </c>
      <c r="O82">
        <v>0.13838400000000001</v>
      </c>
      <c r="P82">
        <v>0.135714</v>
      </c>
      <c r="Q82">
        <v>0.13156100000000001</v>
      </c>
      <c r="R82">
        <v>0.12640100000000001</v>
      </c>
      <c r="S82">
        <v>0.12095</v>
      </c>
      <c r="T82">
        <v>0.114736</v>
      </c>
      <c r="U82">
        <v>0.108764</v>
      </c>
      <c r="V82">
        <v>0.103186</v>
      </c>
      <c r="W82">
        <v>9.6922999999999995E-2</v>
      </c>
      <c r="X82">
        <v>9.0437000000000003E-2</v>
      </c>
      <c r="Y82">
        <v>8.4582000000000004E-2</v>
      </c>
      <c r="Z82">
        <v>7.9557000000000003E-2</v>
      </c>
      <c r="AA82">
        <v>7.4632000000000004E-2</v>
      </c>
      <c r="AB82">
        <v>7.0045999999999997E-2</v>
      </c>
      <c r="AC82">
        <v>6.5727999999999995E-2</v>
      </c>
      <c r="AD82">
        <v>6.1776999999999999E-2</v>
      </c>
      <c r="AE82">
        <v>5.8103000000000002E-2</v>
      </c>
      <c r="AF82">
        <v>5.4674E-2</v>
      </c>
      <c r="AG82">
        <v>5.1552000000000001E-2</v>
      </c>
      <c r="AH82">
        <v>4.8641999999999998E-2</v>
      </c>
      <c r="AI82" s="22">
        <v>-2.1999999999999999E-2</v>
      </c>
    </row>
    <row r="83" spans="1:35">
      <c r="A83" t="s">
        <v>238</v>
      </c>
      <c r="B83" t="s">
        <v>1800</v>
      </c>
      <c r="C83" t="s">
        <v>1801</v>
      </c>
      <c r="D83" t="s">
        <v>201</v>
      </c>
      <c r="F83">
        <v>0</v>
      </c>
      <c r="G83">
        <v>3.1223000000000001E-2</v>
      </c>
      <c r="H83">
        <v>0.19468199999999999</v>
      </c>
      <c r="I83">
        <v>0.27852399999999999</v>
      </c>
      <c r="J83">
        <v>0.36315700000000001</v>
      </c>
      <c r="K83">
        <v>0.443772</v>
      </c>
      <c r="L83">
        <v>0.52136499999999997</v>
      </c>
      <c r="M83">
        <v>0.59411199999999997</v>
      </c>
      <c r="N83">
        <v>0.663184</v>
      </c>
      <c r="O83">
        <v>0.72962499999999997</v>
      </c>
      <c r="P83">
        <v>0.79639599999999999</v>
      </c>
      <c r="Q83">
        <v>0.86107999999999996</v>
      </c>
      <c r="R83">
        <v>0.92327000000000004</v>
      </c>
      <c r="S83">
        <v>0.98654799999999998</v>
      </c>
      <c r="T83">
        <v>1.0495829999999999</v>
      </c>
      <c r="U83">
        <v>1.118633</v>
      </c>
      <c r="V83">
        <v>1.1928430000000001</v>
      </c>
      <c r="W83">
        <v>1.2726649999999999</v>
      </c>
      <c r="X83">
        <v>1.363113</v>
      </c>
      <c r="Y83">
        <v>1.464269</v>
      </c>
      <c r="Z83">
        <v>1.5777429999999999</v>
      </c>
      <c r="AA83">
        <v>1.6956990000000001</v>
      </c>
      <c r="AB83">
        <v>1.819596</v>
      </c>
      <c r="AC83">
        <v>1.952555</v>
      </c>
      <c r="AD83">
        <v>2.0971549999999999</v>
      </c>
      <c r="AE83">
        <v>2.2459030000000002</v>
      </c>
      <c r="AF83">
        <v>2.3994059999999999</v>
      </c>
      <c r="AG83">
        <v>2.561833</v>
      </c>
      <c r="AH83">
        <v>2.7309640000000002</v>
      </c>
      <c r="AI83" t="s">
        <v>111</v>
      </c>
    </row>
    <row r="84" spans="1:35">
      <c r="A84" t="s">
        <v>239</v>
      </c>
      <c r="B84" t="s">
        <v>1802</v>
      </c>
      <c r="C84" t="s">
        <v>1803</v>
      </c>
      <c r="D84" t="s">
        <v>201</v>
      </c>
      <c r="F84">
        <v>0</v>
      </c>
      <c r="G84">
        <v>3.7399000000000002E-2</v>
      </c>
      <c r="H84">
        <v>0.32291300000000001</v>
      </c>
      <c r="I84">
        <v>0.433558</v>
      </c>
      <c r="J84">
        <v>0.54477500000000001</v>
      </c>
      <c r="K84">
        <v>0.650644</v>
      </c>
      <c r="L84">
        <v>0.75134400000000001</v>
      </c>
      <c r="M84">
        <v>0.84477599999999997</v>
      </c>
      <c r="N84">
        <v>0.933338</v>
      </c>
      <c r="O84">
        <v>1.0193179999999999</v>
      </c>
      <c r="P84">
        <v>1.106617</v>
      </c>
      <c r="Q84">
        <v>1.192067</v>
      </c>
      <c r="R84">
        <v>1.274824</v>
      </c>
      <c r="S84">
        <v>1.359926</v>
      </c>
      <c r="T84">
        <v>1.4457869999999999</v>
      </c>
      <c r="U84">
        <v>1.5416810000000001</v>
      </c>
      <c r="V84">
        <v>1.6468430000000001</v>
      </c>
      <c r="W84">
        <v>1.7627539999999999</v>
      </c>
      <c r="X84">
        <v>1.897227</v>
      </c>
      <c r="Y84">
        <v>2.0511330000000001</v>
      </c>
      <c r="Z84">
        <v>2.2268560000000002</v>
      </c>
      <c r="AA84">
        <v>2.41065</v>
      </c>
      <c r="AB84">
        <v>2.604946</v>
      </c>
      <c r="AC84">
        <v>2.816163</v>
      </c>
      <c r="AD84">
        <v>3.0489739999999999</v>
      </c>
      <c r="AE84">
        <v>3.2880760000000002</v>
      </c>
      <c r="AF84">
        <v>3.5348269999999999</v>
      </c>
      <c r="AG84">
        <v>3.7946209999999998</v>
      </c>
      <c r="AH84">
        <v>4.0636669999999997</v>
      </c>
      <c r="AI84" t="s">
        <v>111</v>
      </c>
    </row>
    <row r="85" spans="1:35">
      <c r="A85" t="s">
        <v>240</v>
      </c>
      <c r="B85" t="s">
        <v>1804</v>
      </c>
      <c r="C85" t="s">
        <v>1805</v>
      </c>
      <c r="D85" t="s">
        <v>201</v>
      </c>
      <c r="F85">
        <v>0</v>
      </c>
      <c r="G85">
        <v>0</v>
      </c>
      <c r="H85">
        <v>0.193074</v>
      </c>
      <c r="I85">
        <v>0.39150400000000002</v>
      </c>
      <c r="J85">
        <v>0.596692</v>
      </c>
      <c r="K85">
        <v>0.80067200000000005</v>
      </c>
      <c r="L85">
        <v>1.001957</v>
      </c>
      <c r="M85">
        <v>1.197117</v>
      </c>
      <c r="N85">
        <v>1.386846</v>
      </c>
      <c r="O85">
        <v>1.5732839999999999</v>
      </c>
      <c r="P85">
        <v>1.762032</v>
      </c>
      <c r="Q85">
        <v>1.94495</v>
      </c>
      <c r="R85">
        <v>2.1185429999999998</v>
      </c>
      <c r="S85">
        <v>2.2886959999999998</v>
      </c>
      <c r="T85">
        <v>2.4507270000000001</v>
      </c>
      <c r="U85">
        <v>2.6167479999999999</v>
      </c>
      <c r="V85">
        <v>2.7817050000000001</v>
      </c>
      <c r="W85">
        <v>2.9443709999999998</v>
      </c>
      <c r="X85">
        <v>3.114779</v>
      </c>
      <c r="Y85">
        <v>3.2926709999999999</v>
      </c>
      <c r="Z85">
        <v>3.4843730000000002</v>
      </c>
      <c r="AA85">
        <v>3.681759</v>
      </c>
      <c r="AB85">
        <v>3.8862909999999999</v>
      </c>
      <c r="AC85">
        <v>4.100009</v>
      </c>
      <c r="AD85">
        <v>4.3317829999999997</v>
      </c>
      <c r="AE85">
        <v>4.5763559999999996</v>
      </c>
      <c r="AF85">
        <v>4.8336259999999998</v>
      </c>
      <c r="AG85">
        <v>5.1153269999999997</v>
      </c>
      <c r="AH85">
        <v>5.4180919999999997</v>
      </c>
      <c r="AI85" t="s">
        <v>111</v>
      </c>
    </row>
    <row r="86" spans="1:35">
      <c r="A86" t="s">
        <v>143</v>
      </c>
      <c r="B86" t="s">
        <v>1806</v>
      </c>
      <c r="C86" t="s">
        <v>1807</v>
      </c>
      <c r="D86" t="s">
        <v>201</v>
      </c>
      <c r="F86">
        <v>5921.6083980000003</v>
      </c>
      <c r="G86">
        <v>5758.8452150000003</v>
      </c>
      <c r="H86">
        <v>5615.3242190000001</v>
      </c>
      <c r="I86">
        <v>5522.4580079999996</v>
      </c>
      <c r="J86">
        <v>5456.8017579999996</v>
      </c>
      <c r="K86">
        <v>5375.7822269999997</v>
      </c>
      <c r="L86">
        <v>5295.0068359999996</v>
      </c>
      <c r="M86">
        <v>5208.1630859999996</v>
      </c>
      <c r="N86">
        <v>5129.4169920000004</v>
      </c>
      <c r="O86">
        <v>5059.7763670000004</v>
      </c>
      <c r="P86">
        <v>5009.6118159999996</v>
      </c>
      <c r="Q86">
        <v>4957.8979490000002</v>
      </c>
      <c r="R86">
        <v>4903.5493159999996</v>
      </c>
      <c r="S86">
        <v>4860.435547</v>
      </c>
      <c r="T86">
        <v>4815.5268550000001</v>
      </c>
      <c r="U86">
        <v>4791.6865230000003</v>
      </c>
      <c r="V86">
        <v>4773.90625</v>
      </c>
      <c r="W86">
        <v>4755.3193359999996</v>
      </c>
      <c r="X86">
        <v>4745.1240230000003</v>
      </c>
      <c r="Y86">
        <v>4736.1157229999999</v>
      </c>
      <c r="Z86">
        <v>4733.9067379999997</v>
      </c>
      <c r="AA86">
        <v>4732.7128910000001</v>
      </c>
      <c r="AB86">
        <v>4731.6552730000003</v>
      </c>
      <c r="AC86">
        <v>4729.8740230000003</v>
      </c>
      <c r="AD86">
        <v>4730.2001950000003</v>
      </c>
      <c r="AE86">
        <v>4729.46875</v>
      </c>
      <c r="AF86">
        <v>4727.9702150000003</v>
      </c>
      <c r="AG86">
        <v>4734.9438479999999</v>
      </c>
      <c r="AH86">
        <v>4747.1030270000001</v>
      </c>
      <c r="AI86" s="22">
        <v>-8.0000000000000002E-3</v>
      </c>
    </row>
    <row r="87" spans="1:35">
      <c r="A87" t="s">
        <v>248</v>
      </c>
    </row>
    <row r="88" spans="1:35">
      <c r="A88" t="s">
        <v>170</v>
      </c>
    </row>
    <row r="89" spans="1:35">
      <c r="A89" t="s">
        <v>189</v>
      </c>
      <c r="B89" t="s">
        <v>1808</v>
      </c>
      <c r="C89" t="s">
        <v>1809</v>
      </c>
      <c r="D89" t="s">
        <v>267</v>
      </c>
      <c r="F89">
        <v>14.990826999999999</v>
      </c>
      <c r="G89">
        <v>15.195835000000001</v>
      </c>
      <c r="H89">
        <v>15.453761999999999</v>
      </c>
      <c r="I89">
        <v>15.764835</v>
      </c>
      <c r="J89">
        <v>16.103656999999998</v>
      </c>
      <c r="K89">
        <v>16.460249000000001</v>
      </c>
      <c r="L89">
        <v>16.807583000000001</v>
      </c>
      <c r="M89">
        <v>17.144188</v>
      </c>
      <c r="N89">
        <v>17.457806000000001</v>
      </c>
      <c r="O89">
        <v>17.746956000000001</v>
      </c>
      <c r="P89">
        <v>18.018951000000001</v>
      </c>
      <c r="Q89">
        <v>18.272202</v>
      </c>
      <c r="R89">
        <v>18.49737</v>
      </c>
      <c r="S89">
        <v>18.698295999999999</v>
      </c>
      <c r="T89">
        <v>18.881610999999999</v>
      </c>
      <c r="U89">
        <v>19.048977000000001</v>
      </c>
      <c r="V89">
        <v>19.200341999999999</v>
      </c>
      <c r="W89">
        <v>19.331123000000002</v>
      </c>
      <c r="X89">
        <v>19.443902999999999</v>
      </c>
      <c r="Y89">
        <v>19.542442000000001</v>
      </c>
      <c r="Z89">
        <v>19.624690999999999</v>
      </c>
      <c r="AA89">
        <v>19.687042000000002</v>
      </c>
      <c r="AB89">
        <v>19.732797999999999</v>
      </c>
      <c r="AC89">
        <v>19.765715</v>
      </c>
      <c r="AD89">
        <v>19.789014999999999</v>
      </c>
      <c r="AE89">
        <v>19.803076000000001</v>
      </c>
      <c r="AF89">
        <v>19.809339999999999</v>
      </c>
      <c r="AG89">
        <v>19.811682000000001</v>
      </c>
      <c r="AH89">
        <v>19.811537000000001</v>
      </c>
      <c r="AI89" s="22">
        <v>0.01</v>
      </c>
    </row>
    <row r="90" spans="1:35">
      <c r="A90" t="s">
        <v>235</v>
      </c>
      <c r="B90" t="s">
        <v>1810</v>
      </c>
      <c r="C90" t="s">
        <v>1811</v>
      </c>
      <c r="D90" t="s">
        <v>268</v>
      </c>
      <c r="F90">
        <v>10.726827</v>
      </c>
      <c r="G90">
        <v>11.005366</v>
      </c>
      <c r="H90">
        <v>11.295146000000001</v>
      </c>
      <c r="I90">
        <v>11.596507000000001</v>
      </c>
      <c r="J90">
        <v>11.891500000000001</v>
      </c>
      <c r="K90">
        <v>12.183458</v>
      </c>
      <c r="L90">
        <v>12.456664</v>
      </c>
      <c r="M90">
        <v>12.71387</v>
      </c>
      <c r="N90">
        <v>12.949475</v>
      </c>
      <c r="O90">
        <v>13.167376000000001</v>
      </c>
      <c r="P90">
        <v>13.364095000000001</v>
      </c>
      <c r="Q90">
        <v>13.539407000000001</v>
      </c>
      <c r="R90">
        <v>13.695525999999999</v>
      </c>
      <c r="S90">
        <v>13.836619000000001</v>
      </c>
      <c r="T90">
        <v>13.962876</v>
      </c>
      <c r="U90">
        <v>14.077448</v>
      </c>
      <c r="V90">
        <v>14.185199000000001</v>
      </c>
      <c r="W90">
        <v>14.290082999999999</v>
      </c>
      <c r="X90">
        <v>14.388892999999999</v>
      </c>
      <c r="Y90">
        <v>14.442099000000001</v>
      </c>
      <c r="Z90">
        <v>14.491308</v>
      </c>
      <c r="AA90">
        <v>14.538304</v>
      </c>
      <c r="AB90">
        <v>14.576364</v>
      </c>
      <c r="AC90">
        <v>14.611788000000001</v>
      </c>
      <c r="AD90">
        <v>14.644666000000001</v>
      </c>
      <c r="AE90">
        <v>14.676098</v>
      </c>
      <c r="AF90">
        <v>14.708055</v>
      </c>
      <c r="AG90">
        <v>14.740869999999999</v>
      </c>
      <c r="AH90">
        <v>14.772921</v>
      </c>
      <c r="AI90" s="22">
        <v>1.0999999999999999E-2</v>
      </c>
    </row>
    <row r="91" spans="1:35">
      <c r="A91" t="s">
        <v>192</v>
      </c>
      <c r="B91" t="s">
        <v>1812</v>
      </c>
      <c r="C91" t="s">
        <v>1813</v>
      </c>
      <c r="D91" t="s">
        <v>268</v>
      </c>
      <c r="F91">
        <v>8.2871159999999993</v>
      </c>
      <c r="G91">
        <v>12.031981</v>
      </c>
      <c r="H91">
        <v>12.360588999999999</v>
      </c>
      <c r="I91">
        <v>12.523303</v>
      </c>
      <c r="J91">
        <v>12.634840000000001</v>
      </c>
      <c r="K91">
        <v>12.74039</v>
      </c>
      <c r="L91">
        <v>12.832022</v>
      </c>
      <c r="M91">
        <v>12.931651</v>
      </c>
      <c r="N91">
        <v>13.04673</v>
      </c>
      <c r="O91">
        <v>13.172309</v>
      </c>
      <c r="P91">
        <v>13.306245000000001</v>
      </c>
      <c r="Q91">
        <v>13.439323</v>
      </c>
      <c r="R91">
        <v>13.563253</v>
      </c>
      <c r="S91">
        <v>13.672013</v>
      </c>
      <c r="T91">
        <v>13.766769999999999</v>
      </c>
      <c r="U91">
        <v>13.849815</v>
      </c>
      <c r="V91">
        <v>13.922634</v>
      </c>
      <c r="W91">
        <v>13.986432000000001</v>
      </c>
      <c r="X91">
        <v>14.041862</v>
      </c>
      <c r="Y91">
        <v>14.089687</v>
      </c>
      <c r="Z91">
        <v>14.130868</v>
      </c>
      <c r="AA91">
        <v>14.166186</v>
      </c>
      <c r="AB91">
        <v>14.198964</v>
      </c>
      <c r="AC91">
        <v>14.22842</v>
      </c>
      <c r="AD91">
        <v>14.254268</v>
      </c>
      <c r="AE91">
        <v>14.276505</v>
      </c>
      <c r="AF91">
        <v>14.295197</v>
      </c>
      <c r="AG91">
        <v>14.310687</v>
      </c>
      <c r="AH91">
        <v>14.323290999999999</v>
      </c>
      <c r="AI91" s="22">
        <v>0.02</v>
      </c>
    </row>
    <row r="92" spans="1:35">
      <c r="A92" t="s">
        <v>195</v>
      </c>
      <c r="B92" t="s">
        <v>1814</v>
      </c>
      <c r="C92" t="s">
        <v>1815</v>
      </c>
      <c r="D92" t="s">
        <v>268</v>
      </c>
      <c r="F92">
        <v>10.037064000000001</v>
      </c>
      <c r="G92">
        <v>10.038249</v>
      </c>
      <c r="H92">
        <v>10.039481</v>
      </c>
      <c r="I92">
        <v>10.040761</v>
      </c>
      <c r="J92">
        <v>10.042078999999999</v>
      </c>
      <c r="K92">
        <v>10.043437000000001</v>
      </c>
      <c r="L92">
        <v>10.044829</v>
      </c>
      <c r="M92">
        <v>10.046252000000001</v>
      </c>
      <c r="N92">
        <v>10.047701999999999</v>
      </c>
      <c r="O92">
        <v>10.049175999999999</v>
      </c>
      <c r="P92">
        <v>10.050672</v>
      </c>
      <c r="Q92">
        <v>10.057157</v>
      </c>
      <c r="R92">
        <v>10.07352</v>
      </c>
      <c r="S92">
        <v>10.105247</v>
      </c>
      <c r="T92">
        <v>10.140972</v>
      </c>
      <c r="U92">
        <v>10.185603</v>
      </c>
      <c r="V92">
        <v>10.231821</v>
      </c>
      <c r="W92">
        <v>10.26587</v>
      </c>
      <c r="X92">
        <v>10.275093999999999</v>
      </c>
      <c r="Y92">
        <v>10.25789</v>
      </c>
      <c r="Z92">
        <v>10.216538</v>
      </c>
      <c r="AA92">
        <v>10.161301999999999</v>
      </c>
      <c r="AB92">
        <v>10.092756</v>
      </c>
      <c r="AC92">
        <v>10.027177</v>
      </c>
      <c r="AD92">
        <v>9.9940409999999993</v>
      </c>
      <c r="AE92">
        <v>10.014453</v>
      </c>
      <c r="AF92">
        <v>10.061934000000001</v>
      </c>
      <c r="AG92">
        <v>10.114000000000001</v>
      </c>
      <c r="AH92">
        <v>10.188726000000001</v>
      </c>
      <c r="AI92" s="22">
        <v>1E-3</v>
      </c>
    </row>
    <row r="93" spans="1:35">
      <c r="A93" t="s">
        <v>236</v>
      </c>
      <c r="B93" t="s">
        <v>1816</v>
      </c>
      <c r="C93" t="s">
        <v>1817</v>
      </c>
      <c r="D93" t="s">
        <v>268</v>
      </c>
      <c r="F93">
        <v>10.330606</v>
      </c>
      <c r="G93">
        <v>10.473398</v>
      </c>
      <c r="H93">
        <v>10.635232999999999</v>
      </c>
      <c r="I93">
        <v>10.811537</v>
      </c>
      <c r="J93">
        <v>10.992823</v>
      </c>
      <c r="K93">
        <v>11.179570999999999</v>
      </c>
      <c r="L93">
        <v>11.358347</v>
      </c>
      <c r="M93">
        <v>11.530927999999999</v>
      </c>
      <c r="N93">
        <v>11.697601000000001</v>
      </c>
      <c r="O93">
        <v>11.859797</v>
      </c>
      <c r="P93">
        <v>12.017756</v>
      </c>
      <c r="Q93">
        <v>12.173800999999999</v>
      </c>
      <c r="R93">
        <v>12.336893</v>
      </c>
      <c r="S93">
        <v>12.507586</v>
      </c>
      <c r="T93">
        <v>12.68805</v>
      </c>
      <c r="U93">
        <v>12.874475</v>
      </c>
      <c r="V93">
        <v>13.077565</v>
      </c>
      <c r="W93">
        <v>13.287155</v>
      </c>
      <c r="X93">
        <v>13.497173</v>
      </c>
      <c r="Y93">
        <v>13.658909</v>
      </c>
      <c r="Z93">
        <v>13.800933000000001</v>
      </c>
      <c r="AA93">
        <v>13.916017</v>
      </c>
      <c r="AB93">
        <v>14.006437999999999</v>
      </c>
      <c r="AC93">
        <v>14.081751000000001</v>
      </c>
      <c r="AD93">
        <v>14.147543000000001</v>
      </c>
      <c r="AE93">
        <v>14.206153</v>
      </c>
      <c r="AF93">
        <v>14.260489</v>
      </c>
      <c r="AG93">
        <v>14.31892</v>
      </c>
      <c r="AH93">
        <v>14.378976</v>
      </c>
      <c r="AI93" s="22">
        <v>1.2E-2</v>
      </c>
    </row>
    <row r="94" spans="1:35">
      <c r="A94" t="s">
        <v>237</v>
      </c>
      <c r="B94" t="s">
        <v>1818</v>
      </c>
      <c r="C94" t="s">
        <v>1819</v>
      </c>
      <c r="D94" t="s">
        <v>267</v>
      </c>
      <c r="F94">
        <v>24.120540999999999</v>
      </c>
      <c r="G94">
        <v>24.120649</v>
      </c>
      <c r="H94">
        <v>24.120832</v>
      </c>
      <c r="I94">
        <v>24.121075000000001</v>
      </c>
      <c r="J94">
        <v>24.121359000000002</v>
      </c>
      <c r="K94">
        <v>24.121646999999999</v>
      </c>
      <c r="L94">
        <v>24.12191</v>
      </c>
      <c r="M94">
        <v>24.1206</v>
      </c>
      <c r="N94">
        <v>24.120342000000001</v>
      </c>
      <c r="O94">
        <v>24.12031</v>
      </c>
      <c r="P94">
        <v>24.120283000000001</v>
      </c>
      <c r="Q94">
        <v>24.116168999999999</v>
      </c>
      <c r="R94">
        <v>24.116142</v>
      </c>
      <c r="S94">
        <v>24.116114</v>
      </c>
      <c r="T94">
        <v>24.116087</v>
      </c>
      <c r="U94">
        <v>24.116057999999999</v>
      </c>
      <c r="V94">
        <v>24.116029999999999</v>
      </c>
      <c r="W94">
        <v>24.116001000000001</v>
      </c>
      <c r="X94">
        <v>24.121918000000001</v>
      </c>
      <c r="Y94">
        <v>24.121894999999999</v>
      </c>
      <c r="Z94">
        <v>24.121870000000001</v>
      </c>
      <c r="AA94">
        <v>24.121849000000001</v>
      </c>
      <c r="AB94">
        <v>24.121849000000001</v>
      </c>
      <c r="AC94">
        <v>24.121849000000001</v>
      </c>
      <c r="AD94">
        <v>24.121849000000001</v>
      </c>
      <c r="AE94">
        <v>24.121849000000001</v>
      </c>
      <c r="AF94">
        <v>24.121849000000001</v>
      </c>
      <c r="AG94">
        <v>24.121849000000001</v>
      </c>
      <c r="AH94">
        <v>24.121849000000001</v>
      </c>
      <c r="AI94" s="22">
        <v>0</v>
      </c>
    </row>
    <row r="95" spans="1:35">
      <c r="A95" t="s">
        <v>238</v>
      </c>
      <c r="B95" t="s">
        <v>1820</v>
      </c>
      <c r="C95" t="s">
        <v>1821</v>
      </c>
      <c r="D95" t="s">
        <v>267</v>
      </c>
      <c r="F95">
        <v>0</v>
      </c>
      <c r="G95">
        <v>23.149602999999999</v>
      </c>
      <c r="H95">
        <v>23.472764999999999</v>
      </c>
      <c r="I95">
        <v>23.715693000000002</v>
      </c>
      <c r="J95">
        <v>23.940075</v>
      </c>
      <c r="K95">
        <v>24.190411000000001</v>
      </c>
      <c r="L95">
        <v>24.446352000000001</v>
      </c>
      <c r="M95">
        <v>24.748117000000001</v>
      </c>
      <c r="N95">
        <v>25.091992999999999</v>
      </c>
      <c r="O95">
        <v>25.473272000000001</v>
      </c>
      <c r="P95">
        <v>25.884830000000001</v>
      </c>
      <c r="Q95">
        <v>26.288961</v>
      </c>
      <c r="R95">
        <v>26.659797999999999</v>
      </c>
      <c r="S95">
        <v>26.990131000000002</v>
      </c>
      <c r="T95">
        <v>27.284669999999998</v>
      </c>
      <c r="U95">
        <v>27.544640000000001</v>
      </c>
      <c r="V95">
        <v>27.771345</v>
      </c>
      <c r="W95">
        <v>27.966187000000001</v>
      </c>
      <c r="X95">
        <v>28.130445000000002</v>
      </c>
      <c r="Y95">
        <v>28.266403</v>
      </c>
      <c r="Z95">
        <v>28.382709999999999</v>
      </c>
      <c r="AA95">
        <v>28.481961999999999</v>
      </c>
      <c r="AB95">
        <v>28.566258999999999</v>
      </c>
      <c r="AC95">
        <v>28.638152999999999</v>
      </c>
      <c r="AD95">
        <v>28.706033999999999</v>
      </c>
      <c r="AE95">
        <v>28.767852999999999</v>
      </c>
      <c r="AF95">
        <v>28.822959999999998</v>
      </c>
      <c r="AG95">
        <v>28.87105</v>
      </c>
      <c r="AH95">
        <v>28.912033000000001</v>
      </c>
      <c r="AI95" t="s">
        <v>111</v>
      </c>
    </row>
    <row r="96" spans="1:35">
      <c r="A96" t="s">
        <v>239</v>
      </c>
      <c r="B96" t="s">
        <v>1822</v>
      </c>
      <c r="C96" t="s">
        <v>1823</v>
      </c>
      <c r="D96" t="s">
        <v>268</v>
      </c>
      <c r="F96">
        <v>0</v>
      </c>
      <c r="G96">
        <v>18.966135000000001</v>
      </c>
      <c r="H96">
        <v>19.092039</v>
      </c>
      <c r="I96">
        <v>19.214801999999999</v>
      </c>
      <c r="J96">
        <v>19.305622</v>
      </c>
      <c r="K96">
        <v>19.397898000000001</v>
      </c>
      <c r="L96">
        <v>19.482711999999999</v>
      </c>
      <c r="M96">
        <v>19.577449999999999</v>
      </c>
      <c r="N96">
        <v>19.683924000000001</v>
      </c>
      <c r="O96">
        <v>19.801506</v>
      </c>
      <c r="P96">
        <v>19.927548999999999</v>
      </c>
      <c r="Q96">
        <v>20.055523000000001</v>
      </c>
      <c r="R96">
        <v>20.178999000000001</v>
      </c>
      <c r="S96">
        <v>20.292757000000002</v>
      </c>
      <c r="T96">
        <v>20.398233000000001</v>
      </c>
      <c r="U96">
        <v>20.494122000000001</v>
      </c>
      <c r="V96">
        <v>20.578828999999999</v>
      </c>
      <c r="W96">
        <v>20.651620999999999</v>
      </c>
      <c r="X96">
        <v>20.712885</v>
      </c>
      <c r="Y96">
        <v>20.763338000000001</v>
      </c>
      <c r="Z96">
        <v>20.805949999999999</v>
      </c>
      <c r="AA96">
        <v>20.841664999999999</v>
      </c>
      <c r="AB96">
        <v>20.871314999999999</v>
      </c>
      <c r="AC96">
        <v>20.895990000000001</v>
      </c>
      <c r="AD96">
        <v>20.918527999999998</v>
      </c>
      <c r="AE96">
        <v>20.938431000000001</v>
      </c>
      <c r="AF96">
        <v>20.955587000000001</v>
      </c>
      <c r="AG96">
        <v>20.970182000000001</v>
      </c>
      <c r="AH96">
        <v>20.982382000000001</v>
      </c>
      <c r="AI96" t="s">
        <v>111</v>
      </c>
    </row>
    <row r="97" spans="1:35">
      <c r="A97" t="s">
        <v>240</v>
      </c>
      <c r="B97" t="s">
        <v>1824</v>
      </c>
      <c r="C97" t="s">
        <v>1825</v>
      </c>
      <c r="D97" t="s">
        <v>267</v>
      </c>
      <c r="F97">
        <v>0</v>
      </c>
      <c r="G97">
        <v>0</v>
      </c>
      <c r="H97">
        <v>18.589188</v>
      </c>
      <c r="I97">
        <v>17.308316999999999</v>
      </c>
      <c r="J97">
        <v>16.941782</v>
      </c>
      <c r="K97">
        <v>16.756969000000002</v>
      </c>
      <c r="L97">
        <v>16.642426</v>
      </c>
      <c r="M97">
        <v>16.563610000000001</v>
      </c>
      <c r="N97">
        <v>16.506260000000001</v>
      </c>
      <c r="O97">
        <v>16.462553</v>
      </c>
      <c r="P97">
        <v>16.427906</v>
      </c>
      <c r="Q97">
        <v>16.400134999999999</v>
      </c>
      <c r="R97">
        <v>16.378022999999999</v>
      </c>
      <c r="S97">
        <v>16.360289000000002</v>
      </c>
      <c r="T97">
        <v>16.346004000000001</v>
      </c>
      <c r="U97">
        <v>16.334526</v>
      </c>
      <c r="V97">
        <v>16.325377</v>
      </c>
      <c r="W97">
        <v>16.318187999999999</v>
      </c>
      <c r="X97">
        <v>16.312683</v>
      </c>
      <c r="Y97">
        <v>16.308593999999999</v>
      </c>
      <c r="Z97">
        <v>16.305630000000001</v>
      </c>
      <c r="AA97">
        <v>16.300325000000001</v>
      </c>
      <c r="AB97">
        <v>16.295318999999999</v>
      </c>
      <c r="AC97">
        <v>16.291018000000001</v>
      </c>
      <c r="AD97">
        <v>16.287289000000001</v>
      </c>
      <c r="AE97">
        <v>16.278582</v>
      </c>
      <c r="AF97">
        <v>16.271843000000001</v>
      </c>
      <c r="AG97">
        <v>16.266584000000002</v>
      </c>
      <c r="AH97">
        <v>16.262445</v>
      </c>
      <c r="AI97" t="s">
        <v>111</v>
      </c>
    </row>
    <row r="98" spans="1:35">
      <c r="A98" t="s">
        <v>249</v>
      </c>
      <c r="B98" t="s">
        <v>1826</v>
      </c>
      <c r="C98" t="s">
        <v>1827</v>
      </c>
      <c r="F98">
        <v>13.701715</v>
      </c>
      <c r="G98">
        <v>13.874705000000001</v>
      </c>
      <c r="H98">
        <v>14.09103</v>
      </c>
      <c r="I98">
        <v>14.350107</v>
      </c>
      <c r="J98">
        <v>14.627439000000001</v>
      </c>
      <c r="K98">
        <v>14.917809</v>
      </c>
      <c r="L98">
        <v>15.198219</v>
      </c>
      <c r="M98">
        <v>15.468105</v>
      </c>
      <c r="N98">
        <v>15.718248000000001</v>
      </c>
      <c r="O98">
        <v>15.950189</v>
      </c>
      <c r="P98">
        <v>16.164223</v>
      </c>
      <c r="Q98">
        <v>16.358761000000001</v>
      </c>
      <c r="R98">
        <v>16.530821</v>
      </c>
      <c r="S98">
        <v>16.684151</v>
      </c>
      <c r="T98">
        <v>16.821214999999999</v>
      </c>
      <c r="U98">
        <v>16.944859000000001</v>
      </c>
      <c r="V98">
        <v>17.058762000000002</v>
      </c>
      <c r="W98">
        <v>17.163989999999998</v>
      </c>
      <c r="X98">
        <v>17.259305999999999</v>
      </c>
      <c r="Y98">
        <v>17.324244</v>
      </c>
      <c r="Z98">
        <v>17.380686000000001</v>
      </c>
      <c r="AA98">
        <v>17.429478</v>
      </c>
      <c r="AB98">
        <v>17.467466000000002</v>
      </c>
      <c r="AC98">
        <v>17.499217999999999</v>
      </c>
      <c r="AD98">
        <v>17.525841</v>
      </c>
      <c r="AE98">
        <v>17.548109</v>
      </c>
      <c r="AF98">
        <v>17.567924000000001</v>
      </c>
      <c r="AG98">
        <v>17.586690999999998</v>
      </c>
      <c r="AH98">
        <v>17.603672</v>
      </c>
      <c r="AI98" s="22">
        <v>8.9999999999999993E-3</v>
      </c>
    </row>
    <row r="99" spans="1:35">
      <c r="A99" t="s">
        <v>171</v>
      </c>
    </row>
    <row r="100" spans="1:35">
      <c r="A100" t="s">
        <v>189</v>
      </c>
      <c r="B100" t="s">
        <v>1828</v>
      </c>
      <c r="C100" t="s">
        <v>1829</v>
      </c>
      <c r="D100" t="s">
        <v>267</v>
      </c>
      <c r="F100">
        <v>9.1881959999999996</v>
      </c>
      <c r="G100">
        <v>9.3360979999999998</v>
      </c>
      <c r="H100">
        <v>9.4993839999999992</v>
      </c>
      <c r="I100">
        <v>9.6925690000000007</v>
      </c>
      <c r="J100">
        <v>9.913354</v>
      </c>
      <c r="K100">
        <v>10.152265999999999</v>
      </c>
      <c r="L100">
        <v>10.389875</v>
      </c>
      <c r="M100">
        <v>10.634052000000001</v>
      </c>
      <c r="N100">
        <v>10.877926</v>
      </c>
      <c r="O100">
        <v>11.121212</v>
      </c>
      <c r="P100">
        <v>11.358387</v>
      </c>
      <c r="Q100">
        <v>11.582022</v>
      </c>
      <c r="R100">
        <v>11.788220000000001</v>
      </c>
      <c r="S100">
        <v>11.976482000000001</v>
      </c>
      <c r="T100">
        <v>12.14776</v>
      </c>
      <c r="U100">
        <v>12.304593000000001</v>
      </c>
      <c r="V100">
        <v>12.450073</v>
      </c>
      <c r="W100">
        <v>12.585081000000001</v>
      </c>
      <c r="X100">
        <v>12.70984</v>
      </c>
      <c r="Y100">
        <v>12.825391</v>
      </c>
      <c r="Z100">
        <v>12.930717</v>
      </c>
      <c r="AA100">
        <v>13.021278000000001</v>
      </c>
      <c r="AB100">
        <v>13.098618999999999</v>
      </c>
      <c r="AC100">
        <v>13.167104999999999</v>
      </c>
      <c r="AD100">
        <v>13.230903</v>
      </c>
      <c r="AE100">
        <v>13.288655</v>
      </c>
      <c r="AF100">
        <v>13.341359000000001</v>
      </c>
      <c r="AG100">
        <v>13.391953000000001</v>
      </c>
      <c r="AH100">
        <v>13.441268000000001</v>
      </c>
      <c r="AI100" s="22">
        <v>1.4E-2</v>
      </c>
    </row>
    <row r="101" spans="1:35">
      <c r="A101" t="s">
        <v>235</v>
      </c>
      <c r="B101" t="s">
        <v>1830</v>
      </c>
      <c r="C101" t="s">
        <v>1831</v>
      </c>
      <c r="D101" t="s">
        <v>268</v>
      </c>
      <c r="F101">
        <v>6.7468120000000003</v>
      </c>
      <c r="G101">
        <v>6.8059729999999998</v>
      </c>
      <c r="H101">
        <v>6.873291</v>
      </c>
      <c r="I101">
        <v>6.9574809999999996</v>
      </c>
      <c r="J101">
        <v>7.0568479999999996</v>
      </c>
      <c r="K101">
        <v>7.1691409999999998</v>
      </c>
      <c r="L101">
        <v>7.2814930000000002</v>
      </c>
      <c r="M101">
        <v>7.3995740000000003</v>
      </c>
      <c r="N101">
        <v>7.5210590000000002</v>
      </c>
      <c r="O101">
        <v>7.6459349999999997</v>
      </c>
      <c r="P101">
        <v>7.7708170000000001</v>
      </c>
      <c r="Q101">
        <v>7.8944700000000001</v>
      </c>
      <c r="R101">
        <v>8.0109539999999999</v>
      </c>
      <c r="S101">
        <v>8.1219750000000008</v>
      </c>
      <c r="T101">
        <v>8.2289169999999991</v>
      </c>
      <c r="U101">
        <v>8.3291719999999998</v>
      </c>
      <c r="V101">
        <v>8.4281629999999996</v>
      </c>
      <c r="W101">
        <v>8.5185870000000001</v>
      </c>
      <c r="X101">
        <v>8.6068610000000003</v>
      </c>
      <c r="Y101">
        <v>8.6880790000000001</v>
      </c>
      <c r="Z101">
        <v>8.7629099999999998</v>
      </c>
      <c r="AA101">
        <v>8.8294060000000005</v>
      </c>
      <c r="AB101">
        <v>8.8887710000000002</v>
      </c>
      <c r="AC101">
        <v>8.9441930000000003</v>
      </c>
      <c r="AD101">
        <v>8.9965679999999999</v>
      </c>
      <c r="AE101">
        <v>9.0463989999999992</v>
      </c>
      <c r="AF101">
        <v>9.0921070000000004</v>
      </c>
      <c r="AG101">
        <v>9.1344960000000004</v>
      </c>
      <c r="AH101">
        <v>9.1756949999999993</v>
      </c>
      <c r="AI101" s="22">
        <v>1.0999999999999999E-2</v>
      </c>
    </row>
    <row r="102" spans="1:35">
      <c r="A102" t="s">
        <v>192</v>
      </c>
      <c r="B102" t="s">
        <v>1832</v>
      </c>
      <c r="C102" t="s">
        <v>1833</v>
      </c>
      <c r="D102" t="s">
        <v>268</v>
      </c>
      <c r="F102">
        <v>6.6715020000000003</v>
      </c>
      <c r="G102">
        <v>6.7379670000000003</v>
      </c>
      <c r="H102">
        <v>6.8133189999999999</v>
      </c>
      <c r="I102">
        <v>6.9043219999999996</v>
      </c>
      <c r="J102">
        <v>7.014678</v>
      </c>
      <c r="K102">
        <v>7.1440590000000004</v>
      </c>
      <c r="L102">
        <v>7.2798879999999997</v>
      </c>
      <c r="M102">
        <v>7.4298159999999998</v>
      </c>
      <c r="N102">
        <v>7.5880369999999999</v>
      </c>
      <c r="O102">
        <v>7.754562</v>
      </c>
      <c r="P102">
        <v>7.9247709999999998</v>
      </c>
      <c r="Q102">
        <v>8.0899739999999998</v>
      </c>
      <c r="R102">
        <v>8.243411</v>
      </c>
      <c r="S102">
        <v>8.3951379999999993</v>
      </c>
      <c r="T102">
        <v>8.5370089999999994</v>
      </c>
      <c r="U102">
        <v>8.6666539999999994</v>
      </c>
      <c r="V102">
        <v>8.7836040000000004</v>
      </c>
      <c r="W102">
        <v>8.8865029999999994</v>
      </c>
      <c r="X102">
        <v>8.9737419999999997</v>
      </c>
      <c r="Y102">
        <v>9.0449629999999992</v>
      </c>
      <c r="Z102">
        <v>9.1032170000000008</v>
      </c>
      <c r="AA102">
        <v>9.1507470000000009</v>
      </c>
      <c r="AB102">
        <v>9.1891639999999999</v>
      </c>
      <c r="AC102">
        <v>9.2199039999999997</v>
      </c>
      <c r="AD102">
        <v>9.2445839999999997</v>
      </c>
      <c r="AE102">
        <v>9.2646040000000003</v>
      </c>
      <c r="AF102">
        <v>9.2811260000000004</v>
      </c>
      <c r="AG102">
        <v>9.3066549999999992</v>
      </c>
      <c r="AH102">
        <v>9.3273050000000008</v>
      </c>
      <c r="AI102" s="22">
        <v>1.2E-2</v>
      </c>
    </row>
    <row r="103" spans="1:35">
      <c r="A103" t="s">
        <v>195</v>
      </c>
      <c r="B103" t="s">
        <v>1834</v>
      </c>
      <c r="C103" t="s">
        <v>1835</v>
      </c>
      <c r="D103" t="s">
        <v>268</v>
      </c>
      <c r="F103">
        <v>6.6810460000000003</v>
      </c>
      <c r="G103">
        <v>6.7347700000000001</v>
      </c>
      <c r="H103">
        <v>6.7912619999999997</v>
      </c>
      <c r="I103">
        <v>6.8525619999999998</v>
      </c>
      <c r="J103">
        <v>6.9165469999999996</v>
      </c>
      <c r="K103">
        <v>6.9814170000000004</v>
      </c>
      <c r="L103">
        <v>7.0393889999999999</v>
      </c>
      <c r="M103">
        <v>7.0962230000000002</v>
      </c>
      <c r="N103">
        <v>7.1518350000000002</v>
      </c>
      <c r="O103">
        <v>7.2026159999999999</v>
      </c>
      <c r="P103">
        <v>7.2466290000000004</v>
      </c>
      <c r="Q103">
        <v>7.2856579999999997</v>
      </c>
      <c r="R103">
        <v>7.3224910000000003</v>
      </c>
      <c r="S103">
        <v>7.3556160000000004</v>
      </c>
      <c r="T103">
        <v>7.3862129999999997</v>
      </c>
      <c r="U103">
        <v>7.4103599999999998</v>
      </c>
      <c r="V103">
        <v>7.4297750000000002</v>
      </c>
      <c r="W103">
        <v>7.4391299999999996</v>
      </c>
      <c r="X103">
        <v>7.442882</v>
      </c>
      <c r="Y103">
        <v>7.4515510000000003</v>
      </c>
      <c r="Z103">
        <v>7.4542679999999999</v>
      </c>
      <c r="AA103">
        <v>7.4803759999999997</v>
      </c>
      <c r="AB103">
        <v>7.5229039999999996</v>
      </c>
      <c r="AC103">
        <v>7.5534239999999997</v>
      </c>
      <c r="AD103">
        <v>7.5750149999999996</v>
      </c>
      <c r="AE103">
        <v>7.614058</v>
      </c>
      <c r="AF103">
        <v>7.6656029999999999</v>
      </c>
      <c r="AG103">
        <v>7.7196670000000003</v>
      </c>
      <c r="AH103">
        <v>7.767271</v>
      </c>
      <c r="AI103" s="22">
        <v>5.0000000000000001E-3</v>
      </c>
    </row>
    <row r="104" spans="1:35">
      <c r="A104" t="s">
        <v>236</v>
      </c>
      <c r="B104" t="s">
        <v>1836</v>
      </c>
      <c r="C104" t="s">
        <v>1837</v>
      </c>
      <c r="D104" t="s">
        <v>269</v>
      </c>
      <c r="F104">
        <v>6.8776599999999997</v>
      </c>
      <c r="G104">
        <v>6.9464769999999998</v>
      </c>
      <c r="H104">
        <v>7.0316939999999999</v>
      </c>
      <c r="I104">
        <v>7.1393779999999998</v>
      </c>
      <c r="J104">
        <v>7.2710100000000004</v>
      </c>
      <c r="K104">
        <v>7.4228050000000003</v>
      </c>
      <c r="L104">
        <v>7.5675879999999998</v>
      </c>
      <c r="M104">
        <v>7.7185959999999998</v>
      </c>
      <c r="N104">
        <v>7.868862</v>
      </c>
      <c r="O104">
        <v>8.0213760000000001</v>
      </c>
      <c r="P104">
        <v>8.1704209999999993</v>
      </c>
      <c r="Q104">
        <v>8.3122059999999998</v>
      </c>
      <c r="R104">
        <v>8.4322219999999994</v>
      </c>
      <c r="S104">
        <v>8.5384259999999994</v>
      </c>
      <c r="T104">
        <v>8.6339450000000006</v>
      </c>
      <c r="U104">
        <v>8.7155539999999991</v>
      </c>
      <c r="V104">
        <v>8.7864950000000004</v>
      </c>
      <c r="W104">
        <v>8.8488640000000007</v>
      </c>
      <c r="X104">
        <v>8.8984299999999994</v>
      </c>
      <c r="Y104">
        <v>8.9431840000000005</v>
      </c>
      <c r="Z104">
        <v>8.9809140000000003</v>
      </c>
      <c r="AA104">
        <v>9.0129999999999999</v>
      </c>
      <c r="AB104">
        <v>9.0410540000000008</v>
      </c>
      <c r="AC104">
        <v>9.0654760000000003</v>
      </c>
      <c r="AD104">
        <v>9.0876669999999997</v>
      </c>
      <c r="AE104">
        <v>9.1082640000000001</v>
      </c>
      <c r="AF104">
        <v>9.1278100000000002</v>
      </c>
      <c r="AG104">
        <v>9.1450809999999993</v>
      </c>
      <c r="AH104">
        <v>9.1601099999999995</v>
      </c>
      <c r="AI104" s="22">
        <v>0.01</v>
      </c>
    </row>
    <row r="105" spans="1:35">
      <c r="A105" t="s">
        <v>237</v>
      </c>
      <c r="B105" t="s">
        <v>1838</v>
      </c>
      <c r="C105" t="s">
        <v>1839</v>
      </c>
      <c r="D105" t="s">
        <v>268</v>
      </c>
      <c r="F105">
        <v>17.408874999999998</v>
      </c>
      <c r="G105">
        <v>17.423165999999998</v>
      </c>
      <c r="H105">
        <v>17.482942999999999</v>
      </c>
      <c r="I105">
        <v>17.581129000000001</v>
      </c>
      <c r="J105">
        <v>17.712309000000001</v>
      </c>
      <c r="K105">
        <v>17.8626</v>
      </c>
      <c r="L105">
        <v>18.002521999999999</v>
      </c>
      <c r="M105">
        <v>18.150670999999999</v>
      </c>
      <c r="N105">
        <v>18.300470000000001</v>
      </c>
      <c r="O105">
        <v>18.449529999999999</v>
      </c>
      <c r="P105">
        <v>18.594228999999999</v>
      </c>
      <c r="Q105">
        <v>18.726381</v>
      </c>
      <c r="R105">
        <v>18.804873000000001</v>
      </c>
      <c r="S105">
        <v>18.890383</v>
      </c>
      <c r="T105">
        <v>18.995626000000001</v>
      </c>
      <c r="U105">
        <v>19.084696000000001</v>
      </c>
      <c r="V105">
        <v>19.140737999999999</v>
      </c>
      <c r="W105">
        <v>19.18825</v>
      </c>
      <c r="X105">
        <v>19.252804000000001</v>
      </c>
      <c r="Y105">
        <v>19.303322000000001</v>
      </c>
      <c r="Z105">
        <v>19.341737999999999</v>
      </c>
      <c r="AA105">
        <v>19.371510000000001</v>
      </c>
      <c r="AB105">
        <v>19.394907</v>
      </c>
      <c r="AC105">
        <v>19.411966</v>
      </c>
      <c r="AD105">
        <v>19.423490999999999</v>
      </c>
      <c r="AE105">
        <v>19.433184000000001</v>
      </c>
      <c r="AF105">
        <v>19.439589000000002</v>
      </c>
      <c r="AG105">
        <v>19.397735999999998</v>
      </c>
      <c r="AH105">
        <v>19.397739000000001</v>
      </c>
      <c r="AI105" s="22">
        <v>4.0000000000000001E-3</v>
      </c>
    </row>
    <row r="106" spans="1:35">
      <c r="A106" t="s">
        <v>238</v>
      </c>
      <c r="B106" t="s">
        <v>1840</v>
      </c>
      <c r="C106" t="s">
        <v>1841</v>
      </c>
      <c r="D106" t="s">
        <v>268</v>
      </c>
      <c r="F106">
        <v>0</v>
      </c>
      <c r="G106">
        <v>0</v>
      </c>
      <c r="H106">
        <v>14.554</v>
      </c>
      <c r="I106">
        <v>14.824313999999999</v>
      </c>
      <c r="J106">
        <v>15.014953999999999</v>
      </c>
      <c r="K106">
        <v>15.212344999999999</v>
      </c>
      <c r="L106">
        <v>15.390496000000001</v>
      </c>
      <c r="M106">
        <v>15.579511999999999</v>
      </c>
      <c r="N106">
        <v>15.770977999999999</v>
      </c>
      <c r="O106">
        <v>15.972148000000001</v>
      </c>
      <c r="P106">
        <v>16.189619</v>
      </c>
      <c r="Q106">
        <v>16.420777999999999</v>
      </c>
      <c r="R106">
        <v>16.650421000000001</v>
      </c>
      <c r="S106">
        <v>16.858395000000002</v>
      </c>
      <c r="T106">
        <v>17.062218000000001</v>
      </c>
      <c r="U106">
        <v>17.254933999999999</v>
      </c>
      <c r="V106">
        <v>17.42662</v>
      </c>
      <c r="W106">
        <v>17.578842000000002</v>
      </c>
      <c r="X106">
        <v>17.711262000000001</v>
      </c>
      <c r="Y106">
        <v>17.824017000000001</v>
      </c>
      <c r="Z106">
        <v>17.918346</v>
      </c>
      <c r="AA106">
        <v>18.007669</v>
      </c>
      <c r="AB106">
        <v>18.082498999999999</v>
      </c>
      <c r="AC106">
        <v>18.145136000000001</v>
      </c>
      <c r="AD106">
        <v>18.197275000000001</v>
      </c>
      <c r="AE106">
        <v>18.241306000000002</v>
      </c>
      <c r="AF106">
        <v>18.278448000000001</v>
      </c>
      <c r="AG106">
        <v>18.293972</v>
      </c>
      <c r="AH106">
        <v>18.307734</v>
      </c>
      <c r="AI106" t="s">
        <v>111</v>
      </c>
    </row>
    <row r="107" spans="1:35">
      <c r="A107" t="s">
        <v>239</v>
      </c>
      <c r="B107" t="s">
        <v>1842</v>
      </c>
      <c r="C107" t="s">
        <v>1843</v>
      </c>
      <c r="D107" t="s">
        <v>268</v>
      </c>
      <c r="F107">
        <v>0</v>
      </c>
      <c r="G107">
        <v>0</v>
      </c>
      <c r="H107">
        <v>10.500056000000001</v>
      </c>
      <c r="I107">
        <v>10.663458</v>
      </c>
      <c r="J107">
        <v>10.770956</v>
      </c>
      <c r="K107">
        <v>10.877931</v>
      </c>
      <c r="L107">
        <v>10.974544</v>
      </c>
      <c r="M107">
        <v>11.080019</v>
      </c>
      <c r="N107">
        <v>11.197202000000001</v>
      </c>
      <c r="O107">
        <v>11.329388</v>
      </c>
      <c r="P107">
        <v>11.479568</v>
      </c>
      <c r="Q107">
        <v>11.645052</v>
      </c>
      <c r="R107">
        <v>11.816371</v>
      </c>
      <c r="S107">
        <v>11.969814</v>
      </c>
      <c r="T107">
        <v>12.12377</v>
      </c>
      <c r="U107">
        <v>12.271343999999999</v>
      </c>
      <c r="V107">
        <v>12.403601</v>
      </c>
      <c r="W107">
        <v>12.520307000000001</v>
      </c>
      <c r="X107">
        <v>12.620941</v>
      </c>
      <c r="Y107">
        <v>12.705432</v>
      </c>
      <c r="Z107">
        <v>12.774882</v>
      </c>
      <c r="AA107">
        <v>12.837982</v>
      </c>
      <c r="AB107">
        <v>12.889324999999999</v>
      </c>
      <c r="AC107">
        <v>12.930984</v>
      </c>
      <c r="AD107">
        <v>12.964622</v>
      </c>
      <c r="AE107">
        <v>12.991986000000001</v>
      </c>
      <c r="AF107">
        <v>13.014219000000001</v>
      </c>
      <c r="AG107">
        <v>13.032406</v>
      </c>
      <c r="AH107">
        <v>13.047252</v>
      </c>
      <c r="AI107" t="s">
        <v>111</v>
      </c>
    </row>
    <row r="108" spans="1:35">
      <c r="A108" t="s">
        <v>240</v>
      </c>
      <c r="B108" t="s">
        <v>1844</v>
      </c>
      <c r="C108" t="s">
        <v>1845</v>
      </c>
      <c r="D108" t="s">
        <v>268</v>
      </c>
      <c r="F108">
        <v>0</v>
      </c>
      <c r="G108">
        <v>0</v>
      </c>
      <c r="H108">
        <v>11.516575</v>
      </c>
      <c r="I108">
        <v>11.516747000000001</v>
      </c>
      <c r="J108">
        <v>11.516781</v>
      </c>
      <c r="K108">
        <v>11.5168</v>
      </c>
      <c r="L108">
        <v>11.516813000000001</v>
      </c>
      <c r="M108">
        <v>11.516828</v>
      </c>
      <c r="N108">
        <v>11.516838999999999</v>
      </c>
      <c r="O108">
        <v>11.516855</v>
      </c>
      <c r="P108">
        <v>11.516870000000001</v>
      </c>
      <c r="Q108">
        <v>11.516885</v>
      </c>
      <c r="R108">
        <v>11.516895</v>
      </c>
      <c r="S108">
        <v>11.516905</v>
      </c>
      <c r="T108">
        <v>11.516907</v>
      </c>
      <c r="U108">
        <v>11.516908000000001</v>
      </c>
      <c r="V108">
        <v>11.516905</v>
      </c>
      <c r="W108">
        <v>11.516905</v>
      </c>
      <c r="X108">
        <v>11.516899</v>
      </c>
      <c r="Y108">
        <v>11.516897999999999</v>
      </c>
      <c r="Z108">
        <v>11.516895999999999</v>
      </c>
      <c r="AA108">
        <v>11.516893</v>
      </c>
      <c r="AB108">
        <v>11.516890999999999</v>
      </c>
      <c r="AC108">
        <v>11.516890999999999</v>
      </c>
      <c r="AD108">
        <v>11.51689</v>
      </c>
      <c r="AE108">
        <v>11.516890999999999</v>
      </c>
      <c r="AF108">
        <v>11.516887000000001</v>
      </c>
      <c r="AG108">
        <v>11.516889000000001</v>
      </c>
      <c r="AH108">
        <v>11.516883</v>
      </c>
      <c r="AI108" t="s">
        <v>111</v>
      </c>
    </row>
    <row r="109" spans="1:35">
      <c r="A109" t="s">
        <v>250</v>
      </c>
      <c r="B109" t="s">
        <v>1846</v>
      </c>
      <c r="C109" t="s">
        <v>1847</v>
      </c>
      <c r="F109">
        <v>8.204955</v>
      </c>
      <c r="G109">
        <v>8.3157870000000003</v>
      </c>
      <c r="H109">
        <v>8.4378159999999998</v>
      </c>
      <c r="I109">
        <v>8.5862459999999992</v>
      </c>
      <c r="J109">
        <v>8.7571700000000003</v>
      </c>
      <c r="K109">
        <v>8.9445899999999998</v>
      </c>
      <c r="L109">
        <v>9.1308469999999993</v>
      </c>
      <c r="M109">
        <v>9.3225560000000005</v>
      </c>
      <c r="N109">
        <v>9.515466</v>
      </c>
      <c r="O109">
        <v>9.709721</v>
      </c>
      <c r="P109">
        <v>9.8998550000000005</v>
      </c>
      <c r="Q109">
        <v>10.082129999999999</v>
      </c>
      <c r="R109">
        <v>10.250633000000001</v>
      </c>
      <c r="S109">
        <v>10.406843</v>
      </c>
      <c r="T109">
        <v>10.553023</v>
      </c>
      <c r="U109">
        <v>10.687296</v>
      </c>
      <c r="V109">
        <v>10.81714</v>
      </c>
      <c r="W109">
        <v>10.934727000000001</v>
      </c>
      <c r="X109">
        <v>11.047109000000001</v>
      </c>
      <c r="Y109">
        <v>11.14997</v>
      </c>
      <c r="Z109">
        <v>11.243423</v>
      </c>
      <c r="AA109">
        <v>11.324615</v>
      </c>
      <c r="AB109">
        <v>11.395239</v>
      </c>
      <c r="AC109">
        <v>11.459415999999999</v>
      </c>
      <c r="AD109">
        <v>11.519515999999999</v>
      </c>
      <c r="AE109">
        <v>11.575438999999999</v>
      </c>
      <c r="AF109">
        <v>11.626836000000001</v>
      </c>
      <c r="AG109">
        <v>11.675577000000001</v>
      </c>
      <c r="AH109">
        <v>11.723552</v>
      </c>
      <c r="AI109" s="22">
        <v>1.2999999999999999E-2</v>
      </c>
    </row>
    <row r="110" spans="1:35">
      <c r="A110" t="s">
        <v>243</v>
      </c>
    </row>
    <row r="111" spans="1:35">
      <c r="A111" t="s">
        <v>189</v>
      </c>
      <c r="B111" t="s">
        <v>1848</v>
      </c>
      <c r="C111" t="s">
        <v>1849</v>
      </c>
      <c r="D111" t="s">
        <v>267</v>
      </c>
      <c r="F111">
        <v>6.1723790000000003</v>
      </c>
      <c r="G111">
        <v>6.2501629999999997</v>
      </c>
      <c r="H111">
        <v>6.3399929999999998</v>
      </c>
      <c r="I111">
        <v>6.4461300000000001</v>
      </c>
      <c r="J111">
        <v>6.5662589999999996</v>
      </c>
      <c r="K111">
        <v>6.6943140000000003</v>
      </c>
      <c r="L111">
        <v>6.819439</v>
      </c>
      <c r="M111">
        <v>6.9420869999999999</v>
      </c>
      <c r="N111">
        <v>7.0601950000000002</v>
      </c>
      <c r="O111">
        <v>7.17354</v>
      </c>
      <c r="P111">
        <v>7.2810879999999996</v>
      </c>
      <c r="Q111">
        <v>7.3780000000000001</v>
      </c>
      <c r="R111">
        <v>7.4628839999999999</v>
      </c>
      <c r="S111">
        <v>7.5364060000000004</v>
      </c>
      <c r="T111">
        <v>7.6005079999999996</v>
      </c>
      <c r="U111">
        <v>7.6560259999999998</v>
      </c>
      <c r="V111">
        <v>7.7032790000000002</v>
      </c>
      <c r="W111">
        <v>7.7446919999999997</v>
      </c>
      <c r="X111">
        <v>7.7809039999999996</v>
      </c>
      <c r="Y111">
        <v>7.8134550000000003</v>
      </c>
      <c r="Z111">
        <v>7.840757</v>
      </c>
      <c r="AA111">
        <v>7.8643190000000001</v>
      </c>
      <c r="AB111">
        <v>7.8844390000000004</v>
      </c>
      <c r="AC111">
        <v>7.9019810000000001</v>
      </c>
      <c r="AD111">
        <v>7.9185400000000001</v>
      </c>
      <c r="AE111">
        <v>7.9343510000000004</v>
      </c>
      <c r="AF111">
        <v>7.9497150000000003</v>
      </c>
      <c r="AG111">
        <v>7.9657349999999996</v>
      </c>
      <c r="AH111">
        <v>7.9823529999999998</v>
      </c>
      <c r="AI111" s="22">
        <v>8.9999999999999993E-3</v>
      </c>
    </row>
    <row r="112" spans="1:35">
      <c r="A112" t="s">
        <v>235</v>
      </c>
      <c r="B112" t="s">
        <v>1850</v>
      </c>
      <c r="C112" t="s">
        <v>1851</v>
      </c>
      <c r="D112" t="s">
        <v>268</v>
      </c>
      <c r="F112">
        <v>5.5984280000000002</v>
      </c>
      <c r="G112">
        <v>5.6726150000000004</v>
      </c>
      <c r="H112">
        <v>5.7459030000000002</v>
      </c>
      <c r="I112">
        <v>5.8214740000000003</v>
      </c>
      <c r="J112">
        <v>5.8918400000000002</v>
      </c>
      <c r="K112">
        <v>5.9561289999999998</v>
      </c>
      <c r="L112">
        <v>6.0136279999999998</v>
      </c>
      <c r="M112">
        <v>6.0690499999999998</v>
      </c>
      <c r="N112">
        <v>6.118017</v>
      </c>
      <c r="O112">
        <v>6.1657859999999998</v>
      </c>
      <c r="P112">
        <v>6.2134349999999996</v>
      </c>
      <c r="Q112">
        <v>6.2599320000000001</v>
      </c>
      <c r="R112">
        <v>6.303585</v>
      </c>
      <c r="S112">
        <v>6.344659</v>
      </c>
      <c r="T112">
        <v>6.3852739999999999</v>
      </c>
      <c r="U112">
        <v>6.4225329999999996</v>
      </c>
      <c r="V112">
        <v>6.4575469999999999</v>
      </c>
      <c r="W112">
        <v>6.4912130000000001</v>
      </c>
      <c r="X112">
        <v>6.5247510000000002</v>
      </c>
      <c r="Y112">
        <v>6.5534470000000002</v>
      </c>
      <c r="Z112">
        <v>6.581798</v>
      </c>
      <c r="AA112">
        <v>6.6093820000000001</v>
      </c>
      <c r="AB112">
        <v>6.6344289999999999</v>
      </c>
      <c r="AC112">
        <v>6.6536429999999998</v>
      </c>
      <c r="AD112">
        <v>6.6694820000000004</v>
      </c>
      <c r="AE112">
        <v>6.6825279999999996</v>
      </c>
      <c r="AF112">
        <v>6.6931120000000002</v>
      </c>
      <c r="AG112">
        <v>6.7021470000000001</v>
      </c>
      <c r="AH112">
        <v>6.7094459999999998</v>
      </c>
      <c r="AI112" s="22">
        <v>6.0000000000000001E-3</v>
      </c>
    </row>
    <row r="113" spans="1:35">
      <c r="A113" t="s">
        <v>192</v>
      </c>
      <c r="B113" t="s">
        <v>1852</v>
      </c>
      <c r="C113" t="s">
        <v>1853</v>
      </c>
      <c r="D113" t="s">
        <v>268</v>
      </c>
      <c r="F113">
        <v>6.0498820000000002</v>
      </c>
      <c r="G113">
        <v>6.0476359999999998</v>
      </c>
      <c r="H113">
        <v>6.0424569999999997</v>
      </c>
      <c r="I113">
        <v>6.041099</v>
      </c>
      <c r="J113">
        <v>6.0478569999999996</v>
      </c>
      <c r="K113">
        <v>6.0672699999999997</v>
      </c>
      <c r="L113">
        <v>6.0945150000000003</v>
      </c>
      <c r="M113">
        <v>6.1340960000000004</v>
      </c>
      <c r="N113">
        <v>6.1834110000000004</v>
      </c>
      <c r="O113">
        <v>6.2425569999999997</v>
      </c>
      <c r="P113">
        <v>6.3091400000000002</v>
      </c>
      <c r="Q113">
        <v>6.3769150000000003</v>
      </c>
      <c r="R113">
        <v>6.436153</v>
      </c>
      <c r="S113">
        <v>6.4858890000000002</v>
      </c>
      <c r="T113">
        <v>6.5307510000000004</v>
      </c>
      <c r="U113">
        <v>6.5718370000000004</v>
      </c>
      <c r="V113">
        <v>6.6100839999999996</v>
      </c>
      <c r="W113">
        <v>6.6457499999999996</v>
      </c>
      <c r="X113">
        <v>6.6793750000000003</v>
      </c>
      <c r="Y113">
        <v>6.710102</v>
      </c>
      <c r="Z113">
        <v>6.7354380000000003</v>
      </c>
      <c r="AA113">
        <v>6.7577069999999999</v>
      </c>
      <c r="AB113">
        <v>6.7769919999999999</v>
      </c>
      <c r="AC113">
        <v>6.7934559999999999</v>
      </c>
      <c r="AD113">
        <v>6.807423</v>
      </c>
      <c r="AE113">
        <v>6.819178</v>
      </c>
      <c r="AF113">
        <v>6.8295170000000001</v>
      </c>
      <c r="AG113">
        <v>6.8410000000000002</v>
      </c>
      <c r="AH113">
        <v>6.8538550000000003</v>
      </c>
      <c r="AI113" s="22">
        <v>4.0000000000000001E-3</v>
      </c>
    </row>
    <row r="114" spans="1:35">
      <c r="A114" t="s">
        <v>195</v>
      </c>
      <c r="B114" t="s">
        <v>1854</v>
      </c>
      <c r="C114" t="s">
        <v>1855</v>
      </c>
      <c r="D114" t="s">
        <v>267</v>
      </c>
      <c r="F114">
        <v>5.9032150000000003</v>
      </c>
      <c r="G114">
        <v>5.971978</v>
      </c>
      <c r="H114">
        <v>6.0519489999999996</v>
      </c>
      <c r="I114">
        <v>6.1443570000000003</v>
      </c>
      <c r="J114">
        <v>6.2444309999999996</v>
      </c>
      <c r="K114">
        <v>6.3494830000000002</v>
      </c>
      <c r="L114">
        <v>6.4469339999999997</v>
      </c>
      <c r="M114">
        <v>6.5407650000000004</v>
      </c>
      <c r="N114">
        <v>6.631767</v>
      </c>
      <c r="O114">
        <v>6.721997</v>
      </c>
      <c r="P114">
        <v>6.8098879999999999</v>
      </c>
      <c r="Q114">
        <v>6.8910470000000004</v>
      </c>
      <c r="R114">
        <v>6.9637089999999997</v>
      </c>
      <c r="S114">
        <v>7.0280950000000004</v>
      </c>
      <c r="T114">
        <v>7.0878100000000002</v>
      </c>
      <c r="U114">
        <v>7.1421640000000002</v>
      </c>
      <c r="V114">
        <v>7.191567</v>
      </c>
      <c r="W114">
        <v>7.2349160000000001</v>
      </c>
      <c r="X114">
        <v>7.271738</v>
      </c>
      <c r="Y114">
        <v>7.3024620000000002</v>
      </c>
      <c r="Z114">
        <v>7.3284010000000004</v>
      </c>
      <c r="AA114">
        <v>7.3514480000000004</v>
      </c>
      <c r="AB114">
        <v>7.3716299999999997</v>
      </c>
      <c r="AC114">
        <v>7.3894929999999999</v>
      </c>
      <c r="AD114">
        <v>7.4061589999999997</v>
      </c>
      <c r="AE114">
        <v>7.4215730000000004</v>
      </c>
      <c r="AF114">
        <v>7.4374900000000004</v>
      </c>
      <c r="AG114">
        <v>7.4537440000000004</v>
      </c>
      <c r="AH114">
        <v>7.4693319999999996</v>
      </c>
      <c r="AI114" s="22">
        <v>8.0000000000000002E-3</v>
      </c>
    </row>
    <row r="115" spans="1:35">
      <c r="A115" t="s">
        <v>236</v>
      </c>
      <c r="B115" t="s">
        <v>1856</v>
      </c>
      <c r="C115" t="s">
        <v>1857</v>
      </c>
      <c r="D115" t="s">
        <v>268</v>
      </c>
      <c r="F115">
        <v>0</v>
      </c>
      <c r="G115">
        <v>0</v>
      </c>
      <c r="H115">
        <v>0</v>
      </c>
      <c r="I115">
        <v>0</v>
      </c>
      <c r="J115">
        <v>0</v>
      </c>
      <c r="K115">
        <v>0</v>
      </c>
      <c r="L115">
        <v>0</v>
      </c>
      <c r="M115">
        <v>0</v>
      </c>
      <c r="N115">
        <v>0</v>
      </c>
      <c r="O115">
        <v>0</v>
      </c>
      <c r="P115">
        <v>0</v>
      </c>
      <c r="Q115">
        <v>0</v>
      </c>
      <c r="R115">
        <v>0</v>
      </c>
      <c r="S115">
        <v>0</v>
      </c>
      <c r="T115">
        <v>0</v>
      </c>
      <c r="U115">
        <v>0</v>
      </c>
      <c r="V115">
        <v>0</v>
      </c>
      <c r="W115">
        <v>0</v>
      </c>
      <c r="X115">
        <v>0</v>
      </c>
      <c r="Y115">
        <v>0</v>
      </c>
      <c r="Z115">
        <v>0</v>
      </c>
      <c r="AA115">
        <v>0</v>
      </c>
      <c r="AB115">
        <v>0</v>
      </c>
      <c r="AC115">
        <v>0</v>
      </c>
      <c r="AD115">
        <v>0</v>
      </c>
      <c r="AE115">
        <v>0</v>
      </c>
      <c r="AF115">
        <v>0</v>
      </c>
      <c r="AG115">
        <v>0</v>
      </c>
      <c r="AH115">
        <v>0</v>
      </c>
      <c r="AI115" t="s">
        <v>111</v>
      </c>
    </row>
    <row r="116" spans="1:35">
      <c r="A116" t="s">
        <v>237</v>
      </c>
      <c r="B116" t="s">
        <v>1858</v>
      </c>
      <c r="C116" t="s">
        <v>1859</v>
      </c>
      <c r="D116" t="s">
        <v>267</v>
      </c>
      <c r="F116">
        <v>12.530443</v>
      </c>
      <c r="G116">
        <v>12.264912000000001</v>
      </c>
      <c r="H116">
        <v>12.103764999999999</v>
      </c>
      <c r="I116">
        <v>11.988803000000001</v>
      </c>
      <c r="J116">
        <v>11.901937999999999</v>
      </c>
      <c r="K116">
        <v>11.834828</v>
      </c>
      <c r="L116">
        <v>11.776933</v>
      </c>
      <c r="M116">
        <v>11.728014999999999</v>
      </c>
      <c r="N116">
        <v>11.685517000000001</v>
      </c>
      <c r="O116">
        <v>11.647477</v>
      </c>
      <c r="P116">
        <v>11.613695</v>
      </c>
      <c r="Q116">
        <v>11.584943000000001</v>
      </c>
      <c r="R116">
        <v>11.563078000000001</v>
      </c>
      <c r="S116">
        <v>11.551143</v>
      </c>
      <c r="T116">
        <v>11.538569000000001</v>
      </c>
      <c r="U116">
        <v>11.531321999999999</v>
      </c>
      <c r="V116">
        <v>11.536275</v>
      </c>
      <c r="W116">
        <v>11.546806</v>
      </c>
      <c r="X116">
        <v>11.540997000000001</v>
      </c>
      <c r="Y116">
        <v>11.546763</v>
      </c>
      <c r="Z116">
        <v>11.572368000000001</v>
      </c>
      <c r="AA116">
        <v>11.596401</v>
      </c>
      <c r="AB116">
        <v>11.607893000000001</v>
      </c>
      <c r="AC116">
        <v>11.616717</v>
      </c>
      <c r="AD116">
        <v>11.623176000000001</v>
      </c>
      <c r="AE116">
        <v>11.62772</v>
      </c>
      <c r="AF116">
        <v>11.630972</v>
      </c>
      <c r="AG116">
        <v>11.633329</v>
      </c>
      <c r="AH116">
        <v>11.634862</v>
      </c>
      <c r="AI116" s="22">
        <v>-3.0000000000000001E-3</v>
      </c>
    </row>
    <row r="117" spans="1:35">
      <c r="A117" t="s">
        <v>238</v>
      </c>
      <c r="B117" t="s">
        <v>1860</v>
      </c>
      <c r="C117" t="s">
        <v>1861</v>
      </c>
      <c r="D117" t="s">
        <v>267</v>
      </c>
      <c r="F117">
        <v>0</v>
      </c>
      <c r="G117">
        <v>0</v>
      </c>
      <c r="H117">
        <v>1.546092</v>
      </c>
      <c r="I117">
        <v>2.7360000000000002</v>
      </c>
      <c r="J117">
        <v>3.6467459999999998</v>
      </c>
      <c r="K117">
        <v>4.3527519999999997</v>
      </c>
      <c r="L117">
        <v>4.9220860000000002</v>
      </c>
      <c r="M117">
        <v>5.4007050000000003</v>
      </c>
      <c r="N117">
        <v>5.8205150000000003</v>
      </c>
      <c r="O117">
        <v>6.2095510000000003</v>
      </c>
      <c r="P117">
        <v>6.5909620000000002</v>
      </c>
      <c r="Q117">
        <v>6.9709329999999996</v>
      </c>
      <c r="R117">
        <v>7.346317</v>
      </c>
      <c r="S117">
        <v>7.7141799999999998</v>
      </c>
      <c r="T117">
        <v>8.0825110000000002</v>
      </c>
      <c r="U117">
        <v>8.4473579999999995</v>
      </c>
      <c r="V117">
        <v>8.7964439999999993</v>
      </c>
      <c r="W117">
        <v>9.1181920000000005</v>
      </c>
      <c r="X117">
        <v>9.3973209999999998</v>
      </c>
      <c r="Y117">
        <v>9.6181850000000004</v>
      </c>
      <c r="Z117">
        <v>9.7676079999999992</v>
      </c>
      <c r="AA117">
        <v>9.9699349999999995</v>
      </c>
      <c r="AB117">
        <v>10.181891</v>
      </c>
      <c r="AC117">
        <v>10.318937999999999</v>
      </c>
      <c r="AD117">
        <v>10.342834</v>
      </c>
      <c r="AE117">
        <v>10.41</v>
      </c>
      <c r="AF117">
        <v>10.469529</v>
      </c>
      <c r="AG117">
        <v>10.522557000000001</v>
      </c>
      <c r="AH117">
        <v>10.569413000000001</v>
      </c>
      <c r="AI117" t="s">
        <v>111</v>
      </c>
    </row>
    <row r="118" spans="1:35">
      <c r="A118" t="s">
        <v>239</v>
      </c>
      <c r="B118" t="s">
        <v>1862</v>
      </c>
      <c r="C118" t="s">
        <v>1863</v>
      </c>
      <c r="D118" t="s">
        <v>268</v>
      </c>
      <c r="F118">
        <v>0</v>
      </c>
      <c r="G118">
        <v>0</v>
      </c>
      <c r="H118">
        <v>1.4758230000000001</v>
      </c>
      <c r="I118">
        <v>2.6038709999999998</v>
      </c>
      <c r="J118">
        <v>3.4689930000000002</v>
      </c>
      <c r="K118">
        <v>4.1408490000000002</v>
      </c>
      <c r="L118">
        <v>4.6799150000000003</v>
      </c>
      <c r="M118">
        <v>5.131392</v>
      </c>
      <c r="N118">
        <v>5.5266799999999998</v>
      </c>
      <c r="O118">
        <v>5.8942059999999996</v>
      </c>
      <c r="P118">
        <v>6.2553999999999998</v>
      </c>
      <c r="Q118">
        <v>6.618671</v>
      </c>
      <c r="R118">
        <v>6.9812019999999997</v>
      </c>
      <c r="S118">
        <v>7.3429510000000002</v>
      </c>
      <c r="T118">
        <v>7.7086709999999998</v>
      </c>
      <c r="U118">
        <v>8.0750270000000004</v>
      </c>
      <c r="V118">
        <v>8.4300040000000003</v>
      </c>
      <c r="W118">
        <v>8.7610109999999999</v>
      </c>
      <c r="X118">
        <v>9.0510110000000008</v>
      </c>
      <c r="Y118">
        <v>9.2813940000000006</v>
      </c>
      <c r="Z118">
        <v>9.4351839999999996</v>
      </c>
      <c r="AA118">
        <v>9.6532990000000005</v>
      </c>
      <c r="AB118">
        <v>9.8873870000000004</v>
      </c>
      <c r="AC118">
        <v>10.037898999999999</v>
      </c>
      <c r="AD118">
        <v>10.055942999999999</v>
      </c>
      <c r="AE118">
        <v>10.127402999999999</v>
      </c>
      <c r="AF118">
        <v>10.190970999999999</v>
      </c>
      <c r="AG118">
        <v>10.247705</v>
      </c>
      <c r="AH118">
        <v>10.297942000000001</v>
      </c>
      <c r="AI118" t="s">
        <v>111</v>
      </c>
    </row>
    <row r="119" spans="1:35">
      <c r="A119" t="s">
        <v>240</v>
      </c>
      <c r="B119" t="s">
        <v>1864</v>
      </c>
      <c r="C119" t="s">
        <v>1865</v>
      </c>
      <c r="D119" t="s">
        <v>267</v>
      </c>
      <c r="F119">
        <v>0</v>
      </c>
      <c r="G119">
        <v>0</v>
      </c>
      <c r="H119">
        <v>7.1006340000000003</v>
      </c>
      <c r="I119">
        <v>7.1059159999999997</v>
      </c>
      <c r="J119">
        <v>7.1075530000000002</v>
      </c>
      <c r="K119">
        <v>7.1082619999999999</v>
      </c>
      <c r="L119">
        <v>7.108644</v>
      </c>
      <c r="M119">
        <v>7.1088389999999997</v>
      </c>
      <c r="N119">
        <v>7.1089120000000001</v>
      </c>
      <c r="O119">
        <v>7.10893</v>
      </c>
      <c r="P119">
        <v>7.1089359999999999</v>
      </c>
      <c r="Q119">
        <v>7.108943</v>
      </c>
      <c r="R119">
        <v>7.1089659999999997</v>
      </c>
      <c r="S119">
        <v>7.1090030000000004</v>
      </c>
      <c r="T119">
        <v>7.1090530000000003</v>
      </c>
      <c r="U119">
        <v>7.1091139999999999</v>
      </c>
      <c r="V119">
        <v>7.1091860000000002</v>
      </c>
      <c r="W119">
        <v>7.1092690000000003</v>
      </c>
      <c r="X119">
        <v>7.1093650000000004</v>
      </c>
      <c r="Y119">
        <v>7.10947</v>
      </c>
      <c r="Z119">
        <v>7.1095860000000002</v>
      </c>
      <c r="AA119">
        <v>7.1097349999999997</v>
      </c>
      <c r="AB119">
        <v>7.1099069999999998</v>
      </c>
      <c r="AC119">
        <v>7.1100849999999998</v>
      </c>
      <c r="AD119">
        <v>7.1102600000000002</v>
      </c>
      <c r="AE119">
        <v>7.1104640000000003</v>
      </c>
      <c r="AF119">
        <v>7.1106790000000002</v>
      </c>
      <c r="AG119">
        <v>7.1109059999999999</v>
      </c>
      <c r="AH119">
        <v>7.1111440000000004</v>
      </c>
      <c r="AI119" t="s">
        <v>111</v>
      </c>
    </row>
    <row r="120" spans="1:35">
      <c r="A120" t="s">
        <v>251</v>
      </c>
      <c r="B120" t="s">
        <v>1866</v>
      </c>
      <c r="C120" t="s">
        <v>1867</v>
      </c>
      <c r="F120">
        <v>6.1685410000000003</v>
      </c>
      <c r="G120">
        <v>6.2461190000000002</v>
      </c>
      <c r="H120">
        <v>6.3357140000000003</v>
      </c>
      <c r="I120">
        <v>6.4415589999999998</v>
      </c>
      <c r="J120">
        <v>6.5613010000000003</v>
      </c>
      <c r="K120">
        <v>6.6889289999999999</v>
      </c>
      <c r="L120">
        <v>6.8135919999999999</v>
      </c>
      <c r="M120">
        <v>6.9357920000000002</v>
      </c>
      <c r="N120">
        <v>7.0534879999999998</v>
      </c>
      <c r="O120">
        <v>7.1664760000000003</v>
      </c>
      <c r="P120">
        <v>7.2736970000000003</v>
      </c>
      <c r="Q120">
        <v>7.3703019999999997</v>
      </c>
      <c r="R120">
        <v>7.4548839999999998</v>
      </c>
      <c r="S120">
        <v>7.5281099999999999</v>
      </c>
      <c r="T120">
        <v>7.5919629999999998</v>
      </c>
      <c r="U120">
        <v>7.6472530000000001</v>
      </c>
      <c r="V120">
        <v>7.694312</v>
      </c>
      <c r="W120">
        <v>7.7355099999999997</v>
      </c>
      <c r="X120">
        <v>7.7714720000000002</v>
      </c>
      <c r="Y120">
        <v>7.8037029999999996</v>
      </c>
      <c r="Z120">
        <v>7.830692</v>
      </c>
      <c r="AA120">
        <v>7.8539320000000004</v>
      </c>
      <c r="AB120">
        <v>7.87371</v>
      </c>
      <c r="AC120">
        <v>7.8908800000000001</v>
      </c>
      <c r="AD120">
        <v>7.9070320000000001</v>
      </c>
      <c r="AE120">
        <v>7.922396</v>
      </c>
      <c r="AF120">
        <v>7.9373050000000003</v>
      </c>
      <c r="AG120">
        <v>7.9528379999999999</v>
      </c>
      <c r="AH120">
        <v>7.9689120000000004</v>
      </c>
      <c r="AI120" s="22">
        <v>8.9999999999999993E-3</v>
      </c>
    </row>
    <row r="121" spans="1:35">
      <c r="A121" t="s">
        <v>252</v>
      </c>
      <c r="B121" t="s">
        <v>1868</v>
      </c>
      <c r="C121" t="s">
        <v>1869</v>
      </c>
      <c r="F121">
        <v>7.4737900000000002</v>
      </c>
      <c r="G121">
        <v>7.574878</v>
      </c>
      <c r="H121">
        <v>7.6960300000000004</v>
      </c>
      <c r="I121">
        <v>7.8354850000000003</v>
      </c>
      <c r="J121">
        <v>7.9866429999999999</v>
      </c>
      <c r="K121">
        <v>8.1451189999999993</v>
      </c>
      <c r="L121">
        <v>8.3001760000000004</v>
      </c>
      <c r="M121">
        <v>8.4559069999999998</v>
      </c>
      <c r="N121">
        <v>8.6109109999999998</v>
      </c>
      <c r="O121">
        <v>8.7645049999999998</v>
      </c>
      <c r="P121">
        <v>8.9144360000000002</v>
      </c>
      <c r="Q121">
        <v>9.0551460000000006</v>
      </c>
      <c r="R121">
        <v>9.1840910000000004</v>
      </c>
      <c r="S121">
        <v>9.3011660000000003</v>
      </c>
      <c r="T121">
        <v>9.407648</v>
      </c>
      <c r="U121">
        <v>9.5034890000000001</v>
      </c>
      <c r="V121">
        <v>9.5894919999999999</v>
      </c>
      <c r="W121">
        <v>9.6682100000000002</v>
      </c>
      <c r="X121">
        <v>9.7415749999999992</v>
      </c>
      <c r="Y121">
        <v>9.8092579999999998</v>
      </c>
      <c r="Z121">
        <v>9.8708480000000005</v>
      </c>
      <c r="AA121">
        <v>9.9272620000000007</v>
      </c>
      <c r="AB121">
        <v>9.9783410000000003</v>
      </c>
      <c r="AC121">
        <v>10.026918999999999</v>
      </c>
      <c r="AD121">
        <v>10.075530000000001</v>
      </c>
      <c r="AE121">
        <v>10.123870999999999</v>
      </c>
      <c r="AF121">
        <v>10.171478</v>
      </c>
      <c r="AG121">
        <v>10.218241000000001</v>
      </c>
      <c r="AH121">
        <v>10.264495</v>
      </c>
      <c r="AI121" s="22">
        <v>1.0999999999999999E-2</v>
      </c>
    </row>
    <row r="122" spans="1:35">
      <c r="A122" t="s">
        <v>253</v>
      </c>
    </row>
    <row r="123" spans="1:35">
      <c r="A123" t="s">
        <v>170</v>
      </c>
    </row>
    <row r="124" spans="1:35">
      <c r="A124" t="s">
        <v>189</v>
      </c>
      <c r="B124" t="s">
        <v>1870</v>
      </c>
      <c r="C124" t="s">
        <v>1871</v>
      </c>
      <c r="D124" t="s">
        <v>231</v>
      </c>
      <c r="F124">
        <v>3.015037</v>
      </c>
      <c r="G124">
        <v>3.08155</v>
      </c>
      <c r="H124">
        <v>3.1501079999999999</v>
      </c>
      <c r="I124">
        <v>3.2224620000000002</v>
      </c>
      <c r="J124">
        <v>3.2939560000000001</v>
      </c>
      <c r="K124">
        <v>3.3616600000000001</v>
      </c>
      <c r="L124">
        <v>3.427092</v>
      </c>
      <c r="M124">
        <v>3.4902700000000002</v>
      </c>
      <c r="N124">
        <v>3.549833</v>
      </c>
      <c r="O124">
        <v>3.6058970000000001</v>
      </c>
      <c r="P124">
        <v>3.6627139999999998</v>
      </c>
      <c r="Q124">
        <v>3.7146720000000002</v>
      </c>
      <c r="R124">
        <v>3.7616619999999998</v>
      </c>
      <c r="S124">
        <v>3.8032520000000001</v>
      </c>
      <c r="T124">
        <v>3.8431760000000001</v>
      </c>
      <c r="U124">
        <v>3.882984</v>
      </c>
      <c r="V124">
        <v>3.924528</v>
      </c>
      <c r="W124">
        <v>3.9655680000000002</v>
      </c>
      <c r="X124">
        <v>4.0046330000000001</v>
      </c>
      <c r="Y124">
        <v>4.0458100000000004</v>
      </c>
      <c r="Z124">
        <v>4.0873410000000003</v>
      </c>
      <c r="AA124">
        <v>4.1353119999999999</v>
      </c>
      <c r="AB124">
        <v>4.1866269999999997</v>
      </c>
      <c r="AC124">
        <v>4.2350120000000002</v>
      </c>
      <c r="AD124">
        <v>4.2808120000000001</v>
      </c>
      <c r="AE124">
        <v>4.3291370000000002</v>
      </c>
      <c r="AF124">
        <v>4.3789559999999996</v>
      </c>
      <c r="AG124">
        <v>4.4252010000000004</v>
      </c>
      <c r="AH124">
        <v>4.470567</v>
      </c>
      <c r="AI124" s="22">
        <v>1.4E-2</v>
      </c>
    </row>
    <row r="125" spans="1:35">
      <c r="A125" t="s">
        <v>235</v>
      </c>
      <c r="B125" t="s">
        <v>1872</v>
      </c>
      <c r="C125" t="s">
        <v>1873</v>
      </c>
      <c r="D125" t="s">
        <v>231</v>
      </c>
      <c r="F125">
        <v>1.311809</v>
      </c>
      <c r="G125">
        <v>1.378085</v>
      </c>
      <c r="H125">
        <v>1.4506669999999999</v>
      </c>
      <c r="I125">
        <v>1.530327</v>
      </c>
      <c r="J125">
        <v>1.6128629999999999</v>
      </c>
      <c r="K125">
        <v>1.6953240000000001</v>
      </c>
      <c r="L125">
        <v>1.777282</v>
      </c>
      <c r="M125">
        <v>1.85809</v>
      </c>
      <c r="N125">
        <v>1.9378629999999999</v>
      </c>
      <c r="O125">
        <v>2.0154909999999999</v>
      </c>
      <c r="P125">
        <v>2.09484</v>
      </c>
      <c r="Q125">
        <v>2.1723409999999999</v>
      </c>
      <c r="R125">
        <v>2.2465320000000002</v>
      </c>
      <c r="S125">
        <v>2.3165019999999998</v>
      </c>
      <c r="T125">
        <v>2.386161</v>
      </c>
      <c r="U125">
        <v>2.4562300000000001</v>
      </c>
      <c r="V125">
        <v>2.5262910000000001</v>
      </c>
      <c r="W125">
        <v>2.5965050000000001</v>
      </c>
      <c r="X125">
        <v>2.6668989999999999</v>
      </c>
      <c r="Y125">
        <v>2.740135</v>
      </c>
      <c r="Z125">
        <v>2.8113969999999999</v>
      </c>
      <c r="AA125">
        <v>2.8850440000000002</v>
      </c>
      <c r="AB125">
        <v>2.9621379999999999</v>
      </c>
      <c r="AC125">
        <v>3.0392920000000001</v>
      </c>
      <c r="AD125">
        <v>3.1158380000000001</v>
      </c>
      <c r="AE125">
        <v>3.1936939999999998</v>
      </c>
      <c r="AF125">
        <v>3.2711389999999998</v>
      </c>
      <c r="AG125">
        <v>3.3446229999999999</v>
      </c>
      <c r="AH125">
        <v>3.4151910000000001</v>
      </c>
      <c r="AI125" s="22">
        <v>3.5000000000000003E-2</v>
      </c>
    </row>
    <row r="126" spans="1:35">
      <c r="A126" t="s">
        <v>192</v>
      </c>
      <c r="B126" t="s">
        <v>1874</v>
      </c>
      <c r="C126" t="s">
        <v>1875</v>
      </c>
      <c r="D126" t="s">
        <v>231</v>
      </c>
      <c r="F126">
        <v>1.18E-4</v>
      </c>
      <c r="G126">
        <v>3.6200000000000002E-4</v>
      </c>
      <c r="H126">
        <v>6.1200000000000002E-4</v>
      </c>
      <c r="I126">
        <v>8.6600000000000002E-4</v>
      </c>
      <c r="J126">
        <v>1.1249999999999999E-3</v>
      </c>
      <c r="K126">
        <v>1.384E-3</v>
      </c>
      <c r="L126">
        <v>1.6490000000000001E-3</v>
      </c>
      <c r="M126">
        <v>1.9220000000000001E-3</v>
      </c>
      <c r="N126">
        <v>2.2049999999999999E-3</v>
      </c>
      <c r="O126">
        <v>2.4989999999999999E-3</v>
      </c>
      <c r="P126">
        <v>2.8089999999999999E-3</v>
      </c>
      <c r="Q126">
        <v>3.1350000000000002E-3</v>
      </c>
      <c r="R126">
        <v>3.454E-3</v>
      </c>
      <c r="S126">
        <v>3.7759999999999998E-3</v>
      </c>
      <c r="T126">
        <v>4.1209999999999997E-3</v>
      </c>
      <c r="U126">
        <v>4.4949999999999999E-3</v>
      </c>
      <c r="V126">
        <v>4.9040000000000004E-3</v>
      </c>
      <c r="W126">
        <v>5.3540000000000003E-3</v>
      </c>
      <c r="X126">
        <v>5.8450000000000004E-3</v>
      </c>
      <c r="Y126">
        <v>6.3769999999999999E-3</v>
      </c>
      <c r="Z126">
        <v>6.9519999999999998E-3</v>
      </c>
      <c r="AA126">
        <v>7.5729999999999999E-3</v>
      </c>
      <c r="AB126">
        <v>8.2400000000000008E-3</v>
      </c>
      <c r="AC126">
        <v>8.9560000000000004E-3</v>
      </c>
      <c r="AD126">
        <v>9.7230000000000007E-3</v>
      </c>
      <c r="AE126">
        <v>1.0541999999999999E-2</v>
      </c>
      <c r="AF126">
        <v>1.1409000000000001E-2</v>
      </c>
      <c r="AG126">
        <v>1.2322E-2</v>
      </c>
      <c r="AH126">
        <v>1.3278E-2</v>
      </c>
      <c r="AI126" s="22">
        <v>0.184</v>
      </c>
    </row>
    <row r="127" spans="1:35">
      <c r="A127" t="s">
        <v>195</v>
      </c>
      <c r="B127" t="s">
        <v>1876</v>
      </c>
      <c r="C127" t="s">
        <v>1877</v>
      </c>
      <c r="D127" t="s">
        <v>231</v>
      </c>
      <c r="F127">
        <v>8.1099999999999998E-4</v>
      </c>
      <c r="G127">
        <v>8.0800000000000002E-4</v>
      </c>
      <c r="H127">
        <v>8.0500000000000005E-4</v>
      </c>
      <c r="I127">
        <v>8.0099999999999995E-4</v>
      </c>
      <c r="J127">
        <v>7.9600000000000005E-4</v>
      </c>
      <c r="K127">
        <v>7.9100000000000004E-4</v>
      </c>
      <c r="L127">
        <v>7.8399999999999997E-4</v>
      </c>
      <c r="M127">
        <v>7.7800000000000005E-4</v>
      </c>
      <c r="N127">
        <v>7.6999999999999996E-4</v>
      </c>
      <c r="O127">
        <v>7.6199999999999998E-4</v>
      </c>
      <c r="P127">
        <v>7.5299999999999998E-4</v>
      </c>
      <c r="Q127">
        <v>7.4299999999999995E-4</v>
      </c>
      <c r="R127">
        <v>7.3300000000000004E-4</v>
      </c>
      <c r="S127">
        <v>7.2199999999999999E-4</v>
      </c>
      <c r="T127">
        <v>7.1100000000000004E-4</v>
      </c>
      <c r="U127">
        <v>6.9899999999999997E-4</v>
      </c>
      <c r="V127">
        <v>6.8599999999999998E-4</v>
      </c>
      <c r="W127">
        <v>6.7299999999999999E-4</v>
      </c>
      <c r="X127">
        <v>6.6E-4</v>
      </c>
      <c r="Y127">
        <v>6.4599999999999998E-4</v>
      </c>
      <c r="Z127">
        <v>6.3199999999999997E-4</v>
      </c>
      <c r="AA127">
        <v>6.1700000000000004E-4</v>
      </c>
      <c r="AB127">
        <v>6.02E-4</v>
      </c>
      <c r="AC127">
        <v>5.8699999999999996E-4</v>
      </c>
      <c r="AD127">
        <v>5.6400000000000005E-4</v>
      </c>
      <c r="AE127">
        <v>5.2999999999999998E-4</v>
      </c>
      <c r="AF127">
        <v>4.8200000000000001E-4</v>
      </c>
      <c r="AG127">
        <v>4.2700000000000002E-4</v>
      </c>
      <c r="AH127">
        <v>3.5799999999999997E-4</v>
      </c>
      <c r="AI127" s="22">
        <v>-2.9000000000000001E-2</v>
      </c>
    </row>
    <row r="128" spans="1:35">
      <c r="A128" t="s">
        <v>236</v>
      </c>
      <c r="B128" t="s">
        <v>1878</v>
      </c>
      <c r="C128" t="s">
        <v>1879</v>
      </c>
      <c r="D128" t="s">
        <v>231</v>
      </c>
      <c r="F128">
        <v>0.22939300000000001</v>
      </c>
      <c r="G128">
        <v>0.24005599999999999</v>
      </c>
      <c r="H128">
        <v>0.250585</v>
      </c>
      <c r="I128">
        <v>0.26078800000000002</v>
      </c>
      <c r="J128">
        <v>0.27049899999999999</v>
      </c>
      <c r="K128">
        <v>0.27981400000000001</v>
      </c>
      <c r="L128">
        <v>0.28869499999999998</v>
      </c>
      <c r="M128">
        <v>0.29727199999999998</v>
      </c>
      <c r="N128">
        <v>0.30555500000000002</v>
      </c>
      <c r="O128">
        <v>0.31373000000000001</v>
      </c>
      <c r="P128">
        <v>0.321961</v>
      </c>
      <c r="Q128">
        <v>0.33024900000000001</v>
      </c>
      <c r="R128">
        <v>0.33824700000000002</v>
      </c>
      <c r="S128">
        <v>0.34599299999999999</v>
      </c>
      <c r="T128">
        <v>0.35356300000000002</v>
      </c>
      <c r="U128">
        <v>0.36109599999999997</v>
      </c>
      <c r="V128">
        <v>0.368676</v>
      </c>
      <c r="W128">
        <v>0.376357</v>
      </c>
      <c r="X128">
        <v>0.384127</v>
      </c>
      <c r="Y128">
        <v>0.39127699999999999</v>
      </c>
      <c r="Z128">
        <v>0.398395</v>
      </c>
      <c r="AA128">
        <v>0.405416</v>
      </c>
      <c r="AB128">
        <v>0.41114600000000001</v>
      </c>
      <c r="AC128">
        <v>0.41387200000000002</v>
      </c>
      <c r="AD128">
        <v>0.414489</v>
      </c>
      <c r="AE128">
        <v>0.41369699999999998</v>
      </c>
      <c r="AF128">
        <v>0.41261599999999998</v>
      </c>
      <c r="AG128">
        <v>0.40854600000000002</v>
      </c>
      <c r="AH128">
        <v>0.40374700000000002</v>
      </c>
      <c r="AI128" s="22">
        <v>0.02</v>
      </c>
    </row>
    <row r="129" spans="1:35">
      <c r="A129" t="s">
        <v>237</v>
      </c>
      <c r="B129" t="s">
        <v>1880</v>
      </c>
      <c r="C129" t="s">
        <v>1881</v>
      </c>
      <c r="D129" t="s">
        <v>231</v>
      </c>
      <c r="F129">
        <v>6.7000000000000002E-5</v>
      </c>
      <c r="G129">
        <v>6.6000000000000005E-5</v>
      </c>
      <c r="H129">
        <v>6.4999999999999994E-5</v>
      </c>
      <c r="I129">
        <v>6.4999999999999994E-5</v>
      </c>
      <c r="J129">
        <v>6.3999999999999997E-5</v>
      </c>
      <c r="K129">
        <v>6.3E-5</v>
      </c>
      <c r="L129">
        <v>6.2000000000000003E-5</v>
      </c>
      <c r="M129">
        <v>6.0999999999999999E-5</v>
      </c>
      <c r="N129">
        <v>6.0000000000000002E-5</v>
      </c>
      <c r="O129">
        <v>5.8999999999999998E-5</v>
      </c>
      <c r="P129">
        <v>5.8E-5</v>
      </c>
      <c r="Q129">
        <v>5.7000000000000003E-5</v>
      </c>
      <c r="R129">
        <v>5.5999999999999999E-5</v>
      </c>
      <c r="S129">
        <v>5.5000000000000002E-5</v>
      </c>
      <c r="T129">
        <v>5.3999999999999998E-5</v>
      </c>
      <c r="U129">
        <v>5.3000000000000001E-5</v>
      </c>
      <c r="V129">
        <v>5.1E-5</v>
      </c>
      <c r="W129">
        <v>5.0000000000000002E-5</v>
      </c>
      <c r="X129">
        <v>4.8999999999999998E-5</v>
      </c>
      <c r="Y129">
        <v>4.6999999999999997E-5</v>
      </c>
      <c r="Z129">
        <v>4.6E-5</v>
      </c>
      <c r="AA129">
        <v>4.5000000000000003E-5</v>
      </c>
      <c r="AB129">
        <v>3.6000000000000001E-5</v>
      </c>
      <c r="AC129">
        <v>2.5000000000000001E-5</v>
      </c>
      <c r="AD129">
        <v>1.8E-5</v>
      </c>
      <c r="AE129">
        <v>1.2E-5</v>
      </c>
      <c r="AF129">
        <v>9.0000000000000002E-6</v>
      </c>
      <c r="AG129">
        <v>6.0000000000000002E-6</v>
      </c>
      <c r="AH129">
        <v>3.9999999999999998E-6</v>
      </c>
      <c r="AI129" s="22">
        <v>-9.4E-2</v>
      </c>
    </row>
    <row r="130" spans="1:35">
      <c r="A130" t="s">
        <v>238</v>
      </c>
      <c r="B130" t="s">
        <v>1882</v>
      </c>
      <c r="C130" t="s">
        <v>1883</v>
      </c>
      <c r="D130" t="s">
        <v>231</v>
      </c>
      <c r="F130">
        <v>0</v>
      </c>
      <c r="G130">
        <v>2.8200000000000002E-4</v>
      </c>
      <c r="H130">
        <v>5.7499999999999999E-4</v>
      </c>
      <c r="I130">
        <v>8.8099999999999995E-4</v>
      </c>
      <c r="J130">
        <v>1.1950000000000001E-3</v>
      </c>
      <c r="K130">
        <v>1.5139999999999999E-3</v>
      </c>
      <c r="L130">
        <v>1.8469999999999999E-3</v>
      </c>
      <c r="M130">
        <v>2.1979999999999999E-3</v>
      </c>
      <c r="N130">
        <v>2.5669999999999998E-3</v>
      </c>
      <c r="O130">
        <v>2.9580000000000001E-3</v>
      </c>
      <c r="P130">
        <v>3.382E-3</v>
      </c>
      <c r="Q130">
        <v>3.8400000000000001E-3</v>
      </c>
      <c r="R130">
        <v>4.3239999999999997E-3</v>
      </c>
      <c r="S130">
        <v>4.8380000000000003E-3</v>
      </c>
      <c r="T130">
        <v>5.3940000000000004E-3</v>
      </c>
      <c r="U130">
        <v>6.0020000000000004E-3</v>
      </c>
      <c r="V130">
        <v>6.6779999999999999E-3</v>
      </c>
      <c r="W130">
        <v>7.43E-3</v>
      </c>
      <c r="X130">
        <v>8.2640000000000005E-3</v>
      </c>
      <c r="Y130">
        <v>9.1809999999999999E-3</v>
      </c>
      <c r="Z130">
        <v>1.0181000000000001E-2</v>
      </c>
      <c r="AA130">
        <v>1.1261E-2</v>
      </c>
      <c r="AB130">
        <v>1.2409999999999999E-2</v>
      </c>
      <c r="AC130">
        <v>1.3627999999999999E-2</v>
      </c>
      <c r="AD130">
        <v>1.4914999999999999E-2</v>
      </c>
      <c r="AE130">
        <v>1.6265000000000002E-2</v>
      </c>
      <c r="AF130">
        <v>1.7672E-2</v>
      </c>
      <c r="AG130">
        <v>1.9127000000000002E-2</v>
      </c>
      <c r="AH130">
        <v>2.0625000000000001E-2</v>
      </c>
      <c r="AI130" t="s">
        <v>111</v>
      </c>
    </row>
    <row r="131" spans="1:35">
      <c r="A131" t="s">
        <v>239</v>
      </c>
      <c r="B131" t="s">
        <v>1884</v>
      </c>
      <c r="C131" t="s">
        <v>1885</v>
      </c>
      <c r="D131" t="s">
        <v>231</v>
      </c>
      <c r="F131">
        <v>0</v>
      </c>
      <c r="G131">
        <v>3.0699999999999998E-4</v>
      </c>
      <c r="H131">
        <v>6.1899999999999998E-4</v>
      </c>
      <c r="I131">
        <v>9.3800000000000003E-4</v>
      </c>
      <c r="J131">
        <v>1.258E-3</v>
      </c>
      <c r="K131">
        <v>1.5770000000000001E-3</v>
      </c>
      <c r="L131">
        <v>1.9040000000000001E-3</v>
      </c>
      <c r="M131">
        <v>2.2420000000000001E-3</v>
      </c>
      <c r="N131">
        <v>2.5929999999999998E-3</v>
      </c>
      <c r="O131">
        <v>2.9659999999999999E-3</v>
      </c>
      <c r="P131">
        <v>3.372E-3</v>
      </c>
      <c r="Q131">
        <v>3.8159999999999999E-3</v>
      </c>
      <c r="R131">
        <v>4.2909999999999997E-3</v>
      </c>
      <c r="S131">
        <v>4.8040000000000001E-3</v>
      </c>
      <c r="T131">
        <v>5.3660000000000001E-3</v>
      </c>
      <c r="U131">
        <v>5.9919999999999999E-3</v>
      </c>
      <c r="V131">
        <v>6.6959999999999997E-3</v>
      </c>
      <c r="W131">
        <v>7.4910000000000003E-3</v>
      </c>
      <c r="X131">
        <v>8.3840000000000008E-3</v>
      </c>
      <c r="Y131">
        <v>9.3779999999999992E-3</v>
      </c>
      <c r="Z131">
        <v>1.0472E-2</v>
      </c>
      <c r="AA131">
        <v>1.166E-2</v>
      </c>
      <c r="AB131">
        <v>1.2933E-2</v>
      </c>
      <c r="AC131">
        <v>1.4290000000000001E-2</v>
      </c>
      <c r="AD131">
        <v>1.5731999999999999E-2</v>
      </c>
      <c r="AE131">
        <v>1.7247999999999999E-2</v>
      </c>
      <c r="AF131">
        <v>1.8831000000000001E-2</v>
      </c>
      <c r="AG131">
        <v>2.0472000000000001E-2</v>
      </c>
      <c r="AH131">
        <v>2.2161E-2</v>
      </c>
      <c r="AI131" t="s">
        <v>111</v>
      </c>
    </row>
    <row r="132" spans="1:35">
      <c r="A132" t="s">
        <v>240</v>
      </c>
      <c r="B132" t="s">
        <v>1886</v>
      </c>
      <c r="C132" t="s">
        <v>1887</v>
      </c>
      <c r="D132" t="s">
        <v>231</v>
      </c>
      <c r="F132">
        <v>0</v>
      </c>
      <c r="G132">
        <v>0</v>
      </c>
      <c r="H132">
        <v>0</v>
      </c>
      <c r="I132">
        <v>0</v>
      </c>
      <c r="J132">
        <v>0</v>
      </c>
      <c r="K132">
        <v>0</v>
      </c>
      <c r="L132">
        <v>0</v>
      </c>
      <c r="M132">
        <v>9.9999999999999995E-7</v>
      </c>
      <c r="N132">
        <v>9.9999999999999995E-7</v>
      </c>
      <c r="O132">
        <v>9.9999999999999995E-7</v>
      </c>
      <c r="P132">
        <v>9.9999999999999995E-7</v>
      </c>
      <c r="Q132">
        <v>9.9999999999999995E-7</v>
      </c>
      <c r="R132">
        <v>9.9999999999999995E-7</v>
      </c>
      <c r="S132">
        <v>9.9999999999999995E-7</v>
      </c>
      <c r="T132">
        <v>9.9999999999999995E-7</v>
      </c>
      <c r="U132">
        <v>9.9999999999999995E-7</v>
      </c>
      <c r="V132">
        <v>9.9999999999999995E-7</v>
      </c>
      <c r="W132">
        <v>1.9999999999999999E-6</v>
      </c>
      <c r="X132">
        <v>1.9999999999999999E-6</v>
      </c>
      <c r="Y132">
        <v>1.9999999999999999E-6</v>
      </c>
      <c r="Z132">
        <v>1.9999999999999999E-6</v>
      </c>
      <c r="AA132">
        <v>1.9999999999999999E-6</v>
      </c>
      <c r="AB132">
        <v>1.9999999999999999E-6</v>
      </c>
      <c r="AC132">
        <v>1.9999999999999999E-6</v>
      </c>
      <c r="AD132">
        <v>1.9999999999999999E-6</v>
      </c>
      <c r="AE132">
        <v>1.9999999999999999E-6</v>
      </c>
      <c r="AF132">
        <v>1.9999999999999999E-6</v>
      </c>
      <c r="AG132">
        <v>1.9999999999999999E-6</v>
      </c>
      <c r="AH132">
        <v>1.9999999999999999E-6</v>
      </c>
      <c r="AI132" t="s">
        <v>111</v>
      </c>
    </row>
    <row r="133" spans="1:35">
      <c r="A133" t="s">
        <v>241</v>
      </c>
      <c r="B133" t="s">
        <v>1888</v>
      </c>
      <c r="C133" t="s">
        <v>1889</v>
      </c>
      <c r="D133" t="s">
        <v>231</v>
      </c>
      <c r="F133">
        <v>4.5572350000000004</v>
      </c>
      <c r="G133">
        <v>4.7015169999999999</v>
      </c>
      <c r="H133">
        <v>4.8540369999999999</v>
      </c>
      <c r="I133">
        <v>5.0171279999999996</v>
      </c>
      <c r="J133">
        <v>5.1817539999999997</v>
      </c>
      <c r="K133">
        <v>5.3421240000000001</v>
      </c>
      <c r="L133">
        <v>5.4993150000000002</v>
      </c>
      <c r="M133">
        <v>5.6528340000000004</v>
      </c>
      <c r="N133">
        <v>5.8014460000000003</v>
      </c>
      <c r="O133">
        <v>5.9443580000000003</v>
      </c>
      <c r="P133">
        <v>6.0898839999999996</v>
      </c>
      <c r="Q133">
        <v>6.2288509999999997</v>
      </c>
      <c r="R133">
        <v>6.3593000000000002</v>
      </c>
      <c r="S133">
        <v>6.4799410000000002</v>
      </c>
      <c r="T133">
        <v>6.5985399999999998</v>
      </c>
      <c r="U133">
        <v>6.7175419999999999</v>
      </c>
      <c r="V133">
        <v>6.8385049999999996</v>
      </c>
      <c r="W133">
        <v>6.9594290000000001</v>
      </c>
      <c r="X133">
        <v>7.0788570000000002</v>
      </c>
      <c r="Y133">
        <v>7.2028530000000002</v>
      </c>
      <c r="Z133">
        <v>7.3254200000000003</v>
      </c>
      <c r="AA133">
        <v>7.4569270000000003</v>
      </c>
      <c r="AB133">
        <v>7.5941330000000002</v>
      </c>
      <c r="AC133">
        <v>7.7256629999999999</v>
      </c>
      <c r="AD133">
        <v>7.8520909999999997</v>
      </c>
      <c r="AE133">
        <v>7.9811259999999997</v>
      </c>
      <c r="AF133">
        <v>8.1111160000000009</v>
      </c>
      <c r="AG133">
        <v>8.2307199999999998</v>
      </c>
      <c r="AH133">
        <v>8.3459269999999997</v>
      </c>
      <c r="AI133" s="22">
        <v>2.1999999999999999E-2</v>
      </c>
    </row>
    <row r="134" spans="1:35">
      <c r="A134" t="s">
        <v>171</v>
      </c>
    </row>
    <row r="135" spans="1:35">
      <c r="A135" t="s">
        <v>189</v>
      </c>
      <c r="B135" t="s">
        <v>1890</v>
      </c>
      <c r="C135" t="s">
        <v>1891</v>
      </c>
      <c r="D135" t="s">
        <v>231</v>
      </c>
      <c r="F135">
        <v>2.238826</v>
      </c>
      <c r="G135">
        <v>2.2633740000000002</v>
      </c>
      <c r="H135">
        <v>2.2858019999999999</v>
      </c>
      <c r="I135">
        <v>2.3155199999999998</v>
      </c>
      <c r="J135">
        <v>2.3517480000000002</v>
      </c>
      <c r="K135">
        <v>2.3905979999999998</v>
      </c>
      <c r="L135">
        <v>2.4309340000000002</v>
      </c>
      <c r="M135">
        <v>2.4686080000000001</v>
      </c>
      <c r="N135">
        <v>2.5038360000000002</v>
      </c>
      <c r="O135">
        <v>2.5353509999999999</v>
      </c>
      <c r="P135">
        <v>2.5670540000000002</v>
      </c>
      <c r="Q135">
        <v>2.5941019999999999</v>
      </c>
      <c r="R135">
        <v>2.6154500000000001</v>
      </c>
      <c r="S135">
        <v>2.6355559999999998</v>
      </c>
      <c r="T135">
        <v>2.6571289999999999</v>
      </c>
      <c r="U135">
        <v>2.6805840000000001</v>
      </c>
      <c r="V135">
        <v>2.705066</v>
      </c>
      <c r="W135">
        <v>2.7292969999999999</v>
      </c>
      <c r="X135">
        <v>2.75204</v>
      </c>
      <c r="Y135">
        <v>2.772637</v>
      </c>
      <c r="Z135">
        <v>2.7935240000000001</v>
      </c>
      <c r="AA135">
        <v>2.8207249999999999</v>
      </c>
      <c r="AB135">
        <v>2.8527390000000001</v>
      </c>
      <c r="AC135">
        <v>2.8844479999999999</v>
      </c>
      <c r="AD135">
        <v>2.9134350000000002</v>
      </c>
      <c r="AE135">
        <v>2.9424649999999999</v>
      </c>
      <c r="AF135">
        <v>2.9714170000000002</v>
      </c>
      <c r="AG135">
        <v>2.9997310000000001</v>
      </c>
      <c r="AH135">
        <v>3.026831</v>
      </c>
      <c r="AI135" s="22">
        <v>1.0999999999999999E-2</v>
      </c>
    </row>
    <row r="136" spans="1:35">
      <c r="A136" t="s">
        <v>235</v>
      </c>
      <c r="B136" t="s">
        <v>1892</v>
      </c>
      <c r="C136" t="s">
        <v>1893</v>
      </c>
      <c r="D136" t="s">
        <v>231</v>
      </c>
      <c r="F136">
        <v>1.4996799999999999</v>
      </c>
      <c r="G136">
        <v>1.4961500000000001</v>
      </c>
      <c r="H136">
        <v>1.4948760000000001</v>
      </c>
      <c r="I136">
        <v>1.501371</v>
      </c>
      <c r="J136">
        <v>1.5139609999999999</v>
      </c>
      <c r="K136">
        <v>1.530346</v>
      </c>
      <c r="L136">
        <v>1.5480689999999999</v>
      </c>
      <c r="M136">
        <v>1.565221</v>
      </c>
      <c r="N136">
        <v>1.581971</v>
      </c>
      <c r="O136">
        <v>1.595356</v>
      </c>
      <c r="P136">
        <v>1.6105339999999999</v>
      </c>
      <c r="Q136">
        <v>1.6222669999999999</v>
      </c>
      <c r="R136">
        <v>1.6313610000000001</v>
      </c>
      <c r="S136">
        <v>1.6416010000000001</v>
      </c>
      <c r="T136">
        <v>1.65225</v>
      </c>
      <c r="U136">
        <v>1.6639839999999999</v>
      </c>
      <c r="V136">
        <v>1.6763749999999999</v>
      </c>
      <c r="W136">
        <v>1.690836</v>
      </c>
      <c r="X136">
        <v>1.7037960000000001</v>
      </c>
      <c r="Y136">
        <v>1.717433</v>
      </c>
      <c r="Z136">
        <v>1.7319560000000001</v>
      </c>
      <c r="AA136">
        <v>1.749482</v>
      </c>
      <c r="AB136">
        <v>1.7689250000000001</v>
      </c>
      <c r="AC136">
        <v>1.7867660000000001</v>
      </c>
      <c r="AD136">
        <v>1.8028120000000001</v>
      </c>
      <c r="AE136">
        <v>1.81793</v>
      </c>
      <c r="AF136">
        <v>1.8325530000000001</v>
      </c>
      <c r="AG136">
        <v>1.8473809999999999</v>
      </c>
      <c r="AH136">
        <v>1.860595</v>
      </c>
      <c r="AI136" s="22">
        <v>8.0000000000000002E-3</v>
      </c>
    </row>
    <row r="137" spans="1:35">
      <c r="A137" t="s">
        <v>192</v>
      </c>
      <c r="B137" t="s">
        <v>1894</v>
      </c>
      <c r="C137" t="s">
        <v>1895</v>
      </c>
      <c r="D137" t="s">
        <v>231</v>
      </c>
      <c r="F137">
        <v>2.483E-3</v>
      </c>
      <c r="G137">
        <v>2.4729999999999999E-3</v>
      </c>
      <c r="H137">
        <v>2.4919999999999999E-3</v>
      </c>
      <c r="I137">
        <v>2.5439999999999998E-3</v>
      </c>
      <c r="J137">
        <v>2.6310000000000001E-3</v>
      </c>
      <c r="K137">
        <v>2.7360000000000002E-3</v>
      </c>
      <c r="L137">
        <v>2.8579999999999999E-3</v>
      </c>
      <c r="M137">
        <v>2.9759999999999999E-3</v>
      </c>
      <c r="N137">
        <v>3.104E-3</v>
      </c>
      <c r="O137">
        <v>3.2360000000000002E-3</v>
      </c>
      <c r="P137">
        <v>3.3869999999999998E-3</v>
      </c>
      <c r="Q137">
        <v>3.565E-3</v>
      </c>
      <c r="R137">
        <v>3.7369999999999999E-3</v>
      </c>
      <c r="S137">
        <v>3.9110000000000004E-3</v>
      </c>
      <c r="T137">
        <v>4.1190000000000003E-3</v>
      </c>
      <c r="U137">
        <v>4.365E-3</v>
      </c>
      <c r="V137">
        <v>4.6490000000000004E-3</v>
      </c>
      <c r="W137">
        <v>4.9719999999999999E-3</v>
      </c>
      <c r="X137">
        <v>5.3280000000000003E-3</v>
      </c>
      <c r="Y137">
        <v>5.7099999999999998E-3</v>
      </c>
      <c r="Z137">
        <v>6.117E-3</v>
      </c>
      <c r="AA137">
        <v>6.5510000000000004E-3</v>
      </c>
      <c r="AB137">
        <v>7.0089999999999996E-3</v>
      </c>
      <c r="AC137">
        <v>7.4830000000000001E-3</v>
      </c>
      <c r="AD137">
        <v>7.9690000000000004E-3</v>
      </c>
      <c r="AE137">
        <v>8.4659999999999996E-3</v>
      </c>
      <c r="AF137">
        <v>8.9730000000000001E-3</v>
      </c>
      <c r="AG137">
        <v>9.4160000000000008E-3</v>
      </c>
      <c r="AH137">
        <v>9.8849999999999997E-3</v>
      </c>
      <c r="AI137" s="22">
        <v>5.0999999999999997E-2</v>
      </c>
    </row>
    <row r="138" spans="1:35">
      <c r="A138" t="s">
        <v>195</v>
      </c>
      <c r="B138" t="s">
        <v>1896</v>
      </c>
      <c r="C138" t="s">
        <v>1897</v>
      </c>
      <c r="D138" t="s">
        <v>231</v>
      </c>
      <c r="F138">
        <v>2.431E-3</v>
      </c>
      <c r="G138">
        <v>2.4499999999999999E-3</v>
      </c>
      <c r="H138">
        <v>2.457E-3</v>
      </c>
      <c r="I138">
        <v>2.4559999999999998E-3</v>
      </c>
      <c r="J138">
        <v>2.447E-3</v>
      </c>
      <c r="K138">
        <v>2.4299999999999999E-3</v>
      </c>
      <c r="L138">
        <v>2.4030000000000002E-3</v>
      </c>
      <c r="M138">
        <v>2.369E-3</v>
      </c>
      <c r="N138">
        <v>2.3259999999999999E-3</v>
      </c>
      <c r="O138">
        <v>2.2750000000000001E-3</v>
      </c>
      <c r="P138">
        <v>2.2179999999999999E-3</v>
      </c>
      <c r="Q138">
        <v>2.1559999999999999E-3</v>
      </c>
      <c r="R138">
        <v>2.0869999999999999E-3</v>
      </c>
      <c r="S138">
        <v>2.0119999999999999E-3</v>
      </c>
      <c r="T138">
        <v>1.926E-3</v>
      </c>
      <c r="U138">
        <v>1.8400000000000001E-3</v>
      </c>
      <c r="V138">
        <v>1.7520000000000001E-3</v>
      </c>
      <c r="W138">
        <v>1.67E-3</v>
      </c>
      <c r="X138">
        <v>1.593E-3</v>
      </c>
      <c r="Y138">
        <v>1.5039999999999999E-3</v>
      </c>
      <c r="Z138">
        <v>1.4250000000000001E-3</v>
      </c>
      <c r="AA138">
        <v>1.3209999999999999E-3</v>
      </c>
      <c r="AB138">
        <v>1.209E-3</v>
      </c>
      <c r="AC138">
        <v>1.1169999999999999E-3</v>
      </c>
      <c r="AD138">
        <v>1.0380000000000001E-3</v>
      </c>
      <c r="AE138">
        <v>9.5399999999999999E-4</v>
      </c>
      <c r="AF138">
        <v>8.6600000000000002E-4</v>
      </c>
      <c r="AG138">
        <v>7.8600000000000002E-4</v>
      </c>
      <c r="AH138">
        <v>7.1699999999999997E-4</v>
      </c>
      <c r="AI138" s="22">
        <v>-4.2999999999999997E-2</v>
      </c>
    </row>
    <row r="139" spans="1:35">
      <c r="A139" t="s">
        <v>236</v>
      </c>
      <c r="B139" t="s">
        <v>1898</v>
      </c>
      <c r="C139" t="s">
        <v>1899</v>
      </c>
      <c r="D139" t="s">
        <v>231</v>
      </c>
      <c r="F139">
        <v>3.3873E-2</v>
      </c>
      <c r="G139">
        <v>3.6921000000000002E-2</v>
      </c>
      <c r="H139">
        <v>4.0156999999999998E-2</v>
      </c>
      <c r="I139">
        <v>4.3819999999999998E-2</v>
      </c>
      <c r="J139">
        <v>4.8011999999999999E-2</v>
      </c>
      <c r="K139">
        <v>5.2770999999999998E-2</v>
      </c>
      <c r="L139">
        <v>5.7967999999999999E-2</v>
      </c>
      <c r="M139">
        <v>6.3547999999999993E-2</v>
      </c>
      <c r="N139">
        <v>6.9445000000000007E-2</v>
      </c>
      <c r="O139">
        <v>7.5789999999999996E-2</v>
      </c>
      <c r="P139">
        <v>8.2756999999999997E-2</v>
      </c>
      <c r="Q139">
        <v>9.0409000000000003E-2</v>
      </c>
      <c r="R139">
        <v>9.8462999999999995E-2</v>
      </c>
      <c r="S139">
        <v>0.10691199999999999</v>
      </c>
      <c r="T139">
        <v>0.11577800000000001</v>
      </c>
      <c r="U139">
        <v>0.125143</v>
      </c>
      <c r="V139">
        <v>0.134995</v>
      </c>
      <c r="W139">
        <v>0.145313</v>
      </c>
      <c r="X139">
        <v>0.15598699999999999</v>
      </c>
      <c r="Y139">
        <v>0.166876</v>
      </c>
      <c r="Z139">
        <v>0.17783499999999999</v>
      </c>
      <c r="AA139">
        <v>0.18885399999999999</v>
      </c>
      <c r="AB139">
        <v>0.19978299999999999</v>
      </c>
      <c r="AC139">
        <v>0.210512</v>
      </c>
      <c r="AD139">
        <v>0.22093399999999999</v>
      </c>
      <c r="AE139">
        <v>0.23105999999999999</v>
      </c>
      <c r="AF139">
        <v>0.24081900000000001</v>
      </c>
      <c r="AG139">
        <v>0.25052000000000002</v>
      </c>
      <c r="AH139">
        <v>0.260079</v>
      </c>
      <c r="AI139" s="22">
        <v>7.5999999999999998E-2</v>
      </c>
    </row>
    <row r="140" spans="1:35">
      <c r="A140" t="s">
        <v>237</v>
      </c>
      <c r="B140" t="s">
        <v>1900</v>
      </c>
      <c r="C140" t="s">
        <v>1901</v>
      </c>
      <c r="D140" t="s">
        <v>231</v>
      </c>
      <c r="F140">
        <v>2.41E-4</v>
      </c>
      <c r="G140">
        <v>2.9E-4</v>
      </c>
      <c r="H140">
        <v>3.3199999999999999E-4</v>
      </c>
      <c r="I140">
        <v>3.7199999999999999E-4</v>
      </c>
      <c r="J140">
        <v>4.08E-4</v>
      </c>
      <c r="K140">
        <v>4.4000000000000002E-4</v>
      </c>
      <c r="L140">
        <v>4.6799999999999999E-4</v>
      </c>
      <c r="M140">
        <v>4.9100000000000001E-4</v>
      </c>
      <c r="N140">
        <v>5.0900000000000001E-4</v>
      </c>
      <c r="O140">
        <v>5.2300000000000003E-4</v>
      </c>
      <c r="P140">
        <v>5.3300000000000005E-4</v>
      </c>
      <c r="Q140">
        <v>5.4000000000000001E-4</v>
      </c>
      <c r="R140">
        <v>5.4299999999999997E-4</v>
      </c>
      <c r="S140">
        <v>5.4299999999999997E-4</v>
      </c>
      <c r="T140">
        <v>5.4000000000000001E-4</v>
      </c>
      <c r="U140">
        <v>5.3399999999999997E-4</v>
      </c>
      <c r="V140">
        <v>5.2700000000000002E-4</v>
      </c>
      <c r="W140">
        <v>5.1800000000000001E-4</v>
      </c>
      <c r="X140">
        <v>5.0600000000000005E-4</v>
      </c>
      <c r="Y140">
        <v>4.9399999999999997E-4</v>
      </c>
      <c r="Z140">
        <v>4.8000000000000001E-4</v>
      </c>
      <c r="AA140">
        <v>4.6500000000000003E-4</v>
      </c>
      <c r="AB140">
        <v>4.4900000000000002E-4</v>
      </c>
      <c r="AC140">
        <v>4.3300000000000001E-4</v>
      </c>
      <c r="AD140">
        <v>4.1599999999999997E-4</v>
      </c>
      <c r="AE140">
        <v>3.9899999999999999E-4</v>
      </c>
      <c r="AF140">
        <v>3.8200000000000002E-4</v>
      </c>
      <c r="AG140">
        <v>3.6400000000000001E-4</v>
      </c>
      <c r="AH140">
        <v>3.4699999999999998E-4</v>
      </c>
      <c r="AI140" s="22">
        <v>1.2999999999999999E-2</v>
      </c>
    </row>
    <row r="141" spans="1:35">
      <c r="A141" t="s">
        <v>238</v>
      </c>
      <c r="B141" t="s">
        <v>1902</v>
      </c>
      <c r="C141" t="s">
        <v>1903</v>
      </c>
      <c r="D141" t="s">
        <v>231</v>
      </c>
      <c r="F141">
        <v>0</v>
      </c>
      <c r="G141">
        <v>0</v>
      </c>
      <c r="H141">
        <v>1.8599999999999999E-4</v>
      </c>
      <c r="I141">
        <v>3.88E-4</v>
      </c>
      <c r="J141">
        <v>6.0300000000000002E-4</v>
      </c>
      <c r="K141">
        <v>8.2799999999999996E-4</v>
      </c>
      <c r="L141">
        <v>1.06E-3</v>
      </c>
      <c r="M141">
        <v>1.297E-3</v>
      </c>
      <c r="N141">
        <v>1.5330000000000001E-3</v>
      </c>
      <c r="O141">
        <v>1.771E-3</v>
      </c>
      <c r="P141">
        <v>2.016E-3</v>
      </c>
      <c r="Q141">
        <v>2.271E-3</v>
      </c>
      <c r="R141">
        <v>2.5300000000000001E-3</v>
      </c>
      <c r="S141">
        <v>2.7929999999999999E-3</v>
      </c>
      <c r="T141">
        <v>3.0660000000000001E-3</v>
      </c>
      <c r="U141">
        <v>3.3540000000000002E-3</v>
      </c>
      <c r="V141">
        <v>3.6589999999999999E-3</v>
      </c>
      <c r="W141">
        <v>3.9839999999999997E-3</v>
      </c>
      <c r="X141">
        <v>4.3280000000000002E-3</v>
      </c>
      <c r="Y141">
        <v>4.692E-3</v>
      </c>
      <c r="Z141">
        <v>5.0749999999999997E-3</v>
      </c>
      <c r="AA141">
        <v>5.483E-3</v>
      </c>
      <c r="AB141">
        <v>5.9129999999999999E-3</v>
      </c>
      <c r="AC141">
        <v>6.3600000000000002E-3</v>
      </c>
      <c r="AD141">
        <v>6.8240000000000002E-3</v>
      </c>
      <c r="AE141">
        <v>7.3049999999999999E-3</v>
      </c>
      <c r="AF141">
        <v>7.8040000000000002E-3</v>
      </c>
      <c r="AG141">
        <v>8.3219999999999995E-3</v>
      </c>
      <c r="AH141">
        <v>8.8590000000000006E-3</v>
      </c>
      <c r="AI141" t="s">
        <v>111</v>
      </c>
    </row>
    <row r="142" spans="1:35">
      <c r="A142" t="s">
        <v>239</v>
      </c>
      <c r="B142" t="s">
        <v>1904</v>
      </c>
      <c r="C142" t="s">
        <v>1905</v>
      </c>
      <c r="D142" t="s">
        <v>231</v>
      </c>
      <c r="F142">
        <v>0</v>
      </c>
      <c r="G142">
        <v>0</v>
      </c>
      <c r="H142">
        <v>1.8599999999999999E-4</v>
      </c>
      <c r="I142">
        <v>3.8200000000000002E-4</v>
      </c>
      <c r="J142">
        <v>5.8600000000000004E-4</v>
      </c>
      <c r="K142">
        <v>7.9500000000000003E-4</v>
      </c>
      <c r="L142">
        <v>1.0089999999999999E-3</v>
      </c>
      <c r="M142">
        <v>1.224E-3</v>
      </c>
      <c r="N142">
        <v>1.438E-3</v>
      </c>
      <c r="O142">
        <v>1.658E-3</v>
      </c>
      <c r="P142">
        <v>1.8890000000000001E-3</v>
      </c>
      <c r="Q142">
        <v>2.1380000000000001E-3</v>
      </c>
      <c r="R142">
        <v>2.3969999999999998E-3</v>
      </c>
      <c r="S142">
        <v>2.6689999999999999E-3</v>
      </c>
      <c r="T142">
        <v>2.9610000000000001E-3</v>
      </c>
      <c r="U142">
        <v>3.2780000000000001E-3</v>
      </c>
      <c r="V142">
        <v>3.627E-3</v>
      </c>
      <c r="W142">
        <v>4.0109999999999998E-3</v>
      </c>
      <c r="X142">
        <v>4.4349999999999997E-3</v>
      </c>
      <c r="Y142">
        <v>4.8970000000000003E-3</v>
      </c>
      <c r="Z142">
        <v>5.4000000000000003E-3</v>
      </c>
      <c r="AA142">
        <v>5.9490000000000003E-3</v>
      </c>
      <c r="AB142">
        <v>6.5420000000000001E-3</v>
      </c>
      <c r="AC142">
        <v>7.1739999999999998E-3</v>
      </c>
      <c r="AD142">
        <v>7.8429999999999993E-3</v>
      </c>
      <c r="AE142">
        <v>8.548E-3</v>
      </c>
      <c r="AF142">
        <v>9.2890000000000004E-3</v>
      </c>
      <c r="AG142">
        <v>1.0071999999999999E-2</v>
      </c>
      <c r="AH142">
        <v>1.0888999999999999E-2</v>
      </c>
      <c r="AI142" t="s">
        <v>111</v>
      </c>
    </row>
    <row r="143" spans="1:35">
      <c r="A143" t="s">
        <v>240</v>
      </c>
      <c r="B143" t="s">
        <v>1906</v>
      </c>
      <c r="C143" t="s">
        <v>1907</v>
      </c>
      <c r="D143" t="s">
        <v>231</v>
      </c>
      <c r="F143">
        <v>0</v>
      </c>
      <c r="G143">
        <v>0</v>
      </c>
      <c r="H143">
        <v>3.1100000000000002E-4</v>
      </c>
      <c r="I143">
        <v>6.5099999999999999E-4</v>
      </c>
      <c r="J143">
        <v>1.018E-3</v>
      </c>
      <c r="K143">
        <v>1.4040000000000001E-3</v>
      </c>
      <c r="L143">
        <v>1.8060000000000001E-3</v>
      </c>
      <c r="M143">
        <v>2.2160000000000001E-3</v>
      </c>
      <c r="N143">
        <v>2.6259999999999999E-3</v>
      </c>
      <c r="O143">
        <v>3.039E-3</v>
      </c>
      <c r="P143">
        <v>3.4629999999999999E-3</v>
      </c>
      <c r="Q143">
        <v>3.8990000000000001E-3</v>
      </c>
      <c r="R143">
        <v>4.3400000000000001E-3</v>
      </c>
      <c r="S143">
        <v>4.79E-3</v>
      </c>
      <c r="T143">
        <v>5.2560000000000003E-3</v>
      </c>
      <c r="U143">
        <v>5.7499999999999999E-3</v>
      </c>
      <c r="V143">
        <v>6.2779999999999997E-3</v>
      </c>
      <c r="W143">
        <v>6.8459999999999997E-3</v>
      </c>
      <c r="X143">
        <v>7.456E-3</v>
      </c>
      <c r="Y143">
        <v>8.1049999999999994E-3</v>
      </c>
      <c r="Z143">
        <v>8.7980000000000003E-3</v>
      </c>
      <c r="AA143">
        <v>9.5399999999999999E-3</v>
      </c>
      <c r="AB143">
        <v>1.0331E-2</v>
      </c>
      <c r="AC143">
        <v>1.1159000000000001E-2</v>
      </c>
      <c r="AD143">
        <v>1.2024999999999999E-2</v>
      </c>
      <c r="AE143">
        <v>1.2926999999999999E-2</v>
      </c>
      <c r="AF143">
        <v>1.3868999999999999E-2</v>
      </c>
      <c r="AG143">
        <v>1.4857E-2</v>
      </c>
      <c r="AH143">
        <v>1.5883999999999999E-2</v>
      </c>
      <c r="AI143" t="s">
        <v>111</v>
      </c>
    </row>
    <row r="144" spans="1:35">
      <c r="A144" t="s">
        <v>242</v>
      </c>
      <c r="B144" t="s">
        <v>1908</v>
      </c>
      <c r="C144" t="s">
        <v>1909</v>
      </c>
      <c r="D144" t="s">
        <v>231</v>
      </c>
      <c r="F144">
        <v>3.7775319999999999</v>
      </c>
      <c r="G144">
        <v>3.8016570000000001</v>
      </c>
      <c r="H144">
        <v>3.826797</v>
      </c>
      <c r="I144">
        <v>3.8675039999999998</v>
      </c>
      <c r="J144">
        <v>3.921414</v>
      </c>
      <c r="K144">
        <v>3.9823469999999999</v>
      </c>
      <c r="L144">
        <v>4.0465749999999998</v>
      </c>
      <c r="M144">
        <v>4.1079509999999999</v>
      </c>
      <c r="N144">
        <v>4.1667870000000002</v>
      </c>
      <c r="O144">
        <v>4.2190009999999996</v>
      </c>
      <c r="P144">
        <v>4.273854</v>
      </c>
      <c r="Q144">
        <v>4.321345</v>
      </c>
      <c r="R144">
        <v>4.3609059999999999</v>
      </c>
      <c r="S144">
        <v>4.4007839999999998</v>
      </c>
      <c r="T144">
        <v>4.4430269999999998</v>
      </c>
      <c r="U144">
        <v>4.488836</v>
      </c>
      <c r="V144">
        <v>4.5369330000000003</v>
      </c>
      <c r="W144">
        <v>4.5874480000000002</v>
      </c>
      <c r="X144">
        <v>4.6354730000000002</v>
      </c>
      <c r="Y144">
        <v>4.6823509999999997</v>
      </c>
      <c r="Z144">
        <v>4.7306100000000004</v>
      </c>
      <c r="AA144">
        <v>4.7883639999999996</v>
      </c>
      <c r="AB144">
        <v>4.8528969999999996</v>
      </c>
      <c r="AC144">
        <v>4.9154470000000003</v>
      </c>
      <c r="AD144">
        <v>4.9732979999999998</v>
      </c>
      <c r="AE144">
        <v>5.0300529999999997</v>
      </c>
      <c r="AF144">
        <v>5.0859709999999998</v>
      </c>
      <c r="AG144">
        <v>5.1414540000000004</v>
      </c>
      <c r="AH144">
        <v>5.1940850000000003</v>
      </c>
      <c r="AI144" s="22">
        <v>1.0999999999999999E-2</v>
      </c>
    </row>
    <row r="145" spans="1:35">
      <c r="A145" t="s">
        <v>243</v>
      </c>
    </row>
    <row r="146" spans="1:35">
      <c r="A146" t="s">
        <v>189</v>
      </c>
      <c r="B146" t="s">
        <v>1910</v>
      </c>
      <c r="C146" t="s">
        <v>1911</v>
      </c>
      <c r="D146" t="s">
        <v>231</v>
      </c>
      <c r="F146">
        <v>5.1944619999999997</v>
      </c>
      <c r="G146">
        <v>5.2328229999999998</v>
      </c>
      <c r="H146">
        <v>5.2668879999999998</v>
      </c>
      <c r="I146">
        <v>5.3193219999999997</v>
      </c>
      <c r="J146">
        <v>5.3875500000000001</v>
      </c>
      <c r="K146">
        <v>5.4611130000000001</v>
      </c>
      <c r="L146">
        <v>5.534211</v>
      </c>
      <c r="M146">
        <v>5.597963</v>
      </c>
      <c r="N146">
        <v>5.6528239999999998</v>
      </c>
      <c r="O146">
        <v>5.7010459999999998</v>
      </c>
      <c r="P146">
        <v>5.7446830000000002</v>
      </c>
      <c r="Q146">
        <v>5.7797029999999996</v>
      </c>
      <c r="R146">
        <v>5.7983529999999996</v>
      </c>
      <c r="S146">
        <v>5.8140619999999998</v>
      </c>
      <c r="T146">
        <v>5.8338109999999999</v>
      </c>
      <c r="U146">
        <v>5.8552200000000001</v>
      </c>
      <c r="V146">
        <v>5.8780659999999996</v>
      </c>
      <c r="W146">
        <v>5.8949480000000003</v>
      </c>
      <c r="X146">
        <v>5.9060889999999997</v>
      </c>
      <c r="Y146">
        <v>5.9044379999999999</v>
      </c>
      <c r="Z146">
        <v>5.9129310000000004</v>
      </c>
      <c r="AA146">
        <v>5.9276549999999997</v>
      </c>
      <c r="AB146">
        <v>5.9487350000000001</v>
      </c>
      <c r="AC146">
        <v>5.9689170000000003</v>
      </c>
      <c r="AD146">
        <v>5.9804979999999999</v>
      </c>
      <c r="AE146">
        <v>5.985233</v>
      </c>
      <c r="AF146">
        <v>5.9853329999999998</v>
      </c>
      <c r="AG146">
        <v>5.9791749999999997</v>
      </c>
      <c r="AH146">
        <v>5.9653660000000004</v>
      </c>
      <c r="AI146" s="22">
        <v>5.0000000000000001E-3</v>
      </c>
    </row>
    <row r="147" spans="1:35">
      <c r="A147" t="s">
        <v>235</v>
      </c>
      <c r="B147" t="s">
        <v>1912</v>
      </c>
      <c r="C147" t="s">
        <v>1913</v>
      </c>
      <c r="D147" t="s">
        <v>231</v>
      </c>
      <c r="F147">
        <v>4.3656E-2</v>
      </c>
      <c r="G147">
        <v>3.8945E-2</v>
      </c>
      <c r="H147">
        <v>3.5015999999999999E-2</v>
      </c>
      <c r="I147">
        <v>3.1848000000000001E-2</v>
      </c>
      <c r="J147">
        <v>2.9543E-2</v>
      </c>
      <c r="K147">
        <v>2.7923E-2</v>
      </c>
      <c r="L147">
        <v>2.6786999999999998E-2</v>
      </c>
      <c r="M147">
        <v>2.5902999999999999E-2</v>
      </c>
      <c r="N147">
        <v>2.5295999999999999E-2</v>
      </c>
      <c r="O147">
        <v>2.4788000000000001E-2</v>
      </c>
      <c r="P147">
        <v>2.4475E-2</v>
      </c>
      <c r="Q147">
        <v>2.4362999999999999E-2</v>
      </c>
      <c r="R147">
        <v>2.4388E-2</v>
      </c>
      <c r="S147">
        <v>2.4575E-2</v>
      </c>
      <c r="T147">
        <v>2.4816000000000001E-2</v>
      </c>
      <c r="U147">
        <v>2.5201000000000001E-2</v>
      </c>
      <c r="V147">
        <v>2.5683999999999998E-2</v>
      </c>
      <c r="W147">
        <v>2.6178E-2</v>
      </c>
      <c r="X147">
        <v>2.6626E-2</v>
      </c>
      <c r="Y147">
        <v>2.7116999999999999E-2</v>
      </c>
      <c r="Z147">
        <v>2.7505999999999999E-2</v>
      </c>
      <c r="AA147">
        <v>2.7862000000000001E-2</v>
      </c>
      <c r="AB147">
        <v>2.8295000000000001E-2</v>
      </c>
      <c r="AC147">
        <v>2.8759E-2</v>
      </c>
      <c r="AD147">
        <v>2.9224E-2</v>
      </c>
      <c r="AE147">
        <v>2.9678E-2</v>
      </c>
      <c r="AF147">
        <v>3.0127999999999999E-2</v>
      </c>
      <c r="AG147">
        <v>3.0556E-2</v>
      </c>
      <c r="AH147">
        <v>3.0960999999999999E-2</v>
      </c>
      <c r="AI147" s="22">
        <v>-1.2E-2</v>
      </c>
    </row>
    <row r="148" spans="1:35">
      <c r="A148" t="s">
        <v>192</v>
      </c>
      <c r="B148" t="s">
        <v>1914</v>
      </c>
      <c r="C148" t="s">
        <v>1915</v>
      </c>
      <c r="D148" t="s">
        <v>231</v>
      </c>
      <c r="F148">
        <v>3.2009999999999999E-3</v>
      </c>
      <c r="G148">
        <v>3.0999999999999999E-3</v>
      </c>
      <c r="H148">
        <v>3.016E-3</v>
      </c>
      <c r="I148">
        <v>2.9619999999999998E-3</v>
      </c>
      <c r="J148">
        <v>2.9589999999999998E-3</v>
      </c>
      <c r="K148">
        <v>2.9729999999999999E-3</v>
      </c>
      <c r="L148">
        <v>2.9849999999999998E-3</v>
      </c>
      <c r="M148">
        <v>2.9610000000000001E-3</v>
      </c>
      <c r="N148">
        <v>2.947E-3</v>
      </c>
      <c r="O148">
        <v>2.9359999999999998E-3</v>
      </c>
      <c r="P148">
        <v>2.9220000000000001E-3</v>
      </c>
      <c r="Q148">
        <v>2.941E-3</v>
      </c>
      <c r="R148">
        <v>2.9780000000000002E-3</v>
      </c>
      <c r="S148">
        <v>3.0270000000000002E-3</v>
      </c>
      <c r="T148">
        <v>3.0829999999999998E-3</v>
      </c>
      <c r="U148">
        <v>3.1449999999999998E-3</v>
      </c>
      <c r="V148">
        <v>3.2100000000000002E-3</v>
      </c>
      <c r="W148">
        <v>3.277E-3</v>
      </c>
      <c r="X148">
        <v>3.3430000000000001E-3</v>
      </c>
      <c r="Y148">
        <v>3.4069999999999999E-3</v>
      </c>
      <c r="Z148">
        <v>3.467E-3</v>
      </c>
      <c r="AA148">
        <v>3.5239999999999998E-3</v>
      </c>
      <c r="AB148">
        <v>3.5769999999999999E-3</v>
      </c>
      <c r="AC148">
        <v>3.6259999999999999E-3</v>
      </c>
      <c r="AD148">
        <v>3.6709999999999998E-3</v>
      </c>
      <c r="AE148">
        <v>3.712E-3</v>
      </c>
      <c r="AF148">
        <v>3.748E-3</v>
      </c>
      <c r="AG148">
        <v>3.7620000000000002E-3</v>
      </c>
      <c r="AH148">
        <v>3.7499999999999999E-3</v>
      </c>
      <c r="AI148" s="22">
        <v>6.0000000000000001E-3</v>
      </c>
    </row>
    <row r="149" spans="1:35">
      <c r="A149" t="s">
        <v>195</v>
      </c>
      <c r="B149" t="s">
        <v>1916</v>
      </c>
      <c r="C149" t="s">
        <v>1917</v>
      </c>
      <c r="D149" t="s">
        <v>231</v>
      </c>
      <c r="F149">
        <v>4.9617000000000001E-2</v>
      </c>
      <c r="G149">
        <v>5.2673999999999999E-2</v>
      </c>
      <c r="H149">
        <v>5.5499E-2</v>
      </c>
      <c r="I149">
        <v>5.8312999999999997E-2</v>
      </c>
      <c r="J149">
        <v>6.1046999999999997E-2</v>
      </c>
      <c r="K149">
        <v>6.3582E-2</v>
      </c>
      <c r="L149">
        <v>6.5810999999999995E-2</v>
      </c>
      <c r="M149">
        <v>6.7700999999999997E-2</v>
      </c>
      <c r="N149">
        <v>6.9268999999999997E-2</v>
      </c>
      <c r="O149">
        <v>7.0640999999999995E-2</v>
      </c>
      <c r="P149">
        <v>7.1928000000000006E-2</v>
      </c>
      <c r="Q149">
        <v>7.3205999999999993E-2</v>
      </c>
      <c r="R149">
        <v>7.4462E-2</v>
      </c>
      <c r="S149">
        <v>7.5724E-2</v>
      </c>
      <c r="T149">
        <v>7.7021000000000006E-2</v>
      </c>
      <c r="U149">
        <v>7.8404000000000001E-2</v>
      </c>
      <c r="V149">
        <v>7.9907000000000006E-2</v>
      </c>
      <c r="W149">
        <v>8.1553E-2</v>
      </c>
      <c r="X149">
        <v>8.3330000000000001E-2</v>
      </c>
      <c r="Y149">
        <v>8.5219000000000003E-2</v>
      </c>
      <c r="Z149">
        <v>8.7198999999999999E-2</v>
      </c>
      <c r="AA149">
        <v>8.9256000000000002E-2</v>
      </c>
      <c r="AB149">
        <v>9.1452000000000006E-2</v>
      </c>
      <c r="AC149">
        <v>9.3690999999999997E-2</v>
      </c>
      <c r="AD149">
        <v>9.5894999999999994E-2</v>
      </c>
      <c r="AE149">
        <v>9.8146999999999998E-2</v>
      </c>
      <c r="AF149">
        <v>0.10026400000000001</v>
      </c>
      <c r="AG149">
        <v>0.102393</v>
      </c>
      <c r="AH149">
        <v>0.104612</v>
      </c>
      <c r="AI149" s="22">
        <v>2.7E-2</v>
      </c>
    </row>
    <row r="150" spans="1:35">
      <c r="A150" t="s">
        <v>236</v>
      </c>
      <c r="B150" t="s">
        <v>1918</v>
      </c>
      <c r="C150" t="s">
        <v>1919</v>
      </c>
      <c r="D150" t="s">
        <v>231</v>
      </c>
      <c r="F150">
        <v>0</v>
      </c>
      <c r="G150">
        <v>0</v>
      </c>
      <c r="H150">
        <v>0</v>
      </c>
      <c r="I150">
        <v>0</v>
      </c>
      <c r="J150">
        <v>0</v>
      </c>
      <c r="K150">
        <v>0</v>
      </c>
      <c r="L150">
        <v>0</v>
      </c>
      <c r="M150">
        <v>0</v>
      </c>
      <c r="N150">
        <v>0</v>
      </c>
      <c r="O150">
        <v>0</v>
      </c>
      <c r="P150">
        <v>0</v>
      </c>
      <c r="Q150">
        <v>0</v>
      </c>
      <c r="R150">
        <v>0</v>
      </c>
      <c r="S150">
        <v>0</v>
      </c>
      <c r="T150">
        <v>0</v>
      </c>
      <c r="U150">
        <v>0</v>
      </c>
      <c r="V150">
        <v>0</v>
      </c>
      <c r="W150">
        <v>0</v>
      </c>
      <c r="X150">
        <v>0</v>
      </c>
      <c r="Y150">
        <v>0</v>
      </c>
      <c r="Z150">
        <v>0</v>
      </c>
      <c r="AA150">
        <v>0</v>
      </c>
      <c r="AB150">
        <v>0</v>
      </c>
      <c r="AC150">
        <v>0</v>
      </c>
      <c r="AD150">
        <v>0</v>
      </c>
      <c r="AE150">
        <v>0</v>
      </c>
      <c r="AF150">
        <v>0</v>
      </c>
      <c r="AG150">
        <v>0</v>
      </c>
      <c r="AH150">
        <v>0</v>
      </c>
      <c r="AI150" t="s">
        <v>111</v>
      </c>
    </row>
    <row r="151" spans="1:35">
      <c r="A151" t="s">
        <v>237</v>
      </c>
      <c r="B151" t="s">
        <v>1920</v>
      </c>
      <c r="C151" t="s">
        <v>1921</v>
      </c>
      <c r="D151" t="s">
        <v>231</v>
      </c>
      <c r="F151">
        <v>2.1100000000000001E-4</v>
      </c>
      <c r="G151">
        <v>2.4600000000000002E-4</v>
      </c>
      <c r="H151">
        <v>2.7700000000000001E-4</v>
      </c>
      <c r="I151">
        <v>3.0499999999999999E-4</v>
      </c>
      <c r="J151">
        <v>3.3199999999999999E-4</v>
      </c>
      <c r="K151">
        <v>3.5500000000000001E-4</v>
      </c>
      <c r="L151">
        <v>3.7500000000000001E-4</v>
      </c>
      <c r="M151">
        <v>3.9300000000000001E-4</v>
      </c>
      <c r="N151">
        <v>4.0700000000000003E-4</v>
      </c>
      <c r="O151">
        <v>4.1800000000000002E-4</v>
      </c>
      <c r="P151">
        <v>4.26E-4</v>
      </c>
      <c r="Q151">
        <v>4.3300000000000001E-4</v>
      </c>
      <c r="R151">
        <v>4.37E-4</v>
      </c>
      <c r="S151">
        <v>4.3899999999999999E-4</v>
      </c>
      <c r="T151">
        <v>4.3899999999999999E-4</v>
      </c>
      <c r="U151">
        <v>4.37E-4</v>
      </c>
      <c r="V151">
        <v>4.3399999999999998E-4</v>
      </c>
      <c r="W151">
        <v>4.2999999999999999E-4</v>
      </c>
      <c r="X151">
        <v>4.2400000000000001E-4</v>
      </c>
      <c r="Y151">
        <v>4.1800000000000002E-4</v>
      </c>
      <c r="Z151">
        <v>4.0999999999999999E-4</v>
      </c>
      <c r="AA151">
        <v>4.0099999999999999E-4</v>
      </c>
      <c r="AB151">
        <v>3.9199999999999999E-4</v>
      </c>
      <c r="AC151">
        <v>3.8200000000000002E-4</v>
      </c>
      <c r="AD151">
        <v>3.7199999999999999E-4</v>
      </c>
      <c r="AE151">
        <v>3.6099999999999999E-4</v>
      </c>
      <c r="AF151">
        <v>3.5E-4</v>
      </c>
      <c r="AG151">
        <v>3.3799999999999998E-4</v>
      </c>
      <c r="AH151">
        <v>3.2699999999999998E-4</v>
      </c>
      <c r="AI151" s="22">
        <v>1.6E-2</v>
      </c>
    </row>
    <row r="152" spans="1:35">
      <c r="A152" t="s">
        <v>238</v>
      </c>
      <c r="B152" t="s">
        <v>1922</v>
      </c>
      <c r="C152" t="s">
        <v>1923</v>
      </c>
      <c r="D152" t="s">
        <v>231</v>
      </c>
      <c r="F152">
        <v>0</v>
      </c>
      <c r="G152">
        <v>0</v>
      </c>
      <c r="H152">
        <v>1.03E-4</v>
      </c>
      <c r="I152">
        <v>2.13E-4</v>
      </c>
      <c r="J152">
        <v>3.28E-4</v>
      </c>
      <c r="K152">
        <v>4.4700000000000002E-4</v>
      </c>
      <c r="L152">
        <v>5.6999999999999998E-4</v>
      </c>
      <c r="M152">
        <v>6.9300000000000004E-4</v>
      </c>
      <c r="N152">
        <v>8.1499999999999997E-4</v>
      </c>
      <c r="O152">
        <v>9.3700000000000001E-4</v>
      </c>
      <c r="P152">
        <v>1.0629999999999999E-3</v>
      </c>
      <c r="Q152">
        <v>1.1919999999999999E-3</v>
      </c>
      <c r="R152">
        <v>1.322E-3</v>
      </c>
      <c r="S152">
        <v>1.4530000000000001E-3</v>
      </c>
      <c r="T152">
        <v>1.588E-3</v>
      </c>
      <c r="U152">
        <v>1.7279999999999999E-3</v>
      </c>
      <c r="V152">
        <v>1.8749999999999999E-3</v>
      </c>
      <c r="W152">
        <v>2.029E-3</v>
      </c>
      <c r="X152">
        <v>2.1919999999999999E-3</v>
      </c>
      <c r="Y152">
        <v>2.3609999999999998E-3</v>
      </c>
      <c r="Z152">
        <v>2.539E-3</v>
      </c>
      <c r="AA152">
        <v>2.728E-3</v>
      </c>
      <c r="AB152">
        <v>2.9269999999999999E-3</v>
      </c>
      <c r="AC152">
        <v>3.1350000000000002E-3</v>
      </c>
      <c r="AD152">
        <v>3.3540000000000002E-3</v>
      </c>
      <c r="AE152">
        <v>3.5850000000000001E-3</v>
      </c>
      <c r="AF152">
        <v>3.8300000000000001E-3</v>
      </c>
      <c r="AG152">
        <v>4.0930000000000003E-3</v>
      </c>
      <c r="AH152">
        <v>4.3740000000000003E-3</v>
      </c>
      <c r="AI152" t="s">
        <v>111</v>
      </c>
    </row>
    <row r="153" spans="1:35">
      <c r="A153" t="s">
        <v>239</v>
      </c>
      <c r="B153" t="s">
        <v>1924</v>
      </c>
      <c r="C153" t="s">
        <v>1925</v>
      </c>
      <c r="D153" t="s">
        <v>231</v>
      </c>
      <c r="F153">
        <v>0</v>
      </c>
      <c r="G153">
        <v>0</v>
      </c>
      <c r="H153">
        <v>2.32E-4</v>
      </c>
      <c r="I153">
        <v>4.73E-4</v>
      </c>
      <c r="J153">
        <v>7.2400000000000003E-4</v>
      </c>
      <c r="K153">
        <v>9.7799999999999992E-4</v>
      </c>
      <c r="L153">
        <v>1.235E-3</v>
      </c>
      <c r="M153">
        <v>1.4890000000000001E-3</v>
      </c>
      <c r="N153">
        <v>1.737E-3</v>
      </c>
      <c r="O153">
        <v>1.983E-3</v>
      </c>
      <c r="P153">
        <v>2.232E-3</v>
      </c>
      <c r="Q153">
        <v>2.4870000000000001E-3</v>
      </c>
      <c r="R153">
        <v>2.7399999999999998E-3</v>
      </c>
      <c r="S153">
        <v>2.993E-3</v>
      </c>
      <c r="T153">
        <v>3.2499999999999999E-3</v>
      </c>
      <c r="U153">
        <v>3.5149999999999999E-3</v>
      </c>
      <c r="V153">
        <v>3.79E-3</v>
      </c>
      <c r="W153">
        <v>4.0769999999999999E-3</v>
      </c>
      <c r="X153">
        <v>4.3750000000000004E-3</v>
      </c>
      <c r="Y153">
        <v>4.6839999999999998E-3</v>
      </c>
      <c r="Z153">
        <v>5.0029999999999996E-3</v>
      </c>
      <c r="AA153">
        <v>5.3359999999999996E-3</v>
      </c>
      <c r="AB153">
        <v>5.6810000000000003E-3</v>
      </c>
      <c r="AC153">
        <v>6.0350000000000004E-3</v>
      </c>
      <c r="AD153">
        <v>6.398E-3</v>
      </c>
      <c r="AE153">
        <v>6.7710000000000001E-3</v>
      </c>
      <c r="AF153">
        <v>7.1539999999999998E-3</v>
      </c>
      <c r="AG153">
        <v>7.5510000000000004E-3</v>
      </c>
      <c r="AH153">
        <v>7.9579999999999998E-3</v>
      </c>
      <c r="AI153" t="s">
        <v>111</v>
      </c>
    </row>
    <row r="154" spans="1:35">
      <c r="A154" t="s">
        <v>240</v>
      </c>
      <c r="B154" t="s">
        <v>1926</v>
      </c>
      <c r="C154" t="s">
        <v>1927</v>
      </c>
      <c r="D154" t="s">
        <v>231</v>
      </c>
      <c r="F154">
        <v>0</v>
      </c>
      <c r="G154">
        <v>0</v>
      </c>
      <c r="H154">
        <v>3.39E-4</v>
      </c>
      <c r="I154">
        <v>7.0500000000000001E-4</v>
      </c>
      <c r="J154">
        <v>1.0939999999999999E-3</v>
      </c>
      <c r="K154">
        <v>1.498E-3</v>
      </c>
      <c r="L154">
        <v>1.913E-3</v>
      </c>
      <c r="M154">
        <v>2.3310000000000002E-3</v>
      </c>
      <c r="N154">
        <v>2.7430000000000002E-3</v>
      </c>
      <c r="O154">
        <v>3.15E-3</v>
      </c>
      <c r="P154">
        <v>3.5609999999999999E-3</v>
      </c>
      <c r="Q154">
        <v>3.9750000000000002E-3</v>
      </c>
      <c r="R154">
        <v>4.3810000000000003E-3</v>
      </c>
      <c r="S154">
        <v>4.7840000000000001E-3</v>
      </c>
      <c r="T154">
        <v>5.1879999999999999E-3</v>
      </c>
      <c r="U154">
        <v>5.5979999999999997E-3</v>
      </c>
      <c r="V154">
        <v>6.019E-3</v>
      </c>
      <c r="W154">
        <v>6.4510000000000001E-3</v>
      </c>
      <c r="X154">
        <v>6.8929999999999998E-3</v>
      </c>
      <c r="Y154">
        <v>7.3410000000000003E-3</v>
      </c>
      <c r="Z154">
        <v>7.7970000000000001E-3</v>
      </c>
      <c r="AA154">
        <v>8.2649999999999998E-3</v>
      </c>
      <c r="AB154">
        <v>8.7449999999999993E-3</v>
      </c>
      <c r="AC154">
        <v>9.2339999999999992E-3</v>
      </c>
      <c r="AD154">
        <v>9.7330000000000003E-3</v>
      </c>
      <c r="AE154">
        <v>1.0248E-2</v>
      </c>
      <c r="AF154">
        <v>1.0784E-2</v>
      </c>
      <c r="AG154">
        <v>1.1351999999999999E-2</v>
      </c>
      <c r="AH154">
        <v>1.1953E-2</v>
      </c>
      <c r="AI154" t="s">
        <v>111</v>
      </c>
    </row>
    <row r="155" spans="1:35">
      <c r="A155" t="s">
        <v>244</v>
      </c>
      <c r="B155" t="s">
        <v>1928</v>
      </c>
      <c r="C155" t="s">
        <v>1929</v>
      </c>
      <c r="D155" t="s">
        <v>231</v>
      </c>
      <c r="F155">
        <v>5.2911479999999997</v>
      </c>
      <c r="G155">
        <v>5.3277859999999997</v>
      </c>
      <c r="H155">
        <v>5.361364</v>
      </c>
      <c r="I155">
        <v>5.4141409999999999</v>
      </c>
      <c r="J155">
        <v>5.4835739999999999</v>
      </c>
      <c r="K155">
        <v>5.5588680000000004</v>
      </c>
      <c r="L155">
        <v>5.6338869999999996</v>
      </c>
      <c r="M155">
        <v>5.6994319999999998</v>
      </c>
      <c r="N155">
        <v>5.7560359999999999</v>
      </c>
      <c r="O155">
        <v>5.8058969999999999</v>
      </c>
      <c r="P155">
        <v>5.8512890000000004</v>
      </c>
      <c r="Q155">
        <v>5.8883010000000002</v>
      </c>
      <c r="R155">
        <v>5.9090590000000001</v>
      </c>
      <c r="S155">
        <v>5.9270550000000002</v>
      </c>
      <c r="T155">
        <v>5.9491949999999996</v>
      </c>
      <c r="U155">
        <v>5.9732479999999999</v>
      </c>
      <c r="V155">
        <v>5.9989850000000002</v>
      </c>
      <c r="W155">
        <v>6.018948</v>
      </c>
      <c r="X155">
        <v>6.0332739999999996</v>
      </c>
      <c r="Y155">
        <v>6.0349839999999997</v>
      </c>
      <c r="Z155">
        <v>6.0468520000000003</v>
      </c>
      <c r="AA155">
        <v>6.0650259999999996</v>
      </c>
      <c r="AB155">
        <v>6.0898079999999997</v>
      </c>
      <c r="AC155">
        <v>6.1137839999999999</v>
      </c>
      <c r="AD155">
        <v>6.1291479999999998</v>
      </c>
      <c r="AE155">
        <v>6.1377309999999996</v>
      </c>
      <c r="AF155">
        <v>6.1415920000000002</v>
      </c>
      <c r="AG155">
        <v>6.1392160000000002</v>
      </c>
      <c r="AH155">
        <v>6.1293030000000002</v>
      </c>
      <c r="AI155" s="22">
        <v>5.0000000000000001E-3</v>
      </c>
    </row>
    <row r="156" spans="1:35">
      <c r="A156" t="s">
        <v>254</v>
      </c>
      <c r="B156" t="s">
        <v>1930</v>
      </c>
      <c r="C156" t="s">
        <v>1931</v>
      </c>
      <c r="D156" t="s">
        <v>231</v>
      </c>
      <c r="F156">
        <v>13.625920000000001</v>
      </c>
      <c r="G156">
        <v>13.830966</v>
      </c>
      <c r="H156">
        <v>14.042211999999999</v>
      </c>
      <c r="I156">
        <v>14.298769</v>
      </c>
      <c r="J156">
        <v>14.586748999999999</v>
      </c>
      <c r="K156">
        <v>14.883342000000001</v>
      </c>
      <c r="L156">
        <v>15.179776</v>
      </c>
      <c r="M156">
        <v>15.460215</v>
      </c>
      <c r="N156">
        <v>15.724275</v>
      </c>
      <c r="O156">
        <v>15.96926</v>
      </c>
      <c r="P156">
        <v>16.215009999999999</v>
      </c>
      <c r="Q156">
        <v>16.438492</v>
      </c>
      <c r="R156">
        <v>16.629252999999999</v>
      </c>
      <c r="S156">
        <v>16.807797999999998</v>
      </c>
      <c r="T156">
        <v>16.990765</v>
      </c>
      <c r="U156">
        <v>17.179614999999998</v>
      </c>
      <c r="V156">
        <v>17.374410999999998</v>
      </c>
      <c r="W156">
        <v>17.565836000000001</v>
      </c>
      <c r="X156">
        <v>17.747601</v>
      </c>
      <c r="Y156">
        <v>17.920214000000001</v>
      </c>
      <c r="Z156">
        <v>18.102879999999999</v>
      </c>
      <c r="AA156">
        <v>18.310333</v>
      </c>
      <c r="AB156">
        <v>18.536829000000001</v>
      </c>
      <c r="AC156">
        <v>18.754881000000001</v>
      </c>
      <c r="AD156">
        <v>18.954508000000001</v>
      </c>
      <c r="AE156">
        <v>19.148928000000002</v>
      </c>
      <c r="AF156">
        <v>19.338676</v>
      </c>
      <c r="AG156">
        <v>19.511382999999999</v>
      </c>
      <c r="AH156">
        <v>19.669333000000002</v>
      </c>
      <c r="AI156" s="22">
        <v>1.2999999999999999E-2</v>
      </c>
    </row>
    <row r="157" spans="1:35">
      <c r="A157" t="s">
        <v>148</v>
      </c>
    </row>
    <row r="158" spans="1:35">
      <c r="A158" t="s">
        <v>248</v>
      </c>
    </row>
    <row r="159" spans="1:35">
      <c r="A159" t="s">
        <v>170</v>
      </c>
    </row>
    <row r="160" spans="1:35">
      <c r="A160" t="s">
        <v>189</v>
      </c>
      <c r="B160" t="s">
        <v>1932</v>
      </c>
      <c r="C160" t="s">
        <v>1933</v>
      </c>
      <c r="D160" t="s">
        <v>267</v>
      </c>
      <c r="F160">
        <v>17.217651</v>
      </c>
      <c r="G160">
        <v>17.744102000000002</v>
      </c>
      <c r="H160">
        <v>18.613112999999998</v>
      </c>
      <c r="I160">
        <v>19.406454</v>
      </c>
      <c r="J160">
        <v>19.919450999999999</v>
      </c>
      <c r="K160">
        <v>20.357067000000001</v>
      </c>
      <c r="L160">
        <v>20.345766000000001</v>
      </c>
      <c r="M160">
        <v>20.365276000000001</v>
      </c>
      <c r="N160">
        <v>20.329483</v>
      </c>
      <c r="O160">
        <v>20.286487999999999</v>
      </c>
      <c r="P160">
        <v>20.227633000000001</v>
      </c>
      <c r="Q160">
        <v>20.160954</v>
      </c>
      <c r="R160">
        <v>20.104237000000001</v>
      </c>
      <c r="S160">
        <v>20.056694</v>
      </c>
      <c r="T160">
        <v>20.015709000000001</v>
      </c>
      <c r="U160">
        <v>19.980319999999999</v>
      </c>
      <c r="V160">
        <v>19.946562</v>
      </c>
      <c r="W160">
        <v>19.921679000000001</v>
      </c>
      <c r="X160">
        <v>19.899581999999999</v>
      </c>
      <c r="Y160">
        <v>19.880113999999999</v>
      </c>
      <c r="Z160">
        <v>19.863033000000001</v>
      </c>
      <c r="AA160">
        <v>19.847951999999999</v>
      </c>
      <c r="AB160">
        <v>19.834671</v>
      </c>
      <c r="AC160">
        <v>19.822828000000001</v>
      </c>
      <c r="AD160">
        <v>19.812082</v>
      </c>
      <c r="AE160">
        <v>19.802446</v>
      </c>
      <c r="AF160">
        <v>19.793932000000002</v>
      </c>
      <c r="AG160">
        <v>19.786345000000001</v>
      </c>
      <c r="AH160">
        <v>19.779591</v>
      </c>
      <c r="AI160" s="22">
        <v>5.0000000000000001E-3</v>
      </c>
    </row>
    <row r="161" spans="1:35">
      <c r="A161" t="s">
        <v>235</v>
      </c>
      <c r="B161" t="s">
        <v>1934</v>
      </c>
      <c r="C161" t="s">
        <v>1935</v>
      </c>
      <c r="D161" t="s">
        <v>268</v>
      </c>
      <c r="F161">
        <v>12.602778000000001</v>
      </c>
      <c r="G161">
        <v>13.424471</v>
      </c>
      <c r="H161">
        <v>13.844147</v>
      </c>
      <c r="I161">
        <v>14.268711</v>
      </c>
      <c r="J161">
        <v>14.534000000000001</v>
      </c>
      <c r="K161">
        <v>14.870362999999999</v>
      </c>
      <c r="L161">
        <v>14.893618999999999</v>
      </c>
      <c r="M161">
        <v>14.980943</v>
      </c>
      <c r="N161">
        <v>15.045360000000001</v>
      </c>
      <c r="O161">
        <v>15.091772000000001</v>
      </c>
      <c r="P161">
        <v>15.092649</v>
      </c>
      <c r="Q161">
        <v>15.080295</v>
      </c>
      <c r="R161">
        <v>15.0722</v>
      </c>
      <c r="S161">
        <v>15.068865000000001</v>
      </c>
      <c r="T161">
        <v>15.063532</v>
      </c>
      <c r="U161">
        <v>15.059089</v>
      </c>
      <c r="V161">
        <v>15.055775000000001</v>
      </c>
      <c r="W161">
        <v>15.053272</v>
      </c>
      <c r="X161">
        <v>15.051292999999999</v>
      </c>
      <c r="Y161">
        <v>14.504057</v>
      </c>
      <c r="Z161">
        <v>14.523482</v>
      </c>
      <c r="AA161">
        <v>14.552607999999999</v>
      </c>
      <c r="AB161">
        <v>14.596041</v>
      </c>
      <c r="AC161">
        <v>14.656158</v>
      </c>
      <c r="AD161">
        <v>14.731966</v>
      </c>
      <c r="AE161">
        <v>14.818673</v>
      </c>
      <c r="AF161">
        <v>14.907721</v>
      </c>
      <c r="AG161">
        <v>14.987799000000001</v>
      </c>
      <c r="AH161">
        <v>15.053252000000001</v>
      </c>
      <c r="AI161" s="22">
        <v>6.0000000000000001E-3</v>
      </c>
    </row>
    <row r="162" spans="1:35">
      <c r="A162" t="s">
        <v>192</v>
      </c>
      <c r="B162" t="s">
        <v>1936</v>
      </c>
      <c r="C162" t="s">
        <v>1937</v>
      </c>
      <c r="D162" t="s">
        <v>268</v>
      </c>
      <c r="F162">
        <v>12.370099</v>
      </c>
      <c r="G162">
        <v>12.423861</v>
      </c>
      <c r="H162">
        <v>12.629719</v>
      </c>
      <c r="I162">
        <v>12.777949</v>
      </c>
      <c r="J162">
        <v>12.891643</v>
      </c>
      <c r="K162">
        <v>13.075706</v>
      </c>
      <c r="L162">
        <v>13.197225</v>
      </c>
      <c r="M162">
        <v>13.404845999999999</v>
      </c>
      <c r="N162">
        <v>13.653918000000001</v>
      </c>
      <c r="O162">
        <v>13.885319000000001</v>
      </c>
      <c r="P162">
        <v>14.103802999999999</v>
      </c>
      <c r="Q162">
        <v>14.261164000000001</v>
      </c>
      <c r="R162">
        <v>14.349313</v>
      </c>
      <c r="S162">
        <v>14.374276999999999</v>
      </c>
      <c r="T162">
        <v>14.390862</v>
      </c>
      <c r="U162">
        <v>14.392963999999999</v>
      </c>
      <c r="V162">
        <v>14.388192999999999</v>
      </c>
      <c r="W162">
        <v>14.383031000000001</v>
      </c>
      <c r="X162">
        <v>14.379376000000001</v>
      </c>
      <c r="Y162">
        <v>14.376702999999999</v>
      </c>
      <c r="Z162">
        <v>14.375076</v>
      </c>
      <c r="AA162">
        <v>14.373309000000001</v>
      </c>
      <c r="AB162">
        <v>14.371249000000001</v>
      </c>
      <c r="AC162">
        <v>14.369225999999999</v>
      </c>
      <c r="AD162">
        <v>14.367286</v>
      </c>
      <c r="AE162">
        <v>14.365677</v>
      </c>
      <c r="AF162">
        <v>14.364300999999999</v>
      </c>
      <c r="AG162">
        <v>14.363234</v>
      </c>
      <c r="AH162">
        <v>14.362272000000001</v>
      </c>
      <c r="AI162" s="22">
        <v>5.0000000000000001E-3</v>
      </c>
    </row>
    <row r="163" spans="1:35">
      <c r="A163" t="s">
        <v>195</v>
      </c>
      <c r="B163" t="s">
        <v>1938</v>
      </c>
      <c r="C163" t="s">
        <v>1939</v>
      </c>
      <c r="D163" t="s">
        <v>268</v>
      </c>
      <c r="F163">
        <v>12.486860999999999</v>
      </c>
      <c r="G163">
        <v>12.486860999999999</v>
      </c>
      <c r="H163">
        <v>12.486860999999999</v>
      </c>
      <c r="I163">
        <v>12.486860999999999</v>
      </c>
      <c r="J163">
        <v>12.486863</v>
      </c>
      <c r="K163">
        <v>12.486863</v>
      </c>
      <c r="L163">
        <v>12.486863</v>
      </c>
      <c r="M163">
        <v>12.486863</v>
      </c>
      <c r="N163">
        <v>12.48686</v>
      </c>
      <c r="O163">
        <v>12.486863</v>
      </c>
      <c r="P163">
        <v>12.486859000000001</v>
      </c>
      <c r="Q163">
        <v>12.486859000000001</v>
      </c>
      <c r="R163">
        <v>12.486859000000001</v>
      </c>
      <c r="S163">
        <v>12.486858</v>
      </c>
      <c r="T163">
        <v>12.486863</v>
      </c>
      <c r="U163">
        <v>12.486863</v>
      </c>
      <c r="V163">
        <v>12.486863</v>
      </c>
      <c r="W163">
        <v>12.486860999999999</v>
      </c>
      <c r="X163">
        <v>12.486860999999999</v>
      </c>
      <c r="Y163">
        <v>12.486863</v>
      </c>
      <c r="Z163">
        <v>12.486860999999999</v>
      </c>
      <c r="AA163">
        <v>12.486864000000001</v>
      </c>
      <c r="AB163">
        <v>12.486860999999999</v>
      </c>
      <c r="AC163">
        <v>12.486860999999999</v>
      </c>
      <c r="AD163">
        <v>12.48686</v>
      </c>
      <c r="AE163">
        <v>12.486864000000001</v>
      </c>
      <c r="AF163">
        <v>12.486863</v>
      </c>
      <c r="AG163">
        <v>12.486864000000001</v>
      </c>
      <c r="AH163">
        <v>12.486860999999999</v>
      </c>
      <c r="AI163" s="22">
        <v>0</v>
      </c>
    </row>
    <row r="164" spans="1:35">
      <c r="A164" t="s">
        <v>236</v>
      </c>
      <c r="B164" t="s">
        <v>1940</v>
      </c>
      <c r="C164" t="s">
        <v>1941</v>
      </c>
      <c r="D164" t="s">
        <v>268</v>
      </c>
      <c r="F164">
        <v>12.856377999999999</v>
      </c>
      <c r="G164">
        <v>13.20093</v>
      </c>
      <c r="H164">
        <v>13.608930000000001</v>
      </c>
      <c r="I164">
        <v>14.025847000000001</v>
      </c>
      <c r="J164">
        <v>14.287955999999999</v>
      </c>
      <c r="K164">
        <v>14.621302</v>
      </c>
      <c r="L164">
        <v>14.646343</v>
      </c>
      <c r="M164">
        <v>14.734266999999999</v>
      </c>
      <c r="N164">
        <v>14.797757000000001</v>
      </c>
      <c r="O164">
        <v>14.841548</v>
      </c>
      <c r="P164">
        <v>14.838324</v>
      </c>
      <c r="Q164">
        <v>14.82273</v>
      </c>
      <c r="R164">
        <v>14.808649000000001</v>
      </c>
      <c r="S164">
        <v>14.801766000000001</v>
      </c>
      <c r="T164">
        <v>14.794805999999999</v>
      </c>
      <c r="U164">
        <v>14.790613</v>
      </c>
      <c r="V164">
        <v>14.787017000000001</v>
      </c>
      <c r="W164">
        <v>14.783522</v>
      </c>
      <c r="X164">
        <v>14.781934</v>
      </c>
      <c r="Y164">
        <v>14.225555999999999</v>
      </c>
      <c r="Z164">
        <v>14.235229</v>
      </c>
      <c r="AA164">
        <v>14.265335</v>
      </c>
      <c r="AB164">
        <v>14.310340999999999</v>
      </c>
      <c r="AC164">
        <v>14.372424000000001</v>
      </c>
      <c r="AD164">
        <v>14.450157000000001</v>
      </c>
      <c r="AE164">
        <v>14.539440000000001</v>
      </c>
      <c r="AF164">
        <v>14.631843</v>
      </c>
      <c r="AG164">
        <v>14.715491</v>
      </c>
      <c r="AH164">
        <v>14.784141</v>
      </c>
      <c r="AI164" s="22">
        <v>5.0000000000000001E-3</v>
      </c>
    </row>
    <row r="165" spans="1:35">
      <c r="A165" t="s">
        <v>237</v>
      </c>
      <c r="B165" t="s">
        <v>1942</v>
      </c>
      <c r="C165" t="s">
        <v>1943</v>
      </c>
      <c r="D165" t="s">
        <v>267</v>
      </c>
      <c r="F165">
        <v>27.219131000000001</v>
      </c>
      <c r="G165">
        <v>27.246206000000001</v>
      </c>
      <c r="H165">
        <v>27.281479000000001</v>
      </c>
      <c r="I165">
        <v>27.325984999999999</v>
      </c>
      <c r="J165">
        <v>27.380227999999999</v>
      </c>
      <c r="K165">
        <v>27.443396</v>
      </c>
      <c r="L165">
        <v>27.474347999999999</v>
      </c>
      <c r="M165">
        <v>27.529593999999999</v>
      </c>
      <c r="N165">
        <v>27.582577000000001</v>
      </c>
      <c r="O165">
        <v>27.631516000000001</v>
      </c>
      <c r="P165">
        <v>27.674510999999999</v>
      </c>
      <c r="Q165">
        <v>27.700320999999999</v>
      </c>
      <c r="R165">
        <v>27.708849000000001</v>
      </c>
      <c r="S165">
        <v>27.716260999999999</v>
      </c>
      <c r="T165">
        <v>27.722021000000002</v>
      </c>
      <c r="U165">
        <v>27.722662</v>
      </c>
      <c r="V165">
        <v>27.722632999999998</v>
      </c>
      <c r="W165">
        <v>27.722607</v>
      </c>
      <c r="X165">
        <v>27.722588999999999</v>
      </c>
      <c r="Y165">
        <v>27.722577999999999</v>
      </c>
      <c r="Z165">
        <v>27.722567000000002</v>
      </c>
      <c r="AA165">
        <v>27.722564999999999</v>
      </c>
      <c r="AB165">
        <v>27.722549000000001</v>
      </c>
      <c r="AC165">
        <v>27.722548</v>
      </c>
      <c r="AD165">
        <v>27.722542000000001</v>
      </c>
      <c r="AE165">
        <v>27.722548</v>
      </c>
      <c r="AF165">
        <v>27.722542000000001</v>
      </c>
      <c r="AG165">
        <v>27.722542000000001</v>
      </c>
      <c r="AH165">
        <v>27.722532000000001</v>
      </c>
      <c r="AI165" s="22">
        <v>1E-3</v>
      </c>
    </row>
    <row r="166" spans="1:35">
      <c r="A166" t="s">
        <v>238</v>
      </c>
      <c r="B166" t="s">
        <v>1944</v>
      </c>
      <c r="C166" t="s">
        <v>1945</v>
      </c>
      <c r="D166" t="s">
        <v>267</v>
      </c>
      <c r="F166">
        <v>0</v>
      </c>
      <c r="G166">
        <v>23.149602999999999</v>
      </c>
      <c r="H166">
        <v>23.792294999999999</v>
      </c>
      <c r="I166">
        <v>24.200839999999999</v>
      </c>
      <c r="J166">
        <v>24.605046999999999</v>
      </c>
      <c r="K166">
        <v>25.171638000000002</v>
      </c>
      <c r="L166">
        <v>25.638380000000002</v>
      </c>
      <c r="M166">
        <v>26.350712000000001</v>
      </c>
      <c r="N166">
        <v>27.125641000000002</v>
      </c>
      <c r="O166">
        <v>27.895655000000001</v>
      </c>
      <c r="P166">
        <v>28.569617999999998</v>
      </c>
      <c r="Q166">
        <v>28.919391999999998</v>
      </c>
      <c r="R166">
        <v>29.067191999999999</v>
      </c>
      <c r="S166">
        <v>29.093648999999999</v>
      </c>
      <c r="T166">
        <v>29.114096</v>
      </c>
      <c r="U166">
        <v>29.116447000000001</v>
      </c>
      <c r="V166">
        <v>29.109842</v>
      </c>
      <c r="W166">
        <v>29.103829999999999</v>
      </c>
      <c r="X166">
        <v>29.098240000000001</v>
      </c>
      <c r="Y166">
        <v>29.093197</v>
      </c>
      <c r="Z166">
        <v>29.089124999999999</v>
      </c>
      <c r="AA166">
        <v>29.085042999999999</v>
      </c>
      <c r="AB166">
        <v>29.081071999999999</v>
      </c>
      <c r="AC166">
        <v>29.077499</v>
      </c>
      <c r="AD166">
        <v>29.074244</v>
      </c>
      <c r="AE166">
        <v>29.071300999999998</v>
      </c>
      <c r="AF166">
        <v>29.068680000000001</v>
      </c>
      <c r="AG166">
        <v>29.066320000000001</v>
      </c>
      <c r="AH166">
        <v>29.064229999999998</v>
      </c>
      <c r="AI166" t="s">
        <v>111</v>
      </c>
    </row>
    <row r="167" spans="1:35">
      <c r="A167" t="s">
        <v>239</v>
      </c>
      <c r="B167" t="s">
        <v>1946</v>
      </c>
      <c r="C167" t="s">
        <v>1947</v>
      </c>
      <c r="D167" t="s">
        <v>268</v>
      </c>
      <c r="F167">
        <v>0</v>
      </c>
      <c r="G167">
        <v>18.966135000000001</v>
      </c>
      <c r="H167">
        <v>19.217065999999999</v>
      </c>
      <c r="I167">
        <v>19.464846000000001</v>
      </c>
      <c r="J167">
        <v>19.583196999999998</v>
      </c>
      <c r="K167">
        <v>19.765567999999998</v>
      </c>
      <c r="L167">
        <v>19.883178999999998</v>
      </c>
      <c r="M167">
        <v>20.084596999999999</v>
      </c>
      <c r="N167">
        <v>20.313245999999999</v>
      </c>
      <c r="O167">
        <v>20.535800999999999</v>
      </c>
      <c r="P167">
        <v>20.723002999999999</v>
      </c>
      <c r="Q167">
        <v>20.855868999999998</v>
      </c>
      <c r="R167">
        <v>20.952625000000001</v>
      </c>
      <c r="S167">
        <v>20.993577999999999</v>
      </c>
      <c r="T167">
        <v>21.033982999999999</v>
      </c>
      <c r="U167">
        <v>21.055209999999999</v>
      </c>
      <c r="V167">
        <v>21.058744000000001</v>
      </c>
      <c r="W167">
        <v>21.054012</v>
      </c>
      <c r="X167">
        <v>21.050003</v>
      </c>
      <c r="Y167">
        <v>21.046147999999999</v>
      </c>
      <c r="Z167">
        <v>21.043344000000001</v>
      </c>
      <c r="AA167">
        <v>21.040512</v>
      </c>
      <c r="AB167">
        <v>21.038179</v>
      </c>
      <c r="AC167">
        <v>21.036017999999999</v>
      </c>
      <c r="AD167">
        <v>21.033674000000001</v>
      </c>
      <c r="AE167">
        <v>21.031624000000001</v>
      </c>
      <c r="AF167">
        <v>21.030093999999998</v>
      </c>
      <c r="AG167">
        <v>21.028852000000001</v>
      </c>
      <c r="AH167">
        <v>21.027874000000001</v>
      </c>
      <c r="AI167" t="s">
        <v>111</v>
      </c>
    </row>
    <row r="168" spans="1:35">
      <c r="A168" t="s">
        <v>240</v>
      </c>
      <c r="B168" t="s">
        <v>1948</v>
      </c>
      <c r="C168" t="s">
        <v>1949</v>
      </c>
      <c r="D168" t="s">
        <v>267</v>
      </c>
      <c r="F168">
        <v>0</v>
      </c>
      <c r="G168">
        <v>0</v>
      </c>
      <c r="H168">
        <v>18.589188</v>
      </c>
      <c r="I168">
        <v>16.244858000000001</v>
      </c>
      <c r="J168">
        <v>16.244858000000001</v>
      </c>
      <c r="K168">
        <v>16.244858000000001</v>
      </c>
      <c r="L168">
        <v>16.244858000000001</v>
      </c>
      <c r="M168">
        <v>16.244858000000001</v>
      </c>
      <c r="N168">
        <v>16.244858000000001</v>
      </c>
      <c r="O168">
        <v>16.244858000000001</v>
      </c>
      <c r="P168">
        <v>16.244858000000001</v>
      </c>
      <c r="Q168">
        <v>16.244858000000001</v>
      </c>
      <c r="R168">
        <v>16.244858000000001</v>
      </c>
      <c r="S168">
        <v>16.244858000000001</v>
      </c>
      <c r="T168">
        <v>16.244858000000001</v>
      </c>
      <c r="U168">
        <v>16.244858000000001</v>
      </c>
      <c r="V168">
        <v>16.244858000000001</v>
      </c>
      <c r="W168">
        <v>16.244858000000001</v>
      </c>
      <c r="X168">
        <v>16.244858000000001</v>
      </c>
      <c r="Y168">
        <v>16.244858000000001</v>
      </c>
      <c r="Z168">
        <v>16.244858000000001</v>
      </c>
      <c r="AA168">
        <v>16.244858000000001</v>
      </c>
      <c r="AB168">
        <v>16.244858000000001</v>
      </c>
      <c r="AC168">
        <v>16.244858000000001</v>
      </c>
      <c r="AD168">
        <v>16.244858000000001</v>
      </c>
      <c r="AE168">
        <v>16.244858000000001</v>
      </c>
      <c r="AF168">
        <v>16.244858000000001</v>
      </c>
      <c r="AG168">
        <v>16.244858000000001</v>
      </c>
      <c r="AH168">
        <v>16.244858000000001</v>
      </c>
      <c r="AI168" t="s">
        <v>111</v>
      </c>
    </row>
    <row r="169" spans="1:35">
      <c r="A169" t="s">
        <v>249</v>
      </c>
      <c r="B169" t="s">
        <v>1950</v>
      </c>
      <c r="C169" t="s">
        <v>1951</v>
      </c>
      <c r="F169">
        <v>15.490895999999999</v>
      </c>
      <c r="G169">
        <v>16.166305999999999</v>
      </c>
      <c r="H169">
        <v>16.862936000000001</v>
      </c>
      <c r="I169">
        <v>17.517621999999999</v>
      </c>
      <c r="J169">
        <v>17.939973999999999</v>
      </c>
      <c r="K169">
        <v>18.351084</v>
      </c>
      <c r="L169">
        <v>18.363810999999998</v>
      </c>
      <c r="M169">
        <v>18.421906</v>
      </c>
      <c r="N169">
        <v>18.436741000000001</v>
      </c>
      <c r="O169">
        <v>18.438327999999998</v>
      </c>
      <c r="P169">
        <v>18.410077999999999</v>
      </c>
      <c r="Q169">
        <v>18.370756</v>
      </c>
      <c r="R169">
        <v>18.338426999999999</v>
      </c>
      <c r="S169">
        <v>18.312878000000001</v>
      </c>
      <c r="T169">
        <v>18.289845</v>
      </c>
      <c r="U169">
        <v>18.270005999999999</v>
      </c>
      <c r="V169">
        <v>18.251180999999999</v>
      </c>
      <c r="W169">
        <v>18.237627</v>
      </c>
      <c r="X169">
        <v>18.225670000000001</v>
      </c>
      <c r="Y169">
        <v>17.98377</v>
      </c>
      <c r="Z169">
        <v>17.984095</v>
      </c>
      <c r="AA169">
        <v>17.989407</v>
      </c>
      <c r="AB169">
        <v>18.001579</v>
      </c>
      <c r="AC169">
        <v>18.021345</v>
      </c>
      <c r="AD169">
        <v>18.048006000000001</v>
      </c>
      <c r="AE169">
        <v>18.079432000000001</v>
      </c>
      <c r="AF169">
        <v>18.112024000000002</v>
      </c>
      <c r="AG169">
        <v>18.141033</v>
      </c>
      <c r="AH169">
        <v>18.164223</v>
      </c>
      <c r="AI169" s="22">
        <v>6.0000000000000001E-3</v>
      </c>
    </row>
    <row r="170" spans="1:35">
      <c r="A170" t="s">
        <v>171</v>
      </c>
    </row>
    <row r="171" spans="1:35">
      <c r="A171" t="s">
        <v>189</v>
      </c>
      <c r="B171" t="s">
        <v>1952</v>
      </c>
      <c r="C171" t="s">
        <v>1953</v>
      </c>
      <c r="D171" t="s">
        <v>267</v>
      </c>
      <c r="F171">
        <v>10.573097000000001</v>
      </c>
      <c r="G171">
        <v>11.142481999999999</v>
      </c>
      <c r="H171">
        <v>11.550675</v>
      </c>
      <c r="I171">
        <v>11.977062999999999</v>
      </c>
      <c r="J171">
        <v>12.422694</v>
      </c>
      <c r="K171">
        <v>12.829067</v>
      </c>
      <c r="L171">
        <v>12.983183</v>
      </c>
      <c r="M171">
        <v>13.298928</v>
      </c>
      <c r="N171">
        <v>13.580273999999999</v>
      </c>
      <c r="O171">
        <v>13.839663</v>
      </c>
      <c r="P171">
        <v>13.962664</v>
      </c>
      <c r="Q171">
        <v>13.93507</v>
      </c>
      <c r="R171">
        <v>13.911441999999999</v>
      </c>
      <c r="S171">
        <v>13.891622999999999</v>
      </c>
      <c r="T171">
        <v>13.875118000000001</v>
      </c>
      <c r="U171">
        <v>13.861440999999999</v>
      </c>
      <c r="V171">
        <v>13.850263999999999</v>
      </c>
      <c r="W171">
        <v>13.841043000000001</v>
      </c>
      <c r="X171">
        <v>13.833132000000001</v>
      </c>
      <c r="Y171">
        <v>13.826354</v>
      </c>
      <c r="Z171">
        <v>13.820491000000001</v>
      </c>
      <c r="AA171">
        <v>13.815535000000001</v>
      </c>
      <c r="AB171">
        <v>13.811344</v>
      </c>
      <c r="AC171">
        <v>13.807777</v>
      </c>
      <c r="AD171">
        <v>13.804619000000001</v>
      </c>
      <c r="AE171">
        <v>13.801878</v>
      </c>
      <c r="AF171">
        <v>13.799593</v>
      </c>
      <c r="AG171">
        <v>13.797670999999999</v>
      </c>
      <c r="AH171">
        <v>13.796167000000001</v>
      </c>
      <c r="AI171" s="22">
        <v>0.01</v>
      </c>
    </row>
    <row r="172" spans="1:35">
      <c r="A172" t="s">
        <v>235</v>
      </c>
      <c r="B172" t="s">
        <v>1954</v>
      </c>
      <c r="C172" t="s">
        <v>1955</v>
      </c>
      <c r="D172" t="s">
        <v>268</v>
      </c>
      <c r="F172">
        <v>7.5891770000000003</v>
      </c>
      <c r="G172">
        <v>7.6523339999999997</v>
      </c>
      <c r="H172">
        <v>7.8744550000000002</v>
      </c>
      <c r="I172">
        <v>8.1242289999999997</v>
      </c>
      <c r="J172">
        <v>8.3943469999999998</v>
      </c>
      <c r="K172">
        <v>8.6589279999999995</v>
      </c>
      <c r="L172">
        <v>8.7443919999999995</v>
      </c>
      <c r="M172">
        <v>8.950094</v>
      </c>
      <c r="N172">
        <v>9.1302690000000002</v>
      </c>
      <c r="O172">
        <v>9.29664</v>
      </c>
      <c r="P172">
        <v>9.4047549999999998</v>
      </c>
      <c r="Q172">
        <v>9.4433319999999998</v>
      </c>
      <c r="R172">
        <v>9.4775770000000001</v>
      </c>
      <c r="S172">
        <v>9.4981810000000007</v>
      </c>
      <c r="T172">
        <v>9.5133659999999995</v>
      </c>
      <c r="U172">
        <v>9.5167750000000009</v>
      </c>
      <c r="V172">
        <v>9.5163709999999995</v>
      </c>
      <c r="W172">
        <v>9.5160710000000002</v>
      </c>
      <c r="X172">
        <v>9.515841</v>
      </c>
      <c r="Y172">
        <v>9.5156679999999998</v>
      </c>
      <c r="Z172">
        <v>9.5155329999999996</v>
      </c>
      <c r="AA172">
        <v>9.5154340000000008</v>
      </c>
      <c r="AB172">
        <v>9.5153590000000001</v>
      </c>
      <c r="AC172">
        <v>9.5152990000000006</v>
      </c>
      <c r="AD172">
        <v>9.5152549999999998</v>
      </c>
      <c r="AE172">
        <v>9.5152210000000004</v>
      </c>
      <c r="AF172">
        <v>9.5151939999999993</v>
      </c>
      <c r="AG172">
        <v>9.5151730000000008</v>
      </c>
      <c r="AH172">
        <v>9.5151610000000009</v>
      </c>
      <c r="AI172" s="22">
        <v>8.0000000000000002E-3</v>
      </c>
    </row>
    <row r="173" spans="1:35">
      <c r="A173" t="s">
        <v>192</v>
      </c>
      <c r="B173" t="s">
        <v>1956</v>
      </c>
      <c r="C173" t="s">
        <v>1957</v>
      </c>
      <c r="D173" t="s">
        <v>268</v>
      </c>
      <c r="F173">
        <v>7.1242470000000004</v>
      </c>
      <c r="G173">
        <v>7.216818</v>
      </c>
      <c r="H173">
        <v>7.356338</v>
      </c>
      <c r="I173">
        <v>7.5275080000000001</v>
      </c>
      <c r="J173">
        <v>7.7367439999999998</v>
      </c>
      <c r="K173">
        <v>7.9802749999999998</v>
      </c>
      <c r="L173">
        <v>8.1329689999999992</v>
      </c>
      <c r="M173">
        <v>8.3850580000000008</v>
      </c>
      <c r="N173">
        <v>8.6340389999999996</v>
      </c>
      <c r="O173">
        <v>8.8846019999999992</v>
      </c>
      <c r="P173">
        <v>9.1037320000000008</v>
      </c>
      <c r="Q173">
        <v>9.2685969999999998</v>
      </c>
      <c r="R173">
        <v>9.3673669999999998</v>
      </c>
      <c r="S173">
        <v>9.3986730000000005</v>
      </c>
      <c r="T173">
        <v>9.4239759999999997</v>
      </c>
      <c r="U173">
        <v>9.4243430000000004</v>
      </c>
      <c r="V173">
        <v>9.4240860000000009</v>
      </c>
      <c r="W173">
        <v>9.4238769999999992</v>
      </c>
      <c r="X173">
        <v>9.4237210000000005</v>
      </c>
      <c r="Y173">
        <v>9.4235749999999996</v>
      </c>
      <c r="Z173">
        <v>9.4234550000000006</v>
      </c>
      <c r="AA173">
        <v>9.4233600000000006</v>
      </c>
      <c r="AB173">
        <v>9.4233170000000008</v>
      </c>
      <c r="AC173">
        <v>9.4232969999999998</v>
      </c>
      <c r="AD173">
        <v>9.4232879999999994</v>
      </c>
      <c r="AE173">
        <v>9.4232800000000001</v>
      </c>
      <c r="AF173">
        <v>9.4232779999999998</v>
      </c>
      <c r="AG173">
        <v>9.4232709999999997</v>
      </c>
      <c r="AH173">
        <v>9.4232750000000003</v>
      </c>
      <c r="AI173" s="22">
        <v>0.01</v>
      </c>
    </row>
    <row r="174" spans="1:35">
      <c r="A174" t="s">
        <v>195</v>
      </c>
      <c r="B174" t="s">
        <v>1958</v>
      </c>
      <c r="C174" t="s">
        <v>1959</v>
      </c>
      <c r="D174" t="s">
        <v>268</v>
      </c>
      <c r="F174">
        <v>7.292313</v>
      </c>
      <c r="G174">
        <v>7.4887620000000004</v>
      </c>
      <c r="H174">
        <v>7.6989830000000001</v>
      </c>
      <c r="I174">
        <v>7.9405089999999996</v>
      </c>
      <c r="J174">
        <v>8.1946619999999992</v>
      </c>
      <c r="K174">
        <v>8.4437359999999995</v>
      </c>
      <c r="L174">
        <v>8.5496529999999993</v>
      </c>
      <c r="M174">
        <v>8.7321190000000009</v>
      </c>
      <c r="N174">
        <v>8.8933470000000003</v>
      </c>
      <c r="O174">
        <v>9.0443850000000001</v>
      </c>
      <c r="P174">
        <v>9.1423909999999999</v>
      </c>
      <c r="Q174">
        <v>9.1668219999999998</v>
      </c>
      <c r="R174">
        <v>9.1616040000000005</v>
      </c>
      <c r="S174">
        <v>9.1576190000000004</v>
      </c>
      <c r="T174">
        <v>9.1545670000000001</v>
      </c>
      <c r="U174">
        <v>9.1522020000000008</v>
      </c>
      <c r="V174">
        <v>9.1503770000000006</v>
      </c>
      <c r="W174">
        <v>9.148968</v>
      </c>
      <c r="X174">
        <v>9.1478660000000005</v>
      </c>
      <c r="Y174">
        <v>9.1470079999999996</v>
      </c>
      <c r="Z174">
        <v>9.1463330000000003</v>
      </c>
      <c r="AA174">
        <v>9.1457940000000004</v>
      </c>
      <c r="AB174">
        <v>9.1453620000000004</v>
      </c>
      <c r="AC174">
        <v>9.145016</v>
      </c>
      <c r="AD174">
        <v>9.1447339999999997</v>
      </c>
      <c r="AE174">
        <v>9.1445059999999998</v>
      </c>
      <c r="AF174">
        <v>9.1443200000000004</v>
      </c>
      <c r="AG174">
        <v>9.1441730000000003</v>
      </c>
      <c r="AH174">
        <v>9.14405</v>
      </c>
      <c r="AI174" s="22">
        <v>8.0000000000000002E-3</v>
      </c>
    </row>
    <row r="175" spans="1:35">
      <c r="A175" t="s">
        <v>236</v>
      </c>
      <c r="B175" t="s">
        <v>1960</v>
      </c>
      <c r="C175" t="s">
        <v>1961</v>
      </c>
      <c r="D175" t="s">
        <v>269</v>
      </c>
      <c r="F175">
        <v>7.2663060000000002</v>
      </c>
      <c r="G175">
        <v>7.4555300000000004</v>
      </c>
      <c r="H175">
        <v>7.6718359999999999</v>
      </c>
      <c r="I175">
        <v>7.9160760000000003</v>
      </c>
      <c r="J175">
        <v>8.1797450000000005</v>
      </c>
      <c r="K175">
        <v>8.4372439999999997</v>
      </c>
      <c r="L175">
        <v>8.5197730000000007</v>
      </c>
      <c r="M175">
        <v>8.7195079999999994</v>
      </c>
      <c r="N175">
        <v>8.8943320000000003</v>
      </c>
      <c r="O175">
        <v>9.0558060000000005</v>
      </c>
      <c r="P175">
        <v>9.1607590000000005</v>
      </c>
      <c r="Q175">
        <v>9.1982040000000005</v>
      </c>
      <c r="R175">
        <v>9.2316839999999996</v>
      </c>
      <c r="S175">
        <v>9.2516850000000002</v>
      </c>
      <c r="T175">
        <v>9.266845</v>
      </c>
      <c r="U175">
        <v>9.2707099999999993</v>
      </c>
      <c r="V175">
        <v>9.2705110000000008</v>
      </c>
      <c r="W175">
        <v>9.2702580000000001</v>
      </c>
      <c r="X175">
        <v>9.2700849999999999</v>
      </c>
      <c r="Y175">
        <v>9.2699850000000001</v>
      </c>
      <c r="Z175">
        <v>9.2699289999999994</v>
      </c>
      <c r="AA175">
        <v>9.2698719999999994</v>
      </c>
      <c r="AB175">
        <v>9.2698280000000004</v>
      </c>
      <c r="AC175">
        <v>9.2698</v>
      </c>
      <c r="AD175">
        <v>9.2698009999999993</v>
      </c>
      <c r="AE175">
        <v>9.2698009999999993</v>
      </c>
      <c r="AF175">
        <v>9.2697959999999995</v>
      </c>
      <c r="AG175">
        <v>9.2697909999999997</v>
      </c>
      <c r="AH175">
        <v>9.2697839999999996</v>
      </c>
      <c r="AI175" s="22">
        <v>8.9999999999999993E-3</v>
      </c>
    </row>
    <row r="176" spans="1:35">
      <c r="A176" t="s">
        <v>237</v>
      </c>
      <c r="B176" t="s">
        <v>1962</v>
      </c>
      <c r="C176" t="s">
        <v>1963</v>
      </c>
      <c r="D176" t="s">
        <v>268</v>
      </c>
      <c r="F176">
        <v>17.261649999999999</v>
      </c>
      <c r="G176">
        <v>17.508955</v>
      </c>
      <c r="H176">
        <v>17.854617999999999</v>
      </c>
      <c r="I176">
        <v>18.280691000000001</v>
      </c>
      <c r="J176">
        <v>18.794691</v>
      </c>
      <c r="K176">
        <v>19.322081000000001</v>
      </c>
      <c r="L176">
        <v>19.567142</v>
      </c>
      <c r="M176">
        <v>20.083326</v>
      </c>
      <c r="N176">
        <v>20.583573999999999</v>
      </c>
      <c r="O176">
        <v>21.050308000000001</v>
      </c>
      <c r="P176">
        <v>21.371737</v>
      </c>
      <c r="Q176">
        <v>21.448775999999999</v>
      </c>
      <c r="R176">
        <v>21.473773999999999</v>
      </c>
      <c r="S176">
        <v>21.561295999999999</v>
      </c>
      <c r="T176">
        <v>21.629854000000002</v>
      </c>
      <c r="U176">
        <v>21.681643999999999</v>
      </c>
      <c r="V176">
        <v>21.724883999999999</v>
      </c>
      <c r="W176">
        <v>21.749371</v>
      </c>
      <c r="X176">
        <v>21.766476000000001</v>
      </c>
      <c r="Y176">
        <v>21.779071999999999</v>
      </c>
      <c r="Z176">
        <v>21.780203</v>
      </c>
      <c r="AA176">
        <v>21.780716000000002</v>
      </c>
      <c r="AB176">
        <v>21.779817999999999</v>
      </c>
      <c r="AC176">
        <v>21.778154000000001</v>
      </c>
      <c r="AD176">
        <v>21.776806000000001</v>
      </c>
      <c r="AE176">
        <v>21.776888</v>
      </c>
      <c r="AF176">
        <v>21.776876000000001</v>
      </c>
      <c r="AG176">
        <v>21.775303000000001</v>
      </c>
      <c r="AH176">
        <v>21.771277999999999</v>
      </c>
      <c r="AI176" s="22">
        <v>8.0000000000000002E-3</v>
      </c>
    </row>
    <row r="177" spans="1:35">
      <c r="A177" t="s">
        <v>238</v>
      </c>
      <c r="B177" t="s">
        <v>1964</v>
      </c>
      <c r="C177" t="s">
        <v>1965</v>
      </c>
      <c r="D177" t="s">
        <v>268</v>
      </c>
      <c r="F177">
        <v>0</v>
      </c>
      <c r="G177">
        <v>0</v>
      </c>
      <c r="H177">
        <v>14.554</v>
      </c>
      <c r="I177">
        <v>15.066958</v>
      </c>
      <c r="J177">
        <v>15.341419999999999</v>
      </c>
      <c r="K177">
        <v>15.709078999999999</v>
      </c>
      <c r="L177">
        <v>15.967656</v>
      </c>
      <c r="M177">
        <v>16.337116000000002</v>
      </c>
      <c r="N177">
        <v>16.689360000000001</v>
      </c>
      <c r="O177">
        <v>17.07855</v>
      </c>
      <c r="P177">
        <v>17.488775</v>
      </c>
      <c r="Q177">
        <v>17.886354000000001</v>
      </c>
      <c r="R177">
        <v>18.199643999999999</v>
      </c>
      <c r="S177">
        <v>18.308191000000001</v>
      </c>
      <c r="T177">
        <v>18.502431999999999</v>
      </c>
      <c r="U177">
        <v>18.604255999999999</v>
      </c>
      <c r="V177">
        <v>18.599921999999999</v>
      </c>
      <c r="W177">
        <v>18.595988999999999</v>
      </c>
      <c r="X177">
        <v>18.588878999999999</v>
      </c>
      <c r="Y177">
        <v>18.580458</v>
      </c>
      <c r="Z177">
        <v>18.572319</v>
      </c>
      <c r="AA177">
        <v>18.565365</v>
      </c>
      <c r="AB177">
        <v>18.559593</v>
      </c>
      <c r="AC177">
        <v>18.554870999999999</v>
      </c>
      <c r="AD177">
        <v>18.550796999999999</v>
      </c>
      <c r="AE177">
        <v>18.547432000000001</v>
      </c>
      <c r="AF177">
        <v>18.545000000000002</v>
      </c>
      <c r="AG177">
        <v>18.404453</v>
      </c>
      <c r="AH177">
        <v>18.411501000000001</v>
      </c>
      <c r="AI177" t="s">
        <v>111</v>
      </c>
    </row>
    <row r="178" spans="1:35">
      <c r="A178" t="s">
        <v>239</v>
      </c>
      <c r="B178" t="s">
        <v>1966</v>
      </c>
      <c r="C178" t="s">
        <v>1967</v>
      </c>
      <c r="D178" t="s">
        <v>268</v>
      </c>
      <c r="F178">
        <v>0</v>
      </c>
      <c r="G178">
        <v>0</v>
      </c>
      <c r="H178">
        <v>10.500056000000001</v>
      </c>
      <c r="I178">
        <v>10.814230999999999</v>
      </c>
      <c r="J178">
        <v>10.961114999999999</v>
      </c>
      <c r="K178">
        <v>11.15465</v>
      </c>
      <c r="L178">
        <v>11.297912999999999</v>
      </c>
      <c r="M178">
        <v>11.516861</v>
      </c>
      <c r="N178">
        <v>11.773405</v>
      </c>
      <c r="O178">
        <v>12.060518</v>
      </c>
      <c r="P178">
        <v>12.363200000000001</v>
      </c>
      <c r="Q178">
        <v>12.652893000000001</v>
      </c>
      <c r="R178">
        <v>12.906107</v>
      </c>
      <c r="S178">
        <v>12.960440999999999</v>
      </c>
      <c r="T178">
        <v>13.11445</v>
      </c>
      <c r="U178">
        <v>13.196939</v>
      </c>
      <c r="V178">
        <v>13.203151</v>
      </c>
      <c r="W178">
        <v>13.201480999999999</v>
      </c>
      <c r="X178">
        <v>13.196258</v>
      </c>
      <c r="Y178">
        <v>13.188408000000001</v>
      </c>
      <c r="Z178">
        <v>13.181312999999999</v>
      </c>
      <c r="AA178">
        <v>13.175032</v>
      </c>
      <c r="AB178">
        <v>13.169506</v>
      </c>
      <c r="AC178">
        <v>13.164567</v>
      </c>
      <c r="AD178">
        <v>13.160104</v>
      </c>
      <c r="AE178">
        <v>13.156112</v>
      </c>
      <c r="AF178">
        <v>13.152601000000001</v>
      </c>
      <c r="AG178">
        <v>13.149487000000001</v>
      </c>
      <c r="AH178">
        <v>13.146787</v>
      </c>
      <c r="AI178" t="s">
        <v>111</v>
      </c>
    </row>
    <row r="179" spans="1:35">
      <c r="A179" t="s">
        <v>240</v>
      </c>
      <c r="B179" t="s">
        <v>1968</v>
      </c>
      <c r="C179" t="s">
        <v>1969</v>
      </c>
      <c r="D179" t="s">
        <v>268</v>
      </c>
      <c r="F179">
        <v>0</v>
      </c>
      <c r="G179">
        <v>0</v>
      </c>
      <c r="H179">
        <v>11.516575</v>
      </c>
      <c r="I179">
        <v>11.516892</v>
      </c>
      <c r="J179">
        <v>11.516843</v>
      </c>
      <c r="K179">
        <v>11.516837000000001</v>
      </c>
      <c r="L179">
        <v>11.516859999999999</v>
      </c>
      <c r="M179">
        <v>11.516875000000001</v>
      </c>
      <c r="N179">
        <v>11.516899</v>
      </c>
      <c r="O179">
        <v>11.516926</v>
      </c>
      <c r="P179">
        <v>11.516949</v>
      </c>
      <c r="Q179">
        <v>11.516963000000001</v>
      </c>
      <c r="R179">
        <v>11.516961999999999</v>
      </c>
      <c r="S179">
        <v>11.516961999999999</v>
      </c>
      <c r="T179">
        <v>11.516928</v>
      </c>
      <c r="U179">
        <v>11.516892</v>
      </c>
      <c r="V179">
        <v>11.516885</v>
      </c>
      <c r="W179">
        <v>11.516885</v>
      </c>
      <c r="X179">
        <v>11.516887000000001</v>
      </c>
      <c r="Y179">
        <v>11.516885</v>
      </c>
      <c r="Z179">
        <v>11.516883</v>
      </c>
      <c r="AA179">
        <v>11.516883</v>
      </c>
      <c r="AB179">
        <v>11.516883</v>
      </c>
      <c r="AC179">
        <v>11.516882000000001</v>
      </c>
      <c r="AD179">
        <v>11.516881</v>
      </c>
      <c r="AE179">
        <v>11.516878999999999</v>
      </c>
      <c r="AF179">
        <v>11.516878999999999</v>
      </c>
      <c r="AG179">
        <v>11.516878</v>
      </c>
      <c r="AH179">
        <v>11.516882000000001</v>
      </c>
      <c r="AI179" t="s">
        <v>111</v>
      </c>
    </row>
    <row r="180" spans="1:35">
      <c r="A180" t="s">
        <v>250</v>
      </c>
      <c r="B180" t="s">
        <v>1970</v>
      </c>
      <c r="C180" t="s">
        <v>1971</v>
      </c>
      <c r="F180">
        <v>9.5238990000000001</v>
      </c>
      <c r="G180">
        <v>9.8844469999999998</v>
      </c>
      <c r="H180">
        <v>10.223267</v>
      </c>
      <c r="I180">
        <v>10.585305999999999</v>
      </c>
      <c r="J180">
        <v>10.967629000000001</v>
      </c>
      <c r="K180">
        <v>11.325177</v>
      </c>
      <c r="L180">
        <v>11.455857999999999</v>
      </c>
      <c r="M180">
        <v>11.734303000000001</v>
      </c>
      <c r="N180">
        <v>11.981159999999999</v>
      </c>
      <c r="O180">
        <v>12.208940999999999</v>
      </c>
      <c r="P180">
        <v>12.331969000000001</v>
      </c>
      <c r="Q180">
        <v>12.336569000000001</v>
      </c>
      <c r="R180">
        <v>12.340868</v>
      </c>
      <c r="S180">
        <v>12.340595</v>
      </c>
      <c r="T180">
        <v>12.339437</v>
      </c>
      <c r="U180">
        <v>12.334250000000001</v>
      </c>
      <c r="V180">
        <v>12.328588</v>
      </c>
      <c r="W180">
        <v>12.323949000000001</v>
      </c>
      <c r="X180">
        <v>12.32001</v>
      </c>
      <c r="Y180">
        <v>12.316662000000001</v>
      </c>
      <c r="Z180">
        <v>12.313787</v>
      </c>
      <c r="AA180">
        <v>12.311344</v>
      </c>
      <c r="AB180">
        <v>12.309291999999999</v>
      </c>
      <c r="AC180">
        <v>12.30757</v>
      </c>
      <c r="AD180">
        <v>12.306087</v>
      </c>
      <c r="AE180">
        <v>12.304835000000001</v>
      </c>
      <c r="AF180">
        <v>12.303853999999999</v>
      </c>
      <c r="AG180">
        <v>12.303074000000001</v>
      </c>
      <c r="AH180">
        <v>12.302524999999999</v>
      </c>
      <c r="AI180" s="22">
        <v>8.9999999999999993E-3</v>
      </c>
    </row>
    <row r="181" spans="1:35">
      <c r="A181" t="s">
        <v>243</v>
      </c>
    </row>
    <row r="182" spans="1:35">
      <c r="A182" t="s">
        <v>189</v>
      </c>
      <c r="B182" t="s">
        <v>1972</v>
      </c>
      <c r="C182" t="s">
        <v>1973</v>
      </c>
      <c r="D182" t="s">
        <v>267</v>
      </c>
      <c r="F182">
        <v>6.6741390000000003</v>
      </c>
      <c r="G182">
        <v>6.8853859999999996</v>
      </c>
      <c r="H182">
        <v>7.1007699999999998</v>
      </c>
      <c r="I182">
        <v>7.3030390000000001</v>
      </c>
      <c r="J182">
        <v>7.4948730000000001</v>
      </c>
      <c r="K182">
        <v>7.6626659999999998</v>
      </c>
      <c r="L182">
        <v>7.732456</v>
      </c>
      <c r="M182">
        <v>7.8400639999999999</v>
      </c>
      <c r="N182">
        <v>7.9515180000000001</v>
      </c>
      <c r="O182">
        <v>8.0549769999999992</v>
      </c>
      <c r="P182">
        <v>8.1152309999999996</v>
      </c>
      <c r="Q182">
        <v>8.1184750000000001</v>
      </c>
      <c r="R182">
        <v>8.1210090000000008</v>
      </c>
      <c r="S182">
        <v>8.1194799999999994</v>
      </c>
      <c r="T182">
        <v>8.1211660000000006</v>
      </c>
      <c r="U182">
        <v>8.1205200000000008</v>
      </c>
      <c r="V182">
        <v>8.1178039999999996</v>
      </c>
      <c r="W182">
        <v>8.1165520000000004</v>
      </c>
      <c r="X182">
        <v>8.1156939999999995</v>
      </c>
      <c r="Y182">
        <v>8.1152800000000003</v>
      </c>
      <c r="Z182">
        <v>8.1129940000000005</v>
      </c>
      <c r="AA182">
        <v>8.1129859999999994</v>
      </c>
      <c r="AB182">
        <v>8.1133609999999994</v>
      </c>
      <c r="AC182">
        <v>8.1141509999999997</v>
      </c>
      <c r="AD182">
        <v>8.1152329999999999</v>
      </c>
      <c r="AE182">
        <v>8.1162170000000007</v>
      </c>
      <c r="AF182">
        <v>8.1175329999999999</v>
      </c>
      <c r="AG182">
        <v>8.1193810000000006</v>
      </c>
      <c r="AH182">
        <v>8.1195070000000005</v>
      </c>
      <c r="AI182" s="22">
        <v>7.0000000000000001E-3</v>
      </c>
    </row>
    <row r="183" spans="1:35">
      <c r="A183" t="s">
        <v>235</v>
      </c>
      <c r="B183" t="s">
        <v>1974</v>
      </c>
      <c r="C183" t="s">
        <v>1975</v>
      </c>
      <c r="D183" t="s">
        <v>268</v>
      </c>
      <c r="F183">
        <v>6.9584929999999998</v>
      </c>
      <c r="G183">
        <v>5.9504339999999996</v>
      </c>
      <c r="H183">
        <v>6.0052680000000001</v>
      </c>
      <c r="I183">
        <v>6.0689669999999998</v>
      </c>
      <c r="J183">
        <v>6.1342939999999997</v>
      </c>
      <c r="K183">
        <v>6.2195330000000002</v>
      </c>
      <c r="L183">
        <v>6.2749100000000002</v>
      </c>
      <c r="M183">
        <v>6.3636439999999999</v>
      </c>
      <c r="N183">
        <v>6.4494819999999997</v>
      </c>
      <c r="O183">
        <v>6.5364389999999997</v>
      </c>
      <c r="P183">
        <v>6.6164870000000002</v>
      </c>
      <c r="Q183">
        <v>6.6860059999999999</v>
      </c>
      <c r="R183">
        <v>6.7271580000000002</v>
      </c>
      <c r="S183">
        <v>6.7527999999999997</v>
      </c>
      <c r="T183">
        <v>6.7797749999999999</v>
      </c>
      <c r="U183">
        <v>6.7684090000000001</v>
      </c>
      <c r="V183">
        <v>6.7596400000000001</v>
      </c>
      <c r="W183">
        <v>6.7570889999999997</v>
      </c>
      <c r="X183">
        <v>6.7734519999999998</v>
      </c>
      <c r="Y183">
        <v>6.7756749999999997</v>
      </c>
      <c r="Z183">
        <v>6.7945039999999999</v>
      </c>
      <c r="AA183">
        <v>6.7961799999999997</v>
      </c>
      <c r="AB183">
        <v>6.7973249999999998</v>
      </c>
      <c r="AC183">
        <v>6.7981189999999998</v>
      </c>
      <c r="AD183">
        <v>6.7981499999999997</v>
      </c>
      <c r="AE183">
        <v>6.7977189999999998</v>
      </c>
      <c r="AF183">
        <v>6.7972159999999997</v>
      </c>
      <c r="AG183">
        <v>6.7968830000000002</v>
      </c>
      <c r="AH183">
        <v>6.79582</v>
      </c>
      <c r="AI183" s="22">
        <v>-1E-3</v>
      </c>
    </row>
    <row r="184" spans="1:35">
      <c r="A184" t="s">
        <v>192</v>
      </c>
      <c r="B184" t="s">
        <v>1976</v>
      </c>
      <c r="C184" t="s">
        <v>1977</v>
      </c>
      <c r="D184" t="s">
        <v>268</v>
      </c>
      <c r="F184">
        <v>6.8185469999999997</v>
      </c>
      <c r="G184">
        <v>5.9032299999999998</v>
      </c>
      <c r="H184">
        <v>5.965395</v>
      </c>
      <c r="I184">
        <v>6.0361710000000004</v>
      </c>
      <c r="J184">
        <v>6.112959</v>
      </c>
      <c r="K184">
        <v>6.213965</v>
      </c>
      <c r="L184">
        <v>6.2799240000000003</v>
      </c>
      <c r="M184">
        <v>6.3891819999999999</v>
      </c>
      <c r="N184">
        <v>6.498729</v>
      </c>
      <c r="O184">
        <v>6.6139749999999999</v>
      </c>
      <c r="P184">
        <v>6.7271210000000004</v>
      </c>
      <c r="Q184">
        <v>6.8235080000000004</v>
      </c>
      <c r="R184">
        <v>6.8659860000000004</v>
      </c>
      <c r="S184">
        <v>6.8856020000000004</v>
      </c>
      <c r="T184">
        <v>6.9033810000000004</v>
      </c>
      <c r="U184">
        <v>6.914129</v>
      </c>
      <c r="V184">
        <v>6.9251120000000004</v>
      </c>
      <c r="W184">
        <v>6.9330420000000004</v>
      </c>
      <c r="X184">
        <v>6.9392069999999997</v>
      </c>
      <c r="Y184">
        <v>6.9466010000000002</v>
      </c>
      <c r="Z184">
        <v>6.9523789999999996</v>
      </c>
      <c r="AA184">
        <v>6.9593179999999997</v>
      </c>
      <c r="AB184">
        <v>6.964785</v>
      </c>
      <c r="AC184">
        <v>6.9700829999999998</v>
      </c>
      <c r="AD184">
        <v>6.9742800000000003</v>
      </c>
      <c r="AE184">
        <v>6.9769509999999997</v>
      </c>
      <c r="AF184">
        <v>6.9795540000000003</v>
      </c>
      <c r="AG184">
        <v>6.9818160000000002</v>
      </c>
      <c r="AH184">
        <v>6.977468</v>
      </c>
      <c r="AI184" s="22">
        <v>1E-3</v>
      </c>
    </row>
    <row r="185" spans="1:35">
      <c r="A185" t="s">
        <v>195</v>
      </c>
      <c r="B185" t="s">
        <v>1978</v>
      </c>
      <c r="C185" t="s">
        <v>1979</v>
      </c>
      <c r="D185" t="s">
        <v>267</v>
      </c>
      <c r="F185">
        <v>6.2556570000000002</v>
      </c>
      <c r="G185">
        <v>6.4596869999999997</v>
      </c>
      <c r="H185">
        <v>6.6800740000000003</v>
      </c>
      <c r="I185">
        <v>6.8737430000000002</v>
      </c>
      <c r="J185">
        <v>7.0331239999999999</v>
      </c>
      <c r="K185">
        <v>7.2060760000000004</v>
      </c>
      <c r="L185">
        <v>7.2511210000000004</v>
      </c>
      <c r="M185">
        <v>7.345504</v>
      </c>
      <c r="N185">
        <v>7.4420549999999999</v>
      </c>
      <c r="O185">
        <v>7.5334620000000001</v>
      </c>
      <c r="P185">
        <v>7.5824939999999996</v>
      </c>
      <c r="Q185">
        <v>7.5837409999999998</v>
      </c>
      <c r="R185">
        <v>7.5813899999999999</v>
      </c>
      <c r="S185">
        <v>7.5656610000000004</v>
      </c>
      <c r="T185">
        <v>7.5737249999999996</v>
      </c>
      <c r="U185">
        <v>7.5745699999999996</v>
      </c>
      <c r="V185">
        <v>7.5788080000000004</v>
      </c>
      <c r="W185">
        <v>7.5749139999999997</v>
      </c>
      <c r="X185">
        <v>7.570665</v>
      </c>
      <c r="Y185">
        <v>7.5667759999999999</v>
      </c>
      <c r="Z185">
        <v>7.5620849999999997</v>
      </c>
      <c r="AA185">
        <v>7.5601019999999997</v>
      </c>
      <c r="AB185">
        <v>7.5581149999999999</v>
      </c>
      <c r="AC185">
        <v>7.5558339999999999</v>
      </c>
      <c r="AD185">
        <v>7.5544390000000003</v>
      </c>
      <c r="AE185">
        <v>7.5529849999999996</v>
      </c>
      <c r="AF185">
        <v>7.5517859999999999</v>
      </c>
      <c r="AG185">
        <v>7.550821</v>
      </c>
      <c r="AH185">
        <v>7.549836</v>
      </c>
      <c r="AI185" s="22">
        <v>7.0000000000000001E-3</v>
      </c>
    </row>
    <row r="186" spans="1:35">
      <c r="A186" t="s">
        <v>236</v>
      </c>
      <c r="B186" t="s">
        <v>1980</v>
      </c>
      <c r="C186" t="s">
        <v>1981</v>
      </c>
      <c r="D186" t="s">
        <v>268</v>
      </c>
      <c r="F186">
        <v>0</v>
      </c>
      <c r="G186">
        <v>0</v>
      </c>
      <c r="H186">
        <v>0</v>
      </c>
      <c r="I186">
        <v>0</v>
      </c>
      <c r="J186">
        <v>0</v>
      </c>
      <c r="K186">
        <v>0</v>
      </c>
      <c r="L186">
        <v>0</v>
      </c>
      <c r="M186">
        <v>0</v>
      </c>
      <c r="N186">
        <v>0</v>
      </c>
      <c r="O186">
        <v>0</v>
      </c>
      <c r="P186">
        <v>0</v>
      </c>
      <c r="Q186">
        <v>0</v>
      </c>
      <c r="R186">
        <v>0</v>
      </c>
      <c r="S186">
        <v>0</v>
      </c>
      <c r="T186">
        <v>0</v>
      </c>
      <c r="U186">
        <v>0</v>
      </c>
      <c r="V186">
        <v>0</v>
      </c>
      <c r="W186">
        <v>0</v>
      </c>
      <c r="X186">
        <v>0</v>
      </c>
      <c r="Y186">
        <v>0</v>
      </c>
      <c r="Z186">
        <v>0</v>
      </c>
      <c r="AA186">
        <v>0</v>
      </c>
      <c r="AB186">
        <v>0</v>
      </c>
      <c r="AC186">
        <v>0</v>
      </c>
      <c r="AD186">
        <v>0</v>
      </c>
      <c r="AE186">
        <v>0</v>
      </c>
      <c r="AF186">
        <v>0</v>
      </c>
      <c r="AG186">
        <v>0</v>
      </c>
      <c r="AH186">
        <v>0</v>
      </c>
      <c r="AI186" t="s">
        <v>111</v>
      </c>
    </row>
    <row r="187" spans="1:35">
      <c r="A187" t="s">
        <v>237</v>
      </c>
      <c r="B187" t="s">
        <v>1982</v>
      </c>
      <c r="C187" t="s">
        <v>1983</v>
      </c>
      <c r="D187" t="s">
        <v>267</v>
      </c>
      <c r="F187">
        <v>10.834061999999999</v>
      </c>
      <c r="G187">
        <v>10.882737000000001</v>
      </c>
      <c r="H187">
        <v>10.965192999999999</v>
      </c>
      <c r="I187">
        <v>11.063807000000001</v>
      </c>
      <c r="J187">
        <v>11.156404</v>
      </c>
      <c r="K187">
        <v>11.255855</v>
      </c>
      <c r="L187">
        <v>11.298655999999999</v>
      </c>
      <c r="M187">
        <v>11.379512</v>
      </c>
      <c r="N187">
        <v>11.452457000000001</v>
      </c>
      <c r="O187">
        <v>11.503895999999999</v>
      </c>
      <c r="P187">
        <v>11.541494</v>
      </c>
      <c r="Q187">
        <v>11.560162999999999</v>
      </c>
      <c r="R187">
        <v>11.565863999999999</v>
      </c>
      <c r="S187">
        <v>11.567833</v>
      </c>
      <c r="T187">
        <v>11.568663000000001</v>
      </c>
      <c r="U187">
        <v>11.569290000000001</v>
      </c>
      <c r="V187">
        <v>11.570100999999999</v>
      </c>
      <c r="W187">
        <v>11.571146000000001</v>
      </c>
      <c r="X187">
        <v>11.572354000000001</v>
      </c>
      <c r="Y187">
        <v>11.573858</v>
      </c>
      <c r="Z187">
        <v>11.575640999999999</v>
      </c>
      <c r="AA187">
        <v>11.577692000000001</v>
      </c>
      <c r="AB187">
        <v>11.579997000000001</v>
      </c>
      <c r="AC187">
        <v>11.582563</v>
      </c>
      <c r="AD187">
        <v>11.585383</v>
      </c>
      <c r="AE187">
        <v>11.588468000000001</v>
      </c>
      <c r="AF187">
        <v>11.591818999999999</v>
      </c>
      <c r="AG187">
        <v>11.595432000000001</v>
      </c>
      <c r="AH187">
        <v>11.599314</v>
      </c>
      <c r="AI187" s="22">
        <v>2E-3</v>
      </c>
    </row>
    <row r="188" spans="1:35">
      <c r="A188" t="s">
        <v>238</v>
      </c>
      <c r="B188" t="s">
        <v>1984</v>
      </c>
      <c r="C188" t="s">
        <v>1985</v>
      </c>
      <c r="D188" t="s">
        <v>267</v>
      </c>
      <c r="F188">
        <v>0</v>
      </c>
      <c r="G188">
        <v>0</v>
      </c>
      <c r="H188">
        <v>1.546092</v>
      </c>
      <c r="I188">
        <v>9.1608459999999994</v>
      </c>
      <c r="J188">
        <v>9.3004219999999993</v>
      </c>
      <c r="K188">
        <v>9.4658329999999999</v>
      </c>
      <c r="L188">
        <v>9.5699210000000008</v>
      </c>
      <c r="M188">
        <v>9.7473799999999997</v>
      </c>
      <c r="N188">
        <v>9.9584469999999996</v>
      </c>
      <c r="O188">
        <v>10.186888</v>
      </c>
      <c r="P188">
        <v>10.415521</v>
      </c>
      <c r="Q188">
        <v>10.609234000000001</v>
      </c>
      <c r="R188">
        <v>10.7691</v>
      </c>
      <c r="S188">
        <v>10.802932999999999</v>
      </c>
      <c r="T188">
        <v>10.912004</v>
      </c>
      <c r="U188">
        <v>10.986414999999999</v>
      </c>
      <c r="V188">
        <v>10.983292</v>
      </c>
      <c r="W188">
        <v>10.980130000000001</v>
      </c>
      <c r="X188">
        <v>10.976409</v>
      </c>
      <c r="Y188">
        <v>10.973062000000001</v>
      </c>
      <c r="Z188">
        <v>10.970227</v>
      </c>
      <c r="AA188">
        <v>10.967943999999999</v>
      </c>
      <c r="AB188">
        <v>10.966212000000001</v>
      </c>
      <c r="AC188">
        <v>10.964848999999999</v>
      </c>
      <c r="AD188">
        <v>10.963751</v>
      </c>
      <c r="AE188">
        <v>10.962980999999999</v>
      </c>
      <c r="AF188">
        <v>10.962510999999999</v>
      </c>
      <c r="AG188">
        <v>10.962237</v>
      </c>
      <c r="AH188">
        <v>10.962166</v>
      </c>
      <c r="AI188" t="s">
        <v>111</v>
      </c>
    </row>
    <row r="189" spans="1:35">
      <c r="A189" t="s">
        <v>239</v>
      </c>
      <c r="B189" t="s">
        <v>1986</v>
      </c>
      <c r="C189" t="s">
        <v>1987</v>
      </c>
      <c r="D189" t="s">
        <v>268</v>
      </c>
      <c r="F189">
        <v>0</v>
      </c>
      <c r="G189">
        <v>0</v>
      </c>
      <c r="H189">
        <v>1.4758230000000001</v>
      </c>
      <c r="I189">
        <v>9.1335519999999999</v>
      </c>
      <c r="J189">
        <v>9.2343279999999996</v>
      </c>
      <c r="K189">
        <v>9.358587</v>
      </c>
      <c r="L189">
        <v>9.4461300000000001</v>
      </c>
      <c r="M189">
        <v>9.5957139999999992</v>
      </c>
      <c r="N189">
        <v>9.7735020000000006</v>
      </c>
      <c r="O189">
        <v>9.9693310000000004</v>
      </c>
      <c r="P189">
        <v>10.168096999999999</v>
      </c>
      <c r="Q189">
        <v>10.36797</v>
      </c>
      <c r="R189">
        <v>10.540552999999999</v>
      </c>
      <c r="S189">
        <v>10.621840000000001</v>
      </c>
      <c r="T189">
        <v>10.736190000000001</v>
      </c>
      <c r="U189">
        <v>10.815049</v>
      </c>
      <c r="V189">
        <v>10.815234</v>
      </c>
      <c r="W189">
        <v>10.812087</v>
      </c>
      <c r="X189">
        <v>10.809372</v>
      </c>
      <c r="Y189">
        <v>10.807116000000001</v>
      </c>
      <c r="Z189">
        <v>10.805244</v>
      </c>
      <c r="AA189">
        <v>10.803461</v>
      </c>
      <c r="AB189">
        <v>10.801928999999999</v>
      </c>
      <c r="AC189">
        <v>10.800634000000001</v>
      </c>
      <c r="AD189">
        <v>10.799677000000001</v>
      </c>
      <c r="AE189">
        <v>10.798836</v>
      </c>
      <c r="AF189">
        <v>10.798045</v>
      </c>
      <c r="AG189">
        <v>10.797352999999999</v>
      </c>
      <c r="AH189">
        <v>10.796787999999999</v>
      </c>
      <c r="AI189" t="s">
        <v>111</v>
      </c>
    </row>
    <row r="190" spans="1:35">
      <c r="A190" t="s">
        <v>240</v>
      </c>
      <c r="B190" t="s">
        <v>1988</v>
      </c>
      <c r="C190" t="s">
        <v>1989</v>
      </c>
      <c r="D190" t="s">
        <v>267</v>
      </c>
      <c r="F190">
        <v>0</v>
      </c>
      <c r="G190">
        <v>0</v>
      </c>
      <c r="H190">
        <v>7.1006340000000003</v>
      </c>
      <c r="I190">
        <v>7.1107120000000004</v>
      </c>
      <c r="J190">
        <v>7.1105</v>
      </c>
      <c r="K190">
        <v>7.1102169999999996</v>
      </c>
      <c r="L190">
        <v>7.1100539999999999</v>
      </c>
      <c r="M190">
        <v>7.1097359999999998</v>
      </c>
      <c r="N190">
        <v>7.1092810000000002</v>
      </c>
      <c r="O190">
        <v>7.1089209999999996</v>
      </c>
      <c r="P190">
        <v>7.1088060000000004</v>
      </c>
      <c r="Q190">
        <v>7.1087930000000004</v>
      </c>
      <c r="R190">
        <v>7.1089270000000004</v>
      </c>
      <c r="S190">
        <v>7.1091139999999999</v>
      </c>
      <c r="T190">
        <v>7.1093440000000001</v>
      </c>
      <c r="U190">
        <v>7.1095709999999999</v>
      </c>
      <c r="V190">
        <v>7.1097910000000004</v>
      </c>
      <c r="W190">
        <v>7.1100370000000002</v>
      </c>
      <c r="X190">
        <v>7.11029</v>
      </c>
      <c r="Y190">
        <v>7.1105460000000003</v>
      </c>
      <c r="Z190">
        <v>7.1107950000000004</v>
      </c>
      <c r="AA190">
        <v>7.1110420000000003</v>
      </c>
      <c r="AB190">
        <v>7.1113249999999999</v>
      </c>
      <c r="AC190">
        <v>7.1116159999999997</v>
      </c>
      <c r="AD190">
        <v>7.1118969999999999</v>
      </c>
      <c r="AE190">
        <v>7.1121860000000003</v>
      </c>
      <c r="AF190">
        <v>7.1124729999999996</v>
      </c>
      <c r="AG190">
        <v>7.1127539999999998</v>
      </c>
      <c r="AH190">
        <v>7.1130310000000003</v>
      </c>
      <c r="AI190" t="s">
        <v>111</v>
      </c>
    </row>
    <row r="191" spans="1:35">
      <c r="A191" t="s">
        <v>251</v>
      </c>
      <c r="B191" t="s">
        <v>1990</v>
      </c>
      <c r="C191" t="s">
        <v>1991</v>
      </c>
      <c r="F191">
        <v>6.6682579999999998</v>
      </c>
      <c r="G191">
        <v>6.8779690000000002</v>
      </c>
      <c r="H191">
        <v>7.0932440000000003</v>
      </c>
      <c r="I191">
        <v>7.295369</v>
      </c>
      <c r="J191">
        <v>7.4868059999999996</v>
      </c>
      <c r="K191">
        <v>7.6548530000000001</v>
      </c>
      <c r="L191">
        <v>7.7247519999999996</v>
      </c>
      <c r="M191">
        <v>7.8325329999999997</v>
      </c>
      <c r="N191">
        <v>7.9440169999999997</v>
      </c>
      <c r="O191">
        <v>8.0473739999999996</v>
      </c>
      <c r="P191">
        <v>8.1074850000000005</v>
      </c>
      <c r="Q191">
        <v>8.1106049999999996</v>
      </c>
      <c r="R191">
        <v>8.1128280000000004</v>
      </c>
      <c r="S191">
        <v>8.110811</v>
      </c>
      <c r="T191">
        <v>8.1122490000000003</v>
      </c>
      <c r="U191">
        <v>8.1112169999999999</v>
      </c>
      <c r="V191">
        <v>8.1081789999999998</v>
      </c>
      <c r="W191">
        <v>8.1064579999999999</v>
      </c>
      <c r="X191">
        <v>8.1051339999999996</v>
      </c>
      <c r="Y191">
        <v>8.1041930000000004</v>
      </c>
      <c r="Z191">
        <v>8.1013950000000001</v>
      </c>
      <c r="AA191">
        <v>8.1007890000000007</v>
      </c>
      <c r="AB191">
        <v>8.1005280000000006</v>
      </c>
      <c r="AC191">
        <v>8.1006370000000008</v>
      </c>
      <c r="AD191">
        <v>8.1010089999999995</v>
      </c>
      <c r="AE191">
        <v>8.1012559999999993</v>
      </c>
      <c r="AF191">
        <v>8.1018030000000003</v>
      </c>
      <c r="AG191">
        <v>8.1028509999999994</v>
      </c>
      <c r="AH191">
        <v>8.1022010000000009</v>
      </c>
      <c r="AI191" s="22">
        <v>7.0000000000000001E-3</v>
      </c>
    </row>
    <row r="192" spans="1:35">
      <c r="A192" t="s">
        <v>252</v>
      </c>
      <c r="B192" t="s">
        <v>1992</v>
      </c>
      <c r="C192" t="s">
        <v>1993</v>
      </c>
      <c r="F192">
        <v>7.9471449999999999</v>
      </c>
      <c r="G192">
        <v>8.2543640000000007</v>
      </c>
      <c r="H192">
        <v>8.5904810000000005</v>
      </c>
      <c r="I192">
        <v>8.8457699999999999</v>
      </c>
      <c r="J192">
        <v>9.0590299999999999</v>
      </c>
      <c r="K192">
        <v>9.2583249999999992</v>
      </c>
      <c r="L192">
        <v>9.3410189999999993</v>
      </c>
      <c r="M192">
        <v>9.4975710000000007</v>
      </c>
      <c r="N192">
        <v>9.6603539999999999</v>
      </c>
      <c r="O192">
        <v>9.8132570000000001</v>
      </c>
      <c r="P192">
        <v>9.9121790000000001</v>
      </c>
      <c r="Q192">
        <v>9.9437929999999994</v>
      </c>
      <c r="R192">
        <v>9.970364</v>
      </c>
      <c r="S192">
        <v>9.9892579999999995</v>
      </c>
      <c r="T192">
        <v>10.008831000000001</v>
      </c>
      <c r="U192">
        <v>10.024055000000001</v>
      </c>
      <c r="V192">
        <v>10.040035</v>
      </c>
      <c r="W192">
        <v>10.060394000000001</v>
      </c>
      <c r="X192">
        <v>10.085262999999999</v>
      </c>
      <c r="Y192">
        <v>10.094213999999999</v>
      </c>
      <c r="Z192">
        <v>10.119984000000001</v>
      </c>
      <c r="AA192">
        <v>10.137542</v>
      </c>
      <c r="AB192">
        <v>10.154536</v>
      </c>
      <c r="AC192">
        <v>10.186927000000001</v>
      </c>
      <c r="AD192">
        <v>10.224152</v>
      </c>
      <c r="AE192">
        <v>10.257011</v>
      </c>
      <c r="AF192">
        <v>10.285439</v>
      </c>
      <c r="AG192">
        <v>10.300746</v>
      </c>
      <c r="AH192">
        <v>10.316784</v>
      </c>
      <c r="AI192" s="22">
        <v>8.9999999999999993E-3</v>
      </c>
    </row>
    <row r="193" spans="1:35">
      <c r="A193" t="s">
        <v>255</v>
      </c>
    </row>
    <row r="194" spans="1:35">
      <c r="A194" t="s">
        <v>170</v>
      </c>
    </row>
    <row r="195" spans="1:35">
      <c r="A195" t="s">
        <v>189</v>
      </c>
      <c r="B195" t="s">
        <v>1994</v>
      </c>
      <c r="C195" t="s">
        <v>1995</v>
      </c>
      <c r="D195" t="s">
        <v>270</v>
      </c>
      <c r="F195">
        <v>136.25962799999999</v>
      </c>
      <c r="G195">
        <v>127.083748</v>
      </c>
      <c r="H195">
        <v>133.41915900000001</v>
      </c>
      <c r="I195">
        <v>141.29763800000001</v>
      </c>
      <c r="J195">
        <v>144.63111900000001</v>
      </c>
      <c r="K195">
        <v>145.40922499999999</v>
      </c>
      <c r="L195">
        <v>147.62912</v>
      </c>
      <c r="M195">
        <v>150.128998</v>
      </c>
      <c r="N195">
        <v>150.970383</v>
      </c>
      <c r="O195">
        <v>152.288467</v>
      </c>
      <c r="P195">
        <v>156.49388099999999</v>
      </c>
      <c r="Q195">
        <v>160.13542200000001</v>
      </c>
      <c r="R195">
        <v>159.71426400000001</v>
      </c>
      <c r="S195">
        <v>159.57615699999999</v>
      </c>
      <c r="T195">
        <v>160.86213699999999</v>
      </c>
      <c r="U195">
        <v>163.664276</v>
      </c>
      <c r="V195">
        <v>167.86442600000001</v>
      </c>
      <c r="W195">
        <v>172.60517899999999</v>
      </c>
      <c r="X195">
        <v>176.71751399999999</v>
      </c>
      <c r="Y195">
        <v>179.862381</v>
      </c>
      <c r="Z195">
        <v>182.68057300000001</v>
      </c>
      <c r="AA195">
        <v>184.57264699999999</v>
      </c>
      <c r="AB195">
        <v>185.50657699999999</v>
      </c>
      <c r="AC195">
        <v>187.05418399999999</v>
      </c>
      <c r="AD195">
        <v>189.480423</v>
      </c>
      <c r="AE195">
        <v>191.96052599999999</v>
      </c>
      <c r="AF195">
        <v>194.57195999999999</v>
      </c>
      <c r="AG195">
        <v>196.99954199999999</v>
      </c>
      <c r="AH195">
        <v>199.49633800000001</v>
      </c>
      <c r="AI195" s="22">
        <v>1.4E-2</v>
      </c>
    </row>
    <row r="196" spans="1:35">
      <c r="A196" t="s">
        <v>235</v>
      </c>
      <c r="B196" t="s">
        <v>1996</v>
      </c>
      <c r="C196" t="s">
        <v>1997</v>
      </c>
      <c r="D196" t="s">
        <v>270</v>
      </c>
      <c r="F196">
        <v>103.20974699999999</v>
      </c>
      <c r="G196">
        <v>95.244079999999997</v>
      </c>
      <c r="H196">
        <v>99.025429000000003</v>
      </c>
      <c r="I196">
        <v>103.943382</v>
      </c>
      <c r="J196">
        <v>105.53124200000001</v>
      </c>
      <c r="K196">
        <v>105.30883799999999</v>
      </c>
      <c r="L196">
        <v>106.18671399999999</v>
      </c>
      <c r="M196">
        <v>107.30914300000001</v>
      </c>
      <c r="N196">
        <v>107.291557</v>
      </c>
      <c r="O196">
        <v>107.659126</v>
      </c>
      <c r="P196">
        <v>110.098778</v>
      </c>
      <c r="Q196">
        <v>112.162796</v>
      </c>
      <c r="R196">
        <v>111.41445899999999</v>
      </c>
      <c r="S196">
        <v>110.904526</v>
      </c>
      <c r="T196">
        <v>111.41738100000001</v>
      </c>
      <c r="U196">
        <v>113.004105</v>
      </c>
      <c r="V196">
        <v>115.57209</v>
      </c>
      <c r="W196">
        <v>118.523758</v>
      </c>
      <c r="X196">
        <v>121.055161</v>
      </c>
      <c r="Y196">
        <v>122.93707999999999</v>
      </c>
      <c r="Z196">
        <v>124.610107</v>
      </c>
      <c r="AA196">
        <v>125.66645800000001</v>
      </c>
      <c r="AB196">
        <v>126.086716</v>
      </c>
      <c r="AC196">
        <v>126.93946099999999</v>
      </c>
      <c r="AD196">
        <v>128.40110799999999</v>
      </c>
      <c r="AE196">
        <v>129.91007999999999</v>
      </c>
      <c r="AF196">
        <v>131.51786799999999</v>
      </c>
      <c r="AG196">
        <v>133.01074199999999</v>
      </c>
      <c r="AH196">
        <v>134.55900600000001</v>
      </c>
      <c r="AI196" s="22">
        <v>0.01</v>
      </c>
    </row>
    <row r="197" spans="1:35">
      <c r="A197" t="s">
        <v>192</v>
      </c>
      <c r="B197" t="s">
        <v>1998</v>
      </c>
      <c r="C197" t="s">
        <v>1999</v>
      </c>
      <c r="D197" t="s">
        <v>270</v>
      </c>
      <c r="F197">
        <v>0</v>
      </c>
      <c r="G197">
        <v>0.24643200000000001</v>
      </c>
      <c r="H197">
        <v>0.252305</v>
      </c>
      <c r="I197">
        <v>0.25668299999999999</v>
      </c>
      <c r="J197">
        <v>0.26075300000000001</v>
      </c>
      <c r="K197">
        <v>0.26159500000000002</v>
      </c>
      <c r="L197">
        <v>0.26821200000000001</v>
      </c>
      <c r="M197">
        <v>0.27779700000000002</v>
      </c>
      <c r="N197">
        <v>0.28732200000000002</v>
      </c>
      <c r="O197">
        <v>0.29986000000000002</v>
      </c>
      <c r="P197">
        <v>0.31739499999999998</v>
      </c>
      <c r="Q197">
        <v>0.33456799999999998</v>
      </c>
      <c r="R197">
        <v>0.34320800000000001</v>
      </c>
      <c r="S197">
        <v>0.35411399999999998</v>
      </c>
      <c r="T197">
        <v>0.372087</v>
      </c>
      <c r="U197">
        <v>0.39916099999999999</v>
      </c>
      <c r="V197">
        <v>0.434471</v>
      </c>
      <c r="W197">
        <v>0.47616599999999998</v>
      </c>
      <c r="X197">
        <v>0.51893299999999998</v>
      </c>
      <c r="Y197">
        <v>0.56271400000000005</v>
      </c>
      <c r="Z197">
        <v>0.60917600000000005</v>
      </c>
      <c r="AA197">
        <v>0.659076</v>
      </c>
      <c r="AB197">
        <v>0.70908000000000004</v>
      </c>
      <c r="AC197">
        <v>0.76338300000000003</v>
      </c>
      <c r="AD197">
        <v>0.82072199999999995</v>
      </c>
      <c r="AE197">
        <v>0.87785199999999997</v>
      </c>
      <c r="AF197">
        <v>0.93330599999999997</v>
      </c>
      <c r="AG197">
        <v>0.98619400000000002</v>
      </c>
      <c r="AH197">
        <v>1.037256</v>
      </c>
      <c r="AI197" t="s">
        <v>111</v>
      </c>
    </row>
    <row r="198" spans="1:35">
      <c r="A198" t="s">
        <v>195</v>
      </c>
      <c r="B198" t="s">
        <v>2000</v>
      </c>
      <c r="C198" t="s">
        <v>2001</v>
      </c>
      <c r="D198" t="s">
        <v>270</v>
      </c>
      <c r="F198">
        <v>0</v>
      </c>
      <c r="G198">
        <v>0</v>
      </c>
      <c r="H198">
        <v>0</v>
      </c>
      <c r="I198">
        <v>0</v>
      </c>
      <c r="J198">
        <v>0</v>
      </c>
      <c r="K198">
        <v>0</v>
      </c>
      <c r="L198">
        <v>0</v>
      </c>
      <c r="M198">
        <v>0</v>
      </c>
      <c r="N198">
        <v>0</v>
      </c>
      <c r="O198">
        <v>0</v>
      </c>
      <c r="P198">
        <v>0</v>
      </c>
      <c r="Q198">
        <v>0</v>
      </c>
      <c r="R198">
        <v>0</v>
      </c>
      <c r="S198">
        <v>0</v>
      </c>
      <c r="T198">
        <v>0</v>
      </c>
      <c r="U198">
        <v>0</v>
      </c>
      <c r="V198">
        <v>0</v>
      </c>
      <c r="W198">
        <v>0</v>
      </c>
      <c r="X198">
        <v>0</v>
      </c>
      <c r="Y198">
        <v>0</v>
      </c>
      <c r="Z198">
        <v>0</v>
      </c>
      <c r="AA198">
        <v>0</v>
      </c>
      <c r="AB198">
        <v>0</v>
      </c>
      <c r="AC198">
        <v>0</v>
      </c>
      <c r="AD198">
        <v>0</v>
      </c>
      <c r="AE198">
        <v>0</v>
      </c>
      <c r="AF198">
        <v>0</v>
      </c>
      <c r="AG198">
        <v>0</v>
      </c>
      <c r="AH198">
        <v>0</v>
      </c>
      <c r="AI198" t="s">
        <v>111</v>
      </c>
    </row>
    <row r="199" spans="1:35">
      <c r="A199" t="s">
        <v>236</v>
      </c>
      <c r="B199" t="s">
        <v>2002</v>
      </c>
      <c r="C199" t="s">
        <v>2003</v>
      </c>
      <c r="D199" t="s">
        <v>270</v>
      </c>
      <c r="F199">
        <v>12.653598000000001</v>
      </c>
      <c r="G199">
        <v>11.552336</v>
      </c>
      <c r="H199">
        <v>11.600343000000001</v>
      </c>
      <c r="I199">
        <v>11.461596</v>
      </c>
      <c r="J199">
        <v>11.168632000000001</v>
      </c>
      <c r="K199">
        <v>10.981567</v>
      </c>
      <c r="L199">
        <v>10.765105999999999</v>
      </c>
      <c r="M199">
        <v>10.686363999999999</v>
      </c>
      <c r="N199">
        <v>10.625061000000001</v>
      </c>
      <c r="O199">
        <v>10.755540999999999</v>
      </c>
      <c r="P199">
        <v>11.056151</v>
      </c>
      <c r="Q199">
        <v>11.360353</v>
      </c>
      <c r="R199">
        <v>11.320587</v>
      </c>
      <c r="S199">
        <v>11.322226000000001</v>
      </c>
      <c r="T199">
        <v>11.399566999999999</v>
      </c>
      <c r="U199">
        <v>11.618492</v>
      </c>
      <c r="V199">
        <v>11.918831000000001</v>
      </c>
      <c r="W199">
        <v>12.273879000000001</v>
      </c>
      <c r="X199">
        <v>12.613292</v>
      </c>
      <c r="Y199">
        <v>12.243190999999999</v>
      </c>
      <c r="Z199">
        <v>12.456396</v>
      </c>
      <c r="AA199">
        <v>12.600669999999999</v>
      </c>
      <c r="AB199">
        <v>12.702261999999999</v>
      </c>
      <c r="AC199">
        <v>12.914300000000001</v>
      </c>
      <c r="AD199">
        <v>13.190873</v>
      </c>
      <c r="AE199">
        <v>13.456709999999999</v>
      </c>
      <c r="AF199">
        <v>13.725542000000001</v>
      </c>
      <c r="AG199">
        <v>13.975149</v>
      </c>
      <c r="AH199">
        <v>14.198510000000001</v>
      </c>
      <c r="AI199" s="22">
        <v>4.0000000000000001E-3</v>
      </c>
    </row>
    <row r="200" spans="1:35">
      <c r="A200" t="s">
        <v>237</v>
      </c>
      <c r="B200" t="s">
        <v>2004</v>
      </c>
      <c r="C200" t="s">
        <v>2005</v>
      </c>
      <c r="D200" t="s">
        <v>270</v>
      </c>
      <c r="F200">
        <v>0</v>
      </c>
      <c r="G200">
        <v>0</v>
      </c>
      <c r="H200">
        <v>0</v>
      </c>
      <c r="I200">
        <v>0</v>
      </c>
      <c r="J200">
        <v>0</v>
      </c>
      <c r="K200">
        <v>0</v>
      </c>
      <c r="L200">
        <v>0</v>
      </c>
      <c r="M200">
        <v>0</v>
      </c>
      <c r="N200">
        <v>0</v>
      </c>
      <c r="O200">
        <v>0</v>
      </c>
      <c r="P200">
        <v>0</v>
      </c>
      <c r="Q200">
        <v>0</v>
      </c>
      <c r="R200">
        <v>0</v>
      </c>
      <c r="S200">
        <v>0</v>
      </c>
      <c r="T200">
        <v>0</v>
      </c>
      <c r="U200">
        <v>0</v>
      </c>
      <c r="V200">
        <v>0</v>
      </c>
      <c r="W200">
        <v>0</v>
      </c>
      <c r="X200">
        <v>0</v>
      </c>
      <c r="Y200">
        <v>0</v>
      </c>
      <c r="Z200">
        <v>0</v>
      </c>
      <c r="AA200">
        <v>0</v>
      </c>
      <c r="AB200">
        <v>0</v>
      </c>
      <c r="AC200">
        <v>0</v>
      </c>
      <c r="AD200">
        <v>0</v>
      </c>
      <c r="AE200">
        <v>0</v>
      </c>
      <c r="AF200">
        <v>0</v>
      </c>
      <c r="AG200">
        <v>0</v>
      </c>
      <c r="AH200">
        <v>0</v>
      </c>
      <c r="AI200" t="s">
        <v>111</v>
      </c>
    </row>
    <row r="201" spans="1:35">
      <c r="A201" t="s">
        <v>238</v>
      </c>
      <c r="B201" t="s">
        <v>2006</v>
      </c>
      <c r="C201" t="s">
        <v>2007</v>
      </c>
      <c r="D201" t="s">
        <v>270</v>
      </c>
      <c r="F201">
        <v>0</v>
      </c>
      <c r="G201">
        <v>0.28171600000000002</v>
      </c>
      <c r="H201">
        <v>0.29282999999999998</v>
      </c>
      <c r="I201">
        <v>0.30618499999999998</v>
      </c>
      <c r="J201">
        <v>0.31391400000000003</v>
      </c>
      <c r="K201">
        <v>0.31940200000000002</v>
      </c>
      <c r="L201">
        <v>0.33374900000000002</v>
      </c>
      <c r="M201">
        <v>0.35278199999999998</v>
      </c>
      <c r="N201">
        <v>0.37166100000000002</v>
      </c>
      <c r="O201">
        <v>0.394899</v>
      </c>
      <c r="P201">
        <v>0.42931200000000003</v>
      </c>
      <c r="Q201">
        <v>0.465165</v>
      </c>
      <c r="R201">
        <v>0.49295899999999998</v>
      </c>
      <c r="S201">
        <v>0.52596799999999999</v>
      </c>
      <c r="T201">
        <v>0.56994900000000004</v>
      </c>
      <c r="U201">
        <v>0.62658499999999995</v>
      </c>
      <c r="V201">
        <v>0.69688099999999997</v>
      </c>
      <c r="W201">
        <v>0.77812400000000004</v>
      </c>
      <c r="X201">
        <v>0.86447499999999999</v>
      </c>
      <c r="Y201">
        <v>0.95209299999999997</v>
      </c>
      <c r="Z201">
        <v>1.0415030000000001</v>
      </c>
      <c r="AA201">
        <v>1.126533</v>
      </c>
      <c r="AB201">
        <v>1.2035450000000001</v>
      </c>
      <c r="AC201">
        <v>1.2802739999999999</v>
      </c>
      <c r="AD201">
        <v>1.3577939999999999</v>
      </c>
      <c r="AE201">
        <v>1.429962</v>
      </c>
      <c r="AF201">
        <v>1.4971000000000001</v>
      </c>
      <c r="AG201">
        <v>1.556692</v>
      </c>
      <c r="AH201">
        <v>1.61103</v>
      </c>
      <c r="AI201" t="s">
        <v>111</v>
      </c>
    </row>
    <row r="202" spans="1:35">
      <c r="A202" t="s">
        <v>239</v>
      </c>
      <c r="B202" t="s">
        <v>2008</v>
      </c>
      <c r="C202" t="s">
        <v>2009</v>
      </c>
      <c r="D202" t="s">
        <v>270</v>
      </c>
      <c r="F202">
        <v>0</v>
      </c>
      <c r="G202">
        <v>0.30658000000000002</v>
      </c>
      <c r="H202">
        <v>0.31281100000000001</v>
      </c>
      <c r="I202">
        <v>0.31875500000000001</v>
      </c>
      <c r="J202">
        <v>0.31956699999999999</v>
      </c>
      <c r="K202">
        <v>0.319911</v>
      </c>
      <c r="L202">
        <v>0.327262</v>
      </c>
      <c r="M202">
        <v>0.33962900000000001</v>
      </c>
      <c r="N202">
        <v>0.35427700000000001</v>
      </c>
      <c r="O202">
        <v>0.37685000000000002</v>
      </c>
      <c r="P202">
        <v>0.41139100000000001</v>
      </c>
      <c r="Q202">
        <v>0.45125700000000002</v>
      </c>
      <c r="R202">
        <v>0.48465000000000003</v>
      </c>
      <c r="S202">
        <v>0.52488500000000005</v>
      </c>
      <c r="T202">
        <v>0.576963</v>
      </c>
      <c r="U202">
        <v>0.64406799999999997</v>
      </c>
      <c r="V202">
        <v>0.72592199999999996</v>
      </c>
      <c r="W202">
        <v>0.82100200000000001</v>
      </c>
      <c r="X202">
        <v>0.923732</v>
      </c>
      <c r="Y202">
        <v>1.0294810000000001</v>
      </c>
      <c r="Z202">
        <v>1.1353420000000001</v>
      </c>
      <c r="AA202">
        <v>1.2357359999999999</v>
      </c>
      <c r="AB202">
        <v>1.3272170000000001</v>
      </c>
      <c r="AC202">
        <v>1.4201980000000001</v>
      </c>
      <c r="AD202">
        <v>1.512813</v>
      </c>
      <c r="AE202">
        <v>1.5973889999999999</v>
      </c>
      <c r="AF202">
        <v>1.6751879999999999</v>
      </c>
      <c r="AG202">
        <v>1.7441500000000001</v>
      </c>
      <c r="AH202">
        <v>1.80585</v>
      </c>
      <c r="AI202" t="s">
        <v>111</v>
      </c>
    </row>
    <row r="203" spans="1:35">
      <c r="A203" t="s">
        <v>240</v>
      </c>
      <c r="B203" t="s">
        <v>2010</v>
      </c>
      <c r="C203" t="s">
        <v>2011</v>
      </c>
      <c r="D203" t="s">
        <v>270</v>
      </c>
      <c r="F203">
        <v>0</v>
      </c>
      <c r="G203">
        <v>0</v>
      </c>
      <c r="H203">
        <v>9.2E-5</v>
      </c>
      <c r="I203">
        <v>9.6000000000000002E-5</v>
      </c>
      <c r="J203">
        <v>9.7999999999999997E-5</v>
      </c>
      <c r="K203">
        <v>9.7999999999999997E-5</v>
      </c>
      <c r="L203">
        <v>9.8999999999999994E-5</v>
      </c>
      <c r="M203">
        <v>1E-4</v>
      </c>
      <c r="N203">
        <v>1E-4</v>
      </c>
      <c r="O203">
        <v>9.8999999999999994E-5</v>
      </c>
      <c r="P203">
        <v>1.01E-4</v>
      </c>
      <c r="Q203">
        <v>1.02E-4</v>
      </c>
      <c r="R203">
        <v>1E-4</v>
      </c>
      <c r="S203">
        <v>9.7999999999999997E-5</v>
      </c>
      <c r="T203">
        <v>9.6000000000000002E-5</v>
      </c>
      <c r="U203">
        <v>9.5000000000000005E-5</v>
      </c>
      <c r="V203">
        <v>9.3999999999999994E-5</v>
      </c>
      <c r="W203">
        <v>9.2999999999999997E-5</v>
      </c>
      <c r="X203">
        <v>9.1000000000000003E-5</v>
      </c>
      <c r="Y203">
        <v>8.7000000000000001E-5</v>
      </c>
      <c r="Z203">
        <v>8.2999999999999998E-5</v>
      </c>
      <c r="AA203">
        <v>7.7999999999999999E-5</v>
      </c>
      <c r="AB203">
        <v>7.2000000000000002E-5</v>
      </c>
      <c r="AC203">
        <v>6.6000000000000005E-5</v>
      </c>
      <c r="AD203">
        <v>6.0000000000000002E-5</v>
      </c>
      <c r="AE203">
        <v>5.3999999999999998E-5</v>
      </c>
      <c r="AF203">
        <v>4.8000000000000001E-5</v>
      </c>
      <c r="AG203">
        <v>4.1999999999999998E-5</v>
      </c>
      <c r="AH203">
        <v>3.6999999999999998E-5</v>
      </c>
      <c r="AI203" t="s">
        <v>111</v>
      </c>
    </row>
    <row r="204" spans="1:35">
      <c r="A204" t="s">
        <v>241</v>
      </c>
      <c r="B204" t="s">
        <v>2012</v>
      </c>
      <c r="C204" t="s">
        <v>2013</v>
      </c>
      <c r="D204" t="s">
        <v>270</v>
      </c>
      <c r="F204">
        <v>252.12297100000001</v>
      </c>
      <c r="G204">
        <v>234.71489</v>
      </c>
      <c r="H204">
        <v>244.90295399999999</v>
      </c>
      <c r="I204">
        <v>257.58431999999999</v>
      </c>
      <c r="J204">
        <v>262.22531099999998</v>
      </c>
      <c r="K204">
        <v>262.600616</v>
      </c>
      <c r="L204">
        <v>265.51028400000001</v>
      </c>
      <c r="M204">
        <v>269.09481799999998</v>
      </c>
      <c r="N204">
        <v>269.90033</v>
      </c>
      <c r="O204">
        <v>271.774811</v>
      </c>
      <c r="P204">
        <v>278.807007</v>
      </c>
      <c r="Q204">
        <v>284.90963699999998</v>
      </c>
      <c r="R204">
        <v>283.77023300000002</v>
      </c>
      <c r="S204">
        <v>283.20797700000003</v>
      </c>
      <c r="T204">
        <v>285.19818099999998</v>
      </c>
      <c r="U204">
        <v>289.956726</v>
      </c>
      <c r="V204">
        <v>297.212738</v>
      </c>
      <c r="W204">
        <v>305.47820999999999</v>
      </c>
      <c r="X204">
        <v>312.69317599999999</v>
      </c>
      <c r="Y204">
        <v>317.58703600000001</v>
      </c>
      <c r="Z204">
        <v>322.53320300000001</v>
      </c>
      <c r="AA204">
        <v>325.861176</v>
      </c>
      <c r="AB204">
        <v>327.535461</v>
      </c>
      <c r="AC204">
        <v>330.37185699999998</v>
      </c>
      <c r="AD204">
        <v>334.76379400000002</v>
      </c>
      <c r="AE204">
        <v>339.232574</v>
      </c>
      <c r="AF204">
        <v>343.92105099999998</v>
      </c>
      <c r="AG204">
        <v>348.27246100000002</v>
      </c>
      <c r="AH204">
        <v>352.70803799999999</v>
      </c>
      <c r="AI204" s="22">
        <v>1.2E-2</v>
      </c>
    </row>
    <row r="205" spans="1:35">
      <c r="A205" t="s">
        <v>171</v>
      </c>
    </row>
    <row r="206" spans="1:35">
      <c r="A206" t="s">
        <v>189</v>
      </c>
      <c r="B206" t="s">
        <v>2014</v>
      </c>
      <c r="C206" t="s">
        <v>2015</v>
      </c>
      <c r="D206" t="s">
        <v>270</v>
      </c>
      <c r="F206">
        <v>103.404678</v>
      </c>
      <c r="G206">
        <v>93.851044000000002</v>
      </c>
      <c r="H206">
        <v>93.127953000000005</v>
      </c>
      <c r="I206">
        <v>101.221191</v>
      </c>
      <c r="J206">
        <v>108.826035</v>
      </c>
      <c r="K206">
        <v>113.528122</v>
      </c>
      <c r="L206">
        <v>117.037094</v>
      </c>
      <c r="M206">
        <v>118.277817</v>
      </c>
      <c r="N206">
        <v>117.091599</v>
      </c>
      <c r="O206">
        <v>116.187546</v>
      </c>
      <c r="P206">
        <v>117.516312</v>
      </c>
      <c r="Q206">
        <v>118.468452</v>
      </c>
      <c r="R206">
        <v>116.97597500000001</v>
      </c>
      <c r="S206">
        <v>116.15428199999999</v>
      </c>
      <c r="T206">
        <v>116.670227</v>
      </c>
      <c r="U206">
        <v>118.497925</v>
      </c>
      <c r="V206">
        <v>121.05987500000001</v>
      </c>
      <c r="W206">
        <v>123.670135</v>
      </c>
      <c r="X206">
        <v>125.33073400000001</v>
      </c>
      <c r="Y206">
        <v>125.99852799999999</v>
      </c>
      <c r="Z206">
        <v>126.588371</v>
      </c>
      <c r="AA206">
        <v>127.794685</v>
      </c>
      <c r="AB206">
        <v>128.51411400000001</v>
      </c>
      <c r="AC206">
        <v>127.958015</v>
      </c>
      <c r="AD206">
        <v>127.589088</v>
      </c>
      <c r="AE206">
        <v>127.828537</v>
      </c>
      <c r="AF206">
        <v>128.70858799999999</v>
      </c>
      <c r="AG206">
        <v>130.93695099999999</v>
      </c>
      <c r="AH206">
        <v>132.92228700000001</v>
      </c>
      <c r="AI206" s="22">
        <v>8.9999999999999993E-3</v>
      </c>
    </row>
    <row r="207" spans="1:35">
      <c r="A207" t="s">
        <v>235</v>
      </c>
      <c r="B207" t="s">
        <v>2016</v>
      </c>
      <c r="C207" t="s">
        <v>2017</v>
      </c>
      <c r="D207" t="s">
        <v>270</v>
      </c>
      <c r="F207">
        <v>65.718322999999998</v>
      </c>
      <c r="G207">
        <v>59.346218</v>
      </c>
      <c r="H207">
        <v>58.616394</v>
      </c>
      <c r="I207">
        <v>63.438938</v>
      </c>
      <c r="J207">
        <v>67.937827999999996</v>
      </c>
      <c r="K207">
        <v>70.617630000000005</v>
      </c>
      <c r="L207">
        <v>72.558753999999993</v>
      </c>
      <c r="M207">
        <v>73.104111000000003</v>
      </c>
      <c r="N207">
        <v>72.167632999999995</v>
      </c>
      <c r="O207">
        <v>71.425362000000007</v>
      </c>
      <c r="P207">
        <v>72.070419000000001</v>
      </c>
      <c r="Q207">
        <v>72.495384000000001</v>
      </c>
      <c r="R207">
        <v>71.437973</v>
      </c>
      <c r="S207">
        <v>70.804771000000002</v>
      </c>
      <c r="T207">
        <v>70.998146000000006</v>
      </c>
      <c r="U207">
        <v>71.997405999999998</v>
      </c>
      <c r="V207">
        <v>73.448020999999997</v>
      </c>
      <c r="W207">
        <v>74.932304000000002</v>
      </c>
      <c r="X207">
        <v>75.845984999999999</v>
      </c>
      <c r="Y207">
        <v>76.164756999999994</v>
      </c>
      <c r="Z207">
        <v>76.442573999999993</v>
      </c>
      <c r="AA207">
        <v>77.097999999999999</v>
      </c>
      <c r="AB207">
        <v>77.464584000000002</v>
      </c>
      <c r="AC207">
        <v>77.067642000000006</v>
      </c>
      <c r="AD207">
        <v>76.788810999999995</v>
      </c>
      <c r="AE207">
        <v>76.880707000000001</v>
      </c>
      <c r="AF207">
        <v>77.361571999999995</v>
      </c>
      <c r="AG207">
        <v>78.655547999999996</v>
      </c>
      <c r="AH207">
        <v>79.805649000000003</v>
      </c>
      <c r="AI207" s="22">
        <v>7.0000000000000001E-3</v>
      </c>
    </row>
    <row r="208" spans="1:35">
      <c r="A208" t="s">
        <v>192</v>
      </c>
      <c r="B208" t="s">
        <v>2018</v>
      </c>
      <c r="C208" t="s">
        <v>2019</v>
      </c>
      <c r="D208" t="s">
        <v>270</v>
      </c>
      <c r="F208">
        <v>0.18179799999999999</v>
      </c>
      <c r="G208">
        <v>0.16347100000000001</v>
      </c>
      <c r="H208">
        <v>0.16278300000000001</v>
      </c>
      <c r="I208">
        <v>0.174286</v>
      </c>
      <c r="J208">
        <v>0.189836</v>
      </c>
      <c r="K208">
        <v>0.20184299999999999</v>
      </c>
      <c r="L208">
        <v>0.213171</v>
      </c>
      <c r="M208">
        <v>0.22183700000000001</v>
      </c>
      <c r="N208">
        <v>0.228135</v>
      </c>
      <c r="O208">
        <v>0.237845</v>
      </c>
      <c r="P208">
        <v>0.25361699999999998</v>
      </c>
      <c r="Q208">
        <v>0.27221000000000001</v>
      </c>
      <c r="R208">
        <v>0.28478100000000001</v>
      </c>
      <c r="S208">
        <v>0.29964800000000003</v>
      </c>
      <c r="T208">
        <v>0.32134000000000001</v>
      </c>
      <c r="U208">
        <v>0.35065000000000002</v>
      </c>
      <c r="V208">
        <v>0.38563799999999998</v>
      </c>
      <c r="W208">
        <v>0.42357</v>
      </c>
      <c r="X208">
        <v>0.45776099999999997</v>
      </c>
      <c r="Y208">
        <v>0.48791299999999999</v>
      </c>
      <c r="Z208">
        <v>0.516787</v>
      </c>
      <c r="AA208">
        <v>0.54991900000000005</v>
      </c>
      <c r="AB208">
        <v>0.58043400000000001</v>
      </c>
      <c r="AC208">
        <v>0.60335499999999997</v>
      </c>
      <c r="AD208">
        <v>0.62334299999999998</v>
      </c>
      <c r="AE208">
        <v>0.64342900000000003</v>
      </c>
      <c r="AF208">
        <v>0.66342000000000001</v>
      </c>
      <c r="AG208">
        <v>0.68860600000000005</v>
      </c>
      <c r="AH208">
        <v>0.71112500000000001</v>
      </c>
      <c r="AI208" s="22">
        <v>0.05</v>
      </c>
    </row>
    <row r="209" spans="1:35">
      <c r="A209" t="s">
        <v>195</v>
      </c>
      <c r="B209" t="s">
        <v>2020</v>
      </c>
      <c r="C209" t="s">
        <v>2021</v>
      </c>
      <c r="D209" t="s">
        <v>270</v>
      </c>
      <c r="F209">
        <v>8.4726999999999997E-2</v>
      </c>
      <c r="G209">
        <v>6.7200999999999997E-2</v>
      </c>
      <c r="H209">
        <v>5.8499000000000002E-2</v>
      </c>
      <c r="I209">
        <v>5.5223000000000001E-2</v>
      </c>
      <c r="J209">
        <v>5.1539000000000001E-2</v>
      </c>
      <c r="K209">
        <v>4.6612000000000001E-2</v>
      </c>
      <c r="L209">
        <v>4.1568000000000001E-2</v>
      </c>
      <c r="M209">
        <v>3.6276999999999997E-2</v>
      </c>
      <c r="N209">
        <v>3.0949999999999998E-2</v>
      </c>
      <c r="O209">
        <v>2.6404E-2</v>
      </c>
      <c r="P209">
        <v>2.2890000000000001E-2</v>
      </c>
      <c r="Q209">
        <v>1.9713999999999999E-2</v>
      </c>
      <c r="R209">
        <v>1.6565E-2</v>
      </c>
      <c r="S209">
        <v>1.3952000000000001E-2</v>
      </c>
      <c r="T209">
        <v>1.1849E-2</v>
      </c>
      <c r="U209">
        <v>1.0146000000000001E-2</v>
      </c>
      <c r="V209">
        <v>8.7139999999999995E-3</v>
      </c>
      <c r="W209">
        <v>7.4660000000000004E-3</v>
      </c>
      <c r="X209">
        <v>6.3299999999999997E-3</v>
      </c>
      <c r="Y209">
        <v>5.3119999999999999E-3</v>
      </c>
      <c r="Z209">
        <v>4.444E-3</v>
      </c>
      <c r="AA209">
        <v>3.7299999999999998E-3</v>
      </c>
      <c r="AB209">
        <v>3.114E-3</v>
      </c>
      <c r="AC209">
        <v>2.5709999999999999E-3</v>
      </c>
      <c r="AD209">
        <v>2.1220000000000002E-3</v>
      </c>
      <c r="AE209">
        <v>1.758E-3</v>
      </c>
      <c r="AF209">
        <v>1.462E-3</v>
      </c>
      <c r="AG209">
        <v>1.227E-3</v>
      </c>
      <c r="AH209">
        <v>1.0280000000000001E-3</v>
      </c>
      <c r="AI209" s="22">
        <v>-0.14599999999999999</v>
      </c>
    </row>
    <row r="210" spans="1:35">
      <c r="A210" t="s">
        <v>236</v>
      </c>
      <c r="B210" t="s">
        <v>2022</v>
      </c>
      <c r="C210" t="s">
        <v>2023</v>
      </c>
      <c r="D210" t="s">
        <v>270</v>
      </c>
      <c r="F210">
        <v>3.2730670000000002</v>
      </c>
      <c r="G210">
        <v>3.322184</v>
      </c>
      <c r="H210">
        <v>3.5807000000000002</v>
      </c>
      <c r="I210">
        <v>4.0857429999999999</v>
      </c>
      <c r="J210">
        <v>4.6985200000000003</v>
      </c>
      <c r="K210">
        <v>5.3569370000000003</v>
      </c>
      <c r="L210">
        <v>5.8913250000000001</v>
      </c>
      <c r="M210">
        <v>6.3785939999999997</v>
      </c>
      <c r="N210">
        <v>6.8041530000000003</v>
      </c>
      <c r="O210">
        <v>7.3675160000000002</v>
      </c>
      <c r="P210">
        <v>8.1123370000000001</v>
      </c>
      <c r="Q210">
        <v>8.926221</v>
      </c>
      <c r="R210">
        <v>9.4645550000000007</v>
      </c>
      <c r="S210">
        <v>10.002560000000001</v>
      </c>
      <c r="T210">
        <v>10.573024</v>
      </c>
      <c r="U210">
        <v>11.235374999999999</v>
      </c>
      <c r="V210">
        <v>11.893890000000001</v>
      </c>
      <c r="W210">
        <v>12.544364</v>
      </c>
      <c r="X210">
        <v>13.095907</v>
      </c>
      <c r="Y210">
        <v>13.520489</v>
      </c>
      <c r="Z210">
        <v>13.811425</v>
      </c>
      <c r="AA210">
        <v>14.108290999999999</v>
      </c>
      <c r="AB210">
        <v>14.325763</v>
      </c>
      <c r="AC210">
        <v>14.435430999999999</v>
      </c>
      <c r="AD210">
        <v>14.519729</v>
      </c>
      <c r="AE210">
        <v>14.613554000000001</v>
      </c>
      <c r="AF210">
        <v>14.750197999999999</v>
      </c>
      <c r="AG210">
        <v>15.035280999999999</v>
      </c>
      <c r="AH210">
        <v>15.262869</v>
      </c>
      <c r="AI210" s="22">
        <v>5.7000000000000002E-2</v>
      </c>
    </row>
    <row r="211" spans="1:35">
      <c r="A211" t="s">
        <v>237</v>
      </c>
      <c r="B211" t="s">
        <v>2024</v>
      </c>
      <c r="C211" t="s">
        <v>2025</v>
      </c>
      <c r="D211" t="s">
        <v>270</v>
      </c>
      <c r="F211">
        <v>6.2216E-2</v>
      </c>
      <c r="G211">
        <v>4.9613999999999998E-2</v>
      </c>
      <c r="H211">
        <v>4.317E-2</v>
      </c>
      <c r="I211">
        <v>4.0901E-2</v>
      </c>
      <c r="J211">
        <v>3.8318999999999999E-2</v>
      </c>
      <c r="K211">
        <v>3.4785999999999997E-2</v>
      </c>
      <c r="L211">
        <v>3.1146E-2</v>
      </c>
      <c r="M211">
        <v>2.7297999999999999E-2</v>
      </c>
      <c r="N211">
        <v>2.3394999999999999E-2</v>
      </c>
      <c r="O211">
        <v>2.0049999999999998E-2</v>
      </c>
      <c r="P211">
        <v>1.7461000000000001E-2</v>
      </c>
      <c r="Q211">
        <v>1.5108E-2</v>
      </c>
      <c r="R211">
        <v>1.2755000000000001E-2</v>
      </c>
      <c r="S211">
        <v>1.0794E-2</v>
      </c>
      <c r="T211">
        <v>9.2110000000000004E-3</v>
      </c>
      <c r="U211">
        <v>7.9249999999999998E-3</v>
      </c>
      <c r="V211">
        <v>6.8380000000000003E-3</v>
      </c>
      <c r="W211">
        <v>5.8849999999999996E-3</v>
      </c>
      <c r="X211">
        <v>5.0130000000000001E-3</v>
      </c>
      <c r="Y211">
        <v>4.2259999999999997E-3</v>
      </c>
      <c r="Z211">
        <v>3.552E-3</v>
      </c>
      <c r="AA211">
        <v>2.9949999999999998E-3</v>
      </c>
      <c r="AB211">
        <v>2.5119999999999999E-3</v>
      </c>
      <c r="AC211">
        <v>2.0839999999999999E-3</v>
      </c>
      <c r="AD211">
        <v>1.7279999999999999E-3</v>
      </c>
      <c r="AE211">
        <v>1.438E-3</v>
      </c>
      <c r="AF211">
        <v>1.2019999999999999E-3</v>
      </c>
      <c r="AG211">
        <v>1.0139999999999999E-3</v>
      </c>
      <c r="AH211">
        <v>8.5300000000000003E-4</v>
      </c>
      <c r="AI211" s="22">
        <v>-0.14199999999999999</v>
      </c>
    </row>
    <row r="212" spans="1:35">
      <c r="A212" t="s">
        <v>238</v>
      </c>
      <c r="B212" t="s">
        <v>2026</v>
      </c>
      <c r="C212" t="s">
        <v>2027</v>
      </c>
      <c r="D212" t="s">
        <v>270</v>
      </c>
      <c r="F212">
        <v>0</v>
      </c>
      <c r="G212">
        <v>0</v>
      </c>
      <c r="H212">
        <v>0.186029</v>
      </c>
      <c r="I212">
        <v>0.20210900000000001</v>
      </c>
      <c r="J212">
        <v>0.21531700000000001</v>
      </c>
      <c r="K212">
        <v>0.22434699999999999</v>
      </c>
      <c r="L212">
        <v>0.23363300000000001</v>
      </c>
      <c r="M212">
        <v>0.23822599999999999</v>
      </c>
      <c r="N212">
        <v>0.23896600000000001</v>
      </c>
      <c r="O212">
        <v>0.241788</v>
      </c>
      <c r="P212">
        <v>0.25212600000000002</v>
      </c>
      <c r="Q212">
        <v>0.26472200000000001</v>
      </c>
      <c r="R212">
        <v>0.27237600000000001</v>
      </c>
      <c r="S212">
        <v>0.281142</v>
      </c>
      <c r="T212">
        <v>0.29588999999999999</v>
      </c>
      <c r="U212">
        <v>0.315577</v>
      </c>
      <c r="V212">
        <v>0.33903899999999998</v>
      </c>
      <c r="W212">
        <v>0.36582399999999998</v>
      </c>
      <c r="X212">
        <v>0.39288899999999999</v>
      </c>
      <c r="Y212">
        <v>0.41955199999999998</v>
      </c>
      <c r="Z212">
        <v>0.44816699999999998</v>
      </c>
      <c r="AA212">
        <v>0.48085</v>
      </c>
      <c r="AB212">
        <v>0.51291900000000001</v>
      </c>
      <c r="AC212">
        <v>0.53992600000000002</v>
      </c>
      <c r="AD212">
        <v>0.56671400000000005</v>
      </c>
      <c r="AE212">
        <v>0.59474800000000005</v>
      </c>
      <c r="AF212">
        <v>0.62408300000000005</v>
      </c>
      <c r="AG212">
        <v>0.65509099999999998</v>
      </c>
      <c r="AH212">
        <v>0.68619200000000002</v>
      </c>
      <c r="AI212" t="s">
        <v>111</v>
      </c>
    </row>
    <row r="213" spans="1:35">
      <c r="A213" t="s">
        <v>239</v>
      </c>
      <c r="B213" t="s">
        <v>2028</v>
      </c>
      <c r="C213" t="s">
        <v>2029</v>
      </c>
      <c r="D213" t="s">
        <v>270</v>
      </c>
      <c r="F213">
        <v>0</v>
      </c>
      <c r="G213">
        <v>0</v>
      </c>
      <c r="H213">
        <v>0.18621099999999999</v>
      </c>
      <c r="I213">
        <v>0.195795</v>
      </c>
      <c r="J213">
        <v>0.20369699999999999</v>
      </c>
      <c r="K213">
        <v>0.209484</v>
      </c>
      <c r="L213">
        <v>0.21459</v>
      </c>
      <c r="M213">
        <v>0.21629100000000001</v>
      </c>
      <c r="N213">
        <v>0.217471</v>
      </c>
      <c r="O213">
        <v>0.223722</v>
      </c>
      <c r="P213">
        <v>0.23843</v>
      </c>
      <c r="Q213">
        <v>0.25765100000000002</v>
      </c>
      <c r="R213">
        <v>0.27265299999999998</v>
      </c>
      <c r="S213">
        <v>0.288495</v>
      </c>
      <c r="T213">
        <v>0.31278600000000001</v>
      </c>
      <c r="U213">
        <v>0.34418399999999999</v>
      </c>
      <c r="V213">
        <v>0.38087900000000002</v>
      </c>
      <c r="W213">
        <v>0.42353299999999999</v>
      </c>
      <c r="X213">
        <v>0.46896199999999999</v>
      </c>
      <c r="Y213">
        <v>0.51583699999999999</v>
      </c>
      <c r="Z213">
        <v>0.56491999999999998</v>
      </c>
      <c r="AA213">
        <v>0.61953899999999995</v>
      </c>
      <c r="AB213">
        <v>0.67395400000000005</v>
      </c>
      <c r="AC213">
        <v>0.72306800000000004</v>
      </c>
      <c r="AD213">
        <v>0.77104200000000001</v>
      </c>
      <c r="AE213">
        <v>0.81916699999999998</v>
      </c>
      <c r="AF213">
        <v>0.86801700000000004</v>
      </c>
      <c r="AG213">
        <v>0.92293199999999997</v>
      </c>
      <c r="AH213">
        <v>0.97226900000000005</v>
      </c>
      <c r="AI213" t="s">
        <v>111</v>
      </c>
    </row>
    <row r="214" spans="1:35">
      <c r="A214" t="s">
        <v>240</v>
      </c>
      <c r="B214" t="s">
        <v>2030</v>
      </c>
      <c r="C214" t="s">
        <v>2031</v>
      </c>
      <c r="D214" t="s">
        <v>270</v>
      </c>
      <c r="F214">
        <v>0</v>
      </c>
      <c r="G214">
        <v>0</v>
      </c>
      <c r="H214">
        <v>0.311087</v>
      </c>
      <c r="I214">
        <v>0.33967399999999998</v>
      </c>
      <c r="J214">
        <v>0.36747600000000002</v>
      </c>
      <c r="K214">
        <v>0.38651099999999999</v>
      </c>
      <c r="L214">
        <v>0.40268799999999999</v>
      </c>
      <c r="M214">
        <v>0.41243400000000002</v>
      </c>
      <c r="N214">
        <v>0.41516599999999998</v>
      </c>
      <c r="O214">
        <v>0.420512</v>
      </c>
      <c r="P214">
        <v>0.436081</v>
      </c>
      <c r="Q214">
        <v>0.45299800000000001</v>
      </c>
      <c r="R214">
        <v>0.46345399999999998</v>
      </c>
      <c r="S214">
        <v>0.47964099999999998</v>
      </c>
      <c r="T214">
        <v>0.50517800000000002</v>
      </c>
      <c r="U214">
        <v>0.54123500000000002</v>
      </c>
      <c r="V214">
        <v>0.58649099999999998</v>
      </c>
      <c r="W214">
        <v>0.63849699999999998</v>
      </c>
      <c r="X214">
        <v>0.69203199999999998</v>
      </c>
      <c r="Y214">
        <v>0.74562499999999998</v>
      </c>
      <c r="Z214">
        <v>0.80322899999999997</v>
      </c>
      <c r="AA214">
        <v>0.86841699999999999</v>
      </c>
      <c r="AB214">
        <v>0.93269400000000002</v>
      </c>
      <c r="AC214">
        <v>0.98777300000000001</v>
      </c>
      <c r="AD214">
        <v>1.042319</v>
      </c>
      <c r="AE214">
        <v>1.0988450000000001</v>
      </c>
      <c r="AF214">
        <v>1.1572979999999999</v>
      </c>
      <c r="AG214">
        <v>1.224207</v>
      </c>
      <c r="AH214">
        <v>1.2849740000000001</v>
      </c>
      <c r="AI214" t="s">
        <v>111</v>
      </c>
    </row>
    <row r="215" spans="1:35">
      <c r="A215" t="s">
        <v>242</v>
      </c>
      <c r="B215" t="s">
        <v>2032</v>
      </c>
      <c r="C215" t="s">
        <v>2033</v>
      </c>
      <c r="D215" t="s">
        <v>270</v>
      </c>
      <c r="F215">
        <v>172.72479200000001</v>
      </c>
      <c r="G215">
        <v>156.799713</v>
      </c>
      <c r="H215">
        <v>156.272797</v>
      </c>
      <c r="I215">
        <v>169.75384500000001</v>
      </c>
      <c r="J215">
        <v>182.52856399999999</v>
      </c>
      <c r="K215">
        <v>190.606247</v>
      </c>
      <c r="L215">
        <v>196.62394699999999</v>
      </c>
      <c r="M215">
        <v>198.91287199999999</v>
      </c>
      <c r="N215">
        <v>197.217468</v>
      </c>
      <c r="O215">
        <v>196.15072599999999</v>
      </c>
      <c r="P215">
        <v>198.919678</v>
      </c>
      <c r="Q215">
        <v>201.17245500000001</v>
      </c>
      <c r="R215">
        <v>199.201111</v>
      </c>
      <c r="S215">
        <v>198.33532700000001</v>
      </c>
      <c r="T215">
        <v>199.69764699999999</v>
      </c>
      <c r="U215">
        <v>203.3004</v>
      </c>
      <c r="V215">
        <v>208.109375</v>
      </c>
      <c r="W215">
        <v>213.01158100000001</v>
      </c>
      <c r="X215">
        <v>216.295593</v>
      </c>
      <c r="Y215">
        <v>217.86222799999999</v>
      </c>
      <c r="Z215">
        <v>219.18348700000001</v>
      </c>
      <c r="AA215">
        <v>221.52641299999999</v>
      </c>
      <c r="AB215">
        <v>223.01007100000001</v>
      </c>
      <c r="AC215">
        <v>222.31985499999999</v>
      </c>
      <c r="AD215">
        <v>221.90490700000001</v>
      </c>
      <c r="AE215">
        <v>222.48220800000001</v>
      </c>
      <c r="AF215">
        <v>224.13584900000001</v>
      </c>
      <c r="AG215">
        <v>228.12084999999999</v>
      </c>
      <c r="AH215">
        <v>231.647232</v>
      </c>
      <c r="AI215" s="22">
        <v>1.0999999999999999E-2</v>
      </c>
    </row>
    <row r="216" spans="1:35">
      <c r="A216" t="s">
        <v>243</v>
      </c>
    </row>
    <row r="217" spans="1:35">
      <c r="A217" t="s">
        <v>189</v>
      </c>
      <c r="B217" t="s">
        <v>2034</v>
      </c>
      <c r="C217" t="s">
        <v>2035</v>
      </c>
      <c r="D217" t="s">
        <v>270</v>
      </c>
      <c r="F217">
        <v>261.21398900000003</v>
      </c>
      <c r="G217">
        <v>232.95715300000001</v>
      </c>
      <c r="H217">
        <v>227.335297</v>
      </c>
      <c r="I217">
        <v>242.68454</v>
      </c>
      <c r="J217">
        <v>256.58145100000002</v>
      </c>
      <c r="K217">
        <v>263.566101</v>
      </c>
      <c r="L217">
        <v>267.61416600000001</v>
      </c>
      <c r="M217">
        <v>266.540527</v>
      </c>
      <c r="N217">
        <v>260.20056199999999</v>
      </c>
      <c r="O217">
        <v>254.780823</v>
      </c>
      <c r="P217">
        <v>254.38827499999999</v>
      </c>
      <c r="Q217">
        <v>253.287857</v>
      </c>
      <c r="R217">
        <v>246.95425399999999</v>
      </c>
      <c r="S217">
        <v>242.15368699999999</v>
      </c>
      <c r="T217">
        <v>240.175568</v>
      </c>
      <c r="U217">
        <v>240.903412</v>
      </c>
      <c r="V217">
        <v>243.00683599999999</v>
      </c>
      <c r="W217">
        <v>245.15043600000001</v>
      </c>
      <c r="X217">
        <v>245.39141799999999</v>
      </c>
      <c r="Y217">
        <v>243.68821700000001</v>
      </c>
      <c r="Z217">
        <v>241.747131</v>
      </c>
      <c r="AA217">
        <v>240.94059799999999</v>
      </c>
      <c r="AB217">
        <v>239.21463</v>
      </c>
      <c r="AC217">
        <v>235.22081</v>
      </c>
      <c r="AD217">
        <v>231.60012800000001</v>
      </c>
      <c r="AE217">
        <v>229.08311499999999</v>
      </c>
      <c r="AF217">
        <v>227.70941199999999</v>
      </c>
      <c r="AG217">
        <v>228.69503800000001</v>
      </c>
      <c r="AH217">
        <v>229.18687399999999</v>
      </c>
      <c r="AI217" s="22">
        <v>-5.0000000000000001E-3</v>
      </c>
    </row>
    <row r="218" spans="1:35">
      <c r="A218" t="s">
        <v>235</v>
      </c>
      <c r="B218" t="s">
        <v>2036</v>
      </c>
      <c r="C218" t="s">
        <v>2037</v>
      </c>
      <c r="D218" t="s">
        <v>270</v>
      </c>
      <c r="F218">
        <v>1.4041360000000001</v>
      </c>
      <c r="G218">
        <v>1.239317</v>
      </c>
      <c r="H218">
        <v>1.198804</v>
      </c>
      <c r="I218">
        <v>1.2702040000000001</v>
      </c>
      <c r="J218">
        <v>1.3344450000000001</v>
      </c>
      <c r="K218">
        <v>1.3634280000000001</v>
      </c>
      <c r="L218">
        <v>1.378085</v>
      </c>
      <c r="M218">
        <v>1.3672960000000001</v>
      </c>
      <c r="N218">
        <v>1.330446</v>
      </c>
      <c r="O218">
        <v>1.2991729999999999</v>
      </c>
      <c r="P218">
        <v>1.2941689999999999</v>
      </c>
      <c r="Q218">
        <v>1.286052</v>
      </c>
      <c r="R218">
        <v>1.251833</v>
      </c>
      <c r="S218">
        <v>1.225797</v>
      </c>
      <c r="T218">
        <v>1.2143649999999999</v>
      </c>
      <c r="U218">
        <v>1.216836</v>
      </c>
      <c r="V218">
        <v>1.2264470000000001</v>
      </c>
      <c r="W218">
        <v>1.2363919999999999</v>
      </c>
      <c r="X218">
        <v>1.2368710000000001</v>
      </c>
      <c r="Y218">
        <v>1.227681</v>
      </c>
      <c r="Z218">
        <v>1.217392</v>
      </c>
      <c r="AA218">
        <v>1.2129000000000001</v>
      </c>
      <c r="AB218">
        <v>1.2038530000000001</v>
      </c>
      <c r="AC218">
        <v>1.1834560000000001</v>
      </c>
      <c r="AD218">
        <v>1.165</v>
      </c>
      <c r="AE218">
        <v>1.152134</v>
      </c>
      <c r="AF218">
        <v>1.145054</v>
      </c>
      <c r="AG218">
        <v>1.1498600000000001</v>
      </c>
      <c r="AH218">
        <v>1.152204</v>
      </c>
      <c r="AI218" s="22">
        <v>-7.0000000000000001E-3</v>
      </c>
    </row>
    <row r="219" spans="1:35">
      <c r="A219" t="s">
        <v>192</v>
      </c>
      <c r="B219" t="s">
        <v>2038</v>
      </c>
      <c r="C219" t="s">
        <v>2039</v>
      </c>
      <c r="D219" t="s">
        <v>270</v>
      </c>
      <c r="F219">
        <v>0.16544500000000001</v>
      </c>
      <c r="G219">
        <v>0.14466699999999999</v>
      </c>
      <c r="H219">
        <v>0.14008399999999999</v>
      </c>
      <c r="I219">
        <v>0.14647199999999999</v>
      </c>
      <c r="J219">
        <v>0.153947</v>
      </c>
      <c r="K219">
        <v>0.15726399999999999</v>
      </c>
      <c r="L219">
        <v>0.15859699999999999</v>
      </c>
      <c r="M219">
        <v>0.15712599999999999</v>
      </c>
      <c r="N219">
        <v>0.15252099999999999</v>
      </c>
      <c r="O219">
        <v>0.14894399999999999</v>
      </c>
      <c r="P219">
        <v>0.14788200000000001</v>
      </c>
      <c r="Q219">
        <v>0.14672299999999999</v>
      </c>
      <c r="R219">
        <v>0.14156099999999999</v>
      </c>
      <c r="S219">
        <v>0.137429</v>
      </c>
      <c r="T219">
        <v>0.13535900000000001</v>
      </c>
      <c r="U219">
        <v>0.13547100000000001</v>
      </c>
      <c r="V219">
        <v>0.13658999999999999</v>
      </c>
      <c r="W219">
        <v>0.13772000000000001</v>
      </c>
      <c r="X219">
        <v>0.13731199999999999</v>
      </c>
      <c r="Y219">
        <v>0.135745</v>
      </c>
      <c r="Z219">
        <v>0.13406499999999999</v>
      </c>
      <c r="AA219">
        <v>0.13355900000000001</v>
      </c>
      <c r="AB219">
        <v>0.132719</v>
      </c>
      <c r="AC219">
        <v>0.13070300000000001</v>
      </c>
      <c r="AD219">
        <v>0.12873799999999999</v>
      </c>
      <c r="AE219">
        <v>0.127358</v>
      </c>
      <c r="AF219">
        <v>0.12651599999999999</v>
      </c>
      <c r="AG219">
        <v>0.12703200000000001</v>
      </c>
      <c r="AH219">
        <v>0.127271</v>
      </c>
      <c r="AI219" s="22">
        <v>-8.9999999999999993E-3</v>
      </c>
    </row>
    <row r="220" spans="1:35">
      <c r="A220" t="s">
        <v>195</v>
      </c>
      <c r="B220" t="s">
        <v>2040</v>
      </c>
      <c r="C220" t="s">
        <v>2041</v>
      </c>
      <c r="D220" t="s">
        <v>270</v>
      </c>
      <c r="F220">
        <v>4.131297</v>
      </c>
      <c r="G220">
        <v>3.399645</v>
      </c>
      <c r="H220">
        <v>3.2476150000000001</v>
      </c>
      <c r="I220">
        <v>3.3248160000000002</v>
      </c>
      <c r="J220">
        <v>3.3366020000000001</v>
      </c>
      <c r="K220">
        <v>3.2365620000000002</v>
      </c>
      <c r="L220">
        <v>3.0313650000000001</v>
      </c>
      <c r="M220">
        <v>2.7968120000000001</v>
      </c>
      <c r="N220">
        <v>2.5805479999999998</v>
      </c>
      <c r="O220">
        <v>2.4900419999999999</v>
      </c>
      <c r="P220">
        <v>2.510497</v>
      </c>
      <c r="Q220">
        <v>2.6049250000000002</v>
      </c>
      <c r="R220">
        <v>2.6832539999999998</v>
      </c>
      <c r="S220">
        <v>2.7872620000000001</v>
      </c>
      <c r="T220">
        <v>2.9224299999999999</v>
      </c>
      <c r="U220">
        <v>3.098395</v>
      </c>
      <c r="V220">
        <v>3.3081209999999999</v>
      </c>
      <c r="W220">
        <v>3.5266310000000001</v>
      </c>
      <c r="X220">
        <v>3.7228829999999999</v>
      </c>
      <c r="Y220">
        <v>3.9005800000000002</v>
      </c>
      <c r="Z220">
        <v>4.081086</v>
      </c>
      <c r="AA220">
        <v>4.3035690000000004</v>
      </c>
      <c r="AB220">
        <v>4.5183299999999997</v>
      </c>
      <c r="AC220">
        <v>4.6917869999999997</v>
      </c>
      <c r="AD220">
        <v>4.8784850000000004</v>
      </c>
      <c r="AE220">
        <v>5.0894089999999998</v>
      </c>
      <c r="AF220">
        <v>5.3294730000000001</v>
      </c>
      <c r="AG220">
        <v>5.6305930000000002</v>
      </c>
      <c r="AH220">
        <v>5.9275779999999996</v>
      </c>
      <c r="AI220" s="22">
        <v>1.2999999999999999E-2</v>
      </c>
    </row>
    <row r="221" spans="1:35">
      <c r="A221" t="s">
        <v>236</v>
      </c>
      <c r="B221" t="s">
        <v>2042</v>
      </c>
      <c r="C221" t="s">
        <v>2043</v>
      </c>
      <c r="D221" t="s">
        <v>270</v>
      </c>
      <c r="F221">
        <v>0</v>
      </c>
      <c r="G221">
        <v>0</v>
      </c>
      <c r="H221">
        <v>0</v>
      </c>
      <c r="I221">
        <v>0</v>
      </c>
      <c r="J221">
        <v>0</v>
      </c>
      <c r="K221">
        <v>0</v>
      </c>
      <c r="L221">
        <v>0</v>
      </c>
      <c r="M221">
        <v>0</v>
      </c>
      <c r="N221">
        <v>0</v>
      </c>
      <c r="O221">
        <v>0</v>
      </c>
      <c r="P221">
        <v>0</v>
      </c>
      <c r="Q221">
        <v>0</v>
      </c>
      <c r="R221">
        <v>0</v>
      </c>
      <c r="S221">
        <v>0</v>
      </c>
      <c r="T221">
        <v>0</v>
      </c>
      <c r="U221">
        <v>0</v>
      </c>
      <c r="V221">
        <v>0</v>
      </c>
      <c r="W221">
        <v>0</v>
      </c>
      <c r="X221">
        <v>0</v>
      </c>
      <c r="Y221">
        <v>0</v>
      </c>
      <c r="Z221">
        <v>0</v>
      </c>
      <c r="AA221">
        <v>0</v>
      </c>
      <c r="AB221">
        <v>0</v>
      </c>
      <c r="AC221">
        <v>0</v>
      </c>
      <c r="AD221">
        <v>0</v>
      </c>
      <c r="AE221">
        <v>0</v>
      </c>
      <c r="AF221">
        <v>0</v>
      </c>
      <c r="AG221">
        <v>0</v>
      </c>
      <c r="AH221">
        <v>0</v>
      </c>
      <c r="AI221" t="s">
        <v>111</v>
      </c>
    </row>
    <row r="222" spans="1:35">
      <c r="A222" t="s">
        <v>237</v>
      </c>
      <c r="B222" t="s">
        <v>2044</v>
      </c>
      <c r="C222" t="s">
        <v>2045</v>
      </c>
      <c r="D222" t="s">
        <v>270</v>
      </c>
      <c r="F222">
        <v>4.4812999999999999E-2</v>
      </c>
      <c r="G222">
        <v>3.5400000000000001E-2</v>
      </c>
      <c r="H222">
        <v>3.0667E-2</v>
      </c>
      <c r="I222">
        <v>2.8981E-2</v>
      </c>
      <c r="J222">
        <v>2.7132E-2</v>
      </c>
      <c r="K222">
        <v>2.4688999999999999E-2</v>
      </c>
      <c r="L222">
        <v>2.2217000000000001E-2</v>
      </c>
      <c r="M222">
        <v>1.9625E-2</v>
      </c>
      <c r="N222">
        <v>1.6997000000000002E-2</v>
      </c>
      <c r="O222">
        <v>1.4770999999999999E-2</v>
      </c>
      <c r="P222">
        <v>1.3089999999999999E-2</v>
      </c>
      <c r="Q222">
        <v>1.1565000000000001E-2</v>
      </c>
      <c r="R222">
        <v>0.01</v>
      </c>
      <c r="S222">
        <v>8.6910000000000008E-3</v>
      </c>
      <c r="T222">
        <v>7.6340000000000002E-3</v>
      </c>
      <c r="U222">
        <v>6.777E-3</v>
      </c>
      <c r="V222">
        <v>6.045E-3</v>
      </c>
      <c r="W222">
        <v>5.3880000000000004E-3</v>
      </c>
      <c r="X222">
        <v>4.7609999999999996E-3</v>
      </c>
      <c r="Y222">
        <v>4.169E-3</v>
      </c>
      <c r="Z222">
        <v>3.643E-3</v>
      </c>
      <c r="AA222">
        <v>3.1949999999999999E-3</v>
      </c>
      <c r="AB222">
        <v>2.7880000000000001E-3</v>
      </c>
      <c r="AC222">
        <v>2.4069999999999999E-3</v>
      </c>
      <c r="AD222">
        <v>2.078E-3</v>
      </c>
      <c r="AE222">
        <v>1.799E-3</v>
      </c>
      <c r="AF222">
        <v>1.5640000000000001E-3</v>
      </c>
      <c r="AG222">
        <v>1.372E-3</v>
      </c>
      <c r="AH222">
        <v>1.1980000000000001E-3</v>
      </c>
      <c r="AI222" s="22">
        <v>-0.121</v>
      </c>
    </row>
    <row r="223" spans="1:35">
      <c r="A223" t="s">
        <v>238</v>
      </c>
      <c r="B223" t="s">
        <v>2046</v>
      </c>
      <c r="C223" t="s">
        <v>2047</v>
      </c>
      <c r="D223" t="s">
        <v>270</v>
      </c>
      <c r="F223">
        <v>0</v>
      </c>
      <c r="G223">
        <v>0</v>
      </c>
      <c r="H223">
        <v>0.102627</v>
      </c>
      <c r="I223">
        <v>0.109876</v>
      </c>
      <c r="J223">
        <v>0.115606</v>
      </c>
      <c r="K223">
        <v>0.119007</v>
      </c>
      <c r="L223">
        <v>0.12245399999999999</v>
      </c>
      <c r="M223">
        <v>0.12360699999999999</v>
      </c>
      <c r="N223">
        <v>0.123154</v>
      </c>
      <c r="O223">
        <v>0.123726</v>
      </c>
      <c r="P223">
        <v>0.12792999999999999</v>
      </c>
      <c r="Q223">
        <v>0.132877</v>
      </c>
      <c r="R223">
        <v>0.13522899999999999</v>
      </c>
      <c r="S223">
        <v>0.13786599999999999</v>
      </c>
      <c r="T223">
        <v>0.143488</v>
      </c>
      <c r="U223">
        <v>0.151391</v>
      </c>
      <c r="V223">
        <v>0.16062100000000001</v>
      </c>
      <c r="W223">
        <v>0.17118</v>
      </c>
      <c r="X223">
        <v>0.181757</v>
      </c>
      <c r="Y223">
        <v>0.192223</v>
      </c>
      <c r="Z223">
        <v>0.203791</v>
      </c>
      <c r="AA223">
        <v>0.217698</v>
      </c>
      <c r="AB223">
        <v>0.23214199999999999</v>
      </c>
      <c r="AC223">
        <v>0.24545800000000001</v>
      </c>
      <c r="AD223">
        <v>0.25994299999999998</v>
      </c>
      <c r="AE223">
        <v>0.276393</v>
      </c>
      <c r="AF223">
        <v>0.29494100000000001</v>
      </c>
      <c r="AG223">
        <v>0.31729299999999999</v>
      </c>
      <c r="AH223">
        <v>0.33960699999999999</v>
      </c>
      <c r="AI223" t="s">
        <v>111</v>
      </c>
    </row>
    <row r="224" spans="1:35">
      <c r="A224" t="s">
        <v>239</v>
      </c>
      <c r="B224" t="s">
        <v>2048</v>
      </c>
      <c r="C224" t="s">
        <v>2049</v>
      </c>
      <c r="D224" t="s">
        <v>270</v>
      </c>
      <c r="F224">
        <v>0</v>
      </c>
      <c r="G224">
        <v>0</v>
      </c>
      <c r="H224">
        <v>0.23166</v>
      </c>
      <c r="I224">
        <v>0.241648</v>
      </c>
      <c r="J224">
        <v>0.25026300000000001</v>
      </c>
      <c r="K224">
        <v>0.25448399999999999</v>
      </c>
      <c r="L224">
        <v>0.25684499999999999</v>
      </c>
      <c r="M224">
        <v>0.25485999999999998</v>
      </c>
      <c r="N224">
        <v>0.25021900000000002</v>
      </c>
      <c r="O224">
        <v>0.24899399999999999</v>
      </c>
      <c r="P224">
        <v>0.25468200000000002</v>
      </c>
      <c r="Q224">
        <v>0.26232800000000001</v>
      </c>
      <c r="R224">
        <v>0.26449400000000001</v>
      </c>
      <c r="S224">
        <v>0.267988</v>
      </c>
      <c r="T224">
        <v>0.276285</v>
      </c>
      <c r="U224">
        <v>0.28914400000000001</v>
      </c>
      <c r="V224">
        <v>0.30428699999999997</v>
      </c>
      <c r="W224">
        <v>0.32177800000000001</v>
      </c>
      <c r="X224">
        <v>0.33918599999999999</v>
      </c>
      <c r="Y224">
        <v>0.35597099999999998</v>
      </c>
      <c r="Z224">
        <v>0.37338500000000002</v>
      </c>
      <c r="AA224">
        <v>0.39376100000000003</v>
      </c>
      <c r="AB224">
        <v>0.41369</v>
      </c>
      <c r="AC224">
        <v>0.43043700000000001</v>
      </c>
      <c r="AD224">
        <v>0.44717099999999999</v>
      </c>
      <c r="AE224">
        <v>0.46481699999999998</v>
      </c>
      <c r="AF224">
        <v>0.483547</v>
      </c>
      <c r="AG224">
        <v>0.50610299999999997</v>
      </c>
      <c r="AH224">
        <v>0.52600599999999997</v>
      </c>
      <c r="AI224" t="s">
        <v>111</v>
      </c>
    </row>
    <row r="225" spans="1:35">
      <c r="A225" t="s">
        <v>240</v>
      </c>
      <c r="B225" t="s">
        <v>2050</v>
      </c>
      <c r="C225" t="s">
        <v>2051</v>
      </c>
      <c r="D225" t="s">
        <v>270</v>
      </c>
      <c r="F225">
        <v>0</v>
      </c>
      <c r="G225">
        <v>0</v>
      </c>
      <c r="H225">
        <v>0.339368</v>
      </c>
      <c r="I225">
        <v>0.36515599999999998</v>
      </c>
      <c r="J225">
        <v>0.38952500000000001</v>
      </c>
      <c r="K225">
        <v>0.40417199999999998</v>
      </c>
      <c r="L225">
        <v>0.415047</v>
      </c>
      <c r="M225">
        <v>0.41866399999999998</v>
      </c>
      <c r="N225">
        <v>0.41455999999999998</v>
      </c>
      <c r="O225">
        <v>0.41242899999999999</v>
      </c>
      <c r="P225">
        <v>0.419153</v>
      </c>
      <c r="Q225">
        <v>0.42563899999999999</v>
      </c>
      <c r="R225">
        <v>0.424149</v>
      </c>
      <c r="S225">
        <v>0.42604599999999998</v>
      </c>
      <c r="T225">
        <v>0.433917</v>
      </c>
      <c r="U225">
        <v>0.44806200000000002</v>
      </c>
      <c r="V225">
        <v>0.46653499999999998</v>
      </c>
      <c r="W225">
        <v>0.48714400000000002</v>
      </c>
      <c r="X225">
        <v>0.50612500000000005</v>
      </c>
      <c r="Y225">
        <v>0.52315400000000001</v>
      </c>
      <c r="Z225">
        <v>0.541713</v>
      </c>
      <c r="AA225">
        <v>0.56509200000000004</v>
      </c>
      <c r="AB225">
        <v>0.58876099999999998</v>
      </c>
      <c r="AC225">
        <v>0.60903499999999999</v>
      </c>
      <c r="AD225">
        <v>0.63227100000000003</v>
      </c>
      <c r="AE225">
        <v>0.66073700000000002</v>
      </c>
      <c r="AF225">
        <v>0.69507399999999997</v>
      </c>
      <c r="AG225">
        <v>0.73980999999999997</v>
      </c>
      <c r="AH225">
        <v>0.78651300000000002</v>
      </c>
      <c r="AI225" t="s">
        <v>111</v>
      </c>
    </row>
    <row r="226" spans="1:35">
      <c r="A226" t="s">
        <v>244</v>
      </c>
      <c r="B226" t="s">
        <v>2052</v>
      </c>
      <c r="C226" t="s">
        <v>2053</v>
      </c>
      <c r="D226" t="s">
        <v>270</v>
      </c>
      <c r="F226">
        <v>266.95968599999998</v>
      </c>
      <c r="G226">
        <v>237.77616900000001</v>
      </c>
      <c r="H226">
        <v>232.62614400000001</v>
      </c>
      <c r="I226">
        <v>248.17169200000001</v>
      </c>
      <c r="J226">
        <v>262.18890399999998</v>
      </c>
      <c r="K226">
        <v>269.12570199999999</v>
      </c>
      <c r="L226">
        <v>272.99877900000001</v>
      </c>
      <c r="M226">
        <v>271.67849699999999</v>
      </c>
      <c r="N226">
        <v>265.068939</v>
      </c>
      <c r="O226">
        <v>259.51889</v>
      </c>
      <c r="P226">
        <v>259.15566999999999</v>
      </c>
      <c r="Q226">
        <v>258.15792800000003</v>
      </c>
      <c r="R226">
        <v>251.86479199999999</v>
      </c>
      <c r="S226">
        <v>247.14475999999999</v>
      </c>
      <c r="T226">
        <v>245.309021</v>
      </c>
      <c r="U226">
        <v>246.249481</v>
      </c>
      <c r="V226">
        <v>248.61546300000001</v>
      </c>
      <c r="W226">
        <v>251.03659099999999</v>
      </c>
      <c r="X226">
        <v>251.52034</v>
      </c>
      <c r="Y226">
        <v>250.027771</v>
      </c>
      <c r="Z226">
        <v>248.30218500000001</v>
      </c>
      <c r="AA226">
        <v>247.770386</v>
      </c>
      <c r="AB226">
        <v>246.30693099999999</v>
      </c>
      <c r="AC226">
        <v>242.51406900000001</v>
      </c>
      <c r="AD226">
        <v>239.1138</v>
      </c>
      <c r="AE226">
        <v>236.855774</v>
      </c>
      <c r="AF226">
        <v>235.78559899999999</v>
      </c>
      <c r="AG226">
        <v>237.16709900000001</v>
      </c>
      <c r="AH226">
        <v>238.047256</v>
      </c>
      <c r="AI226" s="22">
        <v>-4.0000000000000001E-3</v>
      </c>
    </row>
    <row r="227" spans="1:35">
      <c r="A227" t="s">
        <v>256</v>
      </c>
      <c r="B227" t="s">
        <v>2054</v>
      </c>
      <c r="C227" t="s">
        <v>2055</v>
      </c>
      <c r="D227" t="s">
        <v>270</v>
      </c>
      <c r="F227">
        <v>691.80749500000002</v>
      </c>
      <c r="G227">
        <v>629.29083300000002</v>
      </c>
      <c r="H227">
        <v>633.80187999999998</v>
      </c>
      <c r="I227">
        <v>675.50988800000005</v>
      </c>
      <c r="J227">
        <v>706.94268799999998</v>
      </c>
      <c r="K227">
        <v>722.332581</v>
      </c>
      <c r="L227">
        <v>735.13305700000001</v>
      </c>
      <c r="M227">
        <v>739.68627900000001</v>
      </c>
      <c r="N227">
        <v>732.18676800000003</v>
      </c>
      <c r="O227">
        <v>727.44451900000001</v>
      </c>
      <c r="P227">
        <v>736.88232400000004</v>
      </c>
      <c r="Q227">
        <v>744.23999000000003</v>
      </c>
      <c r="R227">
        <v>734.83605999999997</v>
      </c>
      <c r="S227">
        <v>728.68798800000002</v>
      </c>
      <c r="T227">
        <v>730.20495600000004</v>
      </c>
      <c r="U227">
        <v>739.506531</v>
      </c>
      <c r="V227">
        <v>753.9375</v>
      </c>
      <c r="W227">
        <v>769.52655000000004</v>
      </c>
      <c r="X227">
        <v>780.50903300000004</v>
      </c>
      <c r="Y227">
        <v>785.47686799999997</v>
      </c>
      <c r="Z227">
        <v>790.01892099999998</v>
      </c>
      <c r="AA227">
        <v>795.15801999999996</v>
      </c>
      <c r="AB227">
        <v>796.85241699999995</v>
      </c>
      <c r="AC227">
        <v>795.20581100000004</v>
      </c>
      <c r="AD227">
        <v>795.78259300000002</v>
      </c>
      <c r="AE227">
        <v>798.57061799999997</v>
      </c>
      <c r="AF227">
        <v>803.84234600000002</v>
      </c>
      <c r="AG227">
        <v>813.56030299999998</v>
      </c>
      <c r="AH227">
        <v>822.402466</v>
      </c>
      <c r="AI227" s="22">
        <v>6.0000000000000001E-3</v>
      </c>
    </row>
    <row r="228" spans="1:35">
      <c r="A228" t="s">
        <v>149</v>
      </c>
    </row>
    <row r="229" spans="1:35">
      <c r="A229" t="s">
        <v>257</v>
      </c>
      <c r="B229" t="s">
        <v>2056</v>
      </c>
      <c r="C229" t="s">
        <v>2057</v>
      </c>
      <c r="D229" t="s">
        <v>271</v>
      </c>
      <c r="F229">
        <v>1615.891357</v>
      </c>
      <c r="G229">
        <v>1600.9323730000001</v>
      </c>
      <c r="H229">
        <v>1644.85376</v>
      </c>
      <c r="I229">
        <v>1574.5444339999999</v>
      </c>
      <c r="J229">
        <v>1499.0898440000001</v>
      </c>
      <c r="K229">
        <v>1433.7574460000001</v>
      </c>
      <c r="L229">
        <v>1458.376587</v>
      </c>
      <c r="M229">
        <v>1434.913818</v>
      </c>
      <c r="N229">
        <v>1416.9963379999999</v>
      </c>
      <c r="O229">
        <v>1418.5966800000001</v>
      </c>
      <c r="P229">
        <v>1430.637817</v>
      </c>
      <c r="Q229">
        <v>1440.8774410000001</v>
      </c>
      <c r="R229">
        <v>1434.4746090000001</v>
      </c>
      <c r="S229">
        <v>1434.338379</v>
      </c>
      <c r="T229">
        <v>1426.081177</v>
      </c>
      <c r="U229">
        <v>1427.626587</v>
      </c>
      <c r="V229">
        <v>1433.1831050000001</v>
      </c>
      <c r="W229">
        <v>1428.119751</v>
      </c>
      <c r="X229">
        <v>1434.4642329999999</v>
      </c>
      <c r="Y229">
        <v>1438.4960940000001</v>
      </c>
      <c r="Z229">
        <v>1442.3275149999999</v>
      </c>
      <c r="AA229">
        <v>1442.4663089999999</v>
      </c>
      <c r="AB229">
        <v>1435.6829829999999</v>
      </c>
      <c r="AC229">
        <v>1434.551025</v>
      </c>
      <c r="AD229">
        <v>1435.9487300000001</v>
      </c>
      <c r="AE229">
        <v>1440.077759</v>
      </c>
      <c r="AF229">
        <v>1444.1961670000001</v>
      </c>
      <c r="AG229">
        <v>1447.7235109999999</v>
      </c>
      <c r="AH229">
        <v>1456.248779</v>
      </c>
      <c r="AI229" s="22">
        <v>-4.0000000000000001E-3</v>
      </c>
    </row>
    <row r="230" spans="1:35">
      <c r="A230" t="s">
        <v>258</v>
      </c>
      <c r="B230" t="s">
        <v>2058</v>
      </c>
      <c r="C230" t="s">
        <v>2059</v>
      </c>
      <c r="D230" t="s">
        <v>272</v>
      </c>
      <c r="F230">
        <v>3.3663400000000001</v>
      </c>
      <c r="G230">
        <v>3.3698929999999998</v>
      </c>
      <c r="H230">
        <v>3.3734500000000001</v>
      </c>
      <c r="I230">
        <v>3.3770099999999998</v>
      </c>
      <c r="J230">
        <v>3.3805740000000002</v>
      </c>
      <c r="K230">
        <v>3.3841420000000002</v>
      </c>
      <c r="L230">
        <v>3.3877130000000002</v>
      </c>
      <c r="M230">
        <v>3.391289</v>
      </c>
      <c r="N230">
        <v>3.3948680000000002</v>
      </c>
      <c r="O230">
        <v>3.3984510000000001</v>
      </c>
      <c r="P230">
        <v>3.402037</v>
      </c>
      <c r="Q230">
        <v>3.4056280000000001</v>
      </c>
      <c r="R230">
        <v>3.4092220000000002</v>
      </c>
      <c r="S230">
        <v>3.41282</v>
      </c>
      <c r="T230">
        <v>3.4164219999999998</v>
      </c>
      <c r="U230">
        <v>3.4200270000000002</v>
      </c>
      <c r="V230">
        <v>3.4236369999999998</v>
      </c>
      <c r="W230">
        <v>3.4272499999999999</v>
      </c>
      <c r="X230">
        <v>3.4308670000000001</v>
      </c>
      <c r="Y230">
        <v>3.434488</v>
      </c>
      <c r="Z230">
        <v>3.438113</v>
      </c>
      <c r="AA230">
        <v>3.4417409999999999</v>
      </c>
      <c r="AB230">
        <v>3.445373</v>
      </c>
      <c r="AC230">
        <v>3.4490099999999999</v>
      </c>
      <c r="AD230">
        <v>3.4526490000000001</v>
      </c>
      <c r="AE230">
        <v>3.4562930000000001</v>
      </c>
      <c r="AF230">
        <v>3.4599410000000002</v>
      </c>
      <c r="AG230">
        <v>3.4635929999999999</v>
      </c>
      <c r="AH230">
        <v>3.4672480000000001</v>
      </c>
      <c r="AI230" s="22">
        <v>1E-3</v>
      </c>
    </row>
    <row r="231" spans="1:35">
      <c r="A231" t="s">
        <v>110</v>
      </c>
    </row>
    <row r="232" spans="1:35">
      <c r="A232" t="s">
        <v>259</v>
      </c>
      <c r="B232" t="s">
        <v>2060</v>
      </c>
      <c r="C232" t="s">
        <v>2061</v>
      </c>
      <c r="D232" t="s">
        <v>201</v>
      </c>
      <c r="F232">
        <v>479.50054899999998</v>
      </c>
      <c r="G232">
        <v>474.03872699999999</v>
      </c>
      <c r="H232">
        <v>485.99523900000003</v>
      </c>
      <c r="I232">
        <v>464.21972699999998</v>
      </c>
      <c r="J232">
        <v>440.84536700000001</v>
      </c>
      <c r="K232">
        <v>420.34588600000001</v>
      </c>
      <c r="L232">
        <v>426.04513500000002</v>
      </c>
      <c r="M232">
        <v>417.49258400000002</v>
      </c>
      <c r="N232">
        <v>410.40325899999999</v>
      </c>
      <c r="O232">
        <v>408.79193099999998</v>
      </c>
      <c r="P232">
        <v>409.76800500000002</v>
      </c>
      <c r="Q232">
        <v>409.79217499999999</v>
      </c>
      <c r="R232">
        <v>404.68826300000001</v>
      </c>
      <c r="S232">
        <v>400.98950200000002</v>
      </c>
      <c r="T232">
        <v>394.67639200000002</v>
      </c>
      <c r="U232">
        <v>390.74063100000001</v>
      </c>
      <c r="V232">
        <v>387.53753699999999</v>
      </c>
      <c r="W232">
        <v>381.13217200000003</v>
      </c>
      <c r="X232">
        <v>377.45034800000002</v>
      </c>
      <c r="Y232">
        <v>372.81863399999997</v>
      </c>
      <c r="Z232">
        <v>367.81625400000001</v>
      </c>
      <c r="AA232">
        <v>361.58444200000002</v>
      </c>
      <c r="AB232">
        <v>353.39300500000002</v>
      </c>
      <c r="AC232">
        <v>346.39276100000001</v>
      </c>
      <c r="AD232">
        <v>339.78375199999999</v>
      </c>
      <c r="AE232">
        <v>332.59033199999999</v>
      </c>
      <c r="AF232">
        <v>325.54409800000002</v>
      </c>
      <c r="AG232">
        <v>318.51464800000002</v>
      </c>
      <c r="AH232">
        <v>312.70816000000002</v>
      </c>
      <c r="AI232" s="22">
        <v>-1.4999999999999999E-2</v>
      </c>
    </row>
    <row r="233" spans="1:35">
      <c r="A233" t="s">
        <v>185</v>
      </c>
      <c r="B233" t="s">
        <v>2062</v>
      </c>
      <c r="C233" t="s">
        <v>2063</v>
      </c>
      <c r="D233" t="s">
        <v>201</v>
      </c>
      <c r="F233">
        <v>0</v>
      </c>
      <c r="G233">
        <v>0</v>
      </c>
      <c r="H233">
        <v>0</v>
      </c>
      <c r="I233">
        <v>0</v>
      </c>
      <c r="J233">
        <v>0</v>
      </c>
      <c r="K233">
        <v>0</v>
      </c>
      <c r="L233">
        <v>0</v>
      </c>
      <c r="M233">
        <v>0</v>
      </c>
      <c r="N233">
        <v>0</v>
      </c>
      <c r="O233">
        <v>0</v>
      </c>
      <c r="P233">
        <v>0</v>
      </c>
      <c r="Q233">
        <v>0</v>
      </c>
      <c r="R233">
        <v>0</v>
      </c>
      <c r="S233">
        <v>0</v>
      </c>
      <c r="T233">
        <v>0</v>
      </c>
      <c r="U233">
        <v>0</v>
      </c>
      <c r="V233">
        <v>0</v>
      </c>
      <c r="W233">
        <v>0</v>
      </c>
      <c r="X233">
        <v>0</v>
      </c>
      <c r="Y233">
        <v>0</v>
      </c>
      <c r="Z233">
        <v>0</v>
      </c>
      <c r="AA233">
        <v>0</v>
      </c>
      <c r="AB233">
        <v>0</v>
      </c>
      <c r="AC233">
        <v>0</v>
      </c>
      <c r="AD233">
        <v>0</v>
      </c>
      <c r="AE233">
        <v>0</v>
      </c>
      <c r="AF233">
        <v>0</v>
      </c>
      <c r="AG233">
        <v>0</v>
      </c>
      <c r="AH233">
        <v>0</v>
      </c>
      <c r="AI233" t="s">
        <v>111</v>
      </c>
    </row>
    <row r="234" spans="1:35">
      <c r="A234" t="s">
        <v>260</v>
      </c>
      <c r="B234" t="s">
        <v>2064</v>
      </c>
      <c r="C234" t="s">
        <v>2065</v>
      </c>
      <c r="D234" t="s">
        <v>201</v>
      </c>
      <c r="F234">
        <v>0</v>
      </c>
      <c r="G234">
        <v>0</v>
      </c>
      <c r="H234">
        <v>0</v>
      </c>
      <c r="I234">
        <v>0</v>
      </c>
      <c r="J234">
        <v>0</v>
      </c>
      <c r="K234">
        <v>0</v>
      </c>
      <c r="L234">
        <v>0</v>
      </c>
      <c r="M234">
        <v>0</v>
      </c>
      <c r="N234">
        <v>0</v>
      </c>
      <c r="O234">
        <v>0</v>
      </c>
      <c r="P234">
        <v>0</v>
      </c>
      <c r="Q234">
        <v>0</v>
      </c>
      <c r="R234">
        <v>0</v>
      </c>
      <c r="S234">
        <v>0</v>
      </c>
      <c r="T234">
        <v>0</v>
      </c>
      <c r="U234">
        <v>0</v>
      </c>
      <c r="V234">
        <v>0</v>
      </c>
      <c r="W234">
        <v>0</v>
      </c>
      <c r="X234">
        <v>0</v>
      </c>
      <c r="Y234">
        <v>0</v>
      </c>
      <c r="Z234">
        <v>0</v>
      </c>
      <c r="AA234">
        <v>0</v>
      </c>
      <c r="AB234">
        <v>0</v>
      </c>
      <c r="AC234">
        <v>0</v>
      </c>
      <c r="AD234">
        <v>0</v>
      </c>
      <c r="AE234">
        <v>0</v>
      </c>
      <c r="AF234">
        <v>0</v>
      </c>
      <c r="AG234">
        <v>0</v>
      </c>
      <c r="AH234">
        <v>0</v>
      </c>
      <c r="AI234" t="s">
        <v>111</v>
      </c>
    </row>
    <row r="235" spans="1:35">
      <c r="A235" t="s">
        <v>261</v>
      </c>
      <c r="B235" t="s">
        <v>2066</v>
      </c>
      <c r="C235" t="s">
        <v>2067</v>
      </c>
      <c r="D235" t="s">
        <v>201</v>
      </c>
      <c r="F235">
        <v>0.51370000000000005</v>
      </c>
      <c r="G235">
        <v>1.0304249999999999</v>
      </c>
      <c r="H235">
        <v>1.592762</v>
      </c>
      <c r="I235">
        <v>2.0342750000000001</v>
      </c>
      <c r="J235">
        <v>2.5970089999999999</v>
      </c>
      <c r="K235">
        <v>3.3235860000000002</v>
      </c>
      <c r="L235">
        <v>4.4448740000000004</v>
      </c>
      <c r="M235">
        <v>5.6249989999999999</v>
      </c>
      <c r="N235">
        <v>6.990361</v>
      </c>
      <c r="O235">
        <v>8.632612</v>
      </c>
      <c r="P235">
        <v>10.755844</v>
      </c>
      <c r="Q235">
        <v>13.295000999999999</v>
      </c>
      <c r="R235">
        <v>16.074755</v>
      </c>
      <c r="S235">
        <v>19.290071000000001</v>
      </c>
      <c r="T235">
        <v>22.743151000000001</v>
      </c>
      <c r="U235">
        <v>26.690667999999999</v>
      </c>
      <c r="V235">
        <v>31.076626000000001</v>
      </c>
      <c r="W235">
        <v>35.563327999999998</v>
      </c>
      <c r="X235">
        <v>40.655144</v>
      </c>
      <c r="Y235">
        <v>46.020004</v>
      </c>
      <c r="Z235">
        <v>51.695194000000001</v>
      </c>
      <c r="AA235">
        <v>57.525084999999997</v>
      </c>
      <c r="AB235">
        <v>63.305785999999998</v>
      </c>
      <c r="AC235">
        <v>69.538535999999993</v>
      </c>
      <c r="AD235">
        <v>76.113838000000001</v>
      </c>
      <c r="AE235">
        <v>84.063445999999999</v>
      </c>
      <c r="AF235">
        <v>91.860686999999999</v>
      </c>
      <c r="AG235">
        <v>99.468627999999995</v>
      </c>
      <c r="AH235">
        <v>107.29312899999999</v>
      </c>
      <c r="AI235" s="22">
        <v>0.21</v>
      </c>
    </row>
    <row r="236" spans="1:35">
      <c r="A236" t="s">
        <v>150</v>
      </c>
    </row>
    <row r="237" spans="1:35">
      <c r="A237" t="s">
        <v>262</v>
      </c>
      <c r="B237" t="s">
        <v>2068</v>
      </c>
      <c r="C237" t="s">
        <v>2069</v>
      </c>
      <c r="D237" t="s">
        <v>271</v>
      </c>
      <c r="F237">
        <v>444.89962800000001</v>
      </c>
      <c r="G237">
        <v>448.76980600000002</v>
      </c>
      <c r="H237">
        <v>442.17297400000001</v>
      </c>
      <c r="I237">
        <v>437.82516500000003</v>
      </c>
      <c r="J237">
        <v>434.28051799999997</v>
      </c>
      <c r="K237">
        <v>430.10589599999997</v>
      </c>
      <c r="L237">
        <v>425.93753099999998</v>
      </c>
      <c r="M237">
        <v>421.246399</v>
      </c>
      <c r="N237">
        <v>417.12356599999998</v>
      </c>
      <c r="O237">
        <v>413.34899899999999</v>
      </c>
      <c r="P237">
        <v>410.79986600000001</v>
      </c>
      <c r="Q237">
        <v>408.26834100000002</v>
      </c>
      <c r="R237">
        <v>404.54150399999997</v>
      </c>
      <c r="S237">
        <v>400.73419200000001</v>
      </c>
      <c r="T237">
        <v>396.48425300000002</v>
      </c>
      <c r="U237">
        <v>393.49023399999999</v>
      </c>
      <c r="V237">
        <v>390.38732900000002</v>
      </c>
      <c r="W237">
        <v>387.22555499999999</v>
      </c>
      <c r="X237">
        <v>384.34295700000001</v>
      </c>
      <c r="Y237">
        <v>381.26913500000001</v>
      </c>
      <c r="Z237">
        <v>378.72885100000002</v>
      </c>
      <c r="AA237">
        <v>376.320831</v>
      </c>
      <c r="AB237">
        <v>373.83056599999998</v>
      </c>
      <c r="AC237">
        <v>371.47833300000002</v>
      </c>
      <c r="AD237">
        <v>369.30810500000001</v>
      </c>
      <c r="AE237">
        <v>366.82132000000001</v>
      </c>
      <c r="AF237">
        <v>364.14447000000001</v>
      </c>
      <c r="AG237">
        <v>362.368134</v>
      </c>
      <c r="AH237">
        <v>360.92669699999999</v>
      </c>
      <c r="AI237" s="22">
        <v>-7.0000000000000001E-3</v>
      </c>
    </row>
    <row r="238" spans="1:35">
      <c r="A238" t="s">
        <v>258</v>
      </c>
      <c r="B238" t="s">
        <v>2070</v>
      </c>
      <c r="C238" t="s">
        <v>2071</v>
      </c>
      <c r="D238" t="s">
        <v>272</v>
      </c>
      <c r="F238">
        <v>4.8202259999999999</v>
      </c>
      <c r="G238">
        <v>4.8389660000000001</v>
      </c>
      <c r="H238">
        <v>4.8577789999999998</v>
      </c>
      <c r="I238">
        <v>4.876665</v>
      </c>
      <c r="J238">
        <v>4.8956239999999998</v>
      </c>
      <c r="K238">
        <v>4.9146570000000001</v>
      </c>
      <c r="L238">
        <v>4.933764</v>
      </c>
      <c r="M238">
        <v>4.9529449999999997</v>
      </c>
      <c r="N238">
        <v>4.9722</v>
      </c>
      <c r="O238">
        <v>4.9915310000000002</v>
      </c>
      <c r="P238">
        <v>5.0109370000000002</v>
      </c>
      <c r="Q238">
        <v>5.0304180000000001</v>
      </c>
      <c r="R238">
        <v>5.0499749999999999</v>
      </c>
      <c r="S238">
        <v>5.0696079999999997</v>
      </c>
      <c r="T238">
        <v>5.0893170000000003</v>
      </c>
      <c r="U238">
        <v>5.1091030000000002</v>
      </c>
      <c r="V238">
        <v>5.1289660000000001</v>
      </c>
      <c r="W238">
        <v>5.1489060000000002</v>
      </c>
      <c r="X238">
        <v>5.1689230000000004</v>
      </c>
      <c r="Y238">
        <v>5.189019</v>
      </c>
      <c r="Z238">
        <v>5.2091919999999998</v>
      </c>
      <c r="AA238">
        <v>5.2294450000000001</v>
      </c>
      <c r="AB238">
        <v>5.2497749999999996</v>
      </c>
      <c r="AC238">
        <v>5.2701849999999997</v>
      </c>
      <c r="AD238">
        <v>5.2906740000000001</v>
      </c>
      <c r="AE238">
        <v>5.3112430000000002</v>
      </c>
      <c r="AF238">
        <v>5.3318919999999999</v>
      </c>
      <c r="AG238">
        <v>5.3526210000000001</v>
      </c>
      <c r="AH238">
        <v>5.3734299999999999</v>
      </c>
      <c r="AI238" s="22">
        <v>4.0000000000000001E-3</v>
      </c>
    </row>
    <row r="239" spans="1:35">
      <c r="A239" t="s">
        <v>110</v>
      </c>
    </row>
    <row r="240" spans="1:35">
      <c r="A240" t="s">
        <v>259</v>
      </c>
      <c r="B240" t="s">
        <v>2072</v>
      </c>
      <c r="C240" t="s">
        <v>2073</v>
      </c>
      <c r="D240" t="s">
        <v>201</v>
      </c>
      <c r="F240">
        <v>95.724982999999995</v>
      </c>
      <c r="G240">
        <v>96.054596000000004</v>
      </c>
      <c r="H240">
        <v>94.300528999999997</v>
      </c>
      <c r="I240">
        <v>93.061104</v>
      </c>
      <c r="J240">
        <v>92.019790999999998</v>
      </c>
      <c r="K240">
        <v>90.828117000000006</v>
      </c>
      <c r="L240">
        <v>89.649428999999998</v>
      </c>
      <c r="M240">
        <v>88.356209000000007</v>
      </c>
      <c r="N240">
        <v>87.201087999999999</v>
      </c>
      <c r="O240">
        <v>86.125823999999994</v>
      </c>
      <c r="P240">
        <v>85.299721000000005</v>
      </c>
      <c r="Q240">
        <v>84.472412000000006</v>
      </c>
      <c r="R240">
        <v>83.403960999999995</v>
      </c>
      <c r="S240">
        <v>82.337638999999996</v>
      </c>
      <c r="T240">
        <v>81.183998000000003</v>
      </c>
      <c r="U240">
        <v>80.288261000000006</v>
      </c>
      <c r="V240">
        <v>79.383635999999996</v>
      </c>
      <c r="W240">
        <v>78.475121000000001</v>
      </c>
      <c r="X240">
        <v>77.575965999999994</v>
      </c>
      <c r="Y240">
        <v>76.576674999999994</v>
      </c>
      <c r="Z240">
        <v>75.68486</v>
      </c>
      <c r="AA240">
        <v>74.817138999999997</v>
      </c>
      <c r="AB240">
        <v>73.935744999999997</v>
      </c>
      <c r="AC240">
        <v>73.078468000000001</v>
      </c>
      <c r="AD240">
        <v>72.250061000000002</v>
      </c>
      <c r="AE240">
        <v>71.356705000000005</v>
      </c>
      <c r="AF240">
        <v>70.429787000000005</v>
      </c>
      <c r="AG240">
        <v>69.678925000000007</v>
      </c>
      <c r="AH240">
        <v>68.982085999999995</v>
      </c>
      <c r="AI240" s="22">
        <v>-1.2E-2</v>
      </c>
    </row>
    <row r="241" spans="1:35">
      <c r="A241" t="s">
        <v>185</v>
      </c>
      <c r="B241" t="s">
        <v>2074</v>
      </c>
      <c r="C241" t="s">
        <v>2075</v>
      </c>
      <c r="D241" t="s">
        <v>201</v>
      </c>
      <c r="F241">
        <v>1.8762760000000001</v>
      </c>
      <c r="G241">
        <v>1.801599</v>
      </c>
      <c r="H241">
        <v>1.689384</v>
      </c>
      <c r="I241">
        <v>1.58982</v>
      </c>
      <c r="J241">
        <v>1.5036719999999999</v>
      </c>
      <c r="K241">
        <v>1.4135530000000001</v>
      </c>
      <c r="L241">
        <v>1.3263990000000001</v>
      </c>
      <c r="M241">
        <v>1.240113</v>
      </c>
      <c r="N241">
        <v>1.1534450000000001</v>
      </c>
      <c r="O241">
        <v>1.06623</v>
      </c>
      <c r="P241">
        <v>0.985711</v>
      </c>
      <c r="Q241">
        <v>0.90452600000000005</v>
      </c>
      <c r="R241">
        <v>0.82449300000000003</v>
      </c>
      <c r="S241">
        <v>0.74822900000000003</v>
      </c>
      <c r="T241">
        <v>0.68206800000000001</v>
      </c>
      <c r="U241">
        <v>0.613896</v>
      </c>
      <c r="V241">
        <v>0.53800199999999998</v>
      </c>
      <c r="W241">
        <v>0.458229</v>
      </c>
      <c r="X241">
        <v>0.388021</v>
      </c>
      <c r="Y241">
        <v>0.38343100000000002</v>
      </c>
      <c r="Z241">
        <v>0.37940600000000002</v>
      </c>
      <c r="AA241">
        <v>0.37553900000000001</v>
      </c>
      <c r="AB241">
        <v>0.371614</v>
      </c>
      <c r="AC241">
        <v>0.36785299999999999</v>
      </c>
      <c r="AD241">
        <v>0.36429600000000001</v>
      </c>
      <c r="AE241">
        <v>0.36045100000000002</v>
      </c>
      <c r="AF241">
        <v>0.35644300000000001</v>
      </c>
      <c r="AG241">
        <v>0.35333900000000001</v>
      </c>
      <c r="AH241">
        <v>0.35058</v>
      </c>
      <c r="AI241" s="22">
        <v>-5.8000000000000003E-2</v>
      </c>
    </row>
    <row r="242" spans="1:35">
      <c r="A242" t="s">
        <v>260</v>
      </c>
      <c r="B242" t="s">
        <v>2076</v>
      </c>
      <c r="C242" t="s">
        <v>2077</v>
      </c>
      <c r="D242" t="s">
        <v>201</v>
      </c>
      <c r="F242">
        <v>0</v>
      </c>
      <c r="G242">
        <v>0</v>
      </c>
      <c r="H242">
        <v>0</v>
      </c>
      <c r="I242">
        <v>0</v>
      </c>
      <c r="J242">
        <v>0</v>
      </c>
      <c r="K242">
        <v>0</v>
      </c>
      <c r="L242">
        <v>0</v>
      </c>
      <c r="M242">
        <v>0</v>
      </c>
      <c r="N242">
        <v>0</v>
      </c>
      <c r="O242">
        <v>0</v>
      </c>
      <c r="P242">
        <v>0</v>
      </c>
      <c r="Q242">
        <v>0</v>
      </c>
      <c r="R242">
        <v>0</v>
      </c>
      <c r="S242">
        <v>0</v>
      </c>
      <c r="T242">
        <v>0</v>
      </c>
      <c r="U242">
        <v>0</v>
      </c>
      <c r="V242">
        <v>0</v>
      </c>
      <c r="W242">
        <v>0</v>
      </c>
      <c r="X242">
        <v>0</v>
      </c>
      <c r="Y242">
        <v>0</v>
      </c>
      <c r="Z242">
        <v>0</v>
      </c>
      <c r="AA242">
        <v>0</v>
      </c>
      <c r="AB242">
        <v>0</v>
      </c>
      <c r="AC242">
        <v>0</v>
      </c>
      <c r="AD242">
        <v>0</v>
      </c>
      <c r="AE242">
        <v>0</v>
      </c>
      <c r="AF242">
        <v>0</v>
      </c>
      <c r="AG242">
        <v>0</v>
      </c>
      <c r="AH242">
        <v>0</v>
      </c>
      <c r="AI242" t="s">
        <v>111</v>
      </c>
    </row>
    <row r="243" spans="1:35">
      <c r="A243" t="s">
        <v>261</v>
      </c>
      <c r="B243" t="s">
        <v>2078</v>
      </c>
      <c r="C243" t="s">
        <v>2079</v>
      </c>
      <c r="D243" t="s">
        <v>201</v>
      </c>
      <c r="F243">
        <v>0.638131</v>
      </c>
      <c r="G243">
        <v>0.69940500000000005</v>
      </c>
      <c r="H243">
        <v>0.74200100000000002</v>
      </c>
      <c r="I243">
        <v>0.78600400000000004</v>
      </c>
      <c r="J243">
        <v>0.82445400000000002</v>
      </c>
      <c r="K243">
        <v>0.86295999999999995</v>
      </c>
      <c r="L243">
        <v>0.89963800000000005</v>
      </c>
      <c r="M243">
        <v>0.93352900000000005</v>
      </c>
      <c r="N243">
        <v>0.97043000000000001</v>
      </c>
      <c r="O243">
        <v>1.0094000000000001</v>
      </c>
      <c r="P243">
        <v>1.0488820000000001</v>
      </c>
      <c r="Q243">
        <v>1.0889180000000001</v>
      </c>
      <c r="R243">
        <v>1.123232</v>
      </c>
      <c r="S243">
        <v>1.1548700000000001</v>
      </c>
      <c r="T243">
        <v>1.1776660000000001</v>
      </c>
      <c r="U243">
        <v>1.2071989999999999</v>
      </c>
      <c r="V243">
        <v>1.2419659999999999</v>
      </c>
      <c r="W243">
        <v>1.2794030000000001</v>
      </c>
      <c r="X243">
        <v>1.352077</v>
      </c>
      <c r="Y243">
        <v>1.427773</v>
      </c>
      <c r="Z243">
        <v>1.50972</v>
      </c>
      <c r="AA243">
        <v>1.5968059999999999</v>
      </c>
      <c r="AB243">
        <v>1.688537</v>
      </c>
      <c r="AC243">
        <v>1.786057</v>
      </c>
      <c r="AD243">
        <v>1.889912</v>
      </c>
      <c r="AE243">
        <v>1.99796</v>
      </c>
      <c r="AF243">
        <v>2.1111149999999999</v>
      </c>
      <c r="AG243">
        <v>2.2362440000000001</v>
      </c>
      <c r="AH243">
        <v>2.370717</v>
      </c>
      <c r="AI243" s="22">
        <v>4.8000000000000001E-2</v>
      </c>
    </row>
    <row r="244" spans="1:35">
      <c r="A244" t="s">
        <v>151</v>
      </c>
    </row>
    <row r="245" spans="1:35">
      <c r="A245" t="s">
        <v>263</v>
      </c>
      <c r="B245" t="s">
        <v>2080</v>
      </c>
      <c r="C245" t="s">
        <v>2081</v>
      </c>
      <c r="D245" t="s">
        <v>273</v>
      </c>
      <c r="F245">
        <v>5187.8168949999999</v>
      </c>
      <c r="G245">
        <v>5113.0585940000001</v>
      </c>
      <c r="H245">
        <v>5146.841797</v>
      </c>
      <c r="I245">
        <v>5250.8764650000003</v>
      </c>
      <c r="J245">
        <v>5391.6943359999996</v>
      </c>
      <c r="K245">
        <v>5512.5371089999999</v>
      </c>
      <c r="L245">
        <v>5608.3964839999999</v>
      </c>
      <c r="M245">
        <v>5710.298828</v>
      </c>
      <c r="N245">
        <v>5822.5</v>
      </c>
      <c r="O245">
        <v>5953.3393550000001</v>
      </c>
      <c r="P245">
        <v>6106.6284180000002</v>
      </c>
      <c r="Q245">
        <v>6258.4541019999997</v>
      </c>
      <c r="R245">
        <v>6403.7695309999999</v>
      </c>
      <c r="S245">
        <v>6562.8208009999998</v>
      </c>
      <c r="T245">
        <v>6716.3095700000003</v>
      </c>
      <c r="U245">
        <v>6875.7109380000002</v>
      </c>
      <c r="V245">
        <v>7045.28125</v>
      </c>
      <c r="W245">
        <v>7253.2470700000003</v>
      </c>
      <c r="X245">
        <v>7455.826172</v>
      </c>
      <c r="Y245">
        <v>7655.189453</v>
      </c>
      <c r="Z245">
        <v>7891.9492190000001</v>
      </c>
      <c r="AA245">
        <v>8151.3588870000003</v>
      </c>
      <c r="AB245">
        <v>8441.7988280000009</v>
      </c>
      <c r="AC245">
        <v>8738.0673829999996</v>
      </c>
      <c r="AD245">
        <v>9055.0996090000008</v>
      </c>
      <c r="AE245">
        <v>9359.515625</v>
      </c>
      <c r="AF245">
        <v>9667.5195309999999</v>
      </c>
      <c r="AG245">
        <v>10019.517578000001</v>
      </c>
      <c r="AH245">
        <v>10370.173828000001</v>
      </c>
      <c r="AI245" s="22">
        <v>2.5000000000000001E-2</v>
      </c>
    </row>
    <row r="246" spans="1:35">
      <c r="A246" t="s">
        <v>264</v>
      </c>
      <c r="B246" t="s">
        <v>2082</v>
      </c>
      <c r="C246" t="s">
        <v>2083</v>
      </c>
      <c r="D246" t="s">
        <v>273</v>
      </c>
      <c r="F246">
        <v>1818.8258060000001</v>
      </c>
      <c r="G246">
        <v>1834.769775</v>
      </c>
      <c r="H246">
        <v>1862.7230219999999</v>
      </c>
      <c r="I246">
        <v>1908.372192</v>
      </c>
      <c r="J246">
        <v>1965.4957280000001</v>
      </c>
      <c r="K246">
        <v>2014.6987300000001</v>
      </c>
      <c r="L246">
        <v>2056.375</v>
      </c>
      <c r="M246">
        <v>2096.7622070000002</v>
      </c>
      <c r="N246">
        <v>2132.8442380000001</v>
      </c>
      <c r="O246">
        <v>2170.9902339999999</v>
      </c>
      <c r="P246">
        <v>2211.525635</v>
      </c>
      <c r="Q246">
        <v>2257.0451659999999</v>
      </c>
      <c r="R246">
        <v>2305.1938479999999</v>
      </c>
      <c r="S246">
        <v>2366.4482419999999</v>
      </c>
      <c r="T246">
        <v>2435.1203609999998</v>
      </c>
      <c r="U246">
        <v>2507.953857</v>
      </c>
      <c r="V246">
        <v>2585.2082519999999</v>
      </c>
      <c r="W246">
        <v>2679.1381839999999</v>
      </c>
      <c r="X246">
        <v>2783.4829100000002</v>
      </c>
      <c r="Y246">
        <v>2887.108643</v>
      </c>
      <c r="Z246">
        <v>3006.2321780000002</v>
      </c>
      <c r="AA246">
        <v>3135.8588869999999</v>
      </c>
      <c r="AB246">
        <v>3282.3540039999998</v>
      </c>
      <c r="AC246">
        <v>3431.9255370000001</v>
      </c>
      <c r="AD246">
        <v>3589.960693</v>
      </c>
      <c r="AE246">
        <v>3742.0151369999999</v>
      </c>
      <c r="AF246">
        <v>3891.8676759999998</v>
      </c>
      <c r="AG246">
        <v>4071.1130370000001</v>
      </c>
      <c r="AH246">
        <v>4248.0322269999997</v>
      </c>
      <c r="AI246" s="22">
        <v>3.1E-2</v>
      </c>
    </row>
    <row r="247" spans="1:35">
      <c r="A247" t="s">
        <v>265</v>
      </c>
      <c r="B247" t="s">
        <v>2084</v>
      </c>
      <c r="C247" t="s">
        <v>2085</v>
      </c>
      <c r="D247" t="s">
        <v>273</v>
      </c>
      <c r="F247">
        <v>3368.9909670000002</v>
      </c>
      <c r="G247">
        <v>3278.2885740000002</v>
      </c>
      <c r="H247">
        <v>3284.1186520000001</v>
      </c>
      <c r="I247">
        <v>3342.5043949999999</v>
      </c>
      <c r="J247">
        <v>3426.1987300000001</v>
      </c>
      <c r="K247">
        <v>3497.838135</v>
      </c>
      <c r="L247">
        <v>3552.02124</v>
      </c>
      <c r="M247">
        <v>3613.536865</v>
      </c>
      <c r="N247">
        <v>3689.6560060000002</v>
      </c>
      <c r="O247">
        <v>3782.3491210000002</v>
      </c>
      <c r="P247">
        <v>3895.1027829999998</v>
      </c>
      <c r="Q247">
        <v>4001.4091800000001</v>
      </c>
      <c r="R247">
        <v>4098.5756840000004</v>
      </c>
      <c r="S247">
        <v>4196.3725590000004</v>
      </c>
      <c r="T247">
        <v>4281.189453</v>
      </c>
      <c r="U247">
        <v>4367.7568359999996</v>
      </c>
      <c r="V247">
        <v>4460.0732420000004</v>
      </c>
      <c r="W247">
        <v>4574.1088870000003</v>
      </c>
      <c r="X247">
        <v>4672.3432620000003</v>
      </c>
      <c r="Y247">
        <v>4768.0810549999997</v>
      </c>
      <c r="Z247">
        <v>4885.7172849999997</v>
      </c>
      <c r="AA247">
        <v>5015.5</v>
      </c>
      <c r="AB247">
        <v>5159.4443359999996</v>
      </c>
      <c r="AC247">
        <v>5306.1416019999997</v>
      </c>
      <c r="AD247">
        <v>5465.1391599999997</v>
      </c>
      <c r="AE247">
        <v>5617.5009769999997</v>
      </c>
      <c r="AF247">
        <v>5775.6513670000004</v>
      </c>
      <c r="AG247">
        <v>5948.4047849999997</v>
      </c>
      <c r="AH247">
        <v>6122.1411129999997</v>
      </c>
      <c r="AI247" s="22">
        <v>2.1999999999999999E-2</v>
      </c>
    </row>
    <row r="248" spans="1:35">
      <c r="A248" t="s">
        <v>110</v>
      </c>
    </row>
    <row r="249" spans="1:35">
      <c r="A249" t="s">
        <v>259</v>
      </c>
      <c r="B249" t="s">
        <v>2086</v>
      </c>
      <c r="C249" t="s">
        <v>2087</v>
      </c>
      <c r="D249" t="s">
        <v>201</v>
      </c>
      <c r="F249">
        <v>222.90289300000001</v>
      </c>
      <c r="G249">
        <v>317.621216</v>
      </c>
      <c r="H249">
        <v>316.82064800000001</v>
      </c>
      <c r="I249">
        <v>318.86810300000002</v>
      </c>
      <c r="J249">
        <v>324.006775</v>
      </c>
      <c r="K249">
        <v>328.59732100000002</v>
      </c>
      <c r="L249">
        <v>337.00882000000001</v>
      </c>
      <c r="M249">
        <v>340.936646</v>
      </c>
      <c r="N249">
        <v>345.29251099999999</v>
      </c>
      <c r="O249">
        <v>346.830353</v>
      </c>
      <c r="P249">
        <v>349.25531000000001</v>
      </c>
      <c r="Q249">
        <v>351.60812399999998</v>
      </c>
      <c r="R249">
        <v>354.15759300000002</v>
      </c>
      <c r="S249">
        <v>355.73831200000001</v>
      </c>
      <c r="T249">
        <v>356.87829599999998</v>
      </c>
      <c r="U249">
        <v>356.62280299999998</v>
      </c>
      <c r="V249">
        <v>357.07678199999998</v>
      </c>
      <c r="W249">
        <v>357.42880200000002</v>
      </c>
      <c r="X249">
        <v>359.40035999999998</v>
      </c>
      <c r="Y249">
        <v>361.00418100000002</v>
      </c>
      <c r="Z249">
        <v>361.87966899999998</v>
      </c>
      <c r="AA249">
        <v>361.73907500000001</v>
      </c>
      <c r="AB249">
        <v>361.51782200000002</v>
      </c>
      <c r="AC249">
        <v>361.01586900000001</v>
      </c>
      <c r="AD249">
        <v>360.39416499999999</v>
      </c>
      <c r="AE249">
        <v>359.54806500000001</v>
      </c>
      <c r="AF249">
        <v>359.36944599999998</v>
      </c>
      <c r="AG249">
        <v>357.037598</v>
      </c>
      <c r="AH249">
        <v>355.06369000000001</v>
      </c>
      <c r="AI249" s="22">
        <v>1.7000000000000001E-2</v>
      </c>
    </row>
    <row r="250" spans="1:35">
      <c r="A250" t="s">
        <v>185</v>
      </c>
      <c r="B250" t="s">
        <v>2088</v>
      </c>
      <c r="C250" t="s">
        <v>2089</v>
      </c>
      <c r="D250" t="s">
        <v>201</v>
      </c>
      <c r="F250">
        <v>685.66467299999999</v>
      </c>
      <c r="G250">
        <v>532.26501499999995</v>
      </c>
      <c r="H250">
        <v>521.59381099999996</v>
      </c>
      <c r="I250">
        <v>525.89343299999996</v>
      </c>
      <c r="J250">
        <v>503.096588</v>
      </c>
      <c r="K250">
        <v>496.74609400000003</v>
      </c>
      <c r="L250">
        <v>477.40963699999998</v>
      </c>
      <c r="M250">
        <v>466.270691</v>
      </c>
      <c r="N250">
        <v>457.94595299999997</v>
      </c>
      <c r="O250">
        <v>456.54238900000001</v>
      </c>
      <c r="P250">
        <v>454.821686</v>
      </c>
      <c r="Q250">
        <v>454.123627</v>
      </c>
      <c r="R250">
        <v>452.39529399999998</v>
      </c>
      <c r="S250">
        <v>450.571167</v>
      </c>
      <c r="T250">
        <v>447.20434599999999</v>
      </c>
      <c r="U250">
        <v>445.97729500000003</v>
      </c>
      <c r="V250">
        <v>443.98672499999998</v>
      </c>
      <c r="W250">
        <v>442.23706099999998</v>
      </c>
      <c r="X250">
        <v>442.813782</v>
      </c>
      <c r="Y250">
        <v>440.02780200000001</v>
      </c>
      <c r="Z250">
        <v>437.12060500000001</v>
      </c>
      <c r="AA250">
        <v>434.76684599999999</v>
      </c>
      <c r="AB250">
        <v>432.69305400000002</v>
      </c>
      <c r="AC250">
        <v>429.77169800000001</v>
      </c>
      <c r="AD250">
        <v>428.44003300000003</v>
      </c>
      <c r="AE250">
        <v>426.155731</v>
      </c>
      <c r="AF250">
        <v>419.12597699999998</v>
      </c>
      <c r="AG250">
        <v>417.71749899999998</v>
      </c>
      <c r="AH250">
        <v>415.33468599999998</v>
      </c>
      <c r="AI250" s="22">
        <v>-1.7999999999999999E-2</v>
      </c>
    </row>
    <row r="251" spans="1:35">
      <c r="A251" t="s">
        <v>260</v>
      </c>
      <c r="B251" t="s">
        <v>2090</v>
      </c>
      <c r="C251" t="s">
        <v>2091</v>
      </c>
      <c r="D251" t="s">
        <v>201</v>
      </c>
      <c r="F251">
        <v>0</v>
      </c>
      <c r="G251">
        <v>0</v>
      </c>
      <c r="H251">
        <v>0</v>
      </c>
      <c r="I251">
        <v>0</v>
      </c>
      <c r="J251">
        <v>0</v>
      </c>
      <c r="K251">
        <v>0</v>
      </c>
      <c r="L251">
        <v>0</v>
      </c>
      <c r="M251">
        <v>0</v>
      </c>
      <c r="N251">
        <v>0</v>
      </c>
      <c r="O251">
        <v>0</v>
      </c>
      <c r="P251">
        <v>0</v>
      </c>
      <c r="Q251">
        <v>0</v>
      </c>
      <c r="R251">
        <v>0</v>
      </c>
      <c r="S251">
        <v>0</v>
      </c>
      <c r="T251">
        <v>0</v>
      </c>
      <c r="U251">
        <v>0</v>
      </c>
      <c r="V251">
        <v>0</v>
      </c>
      <c r="W251">
        <v>0</v>
      </c>
      <c r="X251">
        <v>0</v>
      </c>
      <c r="Y251">
        <v>0</v>
      </c>
      <c r="Z251">
        <v>0</v>
      </c>
      <c r="AA251">
        <v>0</v>
      </c>
      <c r="AB251">
        <v>0</v>
      </c>
      <c r="AC251">
        <v>0</v>
      </c>
      <c r="AD251">
        <v>0</v>
      </c>
      <c r="AE251">
        <v>0</v>
      </c>
      <c r="AF251">
        <v>0</v>
      </c>
      <c r="AG251">
        <v>0</v>
      </c>
      <c r="AH251">
        <v>0</v>
      </c>
      <c r="AI251" t="s">
        <v>111</v>
      </c>
    </row>
    <row r="252" spans="1:35">
      <c r="A252" t="s">
        <v>261</v>
      </c>
      <c r="B252" t="s">
        <v>2092</v>
      </c>
      <c r="C252" t="s">
        <v>2093</v>
      </c>
      <c r="D252" t="s">
        <v>201</v>
      </c>
      <c r="F252">
        <v>26.358443999999999</v>
      </c>
      <c r="G252">
        <v>31.450164999999998</v>
      </c>
      <c r="H252">
        <v>39.367027</v>
      </c>
      <c r="I252">
        <v>34.890903000000002</v>
      </c>
      <c r="J252">
        <v>45.094749</v>
      </c>
      <c r="K252">
        <v>45.047179999999997</v>
      </c>
      <c r="L252">
        <v>49.551949</v>
      </c>
      <c r="M252">
        <v>53.193492999999997</v>
      </c>
      <c r="N252">
        <v>54.584952999999999</v>
      </c>
      <c r="O252">
        <v>54.324471000000003</v>
      </c>
      <c r="P252">
        <v>53.443835999999997</v>
      </c>
      <c r="Q252">
        <v>51.944271000000001</v>
      </c>
      <c r="R252">
        <v>50.878489999999999</v>
      </c>
      <c r="S252">
        <v>50.864525</v>
      </c>
      <c r="T252">
        <v>52.271923000000001</v>
      </c>
      <c r="U252">
        <v>53.688018999999997</v>
      </c>
      <c r="V252">
        <v>54.913826</v>
      </c>
      <c r="W252">
        <v>56.159897000000001</v>
      </c>
      <c r="X252">
        <v>54.236252</v>
      </c>
      <c r="Y252">
        <v>54.856876</v>
      </c>
      <c r="Z252">
        <v>56.348083000000003</v>
      </c>
      <c r="AA252">
        <v>58.531737999999997</v>
      </c>
      <c r="AB252">
        <v>60.656860000000002</v>
      </c>
      <c r="AC252">
        <v>63.607261999999999</v>
      </c>
      <c r="AD252">
        <v>65.661552</v>
      </c>
      <c r="AE252">
        <v>68.520568999999995</v>
      </c>
      <c r="AF252">
        <v>73.802834000000004</v>
      </c>
      <c r="AG252">
        <v>77.626357999999996</v>
      </c>
      <c r="AH252">
        <v>81.707138</v>
      </c>
      <c r="AI252" s="22">
        <v>4.1000000000000002E-2</v>
      </c>
    </row>
  </sheetData>
  <pageMargins left="0.7" right="0.7" top="0.75" bottom="0.75" header="0.3" footer="0.3"/>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F1575D4-36B4-4B41-9CDF-2B4C8098473A}">
  <sheetPr>
    <tabColor theme="6" tint="0.79998168889431442"/>
  </sheetPr>
  <dimension ref="A1:AG4409"/>
  <sheetViews>
    <sheetView topLeftCell="B1" workbookViewId="0"/>
  </sheetViews>
  <sheetFormatPr defaultColWidth="8.7109375" defaultRowHeight="15"/>
  <cols>
    <col min="1" max="1" width="21.42578125" hidden="1" customWidth="1"/>
    <col min="2" max="2" width="46.7109375" customWidth="1"/>
  </cols>
  <sheetData>
    <row r="1" spans="1:32" ht="15" customHeight="1" thickBot="1">
      <c r="B1" s="12" t="s">
        <v>284</v>
      </c>
      <c r="C1" s="10">
        <v>2022</v>
      </c>
      <c r="D1" s="10">
        <v>2023</v>
      </c>
      <c r="E1" s="10">
        <v>2024</v>
      </c>
      <c r="F1" s="10">
        <v>2025</v>
      </c>
      <c r="G1" s="10">
        <v>2026</v>
      </c>
      <c r="H1" s="10">
        <v>2027</v>
      </c>
      <c r="I1" s="10">
        <v>2028</v>
      </c>
      <c r="J1" s="10">
        <v>2029</v>
      </c>
      <c r="K1" s="10">
        <v>2030</v>
      </c>
      <c r="L1" s="10">
        <v>2031</v>
      </c>
      <c r="M1" s="10">
        <v>2032</v>
      </c>
      <c r="N1" s="10">
        <v>2033</v>
      </c>
      <c r="O1" s="10">
        <v>2034</v>
      </c>
      <c r="P1" s="10">
        <v>2035</v>
      </c>
      <c r="Q1" s="10">
        <v>2036</v>
      </c>
      <c r="R1" s="10">
        <v>2037</v>
      </c>
      <c r="S1" s="10">
        <v>2038</v>
      </c>
      <c r="T1" s="10">
        <v>2039</v>
      </c>
      <c r="U1" s="10">
        <v>2040</v>
      </c>
      <c r="V1" s="10">
        <v>2041</v>
      </c>
      <c r="W1" s="10">
        <v>2042</v>
      </c>
      <c r="X1" s="10">
        <v>2043</v>
      </c>
      <c r="Y1" s="10">
        <v>2044</v>
      </c>
      <c r="Z1" s="10">
        <v>2045</v>
      </c>
      <c r="AA1" s="10">
        <v>2046</v>
      </c>
      <c r="AB1" s="10">
        <v>2047</v>
      </c>
      <c r="AC1" s="10">
        <v>2048</v>
      </c>
      <c r="AD1" s="10">
        <v>2049</v>
      </c>
      <c r="AE1" s="10">
        <v>2050</v>
      </c>
    </row>
    <row r="2" spans="1:32" ht="15" customHeight="1" thickTop="1"/>
    <row r="3" spans="1:32" ht="15" customHeight="1">
      <c r="C3" s="25"/>
      <c r="D3" s="6"/>
      <c r="E3" s="6"/>
      <c r="F3" s="6"/>
    </row>
    <row r="4" spans="1:32" ht="15" customHeight="1">
      <c r="C4" s="25"/>
      <c r="D4" s="6"/>
      <c r="E4" s="6"/>
      <c r="F4" s="25"/>
    </row>
    <row r="5" spans="1:32" ht="15" customHeight="1">
      <c r="C5" s="25"/>
      <c r="D5" s="6"/>
      <c r="E5" s="6"/>
      <c r="F5" s="6"/>
    </row>
    <row r="6" spans="1:32" ht="15" customHeight="1">
      <c r="C6" s="6"/>
      <c r="D6" s="25"/>
      <c r="E6" s="6"/>
      <c r="F6" s="6"/>
    </row>
    <row r="7" spans="1:32" ht="12" customHeight="1"/>
    <row r="8" spans="1:32" ht="12" customHeight="1"/>
    <row r="9" spans="1:32" ht="12" customHeight="1"/>
    <row r="10" spans="1:32" ht="15" customHeight="1">
      <c r="A10" s="7" t="s">
        <v>729</v>
      </c>
      <c r="B10" s="14" t="s">
        <v>730</v>
      </c>
      <c r="AF10" s="23" t="s">
        <v>290</v>
      </c>
    </row>
    <row r="11" spans="1:32" ht="15" customHeight="1">
      <c r="B11" s="12"/>
      <c r="AF11" s="23" t="s">
        <v>291</v>
      </c>
    </row>
    <row r="12" spans="1:32" ht="15" customHeight="1">
      <c r="B12" s="12"/>
      <c r="C12" s="3"/>
      <c r="D12" s="3"/>
      <c r="E12" s="3"/>
      <c r="F12" s="3"/>
      <c r="G12" s="3"/>
      <c r="H12" s="3"/>
      <c r="I12" s="3"/>
      <c r="J12" s="3"/>
      <c r="K12" s="3"/>
      <c r="L12" s="3"/>
      <c r="M12" s="3"/>
      <c r="N12" s="3"/>
      <c r="O12" s="3"/>
      <c r="P12" s="3"/>
      <c r="Q12" s="3"/>
      <c r="R12" s="3"/>
      <c r="S12" s="3"/>
      <c r="T12" s="3"/>
      <c r="U12" s="3"/>
      <c r="V12" s="3"/>
      <c r="W12" s="3"/>
      <c r="X12" s="3"/>
      <c r="Y12" s="3"/>
      <c r="Z12" s="3"/>
      <c r="AA12" s="3"/>
      <c r="AB12" s="3"/>
      <c r="AC12" s="3"/>
      <c r="AD12" s="3"/>
      <c r="AE12" s="3"/>
      <c r="AF12" s="23" t="s">
        <v>292</v>
      </c>
    </row>
    <row r="13" spans="1:32" ht="15" customHeight="1" thickBot="1">
      <c r="B13" s="10" t="s">
        <v>731</v>
      </c>
      <c r="C13" s="10">
        <v>2022</v>
      </c>
      <c r="D13" s="10">
        <v>2023</v>
      </c>
      <c r="E13" s="10">
        <v>2024</v>
      </c>
      <c r="F13" s="10">
        <v>2025</v>
      </c>
      <c r="G13" s="10">
        <v>2026</v>
      </c>
      <c r="H13" s="10">
        <v>2027</v>
      </c>
      <c r="I13" s="10">
        <v>2028</v>
      </c>
      <c r="J13" s="10">
        <v>2029</v>
      </c>
      <c r="K13" s="10">
        <v>2030</v>
      </c>
      <c r="L13" s="10">
        <v>2031</v>
      </c>
      <c r="M13" s="10">
        <v>2032</v>
      </c>
      <c r="N13" s="10">
        <v>2033</v>
      </c>
      <c r="O13" s="10">
        <v>2034</v>
      </c>
      <c r="P13" s="10">
        <v>2035</v>
      </c>
      <c r="Q13" s="10">
        <v>2036</v>
      </c>
      <c r="R13" s="10">
        <v>2037</v>
      </c>
      <c r="S13" s="10">
        <v>2038</v>
      </c>
      <c r="T13" s="10">
        <v>2039</v>
      </c>
      <c r="U13" s="10">
        <v>2040</v>
      </c>
      <c r="V13" s="10">
        <v>2041</v>
      </c>
      <c r="W13" s="10">
        <v>2042</v>
      </c>
      <c r="X13" s="10">
        <v>2043</v>
      </c>
      <c r="Y13" s="10">
        <v>2044</v>
      </c>
      <c r="Z13" s="10">
        <v>2045</v>
      </c>
      <c r="AA13" s="10">
        <v>2046</v>
      </c>
      <c r="AB13" s="10">
        <v>2047</v>
      </c>
      <c r="AC13" s="10">
        <v>2048</v>
      </c>
      <c r="AD13" s="10">
        <v>2049</v>
      </c>
      <c r="AE13" s="10">
        <v>2050</v>
      </c>
      <c r="AF13" s="26" t="s">
        <v>293</v>
      </c>
    </row>
    <row r="14" spans="1:32" ht="15" customHeight="1" thickTop="1">
      <c r="AF14" s="27"/>
    </row>
    <row r="15" spans="1:32" ht="15" customHeight="1">
      <c r="B15" s="15" t="s">
        <v>732</v>
      </c>
    </row>
    <row r="16" spans="1:32" ht="15" customHeight="1"/>
    <row r="17" spans="1:32" ht="15" customHeight="1">
      <c r="B17" s="15" t="s">
        <v>733</v>
      </c>
    </row>
    <row r="18" spans="1:32" ht="15" customHeight="1">
      <c r="B18" s="15" t="s">
        <v>734</v>
      </c>
    </row>
    <row r="19" spans="1:32" ht="15" customHeight="1">
      <c r="A19" s="7" t="s">
        <v>735</v>
      </c>
      <c r="B19" s="16" t="s">
        <v>736</v>
      </c>
      <c r="C19" s="18">
        <f>'AEO 2023 Table 49 Raw'!F9</f>
        <v>54.584907999999999</v>
      </c>
      <c r="D19" s="18">
        <f>'AEO 2023 Table 49 Raw'!G9</f>
        <v>53.184821999999997</v>
      </c>
      <c r="E19" s="18">
        <f>'AEO 2023 Table 49 Raw'!H9</f>
        <v>52.318644999999997</v>
      </c>
      <c r="F19" s="18">
        <f>'AEO 2023 Table 49 Raw'!I9</f>
        <v>51.949874999999999</v>
      </c>
      <c r="G19" s="18">
        <f>'AEO 2023 Table 49 Raw'!J9</f>
        <v>51.704253999999999</v>
      </c>
      <c r="H19" s="18">
        <f>'AEO 2023 Table 49 Raw'!K9</f>
        <v>51.242474000000001</v>
      </c>
      <c r="I19" s="18">
        <f>'AEO 2023 Table 49 Raw'!L9</f>
        <v>50.771141</v>
      </c>
      <c r="J19" s="18">
        <f>'AEO 2023 Table 49 Raw'!M9</f>
        <v>50.362385000000003</v>
      </c>
      <c r="K19" s="18">
        <f>'AEO 2023 Table 49 Raw'!N9</f>
        <v>50.209102999999999</v>
      </c>
      <c r="L19" s="18">
        <f>'AEO 2023 Table 49 Raw'!O9</f>
        <v>50.291786000000002</v>
      </c>
      <c r="M19" s="18">
        <f>'AEO 2023 Table 49 Raw'!P9</f>
        <v>50.63496</v>
      </c>
      <c r="N19" s="18">
        <f>'AEO 2023 Table 49 Raw'!Q9</f>
        <v>50.989128000000001</v>
      </c>
      <c r="O19" s="18">
        <f>'AEO 2023 Table 49 Raw'!R9</f>
        <v>51.335712000000001</v>
      </c>
      <c r="P19" s="18">
        <f>'AEO 2023 Table 49 Raw'!S9</f>
        <v>51.762928000000002</v>
      </c>
      <c r="Q19" s="18">
        <f>'AEO 2023 Table 49 Raw'!T9</f>
        <v>52.096587999999997</v>
      </c>
      <c r="R19" s="18">
        <f>'AEO 2023 Table 49 Raw'!U9</f>
        <v>52.565826000000001</v>
      </c>
      <c r="S19" s="18">
        <f>'AEO 2023 Table 49 Raw'!V9</f>
        <v>53.041763000000003</v>
      </c>
      <c r="T19" s="18">
        <f>'AEO 2023 Table 49 Raw'!W9</f>
        <v>53.500053000000001</v>
      </c>
      <c r="U19" s="18">
        <f>'AEO 2023 Table 49 Raw'!X9</f>
        <v>54.070895999999998</v>
      </c>
      <c r="V19" s="18">
        <f>'AEO 2023 Table 49 Raw'!Y9</f>
        <v>54.664409999999997</v>
      </c>
      <c r="W19" s="18">
        <f>'AEO 2023 Table 49 Raw'!Z9</f>
        <v>55.331341000000002</v>
      </c>
      <c r="X19" s="18">
        <f>'AEO 2023 Table 49 Raw'!AA9</f>
        <v>56.018265</v>
      </c>
      <c r="Y19" s="18">
        <f>'AEO 2023 Table 49 Raw'!AB9</f>
        <v>56.689281000000001</v>
      </c>
      <c r="Z19" s="18">
        <f>'AEO 2023 Table 49 Raw'!AC9</f>
        <v>57.395836000000003</v>
      </c>
      <c r="AA19" s="18">
        <f>'AEO 2023 Table 49 Raw'!AD9</f>
        <v>58.203060000000001</v>
      </c>
      <c r="AB19" s="18">
        <f>'AEO 2023 Table 49 Raw'!AE9</f>
        <v>59.050575000000002</v>
      </c>
      <c r="AC19" s="18">
        <f>'AEO 2023 Table 49 Raw'!AF9</f>
        <v>59.917839000000001</v>
      </c>
      <c r="AD19" s="18">
        <f>'AEO 2023 Table 49 Raw'!AG9</f>
        <v>60.865924999999997</v>
      </c>
      <c r="AE19" s="18">
        <f>'AEO 2023 Table 49 Raw'!AH9</f>
        <v>61.861980000000003</v>
      </c>
      <c r="AF19" s="30">
        <f>'AEO 2023 Table 49 Raw'!AI9</f>
        <v>4.0000000000000001E-3</v>
      </c>
    </row>
    <row r="20" spans="1:32" ht="15" customHeight="1">
      <c r="A20" s="7" t="s">
        <v>737</v>
      </c>
      <c r="B20" s="16" t="s">
        <v>738</v>
      </c>
      <c r="C20" s="18">
        <f>'AEO 2023 Table 49 Raw'!F10</f>
        <v>16.903614000000001</v>
      </c>
      <c r="D20" s="18">
        <f>'AEO 2023 Table 49 Raw'!G10</f>
        <v>17.710211000000001</v>
      </c>
      <c r="E20" s="18">
        <f>'AEO 2023 Table 49 Raw'!H10</f>
        <v>18.609635999999998</v>
      </c>
      <c r="F20" s="18">
        <f>'AEO 2023 Table 49 Raw'!I10</f>
        <v>19.599958000000001</v>
      </c>
      <c r="G20" s="18">
        <f>'AEO 2023 Table 49 Raw'!J10</f>
        <v>20.561823</v>
      </c>
      <c r="H20" s="18">
        <f>'AEO 2023 Table 49 Raw'!K10</f>
        <v>21.350653000000001</v>
      </c>
      <c r="I20" s="18">
        <f>'AEO 2023 Table 49 Raw'!L10</f>
        <v>22.038038</v>
      </c>
      <c r="J20" s="18">
        <f>'AEO 2023 Table 49 Raw'!M10</f>
        <v>22.67135</v>
      </c>
      <c r="K20" s="18">
        <f>'AEO 2023 Table 49 Raw'!N10</f>
        <v>23.336506</v>
      </c>
      <c r="L20" s="18">
        <f>'AEO 2023 Table 49 Raw'!O10</f>
        <v>24.02421</v>
      </c>
      <c r="M20" s="18">
        <f>'AEO 2023 Table 49 Raw'!P10</f>
        <v>24.801221999999999</v>
      </c>
      <c r="N20" s="18">
        <f>'AEO 2023 Table 49 Raw'!Q10</f>
        <v>25.563036</v>
      </c>
      <c r="O20" s="18">
        <f>'AEO 2023 Table 49 Raw'!R10</f>
        <v>26.279444000000002</v>
      </c>
      <c r="P20" s="18">
        <f>'AEO 2023 Table 49 Raw'!S10</f>
        <v>27.005465999999998</v>
      </c>
      <c r="Q20" s="18">
        <f>'AEO 2023 Table 49 Raw'!T10</f>
        <v>27.677506999999999</v>
      </c>
      <c r="R20" s="18">
        <f>'AEO 2023 Table 49 Raw'!U10</f>
        <v>28.407959000000002</v>
      </c>
      <c r="S20" s="18">
        <f>'AEO 2023 Table 49 Raw'!V10</f>
        <v>29.101161999999999</v>
      </c>
      <c r="T20" s="18">
        <f>'AEO 2023 Table 49 Raw'!W10</f>
        <v>29.711493000000001</v>
      </c>
      <c r="U20" s="18">
        <f>'AEO 2023 Table 49 Raw'!X10</f>
        <v>30.334042</v>
      </c>
      <c r="V20" s="18">
        <f>'AEO 2023 Table 49 Raw'!Y10</f>
        <v>30.964428000000002</v>
      </c>
      <c r="W20" s="18">
        <f>'AEO 2023 Table 49 Raw'!Z10</f>
        <v>31.595704999999999</v>
      </c>
      <c r="X20" s="18">
        <f>'AEO 2023 Table 49 Raw'!AA10</f>
        <v>32.155334000000003</v>
      </c>
      <c r="Y20" s="18">
        <f>'AEO 2023 Table 49 Raw'!AB10</f>
        <v>32.654217000000003</v>
      </c>
      <c r="Z20" s="18">
        <f>'AEO 2023 Table 49 Raw'!AC10</f>
        <v>33.136063</v>
      </c>
      <c r="AA20" s="18">
        <f>'AEO 2023 Table 49 Raw'!AD10</f>
        <v>33.651271999999999</v>
      </c>
      <c r="AB20" s="18">
        <f>'AEO 2023 Table 49 Raw'!AE10</f>
        <v>34.163403000000002</v>
      </c>
      <c r="AC20" s="18">
        <f>'AEO 2023 Table 49 Raw'!AF10</f>
        <v>34.655211999999999</v>
      </c>
      <c r="AD20" s="18">
        <f>'AEO 2023 Table 49 Raw'!AG10</f>
        <v>35.178958999999999</v>
      </c>
      <c r="AE20" s="18">
        <f>'AEO 2023 Table 49 Raw'!AH10</f>
        <v>35.732093999999996</v>
      </c>
      <c r="AF20" s="30">
        <f>'AEO 2023 Table 49 Raw'!AI10</f>
        <v>2.7E-2</v>
      </c>
    </row>
    <row r="21" spans="1:32" ht="15" customHeight="1">
      <c r="A21" s="7" t="s">
        <v>739</v>
      </c>
      <c r="B21" s="16" t="s">
        <v>382</v>
      </c>
      <c r="C21" s="18">
        <f>'AEO 2023 Table 49 Raw'!F11</f>
        <v>5.8699999999999996E-4</v>
      </c>
      <c r="D21" s="18">
        <f>'AEO 2023 Table 49 Raw'!G11</f>
        <v>6.9350000000000002E-3</v>
      </c>
      <c r="E21" s="18">
        <f>'AEO 2023 Table 49 Raw'!H11</f>
        <v>1.3313E-2</v>
      </c>
      <c r="F21" s="18">
        <f>'AEO 2023 Table 49 Raw'!I11</f>
        <v>1.9325999999999999E-2</v>
      </c>
      <c r="G21" s="18">
        <f>'AEO 2023 Table 49 Raw'!J11</f>
        <v>2.4979999999999999E-2</v>
      </c>
      <c r="H21" s="18">
        <f>'AEO 2023 Table 49 Raw'!K11</f>
        <v>3.0086000000000002E-2</v>
      </c>
      <c r="I21" s="18">
        <f>'AEO 2023 Table 49 Raw'!L11</f>
        <v>3.4862999999999998E-2</v>
      </c>
      <c r="J21" s="18">
        <f>'AEO 2023 Table 49 Raw'!M11</f>
        <v>3.9439000000000002E-2</v>
      </c>
      <c r="K21" s="18">
        <f>'AEO 2023 Table 49 Raw'!N11</f>
        <v>4.3985999999999997E-2</v>
      </c>
      <c r="L21" s="18">
        <f>'AEO 2023 Table 49 Raw'!O11</f>
        <v>4.8625000000000002E-2</v>
      </c>
      <c r="M21" s="18">
        <f>'AEO 2023 Table 49 Raw'!P11</f>
        <v>5.3524000000000002E-2</v>
      </c>
      <c r="N21" s="18">
        <f>'AEO 2023 Table 49 Raw'!Q11</f>
        <v>5.8466999999999998E-2</v>
      </c>
      <c r="O21" s="18">
        <f>'AEO 2023 Table 49 Raw'!R11</f>
        <v>6.3285999999999995E-2</v>
      </c>
      <c r="P21" s="18">
        <f>'AEO 2023 Table 49 Raw'!S11</f>
        <v>6.8178000000000002E-2</v>
      </c>
      <c r="Q21" s="18">
        <f>'AEO 2023 Table 49 Raw'!T11</f>
        <v>7.3107000000000005E-2</v>
      </c>
      <c r="R21" s="18">
        <f>'AEO 2023 Table 49 Raw'!U11</f>
        <v>7.8546000000000005E-2</v>
      </c>
      <c r="S21" s="18">
        <f>'AEO 2023 Table 49 Raw'!V11</f>
        <v>8.4434999999999996E-2</v>
      </c>
      <c r="T21" s="18">
        <f>'AEO 2023 Table 49 Raw'!W11</f>
        <v>9.0785000000000005E-2</v>
      </c>
      <c r="U21" s="18">
        <f>'AEO 2023 Table 49 Raw'!X11</f>
        <v>9.7857E-2</v>
      </c>
      <c r="V21" s="18">
        <f>'AEO 2023 Table 49 Raw'!Y11</f>
        <v>0.105584</v>
      </c>
      <c r="W21" s="18">
        <f>'AEO 2023 Table 49 Raw'!Z11</f>
        <v>0.11405899999999999</v>
      </c>
      <c r="X21" s="18">
        <f>'AEO 2023 Table 49 Raw'!AA11</f>
        <v>0.12317</v>
      </c>
      <c r="Y21" s="18">
        <f>'AEO 2023 Table 49 Raw'!AB11</f>
        <v>0.13269400000000001</v>
      </c>
      <c r="Z21" s="18">
        <f>'AEO 2023 Table 49 Raw'!AC11</f>
        <v>0.14286699999999999</v>
      </c>
      <c r="AA21" s="18">
        <f>'AEO 2023 Table 49 Raw'!AD11</f>
        <v>0.15390799999999999</v>
      </c>
      <c r="AB21" s="18">
        <f>'AEO 2023 Table 49 Raw'!AE11</f>
        <v>0.16563800000000001</v>
      </c>
      <c r="AC21" s="18">
        <f>'AEO 2023 Table 49 Raw'!AF11</f>
        <v>0.177929</v>
      </c>
      <c r="AD21" s="18">
        <f>'AEO 2023 Table 49 Raw'!AG11</f>
        <v>0.19094900000000001</v>
      </c>
      <c r="AE21" s="18">
        <f>'AEO 2023 Table 49 Raw'!AH11</f>
        <v>0.204571</v>
      </c>
      <c r="AF21" s="30">
        <f>'AEO 2023 Table 49 Raw'!AI11</f>
        <v>0.23300000000000001</v>
      </c>
    </row>
    <row r="22" spans="1:32" ht="15" customHeight="1">
      <c r="A22" s="7" t="s">
        <v>740</v>
      </c>
      <c r="B22" s="16" t="s">
        <v>741</v>
      </c>
      <c r="C22" s="18">
        <f>'AEO 2023 Table 49 Raw'!F12</f>
        <v>1.5476999999999999E-2</v>
      </c>
      <c r="D22" s="18">
        <f>'AEO 2023 Table 49 Raw'!G12</f>
        <v>1.4120000000000001E-2</v>
      </c>
      <c r="E22" s="18">
        <f>'AEO 2023 Table 49 Raw'!H12</f>
        <v>1.2951000000000001E-2</v>
      </c>
      <c r="F22" s="18">
        <f>'AEO 2023 Table 49 Raw'!I12</f>
        <v>1.1922E-2</v>
      </c>
      <c r="G22" s="18">
        <f>'AEO 2023 Table 49 Raw'!J12</f>
        <v>1.0976E-2</v>
      </c>
      <c r="H22" s="18">
        <f>'AEO 2023 Table 49 Raw'!K12</f>
        <v>1.0057E-2</v>
      </c>
      <c r="I22" s="18">
        <f>'AEO 2023 Table 49 Raw'!L12</f>
        <v>9.195E-3</v>
      </c>
      <c r="J22" s="18">
        <f>'AEO 2023 Table 49 Raw'!M12</f>
        <v>8.4010000000000005E-3</v>
      </c>
      <c r="K22" s="18">
        <f>'AEO 2023 Table 49 Raw'!N12</f>
        <v>7.698E-3</v>
      </c>
      <c r="L22" s="18">
        <f>'AEO 2023 Table 49 Raw'!O12</f>
        <v>7.0740000000000004E-3</v>
      </c>
      <c r="M22" s="18">
        <f>'AEO 2023 Table 49 Raw'!P12</f>
        <v>6.5170000000000002E-3</v>
      </c>
      <c r="N22" s="18">
        <f>'AEO 2023 Table 49 Raw'!Q12</f>
        <v>5.9610000000000002E-3</v>
      </c>
      <c r="O22" s="18">
        <f>'AEO 2023 Table 49 Raw'!R12</f>
        <v>5.3949999999999996E-3</v>
      </c>
      <c r="P22" s="18">
        <f>'AEO 2023 Table 49 Raw'!S12</f>
        <v>4.8170000000000001E-3</v>
      </c>
      <c r="Q22" s="18">
        <f>'AEO 2023 Table 49 Raw'!T12</f>
        <v>4.2300000000000003E-3</v>
      </c>
      <c r="R22" s="18">
        <f>'AEO 2023 Table 49 Raw'!U12</f>
        <v>3.6210000000000001E-3</v>
      </c>
      <c r="S22" s="18">
        <f>'AEO 2023 Table 49 Raw'!V12</f>
        <v>3.055E-3</v>
      </c>
      <c r="T22" s="18">
        <f>'AEO 2023 Table 49 Raw'!W12</f>
        <v>2.5360000000000001E-3</v>
      </c>
      <c r="U22" s="18">
        <f>'AEO 2023 Table 49 Raw'!X12</f>
        <v>2.0149999999999999E-3</v>
      </c>
      <c r="V22" s="18">
        <f>'AEO 2023 Table 49 Raw'!Y12</f>
        <v>1.604E-3</v>
      </c>
      <c r="W22" s="18">
        <f>'AEO 2023 Table 49 Raw'!Z12</f>
        <v>1.3029999999999999E-3</v>
      </c>
      <c r="X22" s="18">
        <f>'AEO 2023 Table 49 Raw'!AA12</f>
        <v>1.0859999999999999E-3</v>
      </c>
      <c r="Y22" s="18">
        <f>'AEO 2023 Table 49 Raw'!AB12</f>
        <v>9.4399999999999996E-4</v>
      </c>
      <c r="Z22" s="18">
        <f>'AEO 2023 Table 49 Raw'!AC12</f>
        <v>8.4599999999999996E-4</v>
      </c>
      <c r="AA22" s="18">
        <f>'AEO 2023 Table 49 Raw'!AD12</f>
        <v>7.6999999999999996E-4</v>
      </c>
      <c r="AB22" s="18">
        <f>'AEO 2023 Table 49 Raw'!AE12</f>
        <v>7.1900000000000002E-4</v>
      </c>
      <c r="AC22" s="18">
        <f>'AEO 2023 Table 49 Raw'!AF12</f>
        <v>6.5499999999999998E-4</v>
      </c>
      <c r="AD22" s="18">
        <f>'AEO 2023 Table 49 Raw'!AG12</f>
        <v>5.8200000000000005E-4</v>
      </c>
      <c r="AE22" s="18">
        <f>'AEO 2023 Table 49 Raw'!AH12</f>
        <v>4.8899999999999996E-4</v>
      </c>
      <c r="AF22" s="30">
        <f>'AEO 2023 Table 49 Raw'!AI12</f>
        <v>-0.11600000000000001</v>
      </c>
    </row>
    <row r="23" spans="1:32" ht="15" customHeight="1">
      <c r="A23" s="7" t="s">
        <v>742</v>
      </c>
      <c r="B23" s="16" t="s">
        <v>743</v>
      </c>
      <c r="C23" s="18">
        <f>'AEO 2023 Table 49 Raw'!F13</f>
        <v>3.824589</v>
      </c>
      <c r="D23" s="18">
        <f>'AEO 2023 Table 49 Raw'!G13</f>
        <v>3.7806299999999999</v>
      </c>
      <c r="E23" s="18">
        <f>'AEO 2023 Table 49 Raw'!H13</f>
        <v>3.7545269999999999</v>
      </c>
      <c r="F23" s="18">
        <f>'AEO 2023 Table 49 Raw'!I13</f>
        <v>3.7400190000000002</v>
      </c>
      <c r="G23" s="18">
        <f>'AEO 2023 Table 49 Raw'!J13</f>
        <v>3.725336</v>
      </c>
      <c r="H23" s="18">
        <f>'AEO 2023 Table 49 Raw'!K13</f>
        <v>3.6981660000000001</v>
      </c>
      <c r="I23" s="18">
        <f>'AEO 2023 Table 49 Raw'!L13</f>
        <v>3.669842</v>
      </c>
      <c r="J23" s="18">
        <f>'AEO 2023 Table 49 Raw'!M13</f>
        <v>3.646439</v>
      </c>
      <c r="K23" s="18">
        <f>'AEO 2023 Table 49 Raw'!N13</f>
        <v>3.637159</v>
      </c>
      <c r="L23" s="18">
        <f>'AEO 2023 Table 49 Raw'!O13</f>
        <v>3.642811</v>
      </c>
      <c r="M23" s="18">
        <f>'AEO 2023 Table 49 Raw'!P13</f>
        <v>3.6650930000000002</v>
      </c>
      <c r="N23" s="18">
        <f>'AEO 2023 Table 49 Raw'!Q13</f>
        <v>3.6841620000000002</v>
      </c>
      <c r="O23" s="18">
        <f>'AEO 2023 Table 49 Raw'!R13</f>
        <v>3.6838760000000002</v>
      </c>
      <c r="P23" s="18">
        <f>'AEO 2023 Table 49 Raw'!S13</f>
        <v>3.6760130000000002</v>
      </c>
      <c r="Q23" s="18">
        <f>'AEO 2023 Table 49 Raw'!T13</f>
        <v>3.6506970000000001</v>
      </c>
      <c r="R23" s="18">
        <f>'AEO 2023 Table 49 Raw'!U13</f>
        <v>3.63028</v>
      </c>
      <c r="S23" s="18">
        <f>'AEO 2023 Table 49 Raw'!V13</f>
        <v>3.5939450000000002</v>
      </c>
      <c r="T23" s="18">
        <f>'AEO 2023 Table 49 Raw'!W13</f>
        <v>3.5525120000000001</v>
      </c>
      <c r="U23" s="18">
        <f>'AEO 2023 Table 49 Raw'!X13</f>
        <v>3.524807</v>
      </c>
      <c r="V23" s="18">
        <f>'AEO 2023 Table 49 Raw'!Y13</f>
        <v>3.5007060000000001</v>
      </c>
      <c r="W23" s="18">
        <f>'AEO 2023 Table 49 Raw'!Z13</f>
        <v>3.4909029999999999</v>
      </c>
      <c r="X23" s="18">
        <f>'AEO 2023 Table 49 Raw'!AA13</f>
        <v>3.4946220000000001</v>
      </c>
      <c r="Y23" s="18">
        <f>'AEO 2023 Table 49 Raw'!AB13</f>
        <v>3.511501</v>
      </c>
      <c r="Z23" s="18">
        <f>'AEO 2023 Table 49 Raw'!AC13</f>
        <v>3.5344699999999998</v>
      </c>
      <c r="AA23" s="18">
        <f>'AEO 2023 Table 49 Raw'!AD13</f>
        <v>3.566999</v>
      </c>
      <c r="AB23" s="18">
        <f>'AEO 2023 Table 49 Raw'!AE13</f>
        <v>3.604692</v>
      </c>
      <c r="AC23" s="18">
        <f>'AEO 2023 Table 49 Raw'!AF13</f>
        <v>3.6455489999999999</v>
      </c>
      <c r="AD23" s="18">
        <f>'AEO 2023 Table 49 Raw'!AG13</f>
        <v>3.6905670000000002</v>
      </c>
      <c r="AE23" s="18">
        <f>'AEO 2023 Table 49 Raw'!AH13</f>
        <v>3.738531</v>
      </c>
      <c r="AF23" s="30">
        <f>'AEO 2023 Table 49 Raw'!AI13</f>
        <v>-1E-3</v>
      </c>
    </row>
    <row r="24" spans="1:32" ht="15" customHeight="1">
      <c r="A24" s="7" t="s">
        <v>744</v>
      </c>
      <c r="B24" s="16" t="s">
        <v>745</v>
      </c>
      <c r="C24" s="18">
        <f>'AEO 2023 Table 49 Raw'!F14</f>
        <v>8.0599999999999997E-4</v>
      </c>
      <c r="D24" s="18">
        <f>'AEO 2023 Table 49 Raw'!G14</f>
        <v>7.3300000000000004E-4</v>
      </c>
      <c r="E24" s="18">
        <f>'AEO 2023 Table 49 Raw'!H14</f>
        <v>6.7500000000000004E-4</v>
      </c>
      <c r="F24" s="18">
        <f>'AEO 2023 Table 49 Raw'!I14</f>
        <v>6.3000000000000003E-4</v>
      </c>
      <c r="G24" s="18">
        <f>'AEO 2023 Table 49 Raw'!J14</f>
        <v>5.9400000000000002E-4</v>
      </c>
      <c r="H24" s="18">
        <f>'AEO 2023 Table 49 Raw'!K14</f>
        <v>5.6400000000000005E-4</v>
      </c>
      <c r="I24" s="18">
        <f>'AEO 2023 Table 49 Raw'!L14</f>
        <v>5.4000000000000001E-4</v>
      </c>
      <c r="J24" s="18">
        <f>'AEO 2023 Table 49 Raw'!M14</f>
        <v>5.0500000000000002E-4</v>
      </c>
      <c r="K24" s="18">
        <f>'AEO 2023 Table 49 Raw'!N14</f>
        <v>4.6099999999999998E-4</v>
      </c>
      <c r="L24" s="18">
        <f>'AEO 2023 Table 49 Raw'!O14</f>
        <v>4.2099999999999999E-4</v>
      </c>
      <c r="M24" s="18">
        <f>'AEO 2023 Table 49 Raw'!P14</f>
        <v>3.86E-4</v>
      </c>
      <c r="N24" s="18">
        <f>'AEO 2023 Table 49 Raw'!Q14</f>
        <v>3.2299999999999999E-4</v>
      </c>
      <c r="O24" s="18">
        <f>'AEO 2023 Table 49 Raw'!R14</f>
        <v>2.5300000000000002E-4</v>
      </c>
      <c r="P24" s="18">
        <f>'AEO 2023 Table 49 Raw'!S14</f>
        <v>1.9900000000000001E-4</v>
      </c>
      <c r="Q24" s="18">
        <f>'AEO 2023 Table 49 Raw'!T14</f>
        <v>1.55E-4</v>
      </c>
      <c r="R24" s="18">
        <f>'AEO 2023 Table 49 Raw'!U14</f>
        <v>1.22E-4</v>
      </c>
      <c r="S24" s="18">
        <f>'AEO 2023 Table 49 Raw'!V14</f>
        <v>9.5000000000000005E-5</v>
      </c>
      <c r="T24" s="18">
        <f>'AEO 2023 Table 49 Raw'!W14</f>
        <v>7.3999999999999996E-5</v>
      </c>
      <c r="U24" s="18">
        <f>'AEO 2023 Table 49 Raw'!X14</f>
        <v>6.6000000000000005E-5</v>
      </c>
      <c r="V24" s="18">
        <f>'AEO 2023 Table 49 Raw'!Y14</f>
        <v>6.3999999999999997E-5</v>
      </c>
      <c r="W24" s="18">
        <f>'AEO 2023 Table 49 Raw'!Z14</f>
        <v>6.2000000000000003E-5</v>
      </c>
      <c r="X24" s="18">
        <f>'AEO 2023 Table 49 Raw'!AA14</f>
        <v>6.0999999999999999E-5</v>
      </c>
      <c r="Y24" s="18">
        <f>'AEO 2023 Table 49 Raw'!AB14</f>
        <v>4.8999999999999998E-5</v>
      </c>
      <c r="Z24" s="18">
        <f>'AEO 2023 Table 49 Raw'!AC14</f>
        <v>3.4E-5</v>
      </c>
      <c r="AA24" s="18">
        <f>'AEO 2023 Table 49 Raw'!AD14</f>
        <v>2.4000000000000001E-5</v>
      </c>
      <c r="AB24" s="18">
        <f>'AEO 2023 Table 49 Raw'!AE14</f>
        <v>1.7E-5</v>
      </c>
      <c r="AC24" s="18">
        <f>'AEO 2023 Table 49 Raw'!AF14</f>
        <v>1.2E-5</v>
      </c>
      <c r="AD24" s="18">
        <f>'AEO 2023 Table 49 Raw'!AG14</f>
        <v>7.9999999999999996E-6</v>
      </c>
      <c r="AE24" s="18">
        <f>'AEO 2023 Table 49 Raw'!AH14</f>
        <v>6.0000000000000002E-6</v>
      </c>
      <c r="AF24" s="30">
        <f>'AEO 2023 Table 49 Raw'!AI14</f>
        <v>-0.16200000000000001</v>
      </c>
    </row>
    <row r="25" spans="1:32" ht="15" customHeight="1">
      <c r="A25" s="7" t="s">
        <v>746</v>
      </c>
      <c r="B25" s="16" t="s">
        <v>747</v>
      </c>
      <c r="C25" s="18">
        <f>'AEO 2023 Table 49 Raw'!F15</f>
        <v>0</v>
      </c>
      <c r="D25" s="18">
        <f>'AEO 2023 Table 49 Raw'!G15</f>
        <v>5.2110000000000004E-3</v>
      </c>
      <c r="E25" s="18">
        <f>'AEO 2023 Table 49 Raw'!H15</f>
        <v>1.0501E-2</v>
      </c>
      <c r="F25" s="18">
        <f>'AEO 2023 Table 49 Raw'!I15</f>
        <v>1.6119000000000001E-2</v>
      </c>
      <c r="G25" s="18">
        <f>'AEO 2023 Table 49 Raw'!J15</f>
        <v>2.1829999999999999E-2</v>
      </c>
      <c r="H25" s="18">
        <f>'AEO 2023 Table 49 Raw'!K15</f>
        <v>2.7378E-2</v>
      </c>
      <c r="I25" s="18">
        <f>'AEO 2023 Table 49 Raw'!L15</f>
        <v>3.2855000000000002E-2</v>
      </c>
      <c r="J25" s="18">
        <f>'AEO 2023 Table 49 Raw'!M15</f>
        <v>3.8309000000000003E-2</v>
      </c>
      <c r="K25" s="18">
        <f>'AEO 2023 Table 49 Raw'!N15</f>
        <v>4.3867999999999997E-2</v>
      </c>
      <c r="L25" s="18">
        <f>'AEO 2023 Table 49 Raw'!O15</f>
        <v>4.9632000000000003E-2</v>
      </c>
      <c r="M25" s="18">
        <f>'AEO 2023 Table 49 Raw'!P15</f>
        <v>5.5828999999999997E-2</v>
      </c>
      <c r="N25" s="18">
        <f>'AEO 2023 Table 49 Raw'!Q15</f>
        <v>6.2269999999999999E-2</v>
      </c>
      <c r="O25" s="18">
        <f>'AEO 2023 Table 49 Raw'!R15</f>
        <v>6.8892999999999996E-2</v>
      </c>
      <c r="P25" s="18">
        <f>'AEO 2023 Table 49 Raw'!S15</f>
        <v>7.5951000000000005E-2</v>
      </c>
      <c r="Q25" s="18">
        <f>'AEO 2023 Table 49 Raw'!T15</f>
        <v>8.3381999999999998E-2</v>
      </c>
      <c r="R25" s="18">
        <f>'AEO 2023 Table 49 Raw'!U15</f>
        <v>9.1698000000000002E-2</v>
      </c>
      <c r="S25" s="18">
        <f>'AEO 2023 Table 49 Raw'!V15</f>
        <v>0.10086100000000001</v>
      </c>
      <c r="T25" s="18">
        <f>'AEO 2023 Table 49 Raw'!W15</f>
        <v>0.110917</v>
      </c>
      <c r="U25" s="18">
        <f>'AEO 2023 Table 49 Raw'!X15</f>
        <v>0.12228600000000001</v>
      </c>
      <c r="V25" s="18">
        <f>'AEO 2023 Table 49 Raw'!Y15</f>
        <v>0.13492899999999999</v>
      </c>
      <c r="W25" s="18">
        <f>'AEO 2023 Table 49 Raw'!Z15</f>
        <v>0.14883299999999999</v>
      </c>
      <c r="X25" s="18">
        <f>'AEO 2023 Table 49 Raw'!AA15</f>
        <v>0.163662</v>
      </c>
      <c r="Y25" s="18">
        <f>'AEO 2023 Table 49 Raw'!AB15</f>
        <v>0.17921799999999999</v>
      </c>
      <c r="Z25" s="18">
        <f>'AEO 2023 Table 49 Raw'!AC15</f>
        <v>0.19561000000000001</v>
      </c>
      <c r="AA25" s="18">
        <f>'AEO 2023 Table 49 Raw'!AD15</f>
        <v>0.21280199999999999</v>
      </c>
      <c r="AB25" s="18">
        <f>'AEO 2023 Table 49 Raw'!AE15</f>
        <v>0.230485</v>
      </c>
      <c r="AC25" s="18">
        <f>'AEO 2023 Table 49 Raw'!AF15</f>
        <v>0.248469</v>
      </c>
      <c r="AD25" s="18">
        <f>'AEO 2023 Table 49 Raw'!AG15</f>
        <v>0.26697199999999999</v>
      </c>
      <c r="AE25" s="18">
        <f>'AEO 2023 Table 49 Raw'!AH15</f>
        <v>0.28581499999999999</v>
      </c>
      <c r="AF25" s="30" t="str">
        <f>'AEO 2023 Table 49 Raw'!AI15</f>
        <v>- -</v>
      </c>
    </row>
    <row r="26" spans="1:32" ht="15" customHeight="1">
      <c r="A26" s="7" t="s">
        <v>748</v>
      </c>
      <c r="B26" s="16" t="s">
        <v>749</v>
      </c>
      <c r="C26" s="18">
        <f>'AEO 2023 Table 49 Raw'!F16</f>
        <v>0</v>
      </c>
      <c r="D26" s="18">
        <f>'AEO 2023 Table 49 Raw'!G16</f>
        <v>5.6709999999999998E-3</v>
      </c>
      <c r="E26" s="18">
        <f>'AEO 2023 Table 49 Raw'!H16</f>
        <v>1.1320999999999999E-2</v>
      </c>
      <c r="F26" s="18">
        <f>'AEO 2023 Table 49 Raw'!I16</f>
        <v>1.7173000000000001E-2</v>
      </c>
      <c r="G26" s="18">
        <f>'AEO 2023 Table 49 Raw'!J16</f>
        <v>2.2991000000000001E-2</v>
      </c>
      <c r="H26" s="18">
        <f>'AEO 2023 Table 49 Raw'!K16</f>
        <v>2.8535000000000001E-2</v>
      </c>
      <c r="I26" s="18">
        <f>'AEO 2023 Table 49 Raw'!L16</f>
        <v>3.3867000000000001E-2</v>
      </c>
      <c r="J26" s="18">
        <f>'AEO 2023 Table 49 Raw'!M16</f>
        <v>3.9045000000000003E-2</v>
      </c>
      <c r="K26" s="18">
        <f>'AEO 2023 Table 49 Raw'!N16</f>
        <v>4.4247000000000002E-2</v>
      </c>
      <c r="L26" s="18">
        <f>'AEO 2023 Table 49 Raw'!O16</f>
        <v>4.9634999999999999E-2</v>
      </c>
      <c r="M26" s="18">
        <f>'AEO 2023 Table 49 Raw'!P16</f>
        <v>5.5454999999999997E-2</v>
      </c>
      <c r="N26" s="18">
        <f>'AEO 2023 Table 49 Raw'!Q16</f>
        <v>6.1592000000000001E-2</v>
      </c>
      <c r="O26" s="18">
        <f>'AEO 2023 Table 49 Raw'!R16</f>
        <v>6.8018999999999996E-2</v>
      </c>
      <c r="P26" s="18">
        <f>'AEO 2023 Table 49 Raw'!S16</f>
        <v>7.5022000000000005E-2</v>
      </c>
      <c r="Q26" s="18">
        <f>'AEO 2023 Table 49 Raw'!T16</f>
        <v>8.2565E-2</v>
      </c>
      <c r="R26" s="18">
        <f>'AEO 2023 Table 49 Raw'!U16</f>
        <v>9.1197E-2</v>
      </c>
      <c r="S26" s="18">
        <f>'AEO 2023 Table 49 Raw'!V16</f>
        <v>0.10090399999999999</v>
      </c>
      <c r="T26" s="18">
        <f>'AEO 2023 Table 49 Raw'!W16</f>
        <v>0.111765</v>
      </c>
      <c r="U26" s="18">
        <f>'AEO 2023 Table 49 Raw'!X16</f>
        <v>0.124236</v>
      </c>
      <c r="V26" s="18">
        <f>'AEO 2023 Table 49 Raw'!Y16</f>
        <v>0.13830200000000001</v>
      </c>
      <c r="W26" s="18">
        <f>'AEO 2023 Table 49 Raw'!Z16</f>
        <v>0.15390100000000001</v>
      </c>
      <c r="X26" s="18">
        <f>'AEO 2023 Table 49 Raw'!AA16</f>
        <v>0.17066000000000001</v>
      </c>
      <c r="Y26" s="18">
        <f>'AEO 2023 Table 49 Raw'!AB16</f>
        <v>0.18835099999999999</v>
      </c>
      <c r="Z26" s="18">
        <f>'AEO 2023 Table 49 Raw'!AC16</f>
        <v>0.20710600000000001</v>
      </c>
      <c r="AA26" s="18">
        <f>'AEO 2023 Table 49 Raw'!AD16</f>
        <v>0.226853</v>
      </c>
      <c r="AB26" s="18">
        <f>'AEO 2023 Table 49 Raw'!AE16</f>
        <v>0.247225</v>
      </c>
      <c r="AC26" s="18">
        <f>'AEO 2023 Table 49 Raw'!AF16</f>
        <v>0.26799200000000001</v>
      </c>
      <c r="AD26" s="18">
        <f>'AEO 2023 Table 49 Raw'!AG16</f>
        <v>0.28937200000000002</v>
      </c>
      <c r="AE26" s="18">
        <f>'AEO 2023 Table 49 Raw'!AH16</f>
        <v>0.311143</v>
      </c>
      <c r="AF26" s="30" t="str">
        <f>'AEO 2023 Table 49 Raw'!AI16</f>
        <v>- -</v>
      </c>
    </row>
    <row r="27" spans="1:32" ht="15" customHeight="1">
      <c r="A27" s="7" t="s">
        <v>750</v>
      </c>
      <c r="B27" s="16" t="s">
        <v>751</v>
      </c>
      <c r="C27" s="18">
        <f>'AEO 2023 Table 49 Raw'!F17</f>
        <v>0</v>
      </c>
      <c r="D27" s="18">
        <f>'AEO 2023 Table 49 Raw'!G17</f>
        <v>0</v>
      </c>
      <c r="E27" s="18">
        <f>'AEO 2023 Table 49 Raw'!H17</f>
        <v>1.9999999999999999E-6</v>
      </c>
      <c r="F27" s="18">
        <f>'AEO 2023 Table 49 Raw'!I17</f>
        <v>3.0000000000000001E-6</v>
      </c>
      <c r="G27" s="18">
        <f>'AEO 2023 Table 49 Raw'!J17</f>
        <v>5.0000000000000004E-6</v>
      </c>
      <c r="H27" s="18">
        <f>'AEO 2023 Table 49 Raw'!K17</f>
        <v>6.9999999999999999E-6</v>
      </c>
      <c r="I27" s="18">
        <f>'AEO 2023 Table 49 Raw'!L17</f>
        <v>9.0000000000000002E-6</v>
      </c>
      <c r="J27" s="18">
        <f>'AEO 2023 Table 49 Raw'!M17</f>
        <v>1.0000000000000001E-5</v>
      </c>
      <c r="K27" s="18">
        <f>'AEO 2023 Table 49 Raw'!N17</f>
        <v>1.2E-5</v>
      </c>
      <c r="L27" s="18">
        <f>'AEO 2023 Table 49 Raw'!O17</f>
        <v>1.2999999999999999E-5</v>
      </c>
      <c r="M27" s="18">
        <f>'AEO 2023 Table 49 Raw'!P17</f>
        <v>1.5E-5</v>
      </c>
      <c r="N27" s="18">
        <f>'AEO 2023 Table 49 Raw'!Q17</f>
        <v>1.5999999999999999E-5</v>
      </c>
      <c r="O27" s="18">
        <f>'AEO 2023 Table 49 Raw'!R17</f>
        <v>1.7E-5</v>
      </c>
      <c r="P27" s="18">
        <f>'AEO 2023 Table 49 Raw'!S17</f>
        <v>1.8E-5</v>
      </c>
      <c r="Q27" s="18">
        <f>'AEO 2023 Table 49 Raw'!T17</f>
        <v>1.9000000000000001E-5</v>
      </c>
      <c r="R27" s="18">
        <f>'AEO 2023 Table 49 Raw'!U17</f>
        <v>2.0000000000000002E-5</v>
      </c>
      <c r="S27" s="18">
        <f>'AEO 2023 Table 49 Raw'!V17</f>
        <v>2.0999999999999999E-5</v>
      </c>
      <c r="T27" s="18">
        <f>'AEO 2023 Table 49 Raw'!W17</f>
        <v>2.1999999999999999E-5</v>
      </c>
      <c r="U27" s="18">
        <f>'AEO 2023 Table 49 Raw'!X17</f>
        <v>2.3E-5</v>
      </c>
      <c r="V27" s="18">
        <f>'AEO 2023 Table 49 Raw'!Y17</f>
        <v>2.3E-5</v>
      </c>
      <c r="W27" s="18">
        <f>'AEO 2023 Table 49 Raw'!Z17</f>
        <v>2.4000000000000001E-5</v>
      </c>
      <c r="X27" s="18">
        <f>'AEO 2023 Table 49 Raw'!AA17</f>
        <v>2.4000000000000001E-5</v>
      </c>
      <c r="Y27" s="18">
        <f>'AEO 2023 Table 49 Raw'!AB17</f>
        <v>2.4000000000000001E-5</v>
      </c>
      <c r="Z27" s="18">
        <f>'AEO 2023 Table 49 Raw'!AC17</f>
        <v>2.4000000000000001E-5</v>
      </c>
      <c r="AA27" s="18">
        <f>'AEO 2023 Table 49 Raw'!AD17</f>
        <v>2.4000000000000001E-5</v>
      </c>
      <c r="AB27" s="18">
        <f>'AEO 2023 Table 49 Raw'!AE17</f>
        <v>2.4000000000000001E-5</v>
      </c>
      <c r="AC27" s="18">
        <f>'AEO 2023 Table 49 Raw'!AF17</f>
        <v>2.3E-5</v>
      </c>
      <c r="AD27" s="18">
        <f>'AEO 2023 Table 49 Raw'!AG17</f>
        <v>2.3E-5</v>
      </c>
      <c r="AE27" s="18">
        <f>'AEO 2023 Table 49 Raw'!AH17</f>
        <v>2.1999999999999999E-5</v>
      </c>
      <c r="AF27" s="30" t="str">
        <f>'AEO 2023 Table 49 Raw'!AI17</f>
        <v>- -</v>
      </c>
    </row>
    <row r="28" spans="1:32" s="94" customFormat="1" ht="15" customHeight="1">
      <c r="A28" s="96" t="s">
        <v>752</v>
      </c>
      <c r="B28" s="97" t="s">
        <v>753</v>
      </c>
      <c r="C28" s="98">
        <f>'AEO 2023 Table 49 Raw'!F18</f>
        <v>75.329880000000003</v>
      </c>
      <c r="D28" s="98">
        <f>'AEO 2023 Table 49 Raw'!G18</f>
        <v>74.708290000000005</v>
      </c>
      <c r="E28" s="98">
        <f>'AEO 2023 Table 49 Raw'!H18</f>
        <v>74.731575000000007</v>
      </c>
      <c r="F28" s="98">
        <f>'AEO 2023 Table 49 Raw'!I18</f>
        <v>75.354934999999998</v>
      </c>
      <c r="G28" s="98">
        <f>'AEO 2023 Table 49 Raw'!J18</f>
        <v>76.072838000000004</v>
      </c>
      <c r="H28" s="98">
        <f>'AEO 2023 Table 49 Raw'!K18</f>
        <v>76.387794</v>
      </c>
      <c r="I28" s="98">
        <f>'AEO 2023 Table 49 Raw'!L18</f>
        <v>76.590232999999998</v>
      </c>
      <c r="J28" s="98">
        <f>'AEO 2023 Table 49 Raw'!M18</f>
        <v>76.805655999999999</v>
      </c>
      <c r="K28" s="98">
        <f>'AEO 2023 Table 49 Raw'!N18</f>
        <v>77.322913999999997</v>
      </c>
      <c r="L28" s="98">
        <f>'AEO 2023 Table 49 Raw'!O18</f>
        <v>78.114249999999998</v>
      </c>
      <c r="M28" s="98">
        <f>'AEO 2023 Table 49 Raw'!P18</f>
        <v>79.273087000000004</v>
      </c>
      <c r="N28" s="98">
        <f>'AEO 2023 Table 49 Raw'!Q18</f>
        <v>80.425064000000006</v>
      </c>
      <c r="O28" s="98">
        <f>'AEO 2023 Table 49 Raw'!R18</f>
        <v>81.504715000000004</v>
      </c>
      <c r="P28" s="98">
        <f>'AEO 2023 Table 49 Raw'!S18</f>
        <v>82.668625000000006</v>
      </c>
      <c r="Q28" s="98">
        <f>'AEO 2023 Table 49 Raw'!T18</f>
        <v>83.668182000000002</v>
      </c>
      <c r="R28" s="98">
        <f>'AEO 2023 Table 49 Raw'!U18</f>
        <v>84.868926999999999</v>
      </c>
      <c r="S28" s="98">
        <f>'AEO 2023 Table 49 Raw'!V18</f>
        <v>86.026199000000005</v>
      </c>
      <c r="T28" s="98">
        <f>'AEO 2023 Table 49 Raw'!W18</f>
        <v>87.079978999999994</v>
      </c>
      <c r="U28" s="98">
        <f>'AEO 2023 Table 49 Raw'!X18</f>
        <v>88.276038999999997</v>
      </c>
      <c r="V28" s="98">
        <f>'AEO 2023 Table 49 Raw'!Y18</f>
        <v>89.509856999999997</v>
      </c>
      <c r="W28" s="98">
        <f>'AEO 2023 Table 49 Raw'!Z18</f>
        <v>90.835953000000003</v>
      </c>
      <c r="X28" s="98">
        <f>'AEO 2023 Table 49 Raw'!AA18</f>
        <v>92.126778000000002</v>
      </c>
      <c r="Y28" s="98">
        <f>'AEO 2023 Table 49 Raw'!AB18</f>
        <v>93.356110000000001</v>
      </c>
      <c r="Z28" s="98">
        <f>'AEO 2023 Table 49 Raw'!AC18</f>
        <v>94.612769999999998</v>
      </c>
      <c r="AA28" s="98">
        <f>'AEO 2023 Table 49 Raw'!AD18</f>
        <v>96.015647999999999</v>
      </c>
      <c r="AB28" s="98">
        <f>'AEO 2023 Table 49 Raw'!AE18</f>
        <v>97.462638999999996</v>
      </c>
      <c r="AC28" s="98">
        <f>'AEO 2023 Table 49 Raw'!AF18</f>
        <v>98.913696000000002</v>
      </c>
      <c r="AD28" s="98">
        <f>'AEO 2023 Table 49 Raw'!AG18</f>
        <v>100.48333</v>
      </c>
      <c r="AE28" s="98">
        <f>'AEO 2023 Table 49 Raw'!AH18</f>
        <v>102.134598</v>
      </c>
      <c r="AF28" s="99">
        <f>'AEO 2023 Table 49 Raw'!AI18</f>
        <v>1.0999999999999999E-2</v>
      </c>
    </row>
    <row r="29" spans="1:32" ht="15" customHeight="1">
      <c r="B29" s="15" t="s">
        <v>754</v>
      </c>
      <c r="C29" s="18"/>
      <c r="D29" s="18"/>
      <c r="E29" s="18"/>
      <c r="F29" s="18"/>
      <c r="G29" s="18"/>
      <c r="H29" s="18"/>
      <c r="I29" s="18"/>
      <c r="J29" s="18"/>
      <c r="K29" s="18"/>
      <c r="L29" s="18"/>
      <c r="M29" s="18"/>
      <c r="N29" s="18"/>
      <c r="O29" s="18"/>
      <c r="P29" s="18"/>
      <c r="Q29" s="18"/>
      <c r="R29" s="18"/>
      <c r="S29" s="18"/>
      <c r="T29" s="18"/>
      <c r="U29" s="18"/>
      <c r="V29" s="18"/>
      <c r="W29" s="18"/>
      <c r="X29" s="18"/>
      <c r="Y29" s="18"/>
      <c r="Z29" s="18"/>
      <c r="AA29" s="18"/>
      <c r="AB29" s="18"/>
      <c r="AC29" s="18"/>
      <c r="AD29" s="18"/>
      <c r="AE29" s="18"/>
      <c r="AF29" s="30"/>
    </row>
    <row r="30" spans="1:32" ht="15" customHeight="1">
      <c r="A30" s="7" t="s">
        <v>755</v>
      </c>
      <c r="B30" s="16" t="s">
        <v>736</v>
      </c>
      <c r="C30" s="18">
        <f>'AEO 2023 Table 49 Raw'!F20</f>
        <v>39.529170999999998</v>
      </c>
      <c r="D30" s="18">
        <f>'AEO 2023 Table 49 Raw'!G20</f>
        <v>38.896900000000002</v>
      </c>
      <c r="E30" s="18">
        <f>'AEO 2023 Table 49 Raw'!H20</f>
        <v>38.484572999999997</v>
      </c>
      <c r="F30" s="18">
        <f>'AEO 2023 Table 49 Raw'!I20</f>
        <v>38.545726999999999</v>
      </c>
      <c r="G30" s="18">
        <f>'AEO 2023 Table 49 Raw'!J20</f>
        <v>38.897826999999999</v>
      </c>
      <c r="H30" s="18">
        <f>'AEO 2023 Table 49 Raw'!K20</f>
        <v>39.222183000000001</v>
      </c>
      <c r="I30" s="18">
        <f>'AEO 2023 Table 49 Raw'!L20</f>
        <v>39.550044999999997</v>
      </c>
      <c r="J30" s="18">
        <f>'AEO 2023 Table 49 Raw'!M20</f>
        <v>39.808833999999997</v>
      </c>
      <c r="K30" s="18">
        <f>'AEO 2023 Table 49 Raw'!N20</f>
        <v>40.095215000000003</v>
      </c>
      <c r="L30" s="18">
        <f>'AEO 2023 Table 49 Raw'!O20</f>
        <v>40.422203000000003</v>
      </c>
      <c r="M30" s="18">
        <f>'AEO 2023 Table 49 Raw'!P20</f>
        <v>40.891948999999997</v>
      </c>
      <c r="N30" s="18">
        <f>'AEO 2023 Table 49 Raw'!Q20</f>
        <v>41.273074999999999</v>
      </c>
      <c r="O30" s="18">
        <f>'AEO 2023 Table 49 Raw'!R20</f>
        <v>41.550567999999998</v>
      </c>
      <c r="P30" s="18">
        <f>'AEO 2023 Table 49 Raw'!S20</f>
        <v>41.873848000000002</v>
      </c>
      <c r="Q30" s="18">
        <f>'AEO 2023 Table 49 Raw'!T20</f>
        <v>42.154518000000003</v>
      </c>
      <c r="R30" s="18">
        <f>'AEO 2023 Table 49 Raw'!U20</f>
        <v>42.573521</v>
      </c>
      <c r="S30" s="18">
        <f>'AEO 2023 Table 49 Raw'!V20</f>
        <v>42.993110999999999</v>
      </c>
      <c r="T30" s="18">
        <f>'AEO 2023 Table 49 Raw'!W20</f>
        <v>43.369812000000003</v>
      </c>
      <c r="U30" s="18">
        <f>'AEO 2023 Table 49 Raw'!X20</f>
        <v>43.790680000000002</v>
      </c>
      <c r="V30" s="18">
        <f>'AEO 2023 Table 49 Raw'!Y20</f>
        <v>44.181046000000002</v>
      </c>
      <c r="W30" s="18">
        <f>'AEO 2023 Table 49 Raw'!Z20</f>
        <v>44.593116999999999</v>
      </c>
      <c r="X30" s="18">
        <f>'AEO 2023 Table 49 Raw'!AA20</f>
        <v>45.021278000000002</v>
      </c>
      <c r="Y30" s="18">
        <f>'AEO 2023 Table 49 Raw'!AB20</f>
        <v>45.446564000000002</v>
      </c>
      <c r="Z30" s="18">
        <f>'AEO 2023 Table 49 Raw'!AC20</f>
        <v>45.846603000000002</v>
      </c>
      <c r="AA30" s="18">
        <f>'AEO 2023 Table 49 Raw'!AD20</f>
        <v>46.256549999999997</v>
      </c>
      <c r="AB30" s="18">
        <f>'AEO 2023 Table 49 Raw'!AE20</f>
        <v>46.662227999999999</v>
      </c>
      <c r="AC30" s="18">
        <f>'AEO 2023 Table 49 Raw'!AF20</f>
        <v>47.063594999999999</v>
      </c>
      <c r="AD30" s="18">
        <f>'AEO 2023 Table 49 Raw'!AG20</f>
        <v>47.558945000000001</v>
      </c>
      <c r="AE30" s="18">
        <f>'AEO 2023 Table 49 Raw'!AH20</f>
        <v>48.111702000000001</v>
      </c>
      <c r="AF30" s="30">
        <f>'AEO 2023 Table 49 Raw'!AI20</f>
        <v>7.0000000000000001E-3</v>
      </c>
    </row>
    <row r="31" spans="1:32" ht="15" customHeight="1">
      <c r="A31" s="7" t="s">
        <v>756</v>
      </c>
      <c r="B31" s="16" t="s">
        <v>738</v>
      </c>
      <c r="C31" s="18">
        <f>'AEO 2023 Table 49 Raw'!F21</f>
        <v>19.491807999999999</v>
      </c>
      <c r="D31" s="18">
        <f>'AEO 2023 Table 49 Raw'!G21</f>
        <v>19.083292</v>
      </c>
      <c r="E31" s="18">
        <f>'AEO 2023 Table 49 Raw'!H21</f>
        <v>18.816191</v>
      </c>
      <c r="F31" s="18">
        <f>'AEO 2023 Table 49 Raw'!I21</f>
        <v>18.716362</v>
      </c>
      <c r="G31" s="18">
        <f>'AEO 2023 Table 49 Raw'!J21</f>
        <v>18.750782000000001</v>
      </c>
      <c r="H31" s="18">
        <f>'AEO 2023 Table 49 Raw'!K21</f>
        <v>18.762295000000002</v>
      </c>
      <c r="I31" s="18">
        <f>'AEO 2023 Table 49 Raw'!L21</f>
        <v>18.792428999999998</v>
      </c>
      <c r="J31" s="18">
        <f>'AEO 2023 Table 49 Raw'!M21</f>
        <v>18.814743</v>
      </c>
      <c r="K31" s="18">
        <f>'AEO 2023 Table 49 Raw'!N21</f>
        <v>18.861035999999999</v>
      </c>
      <c r="L31" s="18">
        <f>'AEO 2023 Table 49 Raw'!O21</f>
        <v>18.929902999999999</v>
      </c>
      <c r="M31" s="18">
        <f>'AEO 2023 Table 49 Raw'!P21</f>
        <v>19.087959000000001</v>
      </c>
      <c r="N31" s="18">
        <f>'AEO 2023 Table 49 Raw'!Q21</f>
        <v>19.209437999999999</v>
      </c>
      <c r="O31" s="18">
        <f>'AEO 2023 Table 49 Raw'!R21</f>
        <v>19.305622</v>
      </c>
      <c r="P31" s="18">
        <f>'AEO 2023 Table 49 Raw'!S21</f>
        <v>19.427961</v>
      </c>
      <c r="Q31" s="18">
        <f>'AEO 2023 Table 49 Raw'!T21</f>
        <v>19.513062999999999</v>
      </c>
      <c r="R31" s="18">
        <f>'AEO 2023 Table 49 Raw'!U21</f>
        <v>19.682444</v>
      </c>
      <c r="S31" s="18">
        <f>'AEO 2023 Table 49 Raw'!V21</f>
        <v>19.808668000000001</v>
      </c>
      <c r="T31" s="18">
        <f>'AEO 2023 Table 49 Raw'!W21</f>
        <v>19.963616999999999</v>
      </c>
      <c r="U31" s="18">
        <f>'AEO 2023 Table 49 Raw'!X21</f>
        <v>20.113333000000001</v>
      </c>
      <c r="V31" s="18">
        <f>'AEO 2023 Table 49 Raw'!Y21</f>
        <v>20.270605</v>
      </c>
      <c r="W31" s="18">
        <f>'AEO 2023 Table 49 Raw'!Z21</f>
        <v>20.453330999999999</v>
      </c>
      <c r="X31" s="18">
        <f>'AEO 2023 Table 49 Raw'!AA21</f>
        <v>20.649372</v>
      </c>
      <c r="Y31" s="18">
        <f>'AEO 2023 Table 49 Raw'!AB21</f>
        <v>20.844239999999999</v>
      </c>
      <c r="Z31" s="18">
        <f>'AEO 2023 Table 49 Raw'!AC21</f>
        <v>21.02281</v>
      </c>
      <c r="AA31" s="18">
        <f>'AEO 2023 Table 49 Raw'!AD21</f>
        <v>21.206516000000001</v>
      </c>
      <c r="AB31" s="18">
        <f>'AEO 2023 Table 49 Raw'!AE21</f>
        <v>21.382107000000001</v>
      </c>
      <c r="AC31" s="18">
        <f>'AEO 2023 Table 49 Raw'!AF21</f>
        <v>21.550604</v>
      </c>
      <c r="AD31" s="18">
        <f>'AEO 2023 Table 49 Raw'!AG21</f>
        <v>21.759744999999999</v>
      </c>
      <c r="AE31" s="18">
        <f>'AEO 2023 Table 49 Raw'!AH21</f>
        <v>21.983118000000001</v>
      </c>
      <c r="AF31" s="30">
        <f>'AEO 2023 Table 49 Raw'!AI21</f>
        <v>4.0000000000000001E-3</v>
      </c>
    </row>
    <row r="32" spans="1:32" ht="15" customHeight="1">
      <c r="A32" s="7" t="s">
        <v>757</v>
      </c>
      <c r="B32" s="16" t="s">
        <v>382</v>
      </c>
      <c r="C32" s="18">
        <f>'AEO 2023 Table 49 Raw'!F22</f>
        <v>3.5415000000000002E-2</v>
      </c>
      <c r="D32" s="18">
        <f>'AEO 2023 Table 49 Raw'!G22</f>
        <v>3.6131999999999997E-2</v>
      </c>
      <c r="E32" s="18">
        <f>'AEO 2023 Table 49 Raw'!H22</f>
        <v>3.6977999999999997E-2</v>
      </c>
      <c r="F32" s="18">
        <f>'AEO 2023 Table 49 Raw'!I22</f>
        <v>3.8226000000000003E-2</v>
      </c>
      <c r="G32" s="18">
        <f>'AEO 2023 Table 49 Raw'!J22</f>
        <v>3.9857999999999998E-2</v>
      </c>
      <c r="H32" s="18">
        <f>'AEO 2023 Table 49 Raw'!K22</f>
        <v>4.1535999999999997E-2</v>
      </c>
      <c r="I32" s="18">
        <f>'AEO 2023 Table 49 Raw'!L22</f>
        <v>4.3343E-2</v>
      </c>
      <c r="J32" s="18">
        <f>'AEO 2023 Table 49 Raw'!M22</f>
        <v>4.5186999999999998E-2</v>
      </c>
      <c r="K32" s="18">
        <f>'AEO 2023 Table 49 Raw'!N22</f>
        <v>4.7301000000000003E-2</v>
      </c>
      <c r="L32" s="18">
        <f>'AEO 2023 Table 49 Raw'!O22</f>
        <v>4.9747E-2</v>
      </c>
      <c r="M32" s="18">
        <f>'AEO 2023 Table 49 Raw'!P22</f>
        <v>5.2754000000000002E-2</v>
      </c>
      <c r="N32" s="18">
        <f>'AEO 2023 Table 49 Raw'!Q22</f>
        <v>5.6218999999999998E-2</v>
      </c>
      <c r="O32" s="18">
        <f>'AEO 2023 Table 49 Raw'!R22</f>
        <v>5.9885000000000001E-2</v>
      </c>
      <c r="P32" s="18">
        <f>'AEO 2023 Table 49 Raw'!S22</f>
        <v>6.3491000000000006E-2</v>
      </c>
      <c r="Q32" s="18">
        <f>'AEO 2023 Table 49 Raw'!T22</f>
        <v>6.7275000000000001E-2</v>
      </c>
      <c r="R32" s="18">
        <f>'AEO 2023 Table 49 Raw'!U22</f>
        <v>7.1670999999999999E-2</v>
      </c>
      <c r="S32" s="18">
        <f>'AEO 2023 Table 49 Raw'!V22</f>
        <v>7.6576000000000005E-2</v>
      </c>
      <c r="T32" s="18">
        <f>'AEO 2023 Table 49 Raw'!W22</f>
        <v>8.1951999999999997E-2</v>
      </c>
      <c r="U32" s="18">
        <f>'AEO 2023 Table 49 Raw'!X22</f>
        <v>8.795E-2</v>
      </c>
      <c r="V32" s="18">
        <f>'AEO 2023 Table 49 Raw'!Y22</f>
        <v>9.4425999999999996E-2</v>
      </c>
      <c r="W32" s="18">
        <f>'AEO 2023 Table 49 Raw'!Z22</f>
        <v>0.10133399999999999</v>
      </c>
      <c r="X32" s="18">
        <f>'AEO 2023 Table 49 Raw'!AA22</f>
        <v>0.108612</v>
      </c>
      <c r="Y32" s="18">
        <f>'AEO 2023 Table 49 Raw'!AB22</f>
        <v>0.116158</v>
      </c>
      <c r="Z32" s="18">
        <f>'AEO 2023 Table 49 Raw'!AC22</f>
        <v>0.12385500000000001</v>
      </c>
      <c r="AA32" s="18">
        <f>'AEO 2023 Table 49 Raw'!AD22</f>
        <v>0.13172</v>
      </c>
      <c r="AB32" s="18">
        <f>'AEO 2023 Table 49 Raw'!AE22</f>
        <v>0.13959199999999999</v>
      </c>
      <c r="AC32" s="18">
        <f>'AEO 2023 Table 49 Raw'!AF22</f>
        <v>0.14738699999999999</v>
      </c>
      <c r="AD32" s="18">
        <f>'AEO 2023 Table 49 Raw'!AG22</f>
        <v>0.15496799999999999</v>
      </c>
      <c r="AE32" s="18">
        <f>'AEO 2023 Table 49 Raw'!AH22</f>
        <v>0.16275000000000001</v>
      </c>
      <c r="AF32" s="30">
        <f>'AEO 2023 Table 49 Raw'!AI22</f>
        <v>5.6000000000000001E-2</v>
      </c>
    </row>
    <row r="33" spans="1:32" ht="15" customHeight="1">
      <c r="A33" s="7" t="s">
        <v>758</v>
      </c>
      <c r="B33" s="16" t="s">
        <v>741</v>
      </c>
      <c r="C33" s="18">
        <f>'AEO 2023 Table 49 Raw'!F23</f>
        <v>4.0755E-2</v>
      </c>
      <c r="D33" s="18">
        <f>'AEO 2023 Table 49 Raw'!G23</f>
        <v>3.8651999999999999E-2</v>
      </c>
      <c r="E33" s="18">
        <f>'AEO 2023 Table 49 Raw'!H23</f>
        <v>3.6609000000000003E-2</v>
      </c>
      <c r="F33" s="18">
        <f>'AEO 2023 Table 49 Raw'!I23</f>
        <v>3.4756000000000002E-2</v>
      </c>
      <c r="G33" s="18">
        <f>'AEO 2023 Table 49 Raw'!J23</f>
        <v>3.2994000000000002E-2</v>
      </c>
      <c r="H33" s="18">
        <f>'AEO 2023 Table 49 Raw'!K23</f>
        <v>3.1092999999999999E-2</v>
      </c>
      <c r="I33" s="18">
        <f>'AEO 2023 Table 49 Raw'!L23</f>
        <v>2.9238E-2</v>
      </c>
      <c r="J33" s="18">
        <f>'AEO 2023 Table 49 Raw'!M23</f>
        <v>2.7328999999999999E-2</v>
      </c>
      <c r="K33" s="18">
        <f>'AEO 2023 Table 49 Raw'!N23</f>
        <v>2.545E-2</v>
      </c>
      <c r="L33" s="18">
        <f>'AEO 2023 Table 49 Raw'!O23</f>
        <v>2.3702999999999998E-2</v>
      </c>
      <c r="M33" s="18">
        <f>'AEO 2023 Table 49 Raw'!P23</f>
        <v>2.213E-2</v>
      </c>
      <c r="N33" s="18">
        <f>'AEO 2023 Table 49 Raw'!Q23</f>
        <v>2.0587000000000001E-2</v>
      </c>
      <c r="O33" s="18">
        <f>'AEO 2023 Table 49 Raw'!R23</f>
        <v>1.907E-2</v>
      </c>
      <c r="P33" s="18">
        <f>'AEO 2023 Table 49 Raw'!S23</f>
        <v>1.7646999999999999E-2</v>
      </c>
      <c r="Q33" s="18">
        <f>'AEO 2023 Table 49 Raw'!T23</f>
        <v>1.6278999999999998E-2</v>
      </c>
      <c r="R33" s="18">
        <f>'AEO 2023 Table 49 Raw'!U23</f>
        <v>1.5096E-2</v>
      </c>
      <c r="S33" s="18">
        <f>'AEO 2023 Table 49 Raw'!V23</f>
        <v>1.4012999999999999E-2</v>
      </c>
      <c r="T33" s="18">
        <f>'AEO 2023 Table 49 Raw'!W23</f>
        <v>1.3047E-2</v>
      </c>
      <c r="U33" s="18">
        <f>'AEO 2023 Table 49 Raw'!X23</f>
        <v>1.2141000000000001E-2</v>
      </c>
      <c r="V33" s="18">
        <f>'AEO 2023 Table 49 Raw'!Y23</f>
        <v>1.1221999999999999E-2</v>
      </c>
      <c r="W33" s="18">
        <f>'AEO 2023 Table 49 Raw'!Z23</f>
        <v>1.0409E-2</v>
      </c>
      <c r="X33" s="18">
        <f>'AEO 2023 Table 49 Raw'!AA23</f>
        <v>9.4929999999999997E-3</v>
      </c>
      <c r="Y33" s="18">
        <f>'AEO 2023 Table 49 Raw'!AB23</f>
        <v>8.5679999999999992E-3</v>
      </c>
      <c r="Z33" s="18">
        <f>'AEO 2023 Table 49 Raw'!AC23</f>
        <v>7.7999999999999996E-3</v>
      </c>
      <c r="AA33" s="18">
        <f>'AEO 2023 Table 49 Raw'!AD23</f>
        <v>7.1529999999999996E-3</v>
      </c>
      <c r="AB33" s="18">
        <f>'AEO 2023 Table 49 Raw'!AE23</f>
        <v>6.5009999999999998E-3</v>
      </c>
      <c r="AC33" s="18">
        <f>'AEO 2023 Table 49 Raw'!AF23</f>
        <v>5.8510000000000003E-3</v>
      </c>
      <c r="AD33" s="18">
        <f>'AEO 2023 Table 49 Raw'!AG23</f>
        <v>5.2680000000000001E-3</v>
      </c>
      <c r="AE33" s="18">
        <f>'AEO 2023 Table 49 Raw'!AH23</f>
        <v>4.7749999999999997E-3</v>
      </c>
      <c r="AF33" s="30">
        <f>'AEO 2023 Table 49 Raw'!AI23</f>
        <v>-7.3999999999999996E-2</v>
      </c>
    </row>
    <row r="34" spans="1:32" ht="15" customHeight="1">
      <c r="A34" s="7" t="s">
        <v>759</v>
      </c>
      <c r="B34" s="16" t="s">
        <v>743</v>
      </c>
      <c r="C34" s="18">
        <f>'AEO 2023 Table 49 Raw'!F24</f>
        <v>0.57358799999999999</v>
      </c>
      <c r="D34" s="18">
        <f>'AEO 2023 Table 49 Raw'!G24</f>
        <v>0.60140700000000002</v>
      </c>
      <c r="E34" s="18">
        <f>'AEO 2023 Table 49 Raw'!H24</f>
        <v>0.63454600000000005</v>
      </c>
      <c r="F34" s="18">
        <f>'AEO 2023 Table 49 Raw'!I24</f>
        <v>0.67766099999999996</v>
      </c>
      <c r="G34" s="18">
        <f>'AEO 2023 Table 49 Raw'!J24</f>
        <v>0.73062700000000003</v>
      </c>
      <c r="H34" s="18">
        <f>'AEO 2023 Table 49 Raw'!K24</f>
        <v>0.79032999999999998</v>
      </c>
      <c r="I34" s="18">
        <f>'AEO 2023 Table 49 Raw'!L24</f>
        <v>0.85507999999999995</v>
      </c>
      <c r="J34" s="18">
        <f>'AEO 2023 Table 49 Raw'!M24</f>
        <v>0.92379500000000003</v>
      </c>
      <c r="K34" s="18">
        <f>'AEO 2023 Table 49 Raw'!N24</f>
        <v>0.99948099999999995</v>
      </c>
      <c r="L34" s="18">
        <f>'AEO 2023 Table 49 Raw'!O24</f>
        <v>1.0843339999999999</v>
      </c>
      <c r="M34" s="18">
        <f>'AEO 2023 Table 49 Raw'!P24</f>
        <v>1.1830499999999999</v>
      </c>
      <c r="N34" s="18">
        <f>'AEO 2023 Table 49 Raw'!Q24</f>
        <v>1.290122</v>
      </c>
      <c r="O34" s="18">
        <f>'AEO 2023 Table 49 Raw'!R24</f>
        <v>1.4036139999999999</v>
      </c>
      <c r="P34" s="18">
        <f>'AEO 2023 Table 49 Raw'!S24</f>
        <v>1.5246489999999999</v>
      </c>
      <c r="Q34" s="18">
        <f>'AEO 2023 Table 49 Raw'!T24</f>
        <v>1.645715</v>
      </c>
      <c r="R34" s="18">
        <f>'AEO 2023 Table 49 Raw'!U24</f>
        <v>1.778392</v>
      </c>
      <c r="S34" s="18">
        <f>'AEO 2023 Table 49 Raw'!V24</f>
        <v>1.914102</v>
      </c>
      <c r="T34" s="18">
        <f>'AEO 2023 Table 49 Raw'!W24</f>
        <v>2.0496180000000002</v>
      </c>
      <c r="U34" s="18">
        <f>'AEO 2023 Table 49 Raw'!X24</f>
        <v>2.1929249999999998</v>
      </c>
      <c r="V34" s="18">
        <f>'AEO 2023 Table 49 Raw'!Y24</f>
        <v>2.3334109999999999</v>
      </c>
      <c r="W34" s="18">
        <f>'AEO 2023 Table 49 Raw'!Z24</f>
        <v>2.4729649999999999</v>
      </c>
      <c r="X34" s="18">
        <f>'AEO 2023 Table 49 Raw'!AA24</f>
        <v>2.6083229999999999</v>
      </c>
      <c r="Y34" s="18">
        <f>'AEO 2023 Table 49 Raw'!AB24</f>
        <v>2.737482</v>
      </c>
      <c r="Z34" s="18">
        <f>'AEO 2023 Table 49 Raw'!AC24</f>
        <v>2.8611119999999999</v>
      </c>
      <c r="AA34" s="18">
        <f>'AEO 2023 Table 49 Raw'!AD24</f>
        <v>2.9812919999999998</v>
      </c>
      <c r="AB34" s="18">
        <f>'AEO 2023 Table 49 Raw'!AE24</f>
        <v>3.0955110000000001</v>
      </c>
      <c r="AC34" s="18">
        <f>'AEO 2023 Table 49 Raw'!AF24</f>
        <v>3.2030799999999999</v>
      </c>
      <c r="AD34" s="18">
        <f>'AEO 2023 Table 49 Raw'!AG24</f>
        <v>3.3133699999999999</v>
      </c>
      <c r="AE34" s="18">
        <f>'AEO 2023 Table 49 Raw'!AH24</f>
        <v>3.4238439999999999</v>
      </c>
      <c r="AF34" s="30">
        <f>'AEO 2023 Table 49 Raw'!AI24</f>
        <v>6.6000000000000003E-2</v>
      </c>
    </row>
    <row r="35" spans="1:32" ht="15" customHeight="1">
      <c r="A35" s="7" t="s">
        <v>760</v>
      </c>
      <c r="B35" s="16" t="s">
        <v>745</v>
      </c>
      <c r="C35" s="18">
        <f>'AEO 2023 Table 49 Raw'!F25</f>
        <v>4.7520000000000001E-3</v>
      </c>
      <c r="D35" s="18">
        <f>'AEO 2023 Table 49 Raw'!G25</f>
        <v>5.4910000000000002E-3</v>
      </c>
      <c r="E35" s="18">
        <f>'AEO 2023 Table 49 Raw'!H25</f>
        <v>6.0499999999999998E-3</v>
      </c>
      <c r="F35" s="18">
        <f>'AEO 2023 Table 49 Raw'!I25</f>
        <v>6.5360000000000001E-3</v>
      </c>
      <c r="G35" s="18">
        <f>'AEO 2023 Table 49 Raw'!J25</f>
        <v>6.9290000000000003E-3</v>
      </c>
      <c r="H35" s="18">
        <f>'AEO 2023 Table 49 Raw'!K25</f>
        <v>7.182E-3</v>
      </c>
      <c r="I35" s="18">
        <f>'AEO 2023 Table 49 Raw'!L25</f>
        <v>7.3159999999999996E-3</v>
      </c>
      <c r="J35" s="18">
        <f>'AEO 2023 Table 49 Raw'!M25</f>
        <v>7.345E-3</v>
      </c>
      <c r="K35" s="18">
        <f>'AEO 2023 Table 49 Raw'!N25</f>
        <v>7.3070000000000001E-3</v>
      </c>
      <c r="L35" s="18">
        <f>'AEO 2023 Table 49 Raw'!O25</f>
        <v>7.2189999999999997E-3</v>
      </c>
      <c r="M35" s="18">
        <f>'AEO 2023 Table 49 Raw'!P25</f>
        <v>7.1009999999999997E-3</v>
      </c>
      <c r="N35" s="18">
        <f>'AEO 2023 Table 49 Raw'!Q25</f>
        <v>6.9329999999999999E-3</v>
      </c>
      <c r="O35" s="18">
        <f>'AEO 2023 Table 49 Raw'!R25</f>
        <v>6.718E-3</v>
      </c>
      <c r="P35" s="18">
        <f>'AEO 2023 Table 49 Raw'!S25</f>
        <v>6.5050000000000004E-3</v>
      </c>
      <c r="Q35" s="18">
        <f>'AEO 2023 Table 49 Raw'!T25</f>
        <v>6.2319999999999997E-3</v>
      </c>
      <c r="R35" s="18">
        <f>'AEO 2023 Table 49 Raw'!U25</f>
        <v>5.9480000000000002E-3</v>
      </c>
      <c r="S35" s="18">
        <f>'AEO 2023 Table 49 Raw'!V25</f>
        <v>5.7070000000000003E-3</v>
      </c>
      <c r="T35" s="18">
        <f>'AEO 2023 Table 49 Raw'!W25</f>
        <v>5.4489999999999999E-3</v>
      </c>
      <c r="U35" s="18">
        <f>'AEO 2023 Table 49 Raw'!X25</f>
        <v>5.1570000000000001E-3</v>
      </c>
      <c r="V35" s="18">
        <f>'AEO 2023 Table 49 Raw'!Y25</f>
        <v>4.8700000000000002E-3</v>
      </c>
      <c r="W35" s="18">
        <f>'AEO 2023 Table 49 Raw'!Z25</f>
        <v>4.6059999999999999E-3</v>
      </c>
      <c r="X35" s="18">
        <f>'AEO 2023 Table 49 Raw'!AA25</f>
        <v>4.3509999999999998E-3</v>
      </c>
      <c r="Y35" s="18">
        <f>'AEO 2023 Table 49 Raw'!AB25</f>
        <v>4.1050000000000001E-3</v>
      </c>
      <c r="Z35" s="18">
        <f>'AEO 2023 Table 49 Raw'!AC25</f>
        <v>3.8700000000000002E-3</v>
      </c>
      <c r="AA35" s="18">
        <f>'AEO 2023 Table 49 Raw'!AD25</f>
        <v>3.6519999999999999E-3</v>
      </c>
      <c r="AB35" s="18">
        <f>'AEO 2023 Table 49 Raw'!AE25</f>
        <v>3.4450000000000001E-3</v>
      </c>
      <c r="AC35" s="18">
        <f>'AEO 2023 Table 49 Raw'!AF25</f>
        <v>3.248E-3</v>
      </c>
      <c r="AD35" s="18">
        <f>'AEO 2023 Table 49 Raw'!AG25</f>
        <v>3.0590000000000001E-3</v>
      </c>
      <c r="AE35" s="18">
        <f>'AEO 2023 Table 49 Raw'!AH25</f>
        <v>2.885E-3</v>
      </c>
      <c r="AF35" s="30">
        <f>'AEO 2023 Table 49 Raw'!AI25</f>
        <v>-1.7999999999999999E-2</v>
      </c>
    </row>
    <row r="36" spans="1:32" ht="15" customHeight="1">
      <c r="A36" s="7" t="s">
        <v>761</v>
      </c>
      <c r="B36" s="16" t="s">
        <v>747</v>
      </c>
      <c r="C36" s="18">
        <f>'AEO 2023 Table 49 Raw'!F26</f>
        <v>0</v>
      </c>
      <c r="D36" s="18">
        <f>'AEO 2023 Table 49 Raw'!G26</f>
        <v>0</v>
      </c>
      <c r="E36" s="18">
        <f>'AEO 2023 Table 49 Raw'!H26</f>
        <v>4.0569999999999998E-3</v>
      </c>
      <c r="F36" s="18">
        <f>'AEO 2023 Table 49 Raw'!I26</f>
        <v>8.1670000000000006E-3</v>
      </c>
      <c r="G36" s="18">
        <f>'AEO 2023 Table 49 Raw'!J26</f>
        <v>1.2279999999999999E-2</v>
      </c>
      <c r="H36" s="18">
        <f>'AEO 2023 Table 49 Raw'!K26</f>
        <v>1.6237999999999999E-2</v>
      </c>
      <c r="I36" s="18">
        <f>'AEO 2023 Table 49 Raw'!L26</f>
        <v>2.0057999999999999E-2</v>
      </c>
      <c r="J36" s="18">
        <f>'AEO 2023 Table 49 Raw'!M26</f>
        <v>2.3657999999999998E-2</v>
      </c>
      <c r="K36" s="18">
        <f>'AEO 2023 Table 49 Raw'!N26</f>
        <v>2.7074000000000001E-2</v>
      </c>
      <c r="L36" s="18">
        <f>'AEO 2023 Table 49 Raw'!O26</f>
        <v>3.0387999999999998E-2</v>
      </c>
      <c r="M36" s="18">
        <f>'AEO 2023 Table 49 Raw'!P26</f>
        <v>3.3786999999999998E-2</v>
      </c>
      <c r="N36" s="18">
        <f>'AEO 2023 Table 49 Raw'!Q26</f>
        <v>3.7179999999999998E-2</v>
      </c>
      <c r="O36" s="18">
        <f>'AEO 2023 Table 49 Raw'!R26</f>
        <v>4.0497999999999999E-2</v>
      </c>
      <c r="P36" s="18">
        <f>'AEO 2023 Table 49 Raw'!S26</f>
        <v>4.3855999999999999E-2</v>
      </c>
      <c r="Q36" s="18">
        <f>'AEO 2023 Table 49 Raw'!T26</f>
        <v>4.7225999999999997E-2</v>
      </c>
      <c r="R36" s="18">
        <f>'AEO 2023 Table 49 Raw'!U26</f>
        <v>5.0868999999999998E-2</v>
      </c>
      <c r="S36" s="18">
        <f>'AEO 2023 Table 49 Raw'!V26</f>
        <v>5.4696000000000002E-2</v>
      </c>
      <c r="T36" s="18">
        <f>'AEO 2023 Table 49 Raw'!W26</f>
        <v>5.8694000000000003E-2</v>
      </c>
      <c r="U36" s="18">
        <f>'AEO 2023 Table 49 Raw'!X26</f>
        <v>6.3043000000000002E-2</v>
      </c>
      <c r="V36" s="18">
        <f>'AEO 2023 Table 49 Raw'!Y26</f>
        <v>6.7706000000000002E-2</v>
      </c>
      <c r="W36" s="18">
        <f>'AEO 2023 Table 49 Raw'!Z26</f>
        <v>7.2775999999999993E-2</v>
      </c>
      <c r="X36" s="18">
        <f>'AEO 2023 Table 49 Raw'!AA26</f>
        <v>7.8029000000000001E-2</v>
      </c>
      <c r="Y36" s="18">
        <f>'AEO 2023 Table 49 Raw'!AB26</f>
        <v>8.3586999999999995E-2</v>
      </c>
      <c r="Z36" s="18">
        <f>'AEO 2023 Table 49 Raw'!AC26</f>
        <v>8.9401999999999995E-2</v>
      </c>
      <c r="AA36" s="18">
        <f>'AEO 2023 Table 49 Raw'!AD26</f>
        <v>9.5547000000000007E-2</v>
      </c>
      <c r="AB36" s="18">
        <f>'AEO 2023 Table 49 Raw'!AE26</f>
        <v>0.10193000000000001</v>
      </c>
      <c r="AC36" s="18">
        <f>'AEO 2023 Table 49 Raw'!AF26</f>
        <v>0.108524</v>
      </c>
      <c r="AD36" s="18">
        <f>'AEO 2023 Table 49 Raw'!AG26</f>
        <v>0.11551</v>
      </c>
      <c r="AE36" s="18">
        <f>'AEO 2023 Table 49 Raw'!AH26</f>
        <v>0.122839</v>
      </c>
      <c r="AF36" s="30" t="str">
        <f>'AEO 2023 Table 49 Raw'!AI26</f>
        <v>- -</v>
      </c>
    </row>
    <row r="37" spans="1:32" ht="15" customHeight="1">
      <c r="A37" s="7" t="s">
        <v>762</v>
      </c>
      <c r="B37" s="16" t="s">
        <v>749</v>
      </c>
      <c r="C37" s="18">
        <f>'AEO 2023 Table 49 Raw'!F27</f>
        <v>0</v>
      </c>
      <c r="D37" s="18">
        <f>'AEO 2023 Table 49 Raw'!G27</f>
        <v>0</v>
      </c>
      <c r="E37" s="18">
        <f>'AEO 2023 Table 49 Raw'!H27</f>
        <v>4.0610000000000004E-3</v>
      </c>
      <c r="F37" s="18">
        <f>'AEO 2023 Table 49 Raw'!I27</f>
        <v>8.0339999999999995E-3</v>
      </c>
      <c r="G37" s="18">
        <f>'AEO 2023 Table 49 Raw'!J27</f>
        <v>1.1905000000000001E-2</v>
      </c>
      <c r="H37" s="18">
        <f>'AEO 2023 Table 49 Raw'!K27</f>
        <v>1.5573E-2</v>
      </c>
      <c r="I37" s="18">
        <f>'AEO 2023 Table 49 Raw'!L27</f>
        <v>1.9036999999999998E-2</v>
      </c>
      <c r="J37" s="18">
        <f>'AEO 2023 Table 49 Raw'!M27</f>
        <v>2.2249999999999999E-2</v>
      </c>
      <c r="K37" s="18">
        <f>'AEO 2023 Table 49 Raw'!N27</f>
        <v>2.5312000000000001E-2</v>
      </c>
      <c r="L37" s="18">
        <f>'AEO 2023 Table 49 Raw'!O27</f>
        <v>2.836E-2</v>
      </c>
      <c r="M37" s="18">
        <f>'AEO 2023 Table 49 Raw'!P27</f>
        <v>3.1593999999999997E-2</v>
      </c>
      <c r="N37" s="18">
        <f>'AEO 2023 Table 49 Raw'!Q27</f>
        <v>3.4971000000000002E-2</v>
      </c>
      <c r="O37" s="18">
        <f>'AEO 2023 Table 49 Raw'!R27</f>
        <v>3.8427000000000003E-2</v>
      </c>
      <c r="P37" s="18">
        <f>'AEO 2023 Table 49 Raw'!S27</f>
        <v>4.2057999999999998E-2</v>
      </c>
      <c r="Q37" s="18">
        <f>'AEO 2023 Table 49 Raw'!T27</f>
        <v>4.589E-2</v>
      </c>
      <c r="R37" s="18">
        <f>'AEO 2023 Table 49 Raw'!U27</f>
        <v>5.0213000000000001E-2</v>
      </c>
      <c r="S37" s="18">
        <f>'AEO 2023 Table 49 Raw'!V27</f>
        <v>5.4961999999999997E-2</v>
      </c>
      <c r="T37" s="18">
        <f>'AEO 2023 Table 49 Raw'!W27</f>
        <v>6.0159999999999998E-2</v>
      </c>
      <c r="U37" s="18">
        <f>'AEO 2023 Table 49 Raw'!X27</f>
        <v>6.6020999999999996E-2</v>
      </c>
      <c r="V37" s="18">
        <f>'AEO 2023 Table 49 Raw'!Y27</f>
        <v>7.2526999999999994E-2</v>
      </c>
      <c r="W37" s="18">
        <f>'AEO 2023 Table 49 Raw'!Z27</f>
        <v>7.9758999999999997E-2</v>
      </c>
      <c r="X37" s="18">
        <f>'AEO 2023 Table 49 Raw'!AA27</f>
        <v>8.7495000000000003E-2</v>
      </c>
      <c r="Y37" s="18">
        <f>'AEO 2023 Table 49 Raw'!AB27</f>
        <v>9.5846000000000001E-2</v>
      </c>
      <c r="Z37" s="18">
        <f>'AEO 2023 Table 49 Raw'!AC27</f>
        <v>0.10474799999999999</v>
      </c>
      <c r="AA37" s="18">
        <f>'AEO 2023 Table 49 Raw'!AD27</f>
        <v>0.114255</v>
      </c>
      <c r="AB37" s="18">
        <f>'AEO 2023 Table 49 Raw'!AE27</f>
        <v>0.124223</v>
      </c>
      <c r="AC37" s="18">
        <f>'AEO 2023 Table 49 Raw'!AF27</f>
        <v>0.13459199999999999</v>
      </c>
      <c r="AD37" s="18">
        <f>'AEO 2023 Table 49 Raw'!AG27</f>
        <v>0.14565800000000001</v>
      </c>
      <c r="AE37" s="18">
        <f>'AEO 2023 Table 49 Raw'!AH27</f>
        <v>0.15723400000000001</v>
      </c>
      <c r="AF37" s="30" t="str">
        <f>'AEO 2023 Table 49 Raw'!AI27</f>
        <v>- -</v>
      </c>
    </row>
    <row r="38" spans="1:32" ht="15" customHeight="1">
      <c r="A38" s="7" t="s">
        <v>763</v>
      </c>
      <c r="B38" s="16" t="s">
        <v>751</v>
      </c>
      <c r="C38" s="18">
        <f>'AEO 2023 Table 49 Raw'!F28</f>
        <v>0</v>
      </c>
      <c r="D38" s="18">
        <f>'AEO 2023 Table 49 Raw'!G28</f>
        <v>0</v>
      </c>
      <c r="E38" s="18">
        <f>'AEO 2023 Table 49 Raw'!H28</f>
        <v>6.7840000000000001E-3</v>
      </c>
      <c r="F38" s="18">
        <f>'AEO 2023 Table 49 Raw'!I28</f>
        <v>1.3694E-2</v>
      </c>
      <c r="G38" s="18">
        <f>'AEO 2023 Table 49 Raw'!J28</f>
        <v>2.0728E-2</v>
      </c>
      <c r="H38" s="18">
        <f>'AEO 2023 Table 49 Raw'!K28</f>
        <v>2.7577000000000001E-2</v>
      </c>
      <c r="I38" s="18">
        <f>'AEO 2023 Table 49 Raw'!L28</f>
        <v>3.4187000000000002E-2</v>
      </c>
      <c r="J38" s="18">
        <f>'AEO 2023 Table 49 Raw'!M28</f>
        <v>4.0457E-2</v>
      </c>
      <c r="K38" s="18">
        <f>'AEO 2023 Table 49 Raw'!N28</f>
        <v>4.6433000000000002E-2</v>
      </c>
      <c r="L38" s="18">
        <f>'AEO 2023 Table 49 Raw'!O28</f>
        <v>5.2238E-2</v>
      </c>
      <c r="M38" s="18">
        <f>'AEO 2023 Table 49 Raw'!P28</f>
        <v>5.8138000000000002E-2</v>
      </c>
      <c r="N38" s="18">
        <f>'AEO 2023 Table 49 Raw'!Q28</f>
        <v>6.3926999999999998E-2</v>
      </c>
      <c r="O38" s="18">
        <f>'AEO 2023 Table 49 Raw'!R28</f>
        <v>6.9538000000000003E-2</v>
      </c>
      <c r="P38" s="18">
        <f>'AEO 2023 Table 49 Raw'!S28</f>
        <v>7.5242000000000003E-2</v>
      </c>
      <c r="Q38" s="18">
        <f>'AEO 2023 Table 49 Raw'!T28</f>
        <v>8.0976000000000006E-2</v>
      </c>
      <c r="R38" s="18">
        <f>'AEO 2023 Table 49 Raw'!U28</f>
        <v>8.7225999999999998E-2</v>
      </c>
      <c r="S38" s="18">
        <f>'AEO 2023 Table 49 Raw'!V28</f>
        <v>9.3895999999999993E-2</v>
      </c>
      <c r="T38" s="18">
        <f>'AEO 2023 Table 49 Raw'!W28</f>
        <v>0.10097399999999999</v>
      </c>
      <c r="U38" s="18">
        <f>'AEO 2023 Table 49 Raw'!X28</f>
        <v>0.10878699999999999</v>
      </c>
      <c r="V38" s="18">
        <f>'AEO 2023 Table 49 Raw'!Y28</f>
        <v>0.11728</v>
      </c>
      <c r="W38" s="18">
        <f>'AEO 2023 Table 49 Raw'!Z28</f>
        <v>0.12661900000000001</v>
      </c>
      <c r="X38" s="18">
        <f>'AEO 2023 Table 49 Raw'!AA28</f>
        <v>0.136432</v>
      </c>
      <c r="Y38" s="18">
        <f>'AEO 2023 Table 49 Raw'!AB28</f>
        <v>0.14691299999999999</v>
      </c>
      <c r="Z38" s="18">
        <f>'AEO 2023 Table 49 Raw'!AC28</f>
        <v>0.15795899999999999</v>
      </c>
      <c r="AA38" s="18">
        <f>'AEO 2023 Table 49 Raw'!AD28</f>
        <v>0.16969300000000001</v>
      </c>
      <c r="AB38" s="18">
        <f>'AEO 2023 Table 49 Raw'!AE28</f>
        <v>0.18194399999999999</v>
      </c>
      <c r="AC38" s="18">
        <f>'AEO 2023 Table 49 Raw'!AF28</f>
        <v>0.19465099999999999</v>
      </c>
      <c r="AD38" s="18">
        <f>'AEO 2023 Table 49 Raw'!AG28</f>
        <v>0.20824400000000001</v>
      </c>
      <c r="AE38" s="18">
        <f>'AEO 2023 Table 49 Raw'!AH28</f>
        <v>0.222495</v>
      </c>
      <c r="AF38" s="30" t="str">
        <f>'AEO 2023 Table 49 Raw'!AI28</f>
        <v>- -</v>
      </c>
    </row>
    <row r="39" spans="1:32" s="94" customFormat="1" ht="12" customHeight="1">
      <c r="A39" s="96" t="s">
        <v>764</v>
      </c>
      <c r="B39" s="97" t="s">
        <v>765</v>
      </c>
      <c r="C39" s="98">
        <f>'AEO 2023 Table 49 Raw'!F29</f>
        <v>59.675491000000001</v>
      </c>
      <c r="D39" s="98">
        <f>'AEO 2023 Table 49 Raw'!G29</f>
        <v>58.661780999999998</v>
      </c>
      <c r="E39" s="98">
        <f>'AEO 2023 Table 49 Raw'!H29</f>
        <v>58.029797000000002</v>
      </c>
      <c r="F39" s="98">
        <f>'AEO 2023 Table 49 Raw'!I29</f>
        <v>58.049156000000004</v>
      </c>
      <c r="G39" s="98">
        <f>'AEO 2023 Table 49 Raw'!J29</f>
        <v>58.503886999999999</v>
      </c>
      <c r="H39" s="98">
        <f>'AEO 2023 Table 49 Raw'!K29</f>
        <v>58.913939999999997</v>
      </c>
      <c r="I39" s="98">
        <f>'AEO 2023 Table 49 Raw'!L29</f>
        <v>59.350769</v>
      </c>
      <c r="J39" s="98">
        <f>'AEO 2023 Table 49 Raw'!M29</f>
        <v>59.713520000000003</v>
      </c>
      <c r="K39" s="98">
        <f>'AEO 2023 Table 49 Raw'!N29</f>
        <v>60.134556000000003</v>
      </c>
      <c r="L39" s="98">
        <f>'AEO 2023 Table 49 Raw'!O29</f>
        <v>60.628036000000002</v>
      </c>
      <c r="M39" s="98">
        <f>'AEO 2023 Table 49 Raw'!P29</f>
        <v>61.368358999999998</v>
      </c>
      <c r="N39" s="98">
        <f>'AEO 2023 Table 49 Raw'!Q29</f>
        <v>61.992427999999997</v>
      </c>
      <c r="O39" s="98">
        <f>'AEO 2023 Table 49 Raw'!R29</f>
        <v>62.493834999999997</v>
      </c>
      <c r="P39" s="98">
        <f>'AEO 2023 Table 49 Raw'!S29</f>
        <v>63.075363000000003</v>
      </c>
      <c r="Q39" s="98">
        <f>'AEO 2023 Table 49 Raw'!T29</f>
        <v>63.577190000000002</v>
      </c>
      <c r="R39" s="98">
        <f>'AEO 2023 Table 49 Raw'!U29</f>
        <v>64.315276999999995</v>
      </c>
      <c r="S39" s="98">
        <f>'AEO 2023 Table 49 Raw'!V29</f>
        <v>65.015548999999993</v>
      </c>
      <c r="T39" s="98">
        <f>'AEO 2023 Table 49 Raw'!W29</f>
        <v>65.703140000000005</v>
      </c>
      <c r="U39" s="98">
        <f>'AEO 2023 Table 49 Raw'!X29</f>
        <v>66.439789000000005</v>
      </c>
      <c r="V39" s="98">
        <f>'AEO 2023 Table 49 Raw'!Y29</f>
        <v>67.153098999999997</v>
      </c>
      <c r="W39" s="98">
        <f>'AEO 2023 Table 49 Raw'!Z29</f>
        <v>67.914848000000006</v>
      </c>
      <c r="X39" s="98">
        <f>'AEO 2023 Table 49 Raw'!AA29</f>
        <v>68.703293000000002</v>
      </c>
      <c r="Y39" s="98">
        <f>'AEO 2023 Table 49 Raw'!AB29</f>
        <v>69.483185000000006</v>
      </c>
      <c r="Z39" s="98">
        <f>'AEO 2023 Table 49 Raw'!AC29</f>
        <v>70.217613</v>
      </c>
      <c r="AA39" s="98">
        <f>'AEO 2023 Table 49 Raw'!AD29</f>
        <v>70.96611</v>
      </c>
      <c r="AB39" s="98">
        <f>'AEO 2023 Table 49 Raw'!AE29</f>
        <v>71.697151000000005</v>
      </c>
      <c r="AC39" s="98">
        <f>'AEO 2023 Table 49 Raw'!AF29</f>
        <v>72.411263000000005</v>
      </c>
      <c r="AD39" s="98">
        <f>'AEO 2023 Table 49 Raw'!AG29</f>
        <v>73.264426999999998</v>
      </c>
      <c r="AE39" s="98">
        <f>'AEO 2023 Table 49 Raw'!AH29</f>
        <v>74.191055000000006</v>
      </c>
      <c r="AF39" s="99">
        <f>'AEO 2023 Table 49 Raw'!AI29</f>
        <v>8.0000000000000002E-3</v>
      </c>
    </row>
    <row r="40" spans="1:32" ht="12" customHeight="1">
      <c r="B40" s="15" t="s">
        <v>766</v>
      </c>
      <c r="C40" s="18"/>
      <c r="D40" s="18"/>
      <c r="E40" s="18"/>
      <c r="F40" s="18"/>
      <c r="G40" s="18"/>
      <c r="H40" s="18"/>
      <c r="I40" s="18"/>
      <c r="J40" s="18"/>
      <c r="K40" s="18"/>
      <c r="L40" s="18"/>
      <c r="M40" s="18"/>
      <c r="N40" s="18"/>
      <c r="O40" s="18"/>
      <c r="P40" s="18"/>
      <c r="Q40" s="18"/>
      <c r="R40" s="18"/>
      <c r="S40" s="18"/>
      <c r="T40" s="18"/>
      <c r="U40" s="18"/>
      <c r="V40" s="18"/>
      <c r="W40" s="18"/>
      <c r="X40" s="18"/>
      <c r="Y40" s="18"/>
      <c r="Z40" s="18"/>
      <c r="AA40" s="18"/>
      <c r="AB40" s="18"/>
      <c r="AC40" s="18"/>
      <c r="AD40" s="18"/>
      <c r="AE40" s="18"/>
      <c r="AF40" s="30"/>
    </row>
    <row r="41" spans="1:32" ht="12" customHeight="1">
      <c r="A41" s="7" t="s">
        <v>767</v>
      </c>
      <c r="B41" s="16" t="s">
        <v>736</v>
      </c>
      <c r="C41" s="18">
        <f>'AEO 2023 Table 49 Raw'!F31</f>
        <v>184.60037199999999</v>
      </c>
      <c r="D41" s="18">
        <f>'AEO 2023 Table 49 Raw'!G31</f>
        <v>181.659302</v>
      </c>
      <c r="E41" s="18">
        <f>'AEO 2023 Table 49 Raw'!H31</f>
        <v>179.33776900000001</v>
      </c>
      <c r="F41" s="18">
        <f>'AEO 2023 Table 49 Raw'!I31</f>
        <v>179.120193</v>
      </c>
      <c r="G41" s="18">
        <f>'AEO 2023 Table 49 Raw'!J31</f>
        <v>180.21894800000001</v>
      </c>
      <c r="H41" s="18">
        <f>'AEO 2023 Table 49 Raw'!K31</f>
        <v>181.00943000000001</v>
      </c>
      <c r="I41" s="18">
        <f>'AEO 2023 Table 49 Raw'!L31</f>
        <v>181.60069300000001</v>
      </c>
      <c r="J41" s="18">
        <f>'AEO 2023 Table 49 Raw'!M31</f>
        <v>181.741882</v>
      </c>
      <c r="K41" s="18">
        <f>'AEO 2023 Table 49 Raw'!N31</f>
        <v>181.81384299999999</v>
      </c>
      <c r="L41" s="18">
        <f>'AEO 2023 Table 49 Raw'!O31</f>
        <v>181.88819899999999</v>
      </c>
      <c r="M41" s="18">
        <f>'AEO 2023 Table 49 Raw'!P31</f>
        <v>182.31565900000001</v>
      </c>
      <c r="N41" s="18">
        <f>'AEO 2023 Table 49 Raw'!Q31</f>
        <v>182.31204199999999</v>
      </c>
      <c r="O41" s="18">
        <f>'AEO 2023 Table 49 Raw'!R31</f>
        <v>181.79646299999999</v>
      </c>
      <c r="P41" s="18">
        <f>'AEO 2023 Table 49 Raw'!S31</f>
        <v>181.348389</v>
      </c>
      <c r="Q41" s="18">
        <f>'AEO 2023 Table 49 Raw'!T31</f>
        <v>180.57669100000001</v>
      </c>
      <c r="R41" s="18">
        <f>'AEO 2023 Table 49 Raw'!U31</f>
        <v>180.37922699999999</v>
      </c>
      <c r="S41" s="18">
        <f>'AEO 2023 Table 49 Raw'!V31</f>
        <v>180.30328399999999</v>
      </c>
      <c r="T41" s="18">
        <f>'AEO 2023 Table 49 Raw'!W31</f>
        <v>180.01679999999999</v>
      </c>
      <c r="U41" s="18">
        <f>'AEO 2023 Table 49 Raw'!X31</f>
        <v>179.91267400000001</v>
      </c>
      <c r="V41" s="18">
        <f>'AEO 2023 Table 49 Raw'!Y31</f>
        <v>179.668015</v>
      </c>
      <c r="W41" s="18">
        <f>'AEO 2023 Table 49 Raw'!Z31</f>
        <v>179.53393600000001</v>
      </c>
      <c r="X41" s="18">
        <f>'AEO 2023 Table 49 Raw'!AA31</f>
        <v>179.28070099999999</v>
      </c>
      <c r="Y41" s="18">
        <f>'AEO 2023 Table 49 Raw'!AB31</f>
        <v>178.90154999999999</v>
      </c>
      <c r="Z41" s="18">
        <f>'AEO 2023 Table 49 Raw'!AC31</f>
        <v>178.38395700000001</v>
      </c>
      <c r="AA41" s="18">
        <f>'AEO 2023 Table 49 Raw'!AD31</f>
        <v>177.84689299999999</v>
      </c>
      <c r="AB41" s="18">
        <f>'AEO 2023 Table 49 Raw'!AE31</f>
        <v>177.18598900000001</v>
      </c>
      <c r="AC41" s="18">
        <f>'AEO 2023 Table 49 Raw'!AF31</f>
        <v>176.449005</v>
      </c>
      <c r="AD41" s="18">
        <f>'AEO 2023 Table 49 Raw'!AG31</f>
        <v>176.03950499999999</v>
      </c>
      <c r="AE41" s="18">
        <f>'AEO 2023 Table 49 Raw'!AH31</f>
        <v>175.83848599999999</v>
      </c>
      <c r="AF41" s="30">
        <f>'AEO 2023 Table 49 Raw'!AI31</f>
        <v>-2E-3</v>
      </c>
    </row>
    <row r="42" spans="1:32" ht="12" customHeight="1">
      <c r="A42" s="7" t="s">
        <v>768</v>
      </c>
      <c r="B42" s="16" t="s">
        <v>738</v>
      </c>
      <c r="C42" s="18">
        <f>'AEO 2023 Table 49 Raw'!F32</f>
        <v>0.17738300000000001</v>
      </c>
      <c r="D42" s="18">
        <f>'AEO 2023 Table 49 Raw'!G32</f>
        <v>0.17443600000000001</v>
      </c>
      <c r="E42" s="18">
        <f>'AEO 2023 Table 49 Raw'!H32</f>
        <v>0.17478399999999999</v>
      </c>
      <c r="F42" s="18">
        <f>'AEO 2023 Table 49 Raw'!I32</f>
        <v>0.17882700000000001</v>
      </c>
      <c r="G42" s="18">
        <f>'AEO 2023 Table 49 Raw'!J32</f>
        <v>0.18665300000000001</v>
      </c>
      <c r="H42" s="18">
        <f>'AEO 2023 Table 49 Raw'!K32</f>
        <v>0.19601199999999999</v>
      </c>
      <c r="I42" s="18">
        <f>'AEO 2023 Table 49 Raw'!L32</f>
        <v>0.20597799999999999</v>
      </c>
      <c r="J42" s="18">
        <f>'AEO 2023 Table 49 Raw'!M32</f>
        <v>0.21579200000000001</v>
      </c>
      <c r="K42" s="18">
        <f>'AEO 2023 Table 49 Raw'!N32</f>
        <v>0.226576</v>
      </c>
      <c r="L42" s="18">
        <f>'AEO 2023 Table 49 Raw'!O32</f>
        <v>0.237146</v>
      </c>
      <c r="M42" s="18">
        <f>'AEO 2023 Table 49 Raw'!P32</f>
        <v>0.247638</v>
      </c>
      <c r="N42" s="18">
        <f>'AEO 2023 Table 49 Raw'!Q32</f>
        <v>0.25715700000000002</v>
      </c>
      <c r="O42" s="18">
        <f>'AEO 2023 Table 49 Raw'!R32</f>
        <v>0.26541300000000001</v>
      </c>
      <c r="P42" s="18">
        <f>'AEO 2023 Table 49 Raw'!S32</f>
        <v>0.27308100000000002</v>
      </c>
      <c r="Q42" s="18">
        <f>'AEO 2023 Table 49 Raw'!T32</f>
        <v>0.27896799999999999</v>
      </c>
      <c r="R42" s="18">
        <f>'AEO 2023 Table 49 Raw'!U32</f>
        <v>0.284694</v>
      </c>
      <c r="S42" s="18">
        <f>'AEO 2023 Table 49 Raw'!V32</f>
        <v>0.28928999999999999</v>
      </c>
      <c r="T42" s="18">
        <f>'AEO 2023 Table 49 Raw'!W32</f>
        <v>0.29280400000000001</v>
      </c>
      <c r="U42" s="18">
        <f>'AEO 2023 Table 49 Raw'!X32</f>
        <v>0.296269</v>
      </c>
      <c r="V42" s="18">
        <f>'AEO 2023 Table 49 Raw'!Y32</f>
        <v>0.29911900000000002</v>
      </c>
      <c r="W42" s="18">
        <f>'AEO 2023 Table 49 Raw'!Z32</f>
        <v>0.30070000000000002</v>
      </c>
      <c r="X42" s="18">
        <f>'AEO 2023 Table 49 Raw'!AA32</f>
        <v>0.30173499999999998</v>
      </c>
      <c r="Y42" s="18">
        <f>'AEO 2023 Table 49 Raw'!AB32</f>
        <v>0.30324099999999998</v>
      </c>
      <c r="Z42" s="18">
        <f>'AEO 2023 Table 49 Raw'!AC32</f>
        <v>0.30465999999999999</v>
      </c>
      <c r="AA42" s="18">
        <f>'AEO 2023 Table 49 Raw'!AD32</f>
        <v>0.30624899999999999</v>
      </c>
      <c r="AB42" s="18">
        <f>'AEO 2023 Table 49 Raw'!AE32</f>
        <v>0.30773899999999998</v>
      </c>
      <c r="AC42" s="18">
        <f>'AEO 2023 Table 49 Raw'!AF32</f>
        <v>0.309114</v>
      </c>
      <c r="AD42" s="18">
        <f>'AEO 2023 Table 49 Raw'!AG32</f>
        <v>0.310919</v>
      </c>
      <c r="AE42" s="18">
        <f>'AEO 2023 Table 49 Raw'!AH32</f>
        <v>0.31297900000000001</v>
      </c>
      <c r="AF42" s="30">
        <f>'AEO 2023 Table 49 Raw'!AI32</f>
        <v>0.02</v>
      </c>
    </row>
    <row r="43" spans="1:32" ht="12" customHeight="1">
      <c r="A43" s="7" t="s">
        <v>769</v>
      </c>
      <c r="B43" s="16" t="s">
        <v>382</v>
      </c>
      <c r="C43" s="18">
        <f>'AEO 2023 Table 49 Raw'!F33</f>
        <v>2.7491999999999999E-2</v>
      </c>
      <c r="D43" s="18">
        <f>'AEO 2023 Table 49 Raw'!G33</f>
        <v>2.9336000000000001E-2</v>
      </c>
      <c r="E43" s="18">
        <f>'AEO 2023 Table 49 Raw'!H33</f>
        <v>3.1071000000000001E-2</v>
      </c>
      <c r="F43" s="18">
        <f>'AEO 2023 Table 49 Raw'!I33</f>
        <v>3.2966000000000002E-2</v>
      </c>
      <c r="G43" s="18">
        <f>'AEO 2023 Table 49 Raw'!J33</f>
        <v>3.4987999999999998E-2</v>
      </c>
      <c r="H43" s="18">
        <f>'AEO 2023 Table 49 Raw'!K33</f>
        <v>3.6720000000000003E-2</v>
      </c>
      <c r="I43" s="18">
        <f>'AEO 2023 Table 49 Raw'!L33</f>
        <v>3.8114000000000002E-2</v>
      </c>
      <c r="J43" s="18">
        <f>'AEO 2023 Table 49 Raw'!M33</f>
        <v>3.9049E-2</v>
      </c>
      <c r="K43" s="18">
        <f>'AEO 2023 Table 49 Raw'!N33</f>
        <v>3.9738999999999997E-2</v>
      </c>
      <c r="L43" s="18">
        <f>'AEO 2023 Table 49 Raw'!O33</f>
        <v>4.0235E-2</v>
      </c>
      <c r="M43" s="18">
        <f>'AEO 2023 Table 49 Raw'!P33</f>
        <v>4.0661000000000003E-2</v>
      </c>
      <c r="N43" s="18">
        <f>'AEO 2023 Table 49 Raw'!Q33</f>
        <v>4.104E-2</v>
      </c>
      <c r="O43" s="18">
        <f>'AEO 2023 Table 49 Raw'!R33</f>
        <v>4.1381000000000001E-2</v>
      </c>
      <c r="P43" s="18">
        <f>'AEO 2023 Table 49 Raw'!S33</f>
        <v>4.1751000000000003E-2</v>
      </c>
      <c r="Q43" s="18">
        <f>'AEO 2023 Table 49 Raw'!T33</f>
        <v>4.1957000000000001E-2</v>
      </c>
      <c r="R43" s="18">
        <f>'AEO 2023 Table 49 Raw'!U33</f>
        <v>4.2249000000000002E-2</v>
      </c>
      <c r="S43" s="18">
        <f>'AEO 2023 Table 49 Raw'!V33</f>
        <v>4.2424999999999997E-2</v>
      </c>
      <c r="T43" s="18">
        <f>'AEO 2023 Table 49 Raw'!W33</f>
        <v>4.2535999999999997E-2</v>
      </c>
      <c r="U43" s="18">
        <f>'AEO 2023 Table 49 Raw'!X33</f>
        <v>4.2664000000000001E-2</v>
      </c>
      <c r="V43" s="18">
        <f>'AEO 2023 Table 49 Raw'!Y33</f>
        <v>4.2823E-2</v>
      </c>
      <c r="W43" s="18">
        <f>'AEO 2023 Table 49 Raw'!Z33</f>
        <v>4.2963000000000001E-2</v>
      </c>
      <c r="X43" s="18">
        <f>'AEO 2023 Table 49 Raw'!AA33</f>
        <v>4.3061000000000002E-2</v>
      </c>
      <c r="Y43" s="18">
        <f>'AEO 2023 Table 49 Raw'!AB33</f>
        <v>4.3122000000000001E-2</v>
      </c>
      <c r="Z43" s="18">
        <f>'AEO 2023 Table 49 Raw'!AC33</f>
        <v>4.3159000000000003E-2</v>
      </c>
      <c r="AA43" s="18">
        <f>'AEO 2023 Table 49 Raw'!AD33</f>
        <v>4.3212E-2</v>
      </c>
      <c r="AB43" s="18">
        <f>'AEO 2023 Table 49 Raw'!AE33</f>
        <v>4.3248000000000002E-2</v>
      </c>
      <c r="AC43" s="18">
        <f>'AEO 2023 Table 49 Raw'!AF33</f>
        <v>4.3262000000000002E-2</v>
      </c>
      <c r="AD43" s="18">
        <f>'AEO 2023 Table 49 Raw'!AG33</f>
        <v>4.3311000000000002E-2</v>
      </c>
      <c r="AE43" s="18">
        <f>'AEO 2023 Table 49 Raw'!AH33</f>
        <v>4.3357E-2</v>
      </c>
      <c r="AF43" s="30">
        <f>'AEO 2023 Table 49 Raw'!AI33</f>
        <v>1.6E-2</v>
      </c>
    </row>
    <row r="44" spans="1:32" ht="12" customHeight="1">
      <c r="A44" s="7" t="s">
        <v>770</v>
      </c>
      <c r="B44" s="16" t="s">
        <v>741</v>
      </c>
      <c r="C44" s="18">
        <f>'AEO 2023 Table 49 Raw'!F34</f>
        <v>2.1400009999999998</v>
      </c>
      <c r="D44" s="18">
        <f>'AEO 2023 Table 49 Raw'!G34</f>
        <v>2.1557870000000001</v>
      </c>
      <c r="E44" s="18">
        <f>'AEO 2023 Table 49 Raw'!H34</f>
        <v>2.1666439999999998</v>
      </c>
      <c r="F44" s="18">
        <f>'AEO 2023 Table 49 Raw'!I34</f>
        <v>2.1866439999999998</v>
      </c>
      <c r="G44" s="18">
        <f>'AEO 2023 Table 49 Raw'!J34</f>
        <v>2.2050589999999999</v>
      </c>
      <c r="H44" s="18">
        <f>'AEO 2023 Table 49 Raw'!K34</f>
        <v>2.2023570000000001</v>
      </c>
      <c r="I44" s="18">
        <f>'AEO 2023 Table 49 Raw'!L34</f>
        <v>2.1771889999999998</v>
      </c>
      <c r="J44" s="18">
        <f>'AEO 2023 Table 49 Raw'!M34</f>
        <v>2.1333489999999999</v>
      </c>
      <c r="K44" s="18">
        <f>'AEO 2023 Table 49 Raw'!N34</f>
        <v>2.0832540000000002</v>
      </c>
      <c r="L44" s="18">
        <f>'AEO 2023 Table 49 Raw'!O34</f>
        <v>2.037004</v>
      </c>
      <c r="M44" s="18">
        <f>'AEO 2023 Table 49 Raw'!P34</f>
        <v>2.005252</v>
      </c>
      <c r="N44" s="18">
        <f>'AEO 2023 Table 49 Raw'!Q34</f>
        <v>1.9869589999999999</v>
      </c>
      <c r="O44" s="18">
        <f>'AEO 2023 Table 49 Raw'!R34</f>
        <v>1.982839</v>
      </c>
      <c r="P44" s="18">
        <f>'AEO 2023 Table 49 Raw'!S34</f>
        <v>1.9954099999999999</v>
      </c>
      <c r="Q44" s="18">
        <f>'AEO 2023 Table 49 Raw'!T34</f>
        <v>2.017182</v>
      </c>
      <c r="R44" s="18">
        <f>'AEO 2023 Table 49 Raw'!U34</f>
        <v>2.0574680000000001</v>
      </c>
      <c r="S44" s="18">
        <f>'AEO 2023 Table 49 Raw'!V34</f>
        <v>2.110242</v>
      </c>
      <c r="T44" s="18">
        <f>'AEO 2023 Table 49 Raw'!W34</f>
        <v>2.1724429999999999</v>
      </c>
      <c r="U44" s="18">
        <f>'AEO 2023 Table 49 Raw'!X34</f>
        <v>2.2483599999999999</v>
      </c>
      <c r="V44" s="18">
        <f>'AEO 2023 Table 49 Raw'!Y34</f>
        <v>2.33386</v>
      </c>
      <c r="W44" s="18">
        <f>'AEO 2023 Table 49 Raw'!Z34</f>
        <v>2.4286789999999998</v>
      </c>
      <c r="X44" s="18">
        <f>'AEO 2023 Table 49 Raw'!AA34</f>
        <v>2.5310320000000002</v>
      </c>
      <c r="Y44" s="18">
        <f>'AEO 2023 Table 49 Raw'!AB34</f>
        <v>2.6404960000000002</v>
      </c>
      <c r="Z44" s="18">
        <f>'AEO 2023 Table 49 Raw'!AC34</f>
        <v>2.7555730000000001</v>
      </c>
      <c r="AA44" s="18">
        <f>'AEO 2023 Table 49 Raw'!AD34</f>
        <v>2.8782350000000001</v>
      </c>
      <c r="AB44" s="18">
        <f>'AEO 2023 Table 49 Raw'!AE34</f>
        <v>3.0066389999999998</v>
      </c>
      <c r="AC44" s="18">
        <f>'AEO 2023 Table 49 Raw'!AF34</f>
        <v>3.1391810000000002</v>
      </c>
      <c r="AD44" s="18">
        <f>'AEO 2023 Table 49 Raw'!AG34</f>
        <v>3.284789</v>
      </c>
      <c r="AE44" s="18">
        <f>'AEO 2023 Table 49 Raw'!AH34</f>
        <v>3.442669</v>
      </c>
      <c r="AF44" s="30">
        <f>'AEO 2023 Table 49 Raw'!AI34</f>
        <v>1.7000000000000001E-2</v>
      </c>
    </row>
    <row r="45" spans="1:32" ht="12" customHeight="1">
      <c r="A45" s="7" t="s">
        <v>771</v>
      </c>
      <c r="B45" s="16" t="s">
        <v>743</v>
      </c>
      <c r="C45" s="18">
        <f>'AEO 2023 Table 49 Raw'!F35</f>
        <v>0</v>
      </c>
      <c r="D45" s="18">
        <f>'AEO 2023 Table 49 Raw'!G35</f>
        <v>0</v>
      </c>
      <c r="E45" s="18">
        <f>'AEO 2023 Table 49 Raw'!H35</f>
        <v>0</v>
      </c>
      <c r="F45" s="18">
        <f>'AEO 2023 Table 49 Raw'!I35</f>
        <v>0</v>
      </c>
      <c r="G45" s="18">
        <f>'AEO 2023 Table 49 Raw'!J35</f>
        <v>0</v>
      </c>
      <c r="H45" s="18">
        <f>'AEO 2023 Table 49 Raw'!K35</f>
        <v>0</v>
      </c>
      <c r="I45" s="18">
        <f>'AEO 2023 Table 49 Raw'!L35</f>
        <v>0</v>
      </c>
      <c r="J45" s="18">
        <f>'AEO 2023 Table 49 Raw'!M35</f>
        <v>0</v>
      </c>
      <c r="K45" s="18">
        <f>'AEO 2023 Table 49 Raw'!N35</f>
        <v>0</v>
      </c>
      <c r="L45" s="18">
        <f>'AEO 2023 Table 49 Raw'!O35</f>
        <v>0</v>
      </c>
      <c r="M45" s="18">
        <f>'AEO 2023 Table 49 Raw'!P35</f>
        <v>0</v>
      </c>
      <c r="N45" s="18">
        <f>'AEO 2023 Table 49 Raw'!Q35</f>
        <v>0</v>
      </c>
      <c r="O45" s="18">
        <f>'AEO 2023 Table 49 Raw'!R35</f>
        <v>0</v>
      </c>
      <c r="P45" s="18">
        <f>'AEO 2023 Table 49 Raw'!S35</f>
        <v>0</v>
      </c>
      <c r="Q45" s="18">
        <f>'AEO 2023 Table 49 Raw'!T35</f>
        <v>0</v>
      </c>
      <c r="R45" s="18">
        <f>'AEO 2023 Table 49 Raw'!U35</f>
        <v>0</v>
      </c>
      <c r="S45" s="18">
        <f>'AEO 2023 Table 49 Raw'!V35</f>
        <v>0</v>
      </c>
      <c r="T45" s="18">
        <f>'AEO 2023 Table 49 Raw'!W35</f>
        <v>0</v>
      </c>
      <c r="U45" s="18">
        <f>'AEO 2023 Table 49 Raw'!X35</f>
        <v>0</v>
      </c>
      <c r="V45" s="18">
        <f>'AEO 2023 Table 49 Raw'!Y35</f>
        <v>0</v>
      </c>
      <c r="W45" s="18">
        <f>'AEO 2023 Table 49 Raw'!Z35</f>
        <v>0</v>
      </c>
      <c r="X45" s="18">
        <f>'AEO 2023 Table 49 Raw'!AA35</f>
        <v>0</v>
      </c>
      <c r="Y45" s="18">
        <f>'AEO 2023 Table 49 Raw'!AB35</f>
        <v>0</v>
      </c>
      <c r="Z45" s="18">
        <f>'AEO 2023 Table 49 Raw'!AC35</f>
        <v>0</v>
      </c>
      <c r="AA45" s="18">
        <f>'AEO 2023 Table 49 Raw'!AD35</f>
        <v>0</v>
      </c>
      <c r="AB45" s="18">
        <f>'AEO 2023 Table 49 Raw'!AE35</f>
        <v>0</v>
      </c>
      <c r="AC45" s="18">
        <f>'AEO 2023 Table 49 Raw'!AF35</f>
        <v>0</v>
      </c>
      <c r="AD45" s="18">
        <f>'AEO 2023 Table 49 Raw'!AG35</f>
        <v>0</v>
      </c>
      <c r="AE45" s="18">
        <f>'AEO 2023 Table 49 Raw'!AH35</f>
        <v>0</v>
      </c>
      <c r="AF45" s="30" t="str">
        <f>'AEO 2023 Table 49 Raw'!AI35</f>
        <v>- -</v>
      </c>
    </row>
    <row r="46" spans="1:32" ht="12" customHeight="1">
      <c r="A46" s="7" t="s">
        <v>772</v>
      </c>
      <c r="B46" s="16" t="s">
        <v>745</v>
      </c>
      <c r="C46" s="18">
        <f>'AEO 2023 Table 49 Raw'!F36</f>
        <v>4.2389999999999997E-3</v>
      </c>
      <c r="D46" s="18">
        <f>'AEO 2023 Table 49 Raw'!G36</f>
        <v>4.8370000000000002E-3</v>
      </c>
      <c r="E46" s="18">
        <f>'AEO 2023 Table 49 Raw'!H36</f>
        <v>5.3550000000000004E-3</v>
      </c>
      <c r="F46" s="18">
        <f>'AEO 2023 Table 49 Raw'!I36</f>
        <v>5.8450000000000004E-3</v>
      </c>
      <c r="G46" s="18">
        <f>'AEO 2023 Table 49 Raw'!J36</f>
        <v>6.2740000000000001E-3</v>
      </c>
      <c r="H46" s="18">
        <f>'AEO 2023 Table 49 Raw'!K36</f>
        <v>6.5900000000000004E-3</v>
      </c>
      <c r="I46" s="18">
        <f>'AEO 2023 Table 49 Raw'!L36</f>
        <v>6.7970000000000001E-3</v>
      </c>
      <c r="J46" s="18">
        <f>'AEO 2023 Table 49 Raw'!M36</f>
        <v>6.8970000000000004E-3</v>
      </c>
      <c r="K46" s="18">
        <f>'AEO 2023 Table 49 Raw'!N36</f>
        <v>6.9160000000000003E-3</v>
      </c>
      <c r="L46" s="18">
        <f>'AEO 2023 Table 49 Raw'!O36</f>
        <v>6.8609999999999999E-3</v>
      </c>
      <c r="M46" s="18">
        <f>'AEO 2023 Table 49 Raw'!P36</f>
        <v>6.7429999999999999E-3</v>
      </c>
      <c r="N46" s="18">
        <f>'AEO 2023 Table 49 Raw'!Q36</f>
        <v>6.5449999999999996E-3</v>
      </c>
      <c r="O46" s="18">
        <f>'AEO 2023 Table 49 Raw'!R36</f>
        <v>6.2859999999999999E-3</v>
      </c>
      <c r="P46" s="18">
        <f>'AEO 2023 Table 49 Raw'!S36</f>
        <v>6.0010000000000003E-3</v>
      </c>
      <c r="Q46" s="18">
        <f>'AEO 2023 Table 49 Raw'!T36</f>
        <v>5.6860000000000001E-3</v>
      </c>
      <c r="R46" s="18">
        <f>'AEO 2023 Table 49 Raw'!U36</f>
        <v>5.3920000000000001E-3</v>
      </c>
      <c r="S46" s="18">
        <f>'AEO 2023 Table 49 Raw'!V36</f>
        <v>5.1000000000000004E-3</v>
      </c>
      <c r="T46" s="18">
        <f>'AEO 2023 Table 49 Raw'!W36</f>
        <v>4.7580000000000001E-3</v>
      </c>
      <c r="U46" s="18">
        <f>'AEO 2023 Table 49 Raw'!X36</f>
        <v>4.4060000000000002E-3</v>
      </c>
      <c r="V46" s="18">
        <f>'AEO 2023 Table 49 Raw'!Y36</f>
        <v>4.1019999999999997E-3</v>
      </c>
      <c r="W46" s="18">
        <f>'AEO 2023 Table 49 Raw'!Z36</f>
        <v>3.8579999999999999E-3</v>
      </c>
      <c r="X46" s="18">
        <f>'AEO 2023 Table 49 Raw'!AA36</f>
        <v>3.6110000000000001E-3</v>
      </c>
      <c r="Y46" s="18">
        <f>'AEO 2023 Table 49 Raw'!AB36</f>
        <v>3.3869999999999998E-3</v>
      </c>
      <c r="Z46" s="18">
        <f>'AEO 2023 Table 49 Raw'!AC36</f>
        <v>3.1779999999999998E-3</v>
      </c>
      <c r="AA46" s="18">
        <f>'AEO 2023 Table 49 Raw'!AD36</f>
        <v>2.9849999999999998E-3</v>
      </c>
      <c r="AB46" s="18">
        <f>'AEO 2023 Table 49 Raw'!AE36</f>
        <v>2.807E-3</v>
      </c>
      <c r="AC46" s="18">
        <f>'AEO 2023 Table 49 Raw'!AF36</f>
        <v>2.64E-3</v>
      </c>
      <c r="AD46" s="18">
        <f>'AEO 2023 Table 49 Raw'!AG36</f>
        <v>2.4889999999999999E-3</v>
      </c>
      <c r="AE46" s="18">
        <f>'AEO 2023 Table 49 Raw'!AH36</f>
        <v>2.3509999999999998E-3</v>
      </c>
      <c r="AF46" s="30">
        <f>'AEO 2023 Table 49 Raw'!AI36</f>
        <v>-2.1000000000000001E-2</v>
      </c>
    </row>
    <row r="47" spans="1:32" ht="12" customHeight="1">
      <c r="A47" s="7" t="s">
        <v>773</v>
      </c>
      <c r="B47" s="16" t="s">
        <v>747</v>
      </c>
      <c r="C47" s="18">
        <f>'AEO 2023 Table 49 Raw'!F37</f>
        <v>0</v>
      </c>
      <c r="D47" s="18">
        <f>'AEO 2023 Table 49 Raw'!G37</f>
        <v>0</v>
      </c>
      <c r="E47" s="18">
        <f>'AEO 2023 Table 49 Raw'!H37</f>
        <v>1.047E-3</v>
      </c>
      <c r="F47" s="18">
        <f>'AEO 2023 Table 49 Raw'!I37</f>
        <v>2.127E-3</v>
      </c>
      <c r="G47" s="18">
        <f>'AEO 2023 Table 49 Raw'!J37</f>
        <v>3.241E-3</v>
      </c>
      <c r="H47" s="18">
        <f>'AEO 2023 Table 49 Raw'!K37</f>
        <v>4.3540000000000002E-3</v>
      </c>
      <c r="I47" s="18">
        <f>'AEO 2023 Table 49 Raw'!L37</f>
        <v>5.4720000000000003E-3</v>
      </c>
      <c r="J47" s="18">
        <f>'AEO 2023 Table 49 Raw'!M37</f>
        <v>6.5729999999999998E-3</v>
      </c>
      <c r="K47" s="18">
        <f>'AEO 2023 Table 49 Raw'!N37</f>
        <v>7.6629999999999997E-3</v>
      </c>
      <c r="L47" s="18">
        <f>'AEO 2023 Table 49 Raw'!O37</f>
        <v>8.7530000000000004E-3</v>
      </c>
      <c r="M47" s="18">
        <f>'AEO 2023 Table 49 Raw'!P37</f>
        <v>9.8750000000000001E-3</v>
      </c>
      <c r="N47" s="18">
        <f>'AEO 2023 Table 49 Raw'!Q37</f>
        <v>1.0983E-2</v>
      </c>
      <c r="O47" s="18">
        <f>'AEO 2023 Table 49 Raw'!R37</f>
        <v>1.2050999999999999E-2</v>
      </c>
      <c r="P47" s="18">
        <f>'AEO 2023 Table 49 Raw'!S37</f>
        <v>1.3096999999999999E-2</v>
      </c>
      <c r="Q47" s="18">
        <f>'AEO 2023 Table 49 Raw'!T37</f>
        <v>1.4095E-2</v>
      </c>
      <c r="R47" s="18">
        <f>'AEO 2023 Table 49 Raw'!U37</f>
        <v>1.511E-2</v>
      </c>
      <c r="S47" s="18">
        <f>'AEO 2023 Table 49 Raw'!V37</f>
        <v>1.6105000000000001E-2</v>
      </c>
      <c r="T47" s="18">
        <f>'AEO 2023 Table 49 Raw'!W37</f>
        <v>1.7072E-2</v>
      </c>
      <c r="U47" s="18">
        <f>'AEO 2023 Table 49 Raw'!X37</f>
        <v>1.8075000000000001E-2</v>
      </c>
      <c r="V47" s="18">
        <f>'AEO 2023 Table 49 Raw'!Y37</f>
        <v>1.9120000000000002E-2</v>
      </c>
      <c r="W47" s="18">
        <f>'AEO 2023 Table 49 Raw'!Z37</f>
        <v>2.0253E-2</v>
      </c>
      <c r="X47" s="18">
        <f>'AEO 2023 Table 49 Raw'!AA37</f>
        <v>2.1441000000000002E-2</v>
      </c>
      <c r="Y47" s="18">
        <f>'AEO 2023 Table 49 Raw'!AB37</f>
        <v>2.2678E-2</v>
      </c>
      <c r="Z47" s="18">
        <f>'AEO 2023 Table 49 Raw'!AC37</f>
        <v>2.3994000000000001E-2</v>
      </c>
      <c r="AA47" s="18">
        <f>'AEO 2023 Table 49 Raw'!AD37</f>
        <v>2.5464000000000001E-2</v>
      </c>
      <c r="AB47" s="18">
        <f>'AEO 2023 Table 49 Raw'!AE37</f>
        <v>2.7054000000000002E-2</v>
      </c>
      <c r="AC47" s="18">
        <f>'AEO 2023 Table 49 Raw'!AF37</f>
        <v>2.877E-2</v>
      </c>
      <c r="AD47" s="18">
        <f>'AEO 2023 Table 49 Raw'!AG37</f>
        <v>3.0686000000000001E-2</v>
      </c>
      <c r="AE47" s="18">
        <f>'AEO 2023 Table 49 Raw'!AH37</f>
        <v>3.2786000000000003E-2</v>
      </c>
      <c r="AF47" s="30" t="str">
        <f>'AEO 2023 Table 49 Raw'!AI37</f>
        <v>- -</v>
      </c>
    </row>
    <row r="48" spans="1:32" ht="12" customHeight="1">
      <c r="A48" s="7" t="s">
        <v>774</v>
      </c>
      <c r="B48" s="16" t="s">
        <v>749</v>
      </c>
      <c r="C48" s="18">
        <f>'AEO 2023 Table 49 Raw'!F38</f>
        <v>0</v>
      </c>
      <c r="D48" s="18">
        <f>'AEO 2023 Table 49 Raw'!G38</f>
        <v>0</v>
      </c>
      <c r="E48" s="18">
        <f>'AEO 2023 Table 49 Raw'!H38</f>
        <v>2.3640000000000002E-3</v>
      </c>
      <c r="F48" s="18">
        <f>'AEO 2023 Table 49 Raw'!I38</f>
        <v>4.7369999999999999E-3</v>
      </c>
      <c r="G48" s="18">
        <f>'AEO 2023 Table 49 Raw'!J38</f>
        <v>7.1450000000000003E-3</v>
      </c>
      <c r="H48" s="18">
        <f>'AEO 2023 Table 49 Raw'!K38</f>
        <v>9.5219999999999992E-3</v>
      </c>
      <c r="I48" s="18">
        <f>'AEO 2023 Table 49 Raw'!L38</f>
        <v>1.1861E-2</v>
      </c>
      <c r="J48" s="18">
        <f>'AEO 2023 Table 49 Raw'!M38</f>
        <v>1.4121999999999999E-2</v>
      </c>
      <c r="K48" s="18">
        <f>'AEO 2023 Table 49 Raw'!N38</f>
        <v>1.6327000000000001E-2</v>
      </c>
      <c r="L48" s="18">
        <f>'AEO 2023 Table 49 Raw'!O38</f>
        <v>1.8509000000000001E-2</v>
      </c>
      <c r="M48" s="18">
        <f>'AEO 2023 Table 49 Raw'!P38</f>
        <v>2.0725E-2</v>
      </c>
      <c r="N48" s="18">
        <f>'AEO 2023 Table 49 Raw'!Q38</f>
        <v>2.2883000000000001E-2</v>
      </c>
      <c r="O48" s="18">
        <f>'AEO 2023 Table 49 Raw'!R38</f>
        <v>2.4927000000000001E-2</v>
      </c>
      <c r="P48" s="18">
        <f>'AEO 2023 Table 49 Raw'!S38</f>
        <v>2.6898999999999999E-2</v>
      </c>
      <c r="Q48" s="18">
        <f>'AEO 2023 Table 49 Raw'!T38</f>
        <v>2.8738E-2</v>
      </c>
      <c r="R48" s="18">
        <f>'AEO 2023 Table 49 Raw'!U38</f>
        <v>3.0574E-2</v>
      </c>
      <c r="S48" s="18">
        <f>'AEO 2023 Table 49 Raw'!V38</f>
        <v>3.2329999999999998E-2</v>
      </c>
      <c r="T48" s="18">
        <f>'AEO 2023 Table 49 Raw'!W38</f>
        <v>3.3996999999999999E-2</v>
      </c>
      <c r="U48" s="18">
        <f>'AEO 2023 Table 49 Raw'!X38</f>
        <v>3.5702999999999999E-2</v>
      </c>
      <c r="V48" s="18">
        <f>'AEO 2023 Table 49 Raw'!Y38</f>
        <v>3.7462000000000002E-2</v>
      </c>
      <c r="W48" s="18">
        <f>'AEO 2023 Table 49 Raw'!Z38</f>
        <v>3.9357000000000003E-2</v>
      </c>
      <c r="X48" s="18">
        <f>'AEO 2023 Table 49 Raw'!AA38</f>
        <v>4.1302999999999999E-2</v>
      </c>
      <c r="Y48" s="18">
        <f>'AEO 2023 Table 49 Raw'!AB38</f>
        <v>4.3270999999999997E-2</v>
      </c>
      <c r="Z48" s="18">
        <f>'AEO 2023 Table 49 Raw'!AC38</f>
        <v>4.5317999999999997E-2</v>
      </c>
      <c r="AA48" s="18">
        <f>'AEO 2023 Table 49 Raw'!AD38</f>
        <v>4.7577000000000001E-2</v>
      </c>
      <c r="AB48" s="18">
        <f>'AEO 2023 Table 49 Raw'!AE38</f>
        <v>4.9952000000000003E-2</v>
      </c>
      <c r="AC48" s="18">
        <f>'AEO 2023 Table 49 Raw'!AF38</f>
        <v>5.2423999999999998E-2</v>
      </c>
      <c r="AD48" s="18">
        <f>'AEO 2023 Table 49 Raw'!AG38</f>
        <v>5.5099000000000002E-2</v>
      </c>
      <c r="AE48" s="18">
        <f>'AEO 2023 Table 49 Raw'!AH38</f>
        <v>5.7922000000000001E-2</v>
      </c>
      <c r="AF48" s="30" t="str">
        <f>'AEO 2023 Table 49 Raw'!AI38</f>
        <v>- -</v>
      </c>
    </row>
    <row r="49" spans="1:32" ht="12" customHeight="1">
      <c r="A49" s="7" t="s">
        <v>775</v>
      </c>
      <c r="B49" s="16" t="s">
        <v>751</v>
      </c>
      <c r="C49" s="18">
        <f>'AEO 2023 Table 49 Raw'!F39</f>
        <v>0</v>
      </c>
      <c r="D49" s="18">
        <f>'AEO 2023 Table 49 Raw'!G39</f>
        <v>0</v>
      </c>
      <c r="E49" s="18">
        <f>'AEO 2023 Table 49 Raw'!H39</f>
        <v>5.7010000000000003E-3</v>
      </c>
      <c r="F49" s="18">
        <f>'AEO 2023 Table 49 Raw'!I39</f>
        <v>1.1606999999999999E-2</v>
      </c>
      <c r="G49" s="18">
        <f>'AEO 2023 Table 49 Raw'!J39</f>
        <v>1.7784000000000001E-2</v>
      </c>
      <c r="H49" s="18">
        <f>'AEO 2023 Table 49 Raw'!K39</f>
        <v>2.4011999999999999E-2</v>
      </c>
      <c r="I49" s="18">
        <f>'AEO 2023 Table 49 Raw'!L39</f>
        <v>3.0249999999999999E-2</v>
      </c>
      <c r="J49" s="18">
        <f>'AEO 2023 Table 49 Raw'!M39</f>
        <v>3.6382999999999999E-2</v>
      </c>
      <c r="K49" s="18">
        <f>'AEO 2023 Table 49 Raw'!N39</f>
        <v>4.2418999999999998E-2</v>
      </c>
      <c r="L49" s="18">
        <f>'AEO 2023 Table 49 Raw'!O39</f>
        <v>4.8391999999999998E-2</v>
      </c>
      <c r="M49" s="18">
        <f>'AEO 2023 Table 49 Raw'!P39</f>
        <v>5.4426000000000002E-2</v>
      </c>
      <c r="N49" s="18">
        <f>'AEO 2023 Table 49 Raw'!Q39</f>
        <v>6.0228999999999998E-2</v>
      </c>
      <c r="O49" s="18">
        <f>'AEO 2023 Table 49 Raw'!R39</f>
        <v>6.5667000000000003E-2</v>
      </c>
      <c r="P49" s="18">
        <f>'AEO 2023 Table 49 Raw'!S39</f>
        <v>7.0873000000000005E-2</v>
      </c>
      <c r="Q49" s="18">
        <f>'AEO 2023 Table 49 Raw'!T39</f>
        <v>7.5647000000000006E-2</v>
      </c>
      <c r="R49" s="18">
        <f>'AEO 2023 Table 49 Raw'!U39</f>
        <v>8.0312999999999996E-2</v>
      </c>
      <c r="S49" s="18">
        <f>'AEO 2023 Table 49 Raw'!V39</f>
        <v>8.4670999999999996E-2</v>
      </c>
      <c r="T49" s="18">
        <f>'AEO 2023 Table 49 Raw'!W39</f>
        <v>8.8666999999999996E-2</v>
      </c>
      <c r="U49" s="18">
        <f>'AEO 2023 Table 49 Raw'!X39</f>
        <v>9.2609999999999998E-2</v>
      </c>
      <c r="V49" s="18">
        <f>'AEO 2023 Table 49 Raw'!Y39</f>
        <v>9.6520999999999996E-2</v>
      </c>
      <c r="W49" s="18">
        <f>'AEO 2023 Table 49 Raw'!Z39</f>
        <v>0.100616</v>
      </c>
      <c r="X49" s="18">
        <f>'AEO 2023 Table 49 Raw'!AA39</f>
        <v>0.104708</v>
      </c>
      <c r="Y49" s="18">
        <f>'AEO 2023 Table 49 Raw'!AB39</f>
        <v>0.108751</v>
      </c>
      <c r="Z49" s="18">
        <f>'AEO 2023 Table 49 Raw'!AC39</f>
        <v>0.112911</v>
      </c>
      <c r="AA49" s="18">
        <f>'AEO 2023 Table 49 Raw'!AD39</f>
        <v>0.11756999999999999</v>
      </c>
      <c r="AB49" s="18">
        <f>'AEO 2023 Table 49 Raw'!AE39</f>
        <v>0.12256499999999999</v>
      </c>
      <c r="AC49" s="18">
        <f>'AEO 2023 Table 49 Raw'!AF39</f>
        <v>0.12792899999999999</v>
      </c>
      <c r="AD49" s="18">
        <f>'AEO 2023 Table 49 Raw'!AG39</f>
        <v>0.13400100000000001</v>
      </c>
      <c r="AE49" s="18">
        <f>'AEO 2023 Table 49 Raw'!AH39</f>
        <v>0.14074999999999999</v>
      </c>
      <c r="AF49" s="30" t="str">
        <f>'AEO 2023 Table 49 Raw'!AI39</f>
        <v>- -</v>
      </c>
    </row>
    <row r="50" spans="1:32" ht="15" customHeight="1">
      <c r="A50" s="7" t="s">
        <v>776</v>
      </c>
      <c r="B50" s="16" t="s">
        <v>777</v>
      </c>
      <c r="C50" s="18">
        <f>'AEO 2023 Table 49 Raw'!F40</f>
        <v>186.94918799999999</v>
      </c>
      <c r="D50" s="18">
        <f>'AEO 2023 Table 49 Raw'!G40</f>
        <v>184.02345299999999</v>
      </c>
      <c r="E50" s="18">
        <f>'AEO 2023 Table 49 Raw'!H40</f>
        <v>181.72447199999999</v>
      </c>
      <c r="F50" s="18">
        <f>'AEO 2023 Table 49 Raw'!I40</f>
        <v>181.54272499999999</v>
      </c>
      <c r="G50" s="18">
        <f>'AEO 2023 Table 49 Raw'!J40</f>
        <v>182.67984000000001</v>
      </c>
      <c r="H50" s="18">
        <f>'AEO 2023 Table 49 Raw'!K40</f>
        <v>183.488831</v>
      </c>
      <c r="I50" s="18">
        <f>'AEO 2023 Table 49 Raw'!L40</f>
        <v>184.07605000000001</v>
      </c>
      <c r="J50" s="18">
        <f>'AEO 2023 Table 49 Raw'!M40</f>
        <v>184.193726</v>
      </c>
      <c r="K50" s="18">
        <f>'AEO 2023 Table 49 Raw'!N40</f>
        <v>184.23619099999999</v>
      </c>
      <c r="L50" s="18">
        <f>'AEO 2023 Table 49 Raw'!O40</f>
        <v>184.284637</v>
      </c>
      <c r="M50" s="18">
        <f>'AEO 2023 Table 49 Raw'!P40</f>
        <v>184.70048499999999</v>
      </c>
      <c r="N50" s="18">
        <f>'AEO 2023 Table 49 Raw'!Q40</f>
        <v>184.697327</v>
      </c>
      <c r="O50" s="18">
        <f>'AEO 2023 Table 49 Raw'!R40</f>
        <v>184.19468699999999</v>
      </c>
      <c r="P50" s="18">
        <f>'AEO 2023 Table 49 Raw'!S40</f>
        <v>183.775024</v>
      </c>
      <c r="Q50" s="18">
        <f>'AEO 2023 Table 49 Raw'!T40</f>
        <v>183.03814700000001</v>
      </c>
      <c r="R50" s="18">
        <f>'AEO 2023 Table 49 Raw'!U40</f>
        <v>182.89442399999999</v>
      </c>
      <c r="S50" s="18">
        <f>'AEO 2023 Table 49 Raw'!V40</f>
        <v>182.88275100000001</v>
      </c>
      <c r="T50" s="18">
        <f>'AEO 2023 Table 49 Raw'!W40</f>
        <v>182.668274</v>
      </c>
      <c r="U50" s="18">
        <f>'AEO 2023 Table 49 Raw'!X40</f>
        <v>182.65016199999999</v>
      </c>
      <c r="V50" s="18">
        <f>'AEO 2023 Table 49 Raw'!Y40</f>
        <v>182.50058000000001</v>
      </c>
      <c r="W50" s="18">
        <f>'AEO 2023 Table 49 Raw'!Z40</f>
        <v>182.46910099999999</v>
      </c>
      <c r="X50" s="18">
        <f>'AEO 2023 Table 49 Raw'!AA40</f>
        <v>182.32656900000001</v>
      </c>
      <c r="Y50" s="18">
        <f>'AEO 2023 Table 49 Raw'!AB40</f>
        <v>182.065201</v>
      </c>
      <c r="Z50" s="18">
        <f>'AEO 2023 Table 49 Raw'!AC40</f>
        <v>181.671616</v>
      </c>
      <c r="AA50" s="18">
        <f>'AEO 2023 Table 49 Raw'!AD40</f>
        <v>181.266907</v>
      </c>
      <c r="AB50" s="18">
        <f>'AEO 2023 Table 49 Raw'!AE40</f>
        <v>180.744415</v>
      </c>
      <c r="AC50" s="18">
        <f>'AEO 2023 Table 49 Raw'!AF40</f>
        <v>180.15121500000001</v>
      </c>
      <c r="AD50" s="18">
        <f>'AEO 2023 Table 49 Raw'!AG40</f>
        <v>179.89952099999999</v>
      </c>
      <c r="AE50" s="18">
        <f>'AEO 2023 Table 49 Raw'!AH40</f>
        <v>179.86982699999999</v>
      </c>
      <c r="AF50" s="30">
        <f>'AEO 2023 Table 49 Raw'!AI40</f>
        <v>-1E-3</v>
      </c>
    </row>
    <row r="51" spans="1:32" ht="15" customHeight="1">
      <c r="A51" s="7" t="s">
        <v>778</v>
      </c>
      <c r="B51" s="15" t="s">
        <v>779</v>
      </c>
      <c r="C51" s="18">
        <f>'AEO 2023 Table 49 Raw'!F41</f>
        <v>321.95339999999999</v>
      </c>
      <c r="D51" s="18">
        <f>'AEO 2023 Table 49 Raw'!G41</f>
        <v>317.39248700000002</v>
      </c>
      <c r="E51" s="18">
        <f>'AEO 2023 Table 49 Raw'!H41</f>
        <v>314.48513800000001</v>
      </c>
      <c r="F51" s="18">
        <f>'AEO 2023 Table 49 Raw'!I41</f>
        <v>314.94528200000002</v>
      </c>
      <c r="G51" s="18">
        <f>'AEO 2023 Table 49 Raw'!J41</f>
        <v>317.255585</v>
      </c>
      <c r="H51" s="18">
        <f>'AEO 2023 Table 49 Raw'!K41</f>
        <v>318.78924599999999</v>
      </c>
      <c r="I51" s="18">
        <f>'AEO 2023 Table 49 Raw'!L41</f>
        <v>320.01522799999998</v>
      </c>
      <c r="J51" s="18">
        <f>'AEO 2023 Table 49 Raw'!M41</f>
        <v>320.71121199999999</v>
      </c>
      <c r="K51" s="18">
        <f>'AEO 2023 Table 49 Raw'!N41</f>
        <v>321.69329800000003</v>
      </c>
      <c r="L51" s="18">
        <f>'AEO 2023 Table 49 Raw'!O41</f>
        <v>323.025848</v>
      </c>
      <c r="M51" s="18">
        <f>'AEO 2023 Table 49 Raw'!P41</f>
        <v>325.34118699999999</v>
      </c>
      <c r="N51" s="18">
        <f>'AEO 2023 Table 49 Raw'!Q41</f>
        <v>327.113831</v>
      </c>
      <c r="O51" s="18">
        <f>'AEO 2023 Table 49 Raw'!R41</f>
        <v>328.192047</v>
      </c>
      <c r="P51" s="18">
        <f>'AEO 2023 Table 49 Raw'!S41</f>
        <v>329.51705900000002</v>
      </c>
      <c r="Q51" s="18">
        <f>'AEO 2023 Table 49 Raw'!T41</f>
        <v>330.28295900000001</v>
      </c>
      <c r="R51" s="18">
        <f>'AEO 2023 Table 49 Raw'!U41</f>
        <v>332.07742300000001</v>
      </c>
      <c r="S51" s="18">
        <f>'AEO 2023 Table 49 Raw'!V41</f>
        <v>333.92361499999998</v>
      </c>
      <c r="T51" s="18">
        <f>'AEO 2023 Table 49 Raw'!W41</f>
        <v>335.44903599999998</v>
      </c>
      <c r="U51" s="18">
        <f>'AEO 2023 Table 49 Raw'!X41</f>
        <v>337.36404399999998</v>
      </c>
      <c r="V51" s="18">
        <f>'AEO 2023 Table 49 Raw'!Y41</f>
        <v>339.16110200000003</v>
      </c>
      <c r="W51" s="18">
        <f>'AEO 2023 Table 49 Raw'!Z41</f>
        <v>341.21862800000002</v>
      </c>
      <c r="X51" s="18">
        <f>'AEO 2023 Table 49 Raw'!AA41</f>
        <v>343.15524299999998</v>
      </c>
      <c r="Y51" s="18">
        <f>'AEO 2023 Table 49 Raw'!AB41</f>
        <v>344.90252700000002</v>
      </c>
      <c r="Z51" s="18">
        <f>'AEO 2023 Table 49 Raw'!AC41</f>
        <v>346.50024400000001</v>
      </c>
      <c r="AA51" s="18">
        <f>'AEO 2023 Table 49 Raw'!AD41</f>
        <v>348.24490400000002</v>
      </c>
      <c r="AB51" s="18">
        <f>'AEO 2023 Table 49 Raw'!AE41</f>
        <v>349.90035999999998</v>
      </c>
      <c r="AC51" s="18">
        <f>'AEO 2023 Table 49 Raw'!AF41</f>
        <v>351.47170999999997</v>
      </c>
      <c r="AD51" s="18">
        <f>'AEO 2023 Table 49 Raw'!AG41</f>
        <v>353.64367700000003</v>
      </c>
      <c r="AE51" s="18">
        <f>'AEO 2023 Table 49 Raw'!AH41</f>
        <v>356.19241299999999</v>
      </c>
      <c r="AF51" s="30">
        <f>'AEO 2023 Table 49 Raw'!AI41</f>
        <v>4.0000000000000001E-3</v>
      </c>
    </row>
    <row r="52" spans="1:32" ht="15" customHeight="1">
      <c r="C52" s="18"/>
      <c r="D52" s="18"/>
      <c r="E52" s="18"/>
      <c r="F52" s="18"/>
      <c r="G52" s="18"/>
      <c r="H52" s="18"/>
      <c r="I52" s="18"/>
      <c r="J52" s="18"/>
      <c r="K52" s="18"/>
      <c r="L52" s="18"/>
      <c r="M52" s="18"/>
      <c r="N52" s="18"/>
      <c r="O52" s="18"/>
      <c r="P52" s="18"/>
      <c r="Q52" s="18"/>
      <c r="R52" s="18"/>
      <c r="S52" s="18"/>
      <c r="T52" s="18"/>
      <c r="U52" s="18"/>
      <c r="V52" s="18"/>
      <c r="W52" s="18"/>
      <c r="X52" s="18"/>
      <c r="Y52" s="18"/>
      <c r="Z52" s="18"/>
      <c r="AA52" s="18"/>
      <c r="AB52" s="18"/>
      <c r="AC52" s="18"/>
      <c r="AD52" s="18"/>
      <c r="AE52" s="18"/>
      <c r="AF52" s="30"/>
    </row>
    <row r="53" spans="1:32" ht="15" customHeight="1">
      <c r="B53" s="15" t="s">
        <v>780</v>
      </c>
      <c r="C53" s="18"/>
      <c r="D53" s="18"/>
      <c r="E53" s="18"/>
      <c r="F53" s="18"/>
      <c r="G53" s="18"/>
      <c r="H53" s="18"/>
      <c r="I53" s="18"/>
      <c r="J53" s="18"/>
      <c r="K53" s="18"/>
      <c r="L53" s="18"/>
      <c r="M53" s="18"/>
      <c r="N53" s="18"/>
      <c r="O53" s="18"/>
      <c r="P53" s="18"/>
      <c r="Q53" s="18"/>
      <c r="R53" s="18"/>
      <c r="S53" s="18"/>
      <c r="T53" s="18"/>
      <c r="U53" s="18"/>
      <c r="V53" s="18"/>
      <c r="W53" s="18"/>
      <c r="X53" s="18"/>
      <c r="Y53" s="18"/>
      <c r="Z53" s="18"/>
      <c r="AA53" s="18"/>
      <c r="AB53" s="18"/>
      <c r="AC53" s="18"/>
      <c r="AD53" s="18"/>
      <c r="AE53" s="18"/>
      <c r="AF53" s="30"/>
    </row>
    <row r="54" spans="1:32" ht="15" customHeight="1">
      <c r="B54" s="15" t="s">
        <v>734</v>
      </c>
      <c r="C54" s="18"/>
      <c r="D54" s="18"/>
      <c r="E54" s="18"/>
      <c r="F54" s="18"/>
      <c r="G54" s="18"/>
      <c r="H54" s="18"/>
      <c r="I54" s="18"/>
      <c r="J54" s="18"/>
      <c r="K54" s="18"/>
      <c r="L54" s="18"/>
      <c r="M54" s="18"/>
      <c r="N54" s="18"/>
      <c r="O54" s="18"/>
      <c r="P54" s="18"/>
      <c r="Q54" s="18"/>
      <c r="R54" s="18"/>
      <c r="S54" s="18"/>
      <c r="T54" s="18"/>
      <c r="U54" s="18"/>
      <c r="V54" s="18"/>
      <c r="W54" s="18"/>
      <c r="X54" s="18"/>
      <c r="Y54" s="18"/>
      <c r="Z54" s="18"/>
      <c r="AA54" s="18"/>
      <c r="AB54" s="18"/>
      <c r="AC54" s="18"/>
      <c r="AD54" s="18"/>
      <c r="AE54" s="18"/>
      <c r="AF54" s="30"/>
    </row>
    <row r="55" spans="1:32" ht="15" customHeight="1">
      <c r="A55" s="7" t="s">
        <v>781</v>
      </c>
      <c r="B55" s="16" t="s">
        <v>736</v>
      </c>
      <c r="C55" s="18">
        <f>'AEO 2023 Table 49 Raw'!F44</f>
        <v>505.03723100000002</v>
      </c>
      <c r="D55" s="18">
        <f>'AEO 2023 Table 49 Raw'!G44</f>
        <v>485.44491599999998</v>
      </c>
      <c r="E55" s="18">
        <f>'AEO 2023 Table 49 Raw'!H44</f>
        <v>469.56829800000003</v>
      </c>
      <c r="F55" s="18">
        <f>'AEO 2023 Table 49 Raw'!I44</f>
        <v>457.05853300000001</v>
      </c>
      <c r="G55" s="18">
        <f>'AEO 2023 Table 49 Raw'!J44</f>
        <v>445.32620200000002</v>
      </c>
      <c r="H55" s="18">
        <f>'AEO 2023 Table 49 Raw'!K44</f>
        <v>431.78775000000002</v>
      </c>
      <c r="I55" s="18">
        <f>'AEO 2023 Table 49 Raw'!L44</f>
        <v>418.97491500000001</v>
      </c>
      <c r="J55" s="18">
        <f>'AEO 2023 Table 49 Raw'!M44</f>
        <v>407.44158900000002</v>
      </c>
      <c r="K55" s="18">
        <f>'AEO 2023 Table 49 Raw'!N44</f>
        <v>398.90502900000001</v>
      </c>
      <c r="L55" s="18">
        <f>'AEO 2023 Table 49 Raw'!O44</f>
        <v>393.05145299999998</v>
      </c>
      <c r="M55" s="18">
        <f>'AEO 2023 Table 49 Raw'!P44</f>
        <v>389.76025399999997</v>
      </c>
      <c r="N55" s="18">
        <f>'AEO 2023 Table 49 Raw'!Q44</f>
        <v>387.04650900000001</v>
      </c>
      <c r="O55" s="18">
        <f>'AEO 2023 Table 49 Raw'!R44</f>
        <v>384.93383799999998</v>
      </c>
      <c r="P55" s="18">
        <f>'AEO 2023 Table 49 Raw'!S44</f>
        <v>383.96670499999999</v>
      </c>
      <c r="Q55" s="18">
        <f>'AEO 2023 Table 49 Raw'!T44</f>
        <v>382.68963600000001</v>
      </c>
      <c r="R55" s="18">
        <f>'AEO 2023 Table 49 Raw'!U44</f>
        <v>382.74392699999999</v>
      </c>
      <c r="S55" s="18">
        <f>'AEO 2023 Table 49 Raw'!V44</f>
        <v>383.16451999999998</v>
      </c>
      <c r="T55" s="18">
        <f>'AEO 2023 Table 49 Raw'!W44</f>
        <v>383.860657</v>
      </c>
      <c r="U55" s="18">
        <f>'AEO 2023 Table 49 Raw'!X44</f>
        <v>385.70626800000002</v>
      </c>
      <c r="V55" s="18">
        <f>'AEO 2023 Table 49 Raw'!Y44</f>
        <v>387.97345000000001</v>
      </c>
      <c r="W55" s="18">
        <f>'AEO 2023 Table 49 Raw'!Z44</f>
        <v>391.06152300000002</v>
      </c>
      <c r="X55" s="18">
        <f>'AEO 2023 Table 49 Raw'!AA44</f>
        <v>394.662262</v>
      </c>
      <c r="Y55" s="18">
        <f>'AEO 2023 Table 49 Raw'!AB44</f>
        <v>398.46346999999997</v>
      </c>
      <c r="Z55" s="18">
        <f>'AEO 2023 Table 49 Raw'!AC44</f>
        <v>402.75805700000001</v>
      </c>
      <c r="AA55" s="18">
        <f>'AEO 2023 Table 49 Raw'!AD44</f>
        <v>407.94180299999999</v>
      </c>
      <c r="AB55" s="18">
        <f>'AEO 2023 Table 49 Raw'!AE44</f>
        <v>413.58783</v>
      </c>
      <c r="AC55" s="18">
        <f>'AEO 2023 Table 49 Raw'!AF44</f>
        <v>419.52957199999997</v>
      </c>
      <c r="AD55" s="18">
        <f>'AEO 2023 Table 49 Raw'!AG44</f>
        <v>426.11764499999998</v>
      </c>
      <c r="AE55" s="18">
        <f>'AEO 2023 Table 49 Raw'!AH44</f>
        <v>433.09433000000001</v>
      </c>
      <c r="AF55" s="30">
        <f>'AEO 2023 Table 49 Raw'!AI44</f>
        <v>-5.0000000000000001E-3</v>
      </c>
    </row>
    <row r="56" spans="1:32" ht="15" customHeight="1">
      <c r="A56" s="7" t="s">
        <v>782</v>
      </c>
      <c r="B56" s="16" t="s">
        <v>738</v>
      </c>
      <c r="C56" s="18">
        <f>'AEO 2023 Table 49 Raw'!F45</f>
        <v>197.09033199999999</v>
      </c>
      <c r="D56" s="18">
        <f>'AEO 2023 Table 49 Raw'!G45</f>
        <v>201.26857000000001</v>
      </c>
      <c r="E56" s="18">
        <f>'AEO 2023 Table 49 Raw'!H45</f>
        <v>206.06437700000001</v>
      </c>
      <c r="F56" s="18">
        <f>'AEO 2023 Table 49 Raw'!I45</f>
        <v>211.38995399999999</v>
      </c>
      <c r="G56" s="18">
        <f>'AEO 2023 Table 49 Raw'!J45</f>
        <v>216.262878</v>
      </c>
      <c r="H56" s="18">
        <f>'AEO 2023 Table 49 Raw'!K45</f>
        <v>219.178146</v>
      </c>
      <c r="I56" s="18">
        <f>'AEO 2023 Table 49 Raw'!L45</f>
        <v>221.272842</v>
      </c>
      <c r="J56" s="18">
        <f>'AEO 2023 Table 49 Raw'!M45</f>
        <v>223.02633700000001</v>
      </c>
      <c r="K56" s="18">
        <f>'AEO 2023 Table 49 Raw'!N45</f>
        <v>225.39292900000001</v>
      </c>
      <c r="L56" s="18">
        <f>'AEO 2023 Table 49 Raw'!O45</f>
        <v>228.195145</v>
      </c>
      <c r="M56" s="18">
        <f>'AEO 2023 Table 49 Raw'!P45</f>
        <v>232.10806299999999</v>
      </c>
      <c r="N56" s="18">
        <f>'AEO 2023 Table 49 Raw'!Q45</f>
        <v>236.13992300000001</v>
      </c>
      <c r="O56" s="18">
        <f>'AEO 2023 Table 49 Raw'!R45</f>
        <v>239.99026499999999</v>
      </c>
      <c r="P56" s="18">
        <f>'AEO 2023 Table 49 Raw'!S45</f>
        <v>244.10591099999999</v>
      </c>
      <c r="Q56" s="18">
        <f>'AEO 2023 Table 49 Raw'!T45</f>
        <v>247.91830400000001</v>
      </c>
      <c r="R56" s="18">
        <f>'AEO 2023 Table 49 Raw'!U45</f>
        <v>252.39035000000001</v>
      </c>
      <c r="S56" s="18">
        <f>'AEO 2023 Table 49 Raw'!V45</f>
        <v>256.58529700000003</v>
      </c>
      <c r="T56" s="18">
        <f>'AEO 2023 Table 49 Raw'!W45</f>
        <v>260.04367100000002</v>
      </c>
      <c r="U56" s="18">
        <f>'AEO 2023 Table 49 Raw'!X45</f>
        <v>263.66922</v>
      </c>
      <c r="V56" s="18">
        <f>'AEO 2023 Table 49 Raw'!Y45</f>
        <v>268.157196</v>
      </c>
      <c r="W56" s="18">
        <f>'AEO 2023 Table 49 Raw'!Z45</f>
        <v>272.69494600000002</v>
      </c>
      <c r="X56" s="18">
        <f>'AEO 2023 Table 49 Raw'!AA45</f>
        <v>276.627747</v>
      </c>
      <c r="Y56" s="18">
        <f>'AEO 2023 Table 49 Raw'!AB45</f>
        <v>280.18627900000001</v>
      </c>
      <c r="Z56" s="18">
        <f>'AEO 2023 Table 49 Raw'!AC45</f>
        <v>283.63119499999999</v>
      </c>
      <c r="AA56" s="18">
        <f>'AEO 2023 Table 49 Raw'!AD45</f>
        <v>287.394745</v>
      </c>
      <c r="AB56" s="18">
        <f>'AEO 2023 Table 49 Raw'!AE45</f>
        <v>291.14355499999999</v>
      </c>
      <c r="AC56" s="18">
        <f>'AEO 2023 Table 49 Raw'!AF45</f>
        <v>294.69296300000002</v>
      </c>
      <c r="AD56" s="18">
        <f>'AEO 2023 Table 49 Raw'!AG45</f>
        <v>298.480591</v>
      </c>
      <c r="AE56" s="18">
        <f>'AEO 2023 Table 49 Raw'!AH45</f>
        <v>302.51641799999999</v>
      </c>
      <c r="AF56" s="30">
        <f>'AEO 2023 Table 49 Raw'!AI45</f>
        <v>1.4999999999999999E-2</v>
      </c>
    </row>
    <row r="57" spans="1:32" ht="15" customHeight="1">
      <c r="A57" s="7" t="s">
        <v>783</v>
      </c>
      <c r="B57" s="16" t="s">
        <v>382</v>
      </c>
      <c r="C57" s="18">
        <f>'AEO 2023 Table 49 Raw'!F46</f>
        <v>8.8570000000000003E-3</v>
      </c>
      <c r="D57" s="18">
        <f>'AEO 2023 Table 49 Raw'!G46</f>
        <v>7.2086999999999998E-2</v>
      </c>
      <c r="E57" s="18">
        <f>'AEO 2023 Table 49 Raw'!H46</f>
        <v>0.13471</v>
      </c>
      <c r="F57" s="18">
        <f>'AEO 2023 Table 49 Raw'!I46</f>
        <v>0.19301199999999999</v>
      </c>
      <c r="G57" s="18">
        <f>'AEO 2023 Table 49 Raw'!J46</f>
        <v>0.24727499999999999</v>
      </c>
      <c r="H57" s="18">
        <f>'AEO 2023 Table 49 Raw'!K46</f>
        <v>0.29535499999999998</v>
      </c>
      <c r="I57" s="18">
        <f>'AEO 2023 Table 49 Raw'!L46</f>
        <v>0.33980399999999999</v>
      </c>
      <c r="J57" s="18">
        <f>'AEO 2023 Table 49 Raw'!M46</f>
        <v>0.38144499999999998</v>
      </c>
      <c r="K57" s="18">
        <f>'AEO 2023 Table 49 Raw'!N46</f>
        <v>0.42167100000000002</v>
      </c>
      <c r="L57" s="18">
        <f>'AEO 2023 Table 49 Raw'!O46</f>
        <v>0.46169700000000002</v>
      </c>
      <c r="M57" s="18">
        <f>'AEO 2023 Table 49 Raw'!P46</f>
        <v>0.50309700000000002</v>
      </c>
      <c r="N57" s="18">
        <f>'AEO 2023 Table 49 Raw'!Q46</f>
        <v>0.54411500000000002</v>
      </c>
      <c r="O57" s="18">
        <f>'AEO 2023 Table 49 Raw'!R46</f>
        <v>0.58357700000000001</v>
      </c>
      <c r="P57" s="18">
        <f>'AEO 2023 Table 49 Raw'!S46</f>
        <v>0.62368699999999999</v>
      </c>
      <c r="Q57" s="18">
        <f>'AEO 2023 Table 49 Raw'!T46</f>
        <v>0.66417899999999996</v>
      </c>
      <c r="R57" s="18">
        <f>'AEO 2023 Table 49 Raw'!U46</f>
        <v>0.70931200000000005</v>
      </c>
      <c r="S57" s="18">
        <f>'AEO 2023 Table 49 Raw'!V46</f>
        <v>0.75850799999999996</v>
      </c>
      <c r="T57" s="18">
        <f>'AEO 2023 Table 49 Raw'!W46</f>
        <v>0.81182399999999999</v>
      </c>
      <c r="U57" s="18">
        <f>'AEO 2023 Table 49 Raw'!X46</f>
        <v>0.87161</v>
      </c>
      <c r="V57" s="18">
        <f>'AEO 2023 Table 49 Raw'!Y46</f>
        <v>0.93724099999999999</v>
      </c>
      <c r="W57" s="18">
        <f>'AEO 2023 Table 49 Raw'!Z46</f>
        <v>1.0095240000000001</v>
      </c>
      <c r="X57" s="18">
        <f>'AEO 2023 Table 49 Raw'!AA46</f>
        <v>1.087445</v>
      </c>
      <c r="Y57" s="18">
        <f>'AEO 2023 Table 49 Raw'!AB46</f>
        <v>1.1688320000000001</v>
      </c>
      <c r="Z57" s="18">
        <f>'AEO 2023 Table 49 Raw'!AC46</f>
        <v>1.2558339999999999</v>
      </c>
      <c r="AA57" s="18">
        <f>'AEO 2023 Table 49 Raw'!AD46</f>
        <v>1.35043</v>
      </c>
      <c r="AB57" s="18">
        <f>'AEO 2023 Table 49 Raw'!AE46</f>
        <v>1.45109</v>
      </c>
      <c r="AC57" s="18">
        <f>'AEO 2023 Table 49 Raw'!AF46</f>
        <v>1.556732</v>
      </c>
      <c r="AD57" s="18">
        <f>'AEO 2023 Table 49 Raw'!AG46</f>
        <v>1.6688339999999999</v>
      </c>
      <c r="AE57" s="18">
        <f>'AEO 2023 Table 49 Raw'!AH46</f>
        <v>1.786314</v>
      </c>
      <c r="AF57" s="30">
        <f>'AEO 2023 Table 49 Raw'!AI46</f>
        <v>0.20899999999999999</v>
      </c>
    </row>
    <row r="58" spans="1:32" ht="15" customHeight="1">
      <c r="A58" s="7" t="s">
        <v>784</v>
      </c>
      <c r="B58" s="16" t="s">
        <v>741</v>
      </c>
      <c r="C58" s="18">
        <f>'AEO 2023 Table 49 Raw'!F47</f>
        <v>0.192854</v>
      </c>
      <c r="D58" s="18">
        <f>'AEO 2023 Table 49 Raw'!G47</f>
        <v>0.175927</v>
      </c>
      <c r="E58" s="18">
        <f>'AEO 2023 Table 49 Raw'!H47</f>
        <v>0.16134599999999999</v>
      </c>
      <c r="F58" s="18">
        <f>'AEO 2023 Table 49 Raw'!I47</f>
        <v>0.148507</v>
      </c>
      <c r="G58" s="18">
        <f>'AEO 2023 Table 49 Raw'!J47</f>
        <v>0.13669799999999999</v>
      </c>
      <c r="H58" s="18">
        <f>'AEO 2023 Table 49 Raw'!K47</f>
        <v>0.12523899999999999</v>
      </c>
      <c r="I58" s="18">
        <f>'AEO 2023 Table 49 Raw'!L47</f>
        <v>0.114492</v>
      </c>
      <c r="J58" s="18">
        <f>'AEO 2023 Table 49 Raw'!M47</f>
        <v>0.104583</v>
      </c>
      <c r="K58" s="18">
        <f>'AEO 2023 Table 49 Raw'!N47</f>
        <v>9.5825999999999995E-2</v>
      </c>
      <c r="L58" s="18">
        <f>'AEO 2023 Table 49 Raw'!O47</f>
        <v>8.8041999999999995E-2</v>
      </c>
      <c r="M58" s="18">
        <f>'AEO 2023 Table 49 Raw'!P47</f>
        <v>8.1095E-2</v>
      </c>
      <c r="N58" s="18">
        <f>'AEO 2023 Table 49 Raw'!Q47</f>
        <v>7.4130000000000001E-2</v>
      </c>
      <c r="O58" s="18">
        <f>'AEO 2023 Table 49 Raw'!R47</f>
        <v>6.6986000000000004E-2</v>
      </c>
      <c r="P58" s="18">
        <f>'AEO 2023 Table 49 Raw'!S47</f>
        <v>5.9619999999999999E-2</v>
      </c>
      <c r="Q58" s="18">
        <f>'AEO 2023 Table 49 Raw'!T47</f>
        <v>5.2169E-2</v>
      </c>
      <c r="R58" s="18">
        <f>'AEO 2023 Table 49 Raw'!U47</f>
        <v>4.4464999999999998E-2</v>
      </c>
      <c r="S58" s="18">
        <f>'AEO 2023 Table 49 Raw'!V47</f>
        <v>3.7345999999999997E-2</v>
      </c>
      <c r="T58" s="18">
        <f>'AEO 2023 Table 49 Raw'!W47</f>
        <v>3.0891999999999999E-2</v>
      </c>
      <c r="U58" s="18">
        <f>'AEO 2023 Table 49 Raw'!X47</f>
        <v>2.4523E-2</v>
      </c>
      <c r="V58" s="18">
        <f>'AEO 2023 Table 49 Raw'!Y47</f>
        <v>1.9553999999999998E-2</v>
      </c>
      <c r="W58" s="18">
        <f>'AEO 2023 Table 49 Raw'!Z47</f>
        <v>1.5955E-2</v>
      </c>
      <c r="X58" s="18">
        <f>'AEO 2023 Table 49 Raw'!AA47</f>
        <v>1.3365E-2</v>
      </c>
      <c r="Y58" s="18">
        <f>'AEO 2023 Table 49 Raw'!AB47</f>
        <v>1.17E-2</v>
      </c>
      <c r="Z58" s="18">
        <f>'AEO 2023 Table 49 Raw'!AC47</f>
        <v>1.0548999999999999E-2</v>
      </c>
      <c r="AA58" s="18">
        <f>'AEO 2023 Table 49 Raw'!AD47</f>
        <v>9.6310000000000007E-3</v>
      </c>
      <c r="AB58" s="18">
        <f>'AEO 2023 Table 49 Raw'!AE47</f>
        <v>8.9779999999999999E-3</v>
      </c>
      <c r="AC58" s="18">
        <f>'AEO 2023 Table 49 Raw'!AF47</f>
        <v>8.1410000000000007E-3</v>
      </c>
      <c r="AD58" s="18">
        <f>'AEO 2023 Table 49 Raw'!AG47</f>
        <v>7.1910000000000003E-3</v>
      </c>
      <c r="AE58" s="18">
        <f>'AEO 2023 Table 49 Raw'!AH47</f>
        <v>6.0070000000000002E-3</v>
      </c>
      <c r="AF58" s="30">
        <f>'AEO 2023 Table 49 Raw'!AI47</f>
        <v>-0.11700000000000001</v>
      </c>
    </row>
    <row r="59" spans="1:32" ht="15" customHeight="1">
      <c r="A59" s="7" t="s">
        <v>785</v>
      </c>
      <c r="B59" s="16" t="s">
        <v>743</v>
      </c>
      <c r="C59" s="18">
        <f>'AEO 2023 Table 49 Raw'!F48</f>
        <v>46.30368</v>
      </c>
      <c r="D59" s="18">
        <f>'AEO 2023 Table 49 Raw'!G48</f>
        <v>45.147464999999997</v>
      </c>
      <c r="E59" s="18">
        <f>'AEO 2023 Table 49 Raw'!H48</f>
        <v>44.153458000000001</v>
      </c>
      <c r="F59" s="18">
        <f>'AEO 2023 Table 49 Raw'!I48</f>
        <v>43.265628999999997</v>
      </c>
      <c r="G59" s="18">
        <f>'AEO 2023 Table 49 Raw'!J48</f>
        <v>42.385063000000002</v>
      </c>
      <c r="H59" s="18">
        <f>'AEO 2023 Table 49 Raw'!K48</f>
        <v>41.373074000000003</v>
      </c>
      <c r="I59" s="18">
        <f>'AEO 2023 Table 49 Raw'!L48</f>
        <v>40.410004000000001</v>
      </c>
      <c r="J59" s="18">
        <f>'AEO 2023 Table 49 Raw'!M48</f>
        <v>39.551361</v>
      </c>
      <c r="K59" s="18">
        <f>'AEO 2023 Table 49 Raw'!N48</f>
        <v>38.888568999999997</v>
      </c>
      <c r="L59" s="18">
        <f>'AEO 2023 Table 49 Raw'!O48</f>
        <v>38.416331999999997</v>
      </c>
      <c r="M59" s="18">
        <f>'AEO 2023 Table 49 Raw'!P48</f>
        <v>38.143318000000001</v>
      </c>
      <c r="N59" s="18">
        <f>'AEO 2023 Table 49 Raw'!Q48</f>
        <v>37.850304000000001</v>
      </c>
      <c r="O59" s="18">
        <f>'AEO 2023 Table 49 Raw'!R48</f>
        <v>37.347014999999999</v>
      </c>
      <c r="P59" s="18">
        <f>'AEO 2023 Table 49 Raw'!S48</f>
        <v>36.758690000000001</v>
      </c>
      <c r="Q59" s="18">
        <f>'AEO 2023 Table 49 Raw'!T48</f>
        <v>35.986319999999999</v>
      </c>
      <c r="R59" s="18">
        <f>'AEO 2023 Table 49 Raw'!U48</f>
        <v>35.266883999999997</v>
      </c>
      <c r="S59" s="18">
        <f>'AEO 2023 Table 49 Raw'!V48</f>
        <v>34.371727</v>
      </c>
      <c r="T59" s="18">
        <f>'AEO 2023 Table 49 Raw'!W48</f>
        <v>33.439532999999997</v>
      </c>
      <c r="U59" s="18">
        <f>'AEO 2023 Table 49 Raw'!X48</f>
        <v>32.662486999999999</v>
      </c>
      <c r="V59" s="18">
        <f>'AEO 2023 Table 49 Raw'!Y48</f>
        <v>32.055050000000001</v>
      </c>
      <c r="W59" s="18">
        <f>'AEO 2023 Table 49 Raw'!Z48</f>
        <v>31.636341000000002</v>
      </c>
      <c r="X59" s="18">
        <f>'AEO 2023 Table 49 Raw'!AA48</f>
        <v>31.408114999999999</v>
      </c>
      <c r="Y59" s="18">
        <f>'AEO 2023 Table 49 Raw'!AB48</f>
        <v>31.356092</v>
      </c>
      <c r="Z59" s="18">
        <f>'AEO 2023 Table 49 Raw'!AC48</f>
        <v>31.392386999999999</v>
      </c>
      <c r="AA59" s="18">
        <f>'AEO 2023 Table 49 Raw'!AD48</f>
        <v>31.533971999999999</v>
      </c>
      <c r="AB59" s="18">
        <f>'AEO 2023 Table 49 Raw'!AE48</f>
        <v>31.735731000000001</v>
      </c>
      <c r="AC59" s="18">
        <f>'AEO 2023 Table 49 Raw'!AF48</f>
        <v>31.973125</v>
      </c>
      <c r="AD59" s="18">
        <f>'AEO 2023 Table 49 Raw'!AG48</f>
        <v>32.235847</v>
      </c>
      <c r="AE59" s="18">
        <f>'AEO 2023 Table 49 Raw'!AH48</f>
        <v>32.518433000000002</v>
      </c>
      <c r="AF59" s="30">
        <f>'AEO 2023 Table 49 Raw'!AI48</f>
        <v>-1.2999999999999999E-2</v>
      </c>
    </row>
    <row r="60" spans="1:32" ht="15" customHeight="1">
      <c r="A60" s="7" t="s">
        <v>786</v>
      </c>
      <c r="B60" s="16" t="s">
        <v>745</v>
      </c>
      <c r="C60" s="18">
        <f>'AEO 2023 Table 49 Raw'!F49</f>
        <v>4.6360000000000004E-3</v>
      </c>
      <c r="D60" s="18">
        <f>'AEO 2023 Table 49 Raw'!G49</f>
        <v>4.2170000000000003E-3</v>
      </c>
      <c r="E60" s="18">
        <f>'AEO 2023 Table 49 Raw'!H49</f>
        <v>3.882E-3</v>
      </c>
      <c r="F60" s="18">
        <f>'AEO 2023 Table 49 Raw'!I49</f>
        <v>3.62E-3</v>
      </c>
      <c r="G60" s="18">
        <f>'AEO 2023 Table 49 Raw'!J49</f>
        <v>3.4129999999999998E-3</v>
      </c>
      <c r="H60" s="18">
        <f>'AEO 2023 Table 49 Raw'!K49</f>
        <v>3.241E-3</v>
      </c>
      <c r="I60" s="18">
        <f>'AEO 2023 Table 49 Raw'!L49</f>
        <v>3.107E-3</v>
      </c>
      <c r="J60" s="18">
        <f>'AEO 2023 Table 49 Raw'!M49</f>
        <v>2.9020000000000001E-3</v>
      </c>
      <c r="K60" s="18">
        <f>'AEO 2023 Table 49 Raw'!N49</f>
        <v>2.6519999999999998E-3</v>
      </c>
      <c r="L60" s="18">
        <f>'AEO 2023 Table 49 Raw'!O49</f>
        <v>2.4220000000000001E-3</v>
      </c>
      <c r="M60" s="18">
        <f>'AEO 2023 Table 49 Raw'!P49</f>
        <v>2.2169999999999998E-3</v>
      </c>
      <c r="N60" s="18">
        <f>'AEO 2023 Table 49 Raw'!Q49</f>
        <v>1.856E-3</v>
      </c>
      <c r="O60" s="18">
        <f>'AEO 2023 Table 49 Raw'!R49</f>
        <v>1.4549999999999999E-3</v>
      </c>
      <c r="P60" s="18">
        <f>'AEO 2023 Table 49 Raw'!S49</f>
        <v>1.142E-3</v>
      </c>
      <c r="Q60" s="18">
        <f>'AEO 2023 Table 49 Raw'!T49</f>
        <v>8.9400000000000005E-4</v>
      </c>
      <c r="R60" s="18">
        <f>'AEO 2023 Table 49 Raw'!U49</f>
        <v>7.0100000000000002E-4</v>
      </c>
      <c r="S60" s="18">
        <f>'AEO 2023 Table 49 Raw'!V49</f>
        <v>5.4799999999999998E-4</v>
      </c>
      <c r="T60" s="18">
        <f>'AEO 2023 Table 49 Raw'!W49</f>
        <v>4.2700000000000002E-4</v>
      </c>
      <c r="U60" s="18">
        <f>'AEO 2023 Table 49 Raw'!X49</f>
        <v>3.79E-4</v>
      </c>
      <c r="V60" s="18">
        <f>'AEO 2023 Table 49 Raw'!Y49</f>
        <v>3.6900000000000002E-4</v>
      </c>
      <c r="W60" s="18">
        <f>'AEO 2023 Table 49 Raw'!Z49</f>
        <v>3.59E-4</v>
      </c>
      <c r="X60" s="18">
        <f>'AEO 2023 Table 49 Raw'!AA49</f>
        <v>3.48E-4</v>
      </c>
      <c r="Y60" s="18">
        <f>'AEO 2023 Table 49 Raw'!AB49</f>
        <v>2.81E-4</v>
      </c>
      <c r="Z60" s="18">
        <f>'AEO 2023 Table 49 Raw'!AC49</f>
        <v>1.9699999999999999E-4</v>
      </c>
      <c r="AA60" s="18">
        <f>'AEO 2023 Table 49 Raw'!AD49</f>
        <v>1.3799999999999999E-4</v>
      </c>
      <c r="AB60" s="18">
        <f>'AEO 2023 Table 49 Raw'!AE49</f>
        <v>9.7E-5</v>
      </c>
      <c r="AC60" s="18">
        <f>'AEO 2023 Table 49 Raw'!AF49</f>
        <v>6.7999999999999999E-5</v>
      </c>
      <c r="AD60" s="18">
        <f>'AEO 2023 Table 49 Raw'!AG49</f>
        <v>4.8000000000000001E-5</v>
      </c>
      <c r="AE60" s="18">
        <f>'AEO 2023 Table 49 Raw'!AH49</f>
        <v>3.3000000000000003E-5</v>
      </c>
      <c r="AF60" s="30">
        <f>'AEO 2023 Table 49 Raw'!AI49</f>
        <v>-0.16200000000000001</v>
      </c>
    </row>
    <row r="61" spans="1:32" ht="15" customHeight="1">
      <c r="A61" s="7" t="s">
        <v>787</v>
      </c>
      <c r="B61" s="16" t="s">
        <v>747</v>
      </c>
      <c r="C61" s="18">
        <f>'AEO 2023 Table 49 Raw'!F50</f>
        <v>0</v>
      </c>
      <c r="D61" s="18">
        <f>'AEO 2023 Table 49 Raw'!G50</f>
        <v>3.1223000000000001E-2</v>
      </c>
      <c r="E61" s="18">
        <f>'AEO 2023 Table 49 Raw'!H50</f>
        <v>6.2052000000000003E-2</v>
      </c>
      <c r="F61" s="18">
        <f>'AEO 2023 Table 49 Raw'!I50</f>
        <v>9.4270999999999994E-2</v>
      </c>
      <c r="G61" s="18">
        <f>'AEO 2023 Table 49 Raw'!J50</f>
        <v>0.12647800000000001</v>
      </c>
      <c r="H61" s="18">
        <f>'AEO 2023 Table 49 Raw'!K50</f>
        <v>0.15697800000000001</v>
      </c>
      <c r="I61" s="18">
        <f>'AEO 2023 Table 49 Raw'!L50</f>
        <v>0.18640999999999999</v>
      </c>
      <c r="J61" s="18">
        <f>'AEO 2023 Table 49 Raw'!M50</f>
        <v>0.214703</v>
      </c>
      <c r="K61" s="18">
        <f>'AEO 2023 Table 49 Raw'!N50</f>
        <v>0.24248700000000001</v>
      </c>
      <c r="L61" s="18">
        <f>'AEO 2023 Table 49 Raw'!O50</f>
        <v>0.27023999999999998</v>
      </c>
      <c r="M61" s="18">
        <f>'AEO 2023 Table 49 Raw'!P50</f>
        <v>0.29915000000000003</v>
      </c>
      <c r="N61" s="18">
        <f>'AEO 2023 Table 49 Raw'!Q50</f>
        <v>0.32853300000000002</v>
      </c>
      <c r="O61" s="18">
        <f>'AEO 2023 Table 49 Raw'!R50</f>
        <v>0.35842000000000002</v>
      </c>
      <c r="P61" s="18">
        <f>'AEO 2023 Table 49 Raw'!S50</f>
        <v>0.39030399999999998</v>
      </c>
      <c r="Q61" s="18">
        <f>'AEO 2023 Table 49 Raw'!T50</f>
        <v>0.42387000000000002</v>
      </c>
      <c r="R61" s="18">
        <f>'AEO 2023 Table 49 Raw'!U50</f>
        <v>0.46174199999999999</v>
      </c>
      <c r="S61" s="18">
        <f>'AEO 2023 Table 49 Raw'!V50</f>
        <v>0.50373699999999999</v>
      </c>
      <c r="T61" s="18">
        <f>'AEO 2023 Table 49 Raw'!W50</f>
        <v>0.55010000000000003</v>
      </c>
      <c r="U61" s="18">
        <f>'AEO 2023 Table 49 Raw'!X50</f>
        <v>0.60294199999999998</v>
      </c>
      <c r="V61" s="18">
        <f>'AEO 2023 Table 49 Raw'!Y50</f>
        <v>0.66208199999999995</v>
      </c>
      <c r="W61" s="18">
        <f>'AEO 2023 Table 49 Raw'!Z50</f>
        <v>0.72731500000000004</v>
      </c>
      <c r="X61" s="18">
        <f>'AEO 2023 Table 49 Raw'!AA50</f>
        <v>0.79698999999999998</v>
      </c>
      <c r="Y61" s="18">
        <f>'AEO 2023 Table 49 Raw'!AB50</f>
        <v>0.87017100000000003</v>
      </c>
      <c r="Z61" s="18">
        <f>'AEO 2023 Table 49 Raw'!AC50</f>
        <v>0.94737499999999997</v>
      </c>
      <c r="AA61" s="18">
        <f>'AEO 2023 Table 49 Raw'!AD50</f>
        <v>1.0282020000000001</v>
      </c>
      <c r="AB61" s="18">
        <f>'AEO 2023 Table 49 Raw'!AE50</f>
        <v>1.111251</v>
      </c>
      <c r="AC61" s="18">
        <f>'AEO 2023 Table 49 Raw'!AF50</f>
        <v>1.195668</v>
      </c>
      <c r="AD61" s="18">
        <f>'AEO 2023 Table 49 Raw'!AG50</f>
        <v>1.282565</v>
      </c>
      <c r="AE61" s="18">
        <f>'AEO 2023 Table 49 Raw'!AH50</f>
        <v>1.3711439999999999</v>
      </c>
      <c r="AF61" s="30" t="str">
        <f>'AEO 2023 Table 49 Raw'!AI50</f>
        <v>- -</v>
      </c>
    </row>
    <row r="62" spans="1:32" ht="15" customHeight="1">
      <c r="A62" s="7" t="s">
        <v>788</v>
      </c>
      <c r="B62" s="16" t="s">
        <v>749</v>
      </c>
      <c r="C62" s="18">
        <f>'AEO 2023 Table 49 Raw'!F51</f>
        <v>0</v>
      </c>
      <c r="D62" s="18">
        <f>'AEO 2023 Table 49 Raw'!G51</f>
        <v>3.7399000000000002E-2</v>
      </c>
      <c r="E62" s="18">
        <f>'AEO 2023 Table 49 Raw'!H51</f>
        <v>7.4163000000000007E-2</v>
      </c>
      <c r="F62" s="18">
        <f>'AEO 2023 Table 49 Raw'!I51</f>
        <v>0.11178100000000001</v>
      </c>
      <c r="G62" s="18">
        <f>'AEO 2023 Table 49 Raw'!J51</f>
        <v>0.14894499999999999</v>
      </c>
      <c r="H62" s="18">
        <f>'AEO 2023 Table 49 Raw'!K51</f>
        <v>0.18398300000000001</v>
      </c>
      <c r="I62" s="18">
        <f>'AEO 2023 Table 49 Raw'!L51</f>
        <v>0.21740999999999999</v>
      </c>
      <c r="J62" s="18">
        <f>'AEO 2023 Table 49 Raw'!M51</f>
        <v>0.24943899999999999</v>
      </c>
      <c r="K62" s="18">
        <f>'AEO 2023 Table 49 Raw'!N51</f>
        <v>0.28114099999999997</v>
      </c>
      <c r="L62" s="18">
        <f>'AEO 2023 Table 49 Raw'!O51</f>
        <v>0.31350499999999998</v>
      </c>
      <c r="M62" s="18">
        <f>'AEO 2023 Table 49 Raw'!P51</f>
        <v>0.34805000000000003</v>
      </c>
      <c r="N62" s="18">
        <f>'AEO 2023 Table 49 Raw'!Q51</f>
        <v>0.38410100000000003</v>
      </c>
      <c r="O62" s="18">
        <f>'AEO 2023 Table 49 Raw'!R51</f>
        <v>0.42158600000000002</v>
      </c>
      <c r="P62" s="18">
        <f>'AEO 2023 Table 49 Raw'!S51</f>
        <v>0.46238800000000002</v>
      </c>
      <c r="Q62" s="18">
        <f>'AEO 2023 Table 49 Raw'!T51</f>
        <v>0.506243</v>
      </c>
      <c r="R62" s="18">
        <f>'AEO 2023 Table 49 Raw'!U51</f>
        <v>0.55655399999999999</v>
      </c>
      <c r="S62" s="18">
        <f>'AEO 2023 Table 49 Raw'!V51</f>
        <v>0.61326000000000003</v>
      </c>
      <c r="T62" s="18">
        <f>'AEO 2023 Table 49 Raw'!W51</f>
        <v>0.67687399999999998</v>
      </c>
      <c r="U62" s="18">
        <f>'AEO 2023 Table 49 Raw'!X51</f>
        <v>0.75017900000000004</v>
      </c>
      <c r="V62" s="18">
        <f>'AEO 2023 Table 49 Raw'!Y51</f>
        <v>0.83308300000000002</v>
      </c>
      <c r="W62" s="18">
        <f>'AEO 2023 Table 49 Raw'!Z51</f>
        <v>0.92514799999999997</v>
      </c>
      <c r="X62" s="18">
        <f>'AEO 2023 Table 49 Raw'!AA51</f>
        <v>1.0241309999999999</v>
      </c>
      <c r="Y62" s="18">
        <f>'AEO 2023 Table 49 Raw'!AB51</f>
        <v>1.1286910000000001</v>
      </c>
      <c r="Z62" s="18">
        <f>'AEO 2023 Table 49 Raw'!AC51</f>
        <v>1.239614</v>
      </c>
      <c r="AA62" s="18">
        <f>'AEO 2023 Table 49 Raw'!AD51</f>
        <v>1.356347</v>
      </c>
      <c r="AB62" s="18">
        <f>'AEO 2023 Table 49 Raw'!AE51</f>
        <v>1.4767459999999999</v>
      </c>
      <c r="AC62" s="18">
        <f>'AEO 2023 Table 49 Raw'!AF51</f>
        <v>1.599477</v>
      </c>
      <c r="AD62" s="18">
        <f>'AEO 2023 Table 49 Raw'!AG51</f>
        <v>1.725881</v>
      </c>
      <c r="AE62" s="18">
        <f>'AEO 2023 Table 49 Raw'!AH51</f>
        <v>1.854649</v>
      </c>
      <c r="AF62" s="30" t="str">
        <f>'AEO 2023 Table 49 Raw'!AI51</f>
        <v>- -</v>
      </c>
    </row>
    <row r="63" spans="1:32" ht="15" customHeight="1">
      <c r="A63" s="7" t="s">
        <v>789</v>
      </c>
      <c r="B63" s="16" t="s">
        <v>751</v>
      </c>
      <c r="C63" s="18">
        <f>'AEO 2023 Table 49 Raw'!F52</f>
        <v>0</v>
      </c>
      <c r="D63" s="18">
        <f>'AEO 2023 Table 49 Raw'!G52</f>
        <v>0</v>
      </c>
      <c r="E63" s="18">
        <f>'AEO 2023 Table 49 Raw'!H52</f>
        <v>1.2E-5</v>
      </c>
      <c r="F63" s="18">
        <f>'AEO 2023 Table 49 Raw'!I52</f>
        <v>2.6999999999999999E-5</v>
      </c>
      <c r="G63" s="18">
        <f>'AEO 2023 Table 49 Raw'!J52</f>
        <v>4.3000000000000002E-5</v>
      </c>
      <c r="H63" s="18">
        <f>'AEO 2023 Table 49 Raw'!K52</f>
        <v>5.8E-5</v>
      </c>
      <c r="I63" s="18">
        <f>'AEO 2023 Table 49 Raw'!L52</f>
        <v>7.2000000000000002E-5</v>
      </c>
      <c r="J63" s="18">
        <f>'AEO 2023 Table 49 Raw'!M52</f>
        <v>8.6000000000000003E-5</v>
      </c>
      <c r="K63" s="18">
        <f>'AEO 2023 Table 49 Raw'!N52</f>
        <v>9.8999999999999994E-5</v>
      </c>
      <c r="L63" s="18">
        <f>'AEO 2023 Table 49 Raw'!O52</f>
        <v>1.12E-4</v>
      </c>
      <c r="M63" s="18">
        <f>'AEO 2023 Table 49 Raw'!P52</f>
        <v>1.2400000000000001E-4</v>
      </c>
      <c r="N63" s="18">
        <f>'AEO 2023 Table 49 Raw'!Q52</f>
        <v>1.36E-4</v>
      </c>
      <c r="O63" s="18">
        <f>'AEO 2023 Table 49 Raw'!R52</f>
        <v>1.46E-4</v>
      </c>
      <c r="P63" s="18">
        <f>'AEO 2023 Table 49 Raw'!S52</f>
        <v>1.56E-4</v>
      </c>
      <c r="Q63" s="18">
        <f>'AEO 2023 Table 49 Raw'!T52</f>
        <v>1.65E-4</v>
      </c>
      <c r="R63" s="18">
        <f>'AEO 2023 Table 49 Raw'!U52</f>
        <v>1.73E-4</v>
      </c>
      <c r="S63" s="18">
        <f>'AEO 2023 Table 49 Raw'!V52</f>
        <v>1.8000000000000001E-4</v>
      </c>
      <c r="T63" s="18">
        <f>'AEO 2023 Table 49 Raw'!W52</f>
        <v>1.8599999999999999E-4</v>
      </c>
      <c r="U63" s="18">
        <f>'AEO 2023 Table 49 Raw'!X52</f>
        <v>1.92E-4</v>
      </c>
      <c r="V63" s="18">
        <f>'AEO 2023 Table 49 Raw'!Y52</f>
        <v>1.9699999999999999E-4</v>
      </c>
      <c r="W63" s="18">
        <f>'AEO 2023 Table 49 Raw'!Z52</f>
        <v>2.0100000000000001E-4</v>
      </c>
      <c r="X63" s="18">
        <f>'AEO 2023 Table 49 Raw'!AA52</f>
        <v>2.04E-4</v>
      </c>
      <c r="Y63" s="18">
        <f>'AEO 2023 Table 49 Raw'!AB52</f>
        <v>2.05E-4</v>
      </c>
      <c r="Z63" s="18">
        <f>'AEO 2023 Table 49 Raw'!AC52</f>
        <v>2.0599999999999999E-4</v>
      </c>
      <c r="AA63" s="18">
        <f>'AEO 2023 Table 49 Raw'!AD52</f>
        <v>2.05E-4</v>
      </c>
      <c r="AB63" s="18">
        <f>'AEO 2023 Table 49 Raw'!AE52</f>
        <v>2.03E-4</v>
      </c>
      <c r="AC63" s="18">
        <f>'AEO 2023 Table 49 Raw'!AF52</f>
        <v>1.9900000000000001E-4</v>
      </c>
      <c r="AD63" s="18">
        <f>'AEO 2023 Table 49 Raw'!AG52</f>
        <v>1.94E-4</v>
      </c>
      <c r="AE63" s="18">
        <f>'AEO 2023 Table 49 Raw'!AH52</f>
        <v>1.8799999999999999E-4</v>
      </c>
      <c r="AF63" s="30" t="str">
        <f>'AEO 2023 Table 49 Raw'!AI52</f>
        <v>- -</v>
      </c>
    </row>
    <row r="64" spans="1:32" ht="15" customHeight="1">
      <c r="A64" s="7" t="s">
        <v>790</v>
      </c>
      <c r="B64" s="16" t="s">
        <v>753</v>
      </c>
      <c r="C64" s="18">
        <f>'AEO 2023 Table 49 Raw'!F53</f>
        <v>748.63757299999997</v>
      </c>
      <c r="D64" s="18">
        <f>'AEO 2023 Table 49 Raw'!G53</f>
        <v>732.18170199999997</v>
      </c>
      <c r="E64" s="18">
        <f>'AEO 2023 Table 49 Raw'!H53</f>
        <v>720.22216800000001</v>
      </c>
      <c r="F64" s="18">
        <f>'AEO 2023 Table 49 Raw'!I53</f>
        <v>712.26519800000005</v>
      </c>
      <c r="G64" s="18">
        <f>'AEO 2023 Table 49 Raw'!J53</f>
        <v>704.637024</v>
      </c>
      <c r="H64" s="18">
        <f>'AEO 2023 Table 49 Raw'!K53</f>
        <v>693.10351600000001</v>
      </c>
      <c r="I64" s="18">
        <f>'AEO 2023 Table 49 Raw'!L53</f>
        <v>681.51892099999998</v>
      </c>
      <c r="J64" s="18">
        <f>'AEO 2023 Table 49 Raw'!M53</f>
        <v>670.97229000000004</v>
      </c>
      <c r="K64" s="18">
        <f>'AEO 2023 Table 49 Raw'!N53</f>
        <v>664.22985800000004</v>
      </c>
      <c r="L64" s="18">
        <f>'AEO 2023 Table 49 Raw'!O53</f>
        <v>660.79852300000005</v>
      </c>
      <c r="M64" s="18">
        <f>'AEO 2023 Table 49 Raw'!P53</f>
        <v>661.24548300000004</v>
      </c>
      <c r="N64" s="18">
        <f>'AEO 2023 Table 49 Raw'!Q53</f>
        <v>662.36968999999999</v>
      </c>
      <c r="O64" s="18">
        <f>'AEO 2023 Table 49 Raw'!R53</f>
        <v>663.70306400000004</v>
      </c>
      <c r="P64" s="18">
        <f>'AEO 2023 Table 49 Raw'!S53</f>
        <v>666.36871299999996</v>
      </c>
      <c r="Q64" s="18">
        <f>'AEO 2023 Table 49 Raw'!T53</f>
        <v>668.24139400000001</v>
      </c>
      <c r="R64" s="18">
        <f>'AEO 2023 Table 49 Raw'!U53</f>
        <v>672.17394999999999</v>
      </c>
      <c r="S64" s="18">
        <f>'AEO 2023 Table 49 Raw'!V53</f>
        <v>676.034851</v>
      </c>
      <c r="T64" s="18">
        <f>'AEO 2023 Table 49 Raw'!W53</f>
        <v>679.41394000000003</v>
      </c>
      <c r="U64" s="18">
        <f>'AEO 2023 Table 49 Raw'!X53</f>
        <v>684.28704800000003</v>
      </c>
      <c r="V64" s="18">
        <f>'AEO 2023 Table 49 Raw'!Y53</f>
        <v>690.63824499999998</v>
      </c>
      <c r="W64" s="18">
        <f>'AEO 2023 Table 49 Raw'!Z53</f>
        <v>698.07128899999998</v>
      </c>
      <c r="X64" s="18">
        <f>'AEO 2023 Table 49 Raw'!AA53</f>
        <v>705.62066700000003</v>
      </c>
      <c r="Y64" s="18">
        <f>'AEO 2023 Table 49 Raw'!AB53</f>
        <v>713.18554700000004</v>
      </c>
      <c r="Z64" s="18">
        <f>'AEO 2023 Table 49 Raw'!AC53</f>
        <v>721.23504600000001</v>
      </c>
      <c r="AA64" s="18">
        <f>'AEO 2023 Table 49 Raw'!AD53</f>
        <v>730.61511199999995</v>
      </c>
      <c r="AB64" s="18">
        <f>'AEO 2023 Table 49 Raw'!AE53</f>
        <v>740.51525900000001</v>
      </c>
      <c r="AC64" s="18">
        <f>'AEO 2023 Table 49 Raw'!AF53</f>
        <v>750.55535899999995</v>
      </c>
      <c r="AD64" s="18">
        <f>'AEO 2023 Table 49 Raw'!AG53</f>
        <v>761.51879899999994</v>
      </c>
      <c r="AE64" s="18">
        <f>'AEO 2023 Table 49 Raw'!AH53</f>
        <v>773.14739999999995</v>
      </c>
      <c r="AF64" s="30">
        <f>'AEO 2023 Table 49 Raw'!AI53</f>
        <v>1E-3</v>
      </c>
    </row>
    <row r="65" spans="1:32" ht="15" customHeight="1">
      <c r="B65" s="15" t="s">
        <v>754</v>
      </c>
      <c r="C65" s="18"/>
      <c r="D65" s="18"/>
      <c r="E65" s="18"/>
      <c r="F65" s="18"/>
      <c r="G65" s="18"/>
      <c r="H65" s="18"/>
      <c r="I65" s="18"/>
      <c r="J65" s="18"/>
      <c r="K65" s="18"/>
      <c r="L65" s="18"/>
      <c r="M65" s="18"/>
      <c r="N65" s="18"/>
      <c r="O65" s="18"/>
      <c r="P65" s="18"/>
      <c r="Q65" s="18"/>
      <c r="R65" s="18"/>
      <c r="S65" s="18"/>
      <c r="T65" s="18"/>
      <c r="U65" s="18"/>
      <c r="V65" s="18"/>
      <c r="W65" s="18"/>
      <c r="X65" s="18"/>
      <c r="Y65" s="18"/>
      <c r="Z65" s="18"/>
      <c r="AA65" s="18"/>
      <c r="AB65" s="18"/>
      <c r="AC65" s="18"/>
      <c r="AD65" s="18"/>
      <c r="AE65" s="18"/>
      <c r="AF65" s="30"/>
    </row>
    <row r="66" spans="1:32" ht="15" customHeight="1">
      <c r="A66" s="7" t="s">
        <v>791</v>
      </c>
      <c r="B66" s="16" t="s">
        <v>736</v>
      </c>
      <c r="C66" s="18">
        <f>'AEO 2023 Table 49 Raw'!F55</f>
        <v>596.71069299999999</v>
      </c>
      <c r="D66" s="18">
        <f>'AEO 2023 Table 49 Raw'!G55</f>
        <v>577.86407499999996</v>
      </c>
      <c r="E66" s="18">
        <f>'AEO 2023 Table 49 Raw'!H55</f>
        <v>561.91143799999998</v>
      </c>
      <c r="F66" s="18">
        <f>'AEO 2023 Table 49 Raw'!I55</f>
        <v>551.58679199999995</v>
      </c>
      <c r="G66" s="18">
        <f>'AEO 2023 Table 49 Raw'!J55</f>
        <v>544.22857699999997</v>
      </c>
      <c r="H66" s="18">
        <f>'AEO 2023 Table 49 Raw'!K55</f>
        <v>535.85253899999998</v>
      </c>
      <c r="I66" s="18">
        <f>'AEO 2023 Table 49 Raw'!L55</f>
        <v>527.97473100000002</v>
      </c>
      <c r="J66" s="18">
        <f>'AEO 2023 Table 49 Raw'!M55</f>
        <v>519.22680700000001</v>
      </c>
      <c r="K66" s="18">
        <f>'AEO 2023 Table 49 Raw'!N55</f>
        <v>511.23809799999998</v>
      </c>
      <c r="L66" s="18">
        <f>'AEO 2023 Table 49 Raw'!O55</f>
        <v>504.13198899999998</v>
      </c>
      <c r="M66" s="18">
        <f>'AEO 2023 Table 49 Raw'!P55</f>
        <v>499.34158300000001</v>
      </c>
      <c r="N66" s="18">
        <f>'AEO 2023 Table 49 Raw'!Q55</f>
        <v>494.26428199999998</v>
      </c>
      <c r="O66" s="18">
        <f>'AEO 2023 Table 49 Raw'!R55</f>
        <v>488.88336199999998</v>
      </c>
      <c r="P66" s="18">
        <f>'AEO 2023 Table 49 Raw'!S55</f>
        <v>484.94207799999998</v>
      </c>
      <c r="Q66" s="18">
        <f>'AEO 2023 Table 49 Raw'!T55</f>
        <v>481.30944799999997</v>
      </c>
      <c r="R66" s="18">
        <f>'AEO 2023 Table 49 Raw'!U55</f>
        <v>479.89810199999999</v>
      </c>
      <c r="S66" s="18">
        <f>'AEO 2023 Table 49 Raw'!V55</f>
        <v>478.96508799999998</v>
      </c>
      <c r="T66" s="18">
        <f>'AEO 2023 Table 49 Raw'!W55</f>
        <v>477.97808800000001</v>
      </c>
      <c r="U66" s="18">
        <f>'AEO 2023 Table 49 Raw'!X55</f>
        <v>477.87914999999998</v>
      </c>
      <c r="V66" s="18">
        <f>'AEO 2023 Table 49 Raw'!Y55</f>
        <v>477.79556300000002</v>
      </c>
      <c r="W66" s="18">
        <f>'AEO 2023 Table 49 Raw'!Z55</f>
        <v>478.32308999999998</v>
      </c>
      <c r="X66" s="18">
        <f>'AEO 2023 Table 49 Raw'!AA55</f>
        <v>479.55770899999999</v>
      </c>
      <c r="Y66" s="18">
        <f>'AEO 2023 Table 49 Raw'!AB55</f>
        <v>481.22937000000002</v>
      </c>
      <c r="Z66" s="18">
        <f>'AEO 2023 Table 49 Raw'!AC55</f>
        <v>482.93978900000002</v>
      </c>
      <c r="AA66" s="18">
        <f>'AEO 2023 Table 49 Raw'!AD55</f>
        <v>484.90911899999998</v>
      </c>
      <c r="AB66" s="18">
        <f>'AEO 2023 Table 49 Raw'!AE55</f>
        <v>487.035797</v>
      </c>
      <c r="AC66" s="18">
        <f>'AEO 2023 Table 49 Raw'!AF55</f>
        <v>489.28424100000001</v>
      </c>
      <c r="AD66" s="18">
        <f>'AEO 2023 Table 49 Raw'!AG55</f>
        <v>492.56643700000001</v>
      </c>
      <c r="AE66" s="18">
        <f>'AEO 2023 Table 49 Raw'!AH55</f>
        <v>496.462738</v>
      </c>
      <c r="AF66" s="30">
        <f>'AEO 2023 Table 49 Raw'!AI55</f>
        <v>-7.0000000000000001E-3</v>
      </c>
    </row>
    <row r="67" spans="1:32" ht="15" customHeight="1">
      <c r="A67" s="7" t="s">
        <v>792</v>
      </c>
      <c r="B67" s="16" t="s">
        <v>738</v>
      </c>
      <c r="C67" s="18">
        <f>'AEO 2023 Table 49 Raw'!F56</f>
        <v>361.335083</v>
      </c>
      <c r="D67" s="18">
        <f>'AEO 2023 Table 49 Raw'!G56</f>
        <v>350.68691999999999</v>
      </c>
      <c r="E67" s="18">
        <f>'AEO 2023 Table 49 Raw'!H56</f>
        <v>342.39187600000002</v>
      </c>
      <c r="F67" s="18">
        <f>'AEO 2023 Table 49 Raw'!I56</f>
        <v>336.454407</v>
      </c>
      <c r="G67" s="18">
        <f>'AEO 2023 Table 49 Raw'!J56</f>
        <v>332.32705700000002</v>
      </c>
      <c r="H67" s="18">
        <f>'AEO 2023 Table 49 Raw'!K56</f>
        <v>327.322113</v>
      </c>
      <c r="I67" s="18">
        <f>'AEO 2023 Table 49 Raw'!L56</f>
        <v>322.78909299999998</v>
      </c>
      <c r="J67" s="18">
        <f>'AEO 2023 Table 49 Raw'!M56</f>
        <v>318.01577800000001</v>
      </c>
      <c r="K67" s="18">
        <f>'AEO 2023 Table 49 Raw'!N56</f>
        <v>313.64859000000001</v>
      </c>
      <c r="L67" s="18">
        <f>'AEO 2023 Table 49 Raw'!O56</f>
        <v>309.65252700000002</v>
      </c>
      <c r="M67" s="18">
        <f>'AEO 2023 Table 49 Raw'!P56</f>
        <v>307.22006199999998</v>
      </c>
      <c r="N67" s="18">
        <f>'AEO 2023 Table 49 Raw'!Q56</f>
        <v>304.33242799999999</v>
      </c>
      <c r="O67" s="18">
        <f>'AEO 2023 Table 49 Raw'!R56</f>
        <v>301.408997</v>
      </c>
      <c r="P67" s="18">
        <f>'AEO 2023 Table 49 Raw'!S56</f>
        <v>299.17279100000002</v>
      </c>
      <c r="Q67" s="18">
        <f>'AEO 2023 Table 49 Raw'!T56</f>
        <v>296.57843000000003</v>
      </c>
      <c r="R67" s="18">
        <f>'AEO 2023 Table 49 Raw'!U56</f>
        <v>295.55175800000001</v>
      </c>
      <c r="S67" s="18">
        <f>'AEO 2023 Table 49 Raw'!V56</f>
        <v>293.95367399999998</v>
      </c>
      <c r="T67" s="18">
        <f>'AEO 2023 Table 49 Raw'!W56</f>
        <v>293.10812399999998</v>
      </c>
      <c r="U67" s="18">
        <f>'AEO 2023 Table 49 Raw'!X56</f>
        <v>292.27783199999999</v>
      </c>
      <c r="V67" s="18">
        <f>'AEO 2023 Table 49 Raw'!Y56</f>
        <v>291.80944799999997</v>
      </c>
      <c r="W67" s="18">
        <f>'AEO 2023 Table 49 Raw'!Z56</f>
        <v>291.92584199999999</v>
      </c>
      <c r="X67" s="18">
        <f>'AEO 2023 Table 49 Raw'!AA56</f>
        <v>292.504211</v>
      </c>
      <c r="Y67" s="18">
        <f>'AEO 2023 Table 49 Raw'!AB56</f>
        <v>293.29244999999997</v>
      </c>
      <c r="Z67" s="18">
        <f>'AEO 2023 Table 49 Raw'!AC56</f>
        <v>293.97250400000001</v>
      </c>
      <c r="AA67" s="18">
        <f>'AEO 2023 Table 49 Raw'!AD56</f>
        <v>294.81460600000003</v>
      </c>
      <c r="AB67" s="18">
        <f>'AEO 2023 Table 49 Raw'!AE56</f>
        <v>295.618134</v>
      </c>
      <c r="AC67" s="18">
        <f>'AEO 2023 Table 49 Raw'!AF56</f>
        <v>296.45013399999999</v>
      </c>
      <c r="AD67" s="18">
        <f>'AEO 2023 Table 49 Raw'!AG56</f>
        <v>297.938019</v>
      </c>
      <c r="AE67" s="18">
        <f>'AEO 2023 Table 49 Raw'!AH56</f>
        <v>299.64453099999997</v>
      </c>
      <c r="AF67" s="30">
        <f>'AEO 2023 Table 49 Raw'!AI56</f>
        <v>-7.0000000000000001E-3</v>
      </c>
    </row>
    <row r="68" spans="1:32" ht="15" customHeight="1">
      <c r="A68" s="7" t="s">
        <v>793</v>
      </c>
      <c r="B68" s="16" t="s">
        <v>382</v>
      </c>
      <c r="C68" s="18">
        <f>'AEO 2023 Table 49 Raw'!F57</f>
        <v>0.66393199999999997</v>
      </c>
      <c r="D68" s="18">
        <f>'AEO 2023 Table 49 Raw'!G57</f>
        <v>0.67068700000000003</v>
      </c>
      <c r="E68" s="18">
        <f>'AEO 2023 Table 49 Raw'!H57</f>
        <v>0.67880300000000005</v>
      </c>
      <c r="F68" s="18">
        <f>'AEO 2023 Table 49 Raw'!I57</f>
        <v>0.69245299999999999</v>
      </c>
      <c r="G68" s="18">
        <f>'AEO 2023 Table 49 Raw'!J57</f>
        <v>0.71065699999999998</v>
      </c>
      <c r="H68" s="18">
        <f>'AEO 2023 Table 49 Raw'!K57</f>
        <v>0.72716999999999998</v>
      </c>
      <c r="I68" s="18">
        <f>'AEO 2023 Table 49 Raw'!L57</f>
        <v>0.74464799999999998</v>
      </c>
      <c r="J68" s="18">
        <f>'AEO 2023 Table 49 Raw'!M57</f>
        <v>0.760656</v>
      </c>
      <c r="K68" s="18">
        <f>'AEO 2023 Table 49 Raw'!N57</f>
        <v>0.77964599999999995</v>
      </c>
      <c r="L68" s="18">
        <f>'AEO 2023 Table 49 Raw'!O57</f>
        <v>0.80235199999999995</v>
      </c>
      <c r="M68" s="18">
        <f>'AEO 2023 Table 49 Raw'!P57</f>
        <v>0.83257599999999998</v>
      </c>
      <c r="N68" s="18">
        <f>'AEO 2023 Table 49 Raw'!Q57</f>
        <v>0.86914499999999995</v>
      </c>
      <c r="O68" s="18">
        <f>'AEO 2023 Table 49 Raw'!R57</f>
        <v>0.90859400000000001</v>
      </c>
      <c r="P68" s="18">
        <f>'AEO 2023 Table 49 Raw'!S57</f>
        <v>0.945886</v>
      </c>
      <c r="Q68" s="18">
        <f>'AEO 2023 Table 49 Raw'!T57</f>
        <v>0.98561200000000004</v>
      </c>
      <c r="R68" s="18">
        <f>'AEO 2023 Table 49 Raw'!U57</f>
        <v>1.0343070000000001</v>
      </c>
      <c r="S68" s="18">
        <f>'AEO 2023 Table 49 Raw'!V57</f>
        <v>1.0903769999999999</v>
      </c>
      <c r="T68" s="18">
        <f>'AEO 2023 Table 49 Raw'!W57</f>
        <v>1.153419</v>
      </c>
      <c r="U68" s="18">
        <f>'AEO 2023 Table 49 Raw'!X57</f>
        <v>1.225795</v>
      </c>
      <c r="V68" s="18">
        <f>'AEO 2023 Table 49 Raw'!Y57</f>
        <v>1.3056989999999999</v>
      </c>
      <c r="W68" s="18">
        <f>'AEO 2023 Table 49 Raw'!Z57</f>
        <v>1.3922490000000001</v>
      </c>
      <c r="X68" s="18">
        <f>'AEO 2023 Table 49 Raw'!AA57</f>
        <v>1.484488</v>
      </c>
      <c r="Y68" s="18">
        <f>'AEO 2023 Table 49 Raw'!AB57</f>
        <v>1.5809979999999999</v>
      </c>
      <c r="Z68" s="18">
        <f>'AEO 2023 Table 49 Raw'!AC57</f>
        <v>1.6801299999999999</v>
      </c>
      <c r="AA68" s="18">
        <f>'AEO 2023 Table 49 Raw'!AD57</f>
        <v>1.7820590000000001</v>
      </c>
      <c r="AB68" s="18">
        <f>'AEO 2023 Table 49 Raw'!AE57</f>
        <v>1.884468</v>
      </c>
      <c r="AC68" s="18">
        <f>'AEO 2023 Table 49 Raw'!AF57</f>
        <v>1.9861610000000001</v>
      </c>
      <c r="AD68" s="18">
        <f>'AEO 2023 Table 49 Raw'!AG57</f>
        <v>2.0826009999999999</v>
      </c>
      <c r="AE68" s="18">
        <f>'AEO 2023 Table 49 Raw'!AH57</f>
        <v>2.1823290000000002</v>
      </c>
      <c r="AF68" s="30">
        <f>'AEO 2023 Table 49 Raw'!AI57</f>
        <v>4.2999999999999997E-2</v>
      </c>
    </row>
    <row r="69" spans="1:32" ht="15" customHeight="1">
      <c r="A69" s="7" t="s">
        <v>794</v>
      </c>
      <c r="B69" s="16" t="s">
        <v>741</v>
      </c>
      <c r="C69" s="18">
        <f>'AEO 2023 Table 49 Raw'!F58</f>
        <v>0.76294700000000004</v>
      </c>
      <c r="D69" s="18">
        <f>'AEO 2023 Table 49 Raw'!G58</f>
        <v>0.71779700000000002</v>
      </c>
      <c r="E69" s="18">
        <f>'AEO 2023 Table 49 Raw'!H58</f>
        <v>0.67420999999999998</v>
      </c>
      <c r="F69" s="18">
        <f>'AEO 2023 Table 49 Raw'!I58</f>
        <v>0.63435699999999995</v>
      </c>
      <c r="G69" s="18">
        <f>'AEO 2023 Table 49 Raw'!J58</f>
        <v>0.59662400000000004</v>
      </c>
      <c r="H69" s="18">
        <f>'AEO 2023 Table 49 Raw'!K58</f>
        <v>0.55701900000000004</v>
      </c>
      <c r="I69" s="18">
        <f>'AEO 2023 Table 49 Raw'!L58</f>
        <v>0.51948000000000005</v>
      </c>
      <c r="J69" s="18">
        <f>'AEO 2023 Table 49 Raw'!M58</f>
        <v>0.48167900000000002</v>
      </c>
      <c r="K69" s="18">
        <f>'AEO 2023 Table 49 Raw'!N58</f>
        <v>0.44507600000000003</v>
      </c>
      <c r="L69" s="18">
        <f>'AEO 2023 Table 49 Raw'!O58</f>
        <v>0.41159099999999998</v>
      </c>
      <c r="M69" s="18">
        <f>'AEO 2023 Table 49 Raw'!P58</f>
        <v>0.38195299999999999</v>
      </c>
      <c r="N69" s="18">
        <f>'AEO 2023 Table 49 Raw'!Q58</f>
        <v>0.353408</v>
      </c>
      <c r="O69" s="18">
        <f>'AEO 2023 Table 49 Raw'!R58</f>
        <v>0.32573099999999999</v>
      </c>
      <c r="P69" s="18">
        <f>'AEO 2023 Table 49 Raw'!S58</f>
        <v>0.30006699999999997</v>
      </c>
      <c r="Q69" s="18">
        <f>'AEO 2023 Table 49 Raw'!T58</f>
        <v>0.27565400000000001</v>
      </c>
      <c r="R69" s="18">
        <f>'AEO 2023 Table 49 Raw'!U58</f>
        <v>0.25478499999999998</v>
      </c>
      <c r="S69" s="18">
        <f>'AEO 2023 Table 49 Raw'!V58</f>
        <v>0.23588799999999999</v>
      </c>
      <c r="T69" s="18">
        <f>'AEO 2023 Table 49 Raw'!W58</f>
        <v>0.21936</v>
      </c>
      <c r="U69" s="18">
        <f>'AEO 2023 Table 49 Raw'!X58</f>
        <v>0.204011</v>
      </c>
      <c r="V69" s="18">
        <f>'AEO 2023 Table 49 Raw'!Y58</f>
        <v>0.18836</v>
      </c>
      <c r="W69" s="18">
        <f>'AEO 2023 Table 49 Raw'!Z58</f>
        <v>0.17463999999999999</v>
      </c>
      <c r="X69" s="18">
        <f>'AEO 2023 Table 49 Raw'!AA58</f>
        <v>0.158723</v>
      </c>
      <c r="Y69" s="18">
        <f>'AEO 2023 Table 49 Raw'!AB58</f>
        <v>0.14244699999999999</v>
      </c>
      <c r="Z69" s="18">
        <f>'AEO 2023 Table 49 Raw'!AC58</f>
        <v>0.12915199999999999</v>
      </c>
      <c r="AA69" s="18">
        <f>'AEO 2023 Table 49 Raw'!AD58</f>
        <v>0.118099</v>
      </c>
      <c r="AB69" s="18">
        <f>'AEO 2023 Table 49 Raw'!AE58</f>
        <v>0.106783</v>
      </c>
      <c r="AC69" s="18">
        <f>'AEO 2023 Table 49 Raw'!AF58</f>
        <v>9.5460000000000003E-2</v>
      </c>
      <c r="AD69" s="18">
        <f>'AEO 2023 Table 49 Raw'!AG58</f>
        <v>8.5358000000000003E-2</v>
      </c>
      <c r="AE69" s="18">
        <f>'AEO 2023 Table 49 Raw'!AH58</f>
        <v>7.6896000000000006E-2</v>
      </c>
      <c r="AF69" s="30">
        <f>'AEO 2023 Table 49 Raw'!AI58</f>
        <v>-7.9000000000000001E-2</v>
      </c>
    </row>
    <row r="70" spans="1:32" ht="12" customHeight="1">
      <c r="A70" s="7" t="s">
        <v>795</v>
      </c>
      <c r="B70" s="16" t="s">
        <v>743</v>
      </c>
      <c r="C70" s="18">
        <f>'AEO 2023 Table 49 Raw'!F59</f>
        <v>10.430758000000001</v>
      </c>
      <c r="D70" s="18">
        <f>'AEO 2023 Table 49 Raw'!G59</f>
        <v>10.828306</v>
      </c>
      <c r="E70" s="18">
        <f>'AEO 2023 Table 49 Raw'!H59</f>
        <v>11.286505999999999</v>
      </c>
      <c r="F70" s="18">
        <f>'AEO 2023 Table 49 Raw'!I59</f>
        <v>11.871587</v>
      </c>
      <c r="G70" s="18">
        <f>'AEO 2023 Table 49 Raw'!J59</f>
        <v>12.567764</v>
      </c>
      <c r="H70" s="18">
        <f>'AEO 2023 Table 49 Raw'!K59</f>
        <v>13.31671</v>
      </c>
      <c r="I70" s="18">
        <f>'AEO 2023 Table 49 Raw'!L59</f>
        <v>14.132089000000001</v>
      </c>
      <c r="J70" s="18">
        <f>'AEO 2023 Table 49 Raw'!M59</f>
        <v>14.969037999999999</v>
      </c>
      <c r="K70" s="18">
        <f>'AEO 2023 Table 49 Raw'!N59</f>
        <v>15.886168</v>
      </c>
      <c r="L70" s="18">
        <f>'AEO 2023 Table 49 Raw'!O59</f>
        <v>16.907169</v>
      </c>
      <c r="M70" s="18">
        <f>'AEO 2023 Table 49 Raw'!P59</f>
        <v>18.109857999999999</v>
      </c>
      <c r="N70" s="18">
        <f>'AEO 2023 Table 49 Raw'!Q59</f>
        <v>19.412040999999999</v>
      </c>
      <c r="O70" s="18">
        <f>'AEO 2023 Table 49 Raw'!R59</f>
        <v>20.819136</v>
      </c>
      <c r="P70" s="18">
        <f>'AEO 2023 Table 49 Raw'!S59</f>
        <v>22.333103000000001</v>
      </c>
      <c r="Q70" s="18">
        <f>'AEO 2023 Table 49 Raw'!T59</f>
        <v>23.839766999999998</v>
      </c>
      <c r="R70" s="18">
        <f>'AEO 2023 Table 49 Raw'!U59</f>
        <v>25.520502</v>
      </c>
      <c r="S70" s="18">
        <f>'AEO 2023 Table 49 Raw'!V59</f>
        <v>27.246191</v>
      </c>
      <c r="T70" s="18">
        <f>'AEO 2023 Table 49 Raw'!W59</f>
        <v>28.969595000000002</v>
      </c>
      <c r="U70" s="18">
        <f>'AEO 2023 Table 49 Raw'!X59</f>
        <v>30.822426</v>
      </c>
      <c r="V70" s="18">
        <f>'AEO 2023 Table 49 Raw'!Y59</f>
        <v>32.632908</v>
      </c>
      <c r="W70" s="18">
        <f>'AEO 2023 Table 49 Raw'!Z59</f>
        <v>34.439242999999998</v>
      </c>
      <c r="X70" s="18">
        <f>'AEO 2023 Table 49 Raw'!AA59</f>
        <v>36.195014999999998</v>
      </c>
      <c r="Y70" s="18">
        <f>'AEO 2023 Table 49 Raw'!AB59</f>
        <v>37.869453</v>
      </c>
      <c r="Z70" s="18">
        <f>'AEO 2023 Table 49 Raw'!AC59</f>
        <v>39.473038000000003</v>
      </c>
      <c r="AA70" s="18">
        <f>'AEO 2023 Table 49 Raw'!AD59</f>
        <v>41.030662999999997</v>
      </c>
      <c r="AB70" s="18">
        <f>'AEO 2023 Table 49 Raw'!AE59</f>
        <v>42.506256</v>
      </c>
      <c r="AC70" s="18">
        <f>'AEO 2023 Table 49 Raw'!AF59</f>
        <v>43.889240000000001</v>
      </c>
      <c r="AD70" s="18">
        <f>'AEO 2023 Table 49 Raw'!AG59</f>
        <v>45.314704999999996</v>
      </c>
      <c r="AE70" s="18">
        <f>'AEO 2023 Table 49 Raw'!AH59</f>
        <v>46.748733999999999</v>
      </c>
      <c r="AF70" s="30">
        <f>'AEO 2023 Table 49 Raw'!AI59</f>
        <v>5.5E-2</v>
      </c>
    </row>
    <row r="71" spans="1:32" ht="15" customHeight="1">
      <c r="A71" s="7" t="s">
        <v>796</v>
      </c>
      <c r="B71" s="16" t="s">
        <v>745</v>
      </c>
      <c r="C71" s="18">
        <f>'AEO 2023 Table 49 Raw'!F60</f>
        <v>3.7860999999999999E-2</v>
      </c>
      <c r="D71" s="18">
        <f>'AEO 2023 Table 49 Raw'!G60</f>
        <v>4.3709999999999999E-2</v>
      </c>
      <c r="E71" s="18">
        <f>'AEO 2023 Table 49 Raw'!H60</f>
        <v>4.7997999999999999E-2</v>
      </c>
      <c r="F71" s="18">
        <f>'AEO 2023 Table 49 Raw'!I60</f>
        <v>5.1563999999999999E-2</v>
      </c>
      <c r="G71" s="18">
        <f>'AEO 2023 Table 49 Raw'!J60</f>
        <v>5.4260999999999997E-2</v>
      </c>
      <c r="H71" s="18">
        <f>'AEO 2023 Table 49 Raw'!K60</f>
        <v>5.5766000000000003E-2</v>
      </c>
      <c r="I71" s="18">
        <f>'AEO 2023 Table 49 Raw'!L60</f>
        <v>5.6363999999999997E-2</v>
      </c>
      <c r="J71" s="18">
        <f>'AEO 2023 Table 49 Raw'!M60</f>
        <v>5.6127999999999997E-2</v>
      </c>
      <c r="K71" s="18">
        <f>'AEO 2023 Table 49 Raw'!N60</f>
        <v>5.5379999999999999E-2</v>
      </c>
      <c r="L71" s="18">
        <f>'AEO 2023 Table 49 Raw'!O60</f>
        <v>5.4268999999999998E-2</v>
      </c>
      <c r="M71" s="18">
        <f>'AEO 2023 Table 49 Raw'!P60</f>
        <v>5.2969000000000002E-2</v>
      </c>
      <c r="N71" s="18">
        <f>'AEO 2023 Table 49 Raw'!Q60</f>
        <v>5.1353999999999997E-2</v>
      </c>
      <c r="O71" s="18">
        <f>'AEO 2023 Table 49 Raw'!R60</f>
        <v>4.9551999999999999E-2</v>
      </c>
      <c r="P71" s="18">
        <f>'AEO 2023 Table 49 Raw'!S60</f>
        <v>4.7759999999999997E-2</v>
      </c>
      <c r="Q71" s="18">
        <f>'AEO 2023 Table 49 Raw'!T60</f>
        <v>4.5504999999999997E-2</v>
      </c>
      <c r="R71" s="18">
        <f>'AEO 2023 Table 49 Raw'!U60</f>
        <v>4.3230999999999999E-2</v>
      </c>
      <c r="S71" s="18">
        <f>'AEO 2023 Table 49 Raw'!V60</f>
        <v>4.1355999999999997E-2</v>
      </c>
      <c r="T71" s="18">
        <f>'AEO 2023 Table 49 Raw'!W60</f>
        <v>3.9386999999999998E-2</v>
      </c>
      <c r="U71" s="18">
        <f>'AEO 2023 Table 49 Raw'!X60</f>
        <v>3.7150000000000002E-2</v>
      </c>
      <c r="V71" s="18">
        <f>'AEO 2023 Table 49 Raw'!Y60</f>
        <v>3.4993999999999997E-2</v>
      </c>
      <c r="W71" s="18">
        <f>'AEO 2023 Table 49 Raw'!Z60</f>
        <v>3.3027000000000001E-2</v>
      </c>
      <c r="X71" s="18">
        <f>'AEO 2023 Table 49 Raw'!AA60</f>
        <v>3.1154999999999999E-2</v>
      </c>
      <c r="Y71" s="18">
        <f>'AEO 2023 Table 49 Raw'!AB60</f>
        <v>2.9354999999999999E-2</v>
      </c>
      <c r="Z71" s="18">
        <f>'AEO 2023 Table 49 Raw'!AC60</f>
        <v>2.7653E-2</v>
      </c>
      <c r="AA71" s="18">
        <f>'AEO 2023 Table 49 Raw'!AD60</f>
        <v>2.6076999999999999E-2</v>
      </c>
      <c r="AB71" s="18">
        <f>'AEO 2023 Table 49 Raw'!AE60</f>
        <v>2.4584999999999999E-2</v>
      </c>
      <c r="AC71" s="18">
        <f>'AEO 2023 Table 49 Raw'!AF60</f>
        <v>2.3174E-2</v>
      </c>
      <c r="AD71" s="18">
        <f>'AEO 2023 Table 49 Raw'!AG60</f>
        <v>2.1876E-2</v>
      </c>
      <c r="AE71" s="18">
        <f>'AEO 2023 Table 49 Raw'!AH60</f>
        <v>2.0629999999999999E-2</v>
      </c>
      <c r="AF71" s="30">
        <f>'AEO 2023 Table 49 Raw'!AI60</f>
        <v>-2.1000000000000001E-2</v>
      </c>
    </row>
    <row r="72" spans="1:32" ht="15" customHeight="1">
      <c r="A72" s="7" t="s">
        <v>797</v>
      </c>
      <c r="B72" s="16" t="s">
        <v>747</v>
      </c>
      <c r="C72" s="18">
        <f>'AEO 2023 Table 49 Raw'!F61</f>
        <v>0</v>
      </c>
      <c r="D72" s="18">
        <f>'AEO 2023 Table 49 Raw'!G61</f>
        <v>0</v>
      </c>
      <c r="E72" s="18">
        <f>'AEO 2023 Table 49 Raw'!H61</f>
        <v>3.8661000000000001E-2</v>
      </c>
      <c r="F72" s="18">
        <f>'AEO 2023 Table 49 Raw'!I61</f>
        <v>7.6413999999999996E-2</v>
      </c>
      <c r="G72" s="18">
        <f>'AEO 2023 Table 49 Raw'!J61</f>
        <v>0.11343300000000001</v>
      </c>
      <c r="H72" s="18">
        <f>'AEO 2023 Table 49 Raw'!K61</f>
        <v>0.14805499999999999</v>
      </c>
      <c r="I72" s="18">
        <f>'AEO 2023 Table 49 Raw'!L61</f>
        <v>0.18076100000000001</v>
      </c>
      <c r="J72" s="18">
        <f>'AEO 2023 Table 49 Raw'!M61</f>
        <v>0.21062</v>
      </c>
      <c r="K72" s="18">
        <f>'AEO 2023 Table 49 Raw'!N61</f>
        <v>0.23810300000000001</v>
      </c>
      <c r="L72" s="18">
        <f>'AEO 2023 Table 49 Raw'!O61</f>
        <v>0.26388400000000001</v>
      </c>
      <c r="M72" s="18">
        <f>'AEO 2023 Table 49 Raw'!P61</f>
        <v>0.28945799999999999</v>
      </c>
      <c r="N72" s="18">
        <f>'AEO 2023 Table 49 Raw'!Q61</f>
        <v>0.31404100000000001</v>
      </c>
      <c r="O72" s="18">
        <f>'AEO 2023 Table 49 Raw'!R61</f>
        <v>0.33735700000000002</v>
      </c>
      <c r="P72" s="18">
        <f>'AEO 2023 Table 49 Raw'!S61</f>
        <v>0.36081600000000003</v>
      </c>
      <c r="Q72" s="18">
        <f>'AEO 2023 Table 49 Raw'!T61</f>
        <v>0.38390299999999999</v>
      </c>
      <c r="R72" s="18">
        <f>'AEO 2023 Table 49 Raw'!U61</f>
        <v>0.40889700000000001</v>
      </c>
      <c r="S72" s="18">
        <f>'AEO 2023 Table 49 Raw'!V61</f>
        <v>0.435332</v>
      </c>
      <c r="T72" s="18">
        <f>'AEO 2023 Table 49 Raw'!W61</f>
        <v>0.46310400000000002</v>
      </c>
      <c r="U72" s="18">
        <f>'AEO 2023 Table 49 Raw'!X61</f>
        <v>0.49369800000000003</v>
      </c>
      <c r="V72" s="18">
        <f>'AEO 2023 Table 49 Raw'!Y61</f>
        <v>0.52685999999999999</v>
      </c>
      <c r="W72" s="18">
        <f>'AEO 2023 Table 49 Raw'!Z61</f>
        <v>0.56333100000000003</v>
      </c>
      <c r="X72" s="18">
        <f>'AEO 2023 Table 49 Raw'!AA61</f>
        <v>0.60099999999999998</v>
      </c>
      <c r="Y72" s="18">
        <f>'AEO 2023 Table 49 Raw'!AB61</f>
        <v>0.64114800000000005</v>
      </c>
      <c r="Z72" s="18">
        <f>'AEO 2023 Table 49 Raw'!AC61</f>
        <v>0.68338600000000005</v>
      </c>
      <c r="AA72" s="18">
        <f>'AEO 2023 Table 49 Raw'!AD61</f>
        <v>0.72826199999999996</v>
      </c>
      <c r="AB72" s="18">
        <f>'AEO 2023 Table 49 Raw'!AE61</f>
        <v>0.77503500000000003</v>
      </c>
      <c r="AC72" s="18">
        <f>'AEO 2023 Table 49 Raw'!AF61</f>
        <v>0.82349799999999995</v>
      </c>
      <c r="AD72" s="18">
        <f>'AEO 2023 Table 49 Raw'!AG61</f>
        <v>0.87576799999999999</v>
      </c>
      <c r="AE72" s="18">
        <f>'AEO 2023 Table 49 Raw'!AH61</f>
        <v>0.93063399999999996</v>
      </c>
      <c r="AF72" s="30" t="str">
        <f>'AEO 2023 Table 49 Raw'!AI61</f>
        <v>- -</v>
      </c>
    </row>
    <row r="73" spans="1:32" ht="15" customHeight="1">
      <c r="A73" s="7" t="s">
        <v>798</v>
      </c>
      <c r="B73" s="16" t="s">
        <v>749</v>
      </c>
      <c r="C73" s="18">
        <f>'AEO 2023 Table 49 Raw'!F62</f>
        <v>0</v>
      </c>
      <c r="D73" s="18">
        <f>'AEO 2023 Table 49 Raw'!G62</f>
        <v>0</v>
      </c>
      <c r="E73" s="18">
        <f>'AEO 2023 Table 49 Raw'!H62</f>
        <v>4.8370000000000003E-2</v>
      </c>
      <c r="F73" s="18">
        <f>'AEO 2023 Table 49 Raw'!I62</f>
        <v>9.4232999999999997E-2</v>
      </c>
      <c r="G73" s="18">
        <f>'AEO 2023 Table 49 Raw'!J62</f>
        <v>0.13824400000000001</v>
      </c>
      <c r="H73" s="18">
        <f>'AEO 2023 Table 49 Raw'!K62</f>
        <v>0.17905299999999999</v>
      </c>
      <c r="I73" s="18">
        <f>'AEO 2023 Table 49 Raw'!L62</f>
        <v>0.21695200000000001</v>
      </c>
      <c r="J73" s="18">
        <f>'AEO 2023 Table 49 Raw'!M62</f>
        <v>0.25115599999999999</v>
      </c>
      <c r="K73" s="18">
        <f>'AEO 2023 Table 49 Raw'!N62</f>
        <v>0.28272599999999998</v>
      </c>
      <c r="L73" s="18">
        <f>'AEO 2023 Table 49 Raw'!O62</f>
        <v>0.313085</v>
      </c>
      <c r="M73" s="18">
        <f>'AEO 2023 Table 49 Raw'!P62</f>
        <v>0.344219</v>
      </c>
      <c r="N73" s="18">
        <f>'AEO 2023 Table 49 Raw'!Q62</f>
        <v>0.37559399999999998</v>
      </c>
      <c r="O73" s="18">
        <f>'AEO 2023 Table 49 Raw'!R62</f>
        <v>0.40673199999999998</v>
      </c>
      <c r="P73" s="18">
        <f>'AEO 2023 Table 49 Raw'!S62</f>
        <v>0.43945800000000002</v>
      </c>
      <c r="Q73" s="18">
        <f>'AEO 2023 Table 49 Raw'!T62</f>
        <v>0.473408</v>
      </c>
      <c r="R73" s="18">
        <f>'AEO 2023 Table 49 Raw'!U62</f>
        <v>0.511772</v>
      </c>
      <c r="S73" s="18">
        <f>'AEO 2023 Table 49 Raw'!V62</f>
        <v>0.55420800000000003</v>
      </c>
      <c r="T73" s="18">
        <f>'AEO 2023 Table 49 Raw'!W62</f>
        <v>0.60096400000000005</v>
      </c>
      <c r="U73" s="18">
        <f>'AEO 2023 Table 49 Raw'!X62</f>
        <v>0.65425299999999997</v>
      </c>
      <c r="V73" s="18">
        <f>'AEO 2023 Table 49 Raw'!Y62</f>
        <v>0.71394500000000005</v>
      </c>
      <c r="W73" s="18">
        <f>'AEO 2023 Table 49 Raw'!Z62</f>
        <v>0.78086999999999995</v>
      </c>
      <c r="X73" s="18">
        <f>'AEO 2023 Table 49 Raw'!AA62</f>
        <v>0.85239799999999999</v>
      </c>
      <c r="Y73" s="18">
        <f>'AEO 2023 Table 49 Raw'!AB62</f>
        <v>0.930037</v>
      </c>
      <c r="Z73" s="18">
        <f>'AEO 2023 Table 49 Raw'!AC62</f>
        <v>1.013144</v>
      </c>
      <c r="AA73" s="18">
        <f>'AEO 2023 Table 49 Raw'!AD62</f>
        <v>1.1022259999999999</v>
      </c>
      <c r="AB73" s="18">
        <f>'AEO 2023 Table 49 Raw'!AE62</f>
        <v>1.195867</v>
      </c>
      <c r="AC73" s="18">
        <f>'AEO 2023 Table 49 Raw'!AF62</f>
        <v>1.2934749999999999</v>
      </c>
      <c r="AD73" s="18">
        <f>'AEO 2023 Table 49 Raw'!AG62</f>
        <v>1.3978710000000001</v>
      </c>
      <c r="AE73" s="18">
        <f>'AEO 2023 Table 49 Raw'!AH62</f>
        <v>1.5072430000000001</v>
      </c>
      <c r="AF73" s="30" t="str">
        <f>'AEO 2023 Table 49 Raw'!AI62</f>
        <v>- -</v>
      </c>
    </row>
    <row r="74" spans="1:32" ht="15" customHeight="1">
      <c r="A74" s="7" t="s">
        <v>799</v>
      </c>
      <c r="B74" s="16" t="s">
        <v>751</v>
      </c>
      <c r="C74" s="18">
        <f>'AEO 2023 Table 49 Raw'!F63</f>
        <v>0</v>
      </c>
      <c r="D74" s="18">
        <f>'AEO 2023 Table 49 Raw'!G63</f>
        <v>0</v>
      </c>
      <c r="E74" s="18">
        <f>'AEO 2023 Table 49 Raw'!H63</f>
        <v>8.1702999999999998E-2</v>
      </c>
      <c r="F74" s="18">
        <f>'AEO 2023 Table 49 Raw'!I63</f>
        <v>0.16492399999999999</v>
      </c>
      <c r="G74" s="18">
        <f>'AEO 2023 Table 49 Raw'!J63</f>
        <v>0.249639</v>
      </c>
      <c r="H74" s="18">
        <f>'AEO 2023 Table 49 Raw'!K63</f>
        <v>0.33211400000000002</v>
      </c>
      <c r="I74" s="18">
        <f>'AEO 2023 Table 49 Raw'!L63</f>
        <v>0.41172500000000001</v>
      </c>
      <c r="J74" s="18">
        <f>'AEO 2023 Table 49 Raw'!M63</f>
        <v>0.48722900000000002</v>
      </c>
      <c r="K74" s="18">
        <f>'AEO 2023 Table 49 Raw'!N63</f>
        <v>0.55920099999999995</v>
      </c>
      <c r="L74" s="18">
        <f>'AEO 2023 Table 49 Raw'!O63</f>
        <v>0.62911099999999998</v>
      </c>
      <c r="M74" s="18">
        <f>'AEO 2023 Table 49 Raw'!P63</f>
        <v>0.70016299999999998</v>
      </c>
      <c r="N74" s="18">
        <f>'AEO 2023 Table 49 Raw'!Q63</f>
        <v>0.76988800000000002</v>
      </c>
      <c r="O74" s="18">
        <f>'AEO 2023 Table 49 Raw'!R63</f>
        <v>0.837453</v>
      </c>
      <c r="P74" s="18">
        <f>'AEO 2023 Table 49 Raw'!S63</f>
        <v>0.90615100000000004</v>
      </c>
      <c r="Q74" s="18">
        <f>'AEO 2023 Table 49 Raw'!T63</f>
        <v>0.97520799999999996</v>
      </c>
      <c r="R74" s="18">
        <f>'AEO 2023 Table 49 Raw'!U63</f>
        <v>1.050481</v>
      </c>
      <c r="S74" s="18">
        <f>'AEO 2023 Table 49 Raw'!V63</f>
        <v>1.1308</v>
      </c>
      <c r="T74" s="18">
        <f>'AEO 2023 Table 49 Raw'!W63</f>
        <v>1.216048</v>
      </c>
      <c r="U74" s="18">
        <f>'AEO 2023 Table 49 Raw'!X63</f>
        <v>1.310146</v>
      </c>
      <c r="V74" s="18">
        <f>'AEO 2023 Table 49 Raw'!Y63</f>
        <v>1.412428</v>
      </c>
      <c r="W74" s="18">
        <f>'AEO 2023 Table 49 Raw'!Z63</f>
        <v>1.5248949999999999</v>
      </c>
      <c r="X74" s="18">
        <f>'AEO 2023 Table 49 Raw'!AA63</f>
        <v>1.643073</v>
      </c>
      <c r="Y74" s="18">
        <f>'AEO 2023 Table 49 Raw'!AB63</f>
        <v>1.769298</v>
      </c>
      <c r="Z74" s="18">
        <f>'AEO 2023 Table 49 Raw'!AC63</f>
        <v>1.902334</v>
      </c>
      <c r="AA74" s="18">
        <f>'AEO 2023 Table 49 Raw'!AD63</f>
        <v>2.0436429999999999</v>
      </c>
      <c r="AB74" s="18">
        <f>'AEO 2023 Table 49 Raw'!AE63</f>
        <v>2.1911909999999999</v>
      </c>
      <c r="AC74" s="18">
        <f>'AEO 2023 Table 49 Raw'!AF63</f>
        <v>2.34422</v>
      </c>
      <c r="AD74" s="18">
        <f>'AEO 2023 Table 49 Raw'!AG63</f>
        <v>2.5079220000000002</v>
      </c>
      <c r="AE74" s="18">
        <f>'AEO 2023 Table 49 Raw'!AH63</f>
        <v>2.679551</v>
      </c>
      <c r="AF74" s="30" t="str">
        <f>'AEO 2023 Table 49 Raw'!AI63</f>
        <v>- -</v>
      </c>
    </row>
    <row r="75" spans="1:32" ht="15" customHeight="1">
      <c r="A75" s="7" t="s">
        <v>800</v>
      </c>
      <c r="B75" s="16" t="s">
        <v>765</v>
      </c>
      <c r="C75" s="18">
        <f>'AEO 2023 Table 49 Raw'!F64</f>
        <v>969.94104000000004</v>
      </c>
      <c r="D75" s="18">
        <f>'AEO 2023 Table 49 Raw'!G64</f>
        <v>940.81140100000005</v>
      </c>
      <c r="E75" s="18">
        <f>'AEO 2023 Table 49 Raw'!H64</f>
        <v>917.15948500000002</v>
      </c>
      <c r="F75" s="18">
        <f>'AEO 2023 Table 49 Raw'!I64</f>
        <v>901.62683100000004</v>
      </c>
      <c r="G75" s="18">
        <f>'AEO 2023 Table 49 Raw'!J64</f>
        <v>890.986267</v>
      </c>
      <c r="H75" s="18">
        <f>'AEO 2023 Table 49 Raw'!K64</f>
        <v>878.49066200000004</v>
      </c>
      <c r="I75" s="18">
        <f>'AEO 2023 Table 49 Raw'!L64</f>
        <v>867.02545199999997</v>
      </c>
      <c r="J75" s="18">
        <f>'AEO 2023 Table 49 Raw'!M64</f>
        <v>854.45935099999997</v>
      </c>
      <c r="K75" s="18">
        <f>'AEO 2023 Table 49 Raw'!N64</f>
        <v>843.13299600000005</v>
      </c>
      <c r="L75" s="18">
        <f>'AEO 2023 Table 49 Raw'!O64</f>
        <v>833.16625999999997</v>
      </c>
      <c r="M75" s="18">
        <f>'AEO 2023 Table 49 Raw'!P64</f>
        <v>827.27294900000004</v>
      </c>
      <c r="N75" s="18">
        <f>'AEO 2023 Table 49 Raw'!Q64</f>
        <v>820.74218800000006</v>
      </c>
      <c r="O75" s="18">
        <f>'AEO 2023 Table 49 Raw'!R64</f>
        <v>813.97717299999999</v>
      </c>
      <c r="P75" s="18">
        <f>'AEO 2023 Table 49 Raw'!S64</f>
        <v>809.44793700000002</v>
      </c>
      <c r="Q75" s="18">
        <f>'AEO 2023 Table 49 Raw'!T64</f>
        <v>804.86724900000002</v>
      </c>
      <c r="R75" s="18">
        <f>'AEO 2023 Table 49 Raw'!U64</f>
        <v>804.27380400000004</v>
      </c>
      <c r="S75" s="18">
        <f>'AEO 2023 Table 49 Raw'!V64</f>
        <v>803.65301499999998</v>
      </c>
      <c r="T75" s="18">
        <f>'AEO 2023 Table 49 Raw'!W64</f>
        <v>803.74835199999995</v>
      </c>
      <c r="U75" s="18">
        <f>'AEO 2023 Table 49 Raw'!X64</f>
        <v>804.90423599999997</v>
      </c>
      <c r="V75" s="18">
        <f>'AEO 2023 Table 49 Raw'!Y64</f>
        <v>806.42053199999998</v>
      </c>
      <c r="W75" s="18">
        <f>'AEO 2023 Table 49 Raw'!Z64</f>
        <v>809.15692100000001</v>
      </c>
      <c r="X75" s="18">
        <f>'AEO 2023 Table 49 Raw'!AA64</f>
        <v>813.02740500000004</v>
      </c>
      <c r="Y75" s="18">
        <f>'AEO 2023 Table 49 Raw'!AB64</f>
        <v>817.48468000000003</v>
      </c>
      <c r="Z75" s="18">
        <f>'AEO 2023 Table 49 Raw'!AC64</f>
        <v>821.82128899999998</v>
      </c>
      <c r="AA75" s="18">
        <f>'AEO 2023 Table 49 Raw'!AD64</f>
        <v>826.55474900000002</v>
      </c>
      <c r="AB75" s="18">
        <f>'AEO 2023 Table 49 Raw'!AE64</f>
        <v>831.33837900000003</v>
      </c>
      <c r="AC75" s="18">
        <f>'AEO 2023 Table 49 Raw'!AF64</f>
        <v>836.18963599999995</v>
      </c>
      <c r="AD75" s="18">
        <f>'AEO 2023 Table 49 Raw'!AG64</f>
        <v>842.79064900000003</v>
      </c>
      <c r="AE75" s="18">
        <f>'AEO 2023 Table 49 Raw'!AH64</f>
        <v>850.25305200000003</v>
      </c>
      <c r="AF75" s="30">
        <f>'AEO 2023 Table 49 Raw'!AI64</f>
        <v>-5.0000000000000001E-3</v>
      </c>
    </row>
    <row r="76" spans="1:32" ht="15" customHeight="1">
      <c r="B76" s="15" t="s">
        <v>766</v>
      </c>
      <c r="C76" s="18"/>
      <c r="D76" s="18"/>
      <c r="E76" s="18"/>
      <c r="F76" s="18"/>
      <c r="G76" s="18"/>
      <c r="H76" s="18"/>
      <c r="I76" s="18"/>
      <c r="J76" s="18"/>
      <c r="K76" s="18"/>
      <c r="L76" s="18"/>
      <c r="M76" s="18"/>
      <c r="N76" s="18"/>
      <c r="O76" s="18"/>
      <c r="P76" s="18"/>
      <c r="Q76" s="18"/>
      <c r="R76" s="18"/>
      <c r="S76" s="18"/>
      <c r="T76" s="18"/>
      <c r="U76" s="18"/>
      <c r="V76" s="18"/>
      <c r="W76" s="18"/>
      <c r="X76" s="18"/>
      <c r="Y76" s="18"/>
      <c r="Z76" s="18"/>
      <c r="AA76" s="18"/>
      <c r="AB76" s="18"/>
      <c r="AC76" s="18"/>
      <c r="AD76" s="18"/>
      <c r="AE76" s="18"/>
      <c r="AF76" s="30"/>
    </row>
    <row r="77" spans="1:32" ht="15" customHeight="1">
      <c r="A77" s="7" t="s">
        <v>801</v>
      </c>
      <c r="B77" s="16" t="s">
        <v>736</v>
      </c>
      <c r="C77" s="18">
        <f>'AEO 2023 Table 49 Raw'!F66</f>
        <v>4148.1689450000003</v>
      </c>
      <c r="D77" s="18">
        <f>'AEO 2023 Table 49 Raw'!G66</f>
        <v>4031.2768550000001</v>
      </c>
      <c r="E77" s="18">
        <f>'AEO 2023 Table 49 Raw'!H66</f>
        <v>3923.3715820000002</v>
      </c>
      <c r="F77" s="18">
        <f>'AEO 2023 Table 49 Raw'!I66</f>
        <v>3854.0532229999999</v>
      </c>
      <c r="G77" s="18">
        <f>'AEO 2023 Table 49 Raw'!J66</f>
        <v>3806.7148440000001</v>
      </c>
      <c r="H77" s="18">
        <f>'AEO 2023 Table 49 Raw'!K66</f>
        <v>3750.2373050000001</v>
      </c>
      <c r="I77" s="18">
        <f>'AEO 2023 Table 49 Raw'!L66</f>
        <v>3693.4155270000001</v>
      </c>
      <c r="J77" s="18">
        <f>'AEO 2023 Table 49 Raw'!M66</f>
        <v>3630.9484859999998</v>
      </c>
      <c r="K77" s="18">
        <f>'AEO 2023 Table 49 Raw'!N66</f>
        <v>3571.5920409999999</v>
      </c>
      <c r="L77" s="18">
        <f>'AEO 2023 Table 49 Raw'!O66</f>
        <v>3516.5554200000001</v>
      </c>
      <c r="M77" s="18">
        <f>'AEO 2023 Table 49 Raw'!P66</f>
        <v>3472.7036130000001</v>
      </c>
      <c r="N77" s="18">
        <f>'AEO 2023 Table 49 Raw'!Q66</f>
        <v>3426.9506839999999</v>
      </c>
      <c r="O77" s="18">
        <f>'AEO 2023 Table 49 Raw'!R66</f>
        <v>3378.28125</v>
      </c>
      <c r="P77" s="18">
        <f>'AEO 2023 Table 49 Raw'!S66</f>
        <v>3336.9165039999998</v>
      </c>
      <c r="Q77" s="18">
        <f>'AEO 2023 Table 49 Raw'!T66</f>
        <v>3294.4421390000002</v>
      </c>
      <c r="R77" s="18">
        <f>'AEO 2023 Table 49 Raw'!U66</f>
        <v>3266.608643</v>
      </c>
      <c r="S77" s="18">
        <f>'AEO 2023 Table 49 Raw'!V66</f>
        <v>3244.7055660000001</v>
      </c>
      <c r="T77" s="18">
        <f>'AEO 2023 Table 49 Raw'!W66</f>
        <v>3221.592529</v>
      </c>
      <c r="U77" s="18">
        <f>'AEO 2023 Table 49 Raw'!X66</f>
        <v>3204.0227049999999</v>
      </c>
      <c r="V77" s="18">
        <f>'AEO 2023 Table 49 Raw'!Y66</f>
        <v>3185.608643</v>
      </c>
      <c r="W77" s="18">
        <f>'AEO 2023 Table 49 Raw'!Z66</f>
        <v>3171.5009770000001</v>
      </c>
      <c r="X77" s="18">
        <f>'AEO 2023 Table 49 Raw'!AA66</f>
        <v>3157.0290530000002</v>
      </c>
      <c r="Y77" s="18">
        <f>'AEO 2023 Table 49 Raw'!AB66</f>
        <v>3141.9304200000001</v>
      </c>
      <c r="Z77" s="18">
        <f>'AEO 2023 Table 49 Raw'!AC66</f>
        <v>3125.6206050000001</v>
      </c>
      <c r="AA77" s="18">
        <f>'AEO 2023 Table 49 Raw'!AD66</f>
        <v>3109.5190429999998</v>
      </c>
      <c r="AB77" s="18">
        <f>'AEO 2023 Table 49 Raw'!AE66</f>
        <v>3091.6689449999999</v>
      </c>
      <c r="AC77" s="18">
        <f>'AEO 2023 Table 49 Raw'!AF66</f>
        <v>3072.7773440000001</v>
      </c>
      <c r="AD77" s="18">
        <f>'AEO 2023 Table 49 Raw'!AG66</f>
        <v>3059.4216310000002</v>
      </c>
      <c r="AE77" s="18">
        <f>'AEO 2023 Table 49 Raw'!AH66</f>
        <v>3049.4814449999999</v>
      </c>
      <c r="AF77" s="30">
        <f>'AEO 2023 Table 49 Raw'!AI66</f>
        <v>-1.0999999999999999E-2</v>
      </c>
    </row>
    <row r="78" spans="1:32" ht="15" customHeight="1">
      <c r="A78" s="7" t="s">
        <v>802</v>
      </c>
      <c r="B78" s="16" t="s">
        <v>738</v>
      </c>
      <c r="C78" s="18">
        <f>'AEO 2023 Table 49 Raw'!F67</f>
        <v>3.9627940000000001</v>
      </c>
      <c r="D78" s="18">
        <f>'AEO 2023 Table 49 Raw'!G67</f>
        <v>3.8460070000000002</v>
      </c>
      <c r="E78" s="18">
        <f>'AEO 2023 Table 49 Raw'!H67</f>
        <v>3.804529</v>
      </c>
      <c r="F78" s="18">
        <f>'AEO 2023 Table 49 Raw'!I67</f>
        <v>3.841955</v>
      </c>
      <c r="G78" s="18">
        <f>'AEO 2023 Table 49 Raw'!J67</f>
        <v>3.9621430000000002</v>
      </c>
      <c r="H78" s="18">
        <f>'AEO 2023 Table 49 Raw'!K67</f>
        <v>4.1158770000000002</v>
      </c>
      <c r="I78" s="18">
        <f>'AEO 2023 Table 49 Raw'!L67</f>
        <v>4.2837519999999998</v>
      </c>
      <c r="J78" s="18">
        <f>'AEO 2023 Table 49 Raw'!M67</f>
        <v>4.4468259999999997</v>
      </c>
      <c r="K78" s="18">
        <f>'AEO 2023 Table 49 Raw'!N67</f>
        <v>4.6316410000000001</v>
      </c>
      <c r="L78" s="18">
        <f>'AEO 2023 Table 49 Raw'!O67</f>
        <v>4.8100990000000001</v>
      </c>
      <c r="M78" s="18">
        <f>'AEO 2023 Table 49 Raw'!P67</f>
        <v>4.9843229999999998</v>
      </c>
      <c r="N78" s="18">
        <f>'AEO 2023 Table 49 Raw'!Q67</f>
        <v>5.1373819999999997</v>
      </c>
      <c r="O78" s="18">
        <f>'AEO 2023 Table 49 Raw'!R67</f>
        <v>5.265428</v>
      </c>
      <c r="P78" s="18">
        <f>'AEO 2023 Table 49 Raw'!S67</f>
        <v>5.3822130000000001</v>
      </c>
      <c r="Q78" s="18">
        <f>'AEO 2023 Table 49 Raw'!T67</f>
        <v>5.4628730000000001</v>
      </c>
      <c r="R78" s="18">
        <f>'AEO 2023 Table 49 Raw'!U67</f>
        <v>5.5420579999999999</v>
      </c>
      <c r="S78" s="18">
        <f>'AEO 2023 Table 49 Raw'!V67</f>
        <v>5.6001430000000001</v>
      </c>
      <c r="T78" s="18">
        <f>'AEO 2023 Table 49 Raw'!W67</f>
        <v>5.6377040000000003</v>
      </c>
      <c r="U78" s="18">
        <f>'AEO 2023 Table 49 Raw'!X67</f>
        <v>5.6738970000000002</v>
      </c>
      <c r="V78" s="18">
        <f>'AEO 2023 Table 49 Raw'!Y67</f>
        <v>5.7021569999999997</v>
      </c>
      <c r="W78" s="18">
        <f>'AEO 2023 Table 49 Raw'!Z67</f>
        <v>5.7064909999999998</v>
      </c>
      <c r="X78" s="18">
        <f>'AEO 2023 Table 49 Raw'!AA67</f>
        <v>5.7013220000000002</v>
      </c>
      <c r="Y78" s="18">
        <f>'AEO 2023 Table 49 Raw'!AB67</f>
        <v>5.7074999999999996</v>
      </c>
      <c r="Z78" s="18">
        <f>'AEO 2023 Table 49 Raw'!AC67</f>
        <v>5.7172200000000002</v>
      </c>
      <c r="AA78" s="18">
        <f>'AEO 2023 Table 49 Raw'!AD67</f>
        <v>5.7331320000000003</v>
      </c>
      <c r="AB78" s="18">
        <f>'AEO 2023 Table 49 Raw'!AE67</f>
        <v>5.7496049999999999</v>
      </c>
      <c r="AC78" s="18">
        <f>'AEO 2023 Table 49 Raw'!AF67</f>
        <v>5.7660749999999998</v>
      </c>
      <c r="AD78" s="18">
        <f>'AEO 2023 Table 49 Raw'!AG67</f>
        <v>5.7918760000000002</v>
      </c>
      <c r="AE78" s="18">
        <f>'AEO 2023 Table 49 Raw'!AH67</f>
        <v>5.8238260000000004</v>
      </c>
      <c r="AF78" s="30">
        <f>'AEO 2023 Table 49 Raw'!AI67</f>
        <v>1.4E-2</v>
      </c>
    </row>
    <row r="79" spans="1:32" ht="15" customHeight="1">
      <c r="A79" s="7" t="s">
        <v>803</v>
      </c>
      <c r="B79" s="16" t="s">
        <v>382</v>
      </c>
      <c r="C79" s="18">
        <f>'AEO 2023 Table 49 Raw'!F68</f>
        <v>0.56835999999999998</v>
      </c>
      <c r="D79" s="18">
        <f>'AEO 2023 Table 49 Raw'!G68</f>
        <v>0.60670599999999997</v>
      </c>
      <c r="E79" s="18">
        <f>'AEO 2023 Table 49 Raw'!H68</f>
        <v>0.64312599999999998</v>
      </c>
      <c r="F79" s="18">
        <f>'AEO 2023 Table 49 Raw'!I68</f>
        <v>0.68250599999999995</v>
      </c>
      <c r="G79" s="18">
        <f>'AEO 2023 Table 49 Raw'!J68</f>
        <v>0.72353500000000004</v>
      </c>
      <c r="H79" s="18">
        <f>'AEO 2023 Table 49 Raw'!K68</f>
        <v>0.75692199999999998</v>
      </c>
      <c r="I79" s="18">
        <f>'AEO 2023 Table 49 Raw'!L68</f>
        <v>0.782138</v>
      </c>
      <c r="J79" s="18">
        <f>'AEO 2023 Table 49 Raw'!M68</f>
        <v>0.79613500000000004</v>
      </c>
      <c r="K79" s="18">
        <f>'AEO 2023 Table 49 Raw'!N68</f>
        <v>0.80374400000000001</v>
      </c>
      <c r="L79" s="18">
        <f>'AEO 2023 Table 49 Raw'!O68</f>
        <v>0.80603999999999998</v>
      </c>
      <c r="M79" s="18">
        <f>'AEO 2023 Table 49 Raw'!P68</f>
        <v>0.80596699999999999</v>
      </c>
      <c r="N79" s="18">
        <f>'AEO 2023 Table 49 Raw'!Q68</f>
        <v>0.804809</v>
      </c>
      <c r="O79" s="18">
        <f>'AEO 2023 Table 49 Raw'!R68</f>
        <v>0.80398999999999998</v>
      </c>
      <c r="P79" s="18">
        <f>'AEO 2023 Table 49 Raw'!S68</f>
        <v>0.80492399999999997</v>
      </c>
      <c r="Q79" s="18">
        <f>'AEO 2023 Table 49 Raw'!T68</f>
        <v>0.80324899999999999</v>
      </c>
      <c r="R79" s="18">
        <f>'AEO 2023 Table 49 Raw'!U68</f>
        <v>0.803678</v>
      </c>
      <c r="S79" s="18">
        <f>'AEO 2023 Table 49 Raw'!V68</f>
        <v>0.80220499999999995</v>
      </c>
      <c r="T79" s="18">
        <f>'AEO 2023 Table 49 Raw'!W68</f>
        <v>0.79977500000000001</v>
      </c>
      <c r="U79" s="18">
        <f>'AEO 2023 Table 49 Raw'!X68</f>
        <v>0.79792799999999997</v>
      </c>
      <c r="V79" s="18">
        <f>'AEO 2023 Table 49 Raw'!Y68</f>
        <v>0.79701900000000003</v>
      </c>
      <c r="W79" s="18">
        <f>'AEO 2023 Table 49 Raw'!Z68</f>
        <v>0.79640699999999998</v>
      </c>
      <c r="X79" s="18">
        <f>'AEO 2023 Table 49 Raw'!AA68</f>
        <v>0.79543399999999997</v>
      </c>
      <c r="Y79" s="18">
        <f>'AEO 2023 Table 49 Raw'!AB68</f>
        <v>0.79418699999999998</v>
      </c>
      <c r="Z79" s="18">
        <f>'AEO 2023 Table 49 Raw'!AC68</f>
        <v>0.79286000000000001</v>
      </c>
      <c r="AA79" s="18">
        <f>'AEO 2023 Table 49 Raw'!AD68</f>
        <v>0.79214099999999998</v>
      </c>
      <c r="AB79" s="18">
        <f>'AEO 2023 Table 49 Raw'!AE68</f>
        <v>0.79139000000000004</v>
      </c>
      <c r="AC79" s="18">
        <f>'AEO 2023 Table 49 Raw'!AF68</f>
        <v>0.79042599999999996</v>
      </c>
      <c r="AD79" s="18">
        <f>'AEO 2023 Table 49 Raw'!AG68</f>
        <v>0.78996599999999995</v>
      </c>
      <c r="AE79" s="18">
        <f>'AEO 2023 Table 49 Raw'!AH68</f>
        <v>0.78929800000000006</v>
      </c>
      <c r="AF79" s="30">
        <f>'AEO 2023 Table 49 Raw'!AI68</f>
        <v>1.2E-2</v>
      </c>
    </row>
    <row r="80" spans="1:32" ht="15" customHeight="1">
      <c r="A80" s="7" t="s">
        <v>804</v>
      </c>
      <c r="B80" s="16" t="s">
        <v>741</v>
      </c>
      <c r="C80" s="18">
        <f>'AEO 2023 Table 49 Raw'!F69</f>
        <v>50.280738999999997</v>
      </c>
      <c r="D80" s="18">
        <f>'AEO 2023 Table 49 Raw'!G69</f>
        <v>50.068455</v>
      </c>
      <c r="E80" s="18">
        <f>'AEO 2023 Table 49 Raw'!H69</f>
        <v>49.655692999999999</v>
      </c>
      <c r="F80" s="18">
        <f>'AEO 2023 Table 49 Raw'!I69</f>
        <v>49.359779000000003</v>
      </c>
      <c r="G80" s="18">
        <f>'AEO 2023 Table 49 Raw'!J69</f>
        <v>48.977187999999998</v>
      </c>
      <c r="H80" s="18">
        <f>'AEO 2023 Table 49 Raw'!K69</f>
        <v>48.107246000000004</v>
      </c>
      <c r="I80" s="18">
        <f>'AEO 2023 Table 49 Raw'!L69</f>
        <v>46.838107999999998</v>
      </c>
      <c r="J80" s="18">
        <f>'AEO 2023 Table 49 Raw'!M69</f>
        <v>45.236046000000002</v>
      </c>
      <c r="K80" s="18">
        <f>'AEO 2023 Table 49 Raw'!N69</f>
        <v>43.567093</v>
      </c>
      <c r="L80" s="18">
        <f>'AEO 2023 Table 49 Raw'!O69</f>
        <v>42.027355</v>
      </c>
      <c r="M80" s="18">
        <f>'AEO 2023 Table 49 Raw'!P69</f>
        <v>40.837364000000001</v>
      </c>
      <c r="N80" s="18">
        <f>'AEO 2023 Table 49 Raw'!Q69</f>
        <v>39.986961000000001</v>
      </c>
      <c r="O80" s="18">
        <f>'AEO 2023 Table 49 Raw'!R69</f>
        <v>39.485703000000001</v>
      </c>
      <c r="P80" s="18">
        <f>'AEO 2023 Table 49 Raw'!S69</f>
        <v>39.368915999999999</v>
      </c>
      <c r="Q80" s="18">
        <f>'AEO 2023 Table 49 Raw'!T69</f>
        <v>39.458328000000002</v>
      </c>
      <c r="R80" s="18">
        <f>'AEO 2023 Table 49 Raw'!U69</f>
        <v>39.932766000000001</v>
      </c>
      <c r="S80" s="18">
        <f>'AEO 2023 Table 49 Raw'!V69</f>
        <v>40.665218000000003</v>
      </c>
      <c r="T80" s="18">
        <f>'AEO 2023 Table 49 Raw'!W69</f>
        <v>41.599049000000001</v>
      </c>
      <c r="U80" s="18">
        <f>'AEO 2023 Table 49 Raw'!X69</f>
        <v>42.818123</v>
      </c>
      <c r="V80" s="18">
        <f>'AEO 2023 Table 49 Raw'!Y69</f>
        <v>44.241703000000001</v>
      </c>
      <c r="W80" s="18">
        <f>'AEO 2023 Table 49 Raw'!Z69</f>
        <v>45.859436000000002</v>
      </c>
      <c r="X80" s="18">
        <f>'AEO 2023 Table 49 Raw'!AA69</f>
        <v>47.627850000000002</v>
      </c>
      <c r="Y80" s="18">
        <f>'AEO 2023 Table 49 Raw'!AB69</f>
        <v>49.540225999999997</v>
      </c>
      <c r="Z80" s="18">
        <f>'AEO 2023 Table 49 Raw'!AC69</f>
        <v>51.565514</v>
      </c>
      <c r="AA80" s="18">
        <f>'AEO 2023 Table 49 Raw'!AD69</f>
        <v>53.733218999999998</v>
      </c>
      <c r="AB80" s="18">
        <f>'AEO 2023 Table 49 Raw'!AE69</f>
        <v>56.009075000000003</v>
      </c>
      <c r="AC80" s="18">
        <f>'AEO 2023 Table 49 Raw'!AF69</f>
        <v>58.349373</v>
      </c>
      <c r="AD80" s="18">
        <f>'AEO 2023 Table 49 Raw'!AG69</f>
        <v>60.919922</v>
      </c>
      <c r="AE80" s="18">
        <f>'AEO 2023 Table 49 Raw'!AH69</f>
        <v>63.711185</v>
      </c>
      <c r="AF80" s="30">
        <f>'AEO 2023 Table 49 Raw'!AI69</f>
        <v>8.0000000000000002E-3</v>
      </c>
    </row>
    <row r="81" spans="1:32" ht="15" customHeight="1">
      <c r="A81" s="7" t="s">
        <v>805</v>
      </c>
      <c r="B81" s="16" t="s">
        <v>743</v>
      </c>
      <c r="C81" s="18">
        <f>'AEO 2023 Table 49 Raw'!F70</f>
        <v>0</v>
      </c>
      <c r="D81" s="18">
        <f>'AEO 2023 Table 49 Raw'!G70</f>
        <v>0</v>
      </c>
      <c r="E81" s="18">
        <f>'AEO 2023 Table 49 Raw'!H70</f>
        <v>0</v>
      </c>
      <c r="F81" s="18">
        <f>'AEO 2023 Table 49 Raw'!I70</f>
        <v>0</v>
      </c>
      <c r="G81" s="18">
        <f>'AEO 2023 Table 49 Raw'!J70</f>
        <v>0</v>
      </c>
      <c r="H81" s="18">
        <f>'AEO 2023 Table 49 Raw'!K70</f>
        <v>0</v>
      </c>
      <c r="I81" s="18">
        <f>'AEO 2023 Table 49 Raw'!L70</f>
        <v>0</v>
      </c>
      <c r="J81" s="18">
        <f>'AEO 2023 Table 49 Raw'!M70</f>
        <v>0</v>
      </c>
      <c r="K81" s="18">
        <f>'AEO 2023 Table 49 Raw'!N70</f>
        <v>0</v>
      </c>
      <c r="L81" s="18">
        <f>'AEO 2023 Table 49 Raw'!O70</f>
        <v>0</v>
      </c>
      <c r="M81" s="18">
        <f>'AEO 2023 Table 49 Raw'!P70</f>
        <v>0</v>
      </c>
      <c r="N81" s="18">
        <f>'AEO 2023 Table 49 Raw'!Q70</f>
        <v>0</v>
      </c>
      <c r="O81" s="18">
        <f>'AEO 2023 Table 49 Raw'!R70</f>
        <v>0</v>
      </c>
      <c r="P81" s="18">
        <f>'AEO 2023 Table 49 Raw'!S70</f>
        <v>0</v>
      </c>
      <c r="Q81" s="18">
        <f>'AEO 2023 Table 49 Raw'!T70</f>
        <v>0</v>
      </c>
      <c r="R81" s="18">
        <f>'AEO 2023 Table 49 Raw'!U70</f>
        <v>0</v>
      </c>
      <c r="S81" s="18">
        <f>'AEO 2023 Table 49 Raw'!V70</f>
        <v>0</v>
      </c>
      <c r="T81" s="18">
        <f>'AEO 2023 Table 49 Raw'!W70</f>
        <v>0</v>
      </c>
      <c r="U81" s="18">
        <f>'AEO 2023 Table 49 Raw'!X70</f>
        <v>0</v>
      </c>
      <c r="V81" s="18">
        <f>'AEO 2023 Table 49 Raw'!Y70</f>
        <v>0</v>
      </c>
      <c r="W81" s="18">
        <f>'AEO 2023 Table 49 Raw'!Z70</f>
        <v>0</v>
      </c>
      <c r="X81" s="18">
        <f>'AEO 2023 Table 49 Raw'!AA70</f>
        <v>0</v>
      </c>
      <c r="Y81" s="18">
        <f>'AEO 2023 Table 49 Raw'!AB70</f>
        <v>0</v>
      </c>
      <c r="Z81" s="18">
        <f>'AEO 2023 Table 49 Raw'!AC70</f>
        <v>0</v>
      </c>
      <c r="AA81" s="18">
        <f>'AEO 2023 Table 49 Raw'!AD70</f>
        <v>0</v>
      </c>
      <c r="AB81" s="18">
        <f>'AEO 2023 Table 49 Raw'!AE70</f>
        <v>0</v>
      </c>
      <c r="AC81" s="18">
        <f>'AEO 2023 Table 49 Raw'!AF70</f>
        <v>0</v>
      </c>
      <c r="AD81" s="18">
        <f>'AEO 2023 Table 49 Raw'!AG70</f>
        <v>0</v>
      </c>
      <c r="AE81" s="18">
        <f>'AEO 2023 Table 49 Raw'!AH70</f>
        <v>0</v>
      </c>
      <c r="AF81" s="30" t="str">
        <f>'AEO 2023 Table 49 Raw'!AI70</f>
        <v>- -</v>
      </c>
    </row>
    <row r="82" spans="1:32" ht="15" customHeight="1">
      <c r="A82" s="7" t="s">
        <v>806</v>
      </c>
      <c r="B82" s="16" t="s">
        <v>745</v>
      </c>
      <c r="C82" s="18">
        <f>'AEO 2023 Table 49 Raw'!F71</f>
        <v>4.6922999999999999E-2</v>
      </c>
      <c r="D82" s="18">
        <f>'AEO 2023 Table 49 Raw'!G71</f>
        <v>5.4698999999999998E-2</v>
      </c>
      <c r="E82" s="18">
        <f>'AEO 2023 Table 49 Raw'!H71</f>
        <v>6.1366999999999998E-2</v>
      </c>
      <c r="F82" s="18">
        <f>'AEO 2023 Table 49 Raw'!I71</f>
        <v>6.7617999999999998E-2</v>
      </c>
      <c r="G82" s="18">
        <f>'AEO 2023 Table 49 Raw'!J71</f>
        <v>7.3111999999999996E-2</v>
      </c>
      <c r="H82" s="18">
        <f>'AEO 2023 Table 49 Raw'!K71</f>
        <v>7.7225000000000002E-2</v>
      </c>
      <c r="I82" s="18">
        <f>'AEO 2023 Table 49 Raw'!L71</f>
        <v>8.0045000000000005E-2</v>
      </c>
      <c r="J82" s="18">
        <f>'AEO 2023 Table 49 Raw'!M71</f>
        <v>8.1566E-2</v>
      </c>
      <c r="K82" s="18">
        <f>'AEO 2023 Table 49 Raw'!N71</f>
        <v>8.2086999999999993E-2</v>
      </c>
      <c r="L82" s="18">
        <f>'AEO 2023 Table 49 Raw'!O71</f>
        <v>8.1693000000000002E-2</v>
      </c>
      <c r="M82" s="18">
        <f>'AEO 2023 Table 49 Raw'!P71</f>
        <v>8.0528000000000002E-2</v>
      </c>
      <c r="N82" s="18">
        <f>'AEO 2023 Table 49 Raw'!Q71</f>
        <v>7.8351000000000004E-2</v>
      </c>
      <c r="O82" s="18">
        <f>'AEO 2023 Table 49 Raw'!R71</f>
        <v>7.5394000000000003E-2</v>
      </c>
      <c r="P82" s="18">
        <f>'AEO 2023 Table 49 Raw'!S71</f>
        <v>7.2048000000000001E-2</v>
      </c>
      <c r="Q82" s="18">
        <f>'AEO 2023 Table 49 Raw'!T71</f>
        <v>6.8336999999999995E-2</v>
      </c>
      <c r="R82" s="18">
        <f>'AEO 2023 Table 49 Raw'!U71</f>
        <v>6.4832000000000001E-2</v>
      </c>
      <c r="S82" s="18">
        <f>'AEO 2023 Table 49 Raw'!V71</f>
        <v>6.1281000000000002E-2</v>
      </c>
      <c r="T82" s="18">
        <f>'AEO 2023 Table 49 Raw'!W71</f>
        <v>5.7109E-2</v>
      </c>
      <c r="U82" s="18">
        <f>'AEO 2023 Table 49 Raw'!X71</f>
        <v>5.2908999999999998E-2</v>
      </c>
      <c r="V82" s="18">
        <f>'AEO 2023 Table 49 Raw'!Y71</f>
        <v>4.9218999999999999E-2</v>
      </c>
      <c r="W82" s="18">
        <f>'AEO 2023 Table 49 Raw'!Z71</f>
        <v>4.6171999999999998E-2</v>
      </c>
      <c r="X82" s="18">
        <f>'AEO 2023 Table 49 Raw'!AA71</f>
        <v>4.3128E-2</v>
      </c>
      <c r="Y82" s="18">
        <f>'AEO 2023 Table 49 Raw'!AB71</f>
        <v>4.0410000000000001E-2</v>
      </c>
      <c r="Z82" s="18">
        <f>'AEO 2023 Table 49 Raw'!AC71</f>
        <v>3.7878000000000002E-2</v>
      </c>
      <c r="AA82" s="18">
        <f>'AEO 2023 Table 49 Raw'!AD71</f>
        <v>3.5562999999999997E-2</v>
      </c>
      <c r="AB82" s="18">
        <f>'AEO 2023 Table 49 Raw'!AE71</f>
        <v>3.3422E-2</v>
      </c>
      <c r="AC82" s="18">
        <f>'AEO 2023 Table 49 Raw'!AF71</f>
        <v>3.1433000000000003E-2</v>
      </c>
      <c r="AD82" s="18">
        <f>'AEO 2023 Table 49 Raw'!AG71</f>
        <v>2.9628999999999999E-2</v>
      </c>
      <c r="AE82" s="18">
        <f>'AEO 2023 Table 49 Raw'!AH71</f>
        <v>2.7977999999999999E-2</v>
      </c>
      <c r="AF82" s="30">
        <f>'AEO 2023 Table 49 Raw'!AI71</f>
        <v>-1.7999999999999999E-2</v>
      </c>
    </row>
    <row r="83" spans="1:32" ht="15" customHeight="1">
      <c r="A83" s="7" t="s">
        <v>807</v>
      </c>
      <c r="B83" s="16" t="s">
        <v>747</v>
      </c>
      <c r="C83" s="18">
        <f>'AEO 2023 Table 49 Raw'!F72</f>
        <v>0</v>
      </c>
      <c r="D83" s="18">
        <f>'AEO 2023 Table 49 Raw'!G72</f>
        <v>0</v>
      </c>
      <c r="E83" s="18">
        <f>'AEO 2023 Table 49 Raw'!H72</f>
        <v>9.3968999999999997E-2</v>
      </c>
      <c r="F83" s="18">
        <f>'AEO 2023 Table 49 Raw'!I72</f>
        <v>0.10784000000000001</v>
      </c>
      <c r="G83" s="18">
        <f>'AEO 2023 Table 49 Raw'!J72</f>
        <v>0.12324599999999999</v>
      </c>
      <c r="H83" s="18">
        <f>'AEO 2023 Table 49 Raw'!K72</f>
        <v>0.138739</v>
      </c>
      <c r="I83" s="18">
        <f>'AEO 2023 Table 49 Raw'!L72</f>
        <v>0.154194</v>
      </c>
      <c r="J83" s="18">
        <f>'AEO 2023 Table 49 Raw'!M72</f>
        <v>0.16878799999999999</v>
      </c>
      <c r="K83" s="18">
        <f>'AEO 2023 Table 49 Raw'!N72</f>
        <v>0.18259400000000001</v>
      </c>
      <c r="L83" s="18">
        <f>'AEO 2023 Table 49 Raw'!O72</f>
        <v>0.19550100000000001</v>
      </c>
      <c r="M83" s="18">
        <f>'AEO 2023 Table 49 Raw'!P72</f>
        <v>0.207788</v>
      </c>
      <c r="N83" s="18">
        <f>'AEO 2023 Table 49 Raw'!Q72</f>
        <v>0.21850600000000001</v>
      </c>
      <c r="O83" s="18">
        <f>'AEO 2023 Table 49 Raw'!R72</f>
        <v>0.227493</v>
      </c>
      <c r="P83" s="18">
        <f>'AEO 2023 Table 49 Raw'!S72</f>
        <v>0.235429</v>
      </c>
      <c r="Q83" s="18">
        <f>'AEO 2023 Table 49 Raw'!T72</f>
        <v>0.24181</v>
      </c>
      <c r="R83" s="18">
        <f>'AEO 2023 Table 49 Raw'!U72</f>
        <v>0.24799399999999999</v>
      </c>
      <c r="S83" s="18">
        <f>'AEO 2023 Table 49 Raw'!V72</f>
        <v>0.253774</v>
      </c>
      <c r="T83" s="18">
        <f>'AEO 2023 Table 49 Raw'!W72</f>
        <v>0.25946200000000003</v>
      </c>
      <c r="U83" s="18">
        <f>'AEO 2023 Table 49 Raw'!X72</f>
        <v>0.26647300000000002</v>
      </c>
      <c r="V83" s="18">
        <f>'AEO 2023 Table 49 Raw'!Y72</f>
        <v>0.27532699999999999</v>
      </c>
      <c r="W83" s="18">
        <f>'AEO 2023 Table 49 Raw'!Z72</f>
        <v>0.28709600000000002</v>
      </c>
      <c r="X83" s="18">
        <f>'AEO 2023 Table 49 Raw'!AA72</f>
        <v>0.297709</v>
      </c>
      <c r="Y83" s="18">
        <f>'AEO 2023 Table 49 Raw'!AB72</f>
        <v>0.30827700000000002</v>
      </c>
      <c r="Z83" s="18">
        <f>'AEO 2023 Table 49 Raw'!AC72</f>
        <v>0.32179400000000002</v>
      </c>
      <c r="AA83" s="18">
        <f>'AEO 2023 Table 49 Raw'!AD72</f>
        <v>0.34068999999999999</v>
      </c>
      <c r="AB83" s="18">
        <f>'AEO 2023 Table 49 Raw'!AE72</f>
        <v>0.35961700000000002</v>
      </c>
      <c r="AC83" s="18">
        <f>'AEO 2023 Table 49 Raw'!AF72</f>
        <v>0.38024000000000002</v>
      </c>
      <c r="AD83" s="18">
        <f>'AEO 2023 Table 49 Raw'!AG72</f>
        <v>0.403499</v>
      </c>
      <c r="AE83" s="18">
        <f>'AEO 2023 Table 49 Raw'!AH72</f>
        <v>0.42918600000000001</v>
      </c>
      <c r="AF83" s="30" t="str">
        <f>'AEO 2023 Table 49 Raw'!AI72</f>
        <v>- -</v>
      </c>
    </row>
    <row r="84" spans="1:32" ht="15" customHeight="1">
      <c r="A84" s="7" t="s">
        <v>808</v>
      </c>
      <c r="B84" s="16" t="s">
        <v>749</v>
      </c>
      <c r="C84" s="18">
        <f>'AEO 2023 Table 49 Raw'!F73</f>
        <v>0</v>
      </c>
      <c r="D84" s="18">
        <f>'AEO 2023 Table 49 Raw'!G73</f>
        <v>0</v>
      </c>
      <c r="E84" s="18">
        <f>'AEO 2023 Table 49 Raw'!H73</f>
        <v>0.20038</v>
      </c>
      <c r="F84" s="18">
        <f>'AEO 2023 Table 49 Raw'!I73</f>
        <v>0.227545</v>
      </c>
      <c r="G84" s="18">
        <f>'AEO 2023 Table 49 Raw'!J73</f>
        <v>0.25758599999999998</v>
      </c>
      <c r="H84" s="18">
        <f>'AEO 2023 Table 49 Raw'!K73</f>
        <v>0.287607</v>
      </c>
      <c r="I84" s="18">
        <f>'AEO 2023 Table 49 Raw'!L73</f>
        <v>0.31698300000000001</v>
      </c>
      <c r="J84" s="18">
        <f>'AEO 2023 Table 49 Raw'!M73</f>
        <v>0.34418100000000001</v>
      </c>
      <c r="K84" s="18">
        <f>'AEO 2023 Table 49 Raw'!N73</f>
        <v>0.36947000000000002</v>
      </c>
      <c r="L84" s="18">
        <f>'AEO 2023 Table 49 Raw'!O73</f>
        <v>0.39272800000000002</v>
      </c>
      <c r="M84" s="18">
        <f>'AEO 2023 Table 49 Raw'!P73</f>
        <v>0.41434799999999999</v>
      </c>
      <c r="N84" s="18">
        <f>'AEO 2023 Table 49 Raw'!Q73</f>
        <v>0.43237199999999998</v>
      </c>
      <c r="O84" s="18">
        <f>'AEO 2023 Table 49 Raw'!R73</f>
        <v>0.44650499999999999</v>
      </c>
      <c r="P84" s="18">
        <f>'AEO 2023 Table 49 Raw'!S73</f>
        <v>0.45807900000000001</v>
      </c>
      <c r="Q84" s="18">
        <f>'AEO 2023 Table 49 Raw'!T73</f>
        <v>0.46613700000000002</v>
      </c>
      <c r="R84" s="18">
        <f>'AEO 2023 Table 49 Raw'!U73</f>
        <v>0.47335500000000003</v>
      </c>
      <c r="S84" s="18">
        <f>'AEO 2023 Table 49 Raw'!V73</f>
        <v>0.479375</v>
      </c>
      <c r="T84" s="18">
        <f>'AEO 2023 Table 49 Raw'!W73</f>
        <v>0.48491600000000001</v>
      </c>
      <c r="U84" s="18">
        <f>'AEO 2023 Table 49 Raw'!X73</f>
        <v>0.49279499999999998</v>
      </c>
      <c r="V84" s="18">
        <f>'AEO 2023 Table 49 Raw'!Y73</f>
        <v>0.50410500000000003</v>
      </c>
      <c r="W84" s="18">
        <f>'AEO 2023 Table 49 Raw'!Z73</f>
        <v>0.52083800000000002</v>
      </c>
      <c r="X84" s="18">
        <f>'AEO 2023 Table 49 Raw'!AA73</f>
        <v>0.53412099999999996</v>
      </c>
      <c r="Y84" s="18">
        <f>'AEO 2023 Table 49 Raw'!AB73</f>
        <v>0.54621799999999998</v>
      </c>
      <c r="Z84" s="18">
        <f>'AEO 2023 Table 49 Raw'!AC73</f>
        <v>0.56340500000000004</v>
      </c>
      <c r="AA84" s="18">
        <f>'AEO 2023 Table 49 Raw'!AD73</f>
        <v>0.59040000000000004</v>
      </c>
      <c r="AB84" s="18">
        <f>'AEO 2023 Table 49 Raw'!AE73</f>
        <v>0.61546299999999998</v>
      </c>
      <c r="AC84" s="18">
        <f>'AEO 2023 Table 49 Raw'!AF73</f>
        <v>0.64187399999999994</v>
      </c>
      <c r="AD84" s="18">
        <f>'AEO 2023 Table 49 Raw'!AG73</f>
        <v>0.67086900000000005</v>
      </c>
      <c r="AE84" s="18">
        <f>'AEO 2023 Table 49 Raw'!AH73</f>
        <v>0.70177400000000001</v>
      </c>
      <c r="AF84" s="30" t="str">
        <f>'AEO 2023 Table 49 Raw'!AI73</f>
        <v>- -</v>
      </c>
    </row>
    <row r="85" spans="1:32" ht="15" customHeight="1">
      <c r="A85" s="7" t="s">
        <v>809</v>
      </c>
      <c r="B85" s="16" t="s">
        <v>751</v>
      </c>
      <c r="C85" s="18">
        <f>'AEO 2023 Table 49 Raw'!F74</f>
        <v>0</v>
      </c>
      <c r="D85" s="18">
        <f>'AEO 2023 Table 49 Raw'!G74</f>
        <v>0</v>
      </c>
      <c r="E85" s="18">
        <f>'AEO 2023 Table 49 Raw'!H74</f>
        <v>0.111358</v>
      </c>
      <c r="F85" s="18">
        <f>'AEO 2023 Table 49 Raw'!I74</f>
        <v>0.226552</v>
      </c>
      <c r="G85" s="18">
        <f>'AEO 2023 Table 49 Raw'!J74</f>
        <v>0.34701100000000001</v>
      </c>
      <c r="H85" s="18">
        <f>'AEO 2023 Table 49 Raw'!K74</f>
        <v>0.46850000000000003</v>
      </c>
      <c r="I85" s="18">
        <f>'AEO 2023 Table 49 Raw'!L74</f>
        <v>0.59016000000000002</v>
      </c>
      <c r="J85" s="18">
        <f>'AEO 2023 Table 49 Raw'!M74</f>
        <v>0.70980200000000004</v>
      </c>
      <c r="K85" s="18">
        <f>'AEO 2023 Table 49 Raw'!N74</f>
        <v>0.827546</v>
      </c>
      <c r="L85" s="18">
        <f>'AEO 2023 Table 49 Raw'!O74</f>
        <v>0.94406100000000004</v>
      </c>
      <c r="M85" s="18">
        <f>'AEO 2023 Table 49 Raw'!P74</f>
        <v>1.0617449999999999</v>
      </c>
      <c r="N85" s="18">
        <f>'AEO 2023 Table 49 Raw'!Q74</f>
        <v>1.1749270000000001</v>
      </c>
      <c r="O85" s="18">
        <f>'AEO 2023 Table 49 Raw'!R74</f>
        <v>1.2809429999999999</v>
      </c>
      <c r="P85" s="18">
        <f>'AEO 2023 Table 49 Raw'!S74</f>
        <v>1.3823890000000001</v>
      </c>
      <c r="Q85" s="18">
        <f>'AEO 2023 Table 49 Raw'!T74</f>
        <v>1.4753540000000001</v>
      </c>
      <c r="R85" s="18">
        <f>'AEO 2023 Table 49 Raw'!U74</f>
        <v>1.5660940000000001</v>
      </c>
      <c r="S85" s="18">
        <f>'AEO 2023 Table 49 Raw'!V74</f>
        <v>1.650725</v>
      </c>
      <c r="T85" s="18">
        <f>'AEO 2023 Table 49 Raw'!W74</f>
        <v>1.728137</v>
      </c>
      <c r="U85" s="18">
        <f>'AEO 2023 Table 49 Raw'!X74</f>
        <v>1.804441</v>
      </c>
      <c r="V85" s="18">
        <f>'AEO 2023 Table 49 Raw'!Y74</f>
        <v>1.880045</v>
      </c>
      <c r="W85" s="18">
        <f>'AEO 2023 Table 49 Raw'!Z74</f>
        <v>1.959276</v>
      </c>
      <c r="X85" s="18">
        <f>'AEO 2023 Table 49 Raw'!AA74</f>
        <v>2.0384820000000001</v>
      </c>
      <c r="Y85" s="18">
        <f>'AEO 2023 Table 49 Raw'!AB74</f>
        <v>2.1167880000000001</v>
      </c>
      <c r="Z85" s="18">
        <f>'AEO 2023 Table 49 Raw'!AC74</f>
        <v>2.1974689999999999</v>
      </c>
      <c r="AA85" s="18">
        <f>'AEO 2023 Table 49 Raw'!AD74</f>
        <v>2.2879350000000001</v>
      </c>
      <c r="AB85" s="18">
        <f>'AEO 2023 Table 49 Raw'!AE74</f>
        <v>2.3849619999999998</v>
      </c>
      <c r="AC85" s="18">
        <f>'AEO 2023 Table 49 Raw'!AF74</f>
        <v>2.4892069999999999</v>
      </c>
      <c r="AD85" s="18">
        <f>'AEO 2023 Table 49 Raw'!AG74</f>
        <v>2.6072109999999999</v>
      </c>
      <c r="AE85" s="18">
        <f>'AEO 2023 Table 49 Raw'!AH74</f>
        <v>2.738353</v>
      </c>
      <c r="AF85" s="30" t="str">
        <f>'AEO 2023 Table 49 Raw'!AI74</f>
        <v>- -</v>
      </c>
    </row>
    <row r="86" spans="1:32" ht="15" customHeight="1">
      <c r="A86" s="7" t="s">
        <v>810</v>
      </c>
      <c r="B86" s="16" t="s">
        <v>777</v>
      </c>
      <c r="C86" s="18">
        <f>'AEO 2023 Table 49 Raw'!F75</f>
        <v>4203.0288090000004</v>
      </c>
      <c r="D86" s="18">
        <f>'AEO 2023 Table 49 Raw'!G75</f>
        <v>4085.8522950000001</v>
      </c>
      <c r="E86" s="18">
        <f>'AEO 2023 Table 49 Raw'!H75</f>
        <v>3977.9414059999999</v>
      </c>
      <c r="F86" s="18">
        <f>'AEO 2023 Table 49 Raw'!I75</f>
        <v>3908.5683589999999</v>
      </c>
      <c r="G86" s="18">
        <f>'AEO 2023 Table 49 Raw'!J75</f>
        <v>3861.1779790000001</v>
      </c>
      <c r="H86" s="18">
        <f>'AEO 2023 Table 49 Raw'!K75</f>
        <v>3804.1889649999998</v>
      </c>
      <c r="I86" s="18">
        <f>'AEO 2023 Table 49 Raw'!L75</f>
        <v>3746.460693</v>
      </c>
      <c r="J86" s="18">
        <f>'AEO 2023 Table 49 Raw'!M75</f>
        <v>3682.7314449999999</v>
      </c>
      <c r="K86" s="18">
        <f>'AEO 2023 Table 49 Raw'!N75</f>
        <v>3622.056885</v>
      </c>
      <c r="L86" s="18">
        <f>'AEO 2023 Table 49 Raw'!O75</f>
        <v>3565.8129880000001</v>
      </c>
      <c r="M86" s="18">
        <f>'AEO 2023 Table 49 Raw'!P75</f>
        <v>3521.0964359999998</v>
      </c>
      <c r="N86" s="18">
        <f>'AEO 2023 Table 49 Raw'!Q75</f>
        <v>3474.783203</v>
      </c>
      <c r="O86" s="18">
        <f>'AEO 2023 Table 49 Raw'!R75</f>
        <v>3425.866211</v>
      </c>
      <c r="P86" s="18">
        <f>'AEO 2023 Table 49 Raw'!S75</f>
        <v>3384.6201169999999</v>
      </c>
      <c r="Q86" s="18">
        <f>'AEO 2023 Table 49 Raw'!T75</f>
        <v>3342.4174800000001</v>
      </c>
      <c r="R86" s="18">
        <f>'AEO 2023 Table 49 Raw'!U75</f>
        <v>3315.2402339999999</v>
      </c>
      <c r="S86" s="18">
        <f>'AEO 2023 Table 49 Raw'!V75</f>
        <v>3294.218018</v>
      </c>
      <c r="T86" s="18">
        <f>'AEO 2023 Table 49 Raw'!W75</f>
        <v>3272.1579590000001</v>
      </c>
      <c r="U86" s="18">
        <f>'AEO 2023 Table 49 Raw'!X75</f>
        <v>3255.9282229999999</v>
      </c>
      <c r="V86" s="18">
        <f>'AEO 2023 Table 49 Raw'!Y75</f>
        <v>3239.0588379999999</v>
      </c>
      <c r="W86" s="18">
        <f>'AEO 2023 Table 49 Raw'!Z75</f>
        <v>3226.6770019999999</v>
      </c>
      <c r="X86" s="18">
        <f>'AEO 2023 Table 49 Raw'!AA75</f>
        <v>3214.0676269999999</v>
      </c>
      <c r="Y86" s="18">
        <f>'AEO 2023 Table 49 Raw'!AB75</f>
        <v>3200.9846189999998</v>
      </c>
      <c r="Z86" s="18">
        <f>'AEO 2023 Table 49 Raw'!AC75</f>
        <v>3186.8178710000002</v>
      </c>
      <c r="AA86" s="18">
        <f>'AEO 2023 Table 49 Raw'!AD75</f>
        <v>3173.03125</v>
      </c>
      <c r="AB86" s="18">
        <f>'AEO 2023 Table 49 Raw'!AE75</f>
        <v>3157.6115719999998</v>
      </c>
      <c r="AC86" s="18">
        <f>'AEO 2023 Table 49 Raw'!AF75</f>
        <v>3141.225586</v>
      </c>
      <c r="AD86" s="18">
        <f>'AEO 2023 Table 49 Raw'!AG75</f>
        <v>3130.6340329999998</v>
      </c>
      <c r="AE86" s="18">
        <f>'AEO 2023 Table 49 Raw'!AH75</f>
        <v>3123.702393</v>
      </c>
      <c r="AF86" s="30">
        <f>'AEO 2023 Table 49 Raw'!AI75</f>
        <v>-1.0999999999999999E-2</v>
      </c>
    </row>
    <row r="87" spans="1:32" ht="15" customHeight="1">
      <c r="B87" s="15" t="s">
        <v>811</v>
      </c>
      <c r="C87" s="18"/>
      <c r="D87" s="18"/>
      <c r="E87" s="18"/>
      <c r="F87" s="18"/>
      <c r="G87" s="18"/>
      <c r="H87" s="18"/>
      <c r="I87" s="18"/>
      <c r="J87" s="18"/>
      <c r="K87" s="18"/>
      <c r="L87" s="18"/>
      <c r="M87" s="18"/>
      <c r="N87" s="18"/>
      <c r="O87" s="18"/>
      <c r="P87" s="18"/>
      <c r="Q87" s="18"/>
      <c r="R87" s="18"/>
      <c r="S87" s="18"/>
      <c r="T87" s="18"/>
      <c r="U87" s="18"/>
      <c r="V87" s="18"/>
      <c r="W87" s="18"/>
      <c r="X87" s="18"/>
      <c r="Y87" s="18"/>
      <c r="Z87" s="18"/>
      <c r="AA87" s="18"/>
      <c r="AB87" s="18"/>
      <c r="AC87" s="18"/>
      <c r="AD87" s="18"/>
      <c r="AE87" s="18"/>
      <c r="AF87" s="30"/>
    </row>
    <row r="88" spans="1:32" ht="15" customHeight="1">
      <c r="A88" s="7" t="s">
        <v>812</v>
      </c>
      <c r="B88" s="16" t="s">
        <v>736</v>
      </c>
      <c r="C88" s="18">
        <f>'AEO 2023 Table 49 Raw'!F77</f>
        <v>5249.9169920000004</v>
      </c>
      <c r="D88" s="18">
        <f>'AEO 2023 Table 49 Raw'!G77</f>
        <v>5094.5859380000002</v>
      </c>
      <c r="E88" s="18">
        <f>'AEO 2023 Table 49 Raw'!H77</f>
        <v>4954.8515619999998</v>
      </c>
      <c r="F88" s="18">
        <f>'AEO 2023 Table 49 Raw'!I77</f>
        <v>4862.6987300000001</v>
      </c>
      <c r="G88" s="18">
        <f>'AEO 2023 Table 49 Raw'!J77</f>
        <v>4796.2695309999999</v>
      </c>
      <c r="H88" s="18">
        <f>'AEO 2023 Table 49 Raw'!K77</f>
        <v>4717.8774409999996</v>
      </c>
      <c r="I88" s="18">
        <f>'AEO 2023 Table 49 Raw'!L77</f>
        <v>4640.3652339999999</v>
      </c>
      <c r="J88" s="18">
        <f>'AEO 2023 Table 49 Raw'!M77</f>
        <v>4557.6166990000002</v>
      </c>
      <c r="K88" s="18">
        <f>'AEO 2023 Table 49 Raw'!N77</f>
        <v>4481.7353519999997</v>
      </c>
      <c r="L88" s="18">
        <f>'AEO 2023 Table 49 Raw'!O77</f>
        <v>4413.7387699999999</v>
      </c>
      <c r="M88" s="18">
        <f>'AEO 2023 Table 49 Raw'!P77</f>
        <v>4361.8056640000004</v>
      </c>
      <c r="N88" s="18">
        <f>'AEO 2023 Table 49 Raw'!Q77</f>
        <v>4308.2617190000001</v>
      </c>
      <c r="O88" s="18">
        <f>'AEO 2023 Table 49 Raw'!R77</f>
        <v>4252.0986329999996</v>
      </c>
      <c r="P88" s="18">
        <f>'AEO 2023 Table 49 Raw'!S77</f>
        <v>4205.8251950000003</v>
      </c>
      <c r="Q88" s="18">
        <f>'AEO 2023 Table 49 Raw'!T77</f>
        <v>4158.4414059999999</v>
      </c>
      <c r="R88" s="18">
        <f>'AEO 2023 Table 49 Raw'!U77</f>
        <v>4129.2504879999997</v>
      </c>
      <c r="S88" s="18">
        <f>'AEO 2023 Table 49 Raw'!V77</f>
        <v>4106.8349609999996</v>
      </c>
      <c r="T88" s="18">
        <f>'AEO 2023 Table 49 Raw'!W77</f>
        <v>4083.4311520000001</v>
      </c>
      <c r="U88" s="18">
        <f>'AEO 2023 Table 49 Raw'!X77</f>
        <v>4067.608154</v>
      </c>
      <c r="V88" s="18">
        <f>'AEO 2023 Table 49 Raw'!Y77</f>
        <v>4051.3776859999998</v>
      </c>
      <c r="W88" s="18">
        <f>'AEO 2023 Table 49 Raw'!Z77</f>
        <v>4040.8857419999999</v>
      </c>
      <c r="X88" s="18">
        <f>'AEO 2023 Table 49 Raw'!AA77</f>
        <v>4031.2490229999999</v>
      </c>
      <c r="Y88" s="18">
        <f>'AEO 2023 Table 49 Raw'!AB77</f>
        <v>4021.6232909999999</v>
      </c>
      <c r="Z88" s="18">
        <f>'AEO 2023 Table 49 Raw'!AC77</f>
        <v>4011.3183589999999</v>
      </c>
      <c r="AA88" s="18">
        <f>'AEO 2023 Table 49 Raw'!AD77</f>
        <v>4002.3701169999999</v>
      </c>
      <c r="AB88" s="18">
        <f>'AEO 2023 Table 49 Raw'!AE77</f>
        <v>3992.2924800000001</v>
      </c>
      <c r="AC88" s="18">
        <f>'AEO 2023 Table 49 Raw'!AF77</f>
        <v>3981.5913089999999</v>
      </c>
      <c r="AD88" s="18">
        <f>'AEO 2023 Table 49 Raw'!AG77</f>
        <v>3978.1057129999999</v>
      </c>
      <c r="AE88" s="18">
        <f>'AEO 2023 Table 49 Raw'!AH77</f>
        <v>3979.0385740000002</v>
      </c>
      <c r="AF88" s="30">
        <f>'AEO 2023 Table 49 Raw'!AI77</f>
        <v>-0.01</v>
      </c>
    </row>
    <row r="89" spans="1:32" ht="15" customHeight="1">
      <c r="A89" s="7" t="s">
        <v>813</v>
      </c>
      <c r="B89" s="16" t="s">
        <v>738</v>
      </c>
      <c r="C89" s="18">
        <f>'AEO 2023 Table 49 Raw'!F78</f>
        <v>562.38818400000002</v>
      </c>
      <c r="D89" s="18">
        <f>'AEO 2023 Table 49 Raw'!G78</f>
        <v>555.801514</v>
      </c>
      <c r="E89" s="18">
        <f>'AEO 2023 Table 49 Raw'!H78</f>
        <v>552.26074200000005</v>
      </c>
      <c r="F89" s="18">
        <f>'AEO 2023 Table 49 Raw'!I78</f>
        <v>551.68633999999997</v>
      </c>
      <c r="G89" s="18">
        <f>'AEO 2023 Table 49 Raw'!J78</f>
        <v>552.55212400000005</v>
      </c>
      <c r="H89" s="18">
        <f>'AEO 2023 Table 49 Raw'!K78</f>
        <v>550.61614999999995</v>
      </c>
      <c r="I89" s="18">
        <f>'AEO 2023 Table 49 Raw'!L78</f>
        <v>548.34570299999996</v>
      </c>
      <c r="J89" s="18">
        <f>'AEO 2023 Table 49 Raw'!M78</f>
        <v>545.48895300000004</v>
      </c>
      <c r="K89" s="18">
        <f>'AEO 2023 Table 49 Raw'!N78</f>
        <v>543.67315699999995</v>
      </c>
      <c r="L89" s="18">
        <f>'AEO 2023 Table 49 Raw'!O78</f>
        <v>542.65777600000001</v>
      </c>
      <c r="M89" s="18">
        <f>'AEO 2023 Table 49 Raw'!P78</f>
        <v>544.31243900000004</v>
      </c>
      <c r="N89" s="18">
        <f>'AEO 2023 Table 49 Raw'!Q78</f>
        <v>545.60974099999999</v>
      </c>
      <c r="O89" s="18">
        <f>'AEO 2023 Table 49 Raw'!R78</f>
        <v>546.66473399999995</v>
      </c>
      <c r="P89" s="18">
        <f>'AEO 2023 Table 49 Raw'!S78</f>
        <v>548.660889</v>
      </c>
      <c r="Q89" s="18">
        <f>'AEO 2023 Table 49 Raw'!T78</f>
        <v>549.95959500000004</v>
      </c>
      <c r="R89" s="18">
        <f>'AEO 2023 Table 49 Raw'!U78</f>
        <v>553.48419200000001</v>
      </c>
      <c r="S89" s="18">
        <f>'AEO 2023 Table 49 Raw'!V78</f>
        <v>556.13909899999999</v>
      </c>
      <c r="T89" s="18">
        <f>'AEO 2023 Table 49 Raw'!W78</f>
        <v>558.78949</v>
      </c>
      <c r="U89" s="18">
        <f>'AEO 2023 Table 49 Raw'!X78</f>
        <v>561.62091099999998</v>
      </c>
      <c r="V89" s="18">
        <f>'AEO 2023 Table 49 Raw'!Y78</f>
        <v>565.66882299999997</v>
      </c>
      <c r="W89" s="18">
        <f>'AEO 2023 Table 49 Raw'!Z78</f>
        <v>570.327271</v>
      </c>
      <c r="X89" s="18">
        <f>'AEO 2023 Table 49 Raw'!AA78</f>
        <v>574.83325200000002</v>
      </c>
      <c r="Y89" s="18">
        <f>'AEO 2023 Table 49 Raw'!AB78</f>
        <v>579.18627900000001</v>
      </c>
      <c r="Z89" s="18">
        <f>'AEO 2023 Table 49 Raw'!AC78</f>
        <v>583.32092299999999</v>
      </c>
      <c r="AA89" s="18">
        <f>'AEO 2023 Table 49 Raw'!AD78</f>
        <v>587.94250499999998</v>
      </c>
      <c r="AB89" s="18">
        <f>'AEO 2023 Table 49 Raw'!AE78</f>
        <v>592.51135299999999</v>
      </c>
      <c r="AC89" s="18">
        <f>'AEO 2023 Table 49 Raw'!AF78</f>
        <v>596.90911900000003</v>
      </c>
      <c r="AD89" s="18">
        <f>'AEO 2023 Table 49 Raw'!AG78</f>
        <v>602.21044900000004</v>
      </c>
      <c r="AE89" s="18">
        <f>'AEO 2023 Table 49 Raw'!AH78</f>
        <v>607.98480199999995</v>
      </c>
      <c r="AF89" s="30">
        <f>'AEO 2023 Table 49 Raw'!AI78</f>
        <v>3.0000000000000001E-3</v>
      </c>
    </row>
    <row r="90" spans="1:32" ht="12" customHeight="1">
      <c r="A90" s="7" t="s">
        <v>814</v>
      </c>
      <c r="B90" s="16" t="s">
        <v>382</v>
      </c>
      <c r="C90" s="18">
        <f>'AEO 2023 Table 49 Raw'!F79</f>
        <v>1.2411490000000001</v>
      </c>
      <c r="D90" s="18">
        <f>'AEO 2023 Table 49 Raw'!G79</f>
        <v>1.34948</v>
      </c>
      <c r="E90" s="18">
        <f>'AEO 2023 Table 49 Raw'!H79</f>
        <v>1.456639</v>
      </c>
      <c r="F90" s="18">
        <f>'AEO 2023 Table 49 Raw'!I79</f>
        <v>1.567971</v>
      </c>
      <c r="G90" s="18">
        <f>'AEO 2023 Table 49 Raw'!J79</f>
        <v>1.681467</v>
      </c>
      <c r="H90" s="18">
        <f>'AEO 2023 Table 49 Raw'!K79</f>
        <v>1.7794460000000001</v>
      </c>
      <c r="I90" s="18">
        <f>'AEO 2023 Table 49 Raw'!L79</f>
        <v>1.86659</v>
      </c>
      <c r="J90" s="18">
        <f>'AEO 2023 Table 49 Raw'!M79</f>
        <v>1.9382360000000001</v>
      </c>
      <c r="K90" s="18">
        <f>'AEO 2023 Table 49 Raw'!N79</f>
        <v>2.005061</v>
      </c>
      <c r="L90" s="18">
        <f>'AEO 2023 Table 49 Raw'!O79</f>
        <v>2.0700889999999998</v>
      </c>
      <c r="M90" s="18">
        <f>'AEO 2023 Table 49 Raw'!P79</f>
        <v>2.1416400000000002</v>
      </c>
      <c r="N90" s="18">
        <f>'AEO 2023 Table 49 Raw'!Q79</f>
        <v>2.2180689999999998</v>
      </c>
      <c r="O90" s="18">
        <f>'AEO 2023 Table 49 Raw'!R79</f>
        <v>2.2961619999999998</v>
      </c>
      <c r="P90" s="18">
        <f>'AEO 2023 Table 49 Raw'!S79</f>
        <v>2.3744969999999999</v>
      </c>
      <c r="Q90" s="18">
        <f>'AEO 2023 Table 49 Raw'!T79</f>
        <v>2.4530400000000001</v>
      </c>
      <c r="R90" s="18">
        <f>'AEO 2023 Table 49 Raw'!U79</f>
        <v>2.5472969999999999</v>
      </c>
      <c r="S90" s="18">
        <f>'AEO 2023 Table 49 Raw'!V79</f>
        <v>2.6510910000000001</v>
      </c>
      <c r="T90" s="18">
        <f>'AEO 2023 Table 49 Raw'!W79</f>
        <v>2.765018</v>
      </c>
      <c r="U90" s="18">
        <f>'AEO 2023 Table 49 Raw'!X79</f>
        <v>2.8953329999999999</v>
      </c>
      <c r="V90" s="18">
        <f>'AEO 2023 Table 49 Raw'!Y79</f>
        <v>3.0399590000000001</v>
      </c>
      <c r="W90" s="18">
        <f>'AEO 2023 Table 49 Raw'!Z79</f>
        <v>3.1981799999999998</v>
      </c>
      <c r="X90" s="18">
        <f>'AEO 2023 Table 49 Raw'!AA79</f>
        <v>3.3673670000000002</v>
      </c>
      <c r="Y90" s="18">
        <f>'AEO 2023 Table 49 Raw'!AB79</f>
        <v>3.5440170000000002</v>
      </c>
      <c r="Z90" s="18">
        <f>'AEO 2023 Table 49 Raw'!AC79</f>
        <v>3.7288239999999999</v>
      </c>
      <c r="AA90" s="18">
        <f>'AEO 2023 Table 49 Raw'!AD79</f>
        <v>3.9246300000000001</v>
      </c>
      <c r="AB90" s="18">
        <f>'AEO 2023 Table 49 Raw'!AE79</f>
        <v>4.1269479999999996</v>
      </c>
      <c r="AC90" s="18">
        <f>'AEO 2023 Table 49 Raw'!AF79</f>
        <v>4.3333190000000004</v>
      </c>
      <c r="AD90" s="18">
        <f>'AEO 2023 Table 49 Raw'!AG79</f>
        <v>4.5414009999999996</v>
      </c>
      <c r="AE90" s="18">
        <f>'AEO 2023 Table 49 Raw'!AH79</f>
        <v>4.7579419999999999</v>
      </c>
      <c r="AF90" s="30">
        <f>'AEO 2023 Table 49 Raw'!AI79</f>
        <v>4.9000000000000002E-2</v>
      </c>
    </row>
    <row r="91" spans="1:32" ht="15" customHeight="1">
      <c r="A91" s="7" t="s">
        <v>815</v>
      </c>
      <c r="B91" s="16" t="s">
        <v>741</v>
      </c>
      <c r="C91" s="18">
        <f>'AEO 2023 Table 49 Raw'!F80</f>
        <v>51.236542</v>
      </c>
      <c r="D91" s="18">
        <f>'AEO 2023 Table 49 Raw'!G80</f>
        <v>50.962176999999997</v>
      </c>
      <c r="E91" s="18">
        <f>'AEO 2023 Table 49 Raw'!H80</f>
        <v>50.491249000000003</v>
      </c>
      <c r="F91" s="18">
        <f>'AEO 2023 Table 49 Raw'!I80</f>
        <v>50.142643</v>
      </c>
      <c r="G91" s="18">
        <f>'AEO 2023 Table 49 Raw'!J80</f>
        <v>49.710509999999999</v>
      </c>
      <c r="H91" s="18">
        <f>'AEO 2023 Table 49 Raw'!K80</f>
        <v>48.789504999999998</v>
      </c>
      <c r="I91" s="18">
        <f>'AEO 2023 Table 49 Raw'!L80</f>
        <v>47.472079999999998</v>
      </c>
      <c r="J91" s="18">
        <f>'AEO 2023 Table 49 Raw'!M80</f>
        <v>45.822308</v>
      </c>
      <c r="K91" s="18">
        <f>'AEO 2023 Table 49 Raw'!N80</f>
        <v>44.107993999999998</v>
      </c>
      <c r="L91" s="18">
        <f>'AEO 2023 Table 49 Raw'!O80</f>
        <v>42.526989</v>
      </c>
      <c r="M91" s="18">
        <f>'AEO 2023 Table 49 Raw'!P80</f>
        <v>41.300410999999997</v>
      </c>
      <c r="N91" s="18">
        <f>'AEO 2023 Table 49 Raw'!Q80</f>
        <v>40.414501000000001</v>
      </c>
      <c r="O91" s="18">
        <f>'AEO 2023 Table 49 Raw'!R80</f>
        <v>39.878418000000003</v>
      </c>
      <c r="P91" s="18">
        <f>'AEO 2023 Table 49 Raw'!S80</f>
        <v>39.728603</v>
      </c>
      <c r="Q91" s="18">
        <f>'AEO 2023 Table 49 Raw'!T80</f>
        <v>39.786152000000001</v>
      </c>
      <c r="R91" s="18">
        <f>'AEO 2023 Table 49 Raw'!U80</f>
        <v>40.232017999999997</v>
      </c>
      <c r="S91" s="18">
        <f>'AEO 2023 Table 49 Raw'!V80</f>
        <v>40.938454</v>
      </c>
      <c r="T91" s="18">
        <f>'AEO 2023 Table 49 Raw'!W80</f>
        <v>41.849299999999999</v>
      </c>
      <c r="U91" s="18">
        <f>'AEO 2023 Table 49 Raw'!X80</f>
        <v>43.046658000000001</v>
      </c>
      <c r="V91" s="18">
        <f>'AEO 2023 Table 49 Raw'!Y80</f>
        <v>44.449615000000001</v>
      </c>
      <c r="W91" s="18">
        <f>'AEO 2023 Table 49 Raw'!Z80</f>
        <v>46.05003</v>
      </c>
      <c r="X91" s="18">
        <f>'AEO 2023 Table 49 Raw'!AA80</f>
        <v>47.799937999999997</v>
      </c>
      <c r="Y91" s="18">
        <f>'AEO 2023 Table 49 Raw'!AB80</f>
        <v>49.694374000000003</v>
      </c>
      <c r="Z91" s="18">
        <f>'AEO 2023 Table 49 Raw'!AC80</f>
        <v>51.705215000000003</v>
      </c>
      <c r="AA91" s="18">
        <f>'AEO 2023 Table 49 Raw'!AD80</f>
        <v>53.860950000000003</v>
      </c>
      <c r="AB91" s="18">
        <f>'AEO 2023 Table 49 Raw'!AE80</f>
        <v>56.124836000000002</v>
      </c>
      <c r="AC91" s="18">
        <f>'AEO 2023 Table 49 Raw'!AF80</f>
        <v>58.452976</v>
      </c>
      <c r="AD91" s="18">
        <f>'AEO 2023 Table 49 Raw'!AG80</f>
        <v>61.01247</v>
      </c>
      <c r="AE91" s="18">
        <f>'AEO 2023 Table 49 Raw'!AH80</f>
        <v>63.794086</v>
      </c>
      <c r="AF91" s="30">
        <f>'AEO 2023 Table 49 Raw'!AI80</f>
        <v>8.0000000000000002E-3</v>
      </c>
    </row>
    <row r="92" spans="1:32" ht="15" customHeight="1">
      <c r="A92" s="7" t="s">
        <v>816</v>
      </c>
      <c r="B92" s="16" t="s">
        <v>743</v>
      </c>
      <c r="C92" s="18">
        <f>'AEO 2023 Table 49 Raw'!F81</f>
        <v>56.734439999999999</v>
      </c>
      <c r="D92" s="18">
        <f>'AEO 2023 Table 49 Raw'!G81</f>
        <v>55.975769</v>
      </c>
      <c r="E92" s="18">
        <f>'AEO 2023 Table 49 Raw'!H81</f>
        <v>55.439964000000003</v>
      </c>
      <c r="F92" s="18">
        <f>'AEO 2023 Table 49 Raw'!I81</f>
        <v>55.137214999999998</v>
      </c>
      <c r="G92" s="18">
        <f>'AEO 2023 Table 49 Raw'!J81</f>
        <v>54.952826999999999</v>
      </c>
      <c r="H92" s="18">
        <f>'AEO 2023 Table 49 Raw'!K81</f>
        <v>54.689785000000001</v>
      </c>
      <c r="I92" s="18">
        <f>'AEO 2023 Table 49 Raw'!L81</f>
        <v>54.542090999999999</v>
      </c>
      <c r="J92" s="18">
        <f>'AEO 2023 Table 49 Raw'!M81</f>
        <v>54.520401</v>
      </c>
      <c r="K92" s="18">
        <f>'AEO 2023 Table 49 Raw'!N81</f>
        <v>54.774734000000002</v>
      </c>
      <c r="L92" s="18">
        <f>'AEO 2023 Table 49 Raw'!O81</f>
        <v>55.323501999999998</v>
      </c>
      <c r="M92" s="18">
        <f>'AEO 2023 Table 49 Raw'!P81</f>
        <v>56.253174000000001</v>
      </c>
      <c r="N92" s="18">
        <f>'AEO 2023 Table 49 Raw'!Q81</f>
        <v>57.262343999999999</v>
      </c>
      <c r="O92" s="18">
        <f>'AEO 2023 Table 49 Raw'!R81</f>
        <v>58.166153000000001</v>
      </c>
      <c r="P92" s="18">
        <f>'AEO 2023 Table 49 Raw'!S81</f>
        <v>59.091793000000003</v>
      </c>
      <c r="Q92" s="18">
        <f>'AEO 2023 Table 49 Raw'!T81</f>
        <v>59.826087999999999</v>
      </c>
      <c r="R92" s="18">
        <f>'AEO 2023 Table 49 Raw'!U81</f>
        <v>60.787384000000003</v>
      </c>
      <c r="S92" s="18">
        <f>'AEO 2023 Table 49 Raw'!V81</f>
        <v>61.617919999999998</v>
      </c>
      <c r="T92" s="18">
        <f>'AEO 2023 Table 49 Raw'!W81</f>
        <v>62.409126000000001</v>
      </c>
      <c r="U92" s="18">
        <f>'AEO 2023 Table 49 Raw'!X81</f>
        <v>63.484912999999999</v>
      </c>
      <c r="V92" s="18">
        <f>'AEO 2023 Table 49 Raw'!Y81</f>
        <v>64.687957999999995</v>
      </c>
      <c r="W92" s="18">
        <f>'AEO 2023 Table 49 Raw'!Z81</f>
        <v>66.075584000000006</v>
      </c>
      <c r="X92" s="18">
        <f>'AEO 2023 Table 49 Raw'!AA81</f>
        <v>67.603133999999997</v>
      </c>
      <c r="Y92" s="18">
        <f>'AEO 2023 Table 49 Raw'!AB81</f>
        <v>69.225548000000003</v>
      </c>
      <c r="Z92" s="18">
        <f>'AEO 2023 Table 49 Raw'!AC81</f>
        <v>70.865425000000002</v>
      </c>
      <c r="AA92" s="18">
        <f>'AEO 2023 Table 49 Raw'!AD81</f>
        <v>72.564635999999993</v>
      </c>
      <c r="AB92" s="18">
        <f>'AEO 2023 Table 49 Raw'!AE81</f>
        <v>74.241989000000004</v>
      </c>
      <c r="AC92" s="18">
        <f>'AEO 2023 Table 49 Raw'!AF81</f>
        <v>75.862365999999994</v>
      </c>
      <c r="AD92" s="18">
        <f>'AEO 2023 Table 49 Raw'!AG81</f>
        <v>77.550551999999996</v>
      </c>
      <c r="AE92" s="18">
        <f>'AEO 2023 Table 49 Raw'!AH81</f>
        <v>79.267166000000003</v>
      </c>
      <c r="AF92" s="30">
        <f>'AEO 2023 Table 49 Raw'!AI81</f>
        <v>1.2E-2</v>
      </c>
    </row>
    <row r="93" spans="1:32" ht="15" customHeight="1">
      <c r="A93" s="7" t="s">
        <v>817</v>
      </c>
      <c r="B93" s="16" t="s">
        <v>745</v>
      </c>
      <c r="C93" s="18">
        <f>'AEO 2023 Table 49 Raw'!F82</f>
        <v>8.9421E-2</v>
      </c>
      <c r="D93" s="18">
        <f>'AEO 2023 Table 49 Raw'!G82</f>
        <v>0.102626</v>
      </c>
      <c r="E93" s="18">
        <f>'AEO 2023 Table 49 Raw'!H82</f>
        <v>0.113247</v>
      </c>
      <c r="F93" s="18">
        <f>'AEO 2023 Table 49 Raw'!I82</f>
        <v>0.12280199999999999</v>
      </c>
      <c r="G93" s="18">
        <f>'AEO 2023 Table 49 Raw'!J82</f>
        <v>0.13078600000000001</v>
      </c>
      <c r="H93" s="18">
        <f>'AEO 2023 Table 49 Raw'!K82</f>
        <v>0.13623199999999999</v>
      </c>
      <c r="I93" s="18">
        <f>'AEO 2023 Table 49 Raw'!L82</f>
        <v>0.139515</v>
      </c>
      <c r="J93" s="18">
        <f>'AEO 2023 Table 49 Raw'!M82</f>
        <v>0.140596</v>
      </c>
      <c r="K93" s="18">
        <f>'AEO 2023 Table 49 Raw'!N82</f>
        <v>0.14011799999999999</v>
      </c>
      <c r="L93" s="18">
        <f>'AEO 2023 Table 49 Raw'!O82</f>
        <v>0.13838400000000001</v>
      </c>
      <c r="M93" s="18">
        <f>'AEO 2023 Table 49 Raw'!P82</f>
        <v>0.135714</v>
      </c>
      <c r="N93" s="18">
        <f>'AEO 2023 Table 49 Raw'!Q82</f>
        <v>0.13156100000000001</v>
      </c>
      <c r="O93" s="18">
        <f>'AEO 2023 Table 49 Raw'!R82</f>
        <v>0.12640100000000001</v>
      </c>
      <c r="P93" s="18">
        <f>'AEO 2023 Table 49 Raw'!S82</f>
        <v>0.12095</v>
      </c>
      <c r="Q93" s="18">
        <f>'AEO 2023 Table 49 Raw'!T82</f>
        <v>0.114736</v>
      </c>
      <c r="R93" s="18">
        <f>'AEO 2023 Table 49 Raw'!U82</f>
        <v>0.108764</v>
      </c>
      <c r="S93" s="18">
        <f>'AEO 2023 Table 49 Raw'!V82</f>
        <v>0.103186</v>
      </c>
      <c r="T93" s="18">
        <f>'AEO 2023 Table 49 Raw'!W82</f>
        <v>9.6922999999999995E-2</v>
      </c>
      <c r="U93" s="18">
        <f>'AEO 2023 Table 49 Raw'!X82</f>
        <v>9.0437000000000003E-2</v>
      </c>
      <c r="V93" s="18">
        <f>'AEO 2023 Table 49 Raw'!Y82</f>
        <v>8.4582000000000004E-2</v>
      </c>
      <c r="W93" s="18">
        <f>'AEO 2023 Table 49 Raw'!Z82</f>
        <v>7.9557000000000003E-2</v>
      </c>
      <c r="X93" s="18">
        <f>'AEO 2023 Table 49 Raw'!AA82</f>
        <v>7.4632000000000004E-2</v>
      </c>
      <c r="Y93" s="18">
        <f>'AEO 2023 Table 49 Raw'!AB82</f>
        <v>7.0045999999999997E-2</v>
      </c>
      <c r="Z93" s="18">
        <f>'AEO 2023 Table 49 Raw'!AC82</f>
        <v>6.5727999999999995E-2</v>
      </c>
      <c r="AA93" s="18">
        <f>'AEO 2023 Table 49 Raw'!AD82</f>
        <v>6.1776999999999999E-2</v>
      </c>
      <c r="AB93" s="18">
        <f>'AEO 2023 Table 49 Raw'!AE82</f>
        <v>5.8103000000000002E-2</v>
      </c>
      <c r="AC93" s="18">
        <f>'AEO 2023 Table 49 Raw'!AF82</f>
        <v>5.4674E-2</v>
      </c>
      <c r="AD93" s="18">
        <f>'AEO 2023 Table 49 Raw'!AG82</f>
        <v>5.1552000000000001E-2</v>
      </c>
      <c r="AE93" s="18">
        <f>'AEO 2023 Table 49 Raw'!AH82</f>
        <v>4.8641999999999998E-2</v>
      </c>
      <c r="AF93" s="30">
        <f>'AEO 2023 Table 49 Raw'!AI82</f>
        <v>-2.1999999999999999E-2</v>
      </c>
    </row>
    <row r="94" spans="1:32" ht="15" customHeight="1">
      <c r="A94" s="7" t="s">
        <v>818</v>
      </c>
      <c r="B94" s="16" t="s">
        <v>747</v>
      </c>
      <c r="C94" s="18">
        <f>'AEO 2023 Table 49 Raw'!F83</f>
        <v>0</v>
      </c>
      <c r="D94" s="18">
        <f>'AEO 2023 Table 49 Raw'!G83</f>
        <v>3.1223000000000001E-2</v>
      </c>
      <c r="E94" s="18">
        <f>'AEO 2023 Table 49 Raw'!H83</f>
        <v>0.19468199999999999</v>
      </c>
      <c r="F94" s="18">
        <f>'AEO 2023 Table 49 Raw'!I83</f>
        <v>0.27852399999999999</v>
      </c>
      <c r="G94" s="18">
        <f>'AEO 2023 Table 49 Raw'!J83</f>
        <v>0.36315700000000001</v>
      </c>
      <c r="H94" s="18">
        <f>'AEO 2023 Table 49 Raw'!K83</f>
        <v>0.443772</v>
      </c>
      <c r="I94" s="18">
        <f>'AEO 2023 Table 49 Raw'!L83</f>
        <v>0.52136499999999997</v>
      </c>
      <c r="J94" s="18">
        <f>'AEO 2023 Table 49 Raw'!M83</f>
        <v>0.59411199999999997</v>
      </c>
      <c r="K94" s="18">
        <f>'AEO 2023 Table 49 Raw'!N83</f>
        <v>0.663184</v>
      </c>
      <c r="L94" s="18">
        <f>'AEO 2023 Table 49 Raw'!O83</f>
        <v>0.72962499999999997</v>
      </c>
      <c r="M94" s="18">
        <f>'AEO 2023 Table 49 Raw'!P83</f>
        <v>0.79639599999999999</v>
      </c>
      <c r="N94" s="18">
        <f>'AEO 2023 Table 49 Raw'!Q83</f>
        <v>0.86107999999999996</v>
      </c>
      <c r="O94" s="18">
        <f>'AEO 2023 Table 49 Raw'!R83</f>
        <v>0.92327000000000004</v>
      </c>
      <c r="P94" s="18">
        <f>'AEO 2023 Table 49 Raw'!S83</f>
        <v>0.98654799999999998</v>
      </c>
      <c r="Q94" s="18">
        <f>'AEO 2023 Table 49 Raw'!T83</f>
        <v>1.0495829999999999</v>
      </c>
      <c r="R94" s="18">
        <f>'AEO 2023 Table 49 Raw'!U83</f>
        <v>1.118633</v>
      </c>
      <c r="S94" s="18">
        <f>'AEO 2023 Table 49 Raw'!V83</f>
        <v>1.1928430000000001</v>
      </c>
      <c r="T94" s="18">
        <f>'AEO 2023 Table 49 Raw'!W83</f>
        <v>1.2726649999999999</v>
      </c>
      <c r="U94" s="18">
        <f>'AEO 2023 Table 49 Raw'!X83</f>
        <v>1.363113</v>
      </c>
      <c r="V94" s="18">
        <f>'AEO 2023 Table 49 Raw'!Y83</f>
        <v>1.464269</v>
      </c>
      <c r="W94" s="18">
        <f>'AEO 2023 Table 49 Raw'!Z83</f>
        <v>1.5777429999999999</v>
      </c>
      <c r="X94" s="18">
        <f>'AEO 2023 Table 49 Raw'!AA83</f>
        <v>1.6956990000000001</v>
      </c>
      <c r="Y94" s="18">
        <f>'AEO 2023 Table 49 Raw'!AB83</f>
        <v>1.819596</v>
      </c>
      <c r="Z94" s="18">
        <f>'AEO 2023 Table 49 Raw'!AC83</f>
        <v>1.952555</v>
      </c>
      <c r="AA94" s="18">
        <f>'AEO 2023 Table 49 Raw'!AD83</f>
        <v>2.0971549999999999</v>
      </c>
      <c r="AB94" s="18">
        <f>'AEO 2023 Table 49 Raw'!AE83</f>
        <v>2.2459030000000002</v>
      </c>
      <c r="AC94" s="18">
        <f>'AEO 2023 Table 49 Raw'!AF83</f>
        <v>2.3994059999999999</v>
      </c>
      <c r="AD94" s="18">
        <f>'AEO 2023 Table 49 Raw'!AG83</f>
        <v>2.561833</v>
      </c>
      <c r="AE94" s="18">
        <f>'AEO 2023 Table 49 Raw'!AH83</f>
        <v>2.7309640000000002</v>
      </c>
      <c r="AF94" s="30" t="str">
        <f>'AEO 2023 Table 49 Raw'!AI83</f>
        <v>- -</v>
      </c>
    </row>
    <row r="95" spans="1:32" ht="12" customHeight="1">
      <c r="A95" s="7" t="s">
        <v>819</v>
      </c>
      <c r="B95" s="16" t="s">
        <v>749</v>
      </c>
      <c r="C95" s="18">
        <f>'AEO 2023 Table 49 Raw'!F84</f>
        <v>0</v>
      </c>
      <c r="D95" s="18">
        <f>'AEO 2023 Table 49 Raw'!G84</f>
        <v>3.7399000000000002E-2</v>
      </c>
      <c r="E95" s="18">
        <f>'AEO 2023 Table 49 Raw'!H84</f>
        <v>0.32291300000000001</v>
      </c>
      <c r="F95" s="18">
        <f>'AEO 2023 Table 49 Raw'!I84</f>
        <v>0.433558</v>
      </c>
      <c r="G95" s="18">
        <f>'AEO 2023 Table 49 Raw'!J84</f>
        <v>0.54477500000000001</v>
      </c>
      <c r="H95" s="18">
        <f>'AEO 2023 Table 49 Raw'!K84</f>
        <v>0.650644</v>
      </c>
      <c r="I95" s="18">
        <f>'AEO 2023 Table 49 Raw'!L84</f>
        <v>0.75134400000000001</v>
      </c>
      <c r="J95" s="18">
        <f>'AEO 2023 Table 49 Raw'!M84</f>
        <v>0.84477599999999997</v>
      </c>
      <c r="K95" s="18">
        <f>'AEO 2023 Table 49 Raw'!N84</f>
        <v>0.933338</v>
      </c>
      <c r="L95" s="18">
        <f>'AEO 2023 Table 49 Raw'!O84</f>
        <v>1.0193179999999999</v>
      </c>
      <c r="M95" s="18">
        <f>'AEO 2023 Table 49 Raw'!P84</f>
        <v>1.106617</v>
      </c>
      <c r="N95" s="18">
        <f>'AEO 2023 Table 49 Raw'!Q84</f>
        <v>1.192067</v>
      </c>
      <c r="O95" s="18">
        <f>'AEO 2023 Table 49 Raw'!R84</f>
        <v>1.274824</v>
      </c>
      <c r="P95" s="18">
        <f>'AEO 2023 Table 49 Raw'!S84</f>
        <v>1.359926</v>
      </c>
      <c r="Q95" s="18">
        <f>'AEO 2023 Table 49 Raw'!T84</f>
        <v>1.4457869999999999</v>
      </c>
      <c r="R95" s="18">
        <f>'AEO 2023 Table 49 Raw'!U84</f>
        <v>1.5416810000000001</v>
      </c>
      <c r="S95" s="18">
        <f>'AEO 2023 Table 49 Raw'!V84</f>
        <v>1.6468430000000001</v>
      </c>
      <c r="T95" s="18">
        <f>'AEO 2023 Table 49 Raw'!W84</f>
        <v>1.7627539999999999</v>
      </c>
      <c r="U95" s="18">
        <f>'AEO 2023 Table 49 Raw'!X84</f>
        <v>1.897227</v>
      </c>
      <c r="V95" s="18">
        <f>'AEO 2023 Table 49 Raw'!Y84</f>
        <v>2.0511330000000001</v>
      </c>
      <c r="W95" s="18">
        <f>'AEO 2023 Table 49 Raw'!Z84</f>
        <v>2.2268560000000002</v>
      </c>
      <c r="X95" s="18">
        <f>'AEO 2023 Table 49 Raw'!AA84</f>
        <v>2.41065</v>
      </c>
      <c r="Y95" s="18">
        <f>'AEO 2023 Table 49 Raw'!AB84</f>
        <v>2.604946</v>
      </c>
      <c r="Z95" s="18">
        <f>'AEO 2023 Table 49 Raw'!AC84</f>
        <v>2.816163</v>
      </c>
      <c r="AA95" s="18">
        <f>'AEO 2023 Table 49 Raw'!AD84</f>
        <v>3.0489739999999999</v>
      </c>
      <c r="AB95" s="18">
        <f>'AEO 2023 Table 49 Raw'!AE84</f>
        <v>3.2880760000000002</v>
      </c>
      <c r="AC95" s="18">
        <f>'AEO 2023 Table 49 Raw'!AF84</f>
        <v>3.5348269999999999</v>
      </c>
      <c r="AD95" s="18">
        <f>'AEO 2023 Table 49 Raw'!AG84</f>
        <v>3.7946209999999998</v>
      </c>
      <c r="AE95" s="18">
        <f>'AEO 2023 Table 49 Raw'!AH84</f>
        <v>4.0636669999999997</v>
      </c>
      <c r="AF95" s="30" t="str">
        <f>'AEO 2023 Table 49 Raw'!AI84</f>
        <v>- -</v>
      </c>
    </row>
    <row r="96" spans="1:32" ht="15" customHeight="1">
      <c r="A96" s="7" t="s">
        <v>820</v>
      </c>
      <c r="B96" s="16" t="s">
        <v>751</v>
      </c>
      <c r="C96" s="18">
        <f>'AEO 2023 Table 49 Raw'!F85</f>
        <v>0</v>
      </c>
      <c r="D96" s="18">
        <f>'AEO 2023 Table 49 Raw'!G85</f>
        <v>0</v>
      </c>
      <c r="E96" s="18">
        <f>'AEO 2023 Table 49 Raw'!H85</f>
        <v>0.193074</v>
      </c>
      <c r="F96" s="18">
        <f>'AEO 2023 Table 49 Raw'!I85</f>
        <v>0.39150400000000002</v>
      </c>
      <c r="G96" s="18">
        <f>'AEO 2023 Table 49 Raw'!J85</f>
        <v>0.596692</v>
      </c>
      <c r="H96" s="18">
        <f>'AEO 2023 Table 49 Raw'!K85</f>
        <v>0.80067200000000005</v>
      </c>
      <c r="I96" s="18">
        <f>'AEO 2023 Table 49 Raw'!L85</f>
        <v>1.001957</v>
      </c>
      <c r="J96" s="18">
        <f>'AEO 2023 Table 49 Raw'!M85</f>
        <v>1.197117</v>
      </c>
      <c r="K96" s="18">
        <f>'AEO 2023 Table 49 Raw'!N85</f>
        <v>1.386846</v>
      </c>
      <c r="L96" s="18">
        <f>'AEO 2023 Table 49 Raw'!O85</f>
        <v>1.5732839999999999</v>
      </c>
      <c r="M96" s="18">
        <f>'AEO 2023 Table 49 Raw'!P85</f>
        <v>1.762032</v>
      </c>
      <c r="N96" s="18">
        <f>'AEO 2023 Table 49 Raw'!Q85</f>
        <v>1.94495</v>
      </c>
      <c r="O96" s="18">
        <f>'AEO 2023 Table 49 Raw'!R85</f>
        <v>2.1185429999999998</v>
      </c>
      <c r="P96" s="18">
        <f>'AEO 2023 Table 49 Raw'!S85</f>
        <v>2.2886959999999998</v>
      </c>
      <c r="Q96" s="18">
        <f>'AEO 2023 Table 49 Raw'!T85</f>
        <v>2.4507270000000001</v>
      </c>
      <c r="R96" s="18">
        <f>'AEO 2023 Table 49 Raw'!U85</f>
        <v>2.6167479999999999</v>
      </c>
      <c r="S96" s="18">
        <f>'AEO 2023 Table 49 Raw'!V85</f>
        <v>2.7817050000000001</v>
      </c>
      <c r="T96" s="18">
        <f>'AEO 2023 Table 49 Raw'!W85</f>
        <v>2.9443709999999998</v>
      </c>
      <c r="U96" s="18">
        <f>'AEO 2023 Table 49 Raw'!X85</f>
        <v>3.114779</v>
      </c>
      <c r="V96" s="18">
        <f>'AEO 2023 Table 49 Raw'!Y85</f>
        <v>3.2926709999999999</v>
      </c>
      <c r="W96" s="18">
        <f>'AEO 2023 Table 49 Raw'!Z85</f>
        <v>3.4843730000000002</v>
      </c>
      <c r="X96" s="18">
        <f>'AEO 2023 Table 49 Raw'!AA85</f>
        <v>3.681759</v>
      </c>
      <c r="Y96" s="18">
        <f>'AEO 2023 Table 49 Raw'!AB85</f>
        <v>3.8862909999999999</v>
      </c>
      <c r="Z96" s="18">
        <f>'AEO 2023 Table 49 Raw'!AC85</f>
        <v>4.100009</v>
      </c>
      <c r="AA96" s="18">
        <f>'AEO 2023 Table 49 Raw'!AD85</f>
        <v>4.3317829999999997</v>
      </c>
      <c r="AB96" s="18">
        <f>'AEO 2023 Table 49 Raw'!AE85</f>
        <v>4.5763559999999996</v>
      </c>
      <c r="AC96" s="18">
        <f>'AEO 2023 Table 49 Raw'!AF85</f>
        <v>4.8336259999999998</v>
      </c>
      <c r="AD96" s="18">
        <f>'AEO 2023 Table 49 Raw'!AG85</f>
        <v>5.1153269999999997</v>
      </c>
      <c r="AE96" s="18">
        <f>'AEO 2023 Table 49 Raw'!AH85</f>
        <v>5.4180919999999997</v>
      </c>
      <c r="AF96" s="30" t="str">
        <f>'AEO 2023 Table 49 Raw'!AI85</f>
        <v>- -</v>
      </c>
    </row>
    <row r="97" spans="1:32" ht="12" customHeight="1">
      <c r="A97" s="7" t="s">
        <v>821</v>
      </c>
      <c r="B97" s="15" t="s">
        <v>822</v>
      </c>
      <c r="C97" s="18">
        <f>'AEO 2023 Table 49 Raw'!F86</f>
        <v>5921.6083980000003</v>
      </c>
      <c r="D97" s="18">
        <f>'AEO 2023 Table 49 Raw'!G86</f>
        <v>5758.8452150000003</v>
      </c>
      <c r="E97" s="18">
        <f>'AEO 2023 Table 49 Raw'!H86</f>
        <v>5615.3242190000001</v>
      </c>
      <c r="F97" s="18">
        <f>'AEO 2023 Table 49 Raw'!I86</f>
        <v>5522.4580079999996</v>
      </c>
      <c r="G97" s="18">
        <f>'AEO 2023 Table 49 Raw'!J86</f>
        <v>5456.8017579999996</v>
      </c>
      <c r="H97" s="18">
        <f>'AEO 2023 Table 49 Raw'!K86</f>
        <v>5375.7822269999997</v>
      </c>
      <c r="I97" s="18">
        <f>'AEO 2023 Table 49 Raw'!L86</f>
        <v>5295.0068359999996</v>
      </c>
      <c r="J97" s="18">
        <f>'AEO 2023 Table 49 Raw'!M86</f>
        <v>5208.1630859999996</v>
      </c>
      <c r="K97" s="18">
        <f>'AEO 2023 Table 49 Raw'!N86</f>
        <v>5129.4169920000004</v>
      </c>
      <c r="L97" s="18">
        <f>'AEO 2023 Table 49 Raw'!O86</f>
        <v>5059.7763670000004</v>
      </c>
      <c r="M97" s="18">
        <f>'AEO 2023 Table 49 Raw'!P86</f>
        <v>5009.6118159999996</v>
      </c>
      <c r="N97" s="18">
        <f>'AEO 2023 Table 49 Raw'!Q86</f>
        <v>4957.8979490000002</v>
      </c>
      <c r="O97" s="18">
        <f>'AEO 2023 Table 49 Raw'!R86</f>
        <v>4903.5493159999996</v>
      </c>
      <c r="P97" s="18">
        <f>'AEO 2023 Table 49 Raw'!S86</f>
        <v>4860.435547</v>
      </c>
      <c r="Q97" s="18">
        <f>'AEO 2023 Table 49 Raw'!T86</f>
        <v>4815.5268550000001</v>
      </c>
      <c r="R97" s="18">
        <f>'AEO 2023 Table 49 Raw'!U86</f>
        <v>4791.6865230000003</v>
      </c>
      <c r="S97" s="18">
        <f>'AEO 2023 Table 49 Raw'!V86</f>
        <v>4773.90625</v>
      </c>
      <c r="T97" s="18">
        <f>'AEO 2023 Table 49 Raw'!W86</f>
        <v>4755.3193359999996</v>
      </c>
      <c r="U97" s="18">
        <f>'AEO 2023 Table 49 Raw'!X86</f>
        <v>4745.1240230000003</v>
      </c>
      <c r="V97" s="18">
        <f>'AEO 2023 Table 49 Raw'!Y86</f>
        <v>4736.1157229999999</v>
      </c>
      <c r="W97" s="18">
        <f>'AEO 2023 Table 49 Raw'!Z86</f>
        <v>4733.9067379999997</v>
      </c>
      <c r="X97" s="18">
        <f>'AEO 2023 Table 49 Raw'!AA86</f>
        <v>4732.7128910000001</v>
      </c>
      <c r="Y97" s="18">
        <f>'AEO 2023 Table 49 Raw'!AB86</f>
        <v>4731.6552730000003</v>
      </c>
      <c r="Z97" s="18">
        <f>'AEO 2023 Table 49 Raw'!AC86</f>
        <v>4729.8740230000003</v>
      </c>
      <c r="AA97" s="18">
        <f>'AEO 2023 Table 49 Raw'!AD86</f>
        <v>4730.2001950000003</v>
      </c>
      <c r="AB97" s="18">
        <f>'AEO 2023 Table 49 Raw'!AE86</f>
        <v>4729.46875</v>
      </c>
      <c r="AC97" s="18">
        <f>'AEO 2023 Table 49 Raw'!AF86</f>
        <v>4727.9702150000003</v>
      </c>
      <c r="AD97" s="18">
        <f>'AEO 2023 Table 49 Raw'!AG86</f>
        <v>4734.9438479999999</v>
      </c>
      <c r="AE97" s="18">
        <f>'AEO 2023 Table 49 Raw'!AH86</f>
        <v>4747.1030270000001</v>
      </c>
      <c r="AF97" s="30">
        <f>'AEO 2023 Table 49 Raw'!AI86</f>
        <v>-8.0000000000000002E-3</v>
      </c>
    </row>
    <row r="98" spans="1:32" ht="15" customHeight="1">
      <c r="C98" s="18"/>
      <c r="D98" s="18"/>
      <c r="E98" s="18"/>
      <c r="F98" s="18"/>
      <c r="G98" s="18"/>
      <c r="H98" s="18"/>
      <c r="I98" s="18"/>
      <c r="J98" s="18"/>
      <c r="K98" s="18"/>
      <c r="L98" s="18"/>
      <c r="M98" s="18"/>
      <c r="N98" s="18"/>
      <c r="O98" s="18"/>
      <c r="P98" s="18"/>
      <c r="Q98" s="18"/>
      <c r="R98" s="18"/>
      <c r="S98" s="18"/>
      <c r="T98" s="18"/>
      <c r="U98" s="18"/>
      <c r="V98" s="18"/>
      <c r="W98" s="18"/>
      <c r="X98" s="18"/>
      <c r="Y98" s="18"/>
      <c r="Z98" s="18"/>
      <c r="AA98" s="18"/>
      <c r="AB98" s="18"/>
      <c r="AC98" s="18"/>
      <c r="AD98" s="18"/>
      <c r="AE98" s="18"/>
      <c r="AF98" s="30"/>
    </row>
    <row r="99" spans="1:32" ht="15" customHeight="1">
      <c r="B99" s="15" t="s">
        <v>823</v>
      </c>
      <c r="C99" s="18"/>
      <c r="D99" s="18"/>
      <c r="E99" s="18"/>
      <c r="F99" s="18"/>
      <c r="G99" s="18"/>
      <c r="H99" s="18"/>
      <c r="I99" s="18"/>
      <c r="J99" s="18"/>
      <c r="K99" s="18"/>
      <c r="L99" s="18"/>
      <c r="M99" s="18"/>
      <c r="N99" s="18"/>
      <c r="O99" s="18"/>
      <c r="P99" s="18"/>
      <c r="Q99" s="18"/>
      <c r="R99" s="18"/>
      <c r="S99" s="18"/>
      <c r="T99" s="18"/>
      <c r="U99" s="18"/>
      <c r="V99" s="18"/>
      <c r="W99" s="18"/>
      <c r="X99" s="18"/>
      <c r="Y99" s="18"/>
      <c r="Z99" s="18"/>
      <c r="AA99" s="18"/>
      <c r="AB99" s="18"/>
      <c r="AC99" s="18"/>
      <c r="AD99" s="18"/>
      <c r="AE99" s="18"/>
      <c r="AF99" s="30"/>
    </row>
    <row r="100" spans="1:32" ht="15" customHeight="1">
      <c r="B100" s="15" t="s">
        <v>734</v>
      </c>
      <c r="C100" s="18"/>
      <c r="D100" s="18"/>
      <c r="E100" s="18"/>
      <c r="F100" s="18"/>
      <c r="G100" s="18"/>
      <c r="H100" s="18"/>
      <c r="I100" s="18"/>
      <c r="J100" s="18"/>
      <c r="K100" s="18"/>
      <c r="L100" s="18"/>
      <c r="M100" s="18"/>
      <c r="N100" s="18"/>
      <c r="O100" s="18"/>
      <c r="P100" s="18"/>
      <c r="Q100" s="18"/>
      <c r="R100" s="18"/>
      <c r="S100" s="18"/>
      <c r="T100" s="18"/>
      <c r="U100" s="18"/>
      <c r="V100" s="18"/>
      <c r="W100" s="18"/>
      <c r="X100" s="18"/>
      <c r="Y100" s="18"/>
      <c r="Z100" s="18"/>
      <c r="AA100" s="18"/>
      <c r="AB100" s="18"/>
      <c r="AC100" s="18"/>
      <c r="AD100" s="18"/>
      <c r="AE100" s="18"/>
      <c r="AF100" s="30"/>
    </row>
    <row r="101" spans="1:32" ht="15" customHeight="1">
      <c r="A101" s="7" t="s">
        <v>824</v>
      </c>
      <c r="B101" s="16" t="s">
        <v>736</v>
      </c>
      <c r="C101" s="18">
        <f>'AEO 2023 Table 49 Raw'!F89</f>
        <v>14.990826999999999</v>
      </c>
      <c r="D101" s="18">
        <f>'AEO 2023 Table 49 Raw'!G89</f>
        <v>15.195835000000001</v>
      </c>
      <c r="E101" s="18">
        <f>'AEO 2023 Table 49 Raw'!H89</f>
        <v>15.453761999999999</v>
      </c>
      <c r="F101" s="18">
        <f>'AEO 2023 Table 49 Raw'!I89</f>
        <v>15.764835</v>
      </c>
      <c r="G101" s="18">
        <f>'AEO 2023 Table 49 Raw'!J89</f>
        <v>16.103656999999998</v>
      </c>
      <c r="H101" s="18">
        <f>'AEO 2023 Table 49 Raw'!K89</f>
        <v>16.460249000000001</v>
      </c>
      <c r="I101" s="18">
        <f>'AEO 2023 Table 49 Raw'!L89</f>
        <v>16.807583000000001</v>
      </c>
      <c r="J101" s="18">
        <f>'AEO 2023 Table 49 Raw'!M89</f>
        <v>17.144188</v>
      </c>
      <c r="K101" s="18">
        <f>'AEO 2023 Table 49 Raw'!N89</f>
        <v>17.457806000000001</v>
      </c>
      <c r="L101" s="18">
        <f>'AEO 2023 Table 49 Raw'!O89</f>
        <v>17.746956000000001</v>
      </c>
      <c r="M101" s="18">
        <f>'AEO 2023 Table 49 Raw'!P89</f>
        <v>18.018951000000001</v>
      </c>
      <c r="N101" s="18">
        <f>'AEO 2023 Table 49 Raw'!Q89</f>
        <v>18.272202</v>
      </c>
      <c r="O101" s="18">
        <f>'AEO 2023 Table 49 Raw'!R89</f>
        <v>18.49737</v>
      </c>
      <c r="P101" s="18">
        <f>'AEO 2023 Table 49 Raw'!S89</f>
        <v>18.698295999999999</v>
      </c>
      <c r="Q101" s="18">
        <f>'AEO 2023 Table 49 Raw'!T89</f>
        <v>18.881610999999999</v>
      </c>
      <c r="R101" s="18">
        <f>'AEO 2023 Table 49 Raw'!U89</f>
        <v>19.048977000000001</v>
      </c>
      <c r="S101" s="18">
        <f>'AEO 2023 Table 49 Raw'!V89</f>
        <v>19.200341999999999</v>
      </c>
      <c r="T101" s="18">
        <f>'AEO 2023 Table 49 Raw'!W89</f>
        <v>19.331123000000002</v>
      </c>
      <c r="U101" s="18">
        <f>'AEO 2023 Table 49 Raw'!X89</f>
        <v>19.443902999999999</v>
      </c>
      <c r="V101" s="18">
        <f>'AEO 2023 Table 49 Raw'!Y89</f>
        <v>19.542442000000001</v>
      </c>
      <c r="W101" s="18">
        <f>'AEO 2023 Table 49 Raw'!Z89</f>
        <v>19.624690999999999</v>
      </c>
      <c r="X101" s="18">
        <f>'AEO 2023 Table 49 Raw'!AA89</f>
        <v>19.687042000000002</v>
      </c>
      <c r="Y101" s="18">
        <f>'AEO 2023 Table 49 Raw'!AB89</f>
        <v>19.732797999999999</v>
      </c>
      <c r="Z101" s="18">
        <f>'AEO 2023 Table 49 Raw'!AC89</f>
        <v>19.765715</v>
      </c>
      <c r="AA101" s="18">
        <f>'AEO 2023 Table 49 Raw'!AD89</f>
        <v>19.789014999999999</v>
      </c>
      <c r="AB101" s="18">
        <f>'AEO 2023 Table 49 Raw'!AE89</f>
        <v>19.803076000000001</v>
      </c>
      <c r="AC101" s="18">
        <f>'AEO 2023 Table 49 Raw'!AF89</f>
        <v>19.809339999999999</v>
      </c>
      <c r="AD101" s="18">
        <f>'AEO 2023 Table 49 Raw'!AG89</f>
        <v>19.811682000000001</v>
      </c>
      <c r="AE101" s="18">
        <f>'AEO 2023 Table 49 Raw'!AH89</f>
        <v>19.811537000000001</v>
      </c>
      <c r="AF101" s="30">
        <f>'AEO 2023 Table 49 Raw'!AI89</f>
        <v>0.01</v>
      </c>
    </row>
    <row r="102" spans="1:32" ht="15" customHeight="1">
      <c r="A102" s="7" t="s">
        <v>825</v>
      </c>
      <c r="B102" s="16" t="s">
        <v>738</v>
      </c>
      <c r="C102" s="18">
        <f>'AEO 2023 Table 49 Raw'!F90</f>
        <v>10.726827</v>
      </c>
      <c r="D102" s="18">
        <f>'AEO 2023 Table 49 Raw'!G90</f>
        <v>11.005366</v>
      </c>
      <c r="E102" s="18">
        <f>'AEO 2023 Table 49 Raw'!H90</f>
        <v>11.295146000000001</v>
      </c>
      <c r="F102" s="18">
        <f>'AEO 2023 Table 49 Raw'!I90</f>
        <v>11.596507000000001</v>
      </c>
      <c r="G102" s="18">
        <f>'AEO 2023 Table 49 Raw'!J90</f>
        <v>11.891500000000001</v>
      </c>
      <c r="H102" s="18">
        <f>'AEO 2023 Table 49 Raw'!K90</f>
        <v>12.183458</v>
      </c>
      <c r="I102" s="18">
        <f>'AEO 2023 Table 49 Raw'!L90</f>
        <v>12.456664</v>
      </c>
      <c r="J102" s="18">
        <f>'AEO 2023 Table 49 Raw'!M90</f>
        <v>12.71387</v>
      </c>
      <c r="K102" s="18">
        <f>'AEO 2023 Table 49 Raw'!N90</f>
        <v>12.949475</v>
      </c>
      <c r="L102" s="18">
        <f>'AEO 2023 Table 49 Raw'!O90</f>
        <v>13.167376000000001</v>
      </c>
      <c r="M102" s="18">
        <f>'AEO 2023 Table 49 Raw'!P90</f>
        <v>13.364095000000001</v>
      </c>
      <c r="N102" s="18">
        <f>'AEO 2023 Table 49 Raw'!Q90</f>
        <v>13.539407000000001</v>
      </c>
      <c r="O102" s="18">
        <f>'AEO 2023 Table 49 Raw'!R90</f>
        <v>13.695525999999999</v>
      </c>
      <c r="P102" s="18">
        <f>'AEO 2023 Table 49 Raw'!S90</f>
        <v>13.836619000000001</v>
      </c>
      <c r="Q102" s="18">
        <f>'AEO 2023 Table 49 Raw'!T90</f>
        <v>13.962876</v>
      </c>
      <c r="R102" s="18">
        <f>'AEO 2023 Table 49 Raw'!U90</f>
        <v>14.077448</v>
      </c>
      <c r="S102" s="18">
        <f>'AEO 2023 Table 49 Raw'!V90</f>
        <v>14.185199000000001</v>
      </c>
      <c r="T102" s="18">
        <f>'AEO 2023 Table 49 Raw'!W90</f>
        <v>14.290082999999999</v>
      </c>
      <c r="U102" s="18">
        <f>'AEO 2023 Table 49 Raw'!X90</f>
        <v>14.388892999999999</v>
      </c>
      <c r="V102" s="18">
        <f>'AEO 2023 Table 49 Raw'!Y90</f>
        <v>14.442099000000001</v>
      </c>
      <c r="W102" s="18">
        <f>'AEO 2023 Table 49 Raw'!Z90</f>
        <v>14.491308</v>
      </c>
      <c r="X102" s="18">
        <f>'AEO 2023 Table 49 Raw'!AA90</f>
        <v>14.538304</v>
      </c>
      <c r="Y102" s="18">
        <f>'AEO 2023 Table 49 Raw'!AB90</f>
        <v>14.576364</v>
      </c>
      <c r="Z102" s="18">
        <f>'AEO 2023 Table 49 Raw'!AC90</f>
        <v>14.611788000000001</v>
      </c>
      <c r="AA102" s="18">
        <f>'AEO 2023 Table 49 Raw'!AD90</f>
        <v>14.644666000000001</v>
      </c>
      <c r="AB102" s="18">
        <f>'AEO 2023 Table 49 Raw'!AE90</f>
        <v>14.676098</v>
      </c>
      <c r="AC102" s="18">
        <f>'AEO 2023 Table 49 Raw'!AF90</f>
        <v>14.708055</v>
      </c>
      <c r="AD102" s="18">
        <f>'AEO 2023 Table 49 Raw'!AG90</f>
        <v>14.740869999999999</v>
      </c>
      <c r="AE102" s="18">
        <f>'AEO 2023 Table 49 Raw'!AH90</f>
        <v>14.772921</v>
      </c>
      <c r="AF102" s="30">
        <f>'AEO 2023 Table 49 Raw'!AI90</f>
        <v>1.0999999999999999E-2</v>
      </c>
    </row>
    <row r="103" spans="1:32" ht="15" customHeight="1">
      <c r="A103" s="7" t="s">
        <v>826</v>
      </c>
      <c r="B103" s="16" t="s">
        <v>382</v>
      </c>
      <c r="C103" s="18">
        <f>'AEO 2023 Table 49 Raw'!F91</f>
        <v>8.2871159999999993</v>
      </c>
      <c r="D103" s="18">
        <f>'AEO 2023 Table 49 Raw'!G91</f>
        <v>12.031981</v>
      </c>
      <c r="E103" s="18">
        <f>'AEO 2023 Table 49 Raw'!H91</f>
        <v>12.360588999999999</v>
      </c>
      <c r="F103" s="18">
        <f>'AEO 2023 Table 49 Raw'!I91</f>
        <v>12.523303</v>
      </c>
      <c r="G103" s="18">
        <f>'AEO 2023 Table 49 Raw'!J91</f>
        <v>12.634840000000001</v>
      </c>
      <c r="H103" s="18">
        <f>'AEO 2023 Table 49 Raw'!K91</f>
        <v>12.74039</v>
      </c>
      <c r="I103" s="18">
        <f>'AEO 2023 Table 49 Raw'!L91</f>
        <v>12.832022</v>
      </c>
      <c r="J103" s="18">
        <f>'AEO 2023 Table 49 Raw'!M91</f>
        <v>12.931651</v>
      </c>
      <c r="K103" s="18">
        <f>'AEO 2023 Table 49 Raw'!N91</f>
        <v>13.04673</v>
      </c>
      <c r="L103" s="18">
        <f>'AEO 2023 Table 49 Raw'!O91</f>
        <v>13.172309</v>
      </c>
      <c r="M103" s="18">
        <f>'AEO 2023 Table 49 Raw'!P91</f>
        <v>13.306245000000001</v>
      </c>
      <c r="N103" s="18">
        <f>'AEO 2023 Table 49 Raw'!Q91</f>
        <v>13.439323</v>
      </c>
      <c r="O103" s="18">
        <f>'AEO 2023 Table 49 Raw'!R91</f>
        <v>13.563253</v>
      </c>
      <c r="P103" s="18">
        <f>'AEO 2023 Table 49 Raw'!S91</f>
        <v>13.672013</v>
      </c>
      <c r="Q103" s="18">
        <f>'AEO 2023 Table 49 Raw'!T91</f>
        <v>13.766769999999999</v>
      </c>
      <c r="R103" s="18">
        <f>'AEO 2023 Table 49 Raw'!U91</f>
        <v>13.849815</v>
      </c>
      <c r="S103" s="18">
        <f>'AEO 2023 Table 49 Raw'!V91</f>
        <v>13.922634</v>
      </c>
      <c r="T103" s="18">
        <f>'AEO 2023 Table 49 Raw'!W91</f>
        <v>13.986432000000001</v>
      </c>
      <c r="U103" s="18">
        <f>'AEO 2023 Table 49 Raw'!X91</f>
        <v>14.041862</v>
      </c>
      <c r="V103" s="18">
        <f>'AEO 2023 Table 49 Raw'!Y91</f>
        <v>14.089687</v>
      </c>
      <c r="W103" s="18">
        <f>'AEO 2023 Table 49 Raw'!Z91</f>
        <v>14.130868</v>
      </c>
      <c r="X103" s="18">
        <f>'AEO 2023 Table 49 Raw'!AA91</f>
        <v>14.166186</v>
      </c>
      <c r="Y103" s="18">
        <f>'AEO 2023 Table 49 Raw'!AB91</f>
        <v>14.198964</v>
      </c>
      <c r="Z103" s="18">
        <f>'AEO 2023 Table 49 Raw'!AC91</f>
        <v>14.22842</v>
      </c>
      <c r="AA103" s="18">
        <f>'AEO 2023 Table 49 Raw'!AD91</f>
        <v>14.254268</v>
      </c>
      <c r="AB103" s="18">
        <f>'AEO 2023 Table 49 Raw'!AE91</f>
        <v>14.276505</v>
      </c>
      <c r="AC103" s="18">
        <f>'AEO 2023 Table 49 Raw'!AF91</f>
        <v>14.295197</v>
      </c>
      <c r="AD103" s="18">
        <f>'AEO 2023 Table 49 Raw'!AG91</f>
        <v>14.310687</v>
      </c>
      <c r="AE103" s="18">
        <f>'AEO 2023 Table 49 Raw'!AH91</f>
        <v>14.323290999999999</v>
      </c>
      <c r="AF103" s="30">
        <f>'AEO 2023 Table 49 Raw'!AI91</f>
        <v>0.02</v>
      </c>
    </row>
    <row r="104" spans="1:32" ht="15" customHeight="1">
      <c r="A104" s="7" t="s">
        <v>827</v>
      </c>
      <c r="B104" s="16" t="s">
        <v>741</v>
      </c>
      <c r="C104" s="18">
        <f>'AEO 2023 Table 49 Raw'!F92</f>
        <v>10.037064000000001</v>
      </c>
      <c r="D104" s="18">
        <f>'AEO 2023 Table 49 Raw'!G92</f>
        <v>10.038249</v>
      </c>
      <c r="E104" s="18">
        <f>'AEO 2023 Table 49 Raw'!H92</f>
        <v>10.039481</v>
      </c>
      <c r="F104" s="18">
        <f>'AEO 2023 Table 49 Raw'!I92</f>
        <v>10.040761</v>
      </c>
      <c r="G104" s="18">
        <f>'AEO 2023 Table 49 Raw'!J92</f>
        <v>10.042078999999999</v>
      </c>
      <c r="H104" s="18">
        <f>'AEO 2023 Table 49 Raw'!K92</f>
        <v>10.043437000000001</v>
      </c>
      <c r="I104" s="18">
        <f>'AEO 2023 Table 49 Raw'!L92</f>
        <v>10.044829</v>
      </c>
      <c r="J104" s="18">
        <f>'AEO 2023 Table 49 Raw'!M92</f>
        <v>10.046252000000001</v>
      </c>
      <c r="K104" s="18">
        <f>'AEO 2023 Table 49 Raw'!N92</f>
        <v>10.047701999999999</v>
      </c>
      <c r="L104" s="18">
        <f>'AEO 2023 Table 49 Raw'!O92</f>
        <v>10.049175999999999</v>
      </c>
      <c r="M104" s="18">
        <f>'AEO 2023 Table 49 Raw'!P92</f>
        <v>10.050672</v>
      </c>
      <c r="N104" s="18">
        <f>'AEO 2023 Table 49 Raw'!Q92</f>
        <v>10.057157</v>
      </c>
      <c r="O104" s="18">
        <f>'AEO 2023 Table 49 Raw'!R92</f>
        <v>10.07352</v>
      </c>
      <c r="P104" s="18">
        <f>'AEO 2023 Table 49 Raw'!S92</f>
        <v>10.105247</v>
      </c>
      <c r="Q104" s="18">
        <f>'AEO 2023 Table 49 Raw'!T92</f>
        <v>10.140972</v>
      </c>
      <c r="R104" s="18">
        <f>'AEO 2023 Table 49 Raw'!U92</f>
        <v>10.185603</v>
      </c>
      <c r="S104" s="18">
        <f>'AEO 2023 Table 49 Raw'!V92</f>
        <v>10.231821</v>
      </c>
      <c r="T104" s="18">
        <f>'AEO 2023 Table 49 Raw'!W92</f>
        <v>10.26587</v>
      </c>
      <c r="U104" s="18">
        <f>'AEO 2023 Table 49 Raw'!X92</f>
        <v>10.275093999999999</v>
      </c>
      <c r="V104" s="18">
        <f>'AEO 2023 Table 49 Raw'!Y92</f>
        <v>10.25789</v>
      </c>
      <c r="W104" s="18">
        <f>'AEO 2023 Table 49 Raw'!Z92</f>
        <v>10.216538</v>
      </c>
      <c r="X104" s="18">
        <f>'AEO 2023 Table 49 Raw'!AA92</f>
        <v>10.161301999999999</v>
      </c>
      <c r="Y104" s="18">
        <f>'AEO 2023 Table 49 Raw'!AB92</f>
        <v>10.092756</v>
      </c>
      <c r="Z104" s="18">
        <f>'AEO 2023 Table 49 Raw'!AC92</f>
        <v>10.027177</v>
      </c>
      <c r="AA104" s="18">
        <f>'AEO 2023 Table 49 Raw'!AD92</f>
        <v>9.9940409999999993</v>
      </c>
      <c r="AB104" s="18">
        <f>'AEO 2023 Table 49 Raw'!AE92</f>
        <v>10.014453</v>
      </c>
      <c r="AC104" s="18">
        <f>'AEO 2023 Table 49 Raw'!AF92</f>
        <v>10.061934000000001</v>
      </c>
      <c r="AD104" s="18">
        <f>'AEO 2023 Table 49 Raw'!AG92</f>
        <v>10.114000000000001</v>
      </c>
      <c r="AE104" s="18">
        <f>'AEO 2023 Table 49 Raw'!AH92</f>
        <v>10.188726000000001</v>
      </c>
      <c r="AF104" s="30">
        <f>'AEO 2023 Table 49 Raw'!AI92</f>
        <v>1E-3</v>
      </c>
    </row>
    <row r="105" spans="1:32" ht="15" customHeight="1">
      <c r="A105" s="7" t="s">
        <v>828</v>
      </c>
      <c r="B105" s="16" t="s">
        <v>743</v>
      </c>
      <c r="C105" s="18">
        <f>'AEO 2023 Table 49 Raw'!F93</f>
        <v>10.330606</v>
      </c>
      <c r="D105" s="18">
        <f>'AEO 2023 Table 49 Raw'!G93</f>
        <v>10.473398</v>
      </c>
      <c r="E105" s="18">
        <f>'AEO 2023 Table 49 Raw'!H93</f>
        <v>10.635232999999999</v>
      </c>
      <c r="F105" s="18">
        <f>'AEO 2023 Table 49 Raw'!I93</f>
        <v>10.811537</v>
      </c>
      <c r="G105" s="18">
        <f>'AEO 2023 Table 49 Raw'!J93</f>
        <v>10.992823</v>
      </c>
      <c r="H105" s="18">
        <f>'AEO 2023 Table 49 Raw'!K93</f>
        <v>11.179570999999999</v>
      </c>
      <c r="I105" s="18">
        <f>'AEO 2023 Table 49 Raw'!L93</f>
        <v>11.358347</v>
      </c>
      <c r="J105" s="18">
        <f>'AEO 2023 Table 49 Raw'!M93</f>
        <v>11.530927999999999</v>
      </c>
      <c r="K105" s="18">
        <f>'AEO 2023 Table 49 Raw'!N93</f>
        <v>11.697601000000001</v>
      </c>
      <c r="L105" s="18">
        <f>'AEO 2023 Table 49 Raw'!O93</f>
        <v>11.859797</v>
      </c>
      <c r="M105" s="18">
        <f>'AEO 2023 Table 49 Raw'!P93</f>
        <v>12.017756</v>
      </c>
      <c r="N105" s="18">
        <f>'AEO 2023 Table 49 Raw'!Q93</f>
        <v>12.173800999999999</v>
      </c>
      <c r="O105" s="18">
        <f>'AEO 2023 Table 49 Raw'!R93</f>
        <v>12.336893</v>
      </c>
      <c r="P105" s="18">
        <f>'AEO 2023 Table 49 Raw'!S93</f>
        <v>12.507586</v>
      </c>
      <c r="Q105" s="18">
        <f>'AEO 2023 Table 49 Raw'!T93</f>
        <v>12.68805</v>
      </c>
      <c r="R105" s="18">
        <f>'AEO 2023 Table 49 Raw'!U93</f>
        <v>12.874475</v>
      </c>
      <c r="S105" s="18">
        <f>'AEO 2023 Table 49 Raw'!V93</f>
        <v>13.077565</v>
      </c>
      <c r="T105" s="18">
        <f>'AEO 2023 Table 49 Raw'!W93</f>
        <v>13.287155</v>
      </c>
      <c r="U105" s="18">
        <f>'AEO 2023 Table 49 Raw'!X93</f>
        <v>13.497173</v>
      </c>
      <c r="V105" s="18">
        <f>'AEO 2023 Table 49 Raw'!Y93</f>
        <v>13.658909</v>
      </c>
      <c r="W105" s="18">
        <f>'AEO 2023 Table 49 Raw'!Z93</f>
        <v>13.800933000000001</v>
      </c>
      <c r="X105" s="18">
        <f>'AEO 2023 Table 49 Raw'!AA93</f>
        <v>13.916017</v>
      </c>
      <c r="Y105" s="18">
        <f>'AEO 2023 Table 49 Raw'!AB93</f>
        <v>14.006437999999999</v>
      </c>
      <c r="Z105" s="18">
        <f>'AEO 2023 Table 49 Raw'!AC93</f>
        <v>14.081751000000001</v>
      </c>
      <c r="AA105" s="18">
        <f>'AEO 2023 Table 49 Raw'!AD93</f>
        <v>14.147543000000001</v>
      </c>
      <c r="AB105" s="18">
        <f>'AEO 2023 Table 49 Raw'!AE93</f>
        <v>14.206153</v>
      </c>
      <c r="AC105" s="18">
        <f>'AEO 2023 Table 49 Raw'!AF93</f>
        <v>14.260489</v>
      </c>
      <c r="AD105" s="18">
        <f>'AEO 2023 Table 49 Raw'!AG93</f>
        <v>14.31892</v>
      </c>
      <c r="AE105" s="18">
        <f>'AEO 2023 Table 49 Raw'!AH93</f>
        <v>14.378976</v>
      </c>
      <c r="AF105" s="30">
        <f>'AEO 2023 Table 49 Raw'!AI93</f>
        <v>1.2E-2</v>
      </c>
    </row>
    <row r="106" spans="1:32" ht="15" customHeight="1">
      <c r="A106" s="7" t="s">
        <v>829</v>
      </c>
      <c r="B106" s="16" t="s">
        <v>745</v>
      </c>
      <c r="C106" s="18">
        <f>'AEO 2023 Table 49 Raw'!F94</f>
        <v>24.120540999999999</v>
      </c>
      <c r="D106" s="18">
        <f>'AEO 2023 Table 49 Raw'!G94</f>
        <v>24.120649</v>
      </c>
      <c r="E106" s="18">
        <f>'AEO 2023 Table 49 Raw'!H94</f>
        <v>24.120832</v>
      </c>
      <c r="F106" s="18">
        <f>'AEO 2023 Table 49 Raw'!I94</f>
        <v>24.121075000000001</v>
      </c>
      <c r="G106" s="18">
        <f>'AEO 2023 Table 49 Raw'!J94</f>
        <v>24.121359000000002</v>
      </c>
      <c r="H106" s="18">
        <f>'AEO 2023 Table 49 Raw'!K94</f>
        <v>24.121646999999999</v>
      </c>
      <c r="I106" s="18">
        <f>'AEO 2023 Table 49 Raw'!L94</f>
        <v>24.12191</v>
      </c>
      <c r="J106" s="18">
        <f>'AEO 2023 Table 49 Raw'!M94</f>
        <v>24.1206</v>
      </c>
      <c r="K106" s="18">
        <f>'AEO 2023 Table 49 Raw'!N94</f>
        <v>24.120342000000001</v>
      </c>
      <c r="L106" s="18">
        <f>'AEO 2023 Table 49 Raw'!O94</f>
        <v>24.12031</v>
      </c>
      <c r="M106" s="18">
        <f>'AEO 2023 Table 49 Raw'!P94</f>
        <v>24.120283000000001</v>
      </c>
      <c r="N106" s="18">
        <f>'AEO 2023 Table 49 Raw'!Q94</f>
        <v>24.116168999999999</v>
      </c>
      <c r="O106" s="18">
        <f>'AEO 2023 Table 49 Raw'!R94</f>
        <v>24.116142</v>
      </c>
      <c r="P106" s="18">
        <f>'AEO 2023 Table 49 Raw'!S94</f>
        <v>24.116114</v>
      </c>
      <c r="Q106" s="18">
        <f>'AEO 2023 Table 49 Raw'!T94</f>
        <v>24.116087</v>
      </c>
      <c r="R106" s="18">
        <f>'AEO 2023 Table 49 Raw'!U94</f>
        <v>24.116057999999999</v>
      </c>
      <c r="S106" s="18">
        <f>'AEO 2023 Table 49 Raw'!V94</f>
        <v>24.116029999999999</v>
      </c>
      <c r="T106" s="18">
        <f>'AEO 2023 Table 49 Raw'!W94</f>
        <v>24.116001000000001</v>
      </c>
      <c r="U106" s="18">
        <f>'AEO 2023 Table 49 Raw'!X94</f>
        <v>24.121918000000001</v>
      </c>
      <c r="V106" s="18">
        <f>'AEO 2023 Table 49 Raw'!Y94</f>
        <v>24.121894999999999</v>
      </c>
      <c r="W106" s="18">
        <f>'AEO 2023 Table 49 Raw'!Z94</f>
        <v>24.121870000000001</v>
      </c>
      <c r="X106" s="18">
        <f>'AEO 2023 Table 49 Raw'!AA94</f>
        <v>24.121849000000001</v>
      </c>
      <c r="Y106" s="18">
        <f>'AEO 2023 Table 49 Raw'!AB94</f>
        <v>24.121849000000001</v>
      </c>
      <c r="Z106" s="18">
        <f>'AEO 2023 Table 49 Raw'!AC94</f>
        <v>24.121849000000001</v>
      </c>
      <c r="AA106" s="18">
        <f>'AEO 2023 Table 49 Raw'!AD94</f>
        <v>24.121849000000001</v>
      </c>
      <c r="AB106" s="18">
        <f>'AEO 2023 Table 49 Raw'!AE94</f>
        <v>24.121849000000001</v>
      </c>
      <c r="AC106" s="18">
        <f>'AEO 2023 Table 49 Raw'!AF94</f>
        <v>24.121849000000001</v>
      </c>
      <c r="AD106" s="18">
        <f>'AEO 2023 Table 49 Raw'!AG94</f>
        <v>24.121849000000001</v>
      </c>
      <c r="AE106" s="18">
        <f>'AEO 2023 Table 49 Raw'!AH94</f>
        <v>24.121849000000001</v>
      </c>
      <c r="AF106" s="30">
        <f>'AEO 2023 Table 49 Raw'!AI94</f>
        <v>0</v>
      </c>
    </row>
    <row r="107" spans="1:32" ht="15" customHeight="1">
      <c r="A107" s="7" t="s">
        <v>830</v>
      </c>
      <c r="B107" s="16" t="s">
        <v>747</v>
      </c>
      <c r="C107" s="18">
        <f>'AEO 2023 Table 49 Raw'!F95</f>
        <v>0</v>
      </c>
      <c r="D107" s="18">
        <f>'AEO 2023 Table 49 Raw'!G95</f>
        <v>23.149602999999999</v>
      </c>
      <c r="E107" s="18">
        <f>'AEO 2023 Table 49 Raw'!H95</f>
        <v>23.472764999999999</v>
      </c>
      <c r="F107" s="18">
        <f>'AEO 2023 Table 49 Raw'!I95</f>
        <v>23.715693000000002</v>
      </c>
      <c r="G107" s="18">
        <f>'AEO 2023 Table 49 Raw'!J95</f>
        <v>23.940075</v>
      </c>
      <c r="H107" s="18">
        <f>'AEO 2023 Table 49 Raw'!K95</f>
        <v>24.190411000000001</v>
      </c>
      <c r="I107" s="18">
        <f>'AEO 2023 Table 49 Raw'!L95</f>
        <v>24.446352000000001</v>
      </c>
      <c r="J107" s="18">
        <f>'AEO 2023 Table 49 Raw'!M95</f>
        <v>24.748117000000001</v>
      </c>
      <c r="K107" s="18">
        <f>'AEO 2023 Table 49 Raw'!N95</f>
        <v>25.091992999999999</v>
      </c>
      <c r="L107" s="18">
        <f>'AEO 2023 Table 49 Raw'!O95</f>
        <v>25.473272000000001</v>
      </c>
      <c r="M107" s="18">
        <f>'AEO 2023 Table 49 Raw'!P95</f>
        <v>25.884830000000001</v>
      </c>
      <c r="N107" s="18">
        <f>'AEO 2023 Table 49 Raw'!Q95</f>
        <v>26.288961</v>
      </c>
      <c r="O107" s="18">
        <f>'AEO 2023 Table 49 Raw'!R95</f>
        <v>26.659797999999999</v>
      </c>
      <c r="P107" s="18">
        <f>'AEO 2023 Table 49 Raw'!S95</f>
        <v>26.990131000000002</v>
      </c>
      <c r="Q107" s="18">
        <f>'AEO 2023 Table 49 Raw'!T95</f>
        <v>27.284669999999998</v>
      </c>
      <c r="R107" s="18">
        <f>'AEO 2023 Table 49 Raw'!U95</f>
        <v>27.544640000000001</v>
      </c>
      <c r="S107" s="18">
        <f>'AEO 2023 Table 49 Raw'!V95</f>
        <v>27.771345</v>
      </c>
      <c r="T107" s="18">
        <f>'AEO 2023 Table 49 Raw'!W95</f>
        <v>27.966187000000001</v>
      </c>
      <c r="U107" s="18">
        <f>'AEO 2023 Table 49 Raw'!X95</f>
        <v>28.130445000000002</v>
      </c>
      <c r="V107" s="18">
        <f>'AEO 2023 Table 49 Raw'!Y95</f>
        <v>28.266403</v>
      </c>
      <c r="W107" s="18">
        <f>'AEO 2023 Table 49 Raw'!Z95</f>
        <v>28.382709999999999</v>
      </c>
      <c r="X107" s="18">
        <f>'AEO 2023 Table 49 Raw'!AA95</f>
        <v>28.481961999999999</v>
      </c>
      <c r="Y107" s="18">
        <f>'AEO 2023 Table 49 Raw'!AB95</f>
        <v>28.566258999999999</v>
      </c>
      <c r="Z107" s="18">
        <f>'AEO 2023 Table 49 Raw'!AC95</f>
        <v>28.638152999999999</v>
      </c>
      <c r="AA107" s="18">
        <f>'AEO 2023 Table 49 Raw'!AD95</f>
        <v>28.706033999999999</v>
      </c>
      <c r="AB107" s="18">
        <f>'AEO 2023 Table 49 Raw'!AE95</f>
        <v>28.767852999999999</v>
      </c>
      <c r="AC107" s="18">
        <f>'AEO 2023 Table 49 Raw'!AF95</f>
        <v>28.822959999999998</v>
      </c>
      <c r="AD107" s="18">
        <f>'AEO 2023 Table 49 Raw'!AG95</f>
        <v>28.87105</v>
      </c>
      <c r="AE107" s="18">
        <f>'AEO 2023 Table 49 Raw'!AH95</f>
        <v>28.912033000000001</v>
      </c>
      <c r="AF107" s="30" t="str">
        <f>'AEO 2023 Table 49 Raw'!AI95</f>
        <v>- -</v>
      </c>
    </row>
    <row r="108" spans="1:32" ht="15" customHeight="1">
      <c r="A108" s="7" t="s">
        <v>831</v>
      </c>
      <c r="B108" s="16" t="s">
        <v>749</v>
      </c>
      <c r="C108" s="18">
        <f>'AEO 2023 Table 49 Raw'!F96</f>
        <v>0</v>
      </c>
      <c r="D108" s="18">
        <f>'AEO 2023 Table 49 Raw'!G96</f>
        <v>18.966135000000001</v>
      </c>
      <c r="E108" s="18">
        <f>'AEO 2023 Table 49 Raw'!H96</f>
        <v>19.092039</v>
      </c>
      <c r="F108" s="18">
        <f>'AEO 2023 Table 49 Raw'!I96</f>
        <v>19.214801999999999</v>
      </c>
      <c r="G108" s="18">
        <f>'AEO 2023 Table 49 Raw'!J96</f>
        <v>19.305622</v>
      </c>
      <c r="H108" s="18">
        <f>'AEO 2023 Table 49 Raw'!K96</f>
        <v>19.397898000000001</v>
      </c>
      <c r="I108" s="18">
        <f>'AEO 2023 Table 49 Raw'!L96</f>
        <v>19.482711999999999</v>
      </c>
      <c r="J108" s="18">
        <f>'AEO 2023 Table 49 Raw'!M96</f>
        <v>19.577449999999999</v>
      </c>
      <c r="K108" s="18">
        <f>'AEO 2023 Table 49 Raw'!N96</f>
        <v>19.683924000000001</v>
      </c>
      <c r="L108" s="18">
        <f>'AEO 2023 Table 49 Raw'!O96</f>
        <v>19.801506</v>
      </c>
      <c r="M108" s="18">
        <f>'AEO 2023 Table 49 Raw'!P96</f>
        <v>19.927548999999999</v>
      </c>
      <c r="N108" s="18">
        <f>'AEO 2023 Table 49 Raw'!Q96</f>
        <v>20.055523000000001</v>
      </c>
      <c r="O108" s="18">
        <f>'AEO 2023 Table 49 Raw'!R96</f>
        <v>20.178999000000001</v>
      </c>
      <c r="P108" s="18">
        <f>'AEO 2023 Table 49 Raw'!S96</f>
        <v>20.292757000000002</v>
      </c>
      <c r="Q108" s="18">
        <f>'AEO 2023 Table 49 Raw'!T96</f>
        <v>20.398233000000001</v>
      </c>
      <c r="R108" s="18">
        <f>'AEO 2023 Table 49 Raw'!U96</f>
        <v>20.494122000000001</v>
      </c>
      <c r="S108" s="18">
        <f>'AEO 2023 Table 49 Raw'!V96</f>
        <v>20.578828999999999</v>
      </c>
      <c r="T108" s="18">
        <f>'AEO 2023 Table 49 Raw'!W96</f>
        <v>20.651620999999999</v>
      </c>
      <c r="U108" s="18">
        <f>'AEO 2023 Table 49 Raw'!X96</f>
        <v>20.712885</v>
      </c>
      <c r="V108" s="18">
        <f>'AEO 2023 Table 49 Raw'!Y96</f>
        <v>20.763338000000001</v>
      </c>
      <c r="W108" s="18">
        <f>'AEO 2023 Table 49 Raw'!Z96</f>
        <v>20.805949999999999</v>
      </c>
      <c r="X108" s="18">
        <f>'AEO 2023 Table 49 Raw'!AA96</f>
        <v>20.841664999999999</v>
      </c>
      <c r="Y108" s="18">
        <f>'AEO 2023 Table 49 Raw'!AB96</f>
        <v>20.871314999999999</v>
      </c>
      <c r="Z108" s="18">
        <f>'AEO 2023 Table 49 Raw'!AC96</f>
        <v>20.895990000000001</v>
      </c>
      <c r="AA108" s="18">
        <f>'AEO 2023 Table 49 Raw'!AD96</f>
        <v>20.918527999999998</v>
      </c>
      <c r="AB108" s="18">
        <f>'AEO 2023 Table 49 Raw'!AE96</f>
        <v>20.938431000000001</v>
      </c>
      <c r="AC108" s="18">
        <f>'AEO 2023 Table 49 Raw'!AF96</f>
        <v>20.955587000000001</v>
      </c>
      <c r="AD108" s="18">
        <f>'AEO 2023 Table 49 Raw'!AG96</f>
        <v>20.970182000000001</v>
      </c>
      <c r="AE108" s="18">
        <f>'AEO 2023 Table 49 Raw'!AH96</f>
        <v>20.982382000000001</v>
      </c>
      <c r="AF108" s="30" t="str">
        <f>'AEO 2023 Table 49 Raw'!AI96</f>
        <v>- -</v>
      </c>
    </row>
    <row r="109" spans="1:32" ht="15" customHeight="1">
      <c r="A109" s="7" t="s">
        <v>832</v>
      </c>
      <c r="B109" s="16" t="s">
        <v>751</v>
      </c>
      <c r="C109" s="18">
        <f>'AEO 2023 Table 49 Raw'!F97</f>
        <v>0</v>
      </c>
      <c r="D109" s="18">
        <f>'AEO 2023 Table 49 Raw'!G97</f>
        <v>0</v>
      </c>
      <c r="E109" s="18">
        <f>'AEO 2023 Table 49 Raw'!H97</f>
        <v>18.589188</v>
      </c>
      <c r="F109" s="18">
        <f>'AEO 2023 Table 49 Raw'!I97</f>
        <v>17.308316999999999</v>
      </c>
      <c r="G109" s="18">
        <f>'AEO 2023 Table 49 Raw'!J97</f>
        <v>16.941782</v>
      </c>
      <c r="H109" s="18">
        <f>'AEO 2023 Table 49 Raw'!K97</f>
        <v>16.756969000000002</v>
      </c>
      <c r="I109" s="18">
        <f>'AEO 2023 Table 49 Raw'!L97</f>
        <v>16.642426</v>
      </c>
      <c r="J109" s="18">
        <f>'AEO 2023 Table 49 Raw'!M97</f>
        <v>16.563610000000001</v>
      </c>
      <c r="K109" s="18">
        <f>'AEO 2023 Table 49 Raw'!N97</f>
        <v>16.506260000000001</v>
      </c>
      <c r="L109" s="18">
        <f>'AEO 2023 Table 49 Raw'!O97</f>
        <v>16.462553</v>
      </c>
      <c r="M109" s="18">
        <f>'AEO 2023 Table 49 Raw'!P97</f>
        <v>16.427906</v>
      </c>
      <c r="N109" s="18">
        <f>'AEO 2023 Table 49 Raw'!Q97</f>
        <v>16.400134999999999</v>
      </c>
      <c r="O109" s="18">
        <f>'AEO 2023 Table 49 Raw'!R97</f>
        <v>16.378022999999999</v>
      </c>
      <c r="P109" s="18">
        <f>'AEO 2023 Table 49 Raw'!S97</f>
        <v>16.360289000000002</v>
      </c>
      <c r="Q109" s="18">
        <f>'AEO 2023 Table 49 Raw'!T97</f>
        <v>16.346004000000001</v>
      </c>
      <c r="R109" s="18">
        <f>'AEO 2023 Table 49 Raw'!U97</f>
        <v>16.334526</v>
      </c>
      <c r="S109" s="18">
        <f>'AEO 2023 Table 49 Raw'!V97</f>
        <v>16.325377</v>
      </c>
      <c r="T109" s="18">
        <f>'AEO 2023 Table 49 Raw'!W97</f>
        <v>16.318187999999999</v>
      </c>
      <c r="U109" s="18">
        <f>'AEO 2023 Table 49 Raw'!X97</f>
        <v>16.312683</v>
      </c>
      <c r="V109" s="18">
        <f>'AEO 2023 Table 49 Raw'!Y97</f>
        <v>16.308593999999999</v>
      </c>
      <c r="W109" s="18">
        <f>'AEO 2023 Table 49 Raw'!Z97</f>
        <v>16.305630000000001</v>
      </c>
      <c r="X109" s="18">
        <f>'AEO 2023 Table 49 Raw'!AA97</f>
        <v>16.300325000000001</v>
      </c>
      <c r="Y109" s="18">
        <f>'AEO 2023 Table 49 Raw'!AB97</f>
        <v>16.295318999999999</v>
      </c>
      <c r="Z109" s="18">
        <f>'AEO 2023 Table 49 Raw'!AC97</f>
        <v>16.291018000000001</v>
      </c>
      <c r="AA109" s="18">
        <f>'AEO 2023 Table 49 Raw'!AD97</f>
        <v>16.287289000000001</v>
      </c>
      <c r="AB109" s="18">
        <f>'AEO 2023 Table 49 Raw'!AE97</f>
        <v>16.278582</v>
      </c>
      <c r="AC109" s="18">
        <f>'AEO 2023 Table 49 Raw'!AF97</f>
        <v>16.271843000000001</v>
      </c>
      <c r="AD109" s="18">
        <f>'AEO 2023 Table 49 Raw'!AG97</f>
        <v>16.266584000000002</v>
      </c>
      <c r="AE109" s="18">
        <f>'AEO 2023 Table 49 Raw'!AH97</f>
        <v>16.262445</v>
      </c>
      <c r="AF109" s="30" t="str">
        <f>'AEO 2023 Table 49 Raw'!AI97</f>
        <v>- -</v>
      </c>
    </row>
    <row r="110" spans="1:32" ht="15" customHeight="1">
      <c r="A110" s="7" t="s">
        <v>833</v>
      </c>
      <c r="B110" s="16" t="s">
        <v>834</v>
      </c>
      <c r="C110" s="18">
        <f>'AEO 2023 Table 49 Raw'!F98</f>
        <v>13.701715</v>
      </c>
      <c r="D110" s="18">
        <f>'AEO 2023 Table 49 Raw'!G98</f>
        <v>13.874705000000001</v>
      </c>
      <c r="E110" s="18">
        <f>'AEO 2023 Table 49 Raw'!H98</f>
        <v>14.09103</v>
      </c>
      <c r="F110" s="18">
        <f>'AEO 2023 Table 49 Raw'!I98</f>
        <v>14.350107</v>
      </c>
      <c r="G110" s="18">
        <f>'AEO 2023 Table 49 Raw'!J98</f>
        <v>14.627439000000001</v>
      </c>
      <c r="H110" s="18">
        <f>'AEO 2023 Table 49 Raw'!K98</f>
        <v>14.917809</v>
      </c>
      <c r="I110" s="18">
        <f>'AEO 2023 Table 49 Raw'!L98</f>
        <v>15.198219</v>
      </c>
      <c r="J110" s="18">
        <f>'AEO 2023 Table 49 Raw'!M98</f>
        <v>15.468105</v>
      </c>
      <c r="K110" s="18">
        <f>'AEO 2023 Table 49 Raw'!N98</f>
        <v>15.718248000000001</v>
      </c>
      <c r="L110" s="18">
        <f>'AEO 2023 Table 49 Raw'!O98</f>
        <v>15.950189</v>
      </c>
      <c r="M110" s="18">
        <f>'AEO 2023 Table 49 Raw'!P98</f>
        <v>16.164223</v>
      </c>
      <c r="N110" s="18">
        <f>'AEO 2023 Table 49 Raw'!Q98</f>
        <v>16.358761000000001</v>
      </c>
      <c r="O110" s="18">
        <f>'AEO 2023 Table 49 Raw'!R98</f>
        <v>16.530821</v>
      </c>
      <c r="P110" s="18">
        <f>'AEO 2023 Table 49 Raw'!S98</f>
        <v>16.684151</v>
      </c>
      <c r="Q110" s="18">
        <f>'AEO 2023 Table 49 Raw'!T98</f>
        <v>16.821214999999999</v>
      </c>
      <c r="R110" s="18">
        <f>'AEO 2023 Table 49 Raw'!U98</f>
        <v>16.944859000000001</v>
      </c>
      <c r="S110" s="18">
        <f>'AEO 2023 Table 49 Raw'!V98</f>
        <v>17.058762000000002</v>
      </c>
      <c r="T110" s="18">
        <f>'AEO 2023 Table 49 Raw'!W98</f>
        <v>17.163989999999998</v>
      </c>
      <c r="U110" s="18">
        <f>'AEO 2023 Table 49 Raw'!X98</f>
        <v>17.259305999999999</v>
      </c>
      <c r="V110" s="18">
        <f>'AEO 2023 Table 49 Raw'!Y98</f>
        <v>17.324244</v>
      </c>
      <c r="W110" s="18">
        <f>'AEO 2023 Table 49 Raw'!Z98</f>
        <v>17.380686000000001</v>
      </c>
      <c r="X110" s="18">
        <f>'AEO 2023 Table 49 Raw'!AA98</f>
        <v>17.429478</v>
      </c>
      <c r="Y110" s="18">
        <f>'AEO 2023 Table 49 Raw'!AB98</f>
        <v>17.467466000000002</v>
      </c>
      <c r="Z110" s="18">
        <f>'AEO 2023 Table 49 Raw'!AC98</f>
        <v>17.499217999999999</v>
      </c>
      <c r="AA110" s="18">
        <f>'AEO 2023 Table 49 Raw'!AD98</f>
        <v>17.525841</v>
      </c>
      <c r="AB110" s="18">
        <f>'AEO 2023 Table 49 Raw'!AE98</f>
        <v>17.548109</v>
      </c>
      <c r="AC110" s="18">
        <f>'AEO 2023 Table 49 Raw'!AF98</f>
        <v>17.567924000000001</v>
      </c>
      <c r="AD110" s="18">
        <f>'AEO 2023 Table 49 Raw'!AG98</f>
        <v>17.586690999999998</v>
      </c>
      <c r="AE110" s="18">
        <f>'AEO 2023 Table 49 Raw'!AH98</f>
        <v>17.603672</v>
      </c>
      <c r="AF110" s="30">
        <f>'AEO 2023 Table 49 Raw'!AI98</f>
        <v>8.9999999999999993E-3</v>
      </c>
    </row>
    <row r="111" spans="1:32" ht="15" customHeight="1">
      <c r="B111" s="15" t="s">
        <v>754</v>
      </c>
      <c r="C111" s="18"/>
      <c r="D111" s="18"/>
      <c r="E111" s="18"/>
      <c r="F111" s="18"/>
      <c r="G111" s="18"/>
      <c r="H111" s="18"/>
      <c r="I111" s="18"/>
      <c r="J111" s="18"/>
      <c r="K111" s="18"/>
      <c r="L111" s="18"/>
      <c r="M111" s="18"/>
      <c r="N111" s="18"/>
      <c r="O111" s="18"/>
      <c r="P111" s="18"/>
      <c r="Q111" s="18"/>
      <c r="R111" s="18"/>
      <c r="S111" s="18"/>
      <c r="T111" s="18"/>
      <c r="U111" s="18"/>
      <c r="V111" s="18"/>
      <c r="W111" s="18"/>
      <c r="X111" s="18"/>
      <c r="Y111" s="18"/>
      <c r="Z111" s="18"/>
      <c r="AA111" s="18"/>
      <c r="AB111" s="18"/>
      <c r="AC111" s="18"/>
      <c r="AD111" s="18"/>
      <c r="AE111" s="18"/>
      <c r="AF111" s="30"/>
    </row>
    <row r="112" spans="1:32" ht="15" customHeight="1">
      <c r="A112" s="7" t="s">
        <v>835</v>
      </c>
      <c r="B112" s="16" t="s">
        <v>736</v>
      </c>
      <c r="C112" s="18">
        <f>'AEO 2023 Table 49 Raw'!F100</f>
        <v>9.1881959999999996</v>
      </c>
      <c r="D112" s="18">
        <f>'AEO 2023 Table 49 Raw'!G100</f>
        <v>9.3360979999999998</v>
      </c>
      <c r="E112" s="18">
        <f>'AEO 2023 Table 49 Raw'!H100</f>
        <v>9.4993839999999992</v>
      </c>
      <c r="F112" s="18">
        <f>'AEO 2023 Table 49 Raw'!I100</f>
        <v>9.6925690000000007</v>
      </c>
      <c r="G112" s="18">
        <f>'AEO 2023 Table 49 Raw'!J100</f>
        <v>9.913354</v>
      </c>
      <c r="H112" s="18">
        <f>'AEO 2023 Table 49 Raw'!K100</f>
        <v>10.152265999999999</v>
      </c>
      <c r="I112" s="18">
        <f>'AEO 2023 Table 49 Raw'!L100</f>
        <v>10.389875</v>
      </c>
      <c r="J112" s="18">
        <f>'AEO 2023 Table 49 Raw'!M100</f>
        <v>10.634052000000001</v>
      </c>
      <c r="K112" s="18">
        <f>'AEO 2023 Table 49 Raw'!N100</f>
        <v>10.877926</v>
      </c>
      <c r="L112" s="18">
        <f>'AEO 2023 Table 49 Raw'!O100</f>
        <v>11.121212</v>
      </c>
      <c r="M112" s="18">
        <f>'AEO 2023 Table 49 Raw'!P100</f>
        <v>11.358387</v>
      </c>
      <c r="N112" s="18">
        <f>'AEO 2023 Table 49 Raw'!Q100</f>
        <v>11.582022</v>
      </c>
      <c r="O112" s="18">
        <f>'AEO 2023 Table 49 Raw'!R100</f>
        <v>11.788220000000001</v>
      </c>
      <c r="P112" s="18">
        <f>'AEO 2023 Table 49 Raw'!S100</f>
        <v>11.976482000000001</v>
      </c>
      <c r="Q112" s="18">
        <f>'AEO 2023 Table 49 Raw'!T100</f>
        <v>12.14776</v>
      </c>
      <c r="R112" s="18">
        <f>'AEO 2023 Table 49 Raw'!U100</f>
        <v>12.304593000000001</v>
      </c>
      <c r="S112" s="18">
        <f>'AEO 2023 Table 49 Raw'!V100</f>
        <v>12.450073</v>
      </c>
      <c r="T112" s="18">
        <f>'AEO 2023 Table 49 Raw'!W100</f>
        <v>12.585081000000001</v>
      </c>
      <c r="U112" s="18">
        <f>'AEO 2023 Table 49 Raw'!X100</f>
        <v>12.70984</v>
      </c>
      <c r="V112" s="18">
        <f>'AEO 2023 Table 49 Raw'!Y100</f>
        <v>12.825391</v>
      </c>
      <c r="W112" s="18">
        <f>'AEO 2023 Table 49 Raw'!Z100</f>
        <v>12.930717</v>
      </c>
      <c r="X112" s="18">
        <f>'AEO 2023 Table 49 Raw'!AA100</f>
        <v>13.021278000000001</v>
      </c>
      <c r="Y112" s="18">
        <f>'AEO 2023 Table 49 Raw'!AB100</f>
        <v>13.098618999999999</v>
      </c>
      <c r="Z112" s="18">
        <f>'AEO 2023 Table 49 Raw'!AC100</f>
        <v>13.167104999999999</v>
      </c>
      <c r="AA112" s="18">
        <f>'AEO 2023 Table 49 Raw'!AD100</f>
        <v>13.230903</v>
      </c>
      <c r="AB112" s="18">
        <f>'AEO 2023 Table 49 Raw'!AE100</f>
        <v>13.288655</v>
      </c>
      <c r="AC112" s="18">
        <f>'AEO 2023 Table 49 Raw'!AF100</f>
        <v>13.341359000000001</v>
      </c>
      <c r="AD112" s="18">
        <f>'AEO 2023 Table 49 Raw'!AG100</f>
        <v>13.391953000000001</v>
      </c>
      <c r="AE112" s="18">
        <f>'AEO 2023 Table 49 Raw'!AH100</f>
        <v>13.441268000000001</v>
      </c>
      <c r="AF112" s="30">
        <f>'AEO 2023 Table 49 Raw'!AI100</f>
        <v>1.4E-2</v>
      </c>
    </row>
    <row r="113" spans="1:32" ht="12" customHeight="1">
      <c r="A113" s="7" t="s">
        <v>836</v>
      </c>
      <c r="B113" s="16" t="s">
        <v>738</v>
      </c>
      <c r="C113" s="18">
        <f>'AEO 2023 Table 49 Raw'!F101</f>
        <v>6.7468120000000003</v>
      </c>
      <c r="D113" s="18">
        <f>'AEO 2023 Table 49 Raw'!G101</f>
        <v>6.8059729999999998</v>
      </c>
      <c r="E113" s="18">
        <f>'AEO 2023 Table 49 Raw'!H101</f>
        <v>6.873291</v>
      </c>
      <c r="F113" s="18">
        <f>'AEO 2023 Table 49 Raw'!I101</f>
        <v>6.9574809999999996</v>
      </c>
      <c r="G113" s="18">
        <f>'AEO 2023 Table 49 Raw'!J101</f>
        <v>7.0568479999999996</v>
      </c>
      <c r="H113" s="18">
        <f>'AEO 2023 Table 49 Raw'!K101</f>
        <v>7.1691409999999998</v>
      </c>
      <c r="I113" s="18">
        <f>'AEO 2023 Table 49 Raw'!L101</f>
        <v>7.2814930000000002</v>
      </c>
      <c r="J113" s="18">
        <f>'AEO 2023 Table 49 Raw'!M101</f>
        <v>7.3995740000000003</v>
      </c>
      <c r="K113" s="18">
        <f>'AEO 2023 Table 49 Raw'!N101</f>
        <v>7.5210590000000002</v>
      </c>
      <c r="L113" s="18">
        <f>'AEO 2023 Table 49 Raw'!O101</f>
        <v>7.6459349999999997</v>
      </c>
      <c r="M113" s="18">
        <f>'AEO 2023 Table 49 Raw'!P101</f>
        <v>7.7708170000000001</v>
      </c>
      <c r="N113" s="18">
        <f>'AEO 2023 Table 49 Raw'!Q101</f>
        <v>7.8944700000000001</v>
      </c>
      <c r="O113" s="18">
        <f>'AEO 2023 Table 49 Raw'!R101</f>
        <v>8.0109539999999999</v>
      </c>
      <c r="P113" s="18">
        <f>'AEO 2023 Table 49 Raw'!S101</f>
        <v>8.1219750000000008</v>
      </c>
      <c r="Q113" s="18">
        <f>'AEO 2023 Table 49 Raw'!T101</f>
        <v>8.2289169999999991</v>
      </c>
      <c r="R113" s="18">
        <f>'AEO 2023 Table 49 Raw'!U101</f>
        <v>8.3291719999999998</v>
      </c>
      <c r="S113" s="18">
        <f>'AEO 2023 Table 49 Raw'!V101</f>
        <v>8.4281629999999996</v>
      </c>
      <c r="T113" s="18">
        <f>'AEO 2023 Table 49 Raw'!W101</f>
        <v>8.5185870000000001</v>
      </c>
      <c r="U113" s="18">
        <f>'AEO 2023 Table 49 Raw'!X101</f>
        <v>8.6068610000000003</v>
      </c>
      <c r="V113" s="18">
        <f>'AEO 2023 Table 49 Raw'!Y101</f>
        <v>8.6880790000000001</v>
      </c>
      <c r="W113" s="18">
        <f>'AEO 2023 Table 49 Raw'!Z101</f>
        <v>8.7629099999999998</v>
      </c>
      <c r="X113" s="18">
        <f>'AEO 2023 Table 49 Raw'!AA101</f>
        <v>8.8294060000000005</v>
      </c>
      <c r="Y113" s="18">
        <f>'AEO 2023 Table 49 Raw'!AB101</f>
        <v>8.8887710000000002</v>
      </c>
      <c r="Z113" s="18">
        <f>'AEO 2023 Table 49 Raw'!AC101</f>
        <v>8.9441930000000003</v>
      </c>
      <c r="AA113" s="18">
        <f>'AEO 2023 Table 49 Raw'!AD101</f>
        <v>8.9965679999999999</v>
      </c>
      <c r="AB113" s="18">
        <f>'AEO 2023 Table 49 Raw'!AE101</f>
        <v>9.0463989999999992</v>
      </c>
      <c r="AC113" s="18">
        <f>'AEO 2023 Table 49 Raw'!AF101</f>
        <v>9.0921070000000004</v>
      </c>
      <c r="AD113" s="18">
        <f>'AEO 2023 Table 49 Raw'!AG101</f>
        <v>9.1344960000000004</v>
      </c>
      <c r="AE113" s="18">
        <f>'AEO 2023 Table 49 Raw'!AH101</f>
        <v>9.1756949999999993</v>
      </c>
      <c r="AF113" s="30">
        <f>'AEO 2023 Table 49 Raw'!AI101</f>
        <v>1.0999999999999999E-2</v>
      </c>
    </row>
    <row r="114" spans="1:32" ht="15" customHeight="1">
      <c r="A114" s="7" t="s">
        <v>837</v>
      </c>
      <c r="B114" s="16" t="s">
        <v>382</v>
      </c>
      <c r="C114" s="18">
        <f>'AEO 2023 Table 49 Raw'!F102</f>
        <v>6.6715020000000003</v>
      </c>
      <c r="D114" s="18">
        <f>'AEO 2023 Table 49 Raw'!G102</f>
        <v>6.7379670000000003</v>
      </c>
      <c r="E114" s="18">
        <f>'AEO 2023 Table 49 Raw'!H102</f>
        <v>6.8133189999999999</v>
      </c>
      <c r="F114" s="18">
        <f>'AEO 2023 Table 49 Raw'!I102</f>
        <v>6.9043219999999996</v>
      </c>
      <c r="G114" s="18">
        <f>'AEO 2023 Table 49 Raw'!J102</f>
        <v>7.014678</v>
      </c>
      <c r="H114" s="18">
        <f>'AEO 2023 Table 49 Raw'!K102</f>
        <v>7.1440590000000004</v>
      </c>
      <c r="I114" s="18">
        <f>'AEO 2023 Table 49 Raw'!L102</f>
        <v>7.2798879999999997</v>
      </c>
      <c r="J114" s="18">
        <f>'AEO 2023 Table 49 Raw'!M102</f>
        <v>7.4298159999999998</v>
      </c>
      <c r="K114" s="18">
        <f>'AEO 2023 Table 49 Raw'!N102</f>
        <v>7.5880369999999999</v>
      </c>
      <c r="L114" s="18">
        <f>'AEO 2023 Table 49 Raw'!O102</f>
        <v>7.754562</v>
      </c>
      <c r="M114" s="18">
        <f>'AEO 2023 Table 49 Raw'!P102</f>
        <v>7.9247709999999998</v>
      </c>
      <c r="N114" s="18">
        <f>'AEO 2023 Table 49 Raw'!Q102</f>
        <v>8.0899739999999998</v>
      </c>
      <c r="O114" s="18">
        <f>'AEO 2023 Table 49 Raw'!R102</f>
        <v>8.243411</v>
      </c>
      <c r="P114" s="18">
        <f>'AEO 2023 Table 49 Raw'!S102</f>
        <v>8.3951379999999993</v>
      </c>
      <c r="Q114" s="18">
        <f>'AEO 2023 Table 49 Raw'!T102</f>
        <v>8.5370089999999994</v>
      </c>
      <c r="R114" s="18">
        <f>'AEO 2023 Table 49 Raw'!U102</f>
        <v>8.6666539999999994</v>
      </c>
      <c r="S114" s="18">
        <f>'AEO 2023 Table 49 Raw'!V102</f>
        <v>8.7836040000000004</v>
      </c>
      <c r="T114" s="18">
        <f>'AEO 2023 Table 49 Raw'!W102</f>
        <v>8.8865029999999994</v>
      </c>
      <c r="U114" s="18">
        <f>'AEO 2023 Table 49 Raw'!X102</f>
        <v>8.9737419999999997</v>
      </c>
      <c r="V114" s="18">
        <f>'AEO 2023 Table 49 Raw'!Y102</f>
        <v>9.0449629999999992</v>
      </c>
      <c r="W114" s="18">
        <f>'AEO 2023 Table 49 Raw'!Z102</f>
        <v>9.1032170000000008</v>
      </c>
      <c r="X114" s="18">
        <f>'AEO 2023 Table 49 Raw'!AA102</f>
        <v>9.1507470000000009</v>
      </c>
      <c r="Y114" s="18">
        <f>'AEO 2023 Table 49 Raw'!AB102</f>
        <v>9.1891639999999999</v>
      </c>
      <c r="Z114" s="18">
        <f>'AEO 2023 Table 49 Raw'!AC102</f>
        <v>9.2199039999999997</v>
      </c>
      <c r="AA114" s="18">
        <f>'AEO 2023 Table 49 Raw'!AD102</f>
        <v>9.2445839999999997</v>
      </c>
      <c r="AB114" s="18">
        <f>'AEO 2023 Table 49 Raw'!AE102</f>
        <v>9.2646040000000003</v>
      </c>
      <c r="AC114" s="18">
        <f>'AEO 2023 Table 49 Raw'!AF102</f>
        <v>9.2811260000000004</v>
      </c>
      <c r="AD114" s="18">
        <f>'AEO 2023 Table 49 Raw'!AG102</f>
        <v>9.3066549999999992</v>
      </c>
      <c r="AE114" s="18">
        <f>'AEO 2023 Table 49 Raw'!AH102</f>
        <v>9.3273050000000008</v>
      </c>
      <c r="AF114" s="30">
        <f>'AEO 2023 Table 49 Raw'!AI102</f>
        <v>1.2E-2</v>
      </c>
    </row>
    <row r="115" spans="1:32" ht="15" customHeight="1">
      <c r="A115" s="7" t="s">
        <v>838</v>
      </c>
      <c r="B115" s="16" t="s">
        <v>741</v>
      </c>
      <c r="C115" s="18">
        <f>'AEO 2023 Table 49 Raw'!F103</f>
        <v>6.6810460000000003</v>
      </c>
      <c r="D115" s="18">
        <f>'AEO 2023 Table 49 Raw'!G103</f>
        <v>6.7347700000000001</v>
      </c>
      <c r="E115" s="18">
        <f>'AEO 2023 Table 49 Raw'!H103</f>
        <v>6.7912619999999997</v>
      </c>
      <c r="F115" s="18">
        <f>'AEO 2023 Table 49 Raw'!I103</f>
        <v>6.8525619999999998</v>
      </c>
      <c r="G115" s="18">
        <f>'AEO 2023 Table 49 Raw'!J103</f>
        <v>6.9165469999999996</v>
      </c>
      <c r="H115" s="18">
        <f>'AEO 2023 Table 49 Raw'!K103</f>
        <v>6.9814170000000004</v>
      </c>
      <c r="I115" s="18">
        <f>'AEO 2023 Table 49 Raw'!L103</f>
        <v>7.0393889999999999</v>
      </c>
      <c r="J115" s="18">
        <f>'AEO 2023 Table 49 Raw'!M103</f>
        <v>7.0962230000000002</v>
      </c>
      <c r="K115" s="18">
        <f>'AEO 2023 Table 49 Raw'!N103</f>
        <v>7.1518350000000002</v>
      </c>
      <c r="L115" s="18">
        <f>'AEO 2023 Table 49 Raw'!O103</f>
        <v>7.2026159999999999</v>
      </c>
      <c r="M115" s="18">
        <f>'AEO 2023 Table 49 Raw'!P103</f>
        <v>7.2466290000000004</v>
      </c>
      <c r="N115" s="18">
        <f>'AEO 2023 Table 49 Raw'!Q103</f>
        <v>7.2856579999999997</v>
      </c>
      <c r="O115" s="18">
        <f>'AEO 2023 Table 49 Raw'!R103</f>
        <v>7.3224910000000003</v>
      </c>
      <c r="P115" s="18">
        <f>'AEO 2023 Table 49 Raw'!S103</f>
        <v>7.3556160000000004</v>
      </c>
      <c r="Q115" s="18">
        <f>'AEO 2023 Table 49 Raw'!T103</f>
        <v>7.3862129999999997</v>
      </c>
      <c r="R115" s="18">
        <f>'AEO 2023 Table 49 Raw'!U103</f>
        <v>7.4103599999999998</v>
      </c>
      <c r="S115" s="18">
        <f>'AEO 2023 Table 49 Raw'!V103</f>
        <v>7.4297750000000002</v>
      </c>
      <c r="T115" s="18">
        <f>'AEO 2023 Table 49 Raw'!W103</f>
        <v>7.4391299999999996</v>
      </c>
      <c r="U115" s="18">
        <f>'AEO 2023 Table 49 Raw'!X103</f>
        <v>7.442882</v>
      </c>
      <c r="V115" s="18">
        <f>'AEO 2023 Table 49 Raw'!Y103</f>
        <v>7.4515510000000003</v>
      </c>
      <c r="W115" s="18">
        <f>'AEO 2023 Table 49 Raw'!Z103</f>
        <v>7.4542679999999999</v>
      </c>
      <c r="X115" s="18">
        <f>'AEO 2023 Table 49 Raw'!AA103</f>
        <v>7.4803759999999997</v>
      </c>
      <c r="Y115" s="18">
        <f>'AEO 2023 Table 49 Raw'!AB103</f>
        <v>7.5229039999999996</v>
      </c>
      <c r="Z115" s="18">
        <f>'AEO 2023 Table 49 Raw'!AC103</f>
        <v>7.5534239999999997</v>
      </c>
      <c r="AA115" s="18">
        <f>'AEO 2023 Table 49 Raw'!AD103</f>
        <v>7.5750149999999996</v>
      </c>
      <c r="AB115" s="18">
        <f>'AEO 2023 Table 49 Raw'!AE103</f>
        <v>7.614058</v>
      </c>
      <c r="AC115" s="18">
        <f>'AEO 2023 Table 49 Raw'!AF103</f>
        <v>7.6656029999999999</v>
      </c>
      <c r="AD115" s="18">
        <f>'AEO 2023 Table 49 Raw'!AG103</f>
        <v>7.7196670000000003</v>
      </c>
      <c r="AE115" s="18">
        <f>'AEO 2023 Table 49 Raw'!AH103</f>
        <v>7.767271</v>
      </c>
      <c r="AF115" s="30">
        <f>'AEO 2023 Table 49 Raw'!AI103</f>
        <v>5.0000000000000001E-3</v>
      </c>
    </row>
    <row r="116" spans="1:32" ht="15" customHeight="1">
      <c r="A116" s="7" t="s">
        <v>839</v>
      </c>
      <c r="B116" s="16" t="s">
        <v>743</v>
      </c>
      <c r="C116" s="18">
        <f>'AEO 2023 Table 49 Raw'!F104</f>
        <v>6.8776599999999997</v>
      </c>
      <c r="D116" s="18">
        <f>'AEO 2023 Table 49 Raw'!G104</f>
        <v>6.9464769999999998</v>
      </c>
      <c r="E116" s="18">
        <f>'AEO 2023 Table 49 Raw'!H104</f>
        <v>7.0316939999999999</v>
      </c>
      <c r="F116" s="18">
        <f>'AEO 2023 Table 49 Raw'!I104</f>
        <v>7.1393779999999998</v>
      </c>
      <c r="G116" s="18">
        <f>'AEO 2023 Table 49 Raw'!J104</f>
        <v>7.2710100000000004</v>
      </c>
      <c r="H116" s="18">
        <f>'AEO 2023 Table 49 Raw'!K104</f>
        <v>7.4228050000000003</v>
      </c>
      <c r="I116" s="18">
        <f>'AEO 2023 Table 49 Raw'!L104</f>
        <v>7.5675879999999998</v>
      </c>
      <c r="J116" s="18">
        <f>'AEO 2023 Table 49 Raw'!M104</f>
        <v>7.7185959999999998</v>
      </c>
      <c r="K116" s="18">
        <f>'AEO 2023 Table 49 Raw'!N104</f>
        <v>7.868862</v>
      </c>
      <c r="L116" s="18">
        <f>'AEO 2023 Table 49 Raw'!O104</f>
        <v>8.0213760000000001</v>
      </c>
      <c r="M116" s="18">
        <f>'AEO 2023 Table 49 Raw'!P104</f>
        <v>8.1704209999999993</v>
      </c>
      <c r="N116" s="18">
        <f>'AEO 2023 Table 49 Raw'!Q104</f>
        <v>8.3122059999999998</v>
      </c>
      <c r="O116" s="18">
        <f>'AEO 2023 Table 49 Raw'!R104</f>
        <v>8.4322219999999994</v>
      </c>
      <c r="P116" s="18">
        <f>'AEO 2023 Table 49 Raw'!S104</f>
        <v>8.5384259999999994</v>
      </c>
      <c r="Q116" s="18">
        <f>'AEO 2023 Table 49 Raw'!T104</f>
        <v>8.6339450000000006</v>
      </c>
      <c r="R116" s="18">
        <f>'AEO 2023 Table 49 Raw'!U104</f>
        <v>8.7155539999999991</v>
      </c>
      <c r="S116" s="18">
        <f>'AEO 2023 Table 49 Raw'!V104</f>
        <v>8.7864950000000004</v>
      </c>
      <c r="T116" s="18">
        <f>'AEO 2023 Table 49 Raw'!W104</f>
        <v>8.8488640000000007</v>
      </c>
      <c r="U116" s="18">
        <f>'AEO 2023 Table 49 Raw'!X104</f>
        <v>8.8984299999999994</v>
      </c>
      <c r="V116" s="18">
        <f>'AEO 2023 Table 49 Raw'!Y104</f>
        <v>8.9431840000000005</v>
      </c>
      <c r="W116" s="18">
        <f>'AEO 2023 Table 49 Raw'!Z104</f>
        <v>8.9809140000000003</v>
      </c>
      <c r="X116" s="18">
        <f>'AEO 2023 Table 49 Raw'!AA104</f>
        <v>9.0129999999999999</v>
      </c>
      <c r="Y116" s="18">
        <f>'AEO 2023 Table 49 Raw'!AB104</f>
        <v>9.0410540000000008</v>
      </c>
      <c r="Z116" s="18">
        <f>'AEO 2023 Table 49 Raw'!AC104</f>
        <v>9.0654760000000003</v>
      </c>
      <c r="AA116" s="18">
        <f>'AEO 2023 Table 49 Raw'!AD104</f>
        <v>9.0876669999999997</v>
      </c>
      <c r="AB116" s="18">
        <f>'AEO 2023 Table 49 Raw'!AE104</f>
        <v>9.1082640000000001</v>
      </c>
      <c r="AC116" s="18">
        <f>'AEO 2023 Table 49 Raw'!AF104</f>
        <v>9.1278100000000002</v>
      </c>
      <c r="AD116" s="18">
        <f>'AEO 2023 Table 49 Raw'!AG104</f>
        <v>9.1450809999999993</v>
      </c>
      <c r="AE116" s="18">
        <f>'AEO 2023 Table 49 Raw'!AH104</f>
        <v>9.1601099999999995</v>
      </c>
      <c r="AF116" s="30">
        <f>'AEO 2023 Table 49 Raw'!AI104</f>
        <v>0.01</v>
      </c>
    </row>
    <row r="117" spans="1:32" ht="15" customHeight="1">
      <c r="A117" s="7" t="s">
        <v>840</v>
      </c>
      <c r="B117" s="16" t="s">
        <v>745</v>
      </c>
      <c r="C117" s="18">
        <f>'AEO 2023 Table 49 Raw'!F105</f>
        <v>17.408874999999998</v>
      </c>
      <c r="D117" s="18">
        <f>'AEO 2023 Table 49 Raw'!G105</f>
        <v>17.423165999999998</v>
      </c>
      <c r="E117" s="18">
        <f>'AEO 2023 Table 49 Raw'!H105</f>
        <v>17.482942999999999</v>
      </c>
      <c r="F117" s="18">
        <f>'AEO 2023 Table 49 Raw'!I105</f>
        <v>17.581129000000001</v>
      </c>
      <c r="G117" s="18">
        <f>'AEO 2023 Table 49 Raw'!J105</f>
        <v>17.712309000000001</v>
      </c>
      <c r="H117" s="18">
        <f>'AEO 2023 Table 49 Raw'!K105</f>
        <v>17.8626</v>
      </c>
      <c r="I117" s="18">
        <f>'AEO 2023 Table 49 Raw'!L105</f>
        <v>18.002521999999999</v>
      </c>
      <c r="J117" s="18">
        <f>'AEO 2023 Table 49 Raw'!M105</f>
        <v>18.150670999999999</v>
      </c>
      <c r="K117" s="18">
        <f>'AEO 2023 Table 49 Raw'!N105</f>
        <v>18.300470000000001</v>
      </c>
      <c r="L117" s="18">
        <f>'AEO 2023 Table 49 Raw'!O105</f>
        <v>18.449529999999999</v>
      </c>
      <c r="M117" s="18">
        <f>'AEO 2023 Table 49 Raw'!P105</f>
        <v>18.594228999999999</v>
      </c>
      <c r="N117" s="18">
        <f>'AEO 2023 Table 49 Raw'!Q105</f>
        <v>18.726381</v>
      </c>
      <c r="O117" s="18">
        <f>'AEO 2023 Table 49 Raw'!R105</f>
        <v>18.804873000000001</v>
      </c>
      <c r="P117" s="18">
        <f>'AEO 2023 Table 49 Raw'!S105</f>
        <v>18.890383</v>
      </c>
      <c r="Q117" s="18">
        <f>'AEO 2023 Table 49 Raw'!T105</f>
        <v>18.995626000000001</v>
      </c>
      <c r="R117" s="18">
        <f>'AEO 2023 Table 49 Raw'!U105</f>
        <v>19.084696000000001</v>
      </c>
      <c r="S117" s="18">
        <f>'AEO 2023 Table 49 Raw'!V105</f>
        <v>19.140737999999999</v>
      </c>
      <c r="T117" s="18">
        <f>'AEO 2023 Table 49 Raw'!W105</f>
        <v>19.18825</v>
      </c>
      <c r="U117" s="18">
        <f>'AEO 2023 Table 49 Raw'!X105</f>
        <v>19.252804000000001</v>
      </c>
      <c r="V117" s="18">
        <f>'AEO 2023 Table 49 Raw'!Y105</f>
        <v>19.303322000000001</v>
      </c>
      <c r="W117" s="18">
        <f>'AEO 2023 Table 49 Raw'!Z105</f>
        <v>19.341737999999999</v>
      </c>
      <c r="X117" s="18">
        <f>'AEO 2023 Table 49 Raw'!AA105</f>
        <v>19.371510000000001</v>
      </c>
      <c r="Y117" s="18">
        <f>'AEO 2023 Table 49 Raw'!AB105</f>
        <v>19.394907</v>
      </c>
      <c r="Z117" s="18">
        <f>'AEO 2023 Table 49 Raw'!AC105</f>
        <v>19.411966</v>
      </c>
      <c r="AA117" s="18">
        <f>'AEO 2023 Table 49 Raw'!AD105</f>
        <v>19.423490999999999</v>
      </c>
      <c r="AB117" s="18">
        <f>'AEO 2023 Table 49 Raw'!AE105</f>
        <v>19.433184000000001</v>
      </c>
      <c r="AC117" s="18">
        <f>'AEO 2023 Table 49 Raw'!AF105</f>
        <v>19.439589000000002</v>
      </c>
      <c r="AD117" s="18">
        <f>'AEO 2023 Table 49 Raw'!AG105</f>
        <v>19.397735999999998</v>
      </c>
      <c r="AE117" s="18">
        <f>'AEO 2023 Table 49 Raw'!AH105</f>
        <v>19.397739000000001</v>
      </c>
      <c r="AF117" s="30">
        <f>'AEO 2023 Table 49 Raw'!AI105</f>
        <v>4.0000000000000001E-3</v>
      </c>
    </row>
    <row r="118" spans="1:32" ht="15" customHeight="1">
      <c r="A118" s="7" t="s">
        <v>841</v>
      </c>
      <c r="B118" s="16" t="s">
        <v>747</v>
      </c>
      <c r="C118" s="18">
        <f>'AEO 2023 Table 49 Raw'!F106</f>
        <v>0</v>
      </c>
      <c r="D118" s="18">
        <f>'AEO 2023 Table 49 Raw'!G106</f>
        <v>0</v>
      </c>
      <c r="E118" s="18">
        <f>'AEO 2023 Table 49 Raw'!H106</f>
        <v>14.554</v>
      </c>
      <c r="F118" s="18">
        <f>'AEO 2023 Table 49 Raw'!I106</f>
        <v>14.824313999999999</v>
      </c>
      <c r="G118" s="18">
        <f>'AEO 2023 Table 49 Raw'!J106</f>
        <v>15.014953999999999</v>
      </c>
      <c r="H118" s="18">
        <f>'AEO 2023 Table 49 Raw'!K106</f>
        <v>15.212344999999999</v>
      </c>
      <c r="I118" s="18">
        <f>'AEO 2023 Table 49 Raw'!L106</f>
        <v>15.390496000000001</v>
      </c>
      <c r="J118" s="18">
        <f>'AEO 2023 Table 49 Raw'!M106</f>
        <v>15.579511999999999</v>
      </c>
      <c r="K118" s="18">
        <f>'AEO 2023 Table 49 Raw'!N106</f>
        <v>15.770977999999999</v>
      </c>
      <c r="L118" s="18">
        <f>'AEO 2023 Table 49 Raw'!O106</f>
        <v>15.972148000000001</v>
      </c>
      <c r="M118" s="18">
        <f>'AEO 2023 Table 49 Raw'!P106</f>
        <v>16.189619</v>
      </c>
      <c r="N118" s="18">
        <f>'AEO 2023 Table 49 Raw'!Q106</f>
        <v>16.420777999999999</v>
      </c>
      <c r="O118" s="18">
        <f>'AEO 2023 Table 49 Raw'!R106</f>
        <v>16.650421000000001</v>
      </c>
      <c r="P118" s="18">
        <f>'AEO 2023 Table 49 Raw'!S106</f>
        <v>16.858395000000002</v>
      </c>
      <c r="Q118" s="18">
        <f>'AEO 2023 Table 49 Raw'!T106</f>
        <v>17.062218000000001</v>
      </c>
      <c r="R118" s="18">
        <f>'AEO 2023 Table 49 Raw'!U106</f>
        <v>17.254933999999999</v>
      </c>
      <c r="S118" s="18">
        <f>'AEO 2023 Table 49 Raw'!V106</f>
        <v>17.42662</v>
      </c>
      <c r="T118" s="18">
        <f>'AEO 2023 Table 49 Raw'!W106</f>
        <v>17.578842000000002</v>
      </c>
      <c r="U118" s="18">
        <f>'AEO 2023 Table 49 Raw'!X106</f>
        <v>17.711262000000001</v>
      </c>
      <c r="V118" s="18">
        <f>'AEO 2023 Table 49 Raw'!Y106</f>
        <v>17.824017000000001</v>
      </c>
      <c r="W118" s="18">
        <f>'AEO 2023 Table 49 Raw'!Z106</f>
        <v>17.918346</v>
      </c>
      <c r="X118" s="18">
        <f>'AEO 2023 Table 49 Raw'!AA106</f>
        <v>18.007669</v>
      </c>
      <c r="Y118" s="18">
        <f>'AEO 2023 Table 49 Raw'!AB106</f>
        <v>18.082498999999999</v>
      </c>
      <c r="Z118" s="18">
        <f>'AEO 2023 Table 49 Raw'!AC106</f>
        <v>18.145136000000001</v>
      </c>
      <c r="AA118" s="18">
        <f>'AEO 2023 Table 49 Raw'!AD106</f>
        <v>18.197275000000001</v>
      </c>
      <c r="AB118" s="18">
        <f>'AEO 2023 Table 49 Raw'!AE106</f>
        <v>18.241306000000002</v>
      </c>
      <c r="AC118" s="18">
        <f>'AEO 2023 Table 49 Raw'!AF106</f>
        <v>18.278448000000001</v>
      </c>
      <c r="AD118" s="18">
        <f>'AEO 2023 Table 49 Raw'!AG106</f>
        <v>18.293972</v>
      </c>
      <c r="AE118" s="18">
        <f>'AEO 2023 Table 49 Raw'!AH106</f>
        <v>18.307734</v>
      </c>
      <c r="AF118" s="30" t="str">
        <f>'AEO 2023 Table 49 Raw'!AI106</f>
        <v>- -</v>
      </c>
    </row>
    <row r="119" spans="1:32" ht="15" customHeight="1">
      <c r="A119" s="7" t="s">
        <v>842</v>
      </c>
      <c r="B119" s="16" t="s">
        <v>749</v>
      </c>
      <c r="C119" s="18">
        <f>'AEO 2023 Table 49 Raw'!F107</f>
        <v>0</v>
      </c>
      <c r="D119" s="18">
        <f>'AEO 2023 Table 49 Raw'!G107</f>
        <v>0</v>
      </c>
      <c r="E119" s="18">
        <f>'AEO 2023 Table 49 Raw'!H107</f>
        <v>10.500056000000001</v>
      </c>
      <c r="F119" s="18">
        <f>'AEO 2023 Table 49 Raw'!I107</f>
        <v>10.663458</v>
      </c>
      <c r="G119" s="18">
        <f>'AEO 2023 Table 49 Raw'!J107</f>
        <v>10.770956</v>
      </c>
      <c r="H119" s="18">
        <f>'AEO 2023 Table 49 Raw'!K107</f>
        <v>10.877931</v>
      </c>
      <c r="I119" s="18">
        <f>'AEO 2023 Table 49 Raw'!L107</f>
        <v>10.974544</v>
      </c>
      <c r="J119" s="18">
        <f>'AEO 2023 Table 49 Raw'!M107</f>
        <v>11.080019</v>
      </c>
      <c r="K119" s="18">
        <f>'AEO 2023 Table 49 Raw'!N107</f>
        <v>11.197202000000001</v>
      </c>
      <c r="L119" s="18">
        <f>'AEO 2023 Table 49 Raw'!O107</f>
        <v>11.329388</v>
      </c>
      <c r="M119" s="18">
        <f>'AEO 2023 Table 49 Raw'!P107</f>
        <v>11.479568</v>
      </c>
      <c r="N119" s="18">
        <f>'AEO 2023 Table 49 Raw'!Q107</f>
        <v>11.645052</v>
      </c>
      <c r="O119" s="18">
        <f>'AEO 2023 Table 49 Raw'!R107</f>
        <v>11.816371</v>
      </c>
      <c r="P119" s="18">
        <f>'AEO 2023 Table 49 Raw'!S107</f>
        <v>11.969814</v>
      </c>
      <c r="Q119" s="18">
        <f>'AEO 2023 Table 49 Raw'!T107</f>
        <v>12.12377</v>
      </c>
      <c r="R119" s="18">
        <f>'AEO 2023 Table 49 Raw'!U107</f>
        <v>12.271343999999999</v>
      </c>
      <c r="S119" s="18">
        <f>'AEO 2023 Table 49 Raw'!V107</f>
        <v>12.403601</v>
      </c>
      <c r="T119" s="18">
        <f>'AEO 2023 Table 49 Raw'!W107</f>
        <v>12.520307000000001</v>
      </c>
      <c r="U119" s="18">
        <f>'AEO 2023 Table 49 Raw'!X107</f>
        <v>12.620941</v>
      </c>
      <c r="V119" s="18">
        <f>'AEO 2023 Table 49 Raw'!Y107</f>
        <v>12.705432</v>
      </c>
      <c r="W119" s="18">
        <f>'AEO 2023 Table 49 Raw'!Z107</f>
        <v>12.774882</v>
      </c>
      <c r="X119" s="18">
        <f>'AEO 2023 Table 49 Raw'!AA107</f>
        <v>12.837982</v>
      </c>
      <c r="Y119" s="18">
        <f>'AEO 2023 Table 49 Raw'!AB107</f>
        <v>12.889324999999999</v>
      </c>
      <c r="Z119" s="18">
        <f>'AEO 2023 Table 49 Raw'!AC107</f>
        <v>12.930984</v>
      </c>
      <c r="AA119" s="18">
        <f>'AEO 2023 Table 49 Raw'!AD107</f>
        <v>12.964622</v>
      </c>
      <c r="AB119" s="18">
        <f>'AEO 2023 Table 49 Raw'!AE107</f>
        <v>12.991986000000001</v>
      </c>
      <c r="AC119" s="18">
        <f>'AEO 2023 Table 49 Raw'!AF107</f>
        <v>13.014219000000001</v>
      </c>
      <c r="AD119" s="18">
        <f>'AEO 2023 Table 49 Raw'!AG107</f>
        <v>13.032406</v>
      </c>
      <c r="AE119" s="18">
        <f>'AEO 2023 Table 49 Raw'!AH107</f>
        <v>13.047252</v>
      </c>
      <c r="AF119" s="30" t="str">
        <f>'AEO 2023 Table 49 Raw'!AI107</f>
        <v>- -</v>
      </c>
    </row>
    <row r="120" spans="1:32" ht="15" customHeight="1">
      <c r="A120" s="7" t="s">
        <v>843</v>
      </c>
      <c r="B120" s="16" t="s">
        <v>751</v>
      </c>
      <c r="C120" s="18">
        <f>'AEO 2023 Table 49 Raw'!F108</f>
        <v>0</v>
      </c>
      <c r="D120" s="18">
        <f>'AEO 2023 Table 49 Raw'!G108</f>
        <v>0</v>
      </c>
      <c r="E120" s="18">
        <f>'AEO 2023 Table 49 Raw'!H108</f>
        <v>11.516575</v>
      </c>
      <c r="F120" s="18">
        <f>'AEO 2023 Table 49 Raw'!I108</f>
        <v>11.516747000000001</v>
      </c>
      <c r="G120" s="18">
        <f>'AEO 2023 Table 49 Raw'!J108</f>
        <v>11.516781</v>
      </c>
      <c r="H120" s="18">
        <f>'AEO 2023 Table 49 Raw'!K108</f>
        <v>11.5168</v>
      </c>
      <c r="I120" s="18">
        <f>'AEO 2023 Table 49 Raw'!L108</f>
        <v>11.516813000000001</v>
      </c>
      <c r="J120" s="18">
        <f>'AEO 2023 Table 49 Raw'!M108</f>
        <v>11.516828</v>
      </c>
      <c r="K120" s="18">
        <f>'AEO 2023 Table 49 Raw'!N108</f>
        <v>11.516838999999999</v>
      </c>
      <c r="L120" s="18">
        <f>'AEO 2023 Table 49 Raw'!O108</f>
        <v>11.516855</v>
      </c>
      <c r="M120" s="18">
        <f>'AEO 2023 Table 49 Raw'!P108</f>
        <v>11.516870000000001</v>
      </c>
      <c r="N120" s="18">
        <f>'AEO 2023 Table 49 Raw'!Q108</f>
        <v>11.516885</v>
      </c>
      <c r="O120" s="18">
        <f>'AEO 2023 Table 49 Raw'!R108</f>
        <v>11.516895</v>
      </c>
      <c r="P120" s="18">
        <f>'AEO 2023 Table 49 Raw'!S108</f>
        <v>11.516905</v>
      </c>
      <c r="Q120" s="18">
        <f>'AEO 2023 Table 49 Raw'!T108</f>
        <v>11.516907</v>
      </c>
      <c r="R120" s="18">
        <f>'AEO 2023 Table 49 Raw'!U108</f>
        <v>11.516908000000001</v>
      </c>
      <c r="S120" s="18">
        <f>'AEO 2023 Table 49 Raw'!V108</f>
        <v>11.516905</v>
      </c>
      <c r="T120" s="18">
        <f>'AEO 2023 Table 49 Raw'!W108</f>
        <v>11.516905</v>
      </c>
      <c r="U120" s="18">
        <f>'AEO 2023 Table 49 Raw'!X108</f>
        <v>11.516899</v>
      </c>
      <c r="V120" s="18">
        <f>'AEO 2023 Table 49 Raw'!Y108</f>
        <v>11.516897999999999</v>
      </c>
      <c r="W120" s="18">
        <f>'AEO 2023 Table 49 Raw'!Z108</f>
        <v>11.516895999999999</v>
      </c>
      <c r="X120" s="18">
        <f>'AEO 2023 Table 49 Raw'!AA108</f>
        <v>11.516893</v>
      </c>
      <c r="Y120" s="18">
        <f>'AEO 2023 Table 49 Raw'!AB108</f>
        <v>11.516890999999999</v>
      </c>
      <c r="Z120" s="18">
        <f>'AEO 2023 Table 49 Raw'!AC108</f>
        <v>11.516890999999999</v>
      </c>
      <c r="AA120" s="18">
        <f>'AEO 2023 Table 49 Raw'!AD108</f>
        <v>11.51689</v>
      </c>
      <c r="AB120" s="18">
        <f>'AEO 2023 Table 49 Raw'!AE108</f>
        <v>11.516890999999999</v>
      </c>
      <c r="AC120" s="18">
        <f>'AEO 2023 Table 49 Raw'!AF108</f>
        <v>11.516887000000001</v>
      </c>
      <c r="AD120" s="18">
        <f>'AEO 2023 Table 49 Raw'!AG108</f>
        <v>11.516889000000001</v>
      </c>
      <c r="AE120" s="18">
        <f>'AEO 2023 Table 49 Raw'!AH108</f>
        <v>11.516883</v>
      </c>
      <c r="AF120" s="30" t="str">
        <f>'AEO 2023 Table 49 Raw'!AI108</f>
        <v>- -</v>
      </c>
    </row>
    <row r="121" spans="1:32" ht="15" customHeight="1">
      <c r="A121" s="7" t="s">
        <v>844</v>
      </c>
      <c r="B121" s="16" t="s">
        <v>845</v>
      </c>
      <c r="C121" s="18">
        <f>'AEO 2023 Table 49 Raw'!F109</f>
        <v>8.204955</v>
      </c>
      <c r="D121" s="18">
        <f>'AEO 2023 Table 49 Raw'!G109</f>
        <v>8.3157870000000003</v>
      </c>
      <c r="E121" s="18">
        <f>'AEO 2023 Table 49 Raw'!H109</f>
        <v>8.4378159999999998</v>
      </c>
      <c r="F121" s="18">
        <f>'AEO 2023 Table 49 Raw'!I109</f>
        <v>8.5862459999999992</v>
      </c>
      <c r="G121" s="18">
        <f>'AEO 2023 Table 49 Raw'!J109</f>
        <v>8.7571700000000003</v>
      </c>
      <c r="H121" s="18">
        <f>'AEO 2023 Table 49 Raw'!K109</f>
        <v>8.9445899999999998</v>
      </c>
      <c r="I121" s="18">
        <f>'AEO 2023 Table 49 Raw'!L109</f>
        <v>9.1308469999999993</v>
      </c>
      <c r="J121" s="18">
        <f>'AEO 2023 Table 49 Raw'!M109</f>
        <v>9.3225560000000005</v>
      </c>
      <c r="K121" s="18">
        <f>'AEO 2023 Table 49 Raw'!N109</f>
        <v>9.515466</v>
      </c>
      <c r="L121" s="18">
        <f>'AEO 2023 Table 49 Raw'!O109</f>
        <v>9.709721</v>
      </c>
      <c r="M121" s="18">
        <f>'AEO 2023 Table 49 Raw'!P109</f>
        <v>9.8998550000000005</v>
      </c>
      <c r="N121" s="18">
        <f>'AEO 2023 Table 49 Raw'!Q109</f>
        <v>10.082129999999999</v>
      </c>
      <c r="O121" s="18">
        <f>'AEO 2023 Table 49 Raw'!R109</f>
        <v>10.250633000000001</v>
      </c>
      <c r="P121" s="18">
        <f>'AEO 2023 Table 49 Raw'!S109</f>
        <v>10.406843</v>
      </c>
      <c r="Q121" s="18">
        <f>'AEO 2023 Table 49 Raw'!T109</f>
        <v>10.553023</v>
      </c>
      <c r="R121" s="18">
        <f>'AEO 2023 Table 49 Raw'!U109</f>
        <v>10.687296</v>
      </c>
      <c r="S121" s="18">
        <f>'AEO 2023 Table 49 Raw'!V109</f>
        <v>10.81714</v>
      </c>
      <c r="T121" s="18">
        <f>'AEO 2023 Table 49 Raw'!W109</f>
        <v>10.934727000000001</v>
      </c>
      <c r="U121" s="18">
        <f>'AEO 2023 Table 49 Raw'!X109</f>
        <v>11.047109000000001</v>
      </c>
      <c r="V121" s="18">
        <f>'AEO 2023 Table 49 Raw'!Y109</f>
        <v>11.14997</v>
      </c>
      <c r="W121" s="18">
        <f>'AEO 2023 Table 49 Raw'!Z109</f>
        <v>11.243423</v>
      </c>
      <c r="X121" s="18">
        <f>'AEO 2023 Table 49 Raw'!AA109</f>
        <v>11.324615</v>
      </c>
      <c r="Y121" s="18">
        <f>'AEO 2023 Table 49 Raw'!AB109</f>
        <v>11.395239</v>
      </c>
      <c r="Z121" s="18">
        <f>'AEO 2023 Table 49 Raw'!AC109</f>
        <v>11.459415999999999</v>
      </c>
      <c r="AA121" s="18">
        <f>'AEO 2023 Table 49 Raw'!AD109</f>
        <v>11.519515999999999</v>
      </c>
      <c r="AB121" s="18">
        <f>'AEO 2023 Table 49 Raw'!AE109</f>
        <v>11.575438999999999</v>
      </c>
      <c r="AC121" s="18">
        <f>'AEO 2023 Table 49 Raw'!AF109</f>
        <v>11.626836000000001</v>
      </c>
      <c r="AD121" s="18">
        <f>'AEO 2023 Table 49 Raw'!AG109</f>
        <v>11.675577000000001</v>
      </c>
      <c r="AE121" s="18">
        <f>'AEO 2023 Table 49 Raw'!AH109</f>
        <v>11.723552</v>
      </c>
      <c r="AF121" s="30">
        <f>'AEO 2023 Table 49 Raw'!AI109</f>
        <v>1.2999999999999999E-2</v>
      </c>
    </row>
    <row r="122" spans="1:32" ht="15" customHeight="1">
      <c r="B122" s="15" t="s">
        <v>766</v>
      </c>
      <c r="C122" s="18"/>
      <c r="D122" s="18"/>
      <c r="E122" s="18"/>
      <c r="F122" s="18"/>
      <c r="G122" s="18"/>
      <c r="H122" s="18"/>
      <c r="I122" s="18"/>
      <c r="J122" s="18"/>
      <c r="K122" s="18"/>
      <c r="L122" s="18"/>
      <c r="M122" s="18"/>
      <c r="N122" s="18"/>
      <c r="O122" s="18"/>
      <c r="P122" s="18"/>
      <c r="Q122" s="18"/>
      <c r="R122" s="18"/>
      <c r="S122" s="18"/>
      <c r="T122" s="18"/>
      <c r="U122" s="18"/>
      <c r="V122" s="18"/>
      <c r="W122" s="18"/>
      <c r="X122" s="18"/>
      <c r="Y122" s="18"/>
      <c r="Z122" s="18"/>
      <c r="AA122" s="18"/>
      <c r="AB122" s="18"/>
      <c r="AC122" s="18"/>
      <c r="AD122" s="18"/>
      <c r="AE122" s="18"/>
      <c r="AF122" s="30"/>
    </row>
    <row r="123" spans="1:32" ht="15" customHeight="1">
      <c r="A123" s="7" t="s">
        <v>846</v>
      </c>
      <c r="B123" s="16" t="s">
        <v>736</v>
      </c>
      <c r="C123" s="18">
        <f>'AEO 2023 Table 49 Raw'!F111</f>
        <v>6.1723790000000003</v>
      </c>
      <c r="D123" s="18">
        <f>'AEO 2023 Table 49 Raw'!G111</f>
        <v>6.2501629999999997</v>
      </c>
      <c r="E123" s="18">
        <f>'AEO 2023 Table 49 Raw'!H111</f>
        <v>6.3399929999999998</v>
      </c>
      <c r="F123" s="18">
        <f>'AEO 2023 Table 49 Raw'!I111</f>
        <v>6.4461300000000001</v>
      </c>
      <c r="G123" s="18">
        <f>'AEO 2023 Table 49 Raw'!J111</f>
        <v>6.5662589999999996</v>
      </c>
      <c r="H123" s="18">
        <f>'AEO 2023 Table 49 Raw'!K111</f>
        <v>6.6943140000000003</v>
      </c>
      <c r="I123" s="18">
        <f>'AEO 2023 Table 49 Raw'!L111</f>
        <v>6.819439</v>
      </c>
      <c r="J123" s="18">
        <f>'AEO 2023 Table 49 Raw'!M111</f>
        <v>6.9420869999999999</v>
      </c>
      <c r="K123" s="18">
        <f>'AEO 2023 Table 49 Raw'!N111</f>
        <v>7.0601950000000002</v>
      </c>
      <c r="L123" s="18">
        <f>'AEO 2023 Table 49 Raw'!O111</f>
        <v>7.17354</v>
      </c>
      <c r="M123" s="18">
        <f>'AEO 2023 Table 49 Raw'!P111</f>
        <v>7.2810879999999996</v>
      </c>
      <c r="N123" s="18">
        <f>'AEO 2023 Table 49 Raw'!Q111</f>
        <v>7.3780000000000001</v>
      </c>
      <c r="O123" s="18">
        <f>'AEO 2023 Table 49 Raw'!R111</f>
        <v>7.4628839999999999</v>
      </c>
      <c r="P123" s="18">
        <f>'AEO 2023 Table 49 Raw'!S111</f>
        <v>7.5364060000000004</v>
      </c>
      <c r="Q123" s="18">
        <f>'AEO 2023 Table 49 Raw'!T111</f>
        <v>7.6005079999999996</v>
      </c>
      <c r="R123" s="18">
        <f>'AEO 2023 Table 49 Raw'!U111</f>
        <v>7.6560259999999998</v>
      </c>
      <c r="S123" s="18">
        <f>'AEO 2023 Table 49 Raw'!V111</f>
        <v>7.7032790000000002</v>
      </c>
      <c r="T123" s="18">
        <f>'AEO 2023 Table 49 Raw'!W111</f>
        <v>7.7446919999999997</v>
      </c>
      <c r="U123" s="18">
        <f>'AEO 2023 Table 49 Raw'!X111</f>
        <v>7.7809039999999996</v>
      </c>
      <c r="V123" s="18">
        <f>'AEO 2023 Table 49 Raw'!Y111</f>
        <v>7.8134550000000003</v>
      </c>
      <c r="W123" s="18">
        <f>'AEO 2023 Table 49 Raw'!Z111</f>
        <v>7.840757</v>
      </c>
      <c r="X123" s="18">
        <f>'AEO 2023 Table 49 Raw'!AA111</f>
        <v>7.8643190000000001</v>
      </c>
      <c r="Y123" s="18">
        <f>'AEO 2023 Table 49 Raw'!AB111</f>
        <v>7.8844390000000004</v>
      </c>
      <c r="Z123" s="18">
        <f>'AEO 2023 Table 49 Raw'!AC111</f>
        <v>7.9019810000000001</v>
      </c>
      <c r="AA123" s="18">
        <f>'AEO 2023 Table 49 Raw'!AD111</f>
        <v>7.9185400000000001</v>
      </c>
      <c r="AB123" s="18">
        <f>'AEO 2023 Table 49 Raw'!AE111</f>
        <v>7.9343510000000004</v>
      </c>
      <c r="AC123" s="18">
        <f>'AEO 2023 Table 49 Raw'!AF111</f>
        <v>7.9497150000000003</v>
      </c>
      <c r="AD123" s="18">
        <f>'AEO 2023 Table 49 Raw'!AG111</f>
        <v>7.9657349999999996</v>
      </c>
      <c r="AE123" s="18">
        <f>'AEO 2023 Table 49 Raw'!AH111</f>
        <v>7.9823529999999998</v>
      </c>
      <c r="AF123" s="30">
        <f>'AEO 2023 Table 49 Raw'!AI111</f>
        <v>8.9999999999999993E-3</v>
      </c>
    </row>
    <row r="124" spans="1:32" ht="15" customHeight="1">
      <c r="A124" s="7" t="s">
        <v>847</v>
      </c>
      <c r="B124" s="16" t="s">
        <v>738</v>
      </c>
      <c r="C124" s="18">
        <f>'AEO 2023 Table 49 Raw'!F112</f>
        <v>5.5984280000000002</v>
      </c>
      <c r="D124" s="18">
        <f>'AEO 2023 Table 49 Raw'!G112</f>
        <v>5.6726150000000004</v>
      </c>
      <c r="E124" s="18">
        <f>'AEO 2023 Table 49 Raw'!H112</f>
        <v>5.7459030000000002</v>
      </c>
      <c r="F124" s="18">
        <f>'AEO 2023 Table 49 Raw'!I112</f>
        <v>5.8214740000000003</v>
      </c>
      <c r="G124" s="18">
        <f>'AEO 2023 Table 49 Raw'!J112</f>
        <v>5.8918400000000002</v>
      </c>
      <c r="H124" s="18">
        <f>'AEO 2023 Table 49 Raw'!K112</f>
        <v>5.9561289999999998</v>
      </c>
      <c r="I124" s="18">
        <f>'AEO 2023 Table 49 Raw'!L112</f>
        <v>6.0136279999999998</v>
      </c>
      <c r="J124" s="18">
        <f>'AEO 2023 Table 49 Raw'!M112</f>
        <v>6.0690499999999998</v>
      </c>
      <c r="K124" s="18">
        <f>'AEO 2023 Table 49 Raw'!N112</f>
        <v>6.118017</v>
      </c>
      <c r="L124" s="18">
        <f>'AEO 2023 Table 49 Raw'!O112</f>
        <v>6.1657859999999998</v>
      </c>
      <c r="M124" s="18">
        <f>'AEO 2023 Table 49 Raw'!P112</f>
        <v>6.2134349999999996</v>
      </c>
      <c r="N124" s="18">
        <f>'AEO 2023 Table 49 Raw'!Q112</f>
        <v>6.2599320000000001</v>
      </c>
      <c r="O124" s="18">
        <f>'AEO 2023 Table 49 Raw'!R112</f>
        <v>6.303585</v>
      </c>
      <c r="P124" s="18">
        <f>'AEO 2023 Table 49 Raw'!S112</f>
        <v>6.344659</v>
      </c>
      <c r="Q124" s="18">
        <f>'AEO 2023 Table 49 Raw'!T112</f>
        <v>6.3852739999999999</v>
      </c>
      <c r="R124" s="18">
        <f>'AEO 2023 Table 49 Raw'!U112</f>
        <v>6.4225329999999996</v>
      </c>
      <c r="S124" s="18">
        <f>'AEO 2023 Table 49 Raw'!V112</f>
        <v>6.4575469999999999</v>
      </c>
      <c r="T124" s="18">
        <f>'AEO 2023 Table 49 Raw'!W112</f>
        <v>6.4912130000000001</v>
      </c>
      <c r="U124" s="18">
        <f>'AEO 2023 Table 49 Raw'!X112</f>
        <v>6.5247510000000002</v>
      </c>
      <c r="V124" s="18">
        <f>'AEO 2023 Table 49 Raw'!Y112</f>
        <v>6.5534470000000002</v>
      </c>
      <c r="W124" s="18">
        <f>'AEO 2023 Table 49 Raw'!Z112</f>
        <v>6.581798</v>
      </c>
      <c r="X124" s="18">
        <f>'AEO 2023 Table 49 Raw'!AA112</f>
        <v>6.6093820000000001</v>
      </c>
      <c r="Y124" s="18">
        <f>'AEO 2023 Table 49 Raw'!AB112</f>
        <v>6.6344289999999999</v>
      </c>
      <c r="Z124" s="18">
        <f>'AEO 2023 Table 49 Raw'!AC112</f>
        <v>6.6536429999999998</v>
      </c>
      <c r="AA124" s="18">
        <f>'AEO 2023 Table 49 Raw'!AD112</f>
        <v>6.6694820000000004</v>
      </c>
      <c r="AB124" s="18">
        <f>'AEO 2023 Table 49 Raw'!AE112</f>
        <v>6.6825279999999996</v>
      </c>
      <c r="AC124" s="18">
        <f>'AEO 2023 Table 49 Raw'!AF112</f>
        <v>6.6931120000000002</v>
      </c>
      <c r="AD124" s="18">
        <f>'AEO 2023 Table 49 Raw'!AG112</f>
        <v>6.7021470000000001</v>
      </c>
      <c r="AE124" s="18">
        <f>'AEO 2023 Table 49 Raw'!AH112</f>
        <v>6.7094459999999998</v>
      </c>
      <c r="AF124" s="30">
        <f>'AEO 2023 Table 49 Raw'!AI112</f>
        <v>6.0000000000000001E-3</v>
      </c>
    </row>
    <row r="125" spans="1:32" ht="15" customHeight="1">
      <c r="A125" s="7" t="s">
        <v>848</v>
      </c>
      <c r="B125" s="16" t="s">
        <v>382</v>
      </c>
      <c r="C125" s="18">
        <f>'AEO 2023 Table 49 Raw'!F113</f>
        <v>6.0498820000000002</v>
      </c>
      <c r="D125" s="18">
        <f>'AEO 2023 Table 49 Raw'!G113</f>
        <v>6.0476359999999998</v>
      </c>
      <c r="E125" s="18">
        <f>'AEO 2023 Table 49 Raw'!H113</f>
        <v>6.0424569999999997</v>
      </c>
      <c r="F125" s="18">
        <f>'AEO 2023 Table 49 Raw'!I113</f>
        <v>6.041099</v>
      </c>
      <c r="G125" s="18">
        <f>'AEO 2023 Table 49 Raw'!J113</f>
        <v>6.0478569999999996</v>
      </c>
      <c r="H125" s="18">
        <f>'AEO 2023 Table 49 Raw'!K113</f>
        <v>6.0672699999999997</v>
      </c>
      <c r="I125" s="18">
        <f>'AEO 2023 Table 49 Raw'!L113</f>
        <v>6.0945150000000003</v>
      </c>
      <c r="J125" s="18">
        <f>'AEO 2023 Table 49 Raw'!M113</f>
        <v>6.1340960000000004</v>
      </c>
      <c r="K125" s="18">
        <f>'AEO 2023 Table 49 Raw'!N113</f>
        <v>6.1834110000000004</v>
      </c>
      <c r="L125" s="18">
        <f>'AEO 2023 Table 49 Raw'!O113</f>
        <v>6.2425569999999997</v>
      </c>
      <c r="M125" s="18">
        <f>'AEO 2023 Table 49 Raw'!P113</f>
        <v>6.3091400000000002</v>
      </c>
      <c r="N125" s="18">
        <f>'AEO 2023 Table 49 Raw'!Q113</f>
        <v>6.3769150000000003</v>
      </c>
      <c r="O125" s="18">
        <f>'AEO 2023 Table 49 Raw'!R113</f>
        <v>6.436153</v>
      </c>
      <c r="P125" s="18">
        <f>'AEO 2023 Table 49 Raw'!S113</f>
        <v>6.4858890000000002</v>
      </c>
      <c r="Q125" s="18">
        <f>'AEO 2023 Table 49 Raw'!T113</f>
        <v>6.5307510000000004</v>
      </c>
      <c r="R125" s="18">
        <f>'AEO 2023 Table 49 Raw'!U113</f>
        <v>6.5718370000000004</v>
      </c>
      <c r="S125" s="18">
        <f>'AEO 2023 Table 49 Raw'!V113</f>
        <v>6.6100839999999996</v>
      </c>
      <c r="T125" s="18">
        <f>'AEO 2023 Table 49 Raw'!W113</f>
        <v>6.6457499999999996</v>
      </c>
      <c r="U125" s="18">
        <f>'AEO 2023 Table 49 Raw'!X113</f>
        <v>6.6793750000000003</v>
      </c>
      <c r="V125" s="18">
        <f>'AEO 2023 Table 49 Raw'!Y113</f>
        <v>6.710102</v>
      </c>
      <c r="W125" s="18">
        <f>'AEO 2023 Table 49 Raw'!Z113</f>
        <v>6.7354380000000003</v>
      </c>
      <c r="X125" s="18">
        <f>'AEO 2023 Table 49 Raw'!AA113</f>
        <v>6.7577069999999999</v>
      </c>
      <c r="Y125" s="18">
        <f>'AEO 2023 Table 49 Raw'!AB113</f>
        <v>6.7769919999999999</v>
      </c>
      <c r="Z125" s="18">
        <f>'AEO 2023 Table 49 Raw'!AC113</f>
        <v>6.7934559999999999</v>
      </c>
      <c r="AA125" s="18">
        <f>'AEO 2023 Table 49 Raw'!AD113</f>
        <v>6.807423</v>
      </c>
      <c r="AB125" s="18">
        <f>'AEO 2023 Table 49 Raw'!AE113</f>
        <v>6.819178</v>
      </c>
      <c r="AC125" s="18">
        <f>'AEO 2023 Table 49 Raw'!AF113</f>
        <v>6.8295170000000001</v>
      </c>
      <c r="AD125" s="18">
        <f>'AEO 2023 Table 49 Raw'!AG113</f>
        <v>6.8410000000000002</v>
      </c>
      <c r="AE125" s="18">
        <f>'AEO 2023 Table 49 Raw'!AH113</f>
        <v>6.8538550000000003</v>
      </c>
      <c r="AF125" s="30">
        <f>'AEO 2023 Table 49 Raw'!AI113</f>
        <v>4.0000000000000001E-3</v>
      </c>
    </row>
    <row r="126" spans="1:32" ht="15" customHeight="1">
      <c r="A126" s="7" t="s">
        <v>849</v>
      </c>
      <c r="B126" s="16" t="s">
        <v>741</v>
      </c>
      <c r="C126" s="18">
        <f>'AEO 2023 Table 49 Raw'!F114</f>
        <v>5.9032150000000003</v>
      </c>
      <c r="D126" s="18">
        <f>'AEO 2023 Table 49 Raw'!G114</f>
        <v>5.971978</v>
      </c>
      <c r="E126" s="18">
        <f>'AEO 2023 Table 49 Raw'!H114</f>
        <v>6.0519489999999996</v>
      </c>
      <c r="F126" s="18">
        <f>'AEO 2023 Table 49 Raw'!I114</f>
        <v>6.1443570000000003</v>
      </c>
      <c r="G126" s="18">
        <f>'AEO 2023 Table 49 Raw'!J114</f>
        <v>6.2444309999999996</v>
      </c>
      <c r="H126" s="18">
        <f>'AEO 2023 Table 49 Raw'!K114</f>
        <v>6.3494830000000002</v>
      </c>
      <c r="I126" s="18">
        <f>'AEO 2023 Table 49 Raw'!L114</f>
        <v>6.4469339999999997</v>
      </c>
      <c r="J126" s="18">
        <f>'AEO 2023 Table 49 Raw'!M114</f>
        <v>6.5407650000000004</v>
      </c>
      <c r="K126" s="18">
        <f>'AEO 2023 Table 49 Raw'!N114</f>
        <v>6.631767</v>
      </c>
      <c r="L126" s="18">
        <f>'AEO 2023 Table 49 Raw'!O114</f>
        <v>6.721997</v>
      </c>
      <c r="M126" s="18">
        <f>'AEO 2023 Table 49 Raw'!P114</f>
        <v>6.8098879999999999</v>
      </c>
      <c r="N126" s="18">
        <f>'AEO 2023 Table 49 Raw'!Q114</f>
        <v>6.8910470000000004</v>
      </c>
      <c r="O126" s="18">
        <f>'AEO 2023 Table 49 Raw'!R114</f>
        <v>6.9637089999999997</v>
      </c>
      <c r="P126" s="18">
        <f>'AEO 2023 Table 49 Raw'!S114</f>
        <v>7.0280950000000004</v>
      </c>
      <c r="Q126" s="18">
        <f>'AEO 2023 Table 49 Raw'!T114</f>
        <v>7.0878100000000002</v>
      </c>
      <c r="R126" s="18">
        <f>'AEO 2023 Table 49 Raw'!U114</f>
        <v>7.1421640000000002</v>
      </c>
      <c r="S126" s="18">
        <f>'AEO 2023 Table 49 Raw'!V114</f>
        <v>7.191567</v>
      </c>
      <c r="T126" s="18">
        <f>'AEO 2023 Table 49 Raw'!W114</f>
        <v>7.2349160000000001</v>
      </c>
      <c r="U126" s="18">
        <f>'AEO 2023 Table 49 Raw'!X114</f>
        <v>7.271738</v>
      </c>
      <c r="V126" s="18">
        <f>'AEO 2023 Table 49 Raw'!Y114</f>
        <v>7.3024620000000002</v>
      </c>
      <c r="W126" s="18">
        <f>'AEO 2023 Table 49 Raw'!Z114</f>
        <v>7.3284010000000004</v>
      </c>
      <c r="X126" s="18">
        <f>'AEO 2023 Table 49 Raw'!AA114</f>
        <v>7.3514480000000004</v>
      </c>
      <c r="Y126" s="18">
        <f>'AEO 2023 Table 49 Raw'!AB114</f>
        <v>7.3716299999999997</v>
      </c>
      <c r="Z126" s="18">
        <f>'AEO 2023 Table 49 Raw'!AC114</f>
        <v>7.3894929999999999</v>
      </c>
      <c r="AA126" s="18">
        <f>'AEO 2023 Table 49 Raw'!AD114</f>
        <v>7.4061589999999997</v>
      </c>
      <c r="AB126" s="18">
        <f>'AEO 2023 Table 49 Raw'!AE114</f>
        <v>7.4215730000000004</v>
      </c>
      <c r="AC126" s="18">
        <f>'AEO 2023 Table 49 Raw'!AF114</f>
        <v>7.4374900000000004</v>
      </c>
      <c r="AD126" s="18">
        <f>'AEO 2023 Table 49 Raw'!AG114</f>
        <v>7.4537440000000004</v>
      </c>
      <c r="AE126" s="18">
        <f>'AEO 2023 Table 49 Raw'!AH114</f>
        <v>7.4693319999999996</v>
      </c>
      <c r="AF126" s="30">
        <f>'AEO 2023 Table 49 Raw'!AI114</f>
        <v>8.0000000000000002E-3</v>
      </c>
    </row>
    <row r="127" spans="1:32" ht="15" customHeight="1">
      <c r="A127" s="7" t="s">
        <v>850</v>
      </c>
      <c r="B127" s="16" t="s">
        <v>743</v>
      </c>
      <c r="C127" s="18">
        <f>'AEO 2023 Table 49 Raw'!F115</f>
        <v>0</v>
      </c>
      <c r="D127" s="18">
        <f>'AEO 2023 Table 49 Raw'!G115</f>
        <v>0</v>
      </c>
      <c r="E127" s="18">
        <f>'AEO 2023 Table 49 Raw'!H115</f>
        <v>0</v>
      </c>
      <c r="F127" s="18">
        <f>'AEO 2023 Table 49 Raw'!I115</f>
        <v>0</v>
      </c>
      <c r="G127" s="18">
        <f>'AEO 2023 Table 49 Raw'!J115</f>
        <v>0</v>
      </c>
      <c r="H127" s="18">
        <f>'AEO 2023 Table 49 Raw'!K115</f>
        <v>0</v>
      </c>
      <c r="I127" s="18">
        <f>'AEO 2023 Table 49 Raw'!L115</f>
        <v>0</v>
      </c>
      <c r="J127" s="18">
        <f>'AEO 2023 Table 49 Raw'!M115</f>
        <v>0</v>
      </c>
      <c r="K127" s="18">
        <f>'AEO 2023 Table 49 Raw'!N115</f>
        <v>0</v>
      </c>
      <c r="L127" s="18">
        <f>'AEO 2023 Table 49 Raw'!O115</f>
        <v>0</v>
      </c>
      <c r="M127" s="18">
        <f>'AEO 2023 Table 49 Raw'!P115</f>
        <v>0</v>
      </c>
      <c r="N127" s="18">
        <f>'AEO 2023 Table 49 Raw'!Q115</f>
        <v>0</v>
      </c>
      <c r="O127" s="18">
        <f>'AEO 2023 Table 49 Raw'!R115</f>
        <v>0</v>
      </c>
      <c r="P127" s="18">
        <f>'AEO 2023 Table 49 Raw'!S115</f>
        <v>0</v>
      </c>
      <c r="Q127" s="18">
        <f>'AEO 2023 Table 49 Raw'!T115</f>
        <v>0</v>
      </c>
      <c r="R127" s="18">
        <f>'AEO 2023 Table 49 Raw'!U115</f>
        <v>0</v>
      </c>
      <c r="S127" s="18">
        <f>'AEO 2023 Table 49 Raw'!V115</f>
        <v>0</v>
      </c>
      <c r="T127" s="18">
        <f>'AEO 2023 Table 49 Raw'!W115</f>
        <v>0</v>
      </c>
      <c r="U127" s="18">
        <f>'AEO 2023 Table 49 Raw'!X115</f>
        <v>0</v>
      </c>
      <c r="V127" s="18">
        <f>'AEO 2023 Table 49 Raw'!Y115</f>
        <v>0</v>
      </c>
      <c r="W127" s="18">
        <f>'AEO 2023 Table 49 Raw'!Z115</f>
        <v>0</v>
      </c>
      <c r="X127" s="18">
        <f>'AEO 2023 Table 49 Raw'!AA115</f>
        <v>0</v>
      </c>
      <c r="Y127" s="18">
        <f>'AEO 2023 Table 49 Raw'!AB115</f>
        <v>0</v>
      </c>
      <c r="Z127" s="18">
        <f>'AEO 2023 Table 49 Raw'!AC115</f>
        <v>0</v>
      </c>
      <c r="AA127" s="18">
        <f>'AEO 2023 Table 49 Raw'!AD115</f>
        <v>0</v>
      </c>
      <c r="AB127" s="18">
        <f>'AEO 2023 Table 49 Raw'!AE115</f>
        <v>0</v>
      </c>
      <c r="AC127" s="18">
        <f>'AEO 2023 Table 49 Raw'!AF115</f>
        <v>0</v>
      </c>
      <c r="AD127" s="18">
        <f>'AEO 2023 Table 49 Raw'!AG115</f>
        <v>0</v>
      </c>
      <c r="AE127" s="18">
        <f>'AEO 2023 Table 49 Raw'!AH115</f>
        <v>0</v>
      </c>
      <c r="AF127" s="30" t="str">
        <f>'AEO 2023 Table 49 Raw'!AI115</f>
        <v>- -</v>
      </c>
    </row>
    <row r="128" spans="1:32" ht="12" customHeight="1">
      <c r="A128" s="7" t="s">
        <v>851</v>
      </c>
      <c r="B128" s="16" t="s">
        <v>745</v>
      </c>
      <c r="C128" s="18">
        <f>'AEO 2023 Table 49 Raw'!F116</f>
        <v>12.530443</v>
      </c>
      <c r="D128" s="18">
        <f>'AEO 2023 Table 49 Raw'!G116</f>
        <v>12.264912000000001</v>
      </c>
      <c r="E128" s="18">
        <f>'AEO 2023 Table 49 Raw'!H116</f>
        <v>12.103764999999999</v>
      </c>
      <c r="F128" s="18">
        <f>'AEO 2023 Table 49 Raw'!I116</f>
        <v>11.988803000000001</v>
      </c>
      <c r="G128" s="18">
        <f>'AEO 2023 Table 49 Raw'!J116</f>
        <v>11.901937999999999</v>
      </c>
      <c r="H128" s="18">
        <f>'AEO 2023 Table 49 Raw'!K116</f>
        <v>11.834828</v>
      </c>
      <c r="I128" s="18">
        <f>'AEO 2023 Table 49 Raw'!L116</f>
        <v>11.776933</v>
      </c>
      <c r="J128" s="18">
        <f>'AEO 2023 Table 49 Raw'!M116</f>
        <v>11.728014999999999</v>
      </c>
      <c r="K128" s="18">
        <f>'AEO 2023 Table 49 Raw'!N116</f>
        <v>11.685517000000001</v>
      </c>
      <c r="L128" s="18">
        <f>'AEO 2023 Table 49 Raw'!O116</f>
        <v>11.647477</v>
      </c>
      <c r="M128" s="18">
        <f>'AEO 2023 Table 49 Raw'!P116</f>
        <v>11.613695</v>
      </c>
      <c r="N128" s="18">
        <f>'AEO 2023 Table 49 Raw'!Q116</f>
        <v>11.584943000000001</v>
      </c>
      <c r="O128" s="18">
        <f>'AEO 2023 Table 49 Raw'!R116</f>
        <v>11.563078000000001</v>
      </c>
      <c r="P128" s="18">
        <f>'AEO 2023 Table 49 Raw'!S116</f>
        <v>11.551143</v>
      </c>
      <c r="Q128" s="18">
        <f>'AEO 2023 Table 49 Raw'!T116</f>
        <v>11.538569000000001</v>
      </c>
      <c r="R128" s="18">
        <f>'AEO 2023 Table 49 Raw'!U116</f>
        <v>11.531321999999999</v>
      </c>
      <c r="S128" s="18">
        <f>'AEO 2023 Table 49 Raw'!V116</f>
        <v>11.536275</v>
      </c>
      <c r="T128" s="18">
        <f>'AEO 2023 Table 49 Raw'!W116</f>
        <v>11.546806</v>
      </c>
      <c r="U128" s="18">
        <f>'AEO 2023 Table 49 Raw'!X116</f>
        <v>11.540997000000001</v>
      </c>
      <c r="V128" s="18">
        <f>'AEO 2023 Table 49 Raw'!Y116</f>
        <v>11.546763</v>
      </c>
      <c r="W128" s="18">
        <f>'AEO 2023 Table 49 Raw'!Z116</f>
        <v>11.572368000000001</v>
      </c>
      <c r="X128" s="18">
        <f>'AEO 2023 Table 49 Raw'!AA116</f>
        <v>11.596401</v>
      </c>
      <c r="Y128" s="18">
        <f>'AEO 2023 Table 49 Raw'!AB116</f>
        <v>11.607893000000001</v>
      </c>
      <c r="Z128" s="18">
        <f>'AEO 2023 Table 49 Raw'!AC116</f>
        <v>11.616717</v>
      </c>
      <c r="AA128" s="18">
        <f>'AEO 2023 Table 49 Raw'!AD116</f>
        <v>11.623176000000001</v>
      </c>
      <c r="AB128" s="18">
        <f>'AEO 2023 Table 49 Raw'!AE116</f>
        <v>11.62772</v>
      </c>
      <c r="AC128" s="18">
        <f>'AEO 2023 Table 49 Raw'!AF116</f>
        <v>11.630972</v>
      </c>
      <c r="AD128" s="18">
        <f>'AEO 2023 Table 49 Raw'!AG116</f>
        <v>11.633329</v>
      </c>
      <c r="AE128" s="18">
        <f>'AEO 2023 Table 49 Raw'!AH116</f>
        <v>11.634862</v>
      </c>
      <c r="AF128" s="30">
        <f>'AEO 2023 Table 49 Raw'!AI116</f>
        <v>-3.0000000000000001E-3</v>
      </c>
    </row>
    <row r="129" spans="1:32" ht="12" customHeight="1">
      <c r="A129" s="7" t="s">
        <v>852</v>
      </c>
      <c r="B129" s="16" t="s">
        <v>747</v>
      </c>
      <c r="C129" s="18">
        <f>'AEO 2023 Table 49 Raw'!F117</f>
        <v>0</v>
      </c>
      <c r="D129" s="18">
        <f>'AEO 2023 Table 49 Raw'!G117</f>
        <v>0</v>
      </c>
      <c r="E129" s="18">
        <f>'AEO 2023 Table 49 Raw'!H117</f>
        <v>1.546092</v>
      </c>
      <c r="F129" s="18">
        <f>'AEO 2023 Table 49 Raw'!I117</f>
        <v>2.7360000000000002</v>
      </c>
      <c r="G129" s="18">
        <f>'AEO 2023 Table 49 Raw'!J117</f>
        <v>3.6467459999999998</v>
      </c>
      <c r="H129" s="18">
        <f>'AEO 2023 Table 49 Raw'!K117</f>
        <v>4.3527519999999997</v>
      </c>
      <c r="I129" s="18">
        <f>'AEO 2023 Table 49 Raw'!L117</f>
        <v>4.9220860000000002</v>
      </c>
      <c r="J129" s="18">
        <f>'AEO 2023 Table 49 Raw'!M117</f>
        <v>5.4007050000000003</v>
      </c>
      <c r="K129" s="18">
        <f>'AEO 2023 Table 49 Raw'!N117</f>
        <v>5.8205150000000003</v>
      </c>
      <c r="L129" s="18">
        <f>'AEO 2023 Table 49 Raw'!O117</f>
        <v>6.2095510000000003</v>
      </c>
      <c r="M129" s="18">
        <f>'AEO 2023 Table 49 Raw'!P117</f>
        <v>6.5909620000000002</v>
      </c>
      <c r="N129" s="18">
        <f>'AEO 2023 Table 49 Raw'!Q117</f>
        <v>6.9709329999999996</v>
      </c>
      <c r="O129" s="18">
        <f>'AEO 2023 Table 49 Raw'!R117</f>
        <v>7.346317</v>
      </c>
      <c r="P129" s="18">
        <f>'AEO 2023 Table 49 Raw'!S117</f>
        <v>7.7141799999999998</v>
      </c>
      <c r="Q129" s="18">
        <f>'AEO 2023 Table 49 Raw'!T117</f>
        <v>8.0825110000000002</v>
      </c>
      <c r="R129" s="18">
        <f>'AEO 2023 Table 49 Raw'!U117</f>
        <v>8.4473579999999995</v>
      </c>
      <c r="S129" s="18">
        <f>'AEO 2023 Table 49 Raw'!V117</f>
        <v>8.7964439999999993</v>
      </c>
      <c r="T129" s="18">
        <f>'AEO 2023 Table 49 Raw'!W117</f>
        <v>9.1181920000000005</v>
      </c>
      <c r="U129" s="18">
        <f>'AEO 2023 Table 49 Raw'!X117</f>
        <v>9.3973209999999998</v>
      </c>
      <c r="V129" s="18">
        <f>'AEO 2023 Table 49 Raw'!Y117</f>
        <v>9.6181850000000004</v>
      </c>
      <c r="W129" s="18">
        <f>'AEO 2023 Table 49 Raw'!Z117</f>
        <v>9.7676079999999992</v>
      </c>
      <c r="X129" s="18">
        <f>'AEO 2023 Table 49 Raw'!AA117</f>
        <v>9.9699349999999995</v>
      </c>
      <c r="Y129" s="18">
        <f>'AEO 2023 Table 49 Raw'!AB117</f>
        <v>10.181891</v>
      </c>
      <c r="Z129" s="18">
        <f>'AEO 2023 Table 49 Raw'!AC117</f>
        <v>10.318937999999999</v>
      </c>
      <c r="AA129" s="18">
        <f>'AEO 2023 Table 49 Raw'!AD117</f>
        <v>10.342834</v>
      </c>
      <c r="AB129" s="18">
        <f>'AEO 2023 Table 49 Raw'!AE117</f>
        <v>10.41</v>
      </c>
      <c r="AC129" s="18">
        <f>'AEO 2023 Table 49 Raw'!AF117</f>
        <v>10.469529</v>
      </c>
      <c r="AD129" s="18">
        <f>'AEO 2023 Table 49 Raw'!AG117</f>
        <v>10.522557000000001</v>
      </c>
      <c r="AE129" s="18">
        <f>'AEO 2023 Table 49 Raw'!AH117</f>
        <v>10.569413000000001</v>
      </c>
      <c r="AF129" s="30" t="str">
        <f>'AEO 2023 Table 49 Raw'!AI117</f>
        <v>- -</v>
      </c>
    </row>
    <row r="130" spans="1:32" ht="12" customHeight="1">
      <c r="A130" s="7" t="s">
        <v>853</v>
      </c>
      <c r="B130" s="16" t="s">
        <v>749</v>
      </c>
      <c r="C130" s="18">
        <f>'AEO 2023 Table 49 Raw'!F118</f>
        <v>0</v>
      </c>
      <c r="D130" s="18">
        <f>'AEO 2023 Table 49 Raw'!G118</f>
        <v>0</v>
      </c>
      <c r="E130" s="18">
        <f>'AEO 2023 Table 49 Raw'!H118</f>
        <v>1.4758230000000001</v>
      </c>
      <c r="F130" s="18">
        <f>'AEO 2023 Table 49 Raw'!I118</f>
        <v>2.6038709999999998</v>
      </c>
      <c r="G130" s="18">
        <f>'AEO 2023 Table 49 Raw'!J118</f>
        <v>3.4689930000000002</v>
      </c>
      <c r="H130" s="18">
        <f>'AEO 2023 Table 49 Raw'!K118</f>
        <v>4.1408490000000002</v>
      </c>
      <c r="I130" s="18">
        <f>'AEO 2023 Table 49 Raw'!L118</f>
        <v>4.6799150000000003</v>
      </c>
      <c r="J130" s="18">
        <f>'AEO 2023 Table 49 Raw'!M118</f>
        <v>5.131392</v>
      </c>
      <c r="K130" s="18">
        <f>'AEO 2023 Table 49 Raw'!N118</f>
        <v>5.5266799999999998</v>
      </c>
      <c r="L130" s="18">
        <f>'AEO 2023 Table 49 Raw'!O118</f>
        <v>5.8942059999999996</v>
      </c>
      <c r="M130" s="18">
        <f>'AEO 2023 Table 49 Raw'!P118</f>
        <v>6.2553999999999998</v>
      </c>
      <c r="N130" s="18">
        <f>'AEO 2023 Table 49 Raw'!Q118</f>
        <v>6.618671</v>
      </c>
      <c r="O130" s="18">
        <f>'AEO 2023 Table 49 Raw'!R118</f>
        <v>6.9812019999999997</v>
      </c>
      <c r="P130" s="18">
        <f>'AEO 2023 Table 49 Raw'!S118</f>
        <v>7.3429510000000002</v>
      </c>
      <c r="Q130" s="18">
        <f>'AEO 2023 Table 49 Raw'!T118</f>
        <v>7.7086709999999998</v>
      </c>
      <c r="R130" s="18">
        <f>'AEO 2023 Table 49 Raw'!U118</f>
        <v>8.0750270000000004</v>
      </c>
      <c r="S130" s="18">
        <f>'AEO 2023 Table 49 Raw'!V118</f>
        <v>8.4300040000000003</v>
      </c>
      <c r="T130" s="18">
        <f>'AEO 2023 Table 49 Raw'!W118</f>
        <v>8.7610109999999999</v>
      </c>
      <c r="U130" s="18">
        <f>'AEO 2023 Table 49 Raw'!X118</f>
        <v>9.0510110000000008</v>
      </c>
      <c r="V130" s="18">
        <f>'AEO 2023 Table 49 Raw'!Y118</f>
        <v>9.2813940000000006</v>
      </c>
      <c r="W130" s="18">
        <f>'AEO 2023 Table 49 Raw'!Z118</f>
        <v>9.4351839999999996</v>
      </c>
      <c r="X130" s="18">
        <f>'AEO 2023 Table 49 Raw'!AA118</f>
        <v>9.6532990000000005</v>
      </c>
      <c r="Y130" s="18">
        <f>'AEO 2023 Table 49 Raw'!AB118</f>
        <v>9.8873870000000004</v>
      </c>
      <c r="Z130" s="18">
        <f>'AEO 2023 Table 49 Raw'!AC118</f>
        <v>10.037898999999999</v>
      </c>
      <c r="AA130" s="18">
        <f>'AEO 2023 Table 49 Raw'!AD118</f>
        <v>10.055942999999999</v>
      </c>
      <c r="AB130" s="18">
        <f>'AEO 2023 Table 49 Raw'!AE118</f>
        <v>10.127402999999999</v>
      </c>
      <c r="AC130" s="18">
        <f>'AEO 2023 Table 49 Raw'!AF118</f>
        <v>10.190970999999999</v>
      </c>
      <c r="AD130" s="18">
        <f>'AEO 2023 Table 49 Raw'!AG118</f>
        <v>10.247705</v>
      </c>
      <c r="AE130" s="18">
        <f>'AEO 2023 Table 49 Raw'!AH118</f>
        <v>10.297942000000001</v>
      </c>
      <c r="AF130" s="30" t="str">
        <f>'AEO 2023 Table 49 Raw'!AI118</f>
        <v>- -</v>
      </c>
    </row>
    <row r="131" spans="1:32" ht="12" customHeight="1">
      <c r="A131" s="7" t="s">
        <v>854</v>
      </c>
      <c r="B131" s="16" t="s">
        <v>751</v>
      </c>
      <c r="C131" s="18">
        <f>'AEO 2023 Table 49 Raw'!F119</f>
        <v>0</v>
      </c>
      <c r="D131" s="18">
        <f>'AEO 2023 Table 49 Raw'!G119</f>
        <v>0</v>
      </c>
      <c r="E131" s="18">
        <f>'AEO 2023 Table 49 Raw'!H119</f>
        <v>7.1006340000000003</v>
      </c>
      <c r="F131" s="18">
        <f>'AEO 2023 Table 49 Raw'!I119</f>
        <v>7.1059159999999997</v>
      </c>
      <c r="G131" s="18">
        <f>'AEO 2023 Table 49 Raw'!J119</f>
        <v>7.1075530000000002</v>
      </c>
      <c r="H131" s="18">
        <f>'AEO 2023 Table 49 Raw'!K119</f>
        <v>7.1082619999999999</v>
      </c>
      <c r="I131" s="18">
        <f>'AEO 2023 Table 49 Raw'!L119</f>
        <v>7.108644</v>
      </c>
      <c r="J131" s="18">
        <f>'AEO 2023 Table 49 Raw'!M119</f>
        <v>7.1088389999999997</v>
      </c>
      <c r="K131" s="18">
        <f>'AEO 2023 Table 49 Raw'!N119</f>
        <v>7.1089120000000001</v>
      </c>
      <c r="L131" s="18">
        <f>'AEO 2023 Table 49 Raw'!O119</f>
        <v>7.10893</v>
      </c>
      <c r="M131" s="18">
        <f>'AEO 2023 Table 49 Raw'!P119</f>
        <v>7.1089359999999999</v>
      </c>
      <c r="N131" s="18">
        <f>'AEO 2023 Table 49 Raw'!Q119</f>
        <v>7.108943</v>
      </c>
      <c r="O131" s="18">
        <f>'AEO 2023 Table 49 Raw'!R119</f>
        <v>7.1089659999999997</v>
      </c>
      <c r="P131" s="18">
        <f>'AEO 2023 Table 49 Raw'!S119</f>
        <v>7.1090030000000004</v>
      </c>
      <c r="Q131" s="18">
        <f>'AEO 2023 Table 49 Raw'!T119</f>
        <v>7.1090530000000003</v>
      </c>
      <c r="R131" s="18">
        <f>'AEO 2023 Table 49 Raw'!U119</f>
        <v>7.1091139999999999</v>
      </c>
      <c r="S131" s="18">
        <f>'AEO 2023 Table 49 Raw'!V119</f>
        <v>7.1091860000000002</v>
      </c>
      <c r="T131" s="18">
        <f>'AEO 2023 Table 49 Raw'!W119</f>
        <v>7.1092690000000003</v>
      </c>
      <c r="U131" s="18">
        <f>'AEO 2023 Table 49 Raw'!X119</f>
        <v>7.1093650000000004</v>
      </c>
      <c r="V131" s="18">
        <f>'AEO 2023 Table 49 Raw'!Y119</f>
        <v>7.10947</v>
      </c>
      <c r="W131" s="18">
        <f>'AEO 2023 Table 49 Raw'!Z119</f>
        <v>7.1095860000000002</v>
      </c>
      <c r="X131" s="18">
        <f>'AEO 2023 Table 49 Raw'!AA119</f>
        <v>7.1097349999999997</v>
      </c>
      <c r="Y131" s="18">
        <f>'AEO 2023 Table 49 Raw'!AB119</f>
        <v>7.1099069999999998</v>
      </c>
      <c r="Z131" s="18">
        <f>'AEO 2023 Table 49 Raw'!AC119</f>
        <v>7.1100849999999998</v>
      </c>
      <c r="AA131" s="18">
        <f>'AEO 2023 Table 49 Raw'!AD119</f>
        <v>7.1102600000000002</v>
      </c>
      <c r="AB131" s="18">
        <f>'AEO 2023 Table 49 Raw'!AE119</f>
        <v>7.1104640000000003</v>
      </c>
      <c r="AC131" s="18">
        <f>'AEO 2023 Table 49 Raw'!AF119</f>
        <v>7.1106790000000002</v>
      </c>
      <c r="AD131" s="18">
        <f>'AEO 2023 Table 49 Raw'!AG119</f>
        <v>7.1109059999999999</v>
      </c>
      <c r="AE131" s="18">
        <f>'AEO 2023 Table 49 Raw'!AH119</f>
        <v>7.1111440000000004</v>
      </c>
      <c r="AF131" s="30" t="str">
        <f>'AEO 2023 Table 49 Raw'!AI119</f>
        <v>- -</v>
      </c>
    </row>
    <row r="132" spans="1:32" ht="12" customHeight="1">
      <c r="A132" s="7" t="s">
        <v>855</v>
      </c>
      <c r="B132" s="16" t="s">
        <v>856</v>
      </c>
      <c r="C132" s="18">
        <f>'AEO 2023 Table 49 Raw'!F120</f>
        <v>6.1685410000000003</v>
      </c>
      <c r="D132" s="18">
        <f>'AEO 2023 Table 49 Raw'!G120</f>
        <v>6.2461190000000002</v>
      </c>
      <c r="E132" s="18">
        <f>'AEO 2023 Table 49 Raw'!H120</f>
        <v>6.3357140000000003</v>
      </c>
      <c r="F132" s="18">
        <f>'AEO 2023 Table 49 Raw'!I120</f>
        <v>6.4415589999999998</v>
      </c>
      <c r="G132" s="18">
        <f>'AEO 2023 Table 49 Raw'!J120</f>
        <v>6.5613010000000003</v>
      </c>
      <c r="H132" s="18">
        <f>'AEO 2023 Table 49 Raw'!K120</f>
        <v>6.6889289999999999</v>
      </c>
      <c r="I132" s="18">
        <f>'AEO 2023 Table 49 Raw'!L120</f>
        <v>6.8135919999999999</v>
      </c>
      <c r="J132" s="18">
        <f>'AEO 2023 Table 49 Raw'!M120</f>
        <v>6.9357920000000002</v>
      </c>
      <c r="K132" s="18">
        <f>'AEO 2023 Table 49 Raw'!N120</f>
        <v>7.0534879999999998</v>
      </c>
      <c r="L132" s="18">
        <f>'AEO 2023 Table 49 Raw'!O120</f>
        <v>7.1664760000000003</v>
      </c>
      <c r="M132" s="18">
        <f>'AEO 2023 Table 49 Raw'!P120</f>
        <v>7.2736970000000003</v>
      </c>
      <c r="N132" s="18">
        <f>'AEO 2023 Table 49 Raw'!Q120</f>
        <v>7.3703019999999997</v>
      </c>
      <c r="O132" s="18">
        <f>'AEO 2023 Table 49 Raw'!R120</f>
        <v>7.4548839999999998</v>
      </c>
      <c r="P132" s="18">
        <f>'AEO 2023 Table 49 Raw'!S120</f>
        <v>7.5281099999999999</v>
      </c>
      <c r="Q132" s="18">
        <f>'AEO 2023 Table 49 Raw'!T120</f>
        <v>7.5919629999999998</v>
      </c>
      <c r="R132" s="18">
        <f>'AEO 2023 Table 49 Raw'!U120</f>
        <v>7.6472530000000001</v>
      </c>
      <c r="S132" s="18">
        <f>'AEO 2023 Table 49 Raw'!V120</f>
        <v>7.694312</v>
      </c>
      <c r="T132" s="18">
        <f>'AEO 2023 Table 49 Raw'!W120</f>
        <v>7.7355099999999997</v>
      </c>
      <c r="U132" s="18">
        <f>'AEO 2023 Table 49 Raw'!X120</f>
        <v>7.7714720000000002</v>
      </c>
      <c r="V132" s="18">
        <f>'AEO 2023 Table 49 Raw'!Y120</f>
        <v>7.8037029999999996</v>
      </c>
      <c r="W132" s="18">
        <f>'AEO 2023 Table 49 Raw'!Z120</f>
        <v>7.830692</v>
      </c>
      <c r="X132" s="18">
        <f>'AEO 2023 Table 49 Raw'!AA120</f>
        <v>7.8539320000000004</v>
      </c>
      <c r="Y132" s="18">
        <f>'AEO 2023 Table 49 Raw'!AB120</f>
        <v>7.87371</v>
      </c>
      <c r="Z132" s="18">
        <f>'AEO 2023 Table 49 Raw'!AC120</f>
        <v>7.8908800000000001</v>
      </c>
      <c r="AA132" s="18">
        <f>'AEO 2023 Table 49 Raw'!AD120</f>
        <v>7.9070320000000001</v>
      </c>
      <c r="AB132" s="18">
        <f>'AEO 2023 Table 49 Raw'!AE120</f>
        <v>7.922396</v>
      </c>
      <c r="AC132" s="18">
        <f>'AEO 2023 Table 49 Raw'!AF120</f>
        <v>7.9373050000000003</v>
      </c>
      <c r="AD132" s="18">
        <f>'AEO 2023 Table 49 Raw'!AG120</f>
        <v>7.9528379999999999</v>
      </c>
      <c r="AE132" s="18">
        <f>'AEO 2023 Table 49 Raw'!AH120</f>
        <v>7.9689120000000004</v>
      </c>
      <c r="AF132" s="30">
        <f>'AEO 2023 Table 49 Raw'!AI120</f>
        <v>8.9999999999999993E-3</v>
      </c>
    </row>
    <row r="133" spans="1:32" ht="12" customHeight="1">
      <c r="A133" s="7" t="s">
        <v>857</v>
      </c>
      <c r="B133" s="15" t="s">
        <v>858</v>
      </c>
      <c r="C133" s="18">
        <f>'AEO 2023 Table 49 Raw'!F121</f>
        <v>7.4737900000000002</v>
      </c>
      <c r="D133" s="18">
        <f>'AEO 2023 Table 49 Raw'!G121</f>
        <v>7.574878</v>
      </c>
      <c r="E133" s="18">
        <f>'AEO 2023 Table 49 Raw'!H121</f>
        <v>7.6960300000000004</v>
      </c>
      <c r="F133" s="18">
        <f>'AEO 2023 Table 49 Raw'!I121</f>
        <v>7.8354850000000003</v>
      </c>
      <c r="G133" s="18">
        <f>'AEO 2023 Table 49 Raw'!J121</f>
        <v>7.9866429999999999</v>
      </c>
      <c r="H133" s="18">
        <f>'AEO 2023 Table 49 Raw'!K121</f>
        <v>8.1451189999999993</v>
      </c>
      <c r="I133" s="18">
        <f>'AEO 2023 Table 49 Raw'!L121</f>
        <v>8.3001760000000004</v>
      </c>
      <c r="J133" s="18">
        <f>'AEO 2023 Table 49 Raw'!M121</f>
        <v>8.4559069999999998</v>
      </c>
      <c r="K133" s="18">
        <f>'AEO 2023 Table 49 Raw'!N121</f>
        <v>8.6109109999999998</v>
      </c>
      <c r="L133" s="18">
        <f>'AEO 2023 Table 49 Raw'!O121</f>
        <v>8.7645049999999998</v>
      </c>
      <c r="M133" s="18">
        <f>'AEO 2023 Table 49 Raw'!P121</f>
        <v>8.9144360000000002</v>
      </c>
      <c r="N133" s="18">
        <f>'AEO 2023 Table 49 Raw'!Q121</f>
        <v>9.0551460000000006</v>
      </c>
      <c r="O133" s="18">
        <f>'AEO 2023 Table 49 Raw'!R121</f>
        <v>9.1840910000000004</v>
      </c>
      <c r="P133" s="18">
        <f>'AEO 2023 Table 49 Raw'!S121</f>
        <v>9.3011660000000003</v>
      </c>
      <c r="Q133" s="18">
        <f>'AEO 2023 Table 49 Raw'!T121</f>
        <v>9.407648</v>
      </c>
      <c r="R133" s="18">
        <f>'AEO 2023 Table 49 Raw'!U121</f>
        <v>9.5034890000000001</v>
      </c>
      <c r="S133" s="18">
        <f>'AEO 2023 Table 49 Raw'!V121</f>
        <v>9.5894919999999999</v>
      </c>
      <c r="T133" s="18">
        <f>'AEO 2023 Table 49 Raw'!W121</f>
        <v>9.6682100000000002</v>
      </c>
      <c r="U133" s="18">
        <f>'AEO 2023 Table 49 Raw'!X121</f>
        <v>9.7415749999999992</v>
      </c>
      <c r="V133" s="18">
        <f>'AEO 2023 Table 49 Raw'!Y121</f>
        <v>9.8092579999999998</v>
      </c>
      <c r="W133" s="18">
        <f>'AEO 2023 Table 49 Raw'!Z121</f>
        <v>9.8708480000000005</v>
      </c>
      <c r="X133" s="18">
        <f>'AEO 2023 Table 49 Raw'!AA121</f>
        <v>9.9272620000000007</v>
      </c>
      <c r="Y133" s="18">
        <f>'AEO 2023 Table 49 Raw'!AB121</f>
        <v>9.9783410000000003</v>
      </c>
      <c r="Z133" s="18">
        <f>'AEO 2023 Table 49 Raw'!AC121</f>
        <v>10.026918999999999</v>
      </c>
      <c r="AA133" s="18">
        <f>'AEO 2023 Table 49 Raw'!AD121</f>
        <v>10.075530000000001</v>
      </c>
      <c r="AB133" s="18">
        <f>'AEO 2023 Table 49 Raw'!AE121</f>
        <v>10.123870999999999</v>
      </c>
      <c r="AC133" s="18">
        <f>'AEO 2023 Table 49 Raw'!AF121</f>
        <v>10.171478</v>
      </c>
      <c r="AD133" s="18">
        <f>'AEO 2023 Table 49 Raw'!AG121</f>
        <v>10.218241000000001</v>
      </c>
      <c r="AE133" s="18">
        <f>'AEO 2023 Table 49 Raw'!AH121</f>
        <v>10.264495</v>
      </c>
      <c r="AF133" s="30">
        <f>'AEO 2023 Table 49 Raw'!AI121</f>
        <v>1.0999999999999999E-2</v>
      </c>
    </row>
    <row r="134" spans="1:32" ht="12" customHeight="1">
      <c r="C134" s="18"/>
      <c r="D134" s="18"/>
      <c r="E134" s="18"/>
      <c r="F134" s="18"/>
      <c r="G134" s="18"/>
      <c r="H134" s="18"/>
      <c r="I134" s="18"/>
      <c r="J134" s="18"/>
      <c r="K134" s="18"/>
      <c r="L134" s="18"/>
      <c r="M134" s="18"/>
      <c r="N134" s="18"/>
      <c r="O134" s="18"/>
      <c r="P134" s="18"/>
      <c r="Q134" s="18"/>
      <c r="R134" s="18"/>
      <c r="S134" s="18"/>
      <c r="T134" s="18"/>
      <c r="U134" s="18"/>
      <c r="V134" s="18"/>
      <c r="W134" s="18"/>
      <c r="X134" s="18"/>
      <c r="Y134" s="18"/>
      <c r="Z134" s="18"/>
      <c r="AA134" s="18"/>
      <c r="AB134" s="18"/>
      <c r="AC134" s="18"/>
      <c r="AD134" s="18"/>
      <c r="AE134" s="18"/>
      <c r="AF134" s="30"/>
    </row>
    <row r="135" spans="1:32" ht="12" customHeight="1">
      <c r="B135" s="15" t="s">
        <v>859</v>
      </c>
      <c r="C135" s="18"/>
      <c r="D135" s="18"/>
      <c r="E135" s="18"/>
      <c r="F135" s="18"/>
      <c r="G135" s="18"/>
      <c r="H135" s="18"/>
      <c r="I135" s="18"/>
      <c r="J135" s="18"/>
      <c r="K135" s="18"/>
      <c r="L135" s="18"/>
      <c r="M135" s="18"/>
      <c r="N135" s="18"/>
      <c r="O135" s="18"/>
      <c r="P135" s="18"/>
      <c r="Q135" s="18"/>
      <c r="R135" s="18"/>
      <c r="S135" s="18"/>
      <c r="T135" s="18"/>
      <c r="U135" s="18"/>
      <c r="V135" s="18"/>
      <c r="W135" s="18"/>
      <c r="X135" s="18"/>
      <c r="Y135" s="18"/>
      <c r="Z135" s="18"/>
      <c r="AA135" s="18"/>
      <c r="AB135" s="18"/>
      <c r="AC135" s="18"/>
      <c r="AD135" s="18"/>
      <c r="AE135" s="18"/>
      <c r="AF135" s="30"/>
    </row>
    <row r="136" spans="1:32" ht="12" customHeight="1">
      <c r="B136" s="15" t="s">
        <v>734</v>
      </c>
      <c r="C136" s="18"/>
      <c r="D136" s="18"/>
      <c r="E136" s="18"/>
      <c r="F136" s="18"/>
      <c r="G136" s="18"/>
      <c r="H136" s="18"/>
      <c r="I136" s="18"/>
      <c r="J136" s="18"/>
      <c r="K136" s="18"/>
      <c r="L136" s="18"/>
      <c r="M136" s="18"/>
      <c r="N136" s="18"/>
      <c r="O136" s="18"/>
      <c r="P136" s="18"/>
      <c r="Q136" s="18"/>
      <c r="R136" s="18"/>
      <c r="S136" s="18"/>
      <c r="T136" s="18"/>
      <c r="U136" s="18"/>
      <c r="V136" s="18"/>
      <c r="W136" s="18"/>
      <c r="X136" s="18"/>
      <c r="Y136" s="18"/>
      <c r="Z136" s="18"/>
      <c r="AA136" s="18"/>
      <c r="AB136" s="18"/>
      <c r="AC136" s="18"/>
      <c r="AD136" s="18"/>
      <c r="AE136" s="18"/>
      <c r="AF136" s="30"/>
    </row>
    <row r="137" spans="1:32" ht="12" customHeight="1">
      <c r="A137" s="7" t="s">
        <v>860</v>
      </c>
      <c r="B137" s="16" t="s">
        <v>736</v>
      </c>
      <c r="C137" s="18">
        <f>'AEO 2023 Table 49 Raw'!F124</f>
        <v>3.015037</v>
      </c>
      <c r="D137" s="18">
        <f>'AEO 2023 Table 49 Raw'!G124</f>
        <v>3.08155</v>
      </c>
      <c r="E137" s="18">
        <f>'AEO 2023 Table 49 Raw'!H124</f>
        <v>3.1501079999999999</v>
      </c>
      <c r="F137" s="18">
        <f>'AEO 2023 Table 49 Raw'!I124</f>
        <v>3.2224620000000002</v>
      </c>
      <c r="G137" s="18">
        <f>'AEO 2023 Table 49 Raw'!J124</f>
        <v>3.2939560000000001</v>
      </c>
      <c r="H137" s="18">
        <f>'AEO 2023 Table 49 Raw'!K124</f>
        <v>3.3616600000000001</v>
      </c>
      <c r="I137" s="18">
        <f>'AEO 2023 Table 49 Raw'!L124</f>
        <v>3.427092</v>
      </c>
      <c r="J137" s="18">
        <f>'AEO 2023 Table 49 Raw'!M124</f>
        <v>3.4902700000000002</v>
      </c>
      <c r="K137" s="18">
        <f>'AEO 2023 Table 49 Raw'!N124</f>
        <v>3.549833</v>
      </c>
      <c r="L137" s="18">
        <f>'AEO 2023 Table 49 Raw'!O124</f>
        <v>3.6058970000000001</v>
      </c>
      <c r="M137" s="18">
        <f>'AEO 2023 Table 49 Raw'!P124</f>
        <v>3.6627139999999998</v>
      </c>
      <c r="N137" s="18">
        <f>'AEO 2023 Table 49 Raw'!Q124</f>
        <v>3.7146720000000002</v>
      </c>
      <c r="O137" s="18">
        <f>'AEO 2023 Table 49 Raw'!R124</f>
        <v>3.7616619999999998</v>
      </c>
      <c r="P137" s="18">
        <f>'AEO 2023 Table 49 Raw'!S124</f>
        <v>3.8032520000000001</v>
      </c>
      <c r="Q137" s="18">
        <f>'AEO 2023 Table 49 Raw'!T124</f>
        <v>3.8431760000000001</v>
      </c>
      <c r="R137" s="18">
        <f>'AEO 2023 Table 49 Raw'!U124</f>
        <v>3.882984</v>
      </c>
      <c r="S137" s="18">
        <f>'AEO 2023 Table 49 Raw'!V124</f>
        <v>3.924528</v>
      </c>
      <c r="T137" s="18">
        <f>'AEO 2023 Table 49 Raw'!W124</f>
        <v>3.9655680000000002</v>
      </c>
      <c r="U137" s="18">
        <f>'AEO 2023 Table 49 Raw'!X124</f>
        <v>4.0046330000000001</v>
      </c>
      <c r="V137" s="18">
        <f>'AEO 2023 Table 49 Raw'!Y124</f>
        <v>4.0458100000000004</v>
      </c>
      <c r="W137" s="18">
        <f>'AEO 2023 Table 49 Raw'!Z124</f>
        <v>4.0873410000000003</v>
      </c>
      <c r="X137" s="18">
        <f>'AEO 2023 Table 49 Raw'!AA124</f>
        <v>4.1353119999999999</v>
      </c>
      <c r="Y137" s="18">
        <f>'AEO 2023 Table 49 Raw'!AB124</f>
        <v>4.1866269999999997</v>
      </c>
      <c r="Z137" s="18">
        <f>'AEO 2023 Table 49 Raw'!AC124</f>
        <v>4.2350120000000002</v>
      </c>
      <c r="AA137" s="18">
        <f>'AEO 2023 Table 49 Raw'!AD124</f>
        <v>4.2808120000000001</v>
      </c>
      <c r="AB137" s="18">
        <f>'AEO 2023 Table 49 Raw'!AE124</f>
        <v>4.3291370000000002</v>
      </c>
      <c r="AC137" s="18">
        <f>'AEO 2023 Table 49 Raw'!AF124</f>
        <v>4.3789559999999996</v>
      </c>
      <c r="AD137" s="18">
        <f>'AEO 2023 Table 49 Raw'!AG124</f>
        <v>4.4252010000000004</v>
      </c>
      <c r="AE137" s="18">
        <f>'AEO 2023 Table 49 Raw'!AH124</f>
        <v>4.470567</v>
      </c>
      <c r="AF137" s="30">
        <f>'AEO 2023 Table 49 Raw'!AI124</f>
        <v>1.4E-2</v>
      </c>
    </row>
    <row r="138" spans="1:32" ht="12" customHeight="1">
      <c r="A138" s="7" t="s">
        <v>861</v>
      </c>
      <c r="B138" s="16" t="s">
        <v>738</v>
      </c>
      <c r="C138" s="18">
        <f>'AEO 2023 Table 49 Raw'!F125</f>
        <v>1.311809</v>
      </c>
      <c r="D138" s="18">
        <f>'AEO 2023 Table 49 Raw'!G125</f>
        <v>1.378085</v>
      </c>
      <c r="E138" s="18">
        <f>'AEO 2023 Table 49 Raw'!H125</f>
        <v>1.4506669999999999</v>
      </c>
      <c r="F138" s="18">
        <f>'AEO 2023 Table 49 Raw'!I125</f>
        <v>1.530327</v>
      </c>
      <c r="G138" s="18">
        <f>'AEO 2023 Table 49 Raw'!J125</f>
        <v>1.6128629999999999</v>
      </c>
      <c r="H138" s="18">
        <f>'AEO 2023 Table 49 Raw'!K125</f>
        <v>1.6953240000000001</v>
      </c>
      <c r="I138" s="18">
        <f>'AEO 2023 Table 49 Raw'!L125</f>
        <v>1.777282</v>
      </c>
      <c r="J138" s="18">
        <f>'AEO 2023 Table 49 Raw'!M125</f>
        <v>1.85809</v>
      </c>
      <c r="K138" s="18">
        <f>'AEO 2023 Table 49 Raw'!N125</f>
        <v>1.9378629999999999</v>
      </c>
      <c r="L138" s="18">
        <f>'AEO 2023 Table 49 Raw'!O125</f>
        <v>2.0154909999999999</v>
      </c>
      <c r="M138" s="18">
        <f>'AEO 2023 Table 49 Raw'!P125</f>
        <v>2.09484</v>
      </c>
      <c r="N138" s="18">
        <f>'AEO 2023 Table 49 Raw'!Q125</f>
        <v>2.1723409999999999</v>
      </c>
      <c r="O138" s="18">
        <f>'AEO 2023 Table 49 Raw'!R125</f>
        <v>2.2465320000000002</v>
      </c>
      <c r="P138" s="18">
        <f>'AEO 2023 Table 49 Raw'!S125</f>
        <v>2.3165019999999998</v>
      </c>
      <c r="Q138" s="18">
        <f>'AEO 2023 Table 49 Raw'!T125</f>
        <v>2.386161</v>
      </c>
      <c r="R138" s="18">
        <f>'AEO 2023 Table 49 Raw'!U125</f>
        <v>2.4562300000000001</v>
      </c>
      <c r="S138" s="18">
        <f>'AEO 2023 Table 49 Raw'!V125</f>
        <v>2.5262910000000001</v>
      </c>
      <c r="T138" s="18">
        <f>'AEO 2023 Table 49 Raw'!W125</f>
        <v>2.5965050000000001</v>
      </c>
      <c r="U138" s="18">
        <f>'AEO 2023 Table 49 Raw'!X125</f>
        <v>2.6668989999999999</v>
      </c>
      <c r="V138" s="18">
        <f>'AEO 2023 Table 49 Raw'!Y125</f>
        <v>2.740135</v>
      </c>
      <c r="W138" s="18">
        <f>'AEO 2023 Table 49 Raw'!Z125</f>
        <v>2.8113969999999999</v>
      </c>
      <c r="X138" s="18">
        <f>'AEO 2023 Table 49 Raw'!AA125</f>
        <v>2.8850440000000002</v>
      </c>
      <c r="Y138" s="18">
        <f>'AEO 2023 Table 49 Raw'!AB125</f>
        <v>2.9621379999999999</v>
      </c>
      <c r="Z138" s="18">
        <f>'AEO 2023 Table 49 Raw'!AC125</f>
        <v>3.0392920000000001</v>
      </c>
      <c r="AA138" s="18">
        <f>'AEO 2023 Table 49 Raw'!AD125</f>
        <v>3.1158380000000001</v>
      </c>
      <c r="AB138" s="18">
        <f>'AEO 2023 Table 49 Raw'!AE125</f>
        <v>3.1936939999999998</v>
      </c>
      <c r="AC138" s="18">
        <f>'AEO 2023 Table 49 Raw'!AF125</f>
        <v>3.2711389999999998</v>
      </c>
      <c r="AD138" s="18">
        <f>'AEO 2023 Table 49 Raw'!AG125</f>
        <v>3.3446229999999999</v>
      </c>
      <c r="AE138" s="18">
        <f>'AEO 2023 Table 49 Raw'!AH125</f>
        <v>3.4151910000000001</v>
      </c>
      <c r="AF138" s="30">
        <f>'AEO 2023 Table 49 Raw'!AI125</f>
        <v>3.5000000000000003E-2</v>
      </c>
    </row>
    <row r="139" spans="1:32" ht="12" customHeight="1">
      <c r="A139" s="7" t="s">
        <v>862</v>
      </c>
      <c r="B139" s="16" t="s">
        <v>382</v>
      </c>
      <c r="C139" s="18">
        <f>'AEO 2023 Table 49 Raw'!F126</f>
        <v>1.18E-4</v>
      </c>
      <c r="D139" s="18">
        <f>'AEO 2023 Table 49 Raw'!G126</f>
        <v>3.6200000000000002E-4</v>
      </c>
      <c r="E139" s="18">
        <f>'AEO 2023 Table 49 Raw'!H126</f>
        <v>6.1200000000000002E-4</v>
      </c>
      <c r="F139" s="18">
        <f>'AEO 2023 Table 49 Raw'!I126</f>
        <v>8.6600000000000002E-4</v>
      </c>
      <c r="G139" s="18">
        <f>'AEO 2023 Table 49 Raw'!J126</f>
        <v>1.1249999999999999E-3</v>
      </c>
      <c r="H139" s="18">
        <f>'AEO 2023 Table 49 Raw'!K126</f>
        <v>1.384E-3</v>
      </c>
      <c r="I139" s="18">
        <f>'AEO 2023 Table 49 Raw'!L126</f>
        <v>1.6490000000000001E-3</v>
      </c>
      <c r="J139" s="18">
        <f>'AEO 2023 Table 49 Raw'!M126</f>
        <v>1.9220000000000001E-3</v>
      </c>
      <c r="K139" s="18">
        <f>'AEO 2023 Table 49 Raw'!N126</f>
        <v>2.2049999999999999E-3</v>
      </c>
      <c r="L139" s="18">
        <f>'AEO 2023 Table 49 Raw'!O126</f>
        <v>2.4989999999999999E-3</v>
      </c>
      <c r="M139" s="18">
        <f>'AEO 2023 Table 49 Raw'!P126</f>
        <v>2.8089999999999999E-3</v>
      </c>
      <c r="N139" s="18">
        <f>'AEO 2023 Table 49 Raw'!Q126</f>
        <v>3.1350000000000002E-3</v>
      </c>
      <c r="O139" s="18">
        <f>'AEO 2023 Table 49 Raw'!R126</f>
        <v>3.454E-3</v>
      </c>
      <c r="P139" s="18">
        <f>'AEO 2023 Table 49 Raw'!S126</f>
        <v>3.7759999999999998E-3</v>
      </c>
      <c r="Q139" s="18">
        <f>'AEO 2023 Table 49 Raw'!T126</f>
        <v>4.1209999999999997E-3</v>
      </c>
      <c r="R139" s="18">
        <f>'AEO 2023 Table 49 Raw'!U126</f>
        <v>4.4949999999999999E-3</v>
      </c>
      <c r="S139" s="18">
        <f>'AEO 2023 Table 49 Raw'!V126</f>
        <v>4.9040000000000004E-3</v>
      </c>
      <c r="T139" s="18">
        <f>'AEO 2023 Table 49 Raw'!W126</f>
        <v>5.3540000000000003E-3</v>
      </c>
      <c r="U139" s="18">
        <f>'AEO 2023 Table 49 Raw'!X126</f>
        <v>5.8450000000000004E-3</v>
      </c>
      <c r="V139" s="18">
        <f>'AEO 2023 Table 49 Raw'!Y126</f>
        <v>6.3769999999999999E-3</v>
      </c>
      <c r="W139" s="18">
        <f>'AEO 2023 Table 49 Raw'!Z126</f>
        <v>6.9519999999999998E-3</v>
      </c>
      <c r="X139" s="18">
        <f>'AEO 2023 Table 49 Raw'!AA126</f>
        <v>7.5729999999999999E-3</v>
      </c>
      <c r="Y139" s="18">
        <f>'AEO 2023 Table 49 Raw'!AB126</f>
        <v>8.2400000000000008E-3</v>
      </c>
      <c r="Z139" s="18">
        <f>'AEO 2023 Table 49 Raw'!AC126</f>
        <v>8.9560000000000004E-3</v>
      </c>
      <c r="AA139" s="18">
        <f>'AEO 2023 Table 49 Raw'!AD126</f>
        <v>9.7230000000000007E-3</v>
      </c>
      <c r="AB139" s="18">
        <f>'AEO 2023 Table 49 Raw'!AE126</f>
        <v>1.0541999999999999E-2</v>
      </c>
      <c r="AC139" s="18">
        <f>'AEO 2023 Table 49 Raw'!AF126</f>
        <v>1.1409000000000001E-2</v>
      </c>
      <c r="AD139" s="18">
        <f>'AEO 2023 Table 49 Raw'!AG126</f>
        <v>1.2322E-2</v>
      </c>
      <c r="AE139" s="18">
        <f>'AEO 2023 Table 49 Raw'!AH126</f>
        <v>1.3278E-2</v>
      </c>
      <c r="AF139" s="30">
        <f>'AEO 2023 Table 49 Raw'!AI126</f>
        <v>0.184</v>
      </c>
    </row>
    <row r="140" spans="1:32" ht="12" customHeight="1">
      <c r="A140" s="7" t="s">
        <v>863</v>
      </c>
      <c r="B140" s="16" t="s">
        <v>741</v>
      </c>
      <c r="C140" s="18">
        <f>'AEO 2023 Table 49 Raw'!F127</f>
        <v>8.1099999999999998E-4</v>
      </c>
      <c r="D140" s="18">
        <f>'AEO 2023 Table 49 Raw'!G127</f>
        <v>8.0800000000000002E-4</v>
      </c>
      <c r="E140" s="18">
        <f>'AEO 2023 Table 49 Raw'!H127</f>
        <v>8.0500000000000005E-4</v>
      </c>
      <c r="F140" s="18">
        <f>'AEO 2023 Table 49 Raw'!I127</f>
        <v>8.0099999999999995E-4</v>
      </c>
      <c r="G140" s="18">
        <f>'AEO 2023 Table 49 Raw'!J127</f>
        <v>7.9600000000000005E-4</v>
      </c>
      <c r="H140" s="18">
        <f>'AEO 2023 Table 49 Raw'!K127</f>
        <v>7.9100000000000004E-4</v>
      </c>
      <c r="I140" s="18">
        <f>'AEO 2023 Table 49 Raw'!L127</f>
        <v>7.8399999999999997E-4</v>
      </c>
      <c r="J140" s="18">
        <f>'AEO 2023 Table 49 Raw'!M127</f>
        <v>7.7800000000000005E-4</v>
      </c>
      <c r="K140" s="18">
        <f>'AEO 2023 Table 49 Raw'!N127</f>
        <v>7.6999999999999996E-4</v>
      </c>
      <c r="L140" s="18">
        <f>'AEO 2023 Table 49 Raw'!O127</f>
        <v>7.6199999999999998E-4</v>
      </c>
      <c r="M140" s="18">
        <f>'AEO 2023 Table 49 Raw'!P127</f>
        <v>7.5299999999999998E-4</v>
      </c>
      <c r="N140" s="18">
        <f>'AEO 2023 Table 49 Raw'!Q127</f>
        <v>7.4299999999999995E-4</v>
      </c>
      <c r="O140" s="18">
        <f>'AEO 2023 Table 49 Raw'!R127</f>
        <v>7.3300000000000004E-4</v>
      </c>
      <c r="P140" s="18">
        <f>'AEO 2023 Table 49 Raw'!S127</f>
        <v>7.2199999999999999E-4</v>
      </c>
      <c r="Q140" s="18">
        <f>'AEO 2023 Table 49 Raw'!T127</f>
        <v>7.1100000000000004E-4</v>
      </c>
      <c r="R140" s="18">
        <f>'AEO 2023 Table 49 Raw'!U127</f>
        <v>6.9899999999999997E-4</v>
      </c>
      <c r="S140" s="18">
        <f>'AEO 2023 Table 49 Raw'!V127</f>
        <v>6.8599999999999998E-4</v>
      </c>
      <c r="T140" s="18">
        <f>'AEO 2023 Table 49 Raw'!W127</f>
        <v>6.7299999999999999E-4</v>
      </c>
      <c r="U140" s="18">
        <f>'AEO 2023 Table 49 Raw'!X127</f>
        <v>6.6E-4</v>
      </c>
      <c r="V140" s="18">
        <f>'AEO 2023 Table 49 Raw'!Y127</f>
        <v>6.4599999999999998E-4</v>
      </c>
      <c r="W140" s="18">
        <f>'AEO 2023 Table 49 Raw'!Z127</f>
        <v>6.3199999999999997E-4</v>
      </c>
      <c r="X140" s="18">
        <f>'AEO 2023 Table 49 Raw'!AA127</f>
        <v>6.1700000000000004E-4</v>
      </c>
      <c r="Y140" s="18">
        <f>'AEO 2023 Table 49 Raw'!AB127</f>
        <v>6.02E-4</v>
      </c>
      <c r="Z140" s="18">
        <f>'AEO 2023 Table 49 Raw'!AC127</f>
        <v>5.8699999999999996E-4</v>
      </c>
      <c r="AA140" s="18">
        <f>'AEO 2023 Table 49 Raw'!AD127</f>
        <v>5.6400000000000005E-4</v>
      </c>
      <c r="AB140" s="18">
        <f>'AEO 2023 Table 49 Raw'!AE127</f>
        <v>5.2999999999999998E-4</v>
      </c>
      <c r="AC140" s="18">
        <f>'AEO 2023 Table 49 Raw'!AF127</f>
        <v>4.8200000000000001E-4</v>
      </c>
      <c r="AD140" s="18">
        <f>'AEO 2023 Table 49 Raw'!AG127</f>
        <v>4.2700000000000002E-4</v>
      </c>
      <c r="AE140" s="18">
        <f>'AEO 2023 Table 49 Raw'!AH127</f>
        <v>3.5799999999999997E-4</v>
      </c>
      <c r="AF140" s="30">
        <f>'AEO 2023 Table 49 Raw'!AI127</f>
        <v>-2.9000000000000001E-2</v>
      </c>
    </row>
    <row r="141" spans="1:32" ht="12" customHeight="1">
      <c r="A141" s="7" t="s">
        <v>864</v>
      </c>
      <c r="B141" s="16" t="s">
        <v>743</v>
      </c>
      <c r="C141" s="18">
        <f>'AEO 2023 Table 49 Raw'!F128</f>
        <v>0.22939300000000001</v>
      </c>
      <c r="D141" s="18">
        <f>'AEO 2023 Table 49 Raw'!G128</f>
        <v>0.24005599999999999</v>
      </c>
      <c r="E141" s="18">
        <f>'AEO 2023 Table 49 Raw'!H128</f>
        <v>0.250585</v>
      </c>
      <c r="F141" s="18">
        <f>'AEO 2023 Table 49 Raw'!I128</f>
        <v>0.26078800000000002</v>
      </c>
      <c r="G141" s="18">
        <f>'AEO 2023 Table 49 Raw'!J128</f>
        <v>0.27049899999999999</v>
      </c>
      <c r="H141" s="18">
        <f>'AEO 2023 Table 49 Raw'!K128</f>
        <v>0.27981400000000001</v>
      </c>
      <c r="I141" s="18">
        <f>'AEO 2023 Table 49 Raw'!L128</f>
        <v>0.28869499999999998</v>
      </c>
      <c r="J141" s="18">
        <f>'AEO 2023 Table 49 Raw'!M128</f>
        <v>0.29727199999999998</v>
      </c>
      <c r="K141" s="18">
        <f>'AEO 2023 Table 49 Raw'!N128</f>
        <v>0.30555500000000002</v>
      </c>
      <c r="L141" s="18">
        <f>'AEO 2023 Table 49 Raw'!O128</f>
        <v>0.31373000000000001</v>
      </c>
      <c r="M141" s="18">
        <f>'AEO 2023 Table 49 Raw'!P128</f>
        <v>0.321961</v>
      </c>
      <c r="N141" s="18">
        <f>'AEO 2023 Table 49 Raw'!Q128</f>
        <v>0.33024900000000001</v>
      </c>
      <c r="O141" s="18">
        <f>'AEO 2023 Table 49 Raw'!R128</f>
        <v>0.33824700000000002</v>
      </c>
      <c r="P141" s="18">
        <f>'AEO 2023 Table 49 Raw'!S128</f>
        <v>0.34599299999999999</v>
      </c>
      <c r="Q141" s="18">
        <f>'AEO 2023 Table 49 Raw'!T128</f>
        <v>0.35356300000000002</v>
      </c>
      <c r="R141" s="18">
        <f>'AEO 2023 Table 49 Raw'!U128</f>
        <v>0.36109599999999997</v>
      </c>
      <c r="S141" s="18">
        <f>'AEO 2023 Table 49 Raw'!V128</f>
        <v>0.368676</v>
      </c>
      <c r="T141" s="18">
        <f>'AEO 2023 Table 49 Raw'!W128</f>
        <v>0.376357</v>
      </c>
      <c r="U141" s="18">
        <f>'AEO 2023 Table 49 Raw'!X128</f>
        <v>0.384127</v>
      </c>
      <c r="V141" s="18">
        <f>'AEO 2023 Table 49 Raw'!Y128</f>
        <v>0.39127699999999999</v>
      </c>
      <c r="W141" s="18">
        <f>'AEO 2023 Table 49 Raw'!Z128</f>
        <v>0.398395</v>
      </c>
      <c r="X141" s="18">
        <f>'AEO 2023 Table 49 Raw'!AA128</f>
        <v>0.405416</v>
      </c>
      <c r="Y141" s="18">
        <f>'AEO 2023 Table 49 Raw'!AB128</f>
        <v>0.41114600000000001</v>
      </c>
      <c r="Z141" s="18">
        <f>'AEO 2023 Table 49 Raw'!AC128</f>
        <v>0.41387200000000002</v>
      </c>
      <c r="AA141" s="18">
        <f>'AEO 2023 Table 49 Raw'!AD128</f>
        <v>0.414489</v>
      </c>
      <c r="AB141" s="18">
        <f>'AEO 2023 Table 49 Raw'!AE128</f>
        <v>0.41369699999999998</v>
      </c>
      <c r="AC141" s="18">
        <f>'AEO 2023 Table 49 Raw'!AF128</f>
        <v>0.41261599999999998</v>
      </c>
      <c r="AD141" s="18">
        <f>'AEO 2023 Table 49 Raw'!AG128</f>
        <v>0.40854600000000002</v>
      </c>
      <c r="AE141" s="18">
        <f>'AEO 2023 Table 49 Raw'!AH128</f>
        <v>0.40374700000000002</v>
      </c>
      <c r="AF141" s="30">
        <f>'AEO 2023 Table 49 Raw'!AI128</f>
        <v>0.02</v>
      </c>
    </row>
    <row r="142" spans="1:32" ht="12" customHeight="1">
      <c r="A142" s="7" t="s">
        <v>865</v>
      </c>
      <c r="B142" s="16" t="s">
        <v>745</v>
      </c>
      <c r="C142" s="18">
        <f>'AEO 2023 Table 49 Raw'!F129</f>
        <v>6.7000000000000002E-5</v>
      </c>
      <c r="D142" s="18">
        <f>'AEO 2023 Table 49 Raw'!G129</f>
        <v>6.6000000000000005E-5</v>
      </c>
      <c r="E142" s="18">
        <f>'AEO 2023 Table 49 Raw'!H129</f>
        <v>6.4999999999999994E-5</v>
      </c>
      <c r="F142" s="18">
        <f>'AEO 2023 Table 49 Raw'!I129</f>
        <v>6.4999999999999994E-5</v>
      </c>
      <c r="G142" s="18">
        <f>'AEO 2023 Table 49 Raw'!J129</f>
        <v>6.3999999999999997E-5</v>
      </c>
      <c r="H142" s="18">
        <f>'AEO 2023 Table 49 Raw'!K129</f>
        <v>6.3E-5</v>
      </c>
      <c r="I142" s="18">
        <f>'AEO 2023 Table 49 Raw'!L129</f>
        <v>6.2000000000000003E-5</v>
      </c>
      <c r="J142" s="18">
        <f>'AEO 2023 Table 49 Raw'!M129</f>
        <v>6.0999999999999999E-5</v>
      </c>
      <c r="K142" s="18">
        <f>'AEO 2023 Table 49 Raw'!N129</f>
        <v>6.0000000000000002E-5</v>
      </c>
      <c r="L142" s="18">
        <f>'AEO 2023 Table 49 Raw'!O129</f>
        <v>5.8999999999999998E-5</v>
      </c>
      <c r="M142" s="18">
        <f>'AEO 2023 Table 49 Raw'!P129</f>
        <v>5.8E-5</v>
      </c>
      <c r="N142" s="18">
        <f>'AEO 2023 Table 49 Raw'!Q129</f>
        <v>5.7000000000000003E-5</v>
      </c>
      <c r="O142" s="18">
        <f>'AEO 2023 Table 49 Raw'!R129</f>
        <v>5.5999999999999999E-5</v>
      </c>
      <c r="P142" s="18">
        <f>'AEO 2023 Table 49 Raw'!S129</f>
        <v>5.5000000000000002E-5</v>
      </c>
      <c r="Q142" s="18">
        <f>'AEO 2023 Table 49 Raw'!T129</f>
        <v>5.3999999999999998E-5</v>
      </c>
      <c r="R142" s="18">
        <f>'AEO 2023 Table 49 Raw'!U129</f>
        <v>5.3000000000000001E-5</v>
      </c>
      <c r="S142" s="18">
        <f>'AEO 2023 Table 49 Raw'!V129</f>
        <v>5.1E-5</v>
      </c>
      <c r="T142" s="18">
        <f>'AEO 2023 Table 49 Raw'!W129</f>
        <v>5.0000000000000002E-5</v>
      </c>
      <c r="U142" s="18">
        <f>'AEO 2023 Table 49 Raw'!X129</f>
        <v>4.8999999999999998E-5</v>
      </c>
      <c r="V142" s="18">
        <f>'AEO 2023 Table 49 Raw'!Y129</f>
        <v>4.6999999999999997E-5</v>
      </c>
      <c r="W142" s="18">
        <f>'AEO 2023 Table 49 Raw'!Z129</f>
        <v>4.6E-5</v>
      </c>
      <c r="X142" s="18">
        <f>'AEO 2023 Table 49 Raw'!AA129</f>
        <v>4.5000000000000003E-5</v>
      </c>
      <c r="Y142" s="18">
        <f>'AEO 2023 Table 49 Raw'!AB129</f>
        <v>3.6000000000000001E-5</v>
      </c>
      <c r="Z142" s="18">
        <f>'AEO 2023 Table 49 Raw'!AC129</f>
        <v>2.5000000000000001E-5</v>
      </c>
      <c r="AA142" s="18">
        <f>'AEO 2023 Table 49 Raw'!AD129</f>
        <v>1.8E-5</v>
      </c>
      <c r="AB142" s="18">
        <f>'AEO 2023 Table 49 Raw'!AE129</f>
        <v>1.2E-5</v>
      </c>
      <c r="AC142" s="18">
        <f>'AEO 2023 Table 49 Raw'!AF129</f>
        <v>9.0000000000000002E-6</v>
      </c>
      <c r="AD142" s="18">
        <f>'AEO 2023 Table 49 Raw'!AG129</f>
        <v>6.0000000000000002E-6</v>
      </c>
      <c r="AE142" s="18">
        <f>'AEO 2023 Table 49 Raw'!AH129</f>
        <v>3.9999999999999998E-6</v>
      </c>
      <c r="AF142" s="30">
        <f>'AEO 2023 Table 49 Raw'!AI129</f>
        <v>-9.4E-2</v>
      </c>
    </row>
    <row r="143" spans="1:32" ht="12" customHeight="1">
      <c r="A143" s="7" t="s">
        <v>866</v>
      </c>
      <c r="B143" s="16" t="s">
        <v>747</v>
      </c>
      <c r="C143" s="18">
        <f>'AEO 2023 Table 49 Raw'!F130</f>
        <v>0</v>
      </c>
      <c r="D143" s="18">
        <f>'AEO 2023 Table 49 Raw'!G130</f>
        <v>2.8200000000000002E-4</v>
      </c>
      <c r="E143" s="18">
        <f>'AEO 2023 Table 49 Raw'!H130</f>
        <v>5.7499999999999999E-4</v>
      </c>
      <c r="F143" s="18">
        <f>'AEO 2023 Table 49 Raw'!I130</f>
        <v>8.8099999999999995E-4</v>
      </c>
      <c r="G143" s="18">
        <f>'AEO 2023 Table 49 Raw'!J130</f>
        <v>1.1950000000000001E-3</v>
      </c>
      <c r="H143" s="18">
        <f>'AEO 2023 Table 49 Raw'!K130</f>
        <v>1.5139999999999999E-3</v>
      </c>
      <c r="I143" s="18">
        <f>'AEO 2023 Table 49 Raw'!L130</f>
        <v>1.8469999999999999E-3</v>
      </c>
      <c r="J143" s="18">
        <f>'AEO 2023 Table 49 Raw'!M130</f>
        <v>2.1979999999999999E-3</v>
      </c>
      <c r="K143" s="18">
        <f>'AEO 2023 Table 49 Raw'!N130</f>
        <v>2.5669999999999998E-3</v>
      </c>
      <c r="L143" s="18">
        <f>'AEO 2023 Table 49 Raw'!O130</f>
        <v>2.9580000000000001E-3</v>
      </c>
      <c r="M143" s="18">
        <f>'AEO 2023 Table 49 Raw'!P130</f>
        <v>3.382E-3</v>
      </c>
      <c r="N143" s="18">
        <f>'AEO 2023 Table 49 Raw'!Q130</f>
        <v>3.8400000000000001E-3</v>
      </c>
      <c r="O143" s="18">
        <f>'AEO 2023 Table 49 Raw'!R130</f>
        <v>4.3239999999999997E-3</v>
      </c>
      <c r="P143" s="18">
        <f>'AEO 2023 Table 49 Raw'!S130</f>
        <v>4.8380000000000003E-3</v>
      </c>
      <c r="Q143" s="18">
        <f>'AEO 2023 Table 49 Raw'!T130</f>
        <v>5.3940000000000004E-3</v>
      </c>
      <c r="R143" s="18">
        <f>'AEO 2023 Table 49 Raw'!U130</f>
        <v>6.0020000000000004E-3</v>
      </c>
      <c r="S143" s="18">
        <f>'AEO 2023 Table 49 Raw'!V130</f>
        <v>6.6779999999999999E-3</v>
      </c>
      <c r="T143" s="18">
        <f>'AEO 2023 Table 49 Raw'!W130</f>
        <v>7.43E-3</v>
      </c>
      <c r="U143" s="18">
        <f>'AEO 2023 Table 49 Raw'!X130</f>
        <v>8.2640000000000005E-3</v>
      </c>
      <c r="V143" s="18">
        <f>'AEO 2023 Table 49 Raw'!Y130</f>
        <v>9.1809999999999999E-3</v>
      </c>
      <c r="W143" s="18">
        <f>'AEO 2023 Table 49 Raw'!Z130</f>
        <v>1.0181000000000001E-2</v>
      </c>
      <c r="X143" s="18">
        <f>'AEO 2023 Table 49 Raw'!AA130</f>
        <v>1.1261E-2</v>
      </c>
      <c r="Y143" s="18">
        <f>'AEO 2023 Table 49 Raw'!AB130</f>
        <v>1.2409999999999999E-2</v>
      </c>
      <c r="Z143" s="18">
        <f>'AEO 2023 Table 49 Raw'!AC130</f>
        <v>1.3627999999999999E-2</v>
      </c>
      <c r="AA143" s="18">
        <f>'AEO 2023 Table 49 Raw'!AD130</f>
        <v>1.4914999999999999E-2</v>
      </c>
      <c r="AB143" s="18">
        <f>'AEO 2023 Table 49 Raw'!AE130</f>
        <v>1.6265000000000002E-2</v>
      </c>
      <c r="AC143" s="18">
        <f>'AEO 2023 Table 49 Raw'!AF130</f>
        <v>1.7672E-2</v>
      </c>
      <c r="AD143" s="18">
        <f>'AEO 2023 Table 49 Raw'!AG130</f>
        <v>1.9127000000000002E-2</v>
      </c>
      <c r="AE143" s="18">
        <f>'AEO 2023 Table 49 Raw'!AH130</f>
        <v>2.0625000000000001E-2</v>
      </c>
      <c r="AF143" s="30" t="str">
        <f>'AEO 2023 Table 49 Raw'!AI130</f>
        <v>- -</v>
      </c>
    </row>
    <row r="144" spans="1:32" ht="12" customHeight="1">
      <c r="A144" s="7" t="s">
        <v>867</v>
      </c>
      <c r="B144" s="16" t="s">
        <v>749</v>
      </c>
      <c r="C144" s="18">
        <f>'AEO 2023 Table 49 Raw'!F131</f>
        <v>0</v>
      </c>
      <c r="D144" s="18">
        <f>'AEO 2023 Table 49 Raw'!G131</f>
        <v>3.0699999999999998E-4</v>
      </c>
      <c r="E144" s="18">
        <f>'AEO 2023 Table 49 Raw'!H131</f>
        <v>6.1899999999999998E-4</v>
      </c>
      <c r="F144" s="18">
        <f>'AEO 2023 Table 49 Raw'!I131</f>
        <v>9.3800000000000003E-4</v>
      </c>
      <c r="G144" s="18">
        <f>'AEO 2023 Table 49 Raw'!J131</f>
        <v>1.258E-3</v>
      </c>
      <c r="H144" s="18">
        <f>'AEO 2023 Table 49 Raw'!K131</f>
        <v>1.5770000000000001E-3</v>
      </c>
      <c r="I144" s="18">
        <f>'AEO 2023 Table 49 Raw'!L131</f>
        <v>1.9040000000000001E-3</v>
      </c>
      <c r="J144" s="18">
        <f>'AEO 2023 Table 49 Raw'!M131</f>
        <v>2.2420000000000001E-3</v>
      </c>
      <c r="K144" s="18">
        <f>'AEO 2023 Table 49 Raw'!N131</f>
        <v>2.5929999999999998E-3</v>
      </c>
      <c r="L144" s="18">
        <f>'AEO 2023 Table 49 Raw'!O131</f>
        <v>2.9659999999999999E-3</v>
      </c>
      <c r="M144" s="18">
        <f>'AEO 2023 Table 49 Raw'!P131</f>
        <v>3.372E-3</v>
      </c>
      <c r="N144" s="18">
        <f>'AEO 2023 Table 49 Raw'!Q131</f>
        <v>3.8159999999999999E-3</v>
      </c>
      <c r="O144" s="18">
        <f>'AEO 2023 Table 49 Raw'!R131</f>
        <v>4.2909999999999997E-3</v>
      </c>
      <c r="P144" s="18">
        <f>'AEO 2023 Table 49 Raw'!S131</f>
        <v>4.8040000000000001E-3</v>
      </c>
      <c r="Q144" s="18">
        <f>'AEO 2023 Table 49 Raw'!T131</f>
        <v>5.3660000000000001E-3</v>
      </c>
      <c r="R144" s="18">
        <f>'AEO 2023 Table 49 Raw'!U131</f>
        <v>5.9919999999999999E-3</v>
      </c>
      <c r="S144" s="18">
        <f>'AEO 2023 Table 49 Raw'!V131</f>
        <v>6.6959999999999997E-3</v>
      </c>
      <c r="T144" s="18">
        <f>'AEO 2023 Table 49 Raw'!W131</f>
        <v>7.4910000000000003E-3</v>
      </c>
      <c r="U144" s="18">
        <f>'AEO 2023 Table 49 Raw'!X131</f>
        <v>8.3840000000000008E-3</v>
      </c>
      <c r="V144" s="18">
        <f>'AEO 2023 Table 49 Raw'!Y131</f>
        <v>9.3779999999999992E-3</v>
      </c>
      <c r="W144" s="18">
        <f>'AEO 2023 Table 49 Raw'!Z131</f>
        <v>1.0472E-2</v>
      </c>
      <c r="X144" s="18">
        <f>'AEO 2023 Table 49 Raw'!AA131</f>
        <v>1.166E-2</v>
      </c>
      <c r="Y144" s="18">
        <f>'AEO 2023 Table 49 Raw'!AB131</f>
        <v>1.2933E-2</v>
      </c>
      <c r="Z144" s="18">
        <f>'AEO 2023 Table 49 Raw'!AC131</f>
        <v>1.4290000000000001E-2</v>
      </c>
      <c r="AA144" s="18">
        <f>'AEO 2023 Table 49 Raw'!AD131</f>
        <v>1.5731999999999999E-2</v>
      </c>
      <c r="AB144" s="18">
        <f>'AEO 2023 Table 49 Raw'!AE131</f>
        <v>1.7247999999999999E-2</v>
      </c>
      <c r="AC144" s="18">
        <f>'AEO 2023 Table 49 Raw'!AF131</f>
        <v>1.8831000000000001E-2</v>
      </c>
      <c r="AD144" s="18">
        <f>'AEO 2023 Table 49 Raw'!AG131</f>
        <v>2.0472000000000001E-2</v>
      </c>
      <c r="AE144" s="18">
        <f>'AEO 2023 Table 49 Raw'!AH131</f>
        <v>2.2161E-2</v>
      </c>
      <c r="AF144" s="30" t="str">
        <f>'AEO 2023 Table 49 Raw'!AI131</f>
        <v>- -</v>
      </c>
    </row>
    <row r="145" spans="1:32" ht="12" customHeight="1">
      <c r="A145" s="7" t="s">
        <v>868</v>
      </c>
      <c r="B145" s="16" t="s">
        <v>751</v>
      </c>
      <c r="C145" s="18">
        <f>'AEO 2023 Table 49 Raw'!F132</f>
        <v>0</v>
      </c>
      <c r="D145" s="18">
        <f>'AEO 2023 Table 49 Raw'!G132</f>
        <v>0</v>
      </c>
      <c r="E145" s="18">
        <f>'AEO 2023 Table 49 Raw'!H132</f>
        <v>0</v>
      </c>
      <c r="F145" s="18">
        <f>'AEO 2023 Table 49 Raw'!I132</f>
        <v>0</v>
      </c>
      <c r="G145" s="18">
        <f>'AEO 2023 Table 49 Raw'!J132</f>
        <v>0</v>
      </c>
      <c r="H145" s="18">
        <f>'AEO 2023 Table 49 Raw'!K132</f>
        <v>0</v>
      </c>
      <c r="I145" s="18">
        <f>'AEO 2023 Table 49 Raw'!L132</f>
        <v>0</v>
      </c>
      <c r="J145" s="18">
        <f>'AEO 2023 Table 49 Raw'!M132</f>
        <v>9.9999999999999995E-7</v>
      </c>
      <c r="K145" s="18">
        <f>'AEO 2023 Table 49 Raw'!N132</f>
        <v>9.9999999999999995E-7</v>
      </c>
      <c r="L145" s="18">
        <f>'AEO 2023 Table 49 Raw'!O132</f>
        <v>9.9999999999999995E-7</v>
      </c>
      <c r="M145" s="18">
        <f>'AEO 2023 Table 49 Raw'!P132</f>
        <v>9.9999999999999995E-7</v>
      </c>
      <c r="N145" s="18">
        <f>'AEO 2023 Table 49 Raw'!Q132</f>
        <v>9.9999999999999995E-7</v>
      </c>
      <c r="O145" s="18">
        <f>'AEO 2023 Table 49 Raw'!R132</f>
        <v>9.9999999999999995E-7</v>
      </c>
      <c r="P145" s="18">
        <f>'AEO 2023 Table 49 Raw'!S132</f>
        <v>9.9999999999999995E-7</v>
      </c>
      <c r="Q145" s="18">
        <f>'AEO 2023 Table 49 Raw'!T132</f>
        <v>9.9999999999999995E-7</v>
      </c>
      <c r="R145" s="18">
        <f>'AEO 2023 Table 49 Raw'!U132</f>
        <v>9.9999999999999995E-7</v>
      </c>
      <c r="S145" s="18">
        <f>'AEO 2023 Table 49 Raw'!V132</f>
        <v>9.9999999999999995E-7</v>
      </c>
      <c r="T145" s="18">
        <f>'AEO 2023 Table 49 Raw'!W132</f>
        <v>1.9999999999999999E-6</v>
      </c>
      <c r="U145" s="18">
        <f>'AEO 2023 Table 49 Raw'!X132</f>
        <v>1.9999999999999999E-6</v>
      </c>
      <c r="V145" s="18">
        <f>'AEO 2023 Table 49 Raw'!Y132</f>
        <v>1.9999999999999999E-6</v>
      </c>
      <c r="W145" s="18">
        <f>'AEO 2023 Table 49 Raw'!Z132</f>
        <v>1.9999999999999999E-6</v>
      </c>
      <c r="X145" s="18">
        <f>'AEO 2023 Table 49 Raw'!AA132</f>
        <v>1.9999999999999999E-6</v>
      </c>
      <c r="Y145" s="18">
        <f>'AEO 2023 Table 49 Raw'!AB132</f>
        <v>1.9999999999999999E-6</v>
      </c>
      <c r="Z145" s="18">
        <f>'AEO 2023 Table 49 Raw'!AC132</f>
        <v>1.9999999999999999E-6</v>
      </c>
      <c r="AA145" s="18">
        <f>'AEO 2023 Table 49 Raw'!AD132</f>
        <v>1.9999999999999999E-6</v>
      </c>
      <c r="AB145" s="18">
        <f>'AEO 2023 Table 49 Raw'!AE132</f>
        <v>1.9999999999999999E-6</v>
      </c>
      <c r="AC145" s="18">
        <f>'AEO 2023 Table 49 Raw'!AF132</f>
        <v>1.9999999999999999E-6</v>
      </c>
      <c r="AD145" s="18">
        <f>'AEO 2023 Table 49 Raw'!AG132</f>
        <v>1.9999999999999999E-6</v>
      </c>
      <c r="AE145" s="18">
        <f>'AEO 2023 Table 49 Raw'!AH132</f>
        <v>1.9999999999999999E-6</v>
      </c>
      <c r="AF145" s="30" t="str">
        <f>'AEO 2023 Table 49 Raw'!AI132</f>
        <v>- -</v>
      </c>
    </row>
    <row r="146" spans="1:32" ht="12" customHeight="1">
      <c r="A146" s="7" t="s">
        <v>869</v>
      </c>
      <c r="B146" s="16" t="s">
        <v>753</v>
      </c>
      <c r="C146" s="18">
        <f>'AEO 2023 Table 49 Raw'!F133</f>
        <v>4.5572350000000004</v>
      </c>
      <c r="D146" s="18">
        <f>'AEO 2023 Table 49 Raw'!G133</f>
        <v>4.7015169999999999</v>
      </c>
      <c r="E146" s="18">
        <f>'AEO 2023 Table 49 Raw'!H133</f>
        <v>4.8540369999999999</v>
      </c>
      <c r="F146" s="18">
        <f>'AEO 2023 Table 49 Raw'!I133</f>
        <v>5.0171279999999996</v>
      </c>
      <c r="G146" s="18">
        <f>'AEO 2023 Table 49 Raw'!J133</f>
        <v>5.1817539999999997</v>
      </c>
      <c r="H146" s="18">
        <f>'AEO 2023 Table 49 Raw'!K133</f>
        <v>5.3421240000000001</v>
      </c>
      <c r="I146" s="18">
        <f>'AEO 2023 Table 49 Raw'!L133</f>
        <v>5.4993150000000002</v>
      </c>
      <c r="J146" s="18">
        <f>'AEO 2023 Table 49 Raw'!M133</f>
        <v>5.6528340000000004</v>
      </c>
      <c r="K146" s="18">
        <f>'AEO 2023 Table 49 Raw'!N133</f>
        <v>5.8014460000000003</v>
      </c>
      <c r="L146" s="18">
        <f>'AEO 2023 Table 49 Raw'!O133</f>
        <v>5.9443580000000003</v>
      </c>
      <c r="M146" s="18">
        <f>'AEO 2023 Table 49 Raw'!P133</f>
        <v>6.0898839999999996</v>
      </c>
      <c r="N146" s="18">
        <f>'AEO 2023 Table 49 Raw'!Q133</f>
        <v>6.2288509999999997</v>
      </c>
      <c r="O146" s="18">
        <f>'AEO 2023 Table 49 Raw'!R133</f>
        <v>6.3593000000000002</v>
      </c>
      <c r="P146" s="18">
        <f>'AEO 2023 Table 49 Raw'!S133</f>
        <v>6.4799410000000002</v>
      </c>
      <c r="Q146" s="18">
        <f>'AEO 2023 Table 49 Raw'!T133</f>
        <v>6.5985399999999998</v>
      </c>
      <c r="R146" s="18">
        <f>'AEO 2023 Table 49 Raw'!U133</f>
        <v>6.7175419999999999</v>
      </c>
      <c r="S146" s="18">
        <f>'AEO 2023 Table 49 Raw'!V133</f>
        <v>6.8385049999999996</v>
      </c>
      <c r="T146" s="18">
        <f>'AEO 2023 Table 49 Raw'!W133</f>
        <v>6.9594290000000001</v>
      </c>
      <c r="U146" s="18">
        <f>'AEO 2023 Table 49 Raw'!X133</f>
        <v>7.0788570000000002</v>
      </c>
      <c r="V146" s="18">
        <f>'AEO 2023 Table 49 Raw'!Y133</f>
        <v>7.2028530000000002</v>
      </c>
      <c r="W146" s="18">
        <f>'AEO 2023 Table 49 Raw'!Z133</f>
        <v>7.3254200000000003</v>
      </c>
      <c r="X146" s="18">
        <f>'AEO 2023 Table 49 Raw'!AA133</f>
        <v>7.4569270000000003</v>
      </c>
      <c r="Y146" s="18">
        <f>'AEO 2023 Table 49 Raw'!AB133</f>
        <v>7.5941330000000002</v>
      </c>
      <c r="Z146" s="18">
        <f>'AEO 2023 Table 49 Raw'!AC133</f>
        <v>7.7256629999999999</v>
      </c>
      <c r="AA146" s="18">
        <f>'AEO 2023 Table 49 Raw'!AD133</f>
        <v>7.8520909999999997</v>
      </c>
      <c r="AB146" s="18">
        <f>'AEO 2023 Table 49 Raw'!AE133</f>
        <v>7.9811259999999997</v>
      </c>
      <c r="AC146" s="18">
        <f>'AEO 2023 Table 49 Raw'!AF133</f>
        <v>8.1111160000000009</v>
      </c>
      <c r="AD146" s="18">
        <f>'AEO 2023 Table 49 Raw'!AG133</f>
        <v>8.2307199999999998</v>
      </c>
      <c r="AE146" s="18">
        <f>'AEO 2023 Table 49 Raw'!AH133</f>
        <v>8.3459269999999997</v>
      </c>
      <c r="AF146" s="30">
        <f>'AEO 2023 Table 49 Raw'!AI133</f>
        <v>2.1999999999999999E-2</v>
      </c>
    </row>
    <row r="147" spans="1:32" ht="12" customHeight="1">
      <c r="B147" s="15" t="s">
        <v>754</v>
      </c>
      <c r="C147" s="18"/>
      <c r="D147" s="18"/>
      <c r="E147" s="18"/>
      <c r="F147" s="18"/>
      <c r="G147" s="18"/>
      <c r="H147" s="18"/>
      <c r="I147" s="18"/>
      <c r="J147" s="18"/>
      <c r="K147" s="18"/>
      <c r="L147" s="18"/>
      <c r="M147" s="18"/>
      <c r="N147" s="18"/>
      <c r="O147" s="18"/>
      <c r="P147" s="18"/>
      <c r="Q147" s="18"/>
      <c r="R147" s="18"/>
      <c r="S147" s="18"/>
      <c r="T147" s="18"/>
      <c r="U147" s="18"/>
      <c r="V147" s="18"/>
      <c r="W147" s="18"/>
      <c r="X147" s="18"/>
      <c r="Y147" s="18"/>
      <c r="Z147" s="18"/>
      <c r="AA147" s="18"/>
      <c r="AB147" s="18"/>
      <c r="AC147" s="18"/>
      <c r="AD147" s="18"/>
      <c r="AE147" s="18"/>
      <c r="AF147" s="30"/>
    </row>
    <row r="148" spans="1:32" ht="12" customHeight="1">
      <c r="A148" s="7" t="s">
        <v>870</v>
      </c>
      <c r="B148" s="16" t="s">
        <v>736</v>
      </c>
      <c r="C148" s="18">
        <f>'AEO 2023 Table 49 Raw'!F135</f>
        <v>2.238826</v>
      </c>
      <c r="D148" s="18">
        <f>'AEO 2023 Table 49 Raw'!G135</f>
        <v>2.2633740000000002</v>
      </c>
      <c r="E148" s="18">
        <f>'AEO 2023 Table 49 Raw'!H135</f>
        <v>2.2858019999999999</v>
      </c>
      <c r="F148" s="18">
        <f>'AEO 2023 Table 49 Raw'!I135</f>
        <v>2.3155199999999998</v>
      </c>
      <c r="G148" s="18">
        <f>'AEO 2023 Table 49 Raw'!J135</f>
        <v>2.3517480000000002</v>
      </c>
      <c r="H148" s="18">
        <f>'AEO 2023 Table 49 Raw'!K135</f>
        <v>2.3905979999999998</v>
      </c>
      <c r="I148" s="18">
        <f>'AEO 2023 Table 49 Raw'!L135</f>
        <v>2.4309340000000002</v>
      </c>
      <c r="J148" s="18">
        <f>'AEO 2023 Table 49 Raw'!M135</f>
        <v>2.4686080000000001</v>
      </c>
      <c r="K148" s="18">
        <f>'AEO 2023 Table 49 Raw'!N135</f>
        <v>2.5038360000000002</v>
      </c>
      <c r="L148" s="18">
        <f>'AEO 2023 Table 49 Raw'!O135</f>
        <v>2.5353509999999999</v>
      </c>
      <c r="M148" s="18">
        <f>'AEO 2023 Table 49 Raw'!P135</f>
        <v>2.5670540000000002</v>
      </c>
      <c r="N148" s="18">
        <f>'AEO 2023 Table 49 Raw'!Q135</f>
        <v>2.5941019999999999</v>
      </c>
      <c r="O148" s="18">
        <f>'AEO 2023 Table 49 Raw'!R135</f>
        <v>2.6154500000000001</v>
      </c>
      <c r="P148" s="18">
        <f>'AEO 2023 Table 49 Raw'!S135</f>
        <v>2.6355559999999998</v>
      </c>
      <c r="Q148" s="18">
        <f>'AEO 2023 Table 49 Raw'!T135</f>
        <v>2.6571289999999999</v>
      </c>
      <c r="R148" s="18">
        <f>'AEO 2023 Table 49 Raw'!U135</f>
        <v>2.6805840000000001</v>
      </c>
      <c r="S148" s="18">
        <f>'AEO 2023 Table 49 Raw'!V135</f>
        <v>2.705066</v>
      </c>
      <c r="T148" s="18">
        <f>'AEO 2023 Table 49 Raw'!W135</f>
        <v>2.7292969999999999</v>
      </c>
      <c r="U148" s="18">
        <f>'AEO 2023 Table 49 Raw'!X135</f>
        <v>2.75204</v>
      </c>
      <c r="V148" s="18">
        <f>'AEO 2023 Table 49 Raw'!Y135</f>
        <v>2.772637</v>
      </c>
      <c r="W148" s="18">
        <f>'AEO 2023 Table 49 Raw'!Z135</f>
        <v>2.7935240000000001</v>
      </c>
      <c r="X148" s="18">
        <f>'AEO 2023 Table 49 Raw'!AA135</f>
        <v>2.8207249999999999</v>
      </c>
      <c r="Y148" s="18">
        <f>'AEO 2023 Table 49 Raw'!AB135</f>
        <v>2.8527390000000001</v>
      </c>
      <c r="Z148" s="18">
        <f>'AEO 2023 Table 49 Raw'!AC135</f>
        <v>2.8844479999999999</v>
      </c>
      <c r="AA148" s="18">
        <f>'AEO 2023 Table 49 Raw'!AD135</f>
        <v>2.9134350000000002</v>
      </c>
      <c r="AB148" s="18">
        <f>'AEO 2023 Table 49 Raw'!AE135</f>
        <v>2.9424649999999999</v>
      </c>
      <c r="AC148" s="18">
        <f>'AEO 2023 Table 49 Raw'!AF135</f>
        <v>2.9714170000000002</v>
      </c>
      <c r="AD148" s="18">
        <f>'AEO 2023 Table 49 Raw'!AG135</f>
        <v>2.9997310000000001</v>
      </c>
      <c r="AE148" s="18">
        <f>'AEO 2023 Table 49 Raw'!AH135</f>
        <v>3.026831</v>
      </c>
      <c r="AF148" s="30">
        <f>'AEO 2023 Table 49 Raw'!AI135</f>
        <v>1.0999999999999999E-2</v>
      </c>
    </row>
    <row r="149" spans="1:32" ht="12" customHeight="1">
      <c r="A149" s="7" t="s">
        <v>871</v>
      </c>
      <c r="B149" s="16" t="s">
        <v>738</v>
      </c>
      <c r="C149" s="18">
        <f>'AEO 2023 Table 49 Raw'!F136</f>
        <v>1.4996799999999999</v>
      </c>
      <c r="D149" s="18">
        <f>'AEO 2023 Table 49 Raw'!G136</f>
        <v>1.4961500000000001</v>
      </c>
      <c r="E149" s="18">
        <f>'AEO 2023 Table 49 Raw'!H136</f>
        <v>1.4948760000000001</v>
      </c>
      <c r="F149" s="18">
        <f>'AEO 2023 Table 49 Raw'!I136</f>
        <v>1.501371</v>
      </c>
      <c r="G149" s="18">
        <f>'AEO 2023 Table 49 Raw'!J136</f>
        <v>1.5139609999999999</v>
      </c>
      <c r="H149" s="18">
        <f>'AEO 2023 Table 49 Raw'!K136</f>
        <v>1.530346</v>
      </c>
      <c r="I149" s="18">
        <f>'AEO 2023 Table 49 Raw'!L136</f>
        <v>1.5480689999999999</v>
      </c>
      <c r="J149" s="18">
        <f>'AEO 2023 Table 49 Raw'!M136</f>
        <v>1.565221</v>
      </c>
      <c r="K149" s="18">
        <f>'AEO 2023 Table 49 Raw'!N136</f>
        <v>1.581971</v>
      </c>
      <c r="L149" s="18">
        <f>'AEO 2023 Table 49 Raw'!O136</f>
        <v>1.595356</v>
      </c>
      <c r="M149" s="18">
        <f>'AEO 2023 Table 49 Raw'!P136</f>
        <v>1.6105339999999999</v>
      </c>
      <c r="N149" s="18">
        <f>'AEO 2023 Table 49 Raw'!Q136</f>
        <v>1.6222669999999999</v>
      </c>
      <c r="O149" s="18">
        <f>'AEO 2023 Table 49 Raw'!R136</f>
        <v>1.6313610000000001</v>
      </c>
      <c r="P149" s="18">
        <f>'AEO 2023 Table 49 Raw'!S136</f>
        <v>1.6416010000000001</v>
      </c>
      <c r="Q149" s="18">
        <f>'AEO 2023 Table 49 Raw'!T136</f>
        <v>1.65225</v>
      </c>
      <c r="R149" s="18">
        <f>'AEO 2023 Table 49 Raw'!U136</f>
        <v>1.6639839999999999</v>
      </c>
      <c r="S149" s="18">
        <f>'AEO 2023 Table 49 Raw'!V136</f>
        <v>1.6763749999999999</v>
      </c>
      <c r="T149" s="18">
        <f>'AEO 2023 Table 49 Raw'!W136</f>
        <v>1.690836</v>
      </c>
      <c r="U149" s="18">
        <f>'AEO 2023 Table 49 Raw'!X136</f>
        <v>1.7037960000000001</v>
      </c>
      <c r="V149" s="18">
        <f>'AEO 2023 Table 49 Raw'!Y136</f>
        <v>1.717433</v>
      </c>
      <c r="W149" s="18">
        <f>'AEO 2023 Table 49 Raw'!Z136</f>
        <v>1.7319560000000001</v>
      </c>
      <c r="X149" s="18">
        <f>'AEO 2023 Table 49 Raw'!AA136</f>
        <v>1.749482</v>
      </c>
      <c r="Y149" s="18">
        <f>'AEO 2023 Table 49 Raw'!AB136</f>
        <v>1.7689250000000001</v>
      </c>
      <c r="Z149" s="18">
        <f>'AEO 2023 Table 49 Raw'!AC136</f>
        <v>1.7867660000000001</v>
      </c>
      <c r="AA149" s="18">
        <f>'AEO 2023 Table 49 Raw'!AD136</f>
        <v>1.8028120000000001</v>
      </c>
      <c r="AB149" s="18">
        <f>'AEO 2023 Table 49 Raw'!AE136</f>
        <v>1.81793</v>
      </c>
      <c r="AC149" s="18">
        <f>'AEO 2023 Table 49 Raw'!AF136</f>
        <v>1.8325530000000001</v>
      </c>
      <c r="AD149" s="18">
        <f>'AEO 2023 Table 49 Raw'!AG136</f>
        <v>1.8473809999999999</v>
      </c>
      <c r="AE149" s="18">
        <f>'AEO 2023 Table 49 Raw'!AH136</f>
        <v>1.860595</v>
      </c>
      <c r="AF149" s="30">
        <f>'AEO 2023 Table 49 Raw'!AI136</f>
        <v>8.0000000000000002E-3</v>
      </c>
    </row>
    <row r="150" spans="1:32" ht="15" customHeight="1">
      <c r="A150" s="7" t="s">
        <v>872</v>
      </c>
      <c r="B150" s="16" t="s">
        <v>382</v>
      </c>
      <c r="C150" s="18">
        <f>'AEO 2023 Table 49 Raw'!F137</f>
        <v>2.483E-3</v>
      </c>
      <c r="D150" s="18">
        <f>'AEO 2023 Table 49 Raw'!G137</f>
        <v>2.4729999999999999E-3</v>
      </c>
      <c r="E150" s="18">
        <f>'AEO 2023 Table 49 Raw'!H137</f>
        <v>2.4919999999999999E-3</v>
      </c>
      <c r="F150" s="18">
        <f>'AEO 2023 Table 49 Raw'!I137</f>
        <v>2.5439999999999998E-3</v>
      </c>
      <c r="G150" s="18">
        <f>'AEO 2023 Table 49 Raw'!J137</f>
        <v>2.6310000000000001E-3</v>
      </c>
      <c r="H150" s="18">
        <f>'AEO 2023 Table 49 Raw'!K137</f>
        <v>2.7360000000000002E-3</v>
      </c>
      <c r="I150" s="18">
        <f>'AEO 2023 Table 49 Raw'!L137</f>
        <v>2.8579999999999999E-3</v>
      </c>
      <c r="J150" s="18">
        <f>'AEO 2023 Table 49 Raw'!M137</f>
        <v>2.9759999999999999E-3</v>
      </c>
      <c r="K150" s="18">
        <f>'AEO 2023 Table 49 Raw'!N137</f>
        <v>3.104E-3</v>
      </c>
      <c r="L150" s="18">
        <f>'AEO 2023 Table 49 Raw'!O137</f>
        <v>3.2360000000000002E-3</v>
      </c>
      <c r="M150" s="18">
        <f>'AEO 2023 Table 49 Raw'!P137</f>
        <v>3.3869999999999998E-3</v>
      </c>
      <c r="N150" s="18">
        <f>'AEO 2023 Table 49 Raw'!Q137</f>
        <v>3.565E-3</v>
      </c>
      <c r="O150" s="18">
        <f>'AEO 2023 Table 49 Raw'!R137</f>
        <v>3.7369999999999999E-3</v>
      </c>
      <c r="P150" s="18">
        <f>'AEO 2023 Table 49 Raw'!S137</f>
        <v>3.9110000000000004E-3</v>
      </c>
      <c r="Q150" s="18">
        <f>'AEO 2023 Table 49 Raw'!T137</f>
        <v>4.1190000000000003E-3</v>
      </c>
      <c r="R150" s="18">
        <f>'AEO 2023 Table 49 Raw'!U137</f>
        <v>4.365E-3</v>
      </c>
      <c r="S150" s="18">
        <f>'AEO 2023 Table 49 Raw'!V137</f>
        <v>4.6490000000000004E-3</v>
      </c>
      <c r="T150" s="18">
        <f>'AEO 2023 Table 49 Raw'!W137</f>
        <v>4.9719999999999999E-3</v>
      </c>
      <c r="U150" s="18">
        <f>'AEO 2023 Table 49 Raw'!X137</f>
        <v>5.3280000000000003E-3</v>
      </c>
      <c r="V150" s="18">
        <f>'AEO 2023 Table 49 Raw'!Y137</f>
        <v>5.7099999999999998E-3</v>
      </c>
      <c r="W150" s="18">
        <f>'AEO 2023 Table 49 Raw'!Z137</f>
        <v>6.117E-3</v>
      </c>
      <c r="X150" s="18">
        <f>'AEO 2023 Table 49 Raw'!AA137</f>
        <v>6.5510000000000004E-3</v>
      </c>
      <c r="Y150" s="18">
        <f>'AEO 2023 Table 49 Raw'!AB137</f>
        <v>7.0089999999999996E-3</v>
      </c>
      <c r="Z150" s="18">
        <f>'AEO 2023 Table 49 Raw'!AC137</f>
        <v>7.4830000000000001E-3</v>
      </c>
      <c r="AA150" s="18">
        <f>'AEO 2023 Table 49 Raw'!AD137</f>
        <v>7.9690000000000004E-3</v>
      </c>
      <c r="AB150" s="18">
        <f>'AEO 2023 Table 49 Raw'!AE137</f>
        <v>8.4659999999999996E-3</v>
      </c>
      <c r="AC150" s="18">
        <f>'AEO 2023 Table 49 Raw'!AF137</f>
        <v>8.9730000000000001E-3</v>
      </c>
      <c r="AD150" s="18">
        <f>'AEO 2023 Table 49 Raw'!AG137</f>
        <v>9.4160000000000008E-3</v>
      </c>
      <c r="AE150" s="18">
        <f>'AEO 2023 Table 49 Raw'!AH137</f>
        <v>9.8849999999999997E-3</v>
      </c>
      <c r="AF150" s="30">
        <f>'AEO 2023 Table 49 Raw'!AI137</f>
        <v>5.0999999999999997E-2</v>
      </c>
    </row>
    <row r="151" spans="1:32" ht="15" customHeight="1">
      <c r="A151" s="7" t="s">
        <v>873</v>
      </c>
      <c r="B151" s="16" t="s">
        <v>741</v>
      </c>
      <c r="C151" s="18">
        <f>'AEO 2023 Table 49 Raw'!F138</f>
        <v>2.431E-3</v>
      </c>
      <c r="D151" s="18">
        <f>'AEO 2023 Table 49 Raw'!G138</f>
        <v>2.4499999999999999E-3</v>
      </c>
      <c r="E151" s="18">
        <f>'AEO 2023 Table 49 Raw'!H138</f>
        <v>2.457E-3</v>
      </c>
      <c r="F151" s="18">
        <f>'AEO 2023 Table 49 Raw'!I138</f>
        <v>2.4559999999999998E-3</v>
      </c>
      <c r="G151" s="18">
        <f>'AEO 2023 Table 49 Raw'!J138</f>
        <v>2.447E-3</v>
      </c>
      <c r="H151" s="18">
        <f>'AEO 2023 Table 49 Raw'!K138</f>
        <v>2.4299999999999999E-3</v>
      </c>
      <c r="I151" s="18">
        <f>'AEO 2023 Table 49 Raw'!L138</f>
        <v>2.4030000000000002E-3</v>
      </c>
      <c r="J151" s="18">
        <f>'AEO 2023 Table 49 Raw'!M138</f>
        <v>2.369E-3</v>
      </c>
      <c r="K151" s="18">
        <f>'AEO 2023 Table 49 Raw'!N138</f>
        <v>2.3259999999999999E-3</v>
      </c>
      <c r="L151" s="18">
        <f>'AEO 2023 Table 49 Raw'!O138</f>
        <v>2.2750000000000001E-3</v>
      </c>
      <c r="M151" s="18">
        <f>'AEO 2023 Table 49 Raw'!P138</f>
        <v>2.2179999999999999E-3</v>
      </c>
      <c r="N151" s="18">
        <f>'AEO 2023 Table 49 Raw'!Q138</f>
        <v>2.1559999999999999E-3</v>
      </c>
      <c r="O151" s="18">
        <f>'AEO 2023 Table 49 Raw'!R138</f>
        <v>2.0869999999999999E-3</v>
      </c>
      <c r="P151" s="18">
        <f>'AEO 2023 Table 49 Raw'!S138</f>
        <v>2.0119999999999999E-3</v>
      </c>
      <c r="Q151" s="18">
        <f>'AEO 2023 Table 49 Raw'!T138</f>
        <v>1.926E-3</v>
      </c>
      <c r="R151" s="18">
        <f>'AEO 2023 Table 49 Raw'!U138</f>
        <v>1.8400000000000001E-3</v>
      </c>
      <c r="S151" s="18">
        <f>'AEO 2023 Table 49 Raw'!V138</f>
        <v>1.7520000000000001E-3</v>
      </c>
      <c r="T151" s="18">
        <f>'AEO 2023 Table 49 Raw'!W138</f>
        <v>1.67E-3</v>
      </c>
      <c r="U151" s="18">
        <f>'AEO 2023 Table 49 Raw'!X138</f>
        <v>1.593E-3</v>
      </c>
      <c r="V151" s="18">
        <f>'AEO 2023 Table 49 Raw'!Y138</f>
        <v>1.5039999999999999E-3</v>
      </c>
      <c r="W151" s="18">
        <f>'AEO 2023 Table 49 Raw'!Z138</f>
        <v>1.4250000000000001E-3</v>
      </c>
      <c r="X151" s="18">
        <f>'AEO 2023 Table 49 Raw'!AA138</f>
        <v>1.3209999999999999E-3</v>
      </c>
      <c r="Y151" s="18">
        <f>'AEO 2023 Table 49 Raw'!AB138</f>
        <v>1.209E-3</v>
      </c>
      <c r="Z151" s="18">
        <f>'AEO 2023 Table 49 Raw'!AC138</f>
        <v>1.1169999999999999E-3</v>
      </c>
      <c r="AA151" s="18">
        <f>'AEO 2023 Table 49 Raw'!AD138</f>
        <v>1.0380000000000001E-3</v>
      </c>
      <c r="AB151" s="18">
        <f>'AEO 2023 Table 49 Raw'!AE138</f>
        <v>9.5399999999999999E-4</v>
      </c>
      <c r="AC151" s="18">
        <f>'AEO 2023 Table 49 Raw'!AF138</f>
        <v>8.6600000000000002E-4</v>
      </c>
      <c r="AD151" s="18">
        <f>'AEO 2023 Table 49 Raw'!AG138</f>
        <v>7.8600000000000002E-4</v>
      </c>
      <c r="AE151" s="18">
        <f>'AEO 2023 Table 49 Raw'!AH138</f>
        <v>7.1699999999999997E-4</v>
      </c>
      <c r="AF151" s="30">
        <f>'AEO 2023 Table 49 Raw'!AI138</f>
        <v>-4.2999999999999997E-2</v>
      </c>
    </row>
    <row r="152" spans="1:32" ht="15" customHeight="1">
      <c r="A152" s="7" t="s">
        <v>874</v>
      </c>
      <c r="B152" s="16" t="s">
        <v>743</v>
      </c>
      <c r="C152" s="18">
        <f>'AEO 2023 Table 49 Raw'!F139</f>
        <v>3.3873E-2</v>
      </c>
      <c r="D152" s="18">
        <f>'AEO 2023 Table 49 Raw'!G139</f>
        <v>3.6921000000000002E-2</v>
      </c>
      <c r="E152" s="18">
        <f>'AEO 2023 Table 49 Raw'!H139</f>
        <v>4.0156999999999998E-2</v>
      </c>
      <c r="F152" s="18">
        <f>'AEO 2023 Table 49 Raw'!I139</f>
        <v>4.3819999999999998E-2</v>
      </c>
      <c r="G152" s="18">
        <f>'AEO 2023 Table 49 Raw'!J139</f>
        <v>4.8011999999999999E-2</v>
      </c>
      <c r="H152" s="18">
        <f>'AEO 2023 Table 49 Raw'!K139</f>
        <v>5.2770999999999998E-2</v>
      </c>
      <c r="I152" s="18">
        <f>'AEO 2023 Table 49 Raw'!L139</f>
        <v>5.7967999999999999E-2</v>
      </c>
      <c r="J152" s="18">
        <f>'AEO 2023 Table 49 Raw'!M139</f>
        <v>6.3547999999999993E-2</v>
      </c>
      <c r="K152" s="18">
        <f>'AEO 2023 Table 49 Raw'!N139</f>
        <v>6.9445000000000007E-2</v>
      </c>
      <c r="L152" s="18">
        <f>'AEO 2023 Table 49 Raw'!O139</f>
        <v>7.5789999999999996E-2</v>
      </c>
      <c r="M152" s="18">
        <f>'AEO 2023 Table 49 Raw'!P139</f>
        <v>8.2756999999999997E-2</v>
      </c>
      <c r="N152" s="18">
        <f>'AEO 2023 Table 49 Raw'!Q139</f>
        <v>9.0409000000000003E-2</v>
      </c>
      <c r="O152" s="18">
        <f>'AEO 2023 Table 49 Raw'!R139</f>
        <v>9.8462999999999995E-2</v>
      </c>
      <c r="P152" s="18">
        <f>'AEO 2023 Table 49 Raw'!S139</f>
        <v>0.10691199999999999</v>
      </c>
      <c r="Q152" s="18">
        <f>'AEO 2023 Table 49 Raw'!T139</f>
        <v>0.11577800000000001</v>
      </c>
      <c r="R152" s="18">
        <f>'AEO 2023 Table 49 Raw'!U139</f>
        <v>0.125143</v>
      </c>
      <c r="S152" s="18">
        <f>'AEO 2023 Table 49 Raw'!V139</f>
        <v>0.134995</v>
      </c>
      <c r="T152" s="18">
        <f>'AEO 2023 Table 49 Raw'!W139</f>
        <v>0.145313</v>
      </c>
      <c r="U152" s="18">
        <f>'AEO 2023 Table 49 Raw'!X139</f>
        <v>0.15598699999999999</v>
      </c>
      <c r="V152" s="18">
        <f>'AEO 2023 Table 49 Raw'!Y139</f>
        <v>0.166876</v>
      </c>
      <c r="W152" s="18">
        <f>'AEO 2023 Table 49 Raw'!Z139</f>
        <v>0.17783499999999999</v>
      </c>
      <c r="X152" s="18">
        <f>'AEO 2023 Table 49 Raw'!AA139</f>
        <v>0.18885399999999999</v>
      </c>
      <c r="Y152" s="18">
        <f>'AEO 2023 Table 49 Raw'!AB139</f>
        <v>0.19978299999999999</v>
      </c>
      <c r="Z152" s="18">
        <f>'AEO 2023 Table 49 Raw'!AC139</f>
        <v>0.210512</v>
      </c>
      <c r="AA152" s="18">
        <f>'AEO 2023 Table 49 Raw'!AD139</f>
        <v>0.22093399999999999</v>
      </c>
      <c r="AB152" s="18">
        <f>'AEO 2023 Table 49 Raw'!AE139</f>
        <v>0.23105999999999999</v>
      </c>
      <c r="AC152" s="18">
        <f>'AEO 2023 Table 49 Raw'!AF139</f>
        <v>0.24081900000000001</v>
      </c>
      <c r="AD152" s="18">
        <f>'AEO 2023 Table 49 Raw'!AG139</f>
        <v>0.25052000000000002</v>
      </c>
      <c r="AE152" s="18">
        <f>'AEO 2023 Table 49 Raw'!AH139</f>
        <v>0.260079</v>
      </c>
      <c r="AF152" s="30">
        <f>'AEO 2023 Table 49 Raw'!AI139</f>
        <v>7.5999999999999998E-2</v>
      </c>
    </row>
    <row r="153" spans="1:32" ht="15" customHeight="1">
      <c r="A153" s="7" t="s">
        <v>875</v>
      </c>
      <c r="B153" s="16" t="s">
        <v>745</v>
      </c>
      <c r="C153" s="18">
        <f>'AEO 2023 Table 49 Raw'!F140</f>
        <v>2.41E-4</v>
      </c>
      <c r="D153" s="18">
        <f>'AEO 2023 Table 49 Raw'!G140</f>
        <v>2.9E-4</v>
      </c>
      <c r="E153" s="18">
        <f>'AEO 2023 Table 49 Raw'!H140</f>
        <v>3.3199999999999999E-4</v>
      </c>
      <c r="F153" s="18">
        <f>'AEO 2023 Table 49 Raw'!I140</f>
        <v>3.7199999999999999E-4</v>
      </c>
      <c r="G153" s="18">
        <f>'AEO 2023 Table 49 Raw'!J140</f>
        <v>4.08E-4</v>
      </c>
      <c r="H153" s="18">
        <f>'AEO 2023 Table 49 Raw'!K140</f>
        <v>4.4000000000000002E-4</v>
      </c>
      <c r="I153" s="18">
        <f>'AEO 2023 Table 49 Raw'!L140</f>
        <v>4.6799999999999999E-4</v>
      </c>
      <c r="J153" s="18">
        <f>'AEO 2023 Table 49 Raw'!M140</f>
        <v>4.9100000000000001E-4</v>
      </c>
      <c r="K153" s="18">
        <f>'AEO 2023 Table 49 Raw'!N140</f>
        <v>5.0900000000000001E-4</v>
      </c>
      <c r="L153" s="18">
        <f>'AEO 2023 Table 49 Raw'!O140</f>
        <v>5.2300000000000003E-4</v>
      </c>
      <c r="M153" s="18">
        <f>'AEO 2023 Table 49 Raw'!P140</f>
        <v>5.3300000000000005E-4</v>
      </c>
      <c r="N153" s="18">
        <f>'AEO 2023 Table 49 Raw'!Q140</f>
        <v>5.4000000000000001E-4</v>
      </c>
      <c r="O153" s="18">
        <f>'AEO 2023 Table 49 Raw'!R140</f>
        <v>5.4299999999999997E-4</v>
      </c>
      <c r="P153" s="18">
        <f>'AEO 2023 Table 49 Raw'!S140</f>
        <v>5.4299999999999997E-4</v>
      </c>
      <c r="Q153" s="18">
        <f>'AEO 2023 Table 49 Raw'!T140</f>
        <v>5.4000000000000001E-4</v>
      </c>
      <c r="R153" s="18">
        <f>'AEO 2023 Table 49 Raw'!U140</f>
        <v>5.3399999999999997E-4</v>
      </c>
      <c r="S153" s="18">
        <f>'AEO 2023 Table 49 Raw'!V140</f>
        <v>5.2700000000000002E-4</v>
      </c>
      <c r="T153" s="18">
        <f>'AEO 2023 Table 49 Raw'!W140</f>
        <v>5.1800000000000001E-4</v>
      </c>
      <c r="U153" s="18">
        <f>'AEO 2023 Table 49 Raw'!X140</f>
        <v>5.0600000000000005E-4</v>
      </c>
      <c r="V153" s="18">
        <f>'AEO 2023 Table 49 Raw'!Y140</f>
        <v>4.9399999999999997E-4</v>
      </c>
      <c r="W153" s="18">
        <f>'AEO 2023 Table 49 Raw'!Z140</f>
        <v>4.8000000000000001E-4</v>
      </c>
      <c r="X153" s="18">
        <f>'AEO 2023 Table 49 Raw'!AA140</f>
        <v>4.6500000000000003E-4</v>
      </c>
      <c r="Y153" s="18">
        <f>'AEO 2023 Table 49 Raw'!AB140</f>
        <v>4.4900000000000002E-4</v>
      </c>
      <c r="Z153" s="18">
        <f>'AEO 2023 Table 49 Raw'!AC140</f>
        <v>4.3300000000000001E-4</v>
      </c>
      <c r="AA153" s="18">
        <f>'AEO 2023 Table 49 Raw'!AD140</f>
        <v>4.1599999999999997E-4</v>
      </c>
      <c r="AB153" s="18">
        <f>'AEO 2023 Table 49 Raw'!AE140</f>
        <v>3.9899999999999999E-4</v>
      </c>
      <c r="AC153" s="18">
        <f>'AEO 2023 Table 49 Raw'!AF140</f>
        <v>3.8200000000000002E-4</v>
      </c>
      <c r="AD153" s="18">
        <f>'AEO 2023 Table 49 Raw'!AG140</f>
        <v>3.6400000000000001E-4</v>
      </c>
      <c r="AE153" s="18">
        <f>'AEO 2023 Table 49 Raw'!AH140</f>
        <v>3.4699999999999998E-4</v>
      </c>
      <c r="AF153" s="30">
        <f>'AEO 2023 Table 49 Raw'!AI140</f>
        <v>1.2999999999999999E-2</v>
      </c>
    </row>
    <row r="154" spans="1:32" ht="15" customHeight="1">
      <c r="A154" s="7" t="s">
        <v>876</v>
      </c>
      <c r="B154" s="16" t="s">
        <v>747</v>
      </c>
      <c r="C154" s="18">
        <f>'AEO 2023 Table 49 Raw'!F141</f>
        <v>0</v>
      </c>
      <c r="D154" s="18">
        <f>'AEO 2023 Table 49 Raw'!G141</f>
        <v>0</v>
      </c>
      <c r="E154" s="18">
        <f>'AEO 2023 Table 49 Raw'!H141</f>
        <v>1.8599999999999999E-4</v>
      </c>
      <c r="F154" s="18">
        <f>'AEO 2023 Table 49 Raw'!I141</f>
        <v>3.88E-4</v>
      </c>
      <c r="G154" s="18">
        <f>'AEO 2023 Table 49 Raw'!J141</f>
        <v>6.0300000000000002E-4</v>
      </c>
      <c r="H154" s="18">
        <f>'AEO 2023 Table 49 Raw'!K141</f>
        <v>8.2799999999999996E-4</v>
      </c>
      <c r="I154" s="18">
        <f>'AEO 2023 Table 49 Raw'!L141</f>
        <v>1.06E-3</v>
      </c>
      <c r="J154" s="18">
        <f>'AEO 2023 Table 49 Raw'!M141</f>
        <v>1.297E-3</v>
      </c>
      <c r="K154" s="18">
        <f>'AEO 2023 Table 49 Raw'!N141</f>
        <v>1.5330000000000001E-3</v>
      </c>
      <c r="L154" s="18">
        <f>'AEO 2023 Table 49 Raw'!O141</f>
        <v>1.771E-3</v>
      </c>
      <c r="M154" s="18">
        <f>'AEO 2023 Table 49 Raw'!P141</f>
        <v>2.016E-3</v>
      </c>
      <c r="N154" s="18">
        <f>'AEO 2023 Table 49 Raw'!Q141</f>
        <v>2.271E-3</v>
      </c>
      <c r="O154" s="18">
        <f>'AEO 2023 Table 49 Raw'!R141</f>
        <v>2.5300000000000001E-3</v>
      </c>
      <c r="P154" s="18">
        <f>'AEO 2023 Table 49 Raw'!S141</f>
        <v>2.7929999999999999E-3</v>
      </c>
      <c r="Q154" s="18">
        <f>'AEO 2023 Table 49 Raw'!T141</f>
        <v>3.0660000000000001E-3</v>
      </c>
      <c r="R154" s="18">
        <f>'AEO 2023 Table 49 Raw'!U141</f>
        <v>3.3540000000000002E-3</v>
      </c>
      <c r="S154" s="18">
        <f>'AEO 2023 Table 49 Raw'!V141</f>
        <v>3.6589999999999999E-3</v>
      </c>
      <c r="T154" s="18">
        <f>'AEO 2023 Table 49 Raw'!W141</f>
        <v>3.9839999999999997E-3</v>
      </c>
      <c r="U154" s="18">
        <f>'AEO 2023 Table 49 Raw'!X141</f>
        <v>4.3280000000000002E-3</v>
      </c>
      <c r="V154" s="18">
        <f>'AEO 2023 Table 49 Raw'!Y141</f>
        <v>4.692E-3</v>
      </c>
      <c r="W154" s="18">
        <f>'AEO 2023 Table 49 Raw'!Z141</f>
        <v>5.0749999999999997E-3</v>
      </c>
      <c r="X154" s="18">
        <f>'AEO 2023 Table 49 Raw'!AA141</f>
        <v>5.483E-3</v>
      </c>
      <c r="Y154" s="18">
        <f>'AEO 2023 Table 49 Raw'!AB141</f>
        <v>5.9129999999999999E-3</v>
      </c>
      <c r="Z154" s="18">
        <f>'AEO 2023 Table 49 Raw'!AC141</f>
        <v>6.3600000000000002E-3</v>
      </c>
      <c r="AA154" s="18">
        <f>'AEO 2023 Table 49 Raw'!AD141</f>
        <v>6.8240000000000002E-3</v>
      </c>
      <c r="AB154" s="18">
        <f>'AEO 2023 Table 49 Raw'!AE141</f>
        <v>7.3049999999999999E-3</v>
      </c>
      <c r="AC154" s="18">
        <f>'AEO 2023 Table 49 Raw'!AF141</f>
        <v>7.8040000000000002E-3</v>
      </c>
      <c r="AD154" s="18">
        <f>'AEO 2023 Table 49 Raw'!AG141</f>
        <v>8.3219999999999995E-3</v>
      </c>
      <c r="AE154" s="18">
        <f>'AEO 2023 Table 49 Raw'!AH141</f>
        <v>8.8590000000000006E-3</v>
      </c>
      <c r="AF154" s="30" t="str">
        <f>'AEO 2023 Table 49 Raw'!AI141</f>
        <v>- -</v>
      </c>
    </row>
    <row r="155" spans="1:32" ht="15" customHeight="1">
      <c r="A155" s="7" t="s">
        <v>877</v>
      </c>
      <c r="B155" s="16" t="s">
        <v>749</v>
      </c>
      <c r="C155" s="18">
        <f>'AEO 2023 Table 49 Raw'!F142</f>
        <v>0</v>
      </c>
      <c r="D155" s="18">
        <f>'AEO 2023 Table 49 Raw'!G142</f>
        <v>0</v>
      </c>
      <c r="E155" s="18">
        <f>'AEO 2023 Table 49 Raw'!H142</f>
        <v>1.8599999999999999E-4</v>
      </c>
      <c r="F155" s="18">
        <f>'AEO 2023 Table 49 Raw'!I142</f>
        <v>3.8200000000000002E-4</v>
      </c>
      <c r="G155" s="18">
        <f>'AEO 2023 Table 49 Raw'!J142</f>
        <v>5.8600000000000004E-4</v>
      </c>
      <c r="H155" s="18">
        <f>'AEO 2023 Table 49 Raw'!K142</f>
        <v>7.9500000000000003E-4</v>
      </c>
      <c r="I155" s="18">
        <f>'AEO 2023 Table 49 Raw'!L142</f>
        <v>1.0089999999999999E-3</v>
      </c>
      <c r="J155" s="18">
        <f>'AEO 2023 Table 49 Raw'!M142</f>
        <v>1.224E-3</v>
      </c>
      <c r="K155" s="18">
        <f>'AEO 2023 Table 49 Raw'!N142</f>
        <v>1.438E-3</v>
      </c>
      <c r="L155" s="18">
        <f>'AEO 2023 Table 49 Raw'!O142</f>
        <v>1.658E-3</v>
      </c>
      <c r="M155" s="18">
        <f>'AEO 2023 Table 49 Raw'!P142</f>
        <v>1.8890000000000001E-3</v>
      </c>
      <c r="N155" s="18">
        <f>'AEO 2023 Table 49 Raw'!Q142</f>
        <v>2.1380000000000001E-3</v>
      </c>
      <c r="O155" s="18">
        <f>'AEO 2023 Table 49 Raw'!R142</f>
        <v>2.3969999999999998E-3</v>
      </c>
      <c r="P155" s="18">
        <f>'AEO 2023 Table 49 Raw'!S142</f>
        <v>2.6689999999999999E-3</v>
      </c>
      <c r="Q155" s="18">
        <f>'AEO 2023 Table 49 Raw'!T142</f>
        <v>2.9610000000000001E-3</v>
      </c>
      <c r="R155" s="18">
        <f>'AEO 2023 Table 49 Raw'!U142</f>
        <v>3.2780000000000001E-3</v>
      </c>
      <c r="S155" s="18">
        <f>'AEO 2023 Table 49 Raw'!V142</f>
        <v>3.627E-3</v>
      </c>
      <c r="T155" s="18">
        <f>'AEO 2023 Table 49 Raw'!W142</f>
        <v>4.0109999999999998E-3</v>
      </c>
      <c r="U155" s="18">
        <f>'AEO 2023 Table 49 Raw'!X142</f>
        <v>4.4349999999999997E-3</v>
      </c>
      <c r="V155" s="18">
        <f>'AEO 2023 Table 49 Raw'!Y142</f>
        <v>4.8970000000000003E-3</v>
      </c>
      <c r="W155" s="18">
        <f>'AEO 2023 Table 49 Raw'!Z142</f>
        <v>5.4000000000000003E-3</v>
      </c>
      <c r="X155" s="18">
        <f>'AEO 2023 Table 49 Raw'!AA142</f>
        <v>5.9490000000000003E-3</v>
      </c>
      <c r="Y155" s="18">
        <f>'AEO 2023 Table 49 Raw'!AB142</f>
        <v>6.5420000000000001E-3</v>
      </c>
      <c r="Z155" s="18">
        <f>'AEO 2023 Table 49 Raw'!AC142</f>
        <v>7.1739999999999998E-3</v>
      </c>
      <c r="AA155" s="18">
        <f>'AEO 2023 Table 49 Raw'!AD142</f>
        <v>7.8429999999999993E-3</v>
      </c>
      <c r="AB155" s="18">
        <f>'AEO 2023 Table 49 Raw'!AE142</f>
        <v>8.548E-3</v>
      </c>
      <c r="AC155" s="18">
        <f>'AEO 2023 Table 49 Raw'!AF142</f>
        <v>9.2890000000000004E-3</v>
      </c>
      <c r="AD155" s="18">
        <f>'AEO 2023 Table 49 Raw'!AG142</f>
        <v>1.0071999999999999E-2</v>
      </c>
      <c r="AE155" s="18">
        <f>'AEO 2023 Table 49 Raw'!AH142</f>
        <v>1.0888999999999999E-2</v>
      </c>
      <c r="AF155" s="30" t="str">
        <f>'AEO 2023 Table 49 Raw'!AI142</f>
        <v>- -</v>
      </c>
    </row>
    <row r="156" spans="1:32" ht="15" customHeight="1">
      <c r="A156" s="7" t="s">
        <v>878</v>
      </c>
      <c r="B156" s="16" t="s">
        <v>751</v>
      </c>
      <c r="C156" s="18">
        <f>'AEO 2023 Table 49 Raw'!F143</f>
        <v>0</v>
      </c>
      <c r="D156" s="18">
        <f>'AEO 2023 Table 49 Raw'!G143</f>
        <v>0</v>
      </c>
      <c r="E156" s="18">
        <f>'AEO 2023 Table 49 Raw'!H143</f>
        <v>3.1100000000000002E-4</v>
      </c>
      <c r="F156" s="18">
        <f>'AEO 2023 Table 49 Raw'!I143</f>
        <v>6.5099999999999999E-4</v>
      </c>
      <c r="G156" s="18">
        <f>'AEO 2023 Table 49 Raw'!J143</f>
        <v>1.018E-3</v>
      </c>
      <c r="H156" s="18">
        <f>'AEO 2023 Table 49 Raw'!K143</f>
        <v>1.4040000000000001E-3</v>
      </c>
      <c r="I156" s="18">
        <f>'AEO 2023 Table 49 Raw'!L143</f>
        <v>1.8060000000000001E-3</v>
      </c>
      <c r="J156" s="18">
        <f>'AEO 2023 Table 49 Raw'!M143</f>
        <v>2.2160000000000001E-3</v>
      </c>
      <c r="K156" s="18">
        <f>'AEO 2023 Table 49 Raw'!N143</f>
        <v>2.6259999999999999E-3</v>
      </c>
      <c r="L156" s="18">
        <f>'AEO 2023 Table 49 Raw'!O143</f>
        <v>3.039E-3</v>
      </c>
      <c r="M156" s="18">
        <f>'AEO 2023 Table 49 Raw'!P143</f>
        <v>3.4629999999999999E-3</v>
      </c>
      <c r="N156" s="18">
        <f>'AEO 2023 Table 49 Raw'!Q143</f>
        <v>3.8990000000000001E-3</v>
      </c>
      <c r="O156" s="18">
        <f>'AEO 2023 Table 49 Raw'!R143</f>
        <v>4.3400000000000001E-3</v>
      </c>
      <c r="P156" s="18">
        <f>'AEO 2023 Table 49 Raw'!S143</f>
        <v>4.79E-3</v>
      </c>
      <c r="Q156" s="18">
        <f>'AEO 2023 Table 49 Raw'!T143</f>
        <v>5.2560000000000003E-3</v>
      </c>
      <c r="R156" s="18">
        <f>'AEO 2023 Table 49 Raw'!U143</f>
        <v>5.7499999999999999E-3</v>
      </c>
      <c r="S156" s="18">
        <f>'AEO 2023 Table 49 Raw'!V143</f>
        <v>6.2779999999999997E-3</v>
      </c>
      <c r="T156" s="18">
        <f>'AEO 2023 Table 49 Raw'!W143</f>
        <v>6.8459999999999997E-3</v>
      </c>
      <c r="U156" s="18">
        <f>'AEO 2023 Table 49 Raw'!X143</f>
        <v>7.456E-3</v>
      </c>
      <c r="V156" s="18">
        <f>'AEO 2023 Table 49 Raw'!Y143</f>
        <v>8.1049999999999994E-3</v>
      </c>
      <c r="W156" s="18">
        <f>'AEO 2023 Table 49 Raw'!Z143</f>
        <v>8.7980000000000003E-3</v>
      </c>
      <c r="X156" s="18">
        <f>'AEO 2023 Table 49 Raw'!AA143</f>
        <v>9.5399999999999999E-3</v>
      </c>
      <c r="Y156" s="18">
        <f>'AEO 2023 Table 49 Raw'!AB143</f>
        <v>1.0331E-2</v>
      </c>
      <c r="Z156" s="18">
        <f>'AEO 2023 Table 49 Raw'!AC143</f>
        <v>1.1159000000000001E-2</v>
      </c>
      <c r="AA156" s="18">
        <f>'AEO 2023 Table 49 Raw'!AD143</f>
        <v>1.2024999999999999E-2</v>
      </c>
      <c r="AB156" s="18">
        <f>'AEO 2023 Table 49 Raw'!AE143</f>
        <v>1.2926999999999999E-2</v>
      </c>
      <c r="AC156" s="18">
        <f>'AEO 2023 Table 49 Raw'!AF143</f>
        <v>1.3868999999999999E-2</v>
      </c>
      <c r="AD156" s="18">
        <f>'AEO 2023 Table 49 Raw'!AG143</f>
        <v>1.4857E-2</v>
      </c>
      <c r="AE156" s="18">
        <f>'AEO 2023 Table 49 Raw'!AH143</f>
        <v>1.5883999999999999E-2</v>
      </c>
      <c r="AF156" s="30" t="str">
        <f>'AEO 2023 Table 49 Raw'!AI143</f>
        <v>- -</v>
      </c>
    </row>
    <row r="157" spans="1:32" ht="15" customHeight="1">
      <c r="A157" s="7" t="s">
        <v>879</v>
      </c>
      <c r="B157" s="16" t="s">
        <v>765</v>
      </c>
      <c r="C157" s="18">
        <f>'AEO 2023 Table 49 Raw'!F144</f>
        <v>3.7775319999999999</v>
      </c>
      <c r="D157" s="18">
        <f>'AEO 2023 Table 49 Raw'!G144</f>
        <v>3.8016570000000001</v>
      </c>
      <c r="E157" s="18">
        <f>'AEO 2023 Table 49 Raw'!H144</f>
        <v>3.826797</v>
      </c>
      <c r="F157" s="18">
        <f>'AEO 2023 Table 49 Raw'!I144</f>
        <v>3.8675039999999998</v>
      </c>
      <c r="G157" s="18">
        <f>'AEO 2023 Table 49 Raw'!J144</f>
        <v>3.921414</v>
      </c>
      <c r="H157" s="18">
        <f>'AEO 2023 Table 49 Raw'!K144</f>
        <v>3.9823469999999999</v>
      </c>
      <c r="I157" s="18">
        <f>'AEO 2023 Table 49 Raw'!L144</f>
        <v>4.0465749999999998</v>
      </c>
      <c r="J157" s="18">
        <f>'AEO 2023 Table 49 Raw'!M144</f>
        <v>4.1079509999999999</v>
      </c>
      <c r="K157" s="18">
        <f>'AEO 2023 Table 49 Raw'!N144</f>
        <v>4.1667870000000002</v>
      </c>
      <c r="L157" s="18">
        <f>'AEO 2023 Table 49 Raw'!O144</f>
        <v>4.2190009999999996</v>
      </c>
      <c r="M157" s="18">
        <f>'AEO 2023 Table 49 Raw'!P144</f>
        <v>4.273854</v>
      </c>
      <c r="N157" s="18">
        <f>'AEO 2023 Table 49 Raw'!Q144</f>
        <v>4.321345</v>
      </c>
      <c r="O157" s="18">
        <f>'AEO 2023 Table 49 Raw'!R144</f>
        <v>4.3609059999999999</v>
      </c>
      <c r="P157" s="18">
        <f>'AEO 2023 Table 49 Raw'!S144</f>
        <v>4.4007839999999998</v>
      </c>
      <c r="Q157" s="18">
        <f>'AEO 2023 Table 49 Raw'!T144</f>
        <v>4.4430269999999998</v>
      </c>
      <c r="R157" s="18">
        <f>'AEO 2023 Table 49 Raw'!U144</f>
        <v>4.488836</v>
      </c>
      <c r="S157" s="18">
        <f>'AEO 2023 Table 49 Raw'!V144</f>
        <v>4.5369330000000003</v>
      </c>
      <c r="T157" s="18">
        <f>'AEO 2023 Table 49 Raw'!W144</f>
        <v>4.5874480000000002</v>
      </c>
      <c r="U157" s="18">
        <f>'AEO 2023 Table 49 Raw'!X144</f>
        <v>4.6354730000000002</v>
      </c>
      <c r="V157" s="18">
        <f>'AEO 2023 Table 49 Raw'!Y144</f>
        <v>4.6823509999999997</v>
      </c>
      <c r="W157" s="18">
        <f>'AEO 2023 Table 49 Raw'!Z144</f>
        <v>4.7306100000000004</v>
      </c>
      <c r="X157" s="18">
        <f>'AEO 2023 Table 49 Raw'!AA144</f>
        <v>4.7883639999999996</v>
      </c>
      <c r="Y157" s="18">
        <f>'AEO 2023 Table 49 Raw'!AB144</f>
        <v>4.8528969999999996</v>
      </c>
      <c r="Z157" s="18">
        <f>'AEO 2023 Table 49 Raw'!AC144</f>
        <v>4.9154470000000003</v>
      </c>
      <c r="AA157" s="18">
        <f>'AEO 2023 Table 49 Raw'!AD144</f>
        <v>4.9732979999999998</v>
      </c>
      <c r="AB157" s="18">
        <f>'AEO 2023 Table 49 Raw'!AE144</f>
        <v>5.0300529999999997</v>
      </c>
      <c r="AC157" s="18">
        <f>'AEO 2023 Table 49 Raw'!AF144</f>
        <v>5.0859709999999998</v>
      </c>
      <c r="AD157" s="18">
        <f>'AEO 2023 Table 49 Raw'!AG144</f>
        <v>5.1414540000000004</v>
      </c>
      <c r="AE157" s="18">
        <f>'AEO 2023 Table 49 Raw'!AH144</f>
        <v>5.1940850000000003</v>
      </c>
      <c r="AF157" s="30">
        <f>'AEO 2023 Table 49 Raw'!AI144</f>
        <v>1.0999999999999999E-2</v>
      </c>
    </row>
    <row r="158" spans="1:32" ht="15" customHeight="1">
      <c r="B158" s="15" t="s">
        <v>766</v>
      </c>
      <c r="C158" s="18"/>
      <c r="D158" s="18"/>
      <c r="E158" s="18"/>
      <c r="F158" s="18"/>
      <c r="G158" s="18"/>
      <c r="H158" s="18"/>
      <c r="I158" s="18"/>
      <c r="J158" s="18"/>
      <c r="K158" s="18"/>
      <c r="L158" s="18"/>
      <c r="M158" s="18"/>
      <c r="N158" s="18"/>
      <c r="O158" s="18"/>
      <c r="P158" s="18"/>
      <c r="Q158" s="18"/>
      <c r="R158" s="18"/>
      <c r="S158" s="18"/>
      <c r="T158" s="18"/>
      <c r="U158" s="18"/>
      <c r="V158" s="18"/>
      <c r="W158" s="18"/>
      <c r="X158" s="18"/>
      <c r="Y158" s="18"/>
      <c r="Z158" s="18"/>
      <c r="AA158" s="18"/>
      <c r="AB158" s="18"/>
      <c r="AC158" s="18"/>
      <c r="AD158" s="18"/>
      <c r="AE158" s="18"/>
      <c r="AF158" s="30"/>
    </row>
    <row r="159" spans="1:32" ht="15" customHeight="1">
      <c r="A159" s="7" t="s">
        <v>880</v>
      </c>
      <c r="B159" s="16" t="s">
        <v>736</v>
      </c>
      <c r="C159" s="18">
        <f>'AEO 2023 Table 49 Raw'!F146</f>
        <v>5.1944619999999997</v>
      </c>
      <c r="D159" s="18">
        <f>'AEO 2023 Table 49 Raw'!G146</f>
        <v>5.2328229999999998</v>
      </c>
      <c r="E159" s="18">
        <f>'AEO 2023 Table 49 Raw'!H146</f>
        <v>5.2668879999999998</v>
      </c>
      <c r="F159" s="18">
        <f>'AEO 2023 Table 49 Raw'!I146</f>
        <v>5.3193219999999997</v>
      </c>
      <c r="G159" s="18">
        <f>'AEO 2023 Table 49 Raw'!J146</f>
        <v>5.3875500000000001</v>
      </c>
      <c r="H159" s="18">
        <f>'AEO 2023 Table 49 Raw'!K146</f>
        <v>5.4611130000000001</v>
      </c>
      <c r="I159" s="18">
        <f>'AEO 2023 Table 49 Raw'!L146</f>
        <v>5.534211</v>
      </c>
      <c r="J159" s="18">
        <f>'AEO 2023 Table 49 Raw'!M146</f>
        <v>5.597963</v>
      </c>
      <c r="K159" s="18">
        <f>'AEO 2023 Table 49 Raw'!N146</f>
        <v>5.6528239999999998</v>
      </c>
      <c r="L159" s="18">
        <f>'AEO 2023 Table 49 Raw'!O146</f>
        <v>5.7010459999999998</v>
      </c>
      <c r="M159" s="18">
        <f>'AEO 2023 Table 49 Raw'!P146</f>
        <v>5.7446830000000002</v>
      </c>
      <c r="N159" s="18">
        <f>'AEO 2023 Table 49 Raw'!Q146</f>
        <v>5.7797029999999996</v>
      </c>
      <c r="O159" s="18">
        <f>'AEO 2023 Table 49 Raw'!R146</f>
        <v>5.7983529999999996</v>
      </c>
      <c r="P159" s="18">
        <f>'AEO 2023 Table 49 Raw'!S146</f>
        <v>5.8140619999999998</v>
      </c>
      <c r="Q159" s="18">
        <f>'AEO 2023 Table 49 Raw'!T146</f>
        <v>5.8338109999999999</v>
      </c>
      <c r="R159" s="18">
        <f>'AEO 2023 Table 49 Raw'!U146</f>
        <v>5.8552200000000001</v>
      </c>
      <c r="S159" s="18">
        <f>'AEO 2023 Table 49 Raw'!V146</f>
        <v>5.8780659999999996</v>
      </c>
      <c r="T159" s="18">
        <f>'AEO 2023 Table 49 Raw'!W146</f>
        <v>5.8949480000000003</v>
      </c>
      <c r="U159" s="18">
        <f>'AEO 2023 Table 49 Raw'!X146</f>
        <v>5.9060889999999997</v>
      </c>
      <c r="V159" s="18">
        <f>'AEO 2023 Table 49 Raw'!Y146</f>
        <v>5.9044379999999999</v>
      </c>
      <c r="W159" s="18">
        <f>'AEO 2023 Table 49 Raw'!Z146</f>
        <v>5.9129310000000004</v>
      </c>
      <c r="X159" s="18">
        <f>'AEO 2023 Table 49 Raw'!AA146</f>
        <v>5.9276549999999997</v>
      </c>
      <c r="Y159" s="18">
        <f>'AEO 2023 Table 49 Raw'!AB146</f>
        <v>5.9487350000000001</v>
      </c>
      <c r="Z159" s="18">
        <f>'AEO 2023 Table 49 Raw'!AC146</f>
        <v>5.9689170000000003</v>
      </c>
      <c r="AA159" s="18">
        <f>'AEO 2023 Table 49 Raw'!AD146</f>
        <v>5.9804979999999999</v>
      </c>
      <c r="AB159" s="18">
        <f>'AEO 2023 Table 49 Raw'!AE146</f>
        <v>5.985233</v>
      </c>
      <c r="AC159" s="18">
        <f>'AEO 2023 Table 49 Raw'!AF146</f>
        <v>5.9853329999999998</v>
      </c>
      <c r="AD159" s="18">
        <f>'AEO 2023 Table 49 Raw'!AG146</f>
        <v>5.9791749999999997</v>
      </c>
      <c r="AE159" s="18">
        <f>'AEO 2023 Table 49 Raw'!AH146</f>
        <v>5.9653660000000004</v>
      </c>
      <c r="AF159" s="30">
        <f>'AEO 2023 Table 49 Raw'!AI146</f>
        <v>5.0000000000000001E-3</v>
      </c>
    </row>
    <row r="160" spans="1:32" ht="15" customHeight="1">
      <c r="A160" s="7" t="s">
        <v>881</v>
      </c>
      <c r="B160" s="16" t="s">
        <v>738</v>
      </c>
      <c r="C160" s="18">
        <f>'AEO 2023 Table 49 Raw'!F147</f>
        <v>4.3656E-2</v>
      </c>
      <c r="D160" s="18">
        <f>'AEO 2023 Table 49 Raw'!G147</f>
        <v>3.8945E-2</v>
      </c>
      <c r="E160" s="18">
        <f>'AEO 2023 Table 49 Raw'!H147</f>
        <v>3.5015999999999999E-2</v>
      </c>
      <c r="F160" s="18">
        <f>'AEO 2023 Table 49 Raw'!I147</f>
        <v>3.1848000000000001E-2</v>
      </c>
      <c r="G160" s="18">
        <f>'AEO 2023 Table 49 Raw'!J147</f>
        <v>2.9543E-2</v>
      </c>
      <c r="H160" s="18">
        <f>'AEO 2023 Table 49 Raw'!K147</f>
        <v>2.7923E-2</v>
      </c>
      <c r="I160" s="18">
        <f>'AEO 2023 Table 49 Raw'!L147</f>
        <v>2.6786999999999998E-2</v>
      </c>
      <c r="J160" s="18">
        <f>'AEO 2023 Table 49 Raw'!M147</f>
        <v>2.5902999999999999E-2</v>
      </c>
      <c r="K160" s="18">
        <f>'AEO 2023 Table 49 Raw'!N147</f>
        <v>2.5295999999999999E-2</v>
      </c>
      <c r="L160" s="18">
        <f>'AEO 2023 Table 49 Raw'!O147</f>
        <v>2.4788000000000001E-2</v>
      </c>
      <c r="M160" s="18">
        <f>'AEO 2023 Table 49 Raw'!P147</f>
        <v>2.4475E-2</v>
      </c>
      <c r="N160" s="18">
        <f>'AEO 2023 Table 49 Raw'!Q147</f>
        <v>2.4362999999999999E-2</v>
      </c>
      <c r="O160" s="18">
        <f>'AEO 2023 Table 49 Raw'!R147</f>
        <v>2.4388E-2</v>
      </c>
      <c r="P160" s="18">
        <f>'AEO 2023 Table 49 Raw'!S147</f>
        <v>2.4575E-2</v>
      </c>
      <c r="Q160" s="18">
        <f>'AEO 2023 Table 49 Raw'!T147</f>
        <v>2.4816000000000001E-2</v>
      </c>
      <c r="R160" s="18">
        <f>'AEO 2023 Table 49 Raw'!U147</f>
        <v>2.5201000000000001E-2</v>
      </c>
      <c r="S160" s="18">
        <f>'AEO 2023 Table 49 Raw'!V147</f>
        <v>2.5683999999999998E-2</v>
      </c>
      <c r="T160" s="18">
        <f>'AEO 2023 Table 49 Raw'!W147</f>
        <v>2.6178E-2</v>
      </c>
      <c r="U160" s="18">
        <f>'AEO 2023 Table 49 Raw'!X147</f>
        <v>2.6626E-2</v>
      </c>
      <c r="V160" s="18">
        <f>'AEO 2023 Table 49 Raw'!Y147</f>
        <v>2.7116999999999999E-2</v>
      </c>
      <c r="W160" s="18">
        <f>'AEO 2023 Table 49 Raw'!Z147</f>
        <v>2.7505999999999999E-2</v>
      </c>
      <c r="X160" s="18">
        <f>'AEO 2023 Table 49 Raw'!AA147</f>
        <v>2.7862000000000001E-2</v>
      </c>
      <c r="Y160" s="18">
        <f>'AEO 2023 Table 49 Raw'!AB147</f>
        <v>2.8295000000000001E-2</v>
      </c>
      <c r="Z160" s="18">
        <f>'AEO 2023 Table 49 Raw'!AC147</f>
        <v>2.8759E-2</v>
      </c>
      <c r="AA160" s="18">
        <f>'AEO 2023 Table 49 Raw'!AD147</f>
        <v>2.9224E-2</v>
      </c>
      <c r="AB160" s="18">
        <f>'AEO 2023 Table 49 Raw'!AE147</f>
        <v>2.9678E-2</v>
      </c>
      <c r="AC160" s="18">
        <f>'AEO 2023 Table 49 Raw'!AF147</f>
        <v>3.0127999999999999E-2</v>
      </c>
      <c r="AD160" s="18">
        <f>'AEO 2023 Table 49 Raw'!AG147</f>
        <v>3.0556E-2</v>
      </c>
      <c r="AE160" s="18">
        <f>'AEO 2023 Table 49 Raw'!AH147</f>
        <v>3.0960999999999999E-2</v>
      </c>
      <c r="AF160" s="30">
        <f>'AEO 2023 Table 49 Raw'!AI147</f>
        <v>-1.2E-2</v>
      </c>
    </row>
    <row r="161" spans="1:32" ht="15" customHeight="1">
      <c r="A161" s="7" t="s">
        <v>882</v>
      </c>
      <c r="B161" s="16" t="s">
        <v>382</v>
      </c>
      <c r="C161" s="18">
        <f>'AEO 2023 Table 49 Raw'!F148</f>
        <v>3.2009999999999999E-3</v>
      </c>
      <c r="D161" s="18">
        <f>'AEO 2023 Table 49 Raw'!G148</f>
        <v>3.0999999999999999E-3</v>
      </c>
      <c r="E161" s="18">
        <f>'AEO 2023 Table 49 Raw'!H148</f>
        <v>3.016E-3</v>
      </c>
      <c r="F161" s="18">
        <f>'AEO 2023 Table 49 Raw'!I148</f>
        <v>2.9619999999999998E-3</v>
      </c>
      <c r="G161" s="18">
        <f>'AEO 2023 Table 49 Raw'!J148</f>
        <v>2.9589999999999998E-3</v>
      </c>
      <c r="H161" s="18">
        <f>'AEO 2023 Table 49 Raw'!K148</f>
        <v>2.9729999999999999E-3</v>
      </c>
      <c r="I161" s="18">
        <f>'AEO 2023 Table 49 Raw'!L148</f>
        <v>2.9849999999999998E-3</v>
      </c>
      <c r="J161" s="18">
        <f>'AEO 2023 Table 49 Raw'!M148</f>
        <v>2.9610000000000001E-3</v>
      </c>
      <c r="K161" s="18">
        <f>'AEO 2023 Table 49 Raw'!N148</f>
        <v>2.947E-3</v>
      </c>
      <c r="L161" s="18">
        <f>'AEO 2023 Table 49 Raw'!O148</f>
        <v>2.9359999999999998E-3</v>
      </c>
      <c r="M161" s="18">
        <f>'AEO 2023 Table 49 Raw'!P148</f>
        <v>2.9220000000000001E-3</v>
      </c>
      <c r="N161" s="18">
        <f>'AEO 2023 Table 49 Raw'!Q148</f>
        <v>2.941E-3</v>
      </c>
      <c r="O161" s="18">
        <f>'AEO 2023 Table 49 Raw'!R148</f>
        <v>2.9780000000000002E-3</v>
      </c>
      <c r="P161" s="18">
        <f>'AEO 2023 Table 49 Raw'!S148</f>
        <v>3.0270000000000002E-3</v>
      </c>
      <c r="Q161" s="18">
        <f>'AEO 2023 Table 49 Raw'!T148</f>
        <v>3.0829999999999998E-3</v>
      </c>
      <c r="R161" s="18">
        <f>'AEO 2023 Table 49 Raw'!U148</f>
        <v>3.1449999999999998E-3</v>
      </c>
      <c r="S161" s="18">
        <f>'AEO 2023 Table 49 Raw'!V148</f>
        <v>3.2100000000000002E-3</v>
      </c>
      <c r="T161" s="18">
        <f>'AEO 2023 Table 49 Raw'!W148</f>
        <v>3.277E-3</v>
      </c>
      <c r="U161" s="18">
        <f>'AEO 2023 Table 49 Raw'!X148</f>
        <v>3.3430000000000001E-3</v>
      </c>
      <c r="V161" s="18">
        <f>'AEO 2023 Table 49 Raw'!Y148</f>
        <v>3.4069999999999999E-3</v>
      </c>
      <c r="W161" s="18">
        <f>'AEO 2023 Table 49 Raw'!Z148</f>
        <v>3.467E-3</v>
      </c>
      <c r="X161" s="18">
        <f>'AEO 2023 Table 49 Raw'!AA148</f>
        <v>3.5239999999999998E-3</v>
      </c>
      <c r="Y161" s="18">
        <f>'AEO 2023 Table 49 Raw'!AB148</f>
        <v>3.5769999999999999E-3</v>
      </c>
      <c r="Z161" s="18">
        <f>'AEO 2023 Table 49 Raw'!AC148</f>
        <v>3.6259999999999999E-3</v>
      </c>
      <c r="AA161" s="18">
        <f>'AEO 2023 Table 49 Raw'!AD148</f>
        <v>3.6709999999999998E-3</v>
      </c>
      <c r="AB161" s="18">
        <f>'AEO 2023 Table 49 Raw'!AE148</f>
        <v>3.712E-3</v>
      </c>
      <c r="AC161" s="18">
        <f>'AEO 2023 Table 49 Raw'!AF148</f>
        <v>3.748E-3</v>
      </c>
      <c r="AD161" s="18">
        <f>'AEO 2023 Table 49 Raw'!AG148</f>
        <v>3.7620000000000002E-3</v>
      </c>
      <c r="AE161" s="18">
        <f>'AEO 2023 Table 49 Raw'!AH148</f>
        <v>3.7499999999999999E-3</v>
      </c>
      <c r="AF161" s="30">
        <f>'AEO 2023 Table 49 Raw'!AI148</f>
        <v>6.0000000000000001E-3</v>
      </c>
    </row>
    <row r="162" spans="1:32" ht="15" customHeight="1">
      <c r="A162" s="7" t="s">
        <v>883</v>
      </c>
      <c r="B162" s="16" t="s">
        <v>741</v>
      </c>
      <c r="C162" s="18">
        <f>'AEO 2023 Table 49 Raw'!F149</f>
        <v>4.9617000000000001E-2</v>
      </c>
      <c r="D162" s="18">
        <f>'AEO 2023 Table 49 Raw'!G149</f>
        <v>5.2673999999999999E-2</v>
      </c>
      <c r="E162" s="18">
        <f>'AEO 2023 Table 49 Raw'!H149</f>
        <v>5.5499E-2</v>
      </c>
      <c r="F162" s="18">
        <f>'AEO 2023 Table 49 Raw'!I149</f>
        <v>5.8312999999999997E-2</v>
      </c>
      <c r="G162" s="18">
        <f>'AEO 2023 Table 49 Raw'!J149</f>
        <v>6.1046999999999997E-2</v>
      </c>
      <c r="H162" s="18">
        <f>'AEO 2023 Table 49 Raw'!K149</f>
        <v>6.3582E-2</v>
      </c>
      <c r="I162" s="18">
        <f>'AEO 2023 Table 49 Raw'!L149</f>
        <v>6.5810999999999995E-2</v>
      </c>
      <c r="J162" s="18">
        <f>'AEO 2023 Table 49 Raw'!M149</f>
        <v>6.7700999999999997E-2</v>
      </c>
      <c r="K162" s="18">
        <f>'AEO 2023 Table 49 Raw'!N149</f>
        <v>6.9268999999999997E-2</v>
      </c>
      <c r="L162" s="18">
        <f>'AEO 2023 Table 49 Raw'!O149</f>
        <v>7.0640999999999995E-2</v>
      </c>
      <c r="M162" s="18">
        <f>'AEO 2023 Table 49 Raw'!P149</f>
        <v>7.1928000000000006E-2</v>
      </c>
      <c r="N162" s="18">
        <f>'AEO 2023 Table 49 Raw'!Q149</f>
        <v>7.3205999999999993E-2</v>
      </c>
      <c r="O162" s="18">
        <f>'AEO 2023 Table 49 Raw'!R149</f>
        <v>7.4462E-2</v>
      </c>
      <c r="P162" s="18">
        <f>'AEO 2023 Table 49 Raw'!S149</f>
        <v>7.5724E-2</v>
      </c>
      <c r="Q162" s="18">
        <f>'AEO 2023 Table 49 Raw'!T149</f>
        <v>7.7021000000000006E-2</v>
      </c>
      <c r="R162" s="18">
        <f>'AEO 2023 Table 49 Raw'!U149</f>
        <v>7.8404000000000001E-2</v>
      </c>
      <c r="S162" s="18">
        <f>'AEO 2023 Table 49 Raw'!V149</f>
        <v>7.9907000000000006E-2</v>
      </c>
      <c r="T162" s="18">
        <f>'AEO 2023 Table 49 Raw'!W149</f>
        <v>8.1553E-2</v>
      </c>
      <c r="U162" s="18">
        <f>'AEO 2023 Table 49 Raw'!X149</f>
        <v>8.3330000000000001E-2</v>
      </c>
      <c r="V162" s="18">
        <f>'AEO 2023 Table 49 Raw'!Y149</f>
        <v>8.5219000000000003E-2</v>
      </c>
      <c r="W162" s="18">
        <f>'AEO 2023 Table 49 Raw'!Z149</f>
        <v>8.7198999999999999E-2</v>
      </c>
      <c r="X162" s="18">
        <f>'AEO 2023 Table 49 Raw'!AA149</f>
        <v>8.9256000000000002E-2</v>
      </c>
      <c r="Y162" s="18">
        <f>'AEO 2023 Table 49 Raw'!AB149</f>
        <v>9.1452000000000006E-2</v>
      </c>
      <c r="Z162" s="18">
        <f>'AEO 2023 Table 49 Raw'!AC149</f>
        <v>9.3690999999999997E-2</v>
      </c>
      <c r="AA162" s="18">
        <f>'AEO 2023 Table 49 Raw'!AD149</f>
        <v>9.5894999999999994E-2</v>
      </c>
      <c r="AB162" s="18">
        <f>'AEO 2023 Table 49 Raw'!AE149</f>
        <v>9.8146999999999998E-2</v>
      </c>
      <c r="AC162" s="18">
        <f>'AEO 2023 Table 49 Raw'!AF149</f>
        <v>0.10026400000000001</v>
      </c>
      <c r="AD162" s="18">
        <f>'AEO 2023 Table 49 Raw'!AG149</f>
        <v>0.102393</v>
      </c>
      <c r="AE162" s="18">
        <f>'AEO 2023 Table 49 Raw'!AH149</f>
        <v>0.104612</v>
      </c>
      <c r="AF162" s="30">
        <f>'AEO 2023 Table 49 Raw'!AI149</f>
        <v>2.7E-2</v>
      </c>
    </row>
    <row r="163" spans="1:32" ht="12" customHeight="1">
      <c r="A163" s="7" t="s">
        <v>884</v>
      </c>
      <c r="B163" s="16" t="s">
        <v>743</v>
      </c>
      <c r="C163" s="18">
        <f>'AEO 2023 Table 49 Raw'!F150</f>
        <v>0</v>
      </c>
      <c r="D163" s="18">
        <f>'AEO 2023 Table 49 Raw'!G150</f>
        <v>0</v>
      </c>
      <c r="E163" s="18">
        <f>'AEO 2023 Table 49 Raw'!H150</f>
        <v>0</v>
      </c>
      <c r="F163" s="18">
        <f>'AEO 2023 Table 49 Raw'!I150</f>
        <v>0</v>
      </c>
      <c r="G163" s="18">
        <f>'AEO 2023 Table 49 Raw'!J150</f>
        <v>0</v>
      </c>
      <c r="H163" s="18">
        <f>'AEO 2023 Table 49 Raw'!K150</f>
        <v>0</v>
      </c>
      <c r="I163" s="18">
        <f>'AEO 2023 Table 49 Raw'!L150</f>
        <v>0</v>
      </c>
      <c r="J163" s="18">
        <f>'AEO 2023 Table 49 Raw'!M150</f>
        <v>0</v>
      </c>
      <c r="K163" s="18">
        <f>'AEO 2023 Table 49 Raw'!N150</f>
        <v>0</v>
      </c>
      <c r="L163" s="18">
        <f>'AEO 2023 Table 49 Raw'!O150</f>
        <v>0</v>
      </c>
      <c r="M163" s="18">
        <f>'AEO 2023 Table 49 Raw'!P150</f>
        <v>0</v>
      </c>
      <c r="N163" s="18">
        <f>'AEO 2023 Table 49 Raw'!Q150</f>
        <v>0</v>
      </c>
      <c r="O163" s="18">
        <f>'AEO 2023 Table 49 Raw'!R150</f>
        <v>0</v>
      </c>
      <c r="P163" s="18">
        <f>'AEO 2023 Table 49 Raw'!S150</f>
        <v>0</v>
      </c>
      <c r="Q163" s="18">
        <f>'AEO 2023 Table 49 Raw'!T150</f>
        <v>0</v>
      </c>
      <c r="R163" s="18">
        <f>'AEO 2023 Table 49 Raw'!U150</f>
        <v>0</v>
      </c>
      <c r="S163" s="18">
        <f>'AEO 2023 Table 49 Raw'!V150</f>
        <v>0</v>
      </c>
      <c r="T163" s="18">
        <f>'AEO 2023 Table 49 Raw'!W150</f>
        <v>0</v>
      </c>
      <c r="U163" s="18">
        <f>'AEO 2023 Table 49 Raw'!X150</f>
        <v>0</v>
      </c>
      <c r="V163" s="18">
        <f>'AEO 2023 Table 49 Raw'!Y150</f>
        <v>0</v>
      </c>
      <c r="W163" s="18">
        <f>'AEO 2023 Table 49 Raw'!Z150</f>
        <v>0</v>
      </c>
      <c r="X163" s="18">
        <f>'AEO 2023 Table 49 Raw'!AA150</f>
        <v>0</v>
      </c>
      <c r="Y163" s="18">
        <f>'AEO 2023 Table 49 Raw'!AB150</f>
        <v>0</v>
      </c>
      <c r="Z163" s="18">
        <f>'AEO 2023 Table 49 Raw'!AC150</f>
        <v>0</v>
      </c>
      <c r="AA163" s="18">
        <f>'AEO 2023 Table 49 Raw'!AD150</f>
        <v>0</v>
      </c>
      <c r="AB163" s="18">
        <f>'AEO 2023 Table 49 Raw'!AE150</f>
        <v>0</v>
      </c>
      <c r="AC163" s="18">
        <f>'AEO 2023 Table 49 Raw'!AF150</f>
        <v>0</v>
      </c>
      <c r="AD163" s="18">
        <f>'AEO 2023 Table 49 Raw'!AG150</f>
        <v>0</v>
      </c>
      <c r="AE163" s="18">
        <f>'AEO 2023 Table 49 Raw'!AH150</f>
        <v>0</v>
      </c>
      <c r="AF163" s="30" t="str">
        <f>'AEO 2023 Table 49 Raw'!AI150</f>
        <v>- -</v>
      </c>
    </row>
    <row r="164" spans="1:32" ht="15" customHeight="1">
      <c r="A164" s="7" t="s">
        <v>885</v>
      </c>
      <c r="B164" s="16" t="s">
        <v>745</v>
      </c>
      <c r="C164" s="18">
        <f>'AEO 2023 Table 49 Raw'!F151</f>
        <v>2.1100000000000001E-4</v>
      </c>
      <c r="D164" s="18">
        <f>'AEO 2023 Table 49 Raw'!G151</f>
        <v>2.4600000000000002E-4</v>
      </c>
      <c r="E164" s="18">
        <f>'AEO 2023 Table 49 Raw'!H151</f>
        <v>2.7700000000000001E-4</v>
      </c>
      <c r="F164" s="18">
        <f>'AEO 2023 Table 49 Raw'!I151</f>
        <v>3.0499999999999999E-4</v>
      </c>
      <c r="G164" s="18">
        <f>'AEO 2023 Table 49 Raw'!J151</f>
        <v>3.3199999999999999E-4</v>
      </c>
      <c r="H164" s="18">
        <f>'AEO 2023 Table 49 Raw'!K151</f>
        <v>3.5500000000000001E-4</v>
      </c>
      <c r="I164" s="18">
        <f>'AEO 2023 Table 49 Raw'!L151</f>
        <v>3.7500000000000001E-4</v>
      </c>
      <c r="J164" s="18">
        <f>'AEO 2023 Table 49 Raw'!M151</f>
        <v>3.9300000000000001E-4</v>
      </c>
      <c r="K164" s="18">
        <f>'AEO 2023 Table 49 Raw'!N151</f>
        <v>4.0700000000000003E-4</v>
      </c>
      <c r="L164" s="18">
        <f>'AEO 2023 Table 49 Raw'!O151</f>
        <v>4.1800000000000002E-4</v>
      </c>
      <c r="M164" s="18">
        <f>'AEO 2023 Table 49 Raw'!P151</f>
        <v>4.26E-4</v>
      </c>
      <c r="N164" s="18">
        <f>'AEO 2023 Table 49 Raw'!Q151</f>
        <v>4.3300000000000001E-4</v>
      </c>
      <c r="O164" s="18">
        <f>'AEO 2023 Table 49 Raw'!R151</f>
        <v>4.37E-4</v>
      </c>
      <c r="P164" s="18">
        <f>'AEO 2023 Table 49 Raw'!S151</f>
        <v>4.3899999999999999E-4</v>
      </c>
      <c r="Q164" s="18">
        <f>'AEO 2023 Table 49 Raw'!T151</f>
        <v>4.3899999999999999E-4</v>
      </c>
      <c r="R164" s="18">
        <f>'AEO 2023 Table 49 Raw'!U151</f>
        <v>4.37E-4</v>
      </c>
      <c r="S164" s="18">
        <f>'AEO 2023 Table 49 Raw'!V151</f>
        <v>4.3399999999999998E-4</v>
      </c>
      <c r="T164" s="18">
        <f>'AEO 2023 Table 49 Raw'!W151</f>
        <v>4.2999999999999999E-4</v>
      </c>
      <c r="U164" s="18">
        <f>'AEO 2023 Table 49 Raw'!X151</f>
        <v>4.2400000000000001E-4</v>
      </c>
      <c r="V164" s="18">
        <f>'AEO 2023 Table 49 Raw'!Y151</f>
        <v>4.1800000000000002E-4</v>
      </c>
      <c r="W164" s="18">
        <f>'AEO 2023 Table 49 Raw'!Z151</f>
        <v>4.0999999999999999E-4</v>
      </c>
      <c r="X164" s="18">
        <f>'AEO 2023 Table 49 Raw'!AA151</f>
        <v>4.0099999999999999E-4</v>
      </c>
      <c r="Y164" s="18">
        <f>'AEO 2023 Table 49 Raw'!AB151</f>
        <v>3.9199999999999999E-4</v>
      </c>
      <c r="Z164" s="18">
        <f>'AEO 2023 Table 49 Raw'!AC151</f>
        <v>3.8200000000000002E-4</v>
      </c>
      <c r="AA164" s="18">
        <f>'AEO 2023 Table 49 Raw'!AD151</f>
        <v>3.7199999999999999E-4</v>
      </c>
      <c r="AB164" s="18">
        <f>'AEO 2023 Table 49 Raw'!AE151</f>
        <v>3.6099999999999999E-4</v>
      </c>
      <c r="AC164" s="18">
        <f>'AEO 2023 Table 49 Raw'!AF151</f>
        <v>3.5E-4</v>
      </c>
      <c r="AD164" s="18">
        <f>'AEO 2023 Table 49 Raw'!AG151</f>
        <v>3.3799999999999998E-4</v>
      </c>
      <c r="AE164" s="18">
        <f>'AEO 2023 Table 49 Raw'!AH151</f>
        <v>3.2699999999999998E-4</v>
      </c>
      <c r="AF164" s="30">
        <f>'AEO 2023 Table 49 Raw'!AI151</f>
        <v>1.6E-2</v>
      </c>
    </row>
    <row r="165" spans="1:32" ht="15" customHeight="1">
      <c r="A165" s="7" t="s">
        <v>886</v>
      </c>
      <c r="B165" s="16" t="s">
        <v>747</v>
      </c>
      <c r="C165" s="18">
        <f>'AEO 2023 Table 49 Raw'!F152</f>
        <v>0</v>
      </c>
      <c r="D165" s="18">
        <f>'AEO 2023 Table 49 Raw'!G152</f>
        <v>0</v>
      </c>
      <c r="E165" s="18">
        <f>'AEO 2023 Table 49 Raw'!H152</f>
        <v>1.03E-4</v>
      </c>
      <c r="F165" s="18">
        <f>'AEO 2023 Table 49 Raw'!I152</f>
        <v>2.13E-4</v>
      </c>
      <c r="G165" s="18">
        <f>'AEO 2023 Table 49 Raw'!J152</f>
        <v>3.28E-4</v>
      </c>
      <c r="H165" s="18">
        <f>'AEO 2023 Table 49 Raw'!K152</f>
        <v>4.4700000000000002E-4</v>
      </c>
      <c r="I165" s="18">
        <f>'AEO 2023 Table 49 Raw'!L152</f>
        <v>5.6999999999999998E-4</v>
      </c>
      <c r="J165" s="18">
        <f>'AEO 2023 Table 49 Raw'!M152</f>
        <v>6.9300000000000004E-4</v>
      </c>
      <c r="K165" s="18">
        <f>'AEO 2023 Table 49 Raw'!N152</f>
        <v>8.1499999999999997E-4</v>
      </c>
      <c r="L165" s="18">
        <f>'AEO 2023 Table 49 Raw'!O152</f>
        <v>9.3700000000000001E-4</v>
      </c>
      <c r="M165" s="18">
        <f>'AEO 2023 Table 49 Raw'!P152</f>
        <v>1.0629999999999999E-3</v>
      </c>
      <c r="N165" s="18">
        <f>'AEO 2023 Table 49 Raw'!Q152</f>
        <v>1.1919999999999999E-3</v>
      </c>
      <c r="O165" s="18">
        <f>'AEO 2023 Table 49 Raw'!R152</f>
        <v>1.322E-3</v>
      </c>
      <c r="P165" s="18">
        <f>'AEO 2023 Table 49 Raw'!S152</f>
        <v>1.4530000000000001E-3</v>
      </c>
      <c r="Q165" s="18">
        <f>'AEO 2023 Table 49 Raw'!T152</f>
        <v>1.588E-3</v>
      </c>
      <c r="R165" s="18">
        <f>'AEO 2023 Table 49 Raw'!U152</f>
        <v>1.7279999999999999E-3</v>
      </c>
      <c r="S165" s="18">
        <f>'AEO 2023 Table 49 Raw'!V152</f>
        <v>1.8749999999999999E-3</v>
      </c>
      <c r="T165" s="18">
        <f>'AEO 2023 Table 49 Raw'!W152</f>
        <v>2.029E-3</v>
      </c>
      <c r="U165" s="18">
        <f>'AEO 2023 Table 49 Raw'!X152</f>
        <v>2.1919999999999999E-3</v>
      </c>
      <c r="V165" s="18">
        <f>'AEO 2023 Table 49 Raw'!Y152</f>
        <v>2.3609999999999998E-3</v>
      </c>
      <c r="W165" s="18">
        <f>'AEO 2023 Table 49 Raw'!Z152</f>
        <v>2.539E-3</v>
      </c>
      <c r="X165" s="18">
        <f>'AEO 2023 Table 49 Raw'!AA152</f>
        <v>2.728E-3</v>
      </c>
      <c r="Y165" s="18">
        <f>'AEO 2023 Table 49 Raw'!AB152</f>
        <v>2.9269999999999999E-3</v>
      </c>
      <c r="Z165" s="18">
        <f>'AEO 2023 Table 49 Raw'!AC152</f>
        <v>3.1350000000000002E-3</v>
      </c>
      <c r="AA165" s="18">
        <f>'AEO 2023 Table 49 Raw'!AD152</f>
        <v>3.3540000000000002E-3</v>
      </c>
      <c r="AB165" s="18">
        <f>'AEO 2023 Table 49 Raw'!AE152</f>
        <v>3.5850000000000001E-3</v>
      </c>
      <c r="AC165" s="18">
        <f>'AEO 2023 Table 49 Raw'!AF152</f>
        <v>3.8300000000000001E-3</v>
      </c>
      <c r="AD165" s="18">
        <f>'AEO 2023 Table 49 Raw'!AG152</f>
        <v>4.0930000000000003E-3</v>
      </c>
      <c r="AE165" s="18">
        <f>'AEO 2023 Table 49 Raw'!AH152</f>
        <v>4.3740000000000003E-3</v>
      </c>
      <c r="AF165" s="30" t="str">
        <f>'AEO 2023 Table 49 Raw'!AI152</f>
        <v>- -</v>
      </c>
    </row>
    <row r="166" spans="1:32" ht="15" customHeight="1">
      <c r="A166" s="7" t="s">
        <v>887</v>
      </c>
      <c r="B166" s="16" t="s">
        <v>749</v>
      </c>
      <c r="C166" s="18">
        <f>'AEO 2023 Table 49 Raw'!F153</f>
        <v>0</v>
      </c>
      <c r="D166" s="18">
        <f>'AEO 2023 Table 49 Raw'!G153</f>
        <v>0</v>
      </c>
      <c r="E166" s="18">
        <f>'AEO 2023 Table 49 Raw'!H153</f>
        <v>2.32E-4</v>
      </c>
      <c r="F166" s="18">
        <f>'AEO 2023 Table 49 Raw'!I153</f>
        <v>4.73E-4</v>
      </c>
      <c r="G166" s="18">
        <f>'AEO 2023 Table 49 Raw'!J153</f>
        <v>7.2400000000000003E-4</v>
      </c>
      <c r="H166" s="18">
        <f>'AEO 2023 Table 49 Raw'!K153</f>
        <v>9.7799999999999992E-4</v>
      </c>
      <c r="I166" s="18">
        <f>'AEO 2023 Table 49 Raw'!L153</f>
        <v>1.235E-3</v>
      </c>
      <c r="J166" s="18">
        <f>'AEO 2023 Table 49 Raw'!M153</f>
        <v>1.4890000000000001E-3</v>
      </c>
      <c r="K166" s="18">
        <f>'AEO 2023 Table 49 Raw'!N153</f>
        <v>1.737E-3</v>
      </c>
      <c r="L166" s="18">
        <f>'AEO 2023 Table 49 Raw'!O153</f>
        <v>1.983E-3</v>
      </c>
      <c r="M166" s="18">
        <f>'AEO 2023 Table 49 Raw'!P153</f>
        <v>2.232E-3</v>
      </c>
      <c r="N166" s="18">
        <f>'AEO 2023 Table 49 Raw'!Q153</f>
        <v>2.4870000000000001E-3</v>
      </c>
      <c r="O166" s="18">
        <f>'AEO 2023 Table 49 Raw'!R153</f>
        <v>2.7399999999999998E-3</v>
      </c>
      <c r="P166" s="18">
        <f>'AEO 2023 Table 49 Raw'!S153</f>
        <v>2.993E-3</v>
      </c>
      <c r="Q166" s="18">
        <f>'AEO 2023 Table 49 Raw'!T153</f>
        <v>3.2499999999999999E-3</v>
      </c>
      <c r="R166" s="18">
        <f>'AEO 2023 Table 49 Raw'!U153</f>
        <v>3.5149999999999999E-3</v>
      </c>
      <c r="S166" s="18">
        <f>'AEO 2023 Table 49 Raw'!V153</f>
        <v>3.79E-3</v>
      </c>
      <c r="T166" s="18">
        <f>'AEO 2023 Table 49 Raw'!W153</f>
        <v>4.0769999999999999E-3</v>
      </c>
      <c r="U166" s="18">
        <f>'AEO 2023 Table 49 Raw'!X153</f>
        <v>4.3750000000000004E-3</v>
      </c>
      <c r="V166" s="18">
        <f>'AEO 2023 Table 49 Raw'!Y153</f>
        <v>4.6839999999999998E-3</v>
      </c>
      <c r="W166" s="18">
        <f>'AEO 2023 Table 49 Raw'!Z153</f>
        <v>5.0029999999999996E-3</v>
      </c>
      <c r="X166" s="18">
        <f>'AEO 2023 Table 49 Raw'!AA153</f>
        <v>5.3359999999999996E-3</v>
      </c>
      <c r="Y166" s="18">
        <f>'AEO 2023 Table 49 Raw'!AB153</f>
        <v>5.6810000000000003E-3</v>
      </c>
      <c r="Z166" s="18">
        <f>'AEO 2023 Table 49 Raw'!AC153</f>
        <v>6.0350000000000004E-3</v>
      </c>
      <c r="AA166" s="18">
        <f>'AEO 2023 Table 49 Raw'!AD153</f>
        <v>6.398E-3</v>
      </c>
      <c r="AB166" s="18">
        <f>'AEO 2023 Table 49 Raw'!AE153</f>
        <v>6.7710000000000001E-3</v>
      </c>
      <c r="AC166" s="18">
        <f>'AEO 2023 Table 49 Raw'!AF153</f>
        <v>7.1539999999999998E-3</v>
      </c>
      <c r="AD166" s="18">
        <f>'AEO 2023 Table 49 Raw'!AG153</f>
        <v>7.5510000000000004E-3</v>
      </c>
      <c r="AE166" s="18">
        <f>'AEO 2023 Table 49 Raw'!AH153</f>
        <v>7.9579999999999998E-3</v>
      </c>
      <c r="AF166" s="30" t="str">
        <f>'AEO 2023 Table 49 Raw'!AI153</f>
        <v>- -</v>
      </c>
    </row>
    <row r="167" spans="1:32" ht="15" customHeight="1">
      <c r="A167" s="7" t="s">
        <v>888</v>
      </c>
      <c r="B167" s="16" t="s">
        <v>751</v>
      </c>
      <c r="C167" s="18">
        <f>'AEO 2023 Table 49 Raw'!F154</f>
        <v>0</v>
      </c>
      <c r="D167" s="18">
        <f>'AEO 2023 Table 49 Raw'!G154</f>
        <v>0</v>
      </c>
      <c r="E167" s="18">
        <f>'AEO 2023 Table 49 Raw'!H154</f>
        <v>3.39E-4</v>
      </c>
      <c r="F167" s="18">
        <f>'AEO 2023 Table 49 Raw'!I154</f>
        <v>7.0500000000000001E-4</v>
      </c>
      <c r="G167" s="18">
        <f>'AEO 2023 Table 49 Raw'!J154</f>
        <v>1.0939999999999999E-3</v>
      </c>
      <c r="H167" s="18">
        <f>'AEO 2023 Table 49 Raw'!K154</f>
        <v>1.498E-3</v>
      </c>
      <c r="I167" s="18">
        <f>'AEO 2023 Table 49 Raw'!L154</f>
        <v>1.913E-3</v>
      </c>
      <c r="J167" s="18">
        <f>'AEO 2023 Table 49 Raw'!M154</f>
        <v>2.3310000000000002E-3</v>
      </c>
      <c r="K167" s="18">
        <f>'AEO 2023 Table 49 Raw'!N154</f>
        <v>2.7430000000000002E-3</v>
      </c>
      <c r="L167" s="18">
        <f>'AEO 2023 Table 49 Raw'!O154</f>
        <v>3.15E-3</v>
      </c>
      <c r="M167" s="18">
        <f>'AEO 2023 Table 49 Raw'!P154</f>
        <v>3.5609999999999999E-3</v>
      </c>
      <c r="N167" s="18">
        <f>'AEO 2023 Table 49 Raw'!Q154</f>
        <v>3.9750000000000002E-3</v>
      </c>
      <c r="O167" s="18">
        <f>'AEO 2023 Table 49 Raw'!R154</f>
        <v>4.3810000000000003E-3</v>
      </c>
      <c r="P167" s="18">
        <f>'AEO 2023 Table 49 Raw'!S154</f>
        <v>4.7840000000000001E-3</v>
      </c>
      <c r="Q167" s="18">
        <f>'AEO 2023 Table 49 Raw'!T154</f>
        <v>5.1879999999999999E-3</v>
      </c>
      <c r="R167" s="18">
        <f>'AEO 2023 Table 49 Raw'!U154</f>
        <v>5.5979999999999997E-3</v>
      </c>
      <c r="S167" s="18">
        <f>'AEO 2023 Table 49 Raw'!V154</f>
        <v>6.019E-3</v>
      </c>
      <c r="T167" s="18">
        <f>'AEO 2023 Table 49 Raw'!W154</f>
        <v>6.4510000000000001E-3</v>
      </c>
      <c r="U167" s="18">
        <f>'AEO 2023 Table 49 Raw'!X154</f>
        <v>6.8929999999999998E-3</v>
      </c>
      <c r="V167" s="18">
        <f>'AEO 2023 Table 49 Raw'!Y154</f>
        <v>7.3410000000000003E-3</v>
      </c>
      <c r="W167" s="18">
        <f>'AEO 2023 Table 49 Raw'!Z154</f>
        <v>7.7970000000000001E-3</v>
      </c>
      <c r="X167" s="18">
        <f>'AEO 2023 Table 49 Raw'!AA154</f>
        <v>8.2649999999999998E-3</v>
      </c>
      <c r="Y167" s="18">
        <f>'AEO 2023 Table 49 Raw'!AB154</f>
        <v>8.7449999999999993E-3</v>
      </c>
      <c r="Z167" s="18">
        <f>'AEO 2023 Table 49 Raw'!AC154</f>
        <v>9.2339999999999992E-3</v>
      </c>
      <c r="AA167" s="18">
        <f>'AEO 2023 Table 49 Raw'!AD154</f>
        <v>9.7330000000000003E-3</v>
      </c>
      <c r="AB167" s="18">
        <f>'AEO 2023 Table 49 Raw'!AE154</f>
        <v>1.0248E-2</v>
      </c>
      <c r="AC167" s="18">
        <f>'AEO 2023 Table 49 Raw'!AF154</f>
        <v>1.0784E-2</v>
      </c>
      <c r="AD167" s="18">
        <f>'AEO 2023 Table 49 Raw'!AG154</f>
        <v>1.1351999999999999E-2</v>
      </c>
      <c r="AE167" s="18">
        <f>'AEO 2023 Table 49 Raw'!AH154</f>
        <v>1.1953E-2</v>
      </c>
      <c r="AF167" s="30" t="str">
        <f>'AEO 2023 Table 49 Raw'!AI154</f>
        <v>- -</v>
      </c>
    </row>
    <row r="168" spans="1:32" ht="15" customHeight="1">
      <c r="A168" s="7" t="s">
        <v>889</v>
      </c>
      <c r="B168" s="16" t="s">
        <v>777</v>
      </c>
      <c r="C168" s="18">
        <f>'AEO 2023 Table 49 Raw'!F155</f>
        <v>5.2911479999999997</v>
      </c>
      <c r="D168" s="18">
        <f>'AEO 2023 Table 49 Raw'!G155</f>
        <v>5.3277859999999997</v>
      </c>
      <c r="E168" s="18">
        <f>'AEO 2023 Table 49 Raw'!H155</f>
        <v>5.361364</v>
      </c>
      <c r="F168" s="18">
        <f>'AEO 2023 Table 49 Raw'!I155</f>
        <v>5.4141409999999999</v>
      </c>
      <c r="G168" s="18">
        <f>'AEO 2023 Table 49 Raw'!J155</f>
        <v>5.4835739999999999</v>
      </c>
      <c r="H168" s="18">
        <f>'AEO 2023 Table 49 Raw'!K155</f>
        <v>5.5588680000000004</v>
      </c>
      <c r="I168" s="18">
        <f>'AEO 2023 Table 49 Raw'!L155</f>
        <v>5.6338869999999996</v>
      </c>
      <c r="J168" s="18">
        <f>'AEO 2023 Table 49 Raw'!M155</f>
        <v>5.6994319999999998</v>
      </c>
      <c r="K168" s="18">
        <f>'AEO 2023 Table 49 Raw'!N155</f>
        <v>5.7560359999999999</v>
      </c>
      <c r="L168" s="18">
        <f>'AEO 2023 Table 49 Raw'!O155</f>
        <v>5.8058969999999999</v>
      </c>
      <c r="M168" s="18">
        <f>'AEO 2023 Table 49 Raw'!P155</f>
        <v>5.8512890000000004</v>
      </c>
      <c r="N168" s="18">
        <f>'AEO 2023 Table 49 Raw'!Q155</f>
        <v>5.8883010000000002</v>
      </c>
      <c r="O168" s="18">
        <f>'AEO 2023 Table 49 Raw'!R155</f>
        <v>5.9090590000000001</v>
      </c>
      <c r="P168" s="18">
        <f>'AEO 2023 Table 49 Raw'!S155</f>
        <v>5.9270550000000002</v>
      </c>
      <c r="Q168" s="18">
        <f>'AEO 2023 Table 49 Raw'!T155</f>
        <v>5.9491949999999996</v>
      </c>
      <c r="R168" s="18">
        <f>'AEO 2023 Table 49 Raw'!U155</f>
        <v>5.9732479999999999</v>
      </c>
      <c r="S168" s="18">
        <f>'AEO 2023 Table 49 Raw'!V155</f>
        <v>5.9989850000000002</v>
      </c>
      <c r="T168" s="18">
        <f>'AEO 2023 Table 49 Raw'!W155</f>
        <v>6.018948</v>
      </c>
      <c r="U168" s="18">
        <f>'AEO 2023 Table 49 Raw'!X155</f>
        <v>6.0332739999999996</v>
      </c>
      <c r="V168" s="18">
        <f>'AEO 2023 Table 49 Raw'!Y155</f>
        <v>6.0349839999999997</v>
      </c>
      <c r="W168" s="18">
        <f>'AEO 2023 Table 49 Raw'!Z155</f>
        <v>6.0468520000000003</v>
      </c>
      <c r="X168" s="18">
        <f>'AEO 2023 Table 49 Raw'!AA155</f>
        <v>6.0650259999999996</v>
      </c>
      <c r="Y168" s="18">
        <f>'AEO 2023 Table 49 Raw'!AB155</f>
        <v>6.0898079999999997</v>
      </c>
      <c r="Z168" s="18">
        <f>'AEO 2023 Table 49 Raw'!AC155</f>
        <v>6.1137839999999999</v>
      </c>
      <c r="AA168" s="18">
        <f>'AEO 2023 Table 49 Raw'!AD155</f>
        <v>6.1291479999999998</v>
      </c>
      <c r="AB168" s="18">
        <f>'AEO 2023 Table 49 Raw'!AE155</f>
        <v>6.1377309999999996</v>
      </c>
      <c r="AC168" s="18">
        <f>'AEO 2023 Table 49 Raw'!AF155</f>
        <v>6.1415920000000002</v>
      </c>
      <c r="AD168" s="18">
        <f>'AEO 2023 Table 49 Raw'!AG155</f>
        <v>6.1392160000000002</v>
      </c>
      <c r="AE168" s="18">
        <f>'AEO 2023 Table 49 Raw'!AH155</f>
        <v>6.1293030000000002</v>
      </c>
      <c r="AF168" s="30">
        <f>'AEO 2023 Table 49 Raw'!AI155</f>
        <v>5.0000000000000001E-3</v>
      </c>
    </row>
    <row r="169" spans="1:32" ht="15" customHeight="1">
      <c r="A169" s="7" t="s">
        <v>890</v>
      </c>
      <c r="B169" s="15" t="s">
        <v>891</v>
      </c>
      <c r="C169" s="18">
        <f>'AEO 2023 Table 49 Raw'!F156</f>
        <v>13.625920000000001</v>
      </c>
      <c r="D169" s="18">
        <f>'AEO 2023 Table 49 Raw'!G156</f>
        <v>13.830966</v>
      </c>
      <c r="E169" s="18">
        <f>'AEO 2023 Table 49 Raw'!H156</f>
        <v>14.042211999999999</v>
      </c>
      <c r="F169" s="18">
        <f>'AEO 2023 Table 49 Raw'!I156</f>
        <v>14.298769</v>
      </c>
      <c r="G169" s="18">
        <f>'AEO 2023 Table 49 Raw'!J156</f>
        <v>14.586748999999999</v>
      </c>
      <c r="H169" s="18">
        <f>'AEO 2023 Table 49 Raw'!K156</f>
        <v>14.883342000000001</v>
      </c>
      <c r="I169" s="18">
        <f>'AEO 2023 Table 49 Raw'!L156</f>
        <v>15.179776</v>
      </c>
      <c r="J169" s="18">
        <f>'AEO 2023 Table 49 Raw'!M156</f>
        <v>15.460215</v>
      </c>
      <c r="K169" s="18">
        <f>'AEO 2023 Table 49 Raw'!N156</f>
        <v>15.724275</v>
      </c>
      <c r="L169" s="18">
        <f>'AEO 2023 Table 49 Raw'!O156</f>
        <v>15.96926</v>
      </c>
      <c r="M169" s="18">
        <f>'AEO 2023 Table 49 Raw'!P156</f>
        <v>16.215009999999999</v>
      </c>
      <c r="N169" s="18">
        <f>'AEO 2023 Table 49 Raw'!Q156</f>
        <v>16.438492</v>
      </c>
      <c r="O169" s="18">
        <f>'AEO 2023 Table 49 Raw'!R156</f>
        <v>16.629252999999999</v>
      </c>
      <c r="P169" s="18">
        <f>'AEO 2023 Table 49 Raw'!S156</f>
        <v>16.807797999999998</v>
      </c>
      <c r="Q169" s="18">
        <f>'AEO 2023 Table 49 Raw'!T156</f>
        <v>16.990765</v>
      </c>
      <c r="R169" s="18">
        <f>'AEO 2023 Table 49 Raw'!U156</f>
        <v>17.179614999999998</v>
      </c>
      <c r="S169" s="18">
        <f>'AEO 2023 Table 49 Raw'!V156</f>
        <v>17.374410999999998</v>
      </c>
      <c r="T169" s="18">
        <f>'AEO 2023 Table 49 Raw'!W156</f>
        <v>17.565836000000001</v>
      </c>
      <c r="U169" s="18">
        <f>'AEO 2023 Table 49 Raw'!X156</f>
        <v>17.747601</v>
      </c>
      <c r="V169" s="18">
        <f>'AEO 2023 Table 49 Raw'!Y156</f>
        <v>17.920214000000001</v>
      </c>
      <c r="W169" s="18">
        <f>'AEO 2023 Table 49 Raw'!Z156</f>
        <v>18.102879999999999</v>
      </c>
      <c r="X169" s="18">
        <f>'AEO 2023 Table 49 Raw'!AA156</f>
        <v>18.310333</v>
      </c>
      <c r="Y169" s="18">
        <f>'AEO 2023 Table 49 Raw'!AB156</f>
        <v>18.536829000000001</v>
      </c>
      <c r="Z169" s="18">
        <f>'AEO 2023 Table 49 Raw'!AC156</f>
        <v>18.754881000000001</v>
      </c>
      <c r="AA169" s="18">
        <f>'AEO 2023 Table 49 Raw'!AD156</f>
        <v>18.954508000000001</v>
      </c>
      <c r="AB169" s="18">
        <f>'AEO 2023 Table 49 Raw'!AE156</f>
        <v>19.148928000000002</v>
      </c>
      <c r="AC169" s="18">
        <f>'AEO 2023 Table 49 Raw'!AF156</f>
        <v>19.338676</v>
      </c>
      <c r="AD169" s="18">
        <f>'AEO 2023 Table 49 Raw'!AG156</f>
        <v>19.511382999999999</v>
      </c>
      <c r="AE169" s="18">
        <f>'AEO 2023 Table 49 Raw'!AH156</f>
        <v>19.669333000000002</v>
      </c>
      <c r="AF169" s="30">
        <f>'AEO 2023 Table 49 Raw'!AI156</f>
        <v>1.2999999999999999E-2</v>
      </c>
    </row>
    <row r="170" spans="1:32" ht="15" customHeight="1">
      <c r="C170" s="18"/>
      <c r="D170" s="18"/>
      <c r="E170" s="18"/>
      <c r="F170" s="18"/>
      <c r="G170" s="18"/>
      <c r="H170" s="18"/>
      <c r="I170" s="18"/>
      <c r="J170" s="18"/>
      <c r="K170" s="18"/>
      <c r="L170" s="18"/>
      <c r="M170" s="18"/>
      <c r="N170" s="18"/>
      <c r="O170" s="18"/>
      <c r="P170" s="18"/>
      <c r="Q170" s="18"/>
      <c r="R170" s="18"/>
      <c r="S170" s="18"/>
      <c r="T170" s="18"/>
      <c r="U170" s="18"/>
      <c r="V170" s="18"/>
      <c r="W170" s="18"/>
      <c r="X170" s="18"/>
      <c r="Y170" s="18"/>
      <c r="Z170" s="18"/>
      <c r="AA170" s="18"/>
      <c r="AB170" s="18"/>
      <c r="AC170" s="18"/>
      <c r="AD170" s="18"/>
      <c r="AE170" s="18"/>
      <c r="AF170" s="30"/>
    </row>
    <row r="171" spans="1:32" ht="15" customHeight="1">
      <c r="B171" s="15" t="s">
        <v>148</v>
      </c>
      <c r="C171" s="18"/>
      <c r="D171" s="18"/>
      <c r="E171" s="18"/>
      <c r="F171" s="18"/>
      <c r="G171" s="18"/>
      <c r="H171" s="18"/>
      <c r="I171" s="18"/>
      <c r="J171" s="18"/>
      <c r="K171" s="18"/>
      <c r="L171" s="18"/>
      <c r="M171" s="18"/>
      <c r="N171" s="18"/>
      <c r="O171" s="18"/>
      <c r="P171" s="18"/>
      <c r="Q171" s="18"/>
      <c r="R171" s="18"/>
      <c r="S171" s="18"/>
      <c r="T171" s="18"/>
      <c r="U171" s="18"/>
      <c r="V171" s="18"/>
      <c r="W171" s="18"/>
      <c r="X171" s="18"/>
      <c r="Y171" s="18"/>
      <c r="Z171" s="18"/>
      <c r="AA171" s="18"/>
      <c r="AB171" s="18"/>
      <c r="AC171" s="18"/>
      <c r="AD171" s="18"/>
      <c r="AE171" s="18"/>
      <c r="AF171" s="30"/>
    </row>
    <row r="172" spans="1:32" ht="12" customHeight="1">
      <c r="C172" s="18"/>
      <c r="D172" s="18"/>
      <c r="E172" s="18"/>
      <c r="F172" s="18"/>
      <c r="G172" s="18"/>
      <c r="H172" s="18"/>
      <c r="I172" s="18"/>
      <c r="J172" s="18"/>
      <c r="K172" s="18"/>
      <c r="L172" s="18"/>
      <c r="M172" s="18"/>
      <c r="N172" s="18"/>
      <c r="O172" s="18"/>
      <c r="P172" s="18"/>
      <c r="Q172" s="18"/>
      <c r="R172" s="18"/>
      <c r="S172" s="18"/>
      <c r="T172" s="18"/>
      <c r="U172" s="18"/>
      <c r="V172" s="18"/>
      <c r="W172" s="18"/>
      <c r="X172" s="18"/>
      <c r="Y172" s="18"/>
      <c r="Z172" s="18"/>
      <c r="AA172" s="18"/>
      <c r="AB172" s="18"/>
      <c r="AC172" s="18"/>
      <c r="AD172" s="18"/>
      <c r="AE172" s="18"/>
      <c r="AF172" s="30"/>
    </row>
    <row r="173" spans="1:32" ht="15" customHeight="1">
      <c r="B173" s="15" t="s">
        <v>823</v>
      </c>
      <c r="C173" s="18"/>
      <c r="D173" s="18"/>
      <c r="E173" s="18"/>
      <c r="F173" s="18"/>
      <c r="G173" s="18"/>
      <c r="H173" s="18"/>
      <c r="I173" s="18"/>
      <c r="J173" s="18"/>
      <c r="K173" s="18"/>
      <c r="L173" s="18"/>
      <c r="M173" s="18"/>
      <c r="N173" s="18"/>
      <c r="O173" s="18"/>
      <c r="P173" s="18"/>
      <c r="Q173" s="18"/>
      <c r="R173" s="18"/>
      <c r="S173" s="18"/>
      <c r="T173" s="18"/>
      <c r="U173" s="18"/>
      <c r="V173" s="18"/>
      <c r="W173" s="18"/>
      <c r="X173" s="18"/>
      <c r="Y173" s="18"/>
      <c r="Z173" s="18"/>
      <c r="AA173" s="18"/>
      <c r="AB173" s="18"/>
      <c r="AC173" s="18"/>
      <c r="AD173" s="18"/>
      <c r="AE173" s="18"/>
      <c r="AF173" s="30"/>
    </row>
    <row r="174" spans="1:32" ht="15" customHeight="1">
      <c r="B174" s="15" t="s">
        <v>734</v>
      </c>
      <c r="C174" s="18"/>
      <c r="D174" s="18"/>
      <c r="E174" s="18"/>
      <c r="F174" s="18"/>
      <c r="G174" s="18"/>
      <c r="H174" s="18"/>
      <c r="I174" s="18"/>
      <c r="J174" s="18"/>
      <c r="K174" s="18"/>
      <c r="L174" s="18"/>
      <c r="M174" s="18"/>
      <c r="N174" s="18"/>
      <c r="O174" s="18"/>
      <c r="P174" s="18"/>
      <c r="Q174" s="18"/>
      <c r="R174" s="18"/>
      <c r="S174" s="18"/>
      <c r="T174" s="18"/>
      <c r="U174" s="18"/>
      <c r="V174" s="18"/>
      <c r="W174" s="18"/>
      <c r="X174" s="18"/>
      <c r="Y174" s="18"/>
      <c r="Z174" s="18"/>
      <c r="AA174" s="18"/>
      <c r="AB174" s="18"/>
      <c r="AC174" s="18"/>
      <c r="AD174" s="18"/>
      <c r="AE174" s="18"/>
      <c r="AF174" s="30"/>
    </row>
    <row r="175" spans="1:32" ht="15" customHeight="1">
      <c r="A175" s="7" t="s">
        <v>892</v>
      </c>
      <c r="B175" s="16" t="s">
        <v>736</v>
      </c>
      <c r="C175" s="18">
        <f>'AEO 2023 Table 49 Raw'!F160</f>
        <v>17.217651</v>
      </c>
      <c r="D175" s="18">
        <f>'AEO 2023 Table 49 Raw'!G160</f>
        <v>17.744102000000002</v>
      </c>
      <c r="E175" s="18">
        <f>'AEO 2023 Table 49 Raw'!H160</f>
        <v>18.613112999999998</v>
      </c>
      <c r="F175" s="18">
        <f>'AEO 2023 Table 49 Raw'!I160</f>
        <v>19.406454</v>
      </c>
      <c r="G175" s="18">
        <f>'AEO 2023 Table 49 Raw'!J160</f>
        <v>19.919450999999999</v>
      </c>
      <c r="H175" s="18">
        <f>'AEO 2023 Table 49 Raw'!K160</f>
        <v>20.357067000000001</v>
      </c>
      <c r="I175" s="18">
        <f>'AEO 2023 Table 49 Raw'!L160</f>
        <v>20.345766000000001</v>
      </c>
      <c r="J175" s="18">
        <f>'AEO 2023 Table 49 Raw'!M160</f>
        <v>20.365276000000001</v>
      </c>
      <c r="K175" s="18">
        <f>'AEO 2023 Table 49 Raw'!N160</f>
        <v>20.329483</v>
      </c>
      <c r="L175" s="18">
        <f>'AEO 2023 Table 49 Raw'!O160</f>
        <v>20.286487999999999</v>
      </c>
      <c r="M175" s="18">
        <f>'AEO 2023 Table 49 Raw'!P160</f>
        <v>20.227633000000001</v>
      </c>
      <c r="N175" s="18">
        <f>'AEO 2023 Table 49 Raw'!Q160</f>
        <v>20.160954</v>
      </c>
      <c r="O175" s="18">
        <f>'AEO 2023 Table 49 Raw'!R160</f>
        <v>20.104237000000001</v>
      </c>
      <c r="P175" s="18">
        <f>'AEO 2023 Table 49 Raw'!S160</f>
        <v>20.056694</v>
      </c>
      <c r="Q175" s="18">
        <f>'AEO 2023 Table 49 Raw'!T160</f>
        <v>20.015709000000001</v>
      </c>
      <c r="R175" s="18">
        <f>'AEO 2023 Table 49 Raw'!U160</f>
        <v>19.980319999999999</v>
      </c>
      <c r="S175" s="18">
        <f>'AEO 2023 Table 49 Raw'!V160</f>
        <v>19.946562</v>
      </c>
      <c r="T175" s="18">
        <f>'AEO 2023 Table 49 Raw'!W160</f>
        <v>19.921679000000001</v>
      </c>
      <c r="U175" s="18">
        <f>'AEO 2023 Table 49 Raw'!X160</f>
        <v>19.899581999999999</v>
      </c>
      <c r="V175" s="18">
        <f>'AEO 2023 Table 49 Raw'!Y160</f>
        <v>19.880113999999999</v>
      </c>
      <c r="W175" s="18">
        <f>'AEO 2023 Table 49 Raw'!Z160</f>
        <v>19.863033000000001</v>
      </c>
      <c r="X175" s="18">
        <f>'AEO 2023 Table 49 Raw'!AA160</f>
        <v>19.847951999999999</v>
      </c>
      <c r="Y175" s="18">
        <f>'AEO 2023 Table 49 Raw'!AB160</f>
        <v>19.834671</v>
      </c>
      <c r="Z175" s="18">
        <f>'AEO 2023 Table 49 Raw'!AC160</f>
        <v>19.822828000000001</v>
      </c>
      <c r="AA175" s="18">
        <f>'AEO 2023 Table 49 Raw'!AD160</f>
        <v>19.812082</v>
      </c>
      <c r="AB175" s="18">
        <f>'AEO 2023 Table 49 Raw'!AE160</f>
        <v>19.802446</v>
      </c>
      <c r="AC175" s="18">
        <f>'AEO 2023 Table 49 Raw'!AF160</f>
        <v>19.793932000000002</v>
      </c>
      <c r="AD175" s="18">
        <f>'AEO 2023 Table 49 Raw'!AG160</f>
        <v>19.786345000000001</v>
      </c>
      <c r="AE175" s="18">
        <f>'AEO 2023 Table 49 Raw'!AH160</f>
        <v>19.779591</v>
      </c>
      <c r="AF175" s="30">
        <f>'AEO 2023 Table 49 Raw'!AI160</f>
        <v>5.0000000000000001E-3</v>
      </c>
    </row>
    <row r="176" spans="1:32" ht="15" customHeight="1">
      <c r="A176" s="7" t="s">
        <v>893</v>
      </c>
      <c r="B176" s="16" t="s">
        <v>738</v>
      </c>
      <c r="C176" s="18">
        <f>'AEO 2023 Table 49 Raw'!F161</f>
        <v>12.602778000000001</v>
      </c>
      <c r="D176" s="18">
        <f>'AEO 2023 Table 49 Raw'!G161</f>
        <v>13.424471</v>
      </c>
      <c r="E176" s="18">
        <f>'AEO 2023 Table 49 Raw'!H161</f>
        <v>13.844147</v>
      </c>
      <c r="F176" s="18">
        <f>'AEO 2023 Table 49 Raw'!I161</f>
        <v>14.268711</v>
      </c>
      <c r="G176" s="18">
        <f>'AEO 2023 Table 49 Raw'!J161</f>
        <v>14.534000000000001</v>
      </c>
      <c r="H176" s="18">
        <f>'AEO 2023 Table 49 Raw'!K161</f>
        <v>14.870362999999999</v>
      </c>
      <c r="I176" s="18">
        <f>'AEO 2023 Table 49 Raw'!L161</f>
        <v>14.893618999999999</v>
      </c>
      <c r="J176" s="18">
        <f>'AEO 2023 Table 49 Raw'!M161</f>
        <v>14.980943</v>
      </c>
      <c r="K176" s="18">
        <f>'AEO 2023 Table 49 Raw'!N161</f>
        <v>15.045360000000001</v>
      </c>
      <c r="L176" s="18">
        <f>'AEO 2023 Table 49 Raw'!O161</f>
        <v>15.091772000000001</v>
      </c>
      <c r="M176" s="18">
        <f>'AEO 2023 Table 49 Raw'!P161</f>
        <v>15.092649</v>
      </c>
      <c r="N176" s="18">
        <f>'AEO 2023 Table 49 Raw'!Q161</f>
        <v>15.080295</v>
      </c>
      <c r="O176" s="18">
        <f>'AEO 2023 Table 49 Raw'!R161</f>
        <v>15.0722</v>
      </c>
      <c r="P176" s="18">
        <f>'AEO 2023 Table 49 Raw'!S161</f>
        <v>15.068865000000001</v>
      </c>
      <c r="Q176" s="18">
        <f>'AEO 2023 Table 49 Raw'!T161</f>
        <v>15.063532</v>
      </c>
      <c r="R176" s="18">
        <f>'AEO 2023 Table 49 Raw'!U161</f>
        <v>15.059089</v>
      </c>
      <c r="S176" s="18">
        <f>'AEO 2023 Table 49 Raw'!V161</f>
        <v>15.055775000000001</v>
      </c>
      <c r="T176" s="18">
        <f>'AEO 2023 Table 49 Raw'!W161</f>
        <v>15.053272</v>
      </c>
      <c r="U176" s="18">
        <f>'AEO 2023 Table 49 Raw'!X161</f>
        <v>15.051292999999999</v>
      </c>
      <c r="V176" s="18">
        <f>'AEO 2023 Table 49 Raw'!Y161</f>
        <v>14.504057</v>
      </c>
      <c r="W176" s="18">
        <f>'AEO 2023 Table 49 Raw'!Z161</f>
        <v>14.523482</v>
      </c>
      <c r="X176" s="18">
        <f>'AEO 2023 Table 49 Raw'!AA161</f>
        <v>14.552607999999999</v>
      </c>
      <c r="Y176" s="18">
        <f>'AEO 2023 Table 49 Raw'!AB161</f>
        <v>14.596041</v>
      </c>
      <c r="Z176" s="18">
        <f>'AEO 2023 Table 49 Raw'!AC161</f>
        <v>14.656158</v>
      </c>
      <c r="AA176" s="18">
        <f>'AEO 2023 Table 49 Raw'!AD161</f>
        <v>14.731966</v>
      </c>
      <c r="AB176" s="18">
        <f>'AEO 2023 Table 49 Raw'!AE161</f>
        <v>14.818673</v>
      </c>
      <c r="AC176" s="18">
        <f>'AEO 2023 Table 49 Raw'!AF161</f>
        <v>14.907721</v>
      </c>
      <c r="AD176" s="18">
        <f>'AEO 2023 Table 49 Raw'!AG161</f>
        <v>14.987799000000001</v>
      </c>
      <c r="AE176" s="18">
        <f>'AEO 2023 Table 49 Raw'!AH161</f>
        <v>15.053252000000001</v>
      </c>
      <c r="AF176" s="30">
        <f>'AEO 2023 Table 49 Raw'!AI161</f>
        <v>6.0000000000000001E-3</v>
      </c>
    </row>
    <row r="177" spans="1:32" ht="15" customHeight="1">
      <c r="A177" s="7" t="s">
        <v>894</v>
      </c>
      <c r="B177" s="16" t="s">
        <v>382</v>
      </c>
      <c r="C177" s="18">
        <f>'AEO 2023 Table 49 Raw'!F162</f>
        <v>12.370099</v>
      </c>
      <c r="D177" s="18">
        <f>'AEO 2023 Table 49 Raw'!G162</f>
        <v>12.423861</v>
      </c>
      <c r="E177" s="18">
        <f>'AEO 2023 Table 49 Raw'!H162</f>
        <v>12.629719</v>
      </c>
      <c r="F177" s="18">
        <f>'AEO 2023 Table 49 Raw'!I162</f>
        <v>12.777949</v>
      </c>
      <c r="G177" s="18">
        <f>'AEO 2023 Table 49 Raw'!J162</f>
        <v>12.891643</v>
      </c>
      <c r="H177" s="18">
        <f>'AEO 2023 Table 49 Raw'!K162</f>
        <v>13.075706</v>
      </c>
      <c r="I177" s="18">
        <f>'AEO 2023 Table 49 Raw'!L162</f>
        <v>13.197225</v>
      </c>
      <c r="J177" s="18">
        <f>'AEO 2023 Table 49 Raw'!M162</f>
        <v>13.404845999999999</v>
      </c>
      <c r="K177" s="18">
        <f>'AEO 2023 Table 49 Raw'!N162</f>
        <v>13.653918000000001</v>
      </c>
      <c r="L177" s="18">
        <f>'AEO 2023 Table 49 Raw'!O162</f>
        <v>13.885319000000001</v>
      </c>
      <c r="M177" s="18">
        <f>'AEO 2023 Table 49 Raw'!P162</f>
        <v>14.103802999999999</v>
      </c>
      <c r="N177" s="18">
        <f>'AEO 2023 Table 49 Raw'!Q162</f>
        <v>14.261164000000001</v>
      </c>
      <c r="O177" s="18">
        <f>'AEO 2023 Table 49 Raw'!R162</f>
        <v>14.349313</v>
      </c>
      <c r="P177" s="18">
        <f>'AEO 2023 Table 49 Raw'!S162</f>
        <v>14.374276999999999</v>
      </c>
      <c r="Q177" s="18">
        <f>'AEO 2023 Table 49 Raw'!T162</f>
        <v>14.390862</v>
      </c>
      <c r="R177" s="18">
        <f>'AEO 2023 Table 49 Raw'!U162</f>
        <v>14.392963999999999</v>
      </c>
      <c r="S177" s="18">
        <f>'AEO 2023 Table 49 Raw'!V162</f>
        <v>14.388192999999999</v>
      </c>
      <c r="T177" s="18">
        <f>'AEO 2023 Table 49 Raw'!W162</f>
        <v>14.383031000000001</v>
      </c>
      <c r="U177" s="18">
        <f>'AEO 2023 Table 49 Raw'!X162</f>
        <v>14.379376000000001</v>
      </c>
      <c r="V177" s="18">
        <f>'AEO 2023 Table 49 Raw'!Y162</f>
        <v>14.376702999999999</v>
      </c>
      <c r="W177" s="18">
        <f>'AEO 2023 Table 49 Raw'!Z162</f>
        <v>14.375076</v>
      </c>
      <c r="X177" s="18">
        <f>'AEO 2023 Table 49 Raw'!AA162</f>
        <v>14.373309000000001</v>
      </c>
      <c r="Y177" s="18">
        <f>'AEO 2023 Table 49 Raw'!AB162</f>
        <v>14.371249000000001</v>
      </c>
      <c r="Z177" s="18">
        <f>'AEO 2023 Table 49 Raw'!AC162</f>
        <v>14.369225999999999</v>
      </c>
      <c r="AA177" s="18">
        <f>'AEO 2023 Table 49 Raw'!AD162</f>
        <v>14.367286</v>
      </c>
      <c r="AB177" s="18">
        <f>'AEO 2023 Table 49 Raw'!AE162</f>
        <v>14.365677</v>
      </c>
      <c r="AC177" s="18">
        <f>'AEO 2023 Table 49 Raw'!AF162</f>
        <v>14.364300999999999</v>
      </c>
      <c r="AD177" s="18">
        <f>'AEO 2023 Table 49 Raw'!AG162</f>
        <v>14.363234</v>
      </c>
      <c r="AE177" s="18">
        <f>'AEO 2023 Table 49 Raw'!AH162</f>
        <v>14.362272000000001</v>
      </c>
      <c r="AF177" s="30">
        <f>'AEO 2023 Table 49 Raw'!AI162</f>
        <v>5.0000000000000001E-3</v>
      </c>
    </row>
    <row r="178" spans="1:32" ht="15" customHeight="1">
      <c r="A178" s="7" t="s">
        <v>895</v>
      </c>
      <c r="B178" s="16" t="s">
        <v>741</v>
      </c>
      <c r="C178" s="18">
        <f>'AEO 2023 Table 49 Raw'!F163</f>
        <v>12.486860999999999</v>
      </c>
      <c r="D178" s="18">
        <f>'AEO 2023 Table 49 Raw'!G163</f>
        <v>12.486860999999999</v>
      </c>
      <c r="E178" s="18">
        <f>'AEO 2023 Table 49 Raw'!H163</f>
        <v>12.486860999999999</v>
      </c>
      <c r="F178" s="18">
        <f>'AEO 2023 Table 49 Raw'!I163</f>
        <v>12.486860999999999</v>
      </c>
      <c r="G178" s="18">
        <f>'AEO 2023 Table 49 Raw'!J163</f>
        <v>12.486863</v>
      </c>
      <c r="H178" s="18">
        <f>'AEO 2023 Table 49 Raw'!K163</f>
        <v>12.486863</v>
      </c>
      <c r="I178" s="18">
        <f>'AEO 2023 Table 49 Raw'!L163</f>
        <v>12.486863</v>
      </c>
      <c r="J178" s="18">
        <f>'AEO 2023 Table 49 Raw'!M163</f>
        <v>12.486863</v>
      </c>
      <c r="K178" s="18">
        <f>'AEO 2023 Table 49 Raw'!N163</f>
        <v>12.48686</v>
      </c>
      <c r="L178" s="18">
        <f>'AEO 2023 Table 49 Raw'!O163</f>
        <v>12.486863</v>
      </c>
      <c r="M178" s="18">
        <f>'AEO 2023 Table 49 Raw'!P163</f>
        <v>12.486859000000001</v>
      </c>
      <c r="N178" s="18">
        <f>'AEO 2023 Table 49 Raw'!Q163</f>
        <v>12.486859000000001</v>
      </c>
      <c r="O178" s="18">
        <f>'AEO 2023 Table 49 Raw'!R163</f>
        <v>12.486859000000001</v>
      </c>
      <c r="P178" s="18">
        <f>'AEO 2023 Table 49 Raw'!S163</f>
        <v>12.486858</v>
      </c>
      <c r="Q178" s="18">
        <f>'AEO 2023 Table 49 Raw'!T163</f>
        <v>12.486863</v>
      </c>
      <c r="R178" s="18">
        <f>'AEO 2023 Table 49 Raw'!U163</f>
        <v>12.486863</v>
      </c>
      <c r="S178" s="18">
        <f>'AEO 2023 Table 49 Raw'!V163</f>
        <v>12.486863</v>
      </c>
      <c r="T178" s="18">
        <f>'AEO 2023 Table 49 Raw'!W163</f>
        <v>12.486860999999999</v>
      </c>
      <c r="U178" s="18">
        <f>'AEO 2023 Table 49 Raw'!X163</f>
        <v>12.486860999999999</v>
      </c>
      <c r="V178" s="18">
        <f>'AEO 2023 Table 49 Raw'!Y163</f>
        <v>12.486863</v>
      </c>
      <c r="W178" s="18">
        <f>'AEO 2023 Table 49 Raw'!Z163</f>
        <v>12.486860999999999</v>
      </c>
      <c r="X178" s="18">
        <f>'AEO 2023 Table 49 Raw'!AA163</f>
        <v>12.486864000000001</v>
      </c>
      <c r="Y178" s="18">
        <f>'AEO 2023 Table 49 Raw'!AB163</f>
        <v>12.486860999999999</v>
      </c>
      <c r="Z178" s="18">
        <f>'AEO 2023 Table 49 Raw'!AC163</f>
        <v>12.486860999999999</v>
      </c>
      <c r="AA178" s="18">
        <f>'AEO 2023 Table 49 Raw'!AD163</f>
        <v>12.48686</v>
      </c>
      <c r="AB178" s="18">
        <f>'AEO 2023 Table 49 Raw'!AE163</f>
        <v>12.486864000000001</v>
      </c>
      <c r="AC178" s="18">
        <f>'AEO 2023 Table 49 Raw'!AF163</f>
        <v>12.486863</v>
      </c>
      <c r="AD178" s="18">
        <f>'AEO 2023 Table 49 Raw'!AG163</f>
        <v>12.486864000000001</v>
      </c>
      <c r="AE178" s="18">
        <f>'AEO 2023 Table 49 Raw'!AH163</f>
        <v>12.486860999999999</v>
      </c>
      <c r="AF178" s="30">
        <f>'AEO 2023 Table 49 Raw'!AI163</f>
        <v>0</v>
      </c>
    </row>
    <row r="179" spans="1:32" ht="15" customHeight="1">
      <c r="A179" s="7" t="s">
        <v>896</v>
      </c>
      <c r="B179" s="16" t="s">
        <v>743</v>
      </c>
      <c r="C179" s="18">
        <f>'AEO 2023 Table 49 Raw'!F164</f>
        <v>12.856377999999999</v>
      </c>
      <c r="D179" s="18">
        <f>'AEO 2023 Table 49 Raw'!G164</f>
        <v>13.20093</v>
      </c>
      <c r="E179" s="18">
        <f>'AEO 2023 Table 49 Raw'!H164</f>
        <v>13.608930000000001</v>
      </c>
      <c r="F179" s="18">
        <f>'AEO 2023 Table 49 Raw'!I164</f>
        <v>14.025847000000001</v>
      </c>
      <c r="G179" s="18">
        <f>'AEO 2023 Table 49 Raw'!J164</f>
        <v>14.287955999999999</v>
      </c>
      <c r="H179" s="18">
        <f>'AEO 2023 Table 49 Raw'!K164</f>
        <v>14.621302</v>
      </c>
      <c r="I179" s="18">
        <f>'AEO 2023 Table 49 Raw'!L164</f>
        <v>14.646343</v>
      </c>
      <c r="J179" s="18">
        <f>'AEO 2023 Table 49 Raw'!M164</f>
        <v>14.734266999999999</v>
      </c>
      <c r="K179" s="18">
        <f>'AEO 2023 Table 49 Raw'!N164</f>
        <v>14.797757000000001</v>
      </c>
      <c r="L179" s="18">
        <f>'AEO 2023 Table 49 Raw'!O164</f>
        <v>14.841548</v>
      </c>
      <c r="M179" s="18">
        <f>'AEO 2023 Table 49 Raw'!P164</f>
        <v>14.838324</v>
      </c>
      <c r="N179" s="18">
        <f>'AEO 2023 Table 49 Raw'!Q164</f>
        <v>14.82273</v>
      </c>
      <c r="O179" s="18">
        <f>'AEO 2023 Table 49 Raw'!R164</f>
        <v>14.808649000000001</v>
      </c>
      <c r="P179" s="18">
        <f>'AEO 2023 Table 49 Raw'!S164</f>
        <v>14.801766000000001</v>
      </c>
      <c r="Q179" s="18">
        <f>'AEO 2023 Table 49 Raw'!T164</f>
        <v>14.794805999999999</v>
      </c>
      <c r="R179" s="18">
        <f>'AEO 2023 Table 49 Raw'!U164</f>
        <v>14.790613</v>
      </c>
      <c r="S179" s="18">
        <f>'AEO 2023 Table 49 Raw'!V164</f>
        <v>14.787017000000001</v>
      </c>
      <c r="T179" s="18">
        <f>'AEO 2023 Table 49 Raw'!W164</f>
        <v>14.783522</v>
      </c>
      <c r="U179" s="18">
        <f>'AEO 2023 Table 49 Raw'!X164</f>
        <v>14.781934</v>
      </c>
      <c r="V179" s="18">
        <f>'AEO 2023 Table 49 Raw'!Y164</f>
        <v>14.225555999999999</v>
      </c>
      <c r="W179" s="18">
        <f>'AEO 2023 Table 49 Raw'!Z164</f>
        <v>14.235229</v>
      </c>
      <c r="X179" s="18">
        <f>'AEO 2023 Table 49 Raw'!AA164</f>
        <v>14.265335</v>
      </c>
      <c r="Y179" s="18">
        <f>'AEO 2023 Table 49 Raw'!AB164</f>
        <v>14.310340999999999</v>
      </c>
      <c r="Z179" s="18">
        <f>'AEO 2023 Table 49 Raw'!AC164</f>
        <v>14.372424000000001</v>
      </c>
      <c r="AA179" s="18">
        <f>'AEO 2023 Table 49 Raw'!AD164</f>
        <v>14.450157000000001</v>
      </c>
      <c r="AB179" s="18">
        <f>'AEO 2023 Table 49 Raw'!AE164</f>
        <v>14.539440000000001</v>
      </c>
      <c r="AC179" s="18">
        <f>'AEO 2023 Table 49 Raw'!AF164</f>
        <v>14.631843</v>
      </c>
      <c r="AD179" s="18">
        <f>'AEO 2023 Table 49 Raw'!AG164</f>
        <v>14.715491</v>
      </c>
      <c r="AE179" s="18">
        <f>'AEO 2023 Table 49 Raw'!AH164</f>
        <v>14.784141</v>
      </c>
      <c r="AF179" s="30">
        <f>'AEO 2023 Table 49 Raw'!AI164</f>
        <v>5.0000000000000001E-3</v>
      </c>
    </row>
    <row r="180" spans="1:32" ht="15" customHeight="1">
      <c r="A180" s="7" t="s">
        <v>897</v>
      </c>
      <c r="B180" s="16" t="s">
        <v>745</v>
      </c>
      <c r="C180" s="18">
        <f>'AEO 2023 Table 49 Raw'!F165</f>
        <v>27.219131000000001</v>
      </c>
      <c r="D180" s="18">
        <f>'AEO 2023 Table 49 Raw'!G165</f>
        <v>27.246206000000001</v>
      </c>
      <c r="E180" s="18">
        <f>'AEO 2023 Table 49 Raw'!H165</f>
        <v>27.281479000000001</v>
      </c>
      <c r="F180" s="18">
        <f>'AEO 2023 Table 49 Raw'!I165</f>
        <v>27.325984999999999</v>
      </c>
      <c r="G180" s="18">
        <f>'AEO 2023 Table 49 Raw'!J165</f>
        <v>27.380227999999999</v>
      </c>
      <c r="H180" s="18">
        <f>'AEO 2023 Table 49 Raw'!K165</f>
        <v>27.443396</v>
      </c>
      <c r="I180" s="18">
        <f>'AEO 2023 Table 49 Raw'!L165</f>
        <v>27.474347999999999</v>
      </c>
      <c r="J180" s="18">
        <f>'AEO 2023 Table 49 Raw'!M165</f>
        <v>27.529593999999999</v>
      </c>
      <c r="K180" s="18">
        <f>'AEO 2023 Table 49 Raw'!N165</f>
        <v>27.582577000000001</v>
      </c>
      <c r="L180" s="18">
        <f>'AEO 2023 Table 49 Raw'!O165</f>
        <v>27.631516000000001</v>
      </c>
      <c r="M180" s="18">
        <f>'AEO 2023 Table 49 Raw'!P165</f>
        <v>27.674510999999999</v>
      </c>
      <c r="N180" s="18">
        <f>'AEO 2023 Table 49 Raw'!Q165</f>
        <v>27.700320999999999</v>
      </c>
      <c r="O180" s="18">
        <f>'AEO 2023 Table 49 Raw'!R165</f>
        <v>27.708849000000001</v>
      </c>
      <c r="P180" s="18">
        <f>'AEO 2023 Table 49 Raw'!S165</f>
        <v>27.716260999999999</v>
      </c>
      <c r="Q180" s="18">
        <f>'AEO 2023 Table 49 Raw'!T165</f>
        <v>27.722021000000002</v>
      </c>
      <c r="R180" s="18">
        <f>'AEO 2023 Table 49 Raw'!U165</f>
        <v>27.722662</v>
      </c>
      <c r="S180" s="18">
        <f>'AEO 2023 Table 49 Raw'!V165</f>
        <v>27.722632999999998</v>
      </c>
      <c r="T180" s="18">
        <f>'AEO 2023 Table 49 Raw'!W165</f>
        <v>27.722607</v>
      </c>
      <c r="U180" s="18">
        <f>'AEO 2023 Table 49 Raw'!X165</f>
        <v>27.722588999999999</v>
      </c>
      <c r="V180" s="18">
        <f>'AEO 2023 Table 49 Raw'!Y165</f>
        <v>27.722577999999999</v>
      </c>
      <c r="W180" s="18">
        <f>'AEO 2023 Table 49 Raw'!Z165</f>
        <v>27.722567000000002</v>
      </c>
      <c r="X180" s="18">
        <f>'AEO 2023 Table 49 Raw'!AA165</f>
        <v>27.722564999999999</v>
      </c>
      <c r="Y180" s="18">
        <f>'AEO 2023 Table 49 Raw'!AB165</f>
        <v>27.722549000000001</v>
      </c>
      <c r="Z180" s="18">
        <f>'AEO 2023 Table 49 Raw'!AC165</f>
        <v>27.722548</v>
      </c>
      <c r="AA180" s="18">
        <f>'AEO 2023 Table 49 Raw'!AD165</f>
        <v>27.722542000000001</v>
      </c>
      <c r="AB180" s="18">
        <f>'AEO 2023 Table 49 Raw'!AE165</f>
        <v>27.722548</v>
      </c>
      <c r="AC180" s="18">
        <f>'AEO 2023 Table 49 Raw'!AF165</f>
        <v>27.722542000000001</v>
      </c>
      <c r="AD180" s="18">
        <f>'AEO 2023 Table 49 Raw'!AG165</f>
        <v>27.722542000000001</v>
      </c>
      <c r="AE180" s="18">
        <f>'AEO 2023 Table 49 Raw'!AH165</f>
        <v>27.722532000000001</v>
      </c>
      <c r="AF180" s="30">
        <f>'AEO 2023 Table 49 Raw'!AI165</f>
        <v>1E-3</v>
      </c>
    </row>
    <row r="181" spans="1:32" ht="12" customHeight="1">
      <c r="A181" s="7" t="s">
        <v>898</v>
      </c>
      <c r="B181" s="16" t="s">
        <v>747</v>
      </c>
      <c r="C181" s="18">
        <f>'AEO 2023 Table 49 Raw'!F166</f>
        <v>0</v>
      </c>
      <c r="D181" s="18">
        <f>'AEO 2023 Table 49 Raw'!G166</f>
        <v>23.149602999999999</v>
      </c>
      <c r="E181" s="18">
        <f>'AEO 2023 Table 49 Raw'!H166</f>
        <v>23.792294999999999</v>
      </c>
      <c r="F181" s="18">
        <f>'AEO 2023 Table 49 Raw'!I166</f>
        <v>24.200839999999999</v>
      </c>
      <c r="G181" s="18">
        <f>'AEO 2023 Table 49 Raw'!J166</f>
        <v>24.605046999999999</v>
      </c>
      <c r="H181" s="18">
        <f>'AEO 2023 Table 49 Raw'!K166</f>
        <v>25.171638000000002</v>
      </c>
      <c r="I181" s="18">
        <f>'AEO 2023 Table 49 Raw'!L166</f>
        <v>25.638380000000002</v>
      </c>
      <c r="J181" s="18">
        <f>'AEO 2023 Table 49 Raw'!M166</f>
        <v>26.350712000000001</v>
      </c>
      <c r="K181" s="18">
        <f>'AEO 2023 Table 49 Raw'!N166</f>
        <v>27.125641000000002</v>
      </c>
      <c r="L181" s="18">
        <f>'AEO 2023 Table 49 Raw'!O166</f>
        <v>27.895655000000001</v>
      </c>
      <c r="M181" s="18">
        <f>'AEO 2023 Table 49 Raw'!P166</f>
        <v>28.569617999999998</v>
      </c>
      <c r="N181" s="18">
        <f>'AEO 2023 Table 49 Raw'!Q166</f>
        <v>28.919391999999998</v>
      </c>
      <c r="O181" s="18">
        <f>'AEO 2023 Table 49 Raw'!R166</f>
        <v>29.067191999999999</v>
      </c>
      <c r="P181" s="18">
        <f>'AEO 2023 Table 49 Raw'!S166</f>
        <v>29.093648999999999</v>
      </c>
      <c r="Q181" s="18">
        <f>'AEO 2023 Table 49 Raw'!T166</f>
        <v>29.114096</v>
      </c>
      <c r="R181" s="18">
        <f>'AEO 2023 Table 49 Raw'!U166</f>
        <v>29.116447000000001</v>
      </c>
      <c r="S181" s="18">
        <f>'AEO 2023 Table 49 Raw'!V166</f>
        <v>29.109842</v>
      </c>
      <c r="T181" s="18">
        <f>'AEO 2023 Table 49 Raw'!W166</f>
        <v>29.103829999999999</v>
      </c>
      <c r="U181" s="18">
        <f>'AEO 2023 Table 49 Raw'!X166</f>
        <v>29.098240000000001</v>
      </c>
      <c r="V181" s="18">
        <f>'AEO 2023 Table 49 Raw'!Y166</f>
        <v>29.093197</v>
      </c>
      <c r="W181" s="18">
        <f>'AEO 2023 Table 49 Raw'!Z166</f>
        <v>29.089124999999999</v>
      </c>
      <c r="X181" s="18">
        <f>'AEO 2023 Table 49 Raw'!AA166</f>
        <v>29.085042999999999</v>
      </c>
      <c r="Y181" s="18">
        <f>'AEO 2023 Table 49 Raw'!AB166</f>
        <v>29.081071999999999</v>
      </c>
      <c r="Z181" s="18">
        <f>'AEO 2023 Table 49 Raw'!AC166</f>
        <v>29.077499</v>
      </c>
      <c r="AA181" s="18">
        <f>'AEO 2023 Table 49 Raw'!AD166</f>
        <v>29.074244</v>
      </c>
      <c r="AB181" s="18">
        <f>'AEO 2023 Table 49 Raw'!AE166</f>
        <v>29.071300999999998</v>
      </c>
      <c r="AC181" s="18">
        <f>'AEO 2023 Table 49 Raw'!AF166</f>
        <v>29.068680000000001</v>
      </c>
      <c r="AD181" s="18">
        <f>'AEO 2023 Table 49 Raw'!AG166</f>
        <v>29.066320000000001</v>
      </c>
      <c r="AE181" s="18">
        <f>'AEO 2023 Table 49 Raw'!AH166</f>
        <v>29.064229999999998</v>
      </c>
      <c r="AF181" s="30" t="str">
        <f>'AEO 2023 Table 49 Raw'!AI166</f>
        <v>- -</v>
      </c>
    </row>
    <row r="182" spans="1:32" ht="12" customHeight="1">
      <c r="A182" s="7" t="s">
        <v>899</v>
      </c>
      <c r="B182" s="16" t="s">
        <v>749</v>
      </c>
      <c r="C182" s="18">
        <f>'AEO 2023 Table 49 Raw'!F167</f>
        <v>0</v>
      </c>
      <c r="D182" s="18">
        <f>'AEO 2023 Table 49 Raw'!G167</f>
        <v>18.966135000000001</v>
      </c>
      <c r="E182" s="18">
        <f>'AEO 2023 Table 49 Raw'!H167</f>
        <v>19.217065999999999</v>
      </c>
      <c r="F182" s="18">
        <f>'AEO 2023 Table 49 Raw'!I167</f>
        <v>19.464846000000001</v>
      </c>
      <c r="G182" s="18">
        <f>'AEO 2023 Table 49 Raw'!J167</f>
        <v>19.583196999999998</v>
      </c>
      <c r="H182" s="18">
        <f>'AEO 2023 Table 49 Raw'!K167</f>
        <v>19.765567999999998</v>
      </c>
      <c r="I182" s="18">
        <f>'AEO 2023 Table 49 Raw'!L167</f>
        <v>19.883178999999998</v>
      </c>
      <c r="J182" s="18">
        <f>'AEO 2023 Table 49 Raw'!M167</f>
        <v>20.084596999999999</v>
      </c>
      <c r="K182" s="18">
        <f>'AEO 2023 Table 49 Raw'!N167</f>
        <v>20.313245999999999</v>
      </c>
      <c r="L182" s="18">
        <f>'AEO 2023 Table 49 Raw'!O167</f>
        <v>20.535800999999999</v>
      </c>
      <c r="M182" s="18">
        <f>'AEO 2023 Table 49 Raw'!P167</f>
        <v>20.723002999999999</v>
      </c>
      <c r="N182" s="18">
        <f>'AEO 2023 Table 49 Raw'!Q167</f>
        <v>20.855868999999998</v>
      </c>
      <c r="O182" s="18">
        <f>'AEO 2023 Table 49 Raw'!R167</f>
        <v>20.952625000000001</v>
      </c>
      <c r="P182" s="18">
        <f>'AEO 2023 Table 49 Raw'!S167</f>
        <v>20.993577999999999</v>
      </c>
      <c r="Q182" s="18">
        <f>'AEO 2023 Table 49 Raw'!T167</f>
        <v>21.033982999999999</v>
      </c>
      <c r="R182" s="18">
        <f>'AEO 2023 Table 49 Raw'!U167</f>
        <v>21.055209999999999</v>
      </c>
      <c r="S182" s="18">
        <f>'AEO 2023 Table 49 Raw'!V167</f>
        <v>21.058744000000001</v>
      </c>
      <c r="T182" s="18">
        <f>'AEO 2023 Table 49 Raw'!W167</f>
        <v>21.054012</v>
      </c>
      <c r="U182" s="18">
        <f>'AEO 2023 Table 49 Raw'!X167</f>
        <v>21.050003</v>
      </c>
      <c r="V182" s="18">
        <f>'AEO 2023 Table 49 Raw'!Y167</f>
        <v>21.046147999999999</v>
      </c>
      <c r="W182" s="18">
        <f>'AEO 2023 Table 49 Raw'!Z167</f>
        <v>21.043344000000001</v>
      </c>
      <c r="X182" s="18">
        <f>'AEO 2023 Table 49 Raw'!AA167</f>
        <v>21.040512</v>
      </c>
      <c r="Y182" s="18">
        <f>'AEO 2023 Table 49 Raw'!AB167</f>
        <v>21.038179</v>
      </c>
      <c r="Z182" s="18">
        <f>'AEO 2023 Table 49 Raw'!AC167</f>
        <v>21.036017999999999</v>
      </c>
      <c r="AA182" s="18">
        <f>'AEO 2023 Table 49 Raw'!AD167</f>
        <v>21.033674000000001</v>
      </c>
      <c r="AB182" s="18">
        <f>'AEO 2023 Table 49 Raw'!AE167</f>
        <v>21.031624000000001</v>
      </c>
      <c r="AC182" s="18">
        <f>'AEO 2023 Table 49 Raw'!AF167</f>
        <v>21.030093999999998</v>
      </c>
      <c r="AD182" s="18">
        <f>'AEO 2023 Table 49 Raw'!AG167</f>
        <v>21.028852000000001</v>
      </c>
      <c r="AE182" s="18">
        <f>'AEO 2023 Table 49 Raw'!AH167</f>
        <v>21.027874000000001</v>
      </c>
      <c r="AF182" s="30" t="str">
        <f>'AEO 2023 Table 49 Raw'!AI167</f>
        <v>- -</v>
      </c>
    </row>
    <row r="183" spans="1:32" ht="15" customHeight="1">
      <c r="A183" s="7" t="s">
        <v>900</v>
      </c>
      <c r="B183" s="16" t="s">
        <v>751</v>
      </c>
      <c r="C183" s="18">
        <f>'AEO 2023 Table 49 Raw'!F168</f>
        <v>0</v>
      </c>
      <c r="D183" s="18">
        <f>'AEO 2023 Table 49 Raw'!G168</f>
        <v>0</v>
      </c>
      <c r="E183" s="18">
        <f>'AEO 2023 Table 49 Raw'!H168</f>
        <v>18.589188</v>
      </c>
      <c r="F183" s="18">
        <f>'AEO 2023 Table 49 Raw'!I168</f>
        <v>16.244858000000001</v>
      </c>
      <c r="G183" s="18">
        <f>'AEO 2023 Table 49 Raw'!J168</f>
        <v>16.244858000000001</v>
      </c>
      <c r="H183" s="18">
        <f>'AEO 2023 Table 49 Raw'!K168</f>
        <v>16.244858000000001</v>
      </c>
      <c r="I183" s="18">
        <f>'AEO 2023 Table 49 Raw'!L168</f>
        <v>16.244858000000001</v>
      </c>
      <c r="J183" s="18">
        <f>'AEO 2023 Table 49 Raw'!M168</f>
        <v>16.244858000000001</v>
      </c>
      <c r="K183" s="18">
        <f>'AEO 2023 Table 49 Raw'!N168</f>
        <v>16.244858000000001</v>
      </c>
      <c r="L183" s="18">
        <f>'AEO 2023 Table 49 Raw'!O168</f>
        <v>16.244858000000001</v>
      </c>
      <c r="M183" s="18">
        <f>'AEO 2023 Table 49 Raw'!P168</f>
        <v>16.244858000000001</v>
      </c>
      <c r="N183" s="18">
        <f>'AEO 2023 Table 49 Raw'!Q168</f>
        <v>16.244858000000001</v>
      </c>
      <c r="O183" s="18">
        <f>'AEO 2023 Table 49 Raw'!R168</f>
        <v>16.244858000000001</v>
      </c>
      <c r="P183" s="18">
        <f>'AEO 2023 Table 49 Raw'!S168</f>
        <v>16.244858000000001</v>
      </c>
      <c r="Q183" s="18">
        <f>'AEO 2023 Table 49 Raw'!T168</f>
        <v>16.244858000000001</v>
      </c>
      <c r="R183" s="18">
        <f>'AEO 2023 Table 49 Raw'!U168</f>
        <v>16.244858000000001</v>
      </c>
      <c r="S183" s="18">
        <f>'AEO 2023 Table 49 Raw'!V168</f>
        <v>16.244858000000001</v>
      </c>
      <c r="T183" s="18">
        <f>'AEO 2023 Table 49 Raw'!W168</f>
        <v>16.244858000000001</v>
      </c>
      <c r="U183" s="18">
        <f>'AEO 2023 Table 49 Raw'!X168</f>
        <v>16.244858000000001</v>
      </c>
      <c r="V183" s="18">
        <f>'AEO 2023 Table 49 Raw'!Y168</f>
        <v>16.244858000000001</v>
      </c>
      <c r="W183" s="18">
        <f>'AEO 2023 Table 49 Raw'!Z168</f>
        <v>16.244858000000001</v>
      </c>
      <c r="X183" s="18">
        <f>'AEO 2023 Table 49 Raw'!AA168</f>
        <v>16.244858000000001</v>
      </c>
      <c r="Y183" s="18">
        <f>'AEO 2023 Table 49 Raw'!AB168</f>
        <v>16.244858000000001</v>
      </c>
      <c r="Z183" s="18">
        <f>'AEO 2023 Table 49 Raw'!AC168</f>
        <v>16.244858000000001</v>
      </c>
      <c r="AA183" s="18">
        <f>'AEO 2023 Table 49 Raw'!AD168</f>
        <v>16.244858000000001</v>
      </c>
      <c r="AB183" s="18">
        <f>'AEO 2023 Table 49 Raw'!AE168</f>
        <v>16.244858000000001</v>
      </c>
      <c r="AC183" s="18">
        <f>'AEO 2023 Table 49 Raw'!AF168</f>
        <v>16.244858000000001</v>
      </c>
      <c r="AD183" s="18">
        <f>'AEO 2023 Table 49 Raw'!AG168</f>
        <v>16.244858000000001</v>
      </c>
      <c r="AE183" s="18">
        <f>'AEO 2023 Table 49 Raw'!AH168</f>
        <v>16.244858000000001</v>
      </c>
      <c r="AF183" s="30" t="str">
        <f>'AEO 2023 Table 49 Raw'!AI168</f>
        <v>- -</v>
      </c>
    </row>
    <row r="184" spans="1:32" ht="15" customHeight="1">
      <c r="A184" s="7" t="s">
        <v>901</v>
      </c>
      <c r="B184" s="16" t="s">
        <v>834</v>
      </c>
      <c r="C184" s="18">
        <f>'AEO 2023 Table 49 Raw'!F169</f>
        <v>15.490895999999999</v>
      </c>
      <c r="D184" s="18">
        <f>'AEO 2023 Table 49 Raw'!G169</f>
        <v>16.166305999999999</v>
      </c>
      <c r="E184" s="18">
        <f>'AEO 2023 Table 49 Raw'!H169</f>
        <v>16.862936000000001</v>
      </c>
      <c r="F184" s="18">
        <f>'AEO 2023 Table 49 Raw'!I169</f>
        <v>17.517621999999999</v>
      </c>
      <c r="G184" s="18">
        <f>'AEO 2023 Table 49 Raw'!J169</f>
        <v>17.939973999999999</v>
      </c>
      <c r="H184" s="18">
        <f>'AEO 2023 Table 49 Raw'!K169</f>
        <v>18.351084</v>
      </c>
      <c r="I184" s="18">
        <f>'AEO 2023 Table 49 Raw'!L169</f>
        <v>18.363810999999998</v>
      </c>
      <c r="J184" s="18">
        <f>'AEO 2023 Table 49 Raw'!M169</f>
        <v>18.421906</v>
      </c>
      <c r="K184" s="18">
        <f>'AEO 2023 Table 49 Raw'!N169</f>
        <v>18.436741000000001</v>
      </c>
      <c r="L184" s="18">
        <f>'AEO 2023 Table 49 Raw'!O169</f>
        <v>18.438327999999998</v>
      </c>
      <c r="M184" s="18">
        <f>'AEO 2023 Table 49 Raw'!P169</f>
        <v>18.410077999999999</v>
      </c>
      <c r="N184" s="18">
        <f>'AEO 2023 Table 49 Raw'!Q169</f>
        <v>18.370756</v>
      </c>
      <c r="O184" s="18">
        <f>'AEO 2023 Table 49 Raw'!R169</f>
        <v>18.338426999999999</v>
      </c>
      <c r="P184" s="18">
        <f>'AEO 2023 Table 49 Raw'!S169</f>
        <v>18.312878000000001</v>
      </c>
      <c r="Q184" s="18">
        <f>'AEO 2023 Table 49 Raw'!T169</f>
        <v>18.289845</v>
      </c>
      <c r="R184" s="18">
        <f>'AEO 2023 Table 49 Raw'!U169</f>
        <v>18.270005999999999</v>
      </c>
      <c r="S184" s="18">
        <f>'AEO 2023 Table 49 Raw'!V169</f>
        <v>18.251180999999999</v>
      </c>
      <c r="T184" s="18">
        <f>'AEO 2023 Table 49 Raw'!W169</f>
        <v>18.237627</v>
      </c>
      <c r="U184" s="18">
        <f>'AEO 2023 Table 49 Raw'!X169</f>
        <v>18.225670000000001</v>
      </c>
      <c r="V184" s="18">
        <f>'AEO 2023 Table 49 Raw'!Y169</f>
        <v>17.98377</v>
      </c>
      <c r="W184" s="18">
        <f>'AEO 2023 Table 49 Raw'!Z169</f>
        <v>17.984095</v>
      </c>
      <c r="X184" s="18">
        <f>'AEO 2023 Table 49 Raw'!AA169</f>
        <v>17.989407</v>
      </c>
      <c r="Y184" s="18">
        <f>'AEO 2023 Table 49 Raw'!AB169</f>
        <v>18.001579</v>
      </c>
      <c r="Z184" s="18">
        <f>'AEO 2023 Table 49 Raw'!AC169</f>
        <v>18.021345</v>
      </c>
      <c r="AA184" s="18">
        <f>'AEO 2023 Table 49 Raw'!AD169</f>
        <v>18.048006000000001</v>
      </c>
      <c r="AB184" s="18">
        <f>'AEO 2023 Table 49 Raw'!AE169</f>
        <v>18.079432000000001</v>
      </c>
      <c r="AC184" s="18">
        <f>'AEO 2023 Table 49 Raw'!AF169</f>
        <v>18.112024000000002</v>
      </c>
      <c r="AD184" s="18">
        <f>'AEO 2023 Table 49 Raw'!AG169</f>
        <v>18.141033</v>
      </c>
      <c r="AE184" s="18">
        <f>'AEO 2023 Table 49 Raw'!AH169</f>
        <v>18.164223</v>
      </c>
      <c r="AF184" s="30">
        <f>'AEO 2023 Table 49 Raw'!AI169</f>
        <v>6.0000000000000001E-3</v>
      </c>
    </row>
    <row r="185" spans="1:32" ht="15" customHeight="1">
      <c r="B185" s="15" t="s">
        <v>754</v>
      </c>
      <c r="C185" s="18"/>
      <c r="D185" s="18"/>
      <c r="E185" s="18"/>
      <c r="F185" s="18"/>
      <c r="G185" s="18"/>
      <c r="H185" s="18"/>
      <c r="I185" s="18"/>
      <c r="J185" s="18"/>
      <c r="K185" s="18"/>
      <c r="L185" s="18"/>
      <c r="M185" s="18"/>
      <c r="N185" s="18"/>
      <c r="O185" s="18"/>
      <c r="P185" s="18"/>
      <c r="Q185" s="18"/>
      <c r="R185" s="18"/>
      <c r="S185" s="18"/>
      <c r="T185" s="18"/>
      <c r="U185" s="18"/>
      <c r="V185" s="18"/>
      <c r="W185" s="18"/>
      <c r="X185" s="18"/>
      <c r="Y185" s="18"/>
      <c r="Z185" s="18"/>
      <c r="AA185" s="18"/>
      <c r="AB185" s="18"/>
      <c r="AC185" s="18"/>
      <c r="AD185" s="18"/>
      <c r="AE185" s="18"/>
      <c r="AF185" s="30"/>
    </row>
    <row r="186" spans="1:32" ht="15" customHeight="1">
      <c r="A186" s="7" t="s">
        <v>902</v>
      </c>
      <c r="B186" s="16" t="s">
        <v>736</v>
      </c>
      <c r="C186" s="18">
        <f>'AEO 2023 Table 49 Raw'!F171</f>
        <v>10.573097000000001</v>
      </c>
      <c r="D186" s="18">
        <f>'AEO 2023 Table 49 Raw'!G171</f>
        <v>11.142481999999999</v>
      </c>
      <c r="E186" s="18">
        <f>'AEO 2023 Table 49 Raw'!H171</f>
        <v>11.550675</v>
      </c>
      <c r="F186" s="18">
        <f>'AEO 2023 Table 49 Raw'!I171</f>
        <v>11.977062999999999</v>
      </c>
      <c r="G186" s="18">
        <f>'AEO 2023 Table 49 Raw'!J171</f>
        <v>12.422694</v>
      </c>
      <c r="H186" s="18">
        <f>'AEO 2023 Table 49 Raw'!K171</f>
        <v>12.829067</v>
      </c>
      <c r="I186" s="18">
        <f>'AEO 2023 Table 49 Raw'!L171</f>
        <v>12.983183</v>
      </c>
      <c r="J186" s="18">
        <f>'AEO 2023 Table 49 Raw'!M171</f>
        <v>13.298928</v>
      </c>
      <c r="K186" s="18">
        <f>'AEO 2023 Table 49 Raw'!N171</f>
        <v>13.580273999999999</v>
      </c>
      <c r="L186" s="18">
        <f>'AEO 2023 Table 49 Raw'!O171</f>
        <v>13.839663</v>
      </c>
      <c r="M186" s="18">
        <f>'AEO 2023 Table 49 Raw'!P171</f>
        <v>13.962664</v>
      </c>
      <c r="N186" s="18">
        <f>'AEO 2023 Table 49 Raw'!Q171</f>
        <v>13.93507</v>
      </c>
      <c r="O186" s="18">
        <f>'AEO 2023 Table 49 Raw'!R171</f>
        <v>13.911441999999999</v>
      </c>
      <c r="P186" s="18">
        <f>'AEO 2023 Table 49 Raw'!S171</f>
        <v>13.891622999999999</v>
      </c>
      <c r="Q186" s="18">
        <f>'AEO 2023 Table 49 Raw'!T171</f>
        <v>13.875118000000001</v>
      </c>
      <c r="R186" s="18">
        <f>'AEO 2023 Table 49 Raw'!U171</f>
        <v>13.861440999999999</v>
      </c>
      <c r="S186" s="18">
        <f>'AEO 2023 Table 49 Raw'!V171</f>
        <v>13.850263999999999</v>
      </c>
      <c r="T186" s="18">
        <f>'AEO 2023 Table 49 Raw'!W171</f>
        <v>13.841043000000001</v>
      </c>
      <c r="U186" s="18">
        <f>'AEO 2023 Table 49 Raw'!X171</f>
        <v>13.833132000000001</v>
      </c>
      <c r="V186" s="18">
        <f>'AEO 2023 Table 49 Raw'!Y171</f>
        <v>13.826354</v>
      </c>
      <c r="W186" s="18">
        <f>'AEO 2023 Table 49 Raw'!Z171</f>
        <v>13.820491000000001</v>
      </c>
      <c r="X186" s="18">
        <f>'AEO 2023 Table 49 Raw'!AA171</f>
        <v>13.815535000000001</v>
      </c>
      <c r="Y186" s="18">
        <f>'AEO 2023 Table 49 Raw'!AB171</f>
        <v>13.811344</v>
      </c>
      <c r="Z186" s="18">
        <f>'AEO 2023 Table 49 Raw'!AC171</f>
        <v>13.807777</v>
      </c>
      <c r="AA186" s="18">
        <f>'AEO 2023 Table 49 Raw'!AD171</f>
        <v>13.804619000000001</v>
      </c>
      <c r="AB186" s="18">
        <f>'AEO 2023 Table 49 Raw'!AE171</f>
        <v>13.801878</v>
      </c>
      <c r="AC186" s="18">
        <f>'AEO 2023 Table 49 Raw'!AF171</f>
        <v>13.799593</v>
      </c>
      <c r="AD186" s="18">
        <f>'AEO 2023 Table 49 Raw'!AG171</f>
        <v>13.797670999999999</v>
      </c>
      <c r="AE186" s="18">
        <f>'AEO 2023 Table 49 Raw'!AH171</f>
        <v>13.796167000000001</v>
      </c>
      <c r="AF186" s="30">
        <f>'AEO 2023 Table 49 Raw'!AI171</f>
        <v>0.01</v>
      </c>
    </row>
    <row r="187" spans="1:32" ht="15" customHeight="1">
      <c r="A187" s="7" t="s">
        <v>903</v>
      </c>
      <c r="B187" s="16" t="s">
        <v>738</v>
      </c>
      <c r="C187" s="18">
        <f>'AEO 2023 Table 49 Raw'!F172</f>
        <v>7.5891770000000003</v>
      </c>
      <c r="D187" s="18">
        <f>'AEO 2023 Table 49 Raw'!G172</f>
        <v>7.6523339999999997</v>
      </c>
      <c r="E187" s="18">
        <f>'AEO 2023 Table 49 Raw'!H172</f>
        <v>7.8744550000000002</v>
      </c>
      <c r="F187" s="18">
        <f>'AEO 2023 Table 49 Raw'!I172</f>
        <v>8.1242289999999997</v>
      </c>
      <c r="G187" s="18">
        <f>'AEO 2023 Table 49 Raw'!J172</f>
        <v>8.3943469999999998</v>
      </c>
      <c r="H187" s="18">
        <f>'AEO 2023 Table 49 Raw'!K172</f>
        <v>8.6589279999999995</v>
      </c>
      <c r="I187" s="18">
        <f>'AEO 2023 Table 49 Raw'!L172</f>
        <v>8.7443919999999995</v>
      </c>
      <c r="J187" s="18">
        <f>'AEO 2023 Table 49 Raw'!M172</f>
        <v>8.950094</v>
      </c>
      <c r="K187" s="18">
        <f>'AEO 2023 Table 49 Raw'!N172</f>
        <v>9.1302690000000002</v>
      </c>
      <c r="L187" s="18">
        <f>'AEO 2023 Table 49 Raw'!O172</f>
        <v>9.29664</v>
      </c>
      <c r="M187" s="18">
        <f>'AEO 2023 Table 49 Raw'!P172</f>
        <v>9.4047549999999998</v>
      </c>
      <c r="N187" s="18">
        <f>'AEO 2023 Table 49 Raw'!Q172</f>
        <v>9.4433319999999998</v>
      </c>
      <c r="O187" s="18">
        <f>'AEO 2023 Table 49 Raw'!R172</f>
        <v>9.4775770000000001</v>
      </c>
      <c r="P187" s="18">
        <f>'AEO 2023 Table 49 Raw'!S172</f>
        <v>9.4981810000000007</v>
      </c>
      <c r="Q187" s="18">
        <f>'AEO 2023 Table 49 Raw'!T172</f>
        <v>9.5133659999999995</v>
      </c>
      <c r="R187" s="18">
        <f>'AEO 2023 Table 49 Raw'!U172</f>
        <v>9.5167750000000009</v>
      </c>
      <c r="S187" s="18">
        <f>'AEO 2023 Table 49 Raw'!V172</f>
        <v>9.5163709999999995</v>
      </c>
      <c r="T187" s="18">
        <f>'AEO 2023 Table 49 Raw'!W172</f>
        <v>9.5160710000000002</v>
      </c>
      <c r="U187" s="18">
        <f>'AEO 2023 Table 49 Raw'!X172</f>
        <v>9.515841</v>
      </c>
      <c r="V187" s="18">
        <f>'AEO 2023 Table 49 Raw'!Y172</f>
        <v>9.5156679999999998</v>
      </c>
      <c r="W187" s="18">
        <f>'AEO 2023 Table 49 Raw'!Z172</f>
        <v>9.5155329999999996</v>
      </c>
      <c r="X187" s="18">
        <f>'AEO 2023 Table 49 Raw'!AA172</f>
        <v>9.5154340000000008</v>
      </c>
      <c r="Y187" s="18">
        <f>'AEO 2023 Table 49 Raw'!AB172</f>
        <v>9.5153590000000001</v>
      </c>
      <c r="Z187" s="18">
        <f>'AEO 2023 Table 49 Raw'!AC172</f>
        <v>9.5152990000000006</v>
      </c>
      <c r="AA187" s="18">
        <f>'AEO 2023 Table 49 Raw'!AD172</f>
        <v>9.5152549999999998</v>
      </c>
      <c r="AB187" s="18">
        <f>'AEO 2023 Table 49 Raw'!AE172</f>
        <v>9.5152210000000004</v>
      </c>
      <c r="AC187" s="18">
        <f>'AEO 2023 Table 49 Raw'!AF172</f>
        <v>9.5151939999999993</v>
      </c>
      <c r="AD187" s="18">
        <f>'AEO 2023 Table 49 Raw'!AG172</f>
        <v>9.5151730000000008</v>
      </c>
      <c r="AE187" s="18">
        <f>'AEO 2023 Table 49 Raw'!AH172</f>
        <v>9.5151610000000009</v>
      </c>
      <c r="AF187" s="30">
        <f>'AEO 2023 Table 49 Raw'!AI172</f>
        <v>8.0000000000000002E-3</v>
      </c>
    </row>
    <row r="188" spans="1:32" ht="12" customHeight="1">
      <c r="A188" s="7" t="s">
        <v>904</v>
      </c>
      <c r="B188" s="16" t="s">
        <v>382</v>
      </c>
      <c r="C188" s="18">
        <f>'AEO 2023 Table 49 Raw'!F173</f>
        <v>7.1242470000000004</v>
      </c>
      <c r="D188" s="18">
        <f>'AEO 2023 Table 49 Raw'!G173</f>
        <v>7.216818</v>
      </c>
      <c r="E188" s="18">
        <f>'AEO 2023 Table 49 Raw'!H173</f>
        <v>7.356338</v>
      </c>
      <c r="F188" s="18">
        <f>'AEO 2023 Table 49 Raw'!I173</f>
        <v>7.5275080000000001</v>
      </c>
      <c r="G188" s="18">
        <f>'AEO 2023 Table 49 Raw'!J173</f>
        <v>7.7367439999999998</v>
      </c>
      <c r="H188" s="18">
        <f>'AEO 2023 Table 49 Raw'!K173</f>
        <v>7.9802749999999998</v>
      </c>
      <c r="I188" s="18">
        <f>'AEO 2023 Table 49 Raw'!L173</f>
        <v>8.1329689999999992</v>
      </c>
      <c r="J188" s="18">
        <f>'AEO 2023 Table 49 Raw'!M173</f>
        <v>8.3850580000000008</v>
      </c>
      <c r="K188" s="18">
        <f>'AEO 2023 Table 49 Raw'!N173</f>
        <v>8.6340389999999996</v>
      </c>
      <c r="L188" s="18">
        <f>'AEO 2023 Table 49 Raw'!O173</f>
        <v>8.8846019999999992</v>
      </c>
      <c r="M188" s="18">
        <f>'AEO 2023 Table 49 Raw'!P173</f>
        <v>9.1037320000000008</v>
      </c>
      <c r="N188" s="18">
        <f>'AEO 2023 Table 49 Raw'!Q173</f>
        <v>9.2685969999999998</v>
      </c>
      <c r="O188" s="18">
        <f>'AEO 2023 Table 49 Raw'!R173</f>
        <v>9.3673669999999998</v>
      </c>
      <c r="P188" s="18">
        <f>'AEO 2023 Table 49 Raw'!S173</f>
        <v>9.3986730000000005</v>
      </c>
      <c r="Q188" s="18">
        <f>'AEO 2023 Table 49 Raw'!T173</f>
        <v>9.4239759999999997</v>
      </c>
      <c r="R188" s="18">
        <f>'AEO 2023 Table 49 Raw'!U173</f>
        <v>9.4243430000000004</v>
      </c>
      <c r="S188" s="18">
        <f>'AEO 2023 Table 49 Raw'!V173</f>
        <v>9.4240860000000009</v>
      </c>
      <c r="T188" s="18">
        <f>'AEO 2023 Table 49 Raw'!W173</f>
        <v>9.4238769999999992</v>
      </c>
      <c r="U188" s="18">
        <f>'AEO 2023 Table 49 Raw'!X173</f>
        <v>9.4237210000000005</v>
      </c>
      <c r="V188" s="18">
        <f>'AEO 2023 Table 49 Raw'!Y173</f>
        <v>9.4235749999999996</v>
      </c>
      <c r="W188" s="18">
        <f>'AEO 2023 Table 49 Raw'!Z173</f>
        <v>9.4234550000000006</v>
      </c>
      <c r="X188" s="18">
        <f>'AEO 2023 Table 49 Raw'!AA173</f>
        <v>9.4233600000000006</v>
      </c>
      <c r="Y188" s="18">
        <f>'AEO 2023 Table 49 Raw'!AB173</f>
        <v>9.4233170000000008</v>
      </c>
      <c r="Z188" s="18">
        <f>'AEO 2023 Table 49 Raw'!AC173</f>
        <v>9.4232969999999998</v>
      </c>
      <c r="AA188" s="18">
        <f>'AEO 2023 Table 49 Raw'!AD173</f>
        <v>9.4232879999999994</v>
      </c>
      <c r="AB188" s="18">
        <f>'AEO 2023 Table 49 Raw'!AE173</f>
        <v>9.4232800000000001</v>
      </c>
      <c r="AC188" s="18">
        <f>'AEO 2023 Table 49 Raw'!AF173</f>
        <v>9.4232779999999998</v>
      </c>
      <c r="AD188" s="18">
        <f>'AEO 2023 Table 49 Raw'!AG173</f>
        <v>9.4232709999999997</v>
      </c>
      <c r="AE188" s="18">
        <f>'AEO 2023 Table 49 Raw'!AH173</f>
        <v>9.4232750000000003</v>
      </c>
      <c r="AF188" s="30">
        <f>'AEO 2023 Table 49 Raw'!AI173</f>
        <v>0.01</v>
      </c>
    </row>
    <row r="189" spans="1:32" ht="15" customHeight="1">
      <c r="A189" s="7" t="s">
        <v>905</v>
      </c>
      <c r="B189" s="16" t="s">
        <v>741</v>
      </c>
      <c r="C189" s="18">
        <f>'AEO 2023 Table 49 Raw'!F174</f>
        <v>7.292313</v>
      </c>
      <c r="D189" s="18">
        <f>'AEO 2023 Table 49 Raw'!G174</f>
        <v>7.4887620000000004</v>
      </c>
      <c r="E189" s="18">
        <f>'AEO 2023 Table 49 Raw'!H174</f>
        <v>7.6989830000000001</v>
      </c>
      <c r="F189" s="18">
        <f>'AEO 2023 Table 49 Raw'!I174</f>
        <v>7.9405089999999996</v>
      </c>
      <c r="G189" s="18">
        <f>'AEO 2023 Table 49 Raw'!J174</f>
        <v>8.1946619999999992</v>
      </c>
      <c r="H189" s="18">
        <f>'AEO 2023 Table 49 Raw'!K174</f>
        <v>8.4437359999999995</v>
      </c>
      <c r="I189" s="18">
        <f>'AEO 2023 Table 49 Raw'!L174</f>
        <v>8.5496529999999993</v>
      </c>
      <c r="J189" s="18">
        <f>'AEO 2023 Table 49 Raw'!M174</f>
        <v>8.7321190000000009</v>
      </c>
      <c r="K189" s="18">
        <f>'AEO 2023 Table 49 Raw'!N174</f>
        <v>8.8933470000000003</v>
      </c>
      <c r="L189" s="18">
        <f>'AEO 2023 Table 49 Raw'!O174</f>
        <v>9.0443850000000001</v>
      </c>
      <c r="M189" s="18">
        <f>'AEO 2023 Table 49 Raw'!P174</f>
        <v>9.1423909999999999</v>
      </c>
      <c r="N189" s="18">
        <f>'AEO 2023 Table 49 Raw'!Q174</f>
        <v>9.1668219999999998</v>
      </c>
      <c r="O189" s="18">
        <f>'AEO 2023 Table 49 Raw'!R174</f>
        <v>9.1616040000000005</v>
      </c>
      <c r="P189" s="18">
        <f>'AEO 2023 Table 49 Raw'!S174</f>
        <v>9.1576190000000004</v>
      </c>
      <c r="Q189" s="18">
        <f>'AEO 2023 Table 49 Raw'!T174</f>
        <v>9.1545670000000001</v>
      </c>
      <c r="R189" s="18">
        <f>'AEO 2023 Table 49 Raw'!U174</f>
        <v>9.1522020000000008</v>
      </c>
      <c r="S189" s="18">
        <f>'AEO 2023 Table 49 Raw'!V174</f>
        <v>9.1503770000000006</v>
      </c>
      <c r="T189" s="18">
        <f>'AEO 2023 Table 49 Raw'!W174</f>
        <v>9.148968</v>
      </c>
      <c r="U189" s="18">
        <f>'AEO 2023 Table 49 Raw'!X174</f>
        <v>9.1478660000000005</v>
      </c>
      <c r="V189" s="18">
        <f>'AEO 2023 Table 49 Raw'!Y174</f>
        <v>9.1470079999999996</v>
      </c>
      <c r="W189" s="18">
        <f>'AEO 2023 Table 49 Raw'!Z174</f>
        <v>9.1463330000000003</v>
      </c>
      <c r="X189" s="18">
        <f>'AEO 2023 Table 49 Raw'!AA174</f>
        <v>9.1457940000000004</v>
      </c>
      <c r="Y189" s="18">
        <f>'AEO 2023 Table 49 Raw'!AB174</f>
        <v>9.1453620000000004</v>
      </c>
      <c r="Z189" s="18">
        <f>'AEO 2023 Table 49 Raw'!AC174</f>
        <v>9.145016</v>
      </c>
      <c r="AA189" s="18">
        <f>'AEO 2023 Table 49 Raw'!AD174</f>
        <v>9.1447339999999997</v>
      </c>
      <c r="AB189" s="18">
        <f>'AEO 2023 Table 49 Raw'!AE174</f>
        <v>9.1445059999999998</v>
      </c>
      <c r="AC189" s="18">
        <f>'AEO 2023 Table 49 Raw'!AF174</f>
        <v>9.1443200000000004</v>
      </c>
      <c r="AD189" s="18">
        <f>'AEO 2023 Table 49 Raw'!AG174</f>
        <v>9.1441730000000003</v>
      </c>
      <c r="AE189" s="18">
        <f>'AEO 2023 Table 49 Raw'!AH174</f>
        <v>9.14405</v>
      </c>
      <c r="AF189" s="30">
        <f>'AEO 2023 Table 49 Raw'!AI174</f>
        <v>8.0000000000000002E-3</v>
      </c>
    </row>
    <row r="190" spans="1:32" ht="15" customHeight="1">
      <c r="A190" s="7" t="s">
        <v>906</v>
      </c>
      <c r="B190" s="16" t="s">
        <v>743</v>
      </c>
      <c r="C190" s="18">
        <f>'AEO 2023 Table 49 Raw'!F175</f>
        <v>7.2663060000000002</v>
      </c>
      <c r="D190" s="18">
        <f>'AEO 2023 Table 49 Raw'!G175</f>
        <v>7.4555300000000004</v>
      </c>
      <c r="E190" s="18">
        <f>'AEO 2023 Table 49 Raw'!H175</f>
        <v>7.6718359999999999</v>
      </c>
      <c r="F190" s="18">
        <f>'AEO 2023 Table 49 Raw'!I175</f>
        <v>7.9160760000000003</v>
      </c>
      <c r="G190" s="18">
        <f>'AEO 2023 Table 49 Raw'!J175</f>
        <v>8.1797450000000005</v>
      </c>
      <c r="H190" s="18">
        <f>'AEO 2023 Table 49 Raw'!K175</f>
        <v>8.4372439999999997</v>
      </c>
      <c r="I190" s="18">
        <f>'AEO 2023 Table 49 Raw'!L175</f>
        <v>8.5197730000000007</v>
      </c>
      <c r="J190" s="18">
        <f>'AEO 2023 Table 49 Raw'!M175</f>
        <v>8.7195079999999994</v>
      </c>
      <c r="K190" s="18">
        <f>'AEO 2023 Table 49 Raw'!N175</f>
        <v>8.8943320000000003</v>
      </c>
      <c r="L190" s="18">
        <f>'AEO 2023 Table 49 Raw'!O175</f>
        <v>9.0558060000000005</v>
      </c>
      <c r="M190" s="18">
        <f>'AEO 2023 Table 49 Raw'!P175</f>
        <v>9.1607590000000005</v>
      </c>
      <c r="N190" s="18">
        <f>'AEO 2023 Table 49 Raw'!Q175</f>
        <v>9.1982040000000005</v>
      </c>
      <c r="O190" s="18">
        <f>'AEO 2023 Table 49 Raw'!R175</f>
        <v>9.2316839999999996</v>
      </c>
      <c r="P190" s="18">
        <f>'AEO 2023 Table 49 Raw'!S175</f>
        <v>9.2516850000000002</v>
      </c>
      <c r="Q190" s="18">
        <f>'AEO 2023 Table 49 Raw'!T175</f>
        <v>9.266845</v>
      </c>
      <c r="R190" s="18">
        <f>'AEO 2023 Table 49 Raw'!U175</f>
        <v>9.2707099999999993</v>
      </c>
      <c r="S190" s="18">
        <f>'AEO 2023 Table 49 Raw'!V175</f>
        <v>9.2705110000000008</v>
      </c>
      <c r="T190" s="18">
        <f>'AEO 2023 Table 49 Raw'!W175</f>
        <v>9.2702580000000001</v>
      </c>
      <c r="U190" s="18">
        <f>'AEO 2023 Table 49 Raw'!X175</f>
        <v>9.2700849999999999</v>
      </c>
      <c r="V190" s="18">
        <f>'AEO 2023 Table 49 Raw'!Y175</f>
        <v>9.2699850000000001</v>
      </c>
      <c r="W190" s="18">
        <f>'AEO 2023 Table 49 Raw'!Z175</f>
        <v>9.2699289999999994</v>
      </c>
      <c r="X190" s="18">
        <f>'AEO 2023 Table 49 Raw'!AA175</f>
        <v>9.2698719999999994</v>
      </c>
      <c r="Y190" s="18">
        <f>'AEO 2023 Table 49 Raw'!AB175</f>
        <v>9.2698280000000004</v>
      </c>
      <c r="Z190" s="18">
        <f>'AEO 2023 Table 49 Raw'!AC175</f>
        <v>9.2698</v>
      </c>
      <c r="AA190" s="18">
        <f>'AEO 2023 Table 49 Raw'!AD175</f>
        <v>9.2698009999999993</v>
      </c>
      <c r="AB190" s="18">
        <f>'AEO 2023 Table 49 Raw'!AE175</f>
        <v>9.2698009999999993</v>
      </c>
      <c r="AC190" s="18">
        <f>'AEO 2023 Table 49 Raw'!AF175</f>
        <v>9.2697959999999995</v>
      </c>
      <c r="AD190" s="18">
        <f>'AEO 2023 Table 49 Raw'!AG175</f>
        <v>9.2697909999999997</v>
      </c>
      <c r="AE190" s="18">
        <f>'AEO 2023 Table 49 Raw'!AH175</f>
        <v>9.2697839999999996</v>
      </c>
      <c r="AF190" s="30">
        <f>'AEO 2023 Table 49 Raw'!AI175</f>
        <v>8.9999999999999993E-3</v>
      </c>
    </row>
    <row r="191" spans="1:32" ht="15" customHeight="1">
      <c r="A191" s="7" t="s">
        <v>907</v>
      </c>
      <c r="B191" s="16" t="s">
        <v>745</v>
      </c>
      <c r="C191" s="18">
        <f>'AEO 2023 Table 49 Raw'!F176</f>
        <v>17.261649999999999</v>
      </c>
      <c r="D191" s="18">
        <f>'AEO 2023 Table 49 Raw'!G176</f>
        <v>17.508955</v>
      </c>
      <c r="E191" s="18">
        <f>'AEO 2023 Table 49 Raw'!H176</f>
        <v>17.854617999999999</v>
      </c>
      <c r="F191" s="18">
        <f>'AEO 2023 Table 49 Raw'!I176</f>
        <v>18.280691000000001</v>
      </c>
      <c r="G191" s="18">
        <f>'AEO 2023 Table 49 Raw'!J176</f>
        <v>18.794691</v>
      </c>
      <c r="H191" s="18">
        <f>'AEO 2023 Table 49 Raw'!K176</f>
        <v>19.322081000000001</v>
      </c>
      <c r="I191" s="18">
        <f>'AEO 2023 Table 49 Raw'!L176</f>
        <v>19.567142</v>
      </c>
      <c r="J191" s="18">
        <f>'AEO 2023 Table 49 Raw'!M176</f>
        <v>20.083326</v>
      </c>
      <c r="K191" s="18">
        <f>'AEO 2023 Table 49 Raw'!N176</f>
        <v>20.583573999999999</v>
      </c>
      <c r="L191" s="18">
        <f>'AEO 2023 Table 49 Raw'!O176</f>
        <v>21.050308000000001</v>
      </c>
      <c r="M191" s="18">
        <f>'AEO 2023 Table 49 Raw'!P176</f>
        <v>21.371737</v>
      </c>
      <c r="N191" s="18">
        <f>'AEO 2023 Table 49 Raw'!Q176</f>
        <v>21.448775999999999</v>
      </c>
      <c r="O191" s="18">
        <f>'AEO 2023 Table 49 Raw'!R176</f>
        <v>21.473773999999999</v>
      </c>
      <c r="P191" s="18">
        <f>'AEO 2023 Table 49 Raw'!S176</f>
        <v>21.561295999999999</v>
      </c>
      <c r="Q191" s="18">
        <f>'AEO 2023 Table 49 Raw'!T176</f>
        <v>21.629854000000002</v>
      </c>
      <c r="R191" s="18">
        <f>'AEO 2023 Table 49 Raw'!U176</f>
        <v>21.681643999999999</v>
      </c>
      <c r="S191" s="18">
        <f>'AEO 2023 Table 49 Raw'!V176</f>
        <v>21.724883999999999</v>
      </c>
      <c r="T191" s="18">
        <f>'AEO 2023 Table 49 Raw'!W176</f>
        <v>21.749371</v>
      </c>
      <c r="U191" s="18">
        <f>'AEO 2023 Table 49 Raw'!X176</f>
        <v>21.766476000000001</v>
      </c>
      <c r="V191" s="18">
        <f>'AEO 2023 Table 49 Raw'!Y176</f>
        <v>21.779071999999999</v>
      </c>
      <c r="W191" s="18">
        <f>'AEO 2023 Table 49 Raw'!Z176</f>
        <v>21.780203</v>
      </c>
      <c r="X191" s="18">
        <f>'AEO 2023 Table 49 Raw'!AA176</f>
        <v>21.780716000000002</v>
      </c>
      <c r="Y191" s="18">
        <f>'AEO 2023 Table 49 Raw'!AB176</f>
        <v>21.779817999999999</v>
      </c>
      <c r="Z191" s="18">
        <f>'AEO 2023 Table 49 Raw'!AC176</f>
        <v>21.778154000000001</v>
      </c>
      <c r="AA191" s="18">
        <f>'AEO 2023 Table 49 Raw'!AD176</f>
        <v>21.776806000000001</v>
      </c>
      <c r="AB191" s="18">
        <f>'AEO 2023 Table 49 Raw'!AE176</f>
        <v>21.776888</v>
      </c>
      <c r="AC191" s="18">
        <f>'AEO 2023 Table 49 Raw'!AF176</f>
        <v>21.776876000000001</v>
      </c>
      <c r="AD191" s="18">
        <f>'AEO 2023 Table 49 Raw'!AG176</f>
        <v>21.775303000000001</v>
      </c>
      <c r="AE191" s="18">
        <f>'AEO 2023 Table 49 Raw'!AH176</f>
        <v>21.771277999999999</v>
      </c>
      <c r="AF191" s="30">
        <f>'AEO 2023 Table 49 Raw'!AI176</f>
        <v>8.0000000000000002E-3</v>
      </c>
    </row>
    <row r="192" spans="1:32" ht="15" customHeight="1">
      <c r="A192" s="7" t="s">
        <v>908</v>
      </c>
      <c r="B192" s="16" t="s">
        <v>747</v>
      </c>
      <c r="C192" s="18">
        <f>'AEO 2023 Table 49 Raw'!F177</f>
        <v>0</v>
      </c>
      <c r="D192" s="18">
        <f>'AEO 2023 Table 49 Raw'!G177</f>
        <v>0</v>
      </c>
      <c r="E192" s="18">
        <f>'AEO 2023 Table 49 Raw'!H177</f>
        <v>14.554</v>
      </c>
      <c r="F192" s="18">
        <f>'AEO 2023 Table 49 Raw'!I177</f>
        <v>15.066958</v>
      </c>
      <c r="G192" s="18">
        <f>'AEO 2023 Table 49 Raw'!J177</f>
        <v>15.341419999999999</v>
      </c>
      <c r="H192" s="18">
        <f>'AEO 2023 Table 49 Raw'!K177</f>
        <v>15.709078999999999</v>
      </c>
      <c r="I192" s="18">
        <f>'AEO 2023 Table 49 Raw'!L177</f>
        <v>15.967656</v>
      </c>
      <c r="J192" s="18">
        <f>'AEO 2023 Table 49 Raw'!M177</f>
        <v>16.337116000000002</v>
      </c>
      <c r="K192" s="18">
        <f>'AEO 2023 Table 49 Raw'!N177</f>
        <v>16.689360000000001</v>
      </c>
      <c r="L192" s="18">
        <f>'AEO 2023 Table 49 Raw'!O177</f>
        <v>17.07855</v>
      </c>
      <c r="M192" s="18">
        <f>'AEO 2023 Table 49 Raw'!P177</f>
        <v>17.488775</v>
      </c>
      <c r="N192" s="18">
        <f>'AEO 2023 Table 49 Raw'!Q177</f>
        <v>17.886354000000001</v>
      </c>
      <c r="O192" s="18">
        <f>'AEO 2023 Table 49 Raw'!R177</f>
        <v>18.199643999999999</v>
      </c>
      <c r="P192" s="18">
        <f>'AEO 2023 Table 49 Raw'!S177</f>
        <v>18.308191000000001</v>
      </c>
      <c r="Q192" s="18">
        <f>'AEO 2023 Table 49 Raw'!T177</f>
        <v>18.502431999999999</v>
      </c>
      <c r="R192" s="18">
        <f>'AEO 2023 Table 49 Raw'!U177</f>
        <v>18.604255999999999</v>
      </c>
      <c r="S192" s="18">
        <f>'AEO 2023 Table 49 Raw'!V177</f>
        <v>18.599921999999999</v>
      </c>
      <c r="T192" s="18">
        <f>'AEO 2023 Table 49 Raw'!W177</f>
        <v>18.595988999999999</v>
      </c>
      <c r="U192" s="18">
        <f>'AEO 2023 Table 49 Raw'!X177</f>
        <v>18.588878999999999</v>
      </c>
      <c r="V192" s="18">
        <f>'AEO 2023 Table 49 Raw'!Y177</f>
        <v>18.580458</v>
      </c>
      <c r="W192" s="18">
        <f>'AEO 2023 Table 49 Raw'!Z177</f>
        <v>18.572319</v>
      </c>
      <c r="X192" s="18">
        <f>'AEO 2023 Table 49 Raw'!AA177</f>
        <v>18.565365</v>
      </c>
      <c r="Y192" s="18">
        <f>'AEO 2023 Table 49 Raw'!AB177</f>
        <v>18.559593</v>
      </c>
      <c r="Z192" s="18">
        <f>'AEO 2023 Table 49 Raw'!AC177</f>
        <v>18.554870999999999</v>
      </c>
      <c r="AA192" s="18">
        <f>'AEO 2023 Table 49 Raw'!AD177</f>
        <v>18.550796999999999</v>
      </c>
      <c r="AB192" s="18">
        <f>'AEO 2023 Table 49 Raw'!AE177</f>
        <v>18.547432000000001</v>
      </c>
      <c r="AC192" s="18">
        <f>'AEO 2023 Table 49 Raw'!AF177</f>
        <v>18.545000000000002</v>
      </c>
      <c r="AD192" s="18">
        <f>'AEO 2023 Table 49 Raw'!AG177</f>
        <v>18.404453</v>
      </c>
      <c r="AE192" s="18">
        <f>'AEO 2023 Table 49 Raw'!AH177</f>
        <v>18.411501000000001</v>
      </c>
      <c r="AF192" s="30" t="str">
        <f>'AEO 2023 Table 49 Raw'!AI177</f>
        <v>- -</v>
      </c>
    </row>
    <row r="193" spans="1:32" ht="15" customHeight="1">
      <c r="A193" s="7" t="s">
        <v>909</v>
      </c>
      <c r="B193" s="16" t="s">
        <v>749</v>
      </c>
      <c r="C193" s="18">
        <f>'AEO 2023 Table 49 Raw'!F178</f>
        <v>0</v>
      </c>
      <c r="D193" s="18">
        <f>'AEO 2023 Table 49 Raw'!G178</f>
        <v>0</v>
      </c>
      <c r="E193" s="18">
        <f>'AEO 2023 Table 49 Raw'!H178</f>
        <v>10.500056000000001</v>
      </c>
      <c r="F193" s="18">
        <f>'AEO 2023 Table 49 Raw'!I178</f>
        <v>10.814230999999999</v>
      </c>
      <c r="G193" s="18">
        <f>'AEO 2023 Table 49 Raw'!J178</f>
        <v>10.961114999999999</v>
      </c>
      <c r="H193" s="18">
        <f>'AEO 2023 Table 49 Raw'!K178</f>
        <v>11.15465</v>
      </c>
      <c r="I193" s="18">
        <f>'AEO 2023 Table 49 Raw'!L178</f>
        <v>11.297912999999999</v>
      </c>
      <c r="J193" s="18">
        <f>'AEO 2023 Table 49 Raw'!M178</f>
        <v>11.516861</v>
      </c>
      <c r="K193" s="18">
        <f>'AEO 2023 Table 49 Raw'!N178</f>
        <v>11.773405</v>
      </c>
      <c r="L193" s="18">
        <f>'AEO 2023 Table 49 Raw'!O178</f>
        <v>12.060518</v>
      </c>
      <c r="M193" s="18">
        <f>'AEO 2023 Table 49 Raw'!P178</f>
        <v>12.363200000000001</v>
      </c>
      <c r="N193" s="18">
        <f>'AEO 2023 Table 49 Raw'!Q178</f>
        <v>12.652893000000001</v>
      </c>
      <c r="O193" s="18">
        <f>'AEO 2023 Table 49 Raw'!R178</f>
        <v>12.906107</v>
      </c>
      <c r="P193" s="18">
        <f>'AEO 2023 Table 49 Raw'!S178</f>
        <v>12.960440999999999</v>
      </c>
      <c r="Q193" s="18">
        <f>'AEO 2023 Table 49 Raw'!T178</f>
        <v>13.11445</v>
      </c>
      <c r="R193" s="18">
        <f>'AEO 2023 Table 49 Raw'!U178</f>
        <v>13.196939</v>
      </c>
      <c r="S193" s="18">
        <f>'AEO 2023 Table 49 Raw'!V178</f>
        <v>13.203151</v>
      </c>
      <c r="T193" s="18">
        <f>'AEO 2023 Table 49 Raw'!W178</f>
        <v>13.201480999999999</v>
      </c>
      <c r="U193" s="18">
        <f>'AEO 2023 Table 49 Raw'!X178</f>
        <v>13.196258</v>
      </c>
      <c r="V193" s="18">
        <f>'AEO 2023 Table 49 Raw'!Y178</f>
        <v>13.188408000000001</v>
      </c>
      <c r="W193" s="18">
        <f>'AEO 2023 Table 49 Raw'!Z178</f>
        <v>13.181312999999999</v>
      </c>
      <c r="X193" s="18">
        <f>'AEO 2023 Table 49 Raw'!AA178</f>
        <v>13.175032</v>
      </c>
      <c r="Y193" s="18">
        <f>'AEO 2023 Table 49 Raw'!AB178</f>
        <v>13.169506</v>
      </c>
      <c r="Z193" s="18">
        <f>'AEO 2023 Table 49 Raw'!AC178</f>
        <v>13.164567</v>
      </c>
      <c r="AA193" s="18">
        <f>'AEO 2023 Table 49 Raw'!AD178</f>
        <v>13.160104</v>
      </c>
      <c r="AB193" s="18">
        <f>'AEO 2023 Table 49 Raw'!AE178</f>
        <v>13.156112</v>
      </c>
      <c r="AC193" s="18">
        <f>'AEO 2023 Table 49 Raw'!AF178</f>
        <v>13.152601000000001</v>
      </c>
      <c r="AD193" s="18">
        <f>'AEO 2023 Table 49 Raw'!AG178</f>
        <v>13.149487000000001</v>
      </c>
      <c r="AE193" s="18">
        <f>'AEO 2023 Table 49 Raw'!AH178</f>
        <v>13.146787</v>
      </c>
      <c r="AF193" s="30" t="str">
        <f>'AEO 2023 Table 49 Raw'!AI178</f>
        <v>- -</v>
      </c>
    </row>
    <row r="194" spans="1:32" ht="12" customHeight="1">
      <c r="A194" s="7" t="s">
        <v>910</v>
      </c>
      <c r="B194" s="16" t="s">
        <v>751</v>
      </c>
      <c r="C194" s="18">
        <f>'AEO 2023 Table 49 Raw'!F179</f>
        <v>0</v>
      </c>
      <c r="D194" s="18">
        <f>'AEO 2023 Table 49 Raw'!G179</f>
        <v>0</v>
      </c>
      <c r="E194" s="18">
        <f>'AEO 2023 Table 49 Raw'!H179</f>
        <v>11.516575</v>
      </c>
      <c r="F194" s="18">
        <f>'AEO 2023 Table 49 Raw'!I179</f>
        <v>11.516892</v>
      </c>
      <c r="G194" s="18">
        <f>'AEO 2023 Table 49 Raw'!J179</f>
        <v>11.516843</v>
      </c>
      <c r="H194" s="18">
        <f>'AEO 2023 Table 49 Raw'!K179</f>
        <v>11.516837000000001</v>
      </c>
      <c r="I194" s="18">
        <f>'AEO 2023 Table 49 Raw'!L179</f>
        <v>11.516859999999999</v>
      </c>
      <c r="J194" s="18">
        <f>'AEO 2023 Table 49 Raw'!M179</f>
        <v>11.516875000000001</v>
      </c>
      <c r="K194" s="18">
        <f>'AEO 2023 Table 49 Raw'!N179</f>
        <v>11.516899</v>
      </c>
      <c r="L194" s="18">
        <f>'AEO 2023 Table 49 Raw'!O179</f>
        <v>11.516926</v>
      </c>
      <c r="M194" s="18">
        <f>'AEO 2023 Table 49 Raw'!P179</f>
        <v>11.516949</v>
      </c>
      <c r="N194" s="18">
        <f>'AEO 2023 Table 49 Raw'!Q179</f>
        <v>11.516963000000001</v>
      </c>
      <c r="O194" s="18">
        <f>'AEO 2023 Table 49 Raw'!R179</f>
        <v>11.516961999999999</v>
      </c>
      <c r="P194" s="18">
        <f>'AEO 2023 Table 49 Raw'!S179</f>
        <v>11.516961999999999</v>
      </c>
      <c r="Q194" s="18">
        <f>'AEO 2023 Table 49 Raw'!T179</f>
        <v>11.516928</v>
      </c>
      <c r="R194" s="18">
        <f>'AEO 2023 Table 49 Raw'!U179</f>
        <v>11.516892</v>
      </c>
      <c r="S194" s="18">
        <f>'AEO 2023 Table 49 Raw'!V179</f>
        <v>11.516885</v>
      </c>
      <c r="T194" s="18">
        <f>'AEO 2023 Table 49 Raw'!W179</f>
        <v>11.516885</v>
      </c>
      <c r="U194" s="18">
        <f>'AEO 2023 Table 49 Raw'!X179</f>
        <v>11.516887000000001</v>
      </c>
      <c r="V194" s="18">
        <f>'AEO 2023 Table 49 Raw'!Y179</f>
        <v>11.516885</v>
      </c>
      <c r="W194" s="18">
        <f>'AEO 2023 Table 49 Raw'!Z179</f>
        <v>11.516883</v>
      </c>
      <c r="X194" s="18">
        <f>'AEO 2023 Table 49 Raw'!AA179</f>
        <v>11.516883</v>
      </c>
      <c r="Y194" s="18">
        <f>'AEO 2023 Table 49 Raw'!AB179</f>
        <v>11.516883</v>
      </c>
      <c r="Z194" s="18">
        <f>'AEO 2023 Table 49 Raw'!AC179</f>
        <v>11.516882000000001</v>
      </c>
      <c r="AA194" s="18">
        <f>'AEO 2023 Table 49 Raw'!AD179</f>
        <v>11.516881</v>
      </c>
      <c r="AB194" s="18">
        <f>'AEO 2023 Table 49 Raw'!AE179</f>
        <v>11.516878999999999</v>
      </c>
      <c r="AC194" s="18">
        <f>'AEO 2023 Table 49 Raw'!AF179</f>
        <v>11.516878999999999</v>
      </c>
      <c r="AD194" s="18">
        <f>'AEO 2023 Table 49 Raw'!AG179</f>
        <v>11.516878</v>
      </c>
      <c r="AE194" s="18">
        <f>'AEO 2023 Table 49 Raw'!AH179</f>
        <v>11.516882000000001</v>
      </c>
      <c r="AF194" s="30" t="str">
        <f>'AEO 2023 Table 49 Raw'!AI179</f>
        <v>- -</v>
      </c>
    </row>
    <row r="195" spans="1:32" ht="15" customHeight="1">
      <c r="A195" s="7" t="s">
        <v>911</v>
      </c>
      <c r="B195" s="16" t="s">
        <v>845</v>
      </c>
      <c r="C195" s="18">
        <f>'AEO 2023 Table 49 Raw'!F180</f>
        <v>9.5238990000000001</v>
      </c>
      <c r="D195" s="18">
        <f>'AEO 2023 Table 49 Raw'!G180</f>
        <v>9.8844469999999998</v>
      </c>
      <c r="E195" s="18">
        <f>'AEO 2023 Table 49 Raw'!H180</f>
        <v>10.223267</v>
      </c>
      <c r="F195" s="18">
        <f>'AEO 2023 Table 49 Raw'!I180</f>
        <v>10.585305999999999</v>
      </c>
      <c r="G195" s="18">
        <f>'AEO 2023 Table 49 Raw'!J180</f>
        <v>10.967629000000001</v>
      </c>
      <c r="H195" s="18">
        <f>'AEO 2023 Table 49 Raw'!K180</f>
        <v>11.325177</v>
      </c>
      <c r="I195" s="18">
        <f>'AEO 2023 Table 49 Raw'!L180</f>
        <v>11.455857999999999</v>
      </c>
      <c r="J195" s="18">
        <f>'AEO 2023 Table 49 Raw'!M180</f>
        <v>11.734303000000001</v>
      </c>
      <c r="K195" s="18">
        <f>'AEO 2023 Table 49 Raw'!N180</f>
        <v>11.981159999999999</v>
      </c>
      <c r="L195" s="18">
        <f>'AEO 2023 Table 49 Raw'!O180</f>
        <v>12.208940999999999</v>
      </c>
      <c r="M195" s="18">
        <f>'AEO 2023 Table 49 Raw'!P180</f>
        <v>12.331969000000001</v>
      </c>
      <c r="N195" s="18">
        <f>'AEO 2023 Table 49 Raw'!Q180</f>
        <v>12.336569000000001</v>
      </c>
      <c r="O195" s="18">
        <f>'AEO 2023 Table 49 Raw'!R180</f>
        <v>12.340868</v>
      </c>
      <c r="P195" s="18">
        <f>'AEO 2023 Table 49 Raw'!S180</f>
        <v>12.340595</v>
      </c>
      <c r="Q195" s="18">
        <f>'AEO 2023 Table 49 Raw'!T180</f>
        <v>12.339437</v>
      </c>
      <c r="R195" s="18">
        <f>'AEO 2023 Table 49 Raw'!U180</f>
        <v>12.334250000000001</v>
      </c>
      <c r="S195" s="18">
        <f>'AEO 2023 Table 49 Raw'!V180</f>
        <v>12.328588</v>
      </c>
      <c r="T195" s="18">
        <f>'AEO 2023 Table 49 Raw'!W180</f>
        <v>12.323949000000001</v>
      </c>
      <c r="U195" s="18">
        <f>'AEO 2023 Table 49 Raw'!X180</f>
        <v>12.32001</v>
      </c>
      <c r="V195" s="18">
        <f>'AEO 2023 Table 49 Raw'!Y180</f>
        <v>12.316662000000001</v>
      </c>
      <c r="W195" s="18">
        <f>'AEO 2023 Table 49 Raw'!Z180</f>
        <v>12.313787</v>
      </c>
      <c r="X195" s="18">
        <f>'AEO 2023 Table 49 Raw'!AA180</f>
        <v>12.311344</v>
      </c>
      <c r="Y195" s="18">
        <f>'AEO 2023 Table 49 Raw'!AB180</f>
        <v>12.309291999999999</v>
      </c>
      <c r="Z195" s="18">
        <f>'AEO 2023 Table 49 Raw'!AC180</f>
        <v>12.30757</v>
      </c>
      <c r="AA195" s="18">
        <f>'AEO 2023 Table 49 Raw'!AD180</f>
        <v>12.306087</v>
      </c>
      <c r="AB195" s="18">
        <f>'AEO 2023 Table 49 Raw'!AE180</f>
        <v>12.304835000000001</v>
      </c>
      <c r="AC195" s="18">
        <f>'AEO 2023 Table 49 Raw'!AF180</f>
        <v>12.303853999999999</v>
      </c>
      <c r="AD195" s="18">
        <f>'AEO 2023 Table 49 Raw'!AG180</f>
        <v>12.303074000000001</v>
      </c>
      <c r="AE195" s="18">
        <f>'AEO 2023 Table 49 Raw'!AH180</f>
        <v>12.302524999999999</v>
      </c>
      <c r="AF195" s="30">
        <f>'AEO 2023 Table 49 Raw'!AI180</f>
        <v>8.9999999999999993E-3</v>
      </c>
    </row>
    <row r="196" spans="1:32" ht="15" customHeight="1">
      <c r="B196" s="15" t="s">
        <v>766</v>
      </c>
      <c r="C196" s="18"/>
      <c r="D196" s="18"/>
      <c r="E196" s="18"/>
      <c r="F196" s="18"/>
      <c r="G196" s="18"/>
      <c r="H196" s="18"/>
      <c r="I196" s="18"/>
      <c r="J196" s="18"/>
      <c r="K196" s="18"/>
      <c r="L196" s="18"/>
      <c r="M196" s="18"/>
      <c r="N196" s="18"/>
      <c r="O196" s="18"/>
      <c r="P196" s="18"/>
      <c r="Q196" s="18"/>
      <c r="R196" s="18"/>
      <c r="S196" s="18"/>
      <c r="T196" s="18"/>
      <c r="U196" s="18"/>
      <c r="V196" s="18"/>
      <c r="W196" s="18"/>
      <c r="X196" s="18"/>
      <c r="Y196" s="18"/>
      <c r="Z196" s="18"/>
      <c r="AA196" s="18"/>
      <c r="AB196" s="18"/>
      <c r="AC196" s="18"/>
      <c r="AD196" s="18"/>
      <c r="AE196" s="18"/>
      <c r="AF196" s="30"/>
    </row>
    <row r="197" spans="1:32" ht="15" customHeight="1">
      <c r="A197" s="7" t="s">
        <v>912</v>
      </c>
      <c r="B197" s="16" t="s">
        <v>736</v>
      </c>
      <c r="C197" s="18">
        <f>'AEO 2023 Table 49 Raw'!F182</f>
        <v>6.6741390000000003</v>
      </c>
      <c r="D197" s="18">
        <f>'AEO 2023 Table 49 Raw'!G182</f>
        <v>6.8853859999999996</v>
      </c>
      <c r="E197" s="18">
        <f>'AEO 2023 Table 49 Raw'!H182</f>
        <v>7.1007699999999998</v>
      </c>
      <c r="F197" s="18">
        <f>'AEO 2023 Table 49 Raw'!I182</f>
        <v>7.3030390000000001</v>
      </c>
      <c r="G197" s="18">
        <f>'AEO 2023 Table 49 Raw'!J182</f>
        <v>7.4948730000000001</v>
      </c>
      <c r="H197" s="18">
        <f>'AEO 2023 Table 49 Raw'!K182</f>
        <v>7.6626659999999998</v>
      </c>
      <c r="I197" s="18">
        <f>'AEO 2023 Table 49 Raw'!L182</f>
        <v>7.732456</v>
      </c>
      <c r="J197" s="18">
        <f>'AEO 2023 Table 49 Raw'!M182</f>
        <v>7.8400639999999999</v>
      </c>
      <c r="K197" s="18">
        <f>'AEO 2023 Table 49 Raw'!N182</f>
        <v>7.9515180000000001</v>
      </c>
      <c r="L197" s="18">
        <f>'AEO 2023 Table 49 Raw'!O182</f>
        <v>8.0549769999999992</v>
      </c>
      <c r="M197" s="18">
        <f>'AEO 2023 Table 49 Raw'!P182</f>
        <v>8.1152309999999996</v>
      </c>
      <c r="N197" s="18">
        <f>'AEO 2023 Table 49 Raw'!Q182</f>
        <v>8.1184750000000001</v>
      </c>
      <c r="O197" s="18">
        <f>'AEO 2023 Table 49 Raw'!R182</f>
        <v>8.1210090000000008</v>
      </c>
      <c r="P197" s="18">
        <f>'AEO 2023 Table 49 Raw'!S182</f>
        <v>8.1194799999999994</v>
      </c>
      <c r="Q197" s="18">
        <f>'AEO 2023 Table 49 Raw'!T182</f>
        <v>8.1211660000000006</v>
      </c>
      <c r="R197" s="18">
        <f>'AEO 2023 Table 49 Raw'!U182</f>
        <v>8.1205200000000008</v>
      </c>
      <c r="S197" s="18">
        <f>'AEO 2023 Table 49 Raw'!V182</f>
        <v>8.1178039999999996</v>
      </c>
      <c r="T197" s="18">
        <f>'AEO 2023 Table 49 Raw'!W182</f>
        <v>8.1165520000000004</v>
      </c>
      <c r="U197" s="18">
        <f>'AEO 2023 Table 49 Raw'!X182</f>
        <v>8.1156939999999995</v>
      </c>
      <c r="V197" s="18">
        <f>'AEO 2023 Table 49 Raw'!Y182</f>
        <v>8.1152800000000003</v>
      </c>
      <c r="W197" s="18">
        <f>'AEO 2023 Table 49 Raw'!Z182</f>
        <v>8.1129940000000005</v>
      </c>
      <c r="X197" s="18">
        <f>'AEO 2023 Table 49 Raw'!AA182</f>
        <v>8.1129859999999994</v>
      </c>
      <c r="Y197" s="18">
        <f>'AEO 2023 Table 49 Raw'!AB182</f>
        <v>8.1133609999999994</v>
      </c>
      <c r="Z197" s="18">
        <f>'AEO 2023 Table 49 Raw'!AC182</f>
        <v>8.1141509999999997</v>
      </c>
      <c r="AA197" s="18">
        <f>'AEO 2023 Table 49 Raw'!AD182</f>
        <v>8.1152329999999999</v>
      </c>
      <c r="AB197" s="18">
        <f>'AEO 2023 Table 49 Raw'!AE182</f>
        <v>8.1162170000000007</v>
      </c>
      <c r="AC197" s="18">
        <f>'AEO 2023 Table 49 Raw'!AF182</f>
        <v>8.1175329999999999</v>
      </c>
      <c r="AD197" s="18">
        <f>'AEO 2023 Table 49 Raw'!AG182</f>
        <v>8.1193810000000006</v>
      </c>
      <c r="AE197" s="18">
        <f>'AEO 2023 Table 49 Raw'!AH182</f>
        <v>8.1195070000000005</v>
      </c>
      <c r="AF197" s="30">
        <f>'AEO 2023 Table 49 Raw'!AI182</f>
        <v>7.0000000000000001E-3</v>
      </c>
    </row>
    <row r="198" spans="1:32" ht="15" customHeight="1">
      <c r="A198" s="7" t="s">
        <v>913</v>
      </c>
      <c r="B198" s="16" t="s">
        <v>738</v>
      </c>
      <c r="C198" s="18">
        <f>'AEO 2023 Table 49 Raw'!F183</f>
        <v>6.9584929999999998</v>
      </c>
      <c r="D198" s="18">
        <f>'AEO 2023 Table 49 Raw'!G183</f>
        <v>5.9504339999999996</v>
      </c>
      <c r="E198" s="18">
        <f>'AEO 2023 Table 49 Raw'!H183</f>
        <v>6.0052680000000001</v>
      </c>
      <c r="F198" s="18">
        <f>'AEO 2023 Table 49 Raw'!I183</f>
        <v>6.0689669999999998</v>
      </c>
      <c r="G198" s="18">
        <f>'AEO 2023 Table 49 Raw'!J183</f>
        <v>6.1342939999999997</v>
      </c>
      <c r="H198" s="18">
        <f>'AEO 2023 Table 49 Raw'!K183</f>
        <v>6.2195330000000002</v>
      </c>
      <c r="I198" s="18">
        <f>'AEO 2023 Table 49 Raw'!L183</f>
        <v>6.2749100000000002</v>
      </c>
      <c r="J198" s="18">
        <f>'AEO 2023 Table 49 Raw'!M183</f>
        <v>6.3636439999999999</v>
      </c>
      <c r="K198" s="18">
        <f>'AEO 2023 Table 49 Raw'!N183</f>
        <v>6.4494819999999997</v>
      </c>
      <c r="L198" s="18">
        <f>'AEO 2023 Table 49 Raw'!O183</f>
        <v>6.5364389999999997</v>
      </c>
      <c r="M198" s="18">
        <f>'AEO 2023 Table 49 Raw'!P183</f>
        <v>6.6164870000000002</v>
      </c>
      <c r="N198" s="18">
        <f>'AEO 2023 Table 49 Raw'!Q183</f>
        <v>6.6860059999999999</v>
      </c>
      <c r="O198" s="18">
        <f>'AEO 2023 Table 49 Raw'!R183</f>
        <v>6.7271580000000002</v>
      </c>
      <c r="P198" s="18">
        <f>'AEO 2023 Table 49 Raw'!S183</f>
        <v>6.7527999999999997</v>
      </c>
      <c r="Q198" s="18">
        <f>'AEO 2023 Table 49 Raw'!T183</f>
        <v>6.7797749999999999</v>
      </c>
      <c r="R198" s="18">
        <f>'AEO 2023 Table 49 Raw'!U183</f>
        <v>6.7684090000000001</v>
      </c>
      <c r="S198" s="18">
        <f>'AEO 2023 Table 49 Raw'!V183</f>
        <v>6.7596400000000001</v>
      </c>
      <c r="T198" s="18">
        <f>'AEO 2023 Table 49 Raw'!W183</f>
        <v>6.7570889999999997</v>
      </c>
      <c r="U198" s="18">
        <f>'AEO 2023 Table 49 Raw'!X183</f>
        <v>6.7734519999999998</v>
      </c>
      <c r="V198" s="18">
        <f>'AEO 2023 Table 49 Raw'!Y183</f>
        <v>6.7756749999999997</v>
      </c>
      <c r="W198" s="18">
        <f>'AEO 2023 Table 49 Raw'!Z183</f>
        <v>6.7945039999999999</v>
      </c>
      <c r="X198" s="18">
        <f>'AEO 2023 Table 49 Raw'!AA183</f>
        <v>6.7961799999999997</v>
      </c>
      <c r="Y198" s="18">
        <f>'AEO 2023 Table 49 Raw'!AB183</f>
        <v>6.7973249999999998</v>
      </c>
      <c r="Z198" s="18">
        <f>'AEO 2023 Table 49 Raw'!AC183</f>
        <v>6.7981189999999998</v>
      </c>
      <c r="AA198" s="18">
        <f>'AEO 2023 Table 49 Raw'!AD183</f>
        <v>6.7981499999999997</v>
      </c>
      <c r="AB198" s="18">
        <f>'AEO 2023 Table 49 Raw'!AE183</f>
        <v>6.7977189999999998</v>
      </c>
      <c r="AC198" s="18">
        <f>'AEO 2023 Table 49 Raw'!AF183</f>
        <v>6.7972159999999997</v>
      </c>
      <c r="AD198" s="18">
        <f>'AEO 2023 Table 49 Raw'!AG183</f>
        <v>6.7968830000000002</v>
      </c>
      <c r="AE198" s="18">
        <f>'AEO 2023 Table 49 Raw'!AH183</f>
        <v>6.79582</v>
      </c>
      <c r="AF198" s="30">
        <f>'AEO 2023 Table 49 Raw'!AI183</f>
        <v>-1E-3</v>
      </c>
    </row>
    <row r="199" spans="1:32" ht="15" customHeight="1">
      <c r="A199" s="7" t="s">
        <v>914</v>
      </c>
      <c r="B199" s="16" t="s">
        <v>382</v>
      </c>
      <c r="C199" s="18">
        <f>'AEO 2023 Table 49 Raw'!F184</f>
        <v>6.8185469999999997</v>
      </c>
      <c r="D199" s="18">
        <f>'AEO 2023 Table 49 Raw'!G184</f>
        <v>5.9032299999999998</v>
      </c>
      <c r="E199" s="18">
        <f>'AEO 2023 Table 49 Raw'!H184</f>
        <v>5.965395</v>
      </c>
      <c r="F199" s="18">
        <f>'AEO 2023 Table 49 Raw'!I184</f>
        <v>6.0361710000000004</v>
      </c>
      <c r="G199" s="18">
        <f>'AEO 2023 Table 49 Raw'!J184</f>
        <v>6.112959</v>
      </c>
      <c r="H199" s="18">
        <f>'AEO 2023 Table 49 Raw'!K184</f>
        <v>6.213965</v>
      </c>
      <c r="I199" s="18">
        <f>'AEO 2023 Table 49 Raw'!L184</f>
        <v>6.2799240000000003</v>
      </c>
      <c r="J199" s="18">
        <f>'AEO 2023 Table 49 Raw'!M184</f>
        <v>6.3891819999999999</v>
      </c>
      <c r="K199" s="18">
        <f>'AEO 2023 Table 49 Raw'!N184</f>
        <v>6.498729</v>
      </c>
      <c r="L199" s="18">
        <f>'AEO 2023 Table 49 Raw'!O184</f>
        <v>6.6139749999999999</v>
      </c>
      <c r="M199" s="18">
        <f>'AEO 2023 Table 49 Raw'!P184</f>
        <v>6.7271210000000004</v>
      </c>
      <c r="N199" s="18">
        <f>'AEO 2023 Table 49 Raw'!Q184</f>
        <v>6.8235080000000004</v>
      </c>
      <c r="O199" s="18">
        <f>'AEO 2023 Table 49 Raw'!R184</f>
        <v>6.8659860000000004</v>
      </c>
      <c r="P199" s="18">
        <f>'AEO 2023 Table 49 Raw'!S184</f>
        <v>6.8856020000000004</v>
      </c>
      <c r="Q199" s="18">
        <f>'AEO 2023 Table 49 Raw'!T184</f>
        <v>6.9033810000000004</v>
      </c>
      <c r="R199" s="18">
        <f>'AEO 2023 Table 49 Raw'!U184</f>
        <v>6.914129</v>
      </c>
      <c r="S199" s="18">
        <f>'AEO 2023 Table 49 Raw'!V184</f>
        <v>6.9251120000000004</v>
      </c>
      <c r="T199" s="18">
        <f>'AEO 2023 Table 49 Raw'!W184</f>
        <v>6.9330420000000004</v>
      </c>
      <c r="U199" s="18">
        <f>'AEO 2023 Table 49 Raw'!X184</f>
        <v>6.9392069999999997</v>
      </c>
      <c r="V199" s="18">
        <f>'AEO 2023 Table 49 Raw'!Y184</f>
        <v>6.9466010000000002</v>
      </c>
      <c r="W199" s="18">
        <f>'AEO 2023 Table 49 Raw'!Z184</f>
        <v>6.9523789999999996</v>
      </c>
      <c r="X199" s="18">
        <f>'AEO 2023 Table 49 Raw'!AA184</f>
        <v>6.9593179999999997</v>
      </c>
      <c r="Y199" s="18">
        <f>'AEO 2023 Table 49 Raw'!AB184</f>
        <v>6.964785</v>
      </c>
      <c r="Z199" s="18">
        <f>'AEO 2023 Table 49 Raw'!AC184</f>
        <v>6.9700829999999998</v>
      </c>
      <c r="AA199" s="18">
        <f>'AEO 2023 Table 49 Raw'!AD184</f>
        <v>6.9742800000000003</v>
      </c>
      <c r="AB199" s="18">
        <f>'AEO 2023 Table 49 Raw'!AE184</f>
        <v>6.9769509999999997</v>
      </c>
      <c r="AC199" s="18">
        <f>'AEO 2023 Table 49 Raw'!AF184</f>
        <v>6.9795540000000003</v>
      </c>
      <c r="AD199" s="18">
        <f>'AEO 2023 Table 49 Raw'!AG184</f>
        <v>6.9818160000000002</v>
      </c>
      <c r="AE199" s="18">
        <f>'AEO 2023 Table 49 Raw'!AH184</f>
        <v>6.977468</v>
      </c>
      <c r="AF199" s="30">
        <f>'AEO 2023 Table 49 Raw'!AI184</f>
        <v>1E-3</v>
      </c>
    </row>
    <row r="200" spans="1:32" ht="12" customHeight="1">
      <c r="A200" s="7" t="s">
        <v>915</v>
      </c>
      <c r="B200" s="16" t="s">
        <v>741</v>
      </c>
      <c r="C200" s="18">
        <f>'AEO 2023 Table 49 Raw'!F185</f>
        <v>6.2556570000000002</v>
      </c>
      <c r="D200" s="18">
        <f>'AEO 2023 Table 49 Raw'!G185</f>
        <v>6.4596869999999997</v>
      </c>
      <c r="E200" s="18">
        <f>'AEO 2023 Table 49 Raw'!H185</f>
        <v>6.6800740000000003</v>
      </c>
      <c r="F200" s="18">
        <f>'AEO 2023 Table 49 Raw'!I185</f>
        <v>6.8737430000000002</v>
      </c>
      <c r="G200" s="18">
        <f>'AEO 2023 Table 49 Raw'!J185</f>
        <v>7.0331239999999999</v>
      </c>
      <c r="H200" s="18">
        <f>'AEO 2023 Table 49 Raw'!K185</f>
        <v>7.2060760000000004</v>
      </c>
      <c r="I200" s="18">
        <f>'AEO 2023 Table 49 Raw'!L185</f>
        <v>7.2511210000000004</v>
      </c>
      <c r="J200" s="18">
        <f>'AEO 2023 Table 49 Raw'!M185</f>
        <v>7.345504</v>
      </c>
      <c r="K200" s="18">
        <f>'AEO 2023 Table 49 Raw'!N185</f>
        <v>7.4420549999999999</v>
      </c>
      <c r="L200" s="18">
        <f>'AEO 2023 Table 49 Raw'!O185</f>
        <v>7.5334620000000001</v>
      </c>
      <c r="M200" s="18">
        <f>'AEO 2023 Table 49 Raw'!P185</f>
        <v>7.5824939999999996</v>
      </c>
      <c r="N200" s="18">
        <f>'AEO 2023 Table 49 Raw'!Q185</f>
        <v>7.5837409999999998</v>
      </c>
      <c r="O200" s="18">
        <f>'AEO 2023 Table 49 Raw'!R185</f>
        <v>7.5813899999999999</v>
      </c>
      <c r="P200" s="18">
        <f>'AEO 2023 Table 49 Raw'!S185</f>
        <v>7.5656610000000004</v>
      </c>
      <c r="Q200" s="18">
        <f>'AEO 2023 Table 49 Raw'!T185</f>
        <v>7.5737249999999996</v>
      </c>
      <c r="R200" s="18">
        <f>'AEO 2023 Table 49 Raw'!U185</f>
        <v>7.5745699999999996</v>
      </c>
      <c r="S200" s="18">
        <f>'AEO 2023 Table 49 Raw'!V185</f>
        <v>7.5788080000000004</v>
      </c>
      <c r="T200" s="18">
        <f>'AEO 2023 Table 49 Raw'!W185</f>
        <v>7.5749139999999997</v>
      </c>
      <c r="U200" s="18">
        <f>'AEO 2023 Table 49 Raw'!X185</f>
        <v>7.570665</v>
      </c>
      <c r="V200" s="18">
        <f>'AEO 2023 Table 49 Raw'!Y185</f>
        <v>7.5667759999999999</v>
      </c>
      <c r="W200" s="18">
        <f>'AEO 2023 Table 49 Raw'!Z185</f>
        <v>7.5620849999999997</v>
      </c>
      <c r="X200" s="18">
        <f>'AEO 2023 Table 49 Raw'!AA185</f>
        <v>7.5601019999999997</v>
      </c>
      <c r="Y200" s="18">
        <f>'AEO 2023 Table 49 Raw'!AB185</f>
        <v>7.5581149999999999</v>
      </c>
      <c r="Z200" s="18">
        <f>'AEO 2023 Table 49 Raw'!AC185</f>
        <v>7.5558339999999999</v>
      </c>
      <c r="AA200" s="18">
        <f>'AEO 2023 Table 49 Raw'!AD185</f>
        <v>7.5544390000000003</v>
      </c>
      <c r="AB200" s="18">
        <f>'AEO 2023 Table 49 Raw'!AE185</f>
        <v>7.5529849999999996</v>
      </c>
      <c r="AC200" s="18">
        <f>'AEO 2023 Table 49 Raw'!AF185</f>
        <v>7.5517859999999999</v>
      </c>
      <c r="AD200" s="18">
        <f>'AEO 2023 Table 49 Raw'!AG185</f>
        <v>7.550821</v>
      </c>
      <c r="AE200" s="18">
        <f>'AEO 2023 Table 49 Raw'!AH185</f>
        <v>7.549836</v>
      </c>
      <c r="AF200" s="30">
        <f>'AEO 2023 Table 49 Raw'!AI185</f>
        <v>7.0000000000000001E-3</v>
      </c>
    </row>
    <row r="201" spans="1:32" ht="15" customHeight="1">
      <c r="A201" s="7" t="s">
        <v>916</v>
      </c>
      <c r="B201" s="16" t="s">
        <v>743</v>
      </c>
      <c r="C201" s="18">
        <f>'AEO 2023 Table 49 Raw'!F186</f>
        <v>0</v>
      </c>
      <c r="D201" s="18">
        <f>'AEO 2023 Table 49 Raw'!G186</f>
        <v>0</v>
      </c>
      <c r="E201" s="18">
        <f>'AEO 2023 Table 49 Raw'!H186</f>
        <v>0</v>
      </c>
      <c r="F201" s="18">
        <f>'AEO 2023 Table 49 Raw'!I186</f>
        <v>0</v>
      </c>
      <c r="G201" s="18">
        <f>'AEO 2023 Table 49 Raw'!J186</f>
        <v>0</v>
      </c>
      <c r="H201" s="18">
        <f>'AEO 2023 Table 49 Raw'!K186</f>
        <v>0</v>
      </c>
      <c r="I201" s="18">
        <f>'AEO 2023 Table 49 Raw'!L186</f>
        <v>0</v>
      </c>
      <c r="J201" s="18">
        <f>'AEO 2023 Table 49 Raw'!M186</f>
        <v>0</v>
      </c>
      <c r="K201" s="18">
        <f>'AEO 2023 Table 49 Raw'!N186</f>
        <v>0</v>
      </c>
      <c r="L201" s="18">
        <f>'AEO 2023 Table 49 Raw'!O186</f>
        <v>0</v>
      </c>
      <c r="M201" s="18">
        <f>'AEO 2023 Table 49 Raw'!P186</f>
        <v>0</v>
      </c>
      <c r="N201" s="18">
        <f>'AEO 2023 Table 49 Raw'!Q186</f>
        <v>0</v>
      </c>
      <c r="O201" s="18">
        <f>'AEO 2023 Table 49 Raw'!R186</f>
        <v>0</v>
      </c>
      <c r="P201" s="18">
        <f>'AEO 2023 Table 49 Raw'!S186</f>
        <v>0</v>
      </c>
      <c r="Q201" s="18">
        <f>'AEO 2023 Table 49 Raw'!T186</f>
        <v>0</v>
      </c>
      <c r="R201" s="18">
        <f>'AEO 2023 Table 49 Raw'!U186</f>
        <v>0</v>
      </c>
      <c r="S201" s="18">
        <f>'AEO 2023 Table 49 Raw'!V186</f>
        <v>0</v>
      </c>
      <c r="T201" s="18">
        <f>'AEO 2023 Table 49 Raw'!W186</f>
        <v>0</v>
      </c>
      <c r="U201" s="18">
        <f>'AEO 2023 Table 49 Raw'!X186</f>
        <v>0</v>
      </c>
      <c r="V201" s="18">
        <f>'AEO 2023 Table 49 Raw'!Y186</f>
        <v>0</v>
      </c>
      <c r="W201" s="18">
        <f>'AEO 2023 Table 49 Raw'!Z186</f>
        <v>0</v>
      </c>
      <c r="X201" s="18">
        <f>'AEO 2023 Table 49 Raw'!AA186</f>
        <v>0</v>
      </c>
      <c r="Y201" s="18">
        <f>'AEO 2023 Table 49 Raw'!AB186</f>
        <v>0</v>
      </c>
      <c r="Z201" s="18">
        <f>'AEO 2023 Table 49 Raw'!AC186</f>
        <v>0</v>
      </c>
      <c r="AA201" s="18">
        <f>'AEO 2023 Table 49 Raw'!AD186</f>
        <v>0</v>
      </c>
      <c r="AB201" s="18">
        <f>'AEO 2023 Table 49 Raw'!AE186</f>
        <v>0</v>
      </c>
      <c r="AC201" s="18">
        <f>'AEO 2023 Table 49 Raw'!AF186</f>
        <v>0</v>
      </c>
      <c r="AD201" s="18">
        <f>'AEO 2023 Table 49 Raw'!AG186</f>
        <v>0</v>
      </c>
      <c r="AE201" s="18">
        <f>'AEO 2023 Table 49 Raw'!AH186</f>
        <v>0</v>
      </c>
      <c r="AF201" s="30" t="str">
        <f>'AEO 2023 Table 49 Raw'!AI186</f>
        <v>- -</v>
      </c>
    </row>
    <row r="202" spans="1:32" ht="15" customHeight="1">
      <c r="A202" s="7" t="s">
        <v>917</v>
      </c>
      <c r="B202" s="16" t="s">
        <v>745</v>
      </c>
      <c r="C202" s="18">
        <f>'AEO 2023 Table 49 Raw'!F187</f>
        <v>10.834061999999999</v>
      </c>
      <c r="D202" s="18">
        <f>'AEO 2023 Table 49 Raw'!G187</f>
        <v>10.882737000000001</v>
      </c>
      <c r="E202" s="18">
        <f>'AEO 2023 Table 49 Raw'!H187</f>
        <v>10.965192999999999</v>
      </c>
      <c r="F202" s="18">
        <f>'AEO 2023 Table 49 Raw'!I187</f>
        <v>11.063807000000001</v>
      </c>
      <c r="G202" s="18">
        <f>'AEO 2023 Table 49 Raw'!J187</f>
        <v>11.156404</v>
      </c>
      <c r="H202" s="18">
        <f>'AEO 2023 Table 49 Raw'!K187</f>
        <v>11.255855</v>
      </c>
      <c r="I202" s="18">
        <f>'AEO 2023 Table 49 Raw'!L187</f>
        <v>11.298655999999999</v>
      </c>
      <c r="J202" s="18">
        <f>'AEO 2023 Table 49 Raw'!M187</f>
        <v>11.379512</v>
      </c>
      <c r="K202" s="18">
        <f>'AEO 2023 Table 49 Raw'!N187</f>
        <v>11.452457000000001</v>
      </c>
      <c r="L202" s="18">
        <f>'AEO 2023 Table 49 Raw'!O187</f>
        <v>11.503895999999999</v>
      </c>
      <c r="M202" s="18">
        <f>'AEO 2023 Table 49 Raw'!P187</f>
        <v>11.541494</v>
      </c>
      <c r="N202" s="18">
        <f>'AEO 2023 Table 49 Raw'!Q187</f>
        <v>11.560162999999999</v>
      </c>
      <c r="O202" s="18">
        <f>'AEO 2023 Table 49 Raw'!R187</f>
        <v>11.565863999999999</v>
      </c>
      <c r="P202" s="18">
        <f>'AEO 2023 Table 49 Raw'!S187</f>
        <v>11.567833</v>
      </c>
      <c r="Q202" s="18">
        <f>'AEO 2023 Table 49 Raw'!T187</f>
        <v>11.568663000000001</v>
      </c>
      <c r="R202" s="18">
        <f>'AEO 2023 Table 49 Raw'!U187</f>
        <v>11.569290000000001</v>
      </c>
      <c r="S202" s="18">
        <f>'AEO 2023 Table 49 Raw'!V187</f>
        <v>11.570100999999999</v>
      </c>
      <c r="T202" s="18">
        <f>'AEO 2023 Table 49 Raw'!W187</f>
        <v>11.571146000000001</v>
      </c>
      <c r="U202" s="18">
        <f>'AEO 2023 Table 49 Raw'!X187</f>
        <v>11.572354000000001</v>
      </c>
      <c r="V202" s="18">
        <f>'AEO 2023 Table 49 Raw'!Y187</f>
        <v>11.573858</v>
      </c>
      <c r="W202" s="18">
        <f>'AEO 2023 Table 49 Raw'!Z187</f>
        <v>11.575640999999999</v>
      </c>
      <c r="X202" s="18">
        <f>'AEO 2023 Table 49 Raw'!AA187</f>
        <v>11.577692000000001</v>
      </c>
      <c r="Y202" s="18">
        <f>'AEO 2023 Table 49 Raw'!AB187</f>
        <v>11.579997000000001</v>
      </c>
      <c r="Z202" s="18">
        <f>'AEO 2023 Table 49 Raw'!AC187</f>
        <v>11.582563</v>
      </c>
      <c r="AA202" s="18">
        <f>'AEO 2023 Table 49 Raw'!AD187</f>
        <v>11.585383</v>
      </c>
      <c r="AB202" s="18">
        <f>'AEO 2023 Table 49 Raw'!AE187</f>
        <v>11.588468000000001</v>
      </c>
      <c r="AC202" s="18">
        <f>'AEO 2023 Table 49 Raw'!AF187</f>
        <v>11.591818999999999</v>
      </c>
      <c r="AD202" s="18">
        <f>'AEO 2023 Table 49 Raw'!AG187</f>
        <v>11.595432000000001</v>
      </c>
      <c r="AE202" s="18">
        <f>'AEO 2023 Table 49 Raw'!AH187</f>
        <v>11.599314</v>
      </c>
      <c r="AF202" s="30">
        <f>'AEO 2023 Table 49 Raw'!AI187</f>
        <v>2E-3</v>
      </c>
    </row>
    <row r="203" spans="1:32" ht="15" customHeight="1">
      <c r="A203" s="7" t="s">
        <v>918</v>
      </c>
      <c r="B203" s="16" t="s">
        <v>747</v>
      </c>
      <c r="C203" s="18">
        <f>'AEO 2023 Table 49 Raw'!F188</f>
        <v>0</v>
      </c>
      <c r="D203" s="18">
        <f>'AEO 2023 Table 49 Raw'!G188</f>
        <v>0</v>
      </c>
      <c r="E203" s="18">
        <f>'AEO 2023 Table 49 Raw'!H188</f>
        <v>1.546092</v>
      </c>
      <c r="F203" s="18">
        <f>'AEO 2023 Table 49 Raw'!I188</f>
        <v>9.1608459999999994</v>
      </c>
      <c r="G203" s="18">
        <f>'AEO 2023 Table 49 Raw'!J188</f>
        <v>9.3004219999999993</v>
      </c>
      <c r="H203" s="18">
        <f>'AEO 2023 Table 49 Raw'!K188</f>
        <v>9.4658329999999999</v>
      </c>
      <c r="I203" s="18">
        <f>'AEO 2023 Table 49 Raw'!L188</f>
        <v>9.5699210000000008</v>
      </c>
      <c r="J203" s="18">
        <f>'AEO 2023 Table 49 Raw'!M188</f>
        <v>9.7473799999999997</v>
      </c>
      <c r="K203" s="18">
        <f>'AEO 2023 Table 49 Raw'!N188</f>
        <v>9.9584469999999996</v>
      </c>
      <c r="L203" s="18">
        <f>'AEO 2023 Table 49 Raw'!O188</f>
        <v>10.186888</v>
      </c>
      <c r="M203" s="18">
        <f>'AEO 2023 Table 49 Raw'!P188</f>
        <v>10.415521</v>
      </c>
      <c r="N203" s="18">
        <f>'AEO 2023 Table 49 Raw'!Q188</f>
        <v>10.609234000000001</v>
      </c>
      <c r="O203" s="18">
        <f>'AEO 2023 Table 49 Raw'!R188</f>
        <v>10.7691</v>
      </c>
      <c r="P203" s="18">
        <f>'AEO 2023 Table 49 Raw'!S188</f>
        <v>10.802932999999999</v>
      </c>
      <c r="Q203" s="18">
        <f>'AEO 2023 Table 49 Raw'!T188</f>
        <v>10.912004</v>
      </c>
      <c r="R203" s="18">
        <f>'AEO 2023 Table 49 Raw'!U188</f>
        <v>10.986414999999999</v>
      </c>
      <c r="S203" s="18">
        <f>'AEO 2023 Table 49 Raw'!V188</f>
        <v>10.983292</v>
      </c>
      <c r="T203" s="18">
        <f>'AEO 2023 Table 49 Raw'!W188</f>
        <v>10.980130000000001</v>
      </c>
      <c r="U203" s="18">
        <f>'AEO 2023 Table 49 Raw'!X188</f>
        <v>10.976409</v>
      </c>
      <c r="V203" s="18">
        <f>'AEO 2023 Table 49 Raw'!Y188</f>
        <v>10.973062000000001</v>
      </c>
      <c r="W203" s="18">
        <f>'AEO 2023 Table 49 Raw'!Z188</f>
        <v>10.970227</v>
      </c>
      <c r="X203" s="18">
        <f>'AEO 2023 Table 49 Raw'!AA188</f>
        <v>10.967943999999999</v>
      </c>
      <c r="Y203" s="18">
        <f>'AEO 2023 Table 49 Raw'!AB188</f>
        <v>10.966212000000001</v>
      </c>
      <c r="Z203" s="18">
        <f>'AEO 2023 Table 49 Raw'!AC188</f>
        <v>10.964848999999999</v>
      </c>
      <c r="AA203" s="18">
        <f>'AEO 2023 Table 49 Raw'!AD188</f>
        <v>10.963751</v>
      </c>
      <c r="AB203" s="18">
        <f>'AEO 2023 Table 49 Raw'!AE188</f>
        <v>10.962980999999999</v>
      </c>
      <c r="AC203" s="18">
        <f>'AEO 2023 Table 49 Raw'!AF188</f>
        <v>10.962510999999999</v>
      </c>
      <c r="AD203" s="18">
        <f>'AEO 2023 Table 49 Raw'!AG188</f>
        <v>10.962237</v>
      </c>
      <c r="AE203" s="18">
        <f>'AEO 2023 Table 49 Raw'!AH188</f>
        <v>10.962166</v>
      </c>
      <c r="AF203" s="30" t="str">
        <f>'AEO 2023 Table 49 Raw'!AI188</f>
        <v>- -</v>
      </c>
    </row>
    <row r="204" spans="1:32" ht="12" customHeight="1">
      <c r="A204" s="7" t="s">
        <v>919</v>
      </c>
      <c r="B204" s="16" t="s">
        <v>749</v>
      </c>
      <c r="C204" s="18">
        <f>'AEO 2023 Table 49 Raw'!F189</f>
        <v>0</v>
      </c>
      <c r="D204" s="18">
        <f>'AEO 2023 Table 49 Raw'!G189</f>
        <v>0</v>
      </c>
      <c r="E204" s="18">
        <f>'AEO 2023 Table 49 Raw'!H189</f>
        <v>1.4758230000000001</v>
      </c>
      <c r="F204" s="18">
        <f>'AEO 2023 Table 49 Raw'!I189</f>
        <v>9.1335519999999999</v>
      </c>
      <c r="G204" s="18">
        <f>'AEO 2023 Table 49 Raw'!J189</f>
        <v>9.2343279999999996</v>
      </c>
      <c r="H204" s="18">
        <f>'AEO 2023 Table 49 Raw'!K189</f>
        <v>9.358587</v>
      </c>
      <c r="I204" s="18">
        <f>'AEO 2023 Table 49 Raw'!L189</f>
        <v>9.4461300000000001</v>
      </c>
      <c r="J204" s="18">
        <f>'AEO 2023 Table 49 Raw'!M189</f>
        <v>9.5957139999999992</v>
      </c>
      <c r="K204" s="18">
        <f>'AEO 2023 Table 49 Raw'!N189</f>
        <v>9.7735020000000006</v>
      </c>
      <c r="L204" s="18">
        <f>'AEO 2023 Table 49 Raw'!O189</f>
        <v>9.9693310000000004</v>
      </c>
      <c r="M204" s="18">
        <f>'AEO 2023 Table 49 Raw'!P189</f>
        <v>10.168096999999999</v>
      </c>
      <c r="N204" s="18">
        <f>'AEO 2023 Table 49 Raw'!Q189</f>
        <v>10.36797</v>
      </c>
      <c r="O204" s="18">
        <f>'AEO 2023 Table 49 Raw'!R189</f>
        <v>10.540552999999999</v>
      </c>
      <c r="P204" s="18">
        <f>'AEO 2023 Table 49 Raw'!S189</f>
        <v>10.621840000000001</v>
      </c>
      <c r="Q204" s="18">
        <f>'AEO 2023 Table 49 Raw'!T189</f>
        <v>10.736190000000001</v>
      </c>
      <c r="R204" s="18">
        <f>'AEO 2023 Table 49 Raw'!U189</f>
        <v>10.815049</v>
      </c>
      <c r="S204" s="18">
        <f>'AEO 2023 Table 49 Raw'!V189</f>
        <v>10.815234</v>
      </c>
      <c r="T204" s="18">
        <f>'AEO 2023 Table 49 Raw'!W189</f>
        <v>10.812087</v>
      </c>
      <c r="U204" s="18">
        <f>'AEO 2023 Table 49 Raw'!X189</f>
        <v>10.809372</v>
      </c>
      <c r="V204" s="18">
        <f>'AEO 2023 Table 49 Raw'!Y189</f>
        <v>10.807116000000001</v>
      </c>
      <c r="W204" s="18">
        <f>'AEO 2023 Table 49 Raw'!Z189</f>
        <v>10.805244</v>
      </c>
      <c r="X204" s="18">
        <f>'AEO 2023 Table 49 Raw'!AA189</f>
        <v>10.803461</v>
      </c>
      <c r="Y204" s="18">
        <f>'AEO 2023 Table 49 Raw'!AB189</f>
        <v>10.801928999999999</v>
      </c>
      <c r="Z204" s="18">
        <f>'AEO 2023 Table 49 Raw'!AC189</f>
        <v>10.800634000000001</v>
      </c>
      <c r="AA204" s="18">
        <f>'AEO 2023 Table 49 Raw'!AD189</f>
        <v>10.799677000000001</v>
      </c>
      <c r="AB204" s="18">
        <f>'AEO 2023 Table 49 Raw'!AE189</f>
        <v>10.798836</v>
      </c>
      <c r="AC204" s="18">
        <f>'AEO 2023 Table 49 Raw'!AF189</f>
        <v>10.798045</v>
      </c>
      <c r="AD204" s="18">
        <f>'AEO 2023 Table 49 Raw'!AG189</f>
        <v>10.797352999999999</v>
      </c>
      <c r="AE204" s="18">
        <f>'AEO 2023 Table 49 Raw'!AH189</f>
        <v>10.796787999999999</v>
      </c>
      <c r="AF204" s="30" t="str">
        <f>'AEO 2023 Table 49 Raw'!AI189</f>
        <v>- -</v>
      </c>
    </row>
    <row r="205" spans="1:32" ht="15" customHeight="1">
      <c r="A205" s="7" t="s">
        <v>920</v>
      </c>
      <c r="B205" s="16" t="s">
        <v>751</v>
      </c>
      <c r="C205" s="18">
        <f>'AEO 2023 Table 49 Raw'!F190</f>
        <v>0</v>
      </c>
      <c r="D205" s="18">
        <f>'AEO 2023 Table 49 Raw'!G190</f>
        <v>0</v>
      </c>
      <c r="E205" s="18">
        <f>'AEO 2023 Table 49 Raw'!H190</f>
        <v>7.1006340000000003</v>
      </c>
      <c r="F205" s="18">
        <f>'AEO 2023 Table 49 Raw'!I190</f>
        <v>7.1107120000000004</v>
      </c>
      <c r="G205" s="18">
        <f>'AEO 2023 Table 49 Raw'!J190</f>
        <v>7.1105</v>
      </c>
      <c r="H205" s="18">
        <f>'AEO 2023 Table 49 Raw'!K190</f>
        <v>7.1102169999999996</v>
      </c>
      <c r="I205" s="18">
        <f>'AEO 2023 Table 49 Raw'!L190</f>
        <v>7.1100539999999999</v>
      </c>
      <c r="J205" s="18">
        <f>'AEO 2023 Table 49 Raw'!M190</f>
        <v>7.1097359999999998</v>
      </c>
      <c r="K205" s="18">
        <f>'AEO 2023 Table 49 Raw'!N190</f>
        <v>7.1092810000000002</v>
      </c>
      <c r="L205" s="18">
        <f>'AEO 2023 Table 49 Raw'!O190</f>
        <v>7.1089209999999996</v>
      </c>
      <c r="M205" s="18">
        <f>'AEO 2023 Table 49 Raw'!P190</f>
        <v>7.1088060000000004</v>
      </c>
      <c r="N205" s="18">
        <f>'AEO 2023 Table 49 Raw'!Q190</f>
        <v>7.1087930000000004</v>
      </c>
      <c r="O205" s="18">
        <f>'AEO 2023 Table 49 Raw'!R190</f>
        <v>7.1089270000000004</v>
      </c>
      <c r="P205" s="18">
        <f>'AEO 2023 Table 49 Raw'!S190</f>
        <v>7.1091139999999999</v>
      </c>
      <c r="Q205" s="18">
        <f>'AEO 2023 Table 49 Raw'!T190</f>
        <v>7.1093440000000001</v>
      </c>
      <c r="R205" s="18">
        <f>'AEO 2023 Table 49 Raw'!U190</f>
        <v>7.1095709999999999</v>
      </c>
      <c r="S205" s="18">
        <f>'AEO 2023 Table 49 Raw'!V190</f>
        <v>7.1097910000000004</v>
      </c>
      <c r="T205" s="18">
        <f>'AEO 2023 Table 49 Raw'!W190</f>
        <v>7.1100370000000002</v>
      </c>
      <c r="U205" s="18">
        <f>'AEO 2023 Table 49 Raw'!X190</f>
        <v>7.11029</v>
      </c>
      <c r="V205" s="18">
        <f>'AEO 2023 Table 49 Raw'!Y190</f>
        <v>7.1105460000000003</v>
      </c>
      <c r="W205" s="18">
        <f>'AEO 2023 Table 49 Raw'!Z190</f>
        <v>7.1107950000000004</v>
      </c>
      <c r="X205" s="18">
        <f>'AEO 2023 Table 49 Raw'!AA190</f>
        <v>7.1110420000000003</v>
      </c>
      <c r="Y205" s="18">
        <f>'AEO 2023 Table 49 Raw'!AB190</f>
        <v>7.1113249999999999</v>
      </c>
      <c r="Z205" s="18">
        <f>'AEO 2023 Table 49 Raw'!AC190</f>
        <v>7.1116159999999997</v>
      </c>
      <c r="AA205" s="18">
        <f>'AEO 2023 Table 49 Raw'!AD190</f>
        <v>7.1118969999999999</v>
      </c>
      <c r="AB205" s="18">
        <f>'AEO 2023 Table 49 Raw'!AE190</f>
        <v>7.1121860000000003</v>
      </c>
      <c r="AC205" s="18">
        <f>'AEO 2023 Table 49 Raw'!AF190</f>
        <v>7.1124729999999996</v>
      </c>
      <c r="AD205" s="18">
        <f>'AEO 2023 Table 49 Raw'!AG190</f>
        <v>7.1127539999999998</v>
      </c>
      <c r="AE205" s="18">
        <f>'AEO 2023 Table 49 Raw'!AH190</f>
        <v>7.1130310000000003</v>
      </c>
      <c r="AF205" s="30" t="str">
        <f>'AEO 2023 Table 49 Raw'!AI190</f>
        <v>- -</v>
      </c>
    </row>
    <row r="206" spans="1:32" ht="15" customHeight="1">
      <c r="A206" s="7" t="s">
        <v>921</v>
      </c>
      <c r="B206" s="16" t="s">
        <v>856</v>
      </c>
      <c r="C206" s="18">
        <f>'AEO 2023 Table 49 Raw'!F191</f>
        <v>6.6682579999999998</v>
      </c>
      <c r="D206" s="18">
        <f>'AEO 2023 Table 49 Raw'!G191</f>
        <v>6.8779690000000002</v>
      </c>
      <c r="E206" s="18">
        <f>'AEO 2023 Table 49 Raw'!H191</f>
        <v>7.0932440000000003</v>
      </c>
      <c r="F206" s="18">
        <f>'AEO 2023 Table 49 Raw'!I191</f>
        <v>7.295369</v>
      </c>
      <c r="G206" s="18">
        <f>'AEO 2023 Table 49 Raw'!J191</f>
        <v>7.4868059999999996</v>
      </c>
      <c r="H206" s="18">
        <f>'AEO 2023 Table 49 Raw'!K191</f>
        <v>7.6548530000000001</v>
      </c>
      <c r="I206" s="18">
        <f>'AEO 2023 Table 49 Raw'!L191</f>
        <v>7.7247519999999996</v>
      </c>
      <c r="J206" s="18">
        <f>'AEO 2023 Table 49 Raw'!M191</f>
        <v>7.8325329999999997</v>
      </c>
      <c r="K206" s="18">
        <f>'AEO 2023 Table 49 Raw'!N191</f>
        <v>7.9440169999999997</v>
      </c>
      <c r="L206" s="18">
        <f>'AEO 2023 Table 49 Raw'!O191</f>
        <v>8.0473739999999996</v>
      </c>
      <c r="M206" s="18">
        <f>'AEO 2023 Table 49 Raw'!P191</f>
        <v>8.1074850000000005</v>
      </c>
      <c r="N206" s="18">
        <f>'AEO 2023 Table 49 Raw'!Q191</f>
        <v>8.1106049999999996</v>
      </c>
      <c r="O206" s="18">
        <f>'AEO 2023 Table 49 Raw'!R191</f>
        <v>8.1128280000000004</v>
      </c>
      <c r="P206" s="18">
        <f>'AEO 2023 Table 49 Raw'!S191</f>
        <v>8.110811</v>
      </c>
      <c r="Q206" s="18">
        <f>'AEO 2023 Table 49 Raw'!T191</f>
        <v>8.1122490000000003</v>
      </c>
      <c r="R206" s="18">
        <f>'AEO 2023 Table 49 Raw'!U191</f>
        <v>8.1112169999999999</v>
      </c>
      <c r="S206" s="18">
        <f>'AEO 2023 Table 49 Raw'!V191</f>
        <v>8.1081789999999998</v>
      </c>
      <c r="T206" s="18">
        <f>'AEO 2023 Table 49 Raw'!W191</f>
        <v>8.1064579999999999</v>
      </c>
      <c r="U206" s="18">
        <f>'AEO 2023 Table 49 Raw'!X191</f>
        <v>8.1051339999999996</v>
      </c>
      <c r="V206" s="18">
        <f>'AEO 2023 Table 49 Raw'!Y191</f>
        <v>8.1041930000000004</v>
      </c>
      <c r="W206" s="18">
        <f>'AEO 2023 Table 49 Raw'!Z191</f>
        <v>8.1013950000000001</v>
      </c>
      <c r="X206" s="18">
        <f>'AEO 2023 Table 49 Raw'!AA191</f>
        <v>8.1007890000000007</v>
      </c>
      <c r="Y206" s="18">
        <f>'AEO 2023 Table 49 Raw'!AB191</f>
        <v>8.1005280000000006</v>
      </c>
      <c r="Z206" s="18">
        <f>'AEO 2023 Table 49 Raw'!AC191</f>
        <v>8.1006370000000008</v>
      </c>
      <c r="AA206" s="18">
        <f>'AEO 2023 Table 49 Raw'!AD191</f>
        <v>8.1010089999999995</v>
      </c>
      <c r="AB206" s="18">
        <f>'AEO 2023 Table 49 Raw'!AE191</f>
        <v>8.1012559999999993</v>
      </c>
      <c r="AC206" s="18">
        <f>'AEO 2023 Table 49 Raw'!AF191</f>
        <v>8.1018030000000003</v>
      </c>
      <c r="AD206" s="18">
        <f>'AEO 2023 Table 49 Raw'!AG191</f>
        <v>8.1028509999999994</v>
      </c>
      <c r="AE206" s="18">
        <f>'AEO 2023 Table 49 Raw'!AH191</f>
        <v>8.1022010000000009</v>
      </c>
      <c r="AF206" s="30">
        <f>'AEO 2023 Table 49 Raw'!AI191</f>
        <v>7.0000000000000001E-3</v>
      </c>
    </row>
    <row r="207" spans="1:32" ht="15" customHeight="1">
      <c r="A207" s="7" t="s">
        <v>922</v>
      </c>
      <c r="B207" s="15" t="s">
        <v>858</v>
      </c>
      <c r="C207" s="18">
        <f>'AEO 2023 Table 49 Raw'!F192</f>
        <v>7.9471449999999999</v>
      </c>
      <c r="D207" s="18">
        <f>'AEO 2023 Table 49 Raw'!G192</f>
        <v>8.2543640000000007</v>
      </c>
      <c r="E207" s="18">
        <f>'AEO 2023 Table 49 Raw'!H192</f>
        <v>8.5904810000000005</v>
      </c>
      <c r="F207" s="18">
        <f>'AEO 2023 Table 49 Raw'!I192</f>
        <v>8.8457699999999999</v>
      </c>
      <c r="G207" s="18">
        <f>'AEO 2023 Table 49 Raw'!J192</f>
        <v>9.0590299999999999</v>
      </c>
      <c r="H207" s="18">
        <f>'AEO 2023 Table 49 Raw'!K192</f>
        <v>9.2583249999999992</v>
      </c>
      <c r="I207" s="18">
        <f>'AEO 2023 Table 49 Raw'!L192</f>
        <v>9.3410189999999993</v>
      </c>
      <c r="J207" s="18">
        <f>'AEO 2023 Table 49 Raw'!M192</f>
        <v>9.4975710000000007</v>
      </c>
      <c r="K207" s="18">
        <f>'AEO 2023 Table 49 Raw'!N192</f>
        <v>9.6603539999999999</v>
      </c>
      <c r="L207" s="18">
        <f>'AEO 2023 Table 49 Raw'!O192</f>
        <v>9.8132570000000001</v>
      </c>
      <c r="M207" s="18">
        <f>'AEO 2023 Table 49 Raw'!P192</f>
        <v>9.9121790000000001</v>
      </c>
      <c r="N207" s="18">
        <f>'AEO 2023 Table 49 Raw'!Q192</f>
        <v>9.9437929999999994</v>
      </c>
      <c r="O207" s="18">
        <f>'AEO 2023 Table 49 Raw'!R192</f>
        <v>9.970364</v>
      </c>
      <c r="P207" s="18">
        <f>'AEO 2023 Table 49 Raw'!S192</f>
        <v>9.9892579999999995</v>
      </c>
      <c r="Q207" s="18">
        <f>'AEO 2023 Table 49 Raw'!T192</f>
        <v>10.008831000000001</v>
      </c>
      <c r="R207" s="18">
        <f>'AEO 2023 Table 49 Raw'!U192</f>
        <v>10.024055000000001</v>
      </c>
      <c r="S207" s="18">
        <f>'AEO 2023 Table 49 Raw'!V192</f>
        <v>10.040035</v>
      </c>
      <c r="T207" s="18">
        <f>'AEO 2023 Table 49 Raw'!W192</f>
        <v>10.060394000000001</v>
      </c>
      <c r="U207" s="18">
        <f>'AEO 2023 Table 49 Raw'!X192</f>
        <v>10.085262999999999</v>
      </c>
      <c r="V207" s="18">
        <f>'AEO 2023 Table 49 Raw'!Y192</f>
        <v>10.094213999999999</v>
      </c>
      <c r="W207" s="18">
        <f>'AEO 2023 Table 49 Raw'!Z192</f>
        <v>10.119984000000001</v>
      </c>
      <c r="X207" s="18">
        <f>'AEO 2023 Table 49 Raw'!AA192</f>
        <v>10.137542</v>
      </c>
      <c r="Y207" s="18">
        <f>'AEO 2023 Table 49 Raw'!AB192</f>
        <v>10.154536</v>
      </c>
      <c r="Z207" s="18">
        <f>'AEO 2023 Table 49 Raw'!AC192</f>
        <v>10.186927000000001</v>
      </c>
      <c r="AA207" s="18">
        <f>'AEO 2023 Table 49 Raw'!AD192</f>
        <v>10.224152</v>
      </c>
      <c r="AB207" s="18">
        <f>'AEO 2023 Table 49 Raw'!AE192</f>
        <v>10.257011</v>
      </c>
      <c r="AC207" s="18">
        <f>'AEO 2023 Table 49 Raw'!AF192</f>
        <v>10.285439</v>
      </c>
      <c r="AD207" s="18">
        <f>'AEO 2023 Table 49 Raw'!AG192</f>
        <v>10.300746</v>
      </c>
      <c r="AE207" s="18">
        <f>'AEO 2023 Table 49 Raw'!AH192</f>
        <v>10.316784</v>
      </c>
      <c r="AF207" s="30">
        <f>'AEO 2023 Table 49 Raw'!AI192</f>
        <v>8.9999999999999993E-3</v>
      </c>
    </row>
    <row r="208" spans="1:32" ht="15" customHeight="1">
      <c r="C208" s="18"/>
      <c r="D208" s="18"/>
      <c r="E208" s="18"/>
      <c r="F208" s="18"/>
      <c r="G208" s="18"/>
      <c r="H208" s="18"/>
      <c r="I208" s="18"/>
      <c r="J208" s="18"/>
      <c r="K208" s="18"/>
      <c r="L208" s="18"/>
      <c r="M208" s="18"/>
      <c r="N208" s="18"/>
      <c r="O208" s="18"/>
      <c r="P208" s="18"/>
      <c r="Q208" s="18"/>
      <c r="R208" s="18"/>
      <c r="S208" s="18"/>
      <c r="T208" s="18"/>
      <c r="U208" s="18"/>
      <c r="V208" s="18"/>
      <c r="W208" s="18"/>
      <c r="X208" s="18"/>
      <c r="Y208" s="18"/>
      <c r="Z208" s="18"/>
      <c r="AA208" s="18"/>
      <c r="AB208" s="18"/>
      <c r="AC208" s="18"/>
      <c r="AD208" s="18"/>
      <c r="AE208" s="18"/>
      <c r="AF208" s="30"/>
    </row>
    <row r="209" spans="1:32" ht="12" customHeight="1">
      <c r="B209" s="15" t="s">
        <v>923</v>
      </c>
      <c r="C209" s="18"/>
      <c r="D209" s="18"/>
      <c r="E209" s="18"/>
      <c r="F209" s="18"/>
      <c r="G209" s="18"/>
      <c r="H209" s="18"/>
      <c r="I209" s="18"/>
      <c r="J209" s="18"/>
      <c r="K209" s="18"/>
      <c r="L209" s="18"/>
      <c r="M209" s="18"/>
      <c r="N209" s="18"/>
      <c r="O209" s="18"/>
      <c r="P209" s="18"/>
      <c r="Q209" s="18"/>
      <c r="R209" s="18"/>
      <c r="S209" s="18"/>
      <c r="T209" s="18"/>
      <c r="U209" s="18"/>
      <c r="V209" s="18"/>
      <c r="W209" s="18"/>
      <c r="X209" s="18"/>
      <c r="Y209" s="18"/>
      <c r="Z209" s="18"/>
      <c r="AA209" s="18"/>
      <c r="AB209" s="18"/>
      <c r="AC209" s="18"/>
      <c r="AD209" s="18"/>
      <c r="AE209" s="18"/>
      <c r="AF209" s="30"/>
    </row>
    <row r="210" spans="1:32" ht="15" customHeight="1">
      <c r="B210" s="15" t="s">
        <v>734</v>
      </c>
      <c r="C210" s="18"/>
      <c r="D210" s="18"/>
      <c r="E210" s="18"/>
      <c r="F210" s="18"/>
      <c r="G210" s="18"/>
      <c r="H210" s="18"/>
      <c r="I210" s="18"/>
      <c r="J210" s="18"/>
      <c r="K210" s="18"/>
      <c r="L210" s="18"/>
      <c r="M210" s="18"/>
      <c r="N210" s="18"/>
      <c r="O210" s="18"/>
      <c r="P210" s="18"/>
      <c r="Q210" s="18"/>
      <c r="R210" s="18"/>
      <c r="S210" s="18"/>
      <c r="T210" s="18"/>
      <c r="U210" s="18"/>
      <c r="V210" s="18"/>
      <c r="W210" s="18"/>
      <c r="X210" s="18"/>
      <c r="Y210" s="18"/>
      <c r="Z210" s="18"/>
      <c r="AA210" s="18"/>
      <c r="AB210" s="18"/>
      <c r="AC210" s="18"/>
      <c r="AD210" s="18"/>
      <c r="AE210" s="18"/>
      <c r="AF210" s="30"/>
    </row>
    <row r="211" spans="1:32" ht="15" customHeight="1">
      <c r="A211" s="7" t="s">
        <v>924</v>
      </c>
      <c r="B211" s="16" t="s">
        <v>736</v>
      </c>
      <c r="C211" s="18">
        <f>'AEO 2023 Table 49 Raw'!F195</f>
        <v>136.25962799999999</v>
      </c>
      <c r="D211" s="18">
        <f>'AEO 2023 Table 49 Raw'!G195</f>
        <v>127.083748</v>
      </c>
      <c r="E211" s="18">
        <f>'AEO 2023 Table 49 Raw'!H195</f>
        <v>133.41915900000001</v>
      </c>
      <c r="F211" s="18">
        <f>'AEO 2023 Table 49 Raw'!I195</f>
        <v>141.29763800000001</v>
      </c>
      <c r="G211" s="18">
        <f>'AEO 2023 Table 49 Raw'!J195</f>
        <v>144.63111900000001</v>
      </c>
      <c r="H211" s="18">
        <f>'AEO 2023 Table 49 Raw'!K195</f>
        <v>145.40922499999999</v>
      </c>
      <c r="I211" s="18">
        <f>'AEO 2023 Table 49 Raw'!L195</f>
        <v>147.62912</v>
      </c>
      <c r="J211" s="18">
        <f>'AEO 2023 Table 49 Raw'!M195</f>
        <v>150.128998</v>
      </c>
      <c r="K211" s="18">
        <f>'AEO 2023 Table 49 Raw'!N195</f>
        <v>150.970383</v>
      </c>
      <c r="L211" s="18">
        <f>'AEO 2023 Table 49 Raw'!O195</f>
        <v>152.288467</v>
      </c>
      <c r="M211" s="18">
        <f>'AEO 2023 Table 49 Raw'!P195</f>
        <v>156.49388099999999</v>
      </c>
      <c r="N211" s="18">
        <f>'AEO 2023 Table 49 Raw'!Q195</f>
        <v>160.13542200000001</v>
      </c>
      <c r="O211" s="18">
        <f>'AEO 2023 Table 49 Raw'!R195</f>
        <v>159.71426400000001</v>
      </c>
      <c r="P211" s="18">
        <f>'AEO 2023 Table 49 Raw'!S195</f>
        <v>159.57615699999999</v>
      </c>
      <c r="Q211" s="18">
        <f>'AEO 2023 Table 49 Raw'!T195</f>
        <v>160.86213699999999</v>
      </c>
      <c r="R211" s="18">
        <f>'AEO 2023 Table 49 Raw'!U195</f>
        <v>163.664276</v>
      </c>
      <c r="S211" s="18">
        <f>'AEO 2023 Table 49 Raw'!V195</f>
        <v>167.86442600000001</v>
      </c>
      <c r="T211" s="18">
        <f>'AEO 2023 Table 49 Raw'!W195</f>
        <v>172.60517899999999</v>
      </c>
      <c r="U211" s="18">
        <f>'AEO 2023 Table 49 Raw'!X195</f>
        <v>176.71751399999999</v>
      </c>
      <c r="V211" s="18">
        <f>'AEO 2023 Table 49 Raw'!Y195</f>
        <v>179.862381</v>
      </c>
      <c r="W211" s="18">
        <f>'AEO 2023 Table 49 Raw'!Z195</f>
        <v>182.68057300000001</v>
      </c>
      <c r="X211" s="18">
        <f>'AEO 2023 Table 49 Raw'!AA195</f>
        <v>184.57264699999999</v>
      </c>
      <c r="Y211" s="18">
        <f>'AEO 2023 Table 49 Raw'!AB195</f>
        <v>185.50657699999999</v>
      </c>
      <c r="Z211" s="18">
        <f>'AEO 2023 Table 49 Raw'!AC195</f>
        <v>187.05418399999999</v>
      </c>
      <c r="AA211" s="18">
        <f>'AEO 2023 Table 49 Raw'!AD195</f>
        <v>189.480423</v>
      </c>
      <c r="AB211" s="18">
        <f>'AEO 2023 Table 49 Raw'!AE195</f>
        <v>191.96052599999999</v>
      </c>
      <c r="AC211" s="18">
        <f>'AEO 2023 Table 49 Raw'!AF195</f>
        <v>194.57195999999999</v>
      </c>
      <c r="AD211" s="18">
        <f>'AEO 2023 Table 49 Raw'!AG195</f>
        <v>196.99954199999999</v>
      </c>
      <c r="AE211" s="18">
        <f>'AEO 2023 Table 49 Raw'!AH195</f>
        <v>199.49633800000001</v>
      </c>
      <c r="AF211" s="30">
        <f>'AEO 2023 Table 49 Raw'!AI195</f>
        <v>1.4E-2</v>
      </c>
    </row>
    <row r="212" spans="1:32" ht="15" customHeight="1">
      <c r="A212" s="7" t="s">
        <v>925</v>
      </c>
      <c r="B212" s="16" t="s">
        <v>738</v>
      </c>
      <c r="C212" s="18">
        <f>'AEO 2023 Table 49 Raw'!F196</f>
        <v>103.20974699999999</v>
      </c>
      <c r="D212" s="18">
        <f>'AEO 2023 Table 49 Raw'!G196</f>
        <v>95.244079999999997</v>
      </c>
      <c r="E212" s="18">
        <f>'AEO 2023 Table 49 Raw'!H196</f>
        <v>99.025429000000003</v>
      </c>
      <c r="F212" s="18">
        <f>'AEO 2023 Table 49 Raw'!I196</f>
        <v>103.943382</v>
      </c>
      <c r="G212" s="18">
        <f>'AEO 2023 Table 49 Raw'!J196</f>
        <v>105.53124200000001</v>
      </c>
      <c r="H212" s="18">
        <f>'AEO 2023 Table 49 Raw'!K196</f>
        <v>105.30883799999999</v>
      </c>
      <c r="I212" s="18">
        <f>'AEO 2023 Table 49 Raw'!L196</f>
        <v>106.18671399999999</v>
      </c>
      <c r="J212" s="18">
        <f>'AEO 2023 Table 49 Raw'!M196</f>
        <v>107.30914300000001</v>
      </c>
      <c r="K212" s="18">
        <f>'AEO 2023 Table 49 Raw'!N196</f>
        <v>107.291557</v>
      </c>
      <c r="L212" s="18">
        <f>'AEO 2023 Table 49 Raw'!O196</f>
        <v>107.659126</v>
      </c>
      <c r="M212" s="18">
        <f>'AEO 2023 Table 49 Raw'!P196</f>
        <v>110.098778</v>
      </c>
      <c r="N212" s="18">
        <f>'AEO 2023 Table 49 Raw'!Q196</f>
        <v>112.162796</v>
      </c>
      <c r="O212" s="18">
        <f>'AEO 2023 Table 49 Raw'!R196</f>
        <v>111.41445899999999</v>
      </c>
      <c r="P212" s="18">
        <f>'AEO 2023 Table 49 Raw'!S196</f>
        <v>110.904526</v>
      </c>
      <c r="Q212" s="18">
        <f>'AEO 2023 Table 49 Raw'!T196</f>
        <v>111.41738100000001</v>
      </c>
      <c r="R212" s="18">
        <f>'AEO 2023 Table 49 Raw'!U196</f>
        <v>113.004105</v>
      </c>
      <c r="S212" s="18">
        <f>'AEO 2023 Table 49 Raw'!V196</f>
        <v>115.57209</v>
      </c>
      <c r="T212" s="18">
        <f>'AEO 2023 Table 49 Raw'!W196</f>
        <v>118.523758</v>
      </c>
      <c r="U212" s="18">
        <f>'AEO 2023 Table 49 Raw'!X196</f>
        <v>121.055161</v>
      </c>
      <c r="V212" s="18">
        <f>'AEO 2023 Table 49 Raw'!Y196</f>
        <v>122.93707999999999</v>
      </c>
      <c r="W212" s="18">
        <f>'AEO 2023 Table 49 Raw'!Z196</f>
        <v>124.610107</v>
      </c>
      <c r="X212" s="18">
        <f>'AEO 2023 Table 49 Raw'!AA196</f>
        <v>125.66645800000001</v>
      </c>
      <c r="Y212" s="18">
        <f>'AEO 2023 Table 49 Raw'!AB196</f>
        <v>126.086716</v>
      </c>
      <c r="Z212" s="18">
        <f>'AEO 2023 Table 49 Raw'!AC196</f>
        <v>126.93946099999999</v>
      </c>
      <c r="AA212" s="18">
        <f>'AEO 2023 Table 49 Raw'!AD196</f>
        <v>128.40110799999999</v>
      </c>
      <c r="AB212" s="18">
        <f>'AEO 2023 Table 49 Raw'!AE196</f>
        <v>129.91007999999999</v>
      </c>
      <c r="AC212" s="18">
        <f>'AEO 2023 Table 49 Raw'!AF196</f>
        <v>131.51786799999999</v>
      </c>
      <c r="AD212" s="18">
        <f>'AEO 2023 Table 49 Raw'!AG196</f>
        <v>133.01074199999999</v>
      </c>
      <c r="AE212" s="18">
        <f>'AEO 2023 Table 49 Raw'!AH196</f>
        <v>134.55900600000001</v>
      </c>
      <c r="AF212" s="30">
        <f>'AEO 2023 Table 49 Raw'!AI196</f>
        <v>0.01</v>
      </c>
    </row>
    <row r="213" spans="1:32" ht="15" customHeight="1">
      <c r="A213" s="7" t="s">
        <v>926</v>
      </c>
      <c r="B213" s="16" t="s">
        <v>382</v>
      </c>
      <c r="C213" s="18">
        <f>'AEO 2023 Table 49 Raw'!F197</f>
        <v>0</v>
      </c>
      <c r="D213" s="18">
        <f>'AEO 2023 Table 49 Raw'!G197</f>
        <v>0.24643200000000001</v>
      </c>
      <c r="E213" s="18">
        <f>'AEO 2023 Table 49 Raw'!H197</f>
        <v>0.252305</v>
      </c>
      <c r="F213" s="18">
        <f>'AEO 2023 Table 49 Raw'!I197</f>
        <v>0.25668299999999999</v>
      </c>
      <c r="G213" s="18">
        <f>'AEO 2023 Table 49 Raw'!J197</f>
        <v>0.26075300000000001</v>
      </c>
      <c r="H213" s="18">
        <f>'AEO 2023 Table 49 Raw'!K197</f>
        <v>0.26159500000000002</v>
      </c>
      <c r="I213" s="18">
        <f>'AEO 2023 Table 49 Raw'!L197</f>
        <v>0.26821200000000001</v>
      </c>
      <c r="J213" s="18">
        <f>'AEO 2023 Table 49 Raw'!M197</f>
        <v>0.27779700000000002</v>
      </c>
      <c r="K213" s="18">
        <f>'AEO 2023 Table 49 Raw'!N197</f>
        <v>0.28732200000000002</v>
      </c>
      <c r="L213" s="18">
        <f>'AEO 2023 Table 49 Raw'!O197</f>
        <v>0.29986000000000002</v>
      </c>
      <c r="M213" s="18">
        <f>'AEO 2023 Table 49 Raw'!P197</f>
        <v>0.31739499999999998</v>
      </c>
      <c r="N213" s="18">
        <f>'AEO 2023 Table 49 Raw'!Q197</f>
        <v>0.33456799999999998</v>
      </c>
      <c r="O213" s="18">
        <f>'AEO 2023 Table 49 Raw'!R197</f>
        <v>0.34320800000000001</v>
      </c>
      <c r="P213" s="18">
        <f>'AEO 2023 Table 49 Raw'!S197</f>
        <v>0.35411399999999998</v>
      </c>
      <c r="Q213" s="18">
        <f>'AEO 2023 Table 49 Raw'!T197</f>
        <v>0.372087</v>
      </c>
      <c r="R213" s="18">
        <f>'AEO 2023 Table 49 Raw'!U197</f>
        <v>0.39916099999999999</v>
      </c>
      <c r="S213" s="18">
        <f>'AEO 2023 Table 49 Raw'!V197</f>
        <v>0.434471</v>
      </c>
      <c r="T213" s="18">
        <f>'AEO 2023 Table 49 Raw'!W197</f>
        <v>0.47616599999999998</v>
      </c>
      <c r="U213" s="18">
        <f>'AEO 2023 Table 49 Raw'!X197</f>
        <v>0.51893299999999998</v>
      </c>
      <c r="V213" s="18">
        <f>'AEO 2023 Table 49 Raw'!Y197</f>
        <v>0.56271400000000005</v>
      </c>
      <c r="W213" s="18">
        <f>'AEO 2023 Table 49 Raw'!Z197</f>
        <v>0.60917600000000005</v>
      </c>
      <c r="X213" s="18">
        <f>'AEO 2023 Table 49 Raw'!AA197</f>
        <v>0.659076</v>
      </c>
      <c r="Y213" s="18">
        <f>'AEO 2023 Table 49 Raw'!AB197</f>
        <v>0.70908000000000004</v>
      </c>
      <c r="Z213" s="18">
        <f>'AEO 2023 Table 49 Raw'!AC197</f>
        <v>0.76338300000000003</v>
      </c>
      <c r="AA213" s="18">
        <f>'AEO 2023 Table 49 Raw'!AD197</f>
        <v>0.82072199999999995</v>
      </c>
      <c r="AB213" s="18">
        <f>'AEO 2023 Table 49 Raw'!AE197</f>
        <v>0.87785199999999997</v>
      </c>
      <c r="AC213" s="18">
        <f>'AEO 2023 Table 49 Raw'!AF197</f>
        <v>0.93330599999999997</v>
      </c>
      <c r="AD213" s="18">
        <f>'AEO 2023 Table 49 Raw'!AG197</f>
        <v>0.98619400000000002</v>
      </c>
      <c r="AE213" s="18">
        <f>'AEO 2023 Table 49 Raw'!AH197</f>
        <v>1.037256</v>
      </c>
      <c r="AF213" s="30" t="str">
        <f>'AEO 2023 Table 49 Raw'!AI197</f>
        <v>- -</v>
      </c>
    </row>
    <row r="214" spans="1:32" ht="15" customHeight="1">
      <c r="A214" s="7" t="s">
        <v>927</v>
      </c>
      <c r="B214" s="16" t="s">
        <v>741</v>
      </c>
      <c r="C214" s="18">
        <f>'AEO 2023 Table 49 Raw'!F198</f>
        <v>0</v>
      </c>
      <c r="D214" s="18">
        <f>'AEO 2023 Table 49 Raw'!G198</f>
        <v>0</v>
      </c>
      <c r="E214" s="18">
        <f>'AEO 2023 Table 49 Raw'!H198</f>
        <v>0</v>
      </c>
      <c r="F214" s="18">
        <f>'AEO 2023 Table 49 Raw'!I198</f>
        <v>0</v>
      </c>
      <c r="G214" s="18">
        <f>'AEO 2023 Table 49 Raw'!J198</f>
        <v>0</v>
      </c>
      <c r="H214" s="18">
        <f>'AEO 2023 Table 49 Raw'!K198</f>
        <v>0</v>
      </c>
      <c r="I214" s="18">
        <f>'AEO 2023 Table 49 Raw'!L198</f>
        <v>0</v>
      </c>
      <c r="J214" s="18">
        <f>'AEO 2023 Table 49 Raw'!M198</f>
        <v>0</v>
      </c>
      <c r="K214" s="18">
        <f>'AEO 2023 Table 49 Raw'!N198</f>
        <v>0</v>
      </c>
      <c r="L214" s="18">
        <f>'AEO 2023 Table 49 Raw'!O198</f>
        <v>0</v>
      </c>
      <c r="M214" s="18">
        <f>'AEO 2023 Table 49 Raw'!P198</f>
        <v>0</v>
      </c>
      <c r="N214" s="18">
        <f>'AEO 2023 Table 49 Raw'!Q198</f>
        <v>0</v>
      </c>
      <c r="O214" s="18">
        <f>'AEO 2023 Table 49 Raw'!R198</f>
        <v>0</v>
      </c>
      <c r="P214" s="18">
        <f>'AEO 2023 Table 49 Raw'!S198</f>
        <v>0</v>
      </c>
      <c r="Q214" s="18">
        <f>'AEO 2023 Table 49 Raw'!T198</f>
        <v>0</v>
      </c>
      <c r="R214" s="18">
        <f>'AEO 2023 Table 49 Raw'!U198</f>
        <v>0</v>
      </c>
      <c r="S214" s="18">
        <f>'AEO 2023 Table 49 Raw'!V198</f>
        <v>0</v>
      </c>
      <c r="T214" s="18">
        <f>'AEO 2023 Table 49 Raw'!W198</f>
        <v>0</v>
      </c>
      <c r="U214" s="18">
        <f>'AEO 2023 Table 49 Raw'!X198</f>
        <v>0</v>
      </c>
      <c r="V214" s="18">
        <f>'AEO 2023 Table 49 Raw'!Y198</f>
        <v>0</v>
      </c>
      <c r="W214" s="18">
        <f>'AEO 2023 Table 49 Raw'!Z198</f>
        <v>0</v>
      </c>
      <c r="X214" s="18">
        <f>'AEO 2023 Table 49 Raw'!AA198</f>
        <v>0</v>
      </c>
      <c r="Y214" s="18">
        <f>'AEO 2023 Table 49 Raw'!AB198</f>
        <v>0</v>
      </c>
      <c r="Z214" s="18">
        <f>'AEO 2023 Table 49 Raw'!AC198</f>
        <v>0</v>
      </c>
      <c r="AA214" s="18">
        <f>'AEO 2023 Table 49 Raw'!AD198</f>
        <v>0</v>
      </c>
      <c r="AB214" s="18">
        <f>'AEO 2023 Table 49 Raw'!AE198</f>
        <v>0</v>
      </c>
      <c r="AC214" s="18">
        <f>'AEO 2023 Table 49 Raw'!AF198</f>
        <v>0</v>
      </c>
      <c r="AD214" s="18">
        <f>'AEO 2023 Table 49 Raw'!AG198</f>
        <v>0</v>
      </c>
      <c r="AE214" s="18">
        <f>'AEO 2023 Table 49 Raw'!AH198</f>
        <v>0</v>
      </c>
      <c r="AF214" s="30" t="str">
        <f>'AEO 2023 Table 49 Raw'!AI198</f>
        <v>- -</v>
      </c>
    </row>
    <row r="215" spans="1:32" ht="15" customHeight="1">
      <c r="A215" s="7" t="s">
        <v>928</v>
      </c>
      <c r="B215" s="16" t="s">
        <v>743</v>
      </c>
      <c r="C215" s="18">
        <f>'AEO 2023 Table 49 Raw'!F199</f>
        <v>12.653598000000001</v>
      </c>
      <c r="D215" s="18">
        <f>'AEO 2023 Table 49 Raw'!G199</f>
        <v>11.552336</v>
      </c>
      <c r="E215" s="18">
        <f>'AEO 2023 Table 49 Raw'!H199</f>
        <v>11.600343000000001</v>
      </c>
      <c r="F215" s="18">
        <f>'AEO 2023 Table 49 Raw'!I199</f>
        <v>11.461596</v>
      </c>
      <c r="G215" s="18">
        <f>'AEO 2023 Table 49 Raw'!J199</f>
        <v>11.168632000000001</v>
      </c>
      <c r="H215" s="18">
        <f>'AEO 2023 Table 49 Raw'!K199</f>
        <v>10.981567</v>
      </c>
      <c r="I215" s="18">
        <f>'AEO 2023 Table 49 Raw'!L199</f>
        <v>10.765105999999999</v>
      </c>
      <c r="J215" s="18">
        <f>'AEO 2023 Table 49 Raw'!M199</f>
        <v>10.686363999999999</v>
      </c>
      <c r="K215" s="18">
        <f>'AEO 2023 Table 49 Raw'!N199</f>
        <v>10.625061000000001</v>
      </c>
      <c r="L215" s="18">
        <f>'AEO 2023 Table 49 Raw'!O199</f>
        <v>10.755540999999999</v>
      </c>
      <c r="M215" s="18">
        <f>'AEO 2023 Table 49 Raw'!P199</f>
        <v>11.056151</v>
      </c>
      <c r="N215" s="18">
        <f>'AEO 2023 Table 49 Raw'!Q199</f>
        <v>11.360353</v>
      </c>
      <c r="O215" s="18">
        <f>'AEO 2023 Table 49 Raw'!R199</f>
        <v>11.320587</v>
      </c>
      <c r="P215" s="18">
        <f>'AEO 2023 Table 49 Raw'!S199</f>
        <v>11.322226000000001</v>
      </c>
      <c r="Q215" s="18">
        <f>'AEO 2023 Table 49 Raw'!T199</f>
        <v>11.399566999999999</v>
      </c>
      <c r="R215" s="18">
        <f>'AEO 2023 Table 49 Raw'!U199</f>
        <v>11.618492</v>
      </c>
      <c r="S215" s="18">
        <f>'AEO 2023 Table 49 Raw'!V199</f>
        <v>11.918831000000001</v>
      </c>
      <c r="T215" s="18">
        <f>'AEO 2023 Table 49 Raw'!W199</f>
        <v>12.273879000000001</v>
      </c>
      <c r="U215" s="18">
        <f>'AEO 2023 Table 49 Raw'!X199</f>
        <v>12.613292</v>
      </c>
      <c r="V215" s="18">
        <f>'AEO 2023 Table 49 Raw'!Y199</f>
        <v>12.243190999999999</v>
      </c>
      <c r="W215" s="18">
        <f>'AEO 2023 Table 49 Raw'!Z199</f>
        <v>12.456396</v>
      </c>
      <c r="X215" s="18">
        <f>'AEO 2023 Table 49 Raw'!AA199</f>
        <v>12.600669999999999</v>
      </c>
      <c r="Y215" s="18">
        <f>'AEO 2023 Table 49 Raw'!AB199</f>
        <v>12.702261999999999</v>
      </c>
      <c r="Z215" s="18">
        <f>'AEO 2023 Table 49 Raw'!AC199</f>
        <v>12.914300000000001</v>
      </c>
      <c r="AA215" s="18">
        <f>'AEO 2023 Table 49 Raw'!AD199</f>
        <v>13.190873</v>
      </c>
      <c r="AB215" s="18">
        <f>'AEO 2023 Table 49 Raw'!AE199</f>
        <v>13.456709999999999</v>
      </c>
      <c r="AC215" s="18">
        <f>'AEO 2023 Table 49 Raw'!AF199</f>
        <v>13.725542000000001</v>
      </c>
      <c r="AD215" s="18">
        <f>'AEO 2023 Table 49 Raw'!AG199</f>
        <v>13.975149</v>
      </c>
      <c r="AE215" s="18">
        <f>'AEO 2023 Table 49 Raw'!AH199</f>
        <v>14.198510000000001</v>
      </c>
      <c r="AF215" s="30">
        <f>'AEO 2023 Table 49 Raw'!AI199</f>
        <v>4.0000000000000001E-3</v>
      </c>
    </row>
    <row r="216" spans="1:32" ht="15" customHeight="1">
      <c r="A216" s="7" t="s">
        <v>929</v>
      </c>
      <c r="B216" s="16" t="s">
        <v>745</v>
      </c>
      <c r="C216" s="18">
        <f>'AEO 2023 Table 49 Raw'!F200</f>
        <v>0</v>
      </c>
      <c r="D216" s="18">
        <f>'AEO 2023 Table 49 Raw'!G200</f>
        <v>0</v>
      </c>
      <c r="E216" s="18">
        <f>'AEO 2023 Table 49 Raw'!H200</f>
        <v>0</v>
      </c>
      <c r="F216" s="18">
        <f>'AEO 2023 Table 49 Raw'!I200</f>
        <v>0</v>
      </c>
      <c r="G216" s="18">
        <f>'AEO 2023 Table 49 Raw'!J200</f>
        <v>0</v>
      </c>
      <c r="H216" s="18">
        <f>'AEO 2023 Table 49 Raw'!K200</f>
        <v>0</v>
      </c>
      <c r="I216" s="18">
        <f>'AEO 2023 Table 49 Raw'!L200</f>
        <v>0</v>
      </c>
      <c r="J216" s="18">
        <f>'AEO 2023 Table 49 Raw'!M200</f>
        <v>0</v>
      </c>
      <c r="K216" s="18">
        <f>'AEO 2023 Table 49 Raw'!N200</f>
        <v>0</v>
      </c>
      <c r="L216" s="18">
        <f>'AEO 2023 Table 49 Raw'!O200</f>
        <v>0</v>
      </c>
      <c r="M216" s="18">
        <f>'AEO 2023 Table 49 Raw'!P200</f>
        <v>0</v>
      </c>
      <c r="N216" s="18">
        <f>'AEO 2023 Table 49 Raw'!Q200</f>
        <v>0</v>
      </c>
      <c r="O216" s="18">
        <f>'AEO 2023 Table 49 Raw'!R200</f>
        <v>0</v>
      </c>
      <c r="P216" s="18">
        <f>'AEO 2023 Table 49 Raw'!S200</f>
        <v>0</v>
      </c>
      <c r="Q216" s="18">
        <f>'AEO 2023 Table 49 Raw'!T200</f>
        <v>0</v>
      </c>
      <c r="R216" s="18">
        <f>'AEO 2023 Table 49 Raw'!U200</f>
        <v>0</v>
      </c>
      <c r="S216" s="18">
        <f>'AEO 2023 Table 49 Raw'!V200</f>
        <v>0</v>
      </c>
      <c r="T216" s="18">
        <f>'AEO 2023 Table 49 Raw'!W200</f>
        <v>0</v>
      </c>
      <c r="U216" s="18">
        <f>'AEO 2023 Table 49 Raw'!X200</f>
        <v>0</v>
      </c>
      <c r="V216" s="18">
        <f>'AEO 2023 Table 49 Raw'!Y200</f>
        <v>0</v>
      </c>
      <c r="W216" s="18">
        <f>'AEO 2023 Table 49 Raw'!Z200</f>
        <v>0</v>
      </c>
      <c r="X216" s="18">
        <f>'AEO 2023 Table 49 Raw'!AA200</f>
        <v>0</v>
      </c>
      <c r="Y216" s="18">
        <f>'AEO 2023 Table 49 Raw'!AB200</f>
        <v>0</v>
      </c>
      <c r="Z216" s="18">
        <f>'AEO 2023 Table 49 Raw'!AC200</f>
        <v>0</v>
      </c>
      <c r="AA216" s="18">
        <f>'AEO 2023 Table 49 Raw'!AD200</f>
        <v>0</v>
      </c>
      <c r="AB216" s="18">
        <f>'AEO 2023 Table 49 Raw'!AE200</f>
        <v>0</v>
      </c>
      <c r="AC216" s="18">
        <f>'AEO 2023 Table 49 Raw'!AF200</f>
        <v>0</v>
      </c>
      <c r="AD216" s="18">
        <f>'AEO 2023 Table 49 Raw'!AG200</f>
        <v>0</v>
      </c>
      <c r="AE216" s="18">
        <f>'AEO 2023 Table 49 Raw'!AH200</f>
        <v>0</v>
      </c>
      <c r="AF216" s="30" t="str">
        <f>'AEO 2023 Table 49 Raw'!AI200</f>
        <v>- -</v>
      </c>
    </row>
    <row r="217" spans="1:32" ht="15" customHeight="1">
      <c r="A217" s="7" t="s">
        <v>930</v>
      </c>
      <c r="B217" s="16" t="s">
        <v>747</v>
      </c>
      <c r="C217" s="18">
        <f>'AEO 2023 Table 49 Raw'!F201</f>
        <v>0</v>
      </c>
      <c r="D217" s="18">
        <f>'AEO 2023 Table 49 Raw'!G201</f>
        <v>0.28171600000000002</v>
      </c>
      <c r="E217" s="18">
        <f>'AEO 2023 Table 49 Raw'!H201</f>
        <v>0.29282999999999998</v>
      </c>
      <c r="F217" s="18">
        <f>'AEO 2023 Table 49 Raw'!I201</f>
        <v>0.30618499999999998</v>
      </c>
      <c r="G217" s="18">
        <f>'AEO 2023 Table 49 Raw'!J201</f>
        <v>0.31391400000000003</v>
      </c>
      <c r="H217" s="18">
        <f>'AEO 2023 Table 49 Raw'!K201</f>
        <v>0.31940200000000002</v>
      </c>
      <c r="I217" s="18">
        <f>'AEO 2023 Table 49 Raw'!L201</f>
        <v>0.33374900000000002</v>
      </c>
      <c r="J217" s="18">
        <f>'AEO 2023 Table 49 Raw'!M201</f>
        <v>0.35278199999999998</v>
      </c>
      <c r="K217" s="18">
        <f>'AEO 2023 Table 49 Raw'!N201</f>
        <v>0.37166100000000002</v>
      </c>
      <c r="L217" s="18">
        <f>'AEO 2023 Table 49 Raw'!O201</f>
        <v>0.394899</v>
      </c>
      <c r="M217" s="18">
        <f>'AEO 2023 Table 49 Raw'!P201</f>
        <v>0.42931200000000003</v>
      </c>
      <c r="N217" s="18">
        <f>'AEO 2023 Table 49 Raw'!Q201</f>
        <v>0.465165</v>
      </c>
      <c r="O217" s="18">
        <f>'AEO 2023 Table 49 Raw'!R201</f>
        <v>0.49295899999999998</v>
      </c>
      <c r="P217" s="18">
        <f>'AEO 2023 Table 49 Raw'!S201</f>
        <v>0.52596799999999999</v>
      </c>
      <c r="Q217" s="18">
        <f>'AEO 2023 Table 49 Raw'!T201</f>
        <v>0.56994900000000004</v>
      </c>
      <c r="R217" s="18">
        <f>'AEO 2023 Table 49 Raw'!U201</f>
        <v>0.62658499999999995</v>
      </c>
      <c r="S217" s="18">
        <f>'AEO 2023 Table 49 Raw'!V201</f>
        <v>0.69688099999999997</v>
      </c>
      <c r="T217" s="18">
        <f>'AEO 2023 Table 49 Raw'!W201</f>
        <v>0.77812400000000004</v>
      </c>
      <c r="U217" s="18">
        <f>'AEO 2023 Table 49 Raw'!X201</f>
        <v>0.86447499999999999</v>
      </c>
      <c r="V217" s="18">
        <f>'AEO 2023 Table 49 Raw'!Y201</f>
        <v>0.95209299999999997</v>
      </c>
      <c r="W217" s="18">
        <f>'AEO 2023 Table 49 Raw'!Z201</f>
        <v>1.0415030000000001</v>
      </c>
      <c r="X217" s="18">
        <f>'AEO 2023 Table 49 Raw'!AA201</f>
        <v>1.126533</v>
      </c>
      <c r="Y217" s="18">
        <f>'AEO 2023 Table 49 Raw'!AB201</f>
        <v>1.2035450000000001</v>
      </c>
      <c r="Z217" s="18">
        <f>'AEO 2023 Table 49 Raw'!AC201</f>
        <v>1.2802739999999999</v>
      </c>
      <c r="AA217" s="18">
        <f>'AEO 2023 Table 49 Raw'!AD201</f>
        <v>1.3577939999999999</v>
      </c>
      <c r="AB217" s="18">
        <f>'AEO 2023 Table 49 Raw'!AE201</f>
        <v>1.429962</v>
      </c>
      <c r="AC217" s="18">
        <f>'AEO 2023 Table 49 Raw'!AF201</f>
        <v>1.4971000000000001</v>
      </c>
      <c r="AD217" s="18">
        <f>'AEO 2023 Table 49 Raw'!AG201</f>
        <v>1.556692</v>
      </c>
      <c r="AE217" s="18">
        <f>'AEO 2023 Table 49 Raw'!AH201</f>
        <v>1.61103</v>
      </c>
      <c r="AF217" s="30" t="str">
        <f>'AEO 2023 Table 49 Raw'!AI201</f>
        <v>- -</v>
      </c>
    </row>
    <row r="218" spans="1:32" ht="15" customHeight="1">
      <c r="A218" s="7" t="s">
        <v>931</v>
      </c>
      <c r="B218" s="16" t="s">
        <v>749</v>
      </c>
      <c r="C218" s="18">
        <f>'AEO 2023 Table 49 Raw'!F202</f>
        <v>0</v>
      </c>
      <c r="D218" s="18">
        <f>'AEO 2023 Table 49 Raw'!G202</f>
        <v>0.30658000000000002</v>
      </c>
      <c r="E218" s="18">
        <f>'AEO 2023 Table 49 Raw'!H202</f>
        <v>0.31281100000000001</v>
      </c>
      <c r="F218" s="18">
        <f>'AEO 2023 Table 49 Raw'!I202</f>
        <v>0.31875500000000001</v>
      </c>
      <c r="G218" s="18">
        <f>'AEO 2023 Table 49 Raw'!J202</f>
        <v>0.31956699999999999</v>
      </c>
      <c r="H218" s="18">
        <f>'AEO 2023 Table 49 Raw'!K202</f>
        <v>0.319911</v>
      </c>
      <c r="I218" s="18">
        <f>'AEO 2023 Table 49 Raw'!L202</f>
        <v>0.327262</v>
      </c>
      <c r="J218" s="18">
        <f>'AEO 2023 Table 49 Raw'!M202</f>
        <v>0.33962900000000001</v>
      </c>
      <c r="K218" s="18">
        <f>'AEO 2023 Table 49 Raw'!N202</f>
        <v>0.35427700000000001</v>
      </c>
      <c r="L218" s="18">
        <f>'AEO 2023 Table 49 Raw'!O202</f>
        <v>0.37685000000000002</v>
      </c>
      <c r="M218" s="18">
        <f>'AEO 2023 Table 49 Raw'!P202</f>
        <v>0.41139100000000001</v>
      </c>
      <c r="N218" s="18">
        <f>'AEO 2023 Table 49 Raw'!Q202</f>
        <v>0.45125700000000002</v>
      </c>
      <c r="O218" s="18">
        <f>'AEO 2023 Table 49 Raw'!R202</f>
        <v>0.48465000000000003</v>
      </c>
      <c r="P218" s="18">
        <f>'AEO 2023 Table 49 Raw'!S202</f>
        <v>0.52488500000000005</v>
      </c>
      <c r="Q218" s="18">
        <f>'AEO 2023 Table 49 Raw'!T202</f>
        <v>0.576963</v>
      </c>
      <c r="R218" s="18">
        <f>'AEO 2023 Table 49 Raw'!U202</f>
        <v>0.64406799999999997</v>
      </c>
      <c r="S218" s="18">
        <f>'AEO 2023 Table 49 Raw'!V202</f>
        <v>0.72592199999999996</v>
      </c>
      <c r="T218" s="18">
        <f>'AEO 2023 Table 49 Raw'!W202</f>
        <v>0.82100200000000001</v>
      </c>
      <c r="U218" s="18">
        <f>'AEO 2023 Table 49 Raw'!X202</f>
        <v>0.923732</v>
      </c>
      <c r="V218" s="18">
        <f>'AEO 2023 Table 49 Raw'!Y202</f>
        <v>1.0294810000000001</v>
      </c>
      <c r="W218" s="18">
        <f>'AEO 2023 Table 49 Raw'!Z202</f>
        <v>1.1353420000000001</v>
      </c>
      <c r="X218" s="18">
        <f>'AEO 2023 Table 49 Raw'!AA202</f>
        <v>1.2357359999999999</v>
      </c>
      <c r="Y218" s="18">
        <f>'AEO 2023 Table 49 Raw'!AB202</f>
        <v>1.3272170000000001</v>
      </c>
      <c r="Z218" s="18">
        <f>'AEO 2023 Table 49 Raw'!AC202</f>
        <v>1.4201980000000001</v>
      </c>
      <c r="AA218" s="18">
        <f>'AEO 2023 Table 49 Raw'!AD202</f>
        <v>1.512813</v>
      </c>
      <c r="AB218" s="18">
        <f>'AEO 2023 Table 49 Raw'!AE202</f>
        <v>1.5973889999999999</v>
      </c>
      <c r="AC218" s="18">
        <f>'AEO 2023 Table 49 Raw'!AF202</f>
        <v>1.6751879999999999</v>
      </c>
      <c r="AD218" s="18">
        <f>'AEO 2023 Table 49 Raw'!AG202</f>
        <v>1.7441500000000001</v>
      </c>
      <c r="AE218" s="18">
        <f>'AEO 2023 Table 49 Raw'!AH202</f>
        <v>1.80585</v>
      </c>
      <c r="AF218" s="30" t="str">
        <f>'AEO 2023 Table 49 Raw'!AI202</f>
        <v>- -</v>
      </c>
    </row>
    <row r="219" spans="1:32" ht="15" customHeight="1">
      <c r="A219" s="7" t="s">
        <v>932</v>
      </c>
      <c r="B219" s="16" t="s">
        <v>751</v>
      </c>
      <c r="C219" s="18">
        <f>'AEO 2023 Table 49 Raw'!F203</f>
        <v>0</v>
      </c>
      <c r="D219" s="18">
        <f>'AEO 2023 Table 49 Raw'!G203</f>
        <v>0</v>
      </c>
      <c r="E219" s="18">
        <f>'AEO 2023 Table 49 Raw'!H203</f>
        <v>9.2E-5</v>
      </c>
      <c r="F219" s="18">
        <f>'AEO 2023 Table 49 Raw'!I203</f>
        <v>9.6000000000000002E-5</v>
      </c>
      <c r="G219" s="18">
        <f>'AEO 2023 Table 49 Raw'!J203</f>
        <v>9.7999999999999997E-5</v>
      </c>
      <c r="H219" s="18">
        <f>'AEO 2023 Table 49 Raw'!K203</f>
        <v>9.7999999999999997E-5</v>
      </c>
      <c r="I219" s="18">
        <f>'AEO 2023 Table 49 Raw'!L203</f>
        <v>9.8999999999999994E-5</v>
      </c>
      <c r="J219" s="18">
        <f>'AEO 2023 Table 49 Raw'!M203</f>
        <v>1E-4</v>
      </c>
      <c r="K219" s="18">
        <f>'AEO 2023 Table 49 Raw'!N203</f>
        <v>1E-4</v>
      </c>
      <c r="L219" s="18">
        <f>'AEO 2023 Table 49 Raw'!O203</f>
        <v>9.8999999999999994E-5</v>
      </c>
      <c r="M219" s="18">
        <f>'AEO 2023 Table 49 Raw'!P203</f>
        <v>1.01E-4</v>
      </c>
      <c r="N219" s="18">
        <f>'AEO 2023 Table 49 Raw'!Q203</f>
        <v>1.02E-4</v>
      </c>
      <c r="O219" s="18">
        <f>'AEO 2023 Table 49 Raw'!R203</f>
        <v>1E-4</v>
      </c>
      <c r="P219" s="18">
        <f>'AEO 2023 Table 49 Raw'!S203</f>
        <v>9.7999999999999997E-5</v>
      </c>
      <c r="Q219" s="18">
        <f>'AEO 2023 Table 49 Raw'!T203</f>
        <v>9.6000000000000002E-5</v>
      </c>
      <c r="R219" s="18">
        <f>'AEO 2023 Table 49 Raw'!U203</f>
        <v>9.5000000000000005E-5</v>
      </c>
      <c r="S219" s="18">
        <f>'AEO 2023 Table 49 Raw'!V203</f>
        <v>9.3999999999999994E-5</v>
      </c>
      <c r="T219" s="18">
        <f>'AEO 2023 Table 49 Raw'!W203</f>
        <v>9.2999999999999997E-5</v>
      </c>
      <c r="U219" s="18">
        <f>'AEO 2023 Table 49 Raw'!X203</f>
        <v>9.1000000000000003E-5</v>
      </c>
      <c r="V219" s="18">
        <f>'AEO 2023 Table 49 Raw'!Y203</f>
        <v>8.7000000000000001E-5</v>
      </c>
      <c r="W219" s="18">
        <f>'AEO 2023 Table 49 Raw'!Z203</f>
        <v>8.2999999999999998E-5</v>
      </c>
      <c r="X219" s="18">
        <f>'AEO 2023 Table 49 Raw'!AA203</f>
        <v>7.7999999999999999E-5</v>
      </c>
      <c r="Y219" s="18">
        <f>'AEO 2023 Table 49 Raw'!AB203</f>
        <v>7.2000000000000002E-5</v>
      </c>
      <c r="Z219" s="18">
        <f>'AEO 2023 Table 49 Raw'!AC203</f>
        <v>6.6000000000000005E-5</v>
      </c>
      <c r="AA219" s="18">
        <f>'AEO 2023 Table 49 Raw'!AD203</f>
        <v>6.0000000000000002E-5</v>
      </c>
      <c r="AB219" s="18">
        <f>'AEO 2023 Table 49 Raw'!AE203</f>
        <v>5.3999999999999998E-5</v>
      </c>
      <c r="AC219" s="18">
        <f>'AEO 2023 Table 49 Raw'!AF203</f>
        <v>4.8000000000000001E-5</v>
      </c>
      <c r="AD219" s="18">
        <f>'AEO 2023 Table 49 Raw'!AG203</f>
        <v>4.1999999999999998E-5</v>
      </c>
      <c r="AE219" s="18">
        <f>'AEO 2023 Table 49 Raw'!AH203</f>
        <v>3.6999999999999998E-5</v>
      </c>
      <c r="AF219" s="30" t="str">
        <f>'AEO 2023 Table 49 Raw'!AI203</f>
        <v>- -</v>
      </c>
    </row>
    <row r="220" spans="1:32" ht="15" customHeight="1">
      <c r="A220" s="7" t="s">
        <v>933</v>
      </c>
      <c r="B220" s="16" t="s">
        <v>753</v>
      </c>
      <c r="C220" s="18">
        <f>'AEO 2023 Table 49 Raw'!F204</f>
        <v>252.12297100000001</v>
      </c>
      <c r="D220" s="18">
        <f>'AEO 2023 Table 49 Raw'!G204</f>
        <v>234.71489</v>
      </c>
      <c r="E220" s="18">
        <f>'AEO 2023 Table 49 Raw'!H204</f>
        <v>244.90295399999999</v>
      </c>
      <c r="F220" s="18">
        <f>'AEO 2023 Table 49 Raw'!I204</f>
        <v>257.58431999999999</v>
      </c>
      <c r="G220" s="18">
        <f>'AEO 2023 Table 49 Raw'!J204</f>
        <v>262.22531099999998</v>
      </c>
      <c r="H220" s="18">
        <f>'AEO 2023 Table 49 Raw'!K204</f>
        <v>262.600616</v>
      </c>
      <c r="I220" s="18">
        <f>'AEO 2023 Table 49 Raw'!L204</f>
        <v>265.51028400000001</v>
      </c>
      <c r="J220" s="18">
        <f>'AEO 2023 Table 49 Raw'!M204</f>
        <v>269.09481799999998</v>
      </c>
      <c r="K220" s="18">
        <f>'AEO 2023 Table 49 Raw'!N204</f>
        <v>269.90033</v>
      </c>
      <c r="L220" s="18">
        <f>'AEO 2023 Table 49 Raw'!O204</f>
        <v>271.774811</v>
      </c>
      <c r="M220" s="18">
        <f>'AEO 2023 Table 49 Raw'!P204</f>
        <v>278.807007</v>
      </c>
      <c r="N220" s="18">
        <f>'AEO 2023 Table 49 Raw'!Q204</f>
        <v>284.90963699999998</v>
      </c>
      <c r="O220" s="18">
        <f>'AEO 2023 Table 49 Raw'!R204</f>
        <v>283.77023300000002</v>
      </c>
      <c r="P220" s="18">
        <f>'AEO 2023 Table 49 Raw'!S204</f>
        <v>283.20797700000003</v>
      </c>
      <c r="Q220" s="18">
        <f>'AEO 2023 Table 49 Raw'!T204</f>
        <v>285.19818099999998</v>
      </c>
      <c r="R220" s="18">
        <f>'AEO 2023 Table 49 Raw'!U204</f>
        <v>289.956726</v>
      </c>
      <c r="S220" s="18">
        <f>'AEO 2023 Table 49 Raw'!V204</f>
        <v>297.212738</v>
      </c>
      <c r="T220" s="18">
        <f>'AEO 2023 Table 49 Raw'!W204</f>
        <v>305.47820999999999</v>
      </c>
      <c r="U220" s="18">
        <f>'AEO 2023 Table 49 Raw'!X204</f>
        <v>312.69317599999999</v>
      </c>
      <c r="V220" s="18">
        <f>'AEO 2023 Table 49 Raw'!Y204</f>
        <v>317.58703600000001</v>
      </c>
      <c r="W220" s="18">
        <f>'AEO 2023 Table 49 Raw'!Z204</f>
        <v>322.53320300000001</v>
      </c>
      <c r="X220" s="18">
        <f>'AEO 2023 Table 49 Raw'!AA204</f>
        <v>325.861176</v>
      </c>
      <c r="Y220" s="18">
        <f>'AEO 2023 Table 49 Raw'!AB204</f>
        <v>327.535461</v>
      </c>
      <c r="Z220" s="18">
        <f>'AEO 2023 Table 49 Raw'!AC204</f>
        <v>330.37185699999998</v>
      </c>
      <c r="AA220" s="18">
        <f>'AEO 2023 Table 49 Raw'!AD204</f>
        <v>334.76379400000002</v>
      </c>
      <c r="AB220" s="18">
        <f>'AEO 2023 Table 49 Raw'!AE204</f>
        <v>339.232574</v>
      </c>
      <c r="AC220" s="18">
        <f>'AEO 2023 Table 49 Raw'!AF204</f>
        <v>343.92105099999998</v>
      </c>
      <c r="AD220" s="18">
        <f>'AEO 2023 Table 49 Raw'!AG204</f>
        <v>348.27246100000002</v>
      </c>
      <c r="AE220" s="18">
        <f>'AEO 2023 Table 49 Raw'!AH204</f>
        <v>352.70803799999999</v>
      </c>
      <c r="AF220" s="30">
        <f>'AEO 2023 Table 49 Raw'!AI204</f>
        <v>1.2E-2</v>
      </c>
    </row>
    <row r="221" spans="1:32" ht="15" customHeight="1">
      <c r="B221" s="15" t="s">
        <v>754</v>
      </c>
      <c r="C221" s="18">
        <f>'AEO 2023 Table 49 Raw'!F205</f>
        <v>0</v>
      </c>
      <c r="D221" s="18">
        <f>'AEO 2023 Table 49 Raw'!G205</f>
        <v>0</v>
      </c>
      <c r="E221" s="18">
        <f>'AEO 2023 Table 49 Raw'!H205</f>
        <v>0</v>
      </c>
      <c r="F221" s="18">
        <f>'AEO 2023 Table 49 Raw'!I205</f>
        <v>0</v>
      </c>
      <c r="G221" s="18">
        <f>'AEO 2023 Table 49 Raw'!J205</f>
        <v>0</v>
      </c>
      <c r="H221" s="18">
        <f>'AEO 2023 Table 49 Raw'!K205</f>
        <v>0</v>
      </c>
      <c r="I221" s="18">
        <f>'AEO 2023 Table 49 Raw'!L205</f>
        <v>0</v>
      </c>
      <c r="J221" s="18">
        <f>'AEO 2023 Table 49 Raw'!M205</f>
        <v>0</v>
      </c>
      <c r="K221" s="18">
        <f>'AEO 2023 Table 49 Raw'!N205</f>
        <v>0</v>
      </c>
      <c r="L221" s="18">
        <f>'AEO 2023 Table 49 Raw'!O205</f>
        <v>0</v>
      </c>
      <c r="M221" s="18">
        <f>'AEO 2023 Table 49 Raw'!P205</f>
        <v>0</v>
      </c>
      <c r="N221" s="18">
        <f>'AEO 2023 Table 49 Raw'!Q205</f>
        <v>0</v>
      </c>
      <c r="O221" s="18">
        <f>'AEO 2023 Table 49 Raw'!R205</f>
        <v>0</v>
      </c>
      <c r="P221" s="18">
        <f>'AEO 2023 Table 49 Raw'!S205</f>
        <v>0</v>
      </c>
      <c r="Q221" s="18">
        <f>'AEO 2023 Table 49 Raw'!T205</f>
        <v>0</v>
      </c>
      <c r="R221" s="18">
        <f>'AEO 2023 Table 49 Raw'!U205</f>
        <v>0</v>
      </c>
      <c r="S221" s="18">
        <f>'AEO 2023 Table 49 Raw'!V205</f>
        <v>0</v>
      </c>
      <c r="T221" s="18">
        <f>'AEO 2023 Table 49 Raw'!W205</f>
        <v>0</v>
      </c>
      <c r="U221" s="18">
        <f>'AEO 2023 Table 49 Raw'!X205</f>
        <v>0</v>
      </c>
      <c r="V221" s="18">
        <f>'AEO 2023 Table 49 Raw'!Y205</f>
        <v>0</v>
      </c>
      <c r="W221" s="18">
        <f>'AEO 2023 Table 49 Raw'!Z205</f>
        <v>0</v>
      </c>
      <c r="X221" s="18">
        <f>'AEO 2023 Table 49 Raw'!AA205</f>
        <v>0</v>
      </c>
      <c r="Y221" s="18">
        <f>'AEO 2023 Table 49 Raw'!AB205</f>
        <v>0</v>
      </c>
      <c r="Z221" s="18">
        <f>'AEO 2023 Table 49 Raw'!AC205</f>
        <v>0</v>
      </c>
      <c r="AA221" s="18">
        <f>'AEO 2023 Table 49 Raw'!AD205</f>
        <v>0</v>
      </c>
      <c r="AB221" s="18">
        <f>'AEO 2023 Table 49 Raw'!AE205</f>
        <v>0</v>
      </c>
      <c r="AC221" s="18">
        <f>'AEO 2023 Table 49 Raw'!AF205</f>
        <v>0</v>
      </c>
      <c r="AD221" s="18">
        <f>'AEO 2023 Table 49 Raw'!AG205</f>
        <v>0</v>
      </c>
      <c r="AE221" s="18">
        <f>'AEO 2023 Table 49 Raw'!AH205</f>
        <v>0</v>
      </c>
      <c r="AF221" s="30">
        <f>'AEO 2023 Table 49 Raw'!AI205</f>
        <v>0</v>
      </c>
    </row>
    <row r="222" spans="1:32" ht="15" customHeight="1">
      <c r="A222" s="7" t="s">
        <v>934</v>
      </c>
      <c r="B222" s="16" t="s">
        <v>736</v>
      </c>
      <c r="C222" s="18">
        <f>'AEO 2023 Table 49 Raw'!F206</f>
        <v>103.404678</v>
      </c>
      <c r="D222" s="18">
        <f>'AEO 2023 Table 49 Raw'!G206</f>
        <v>93.851044000000002</v>
      </c>
      <c r="E222" s="18">
        <f>'AEO 2023 Table 49 Raw'!H206</f>
        <v>93.127953000000005</v>
      </c>
      <c r="F222" s="18">
        <f>'AEO 2023 Table 49 Raw'!I206</f>
        <v>101.221191</v>
      </c>
      <c r="G222" s="18">
        <f>'AEO 2023 Table 49 Raw'!J206</f>
        <v>108.826035</v>
      </c>
      <c r="H222" s="18">
        <f>'AEO 2023 Table 49 Raw'!K206</f>
        <v>113.528122</v>
      </c>
      <c r="I222" s="18">
        <f>'AEO 2023 Table 49 Raw'!L206</f>
        <v>117.037094</v>
      </c>
      <c r="J222" s="18">
        <f>'AEO 2023 Table 49 Raw'!M206</f>
        <v>118.277817</v>
      </c>
      <c r="K222" s="18">
        <f>'AEO 2023 Table 49 Raw'!N206</f>
        <v>117.091599</v>
      </c>
      <c r="L222" s="18">
        <f>'AEO 2023 Table 49 Raw'!O206</f>
        <v>116.187546</v>
      </c>
      <c r="M222" s="18">
        <f>'AEO 2023 Table 49 Raw'!P206</f>
        <v>117.516312</v>
      </c>
      <c r="N222" s="18">
        <f>'AEO 2023 Table 49 Raw'!Q206</f>
        <v>118.468452</v>
      </c>
      <c r="O222" s="18">
        <f>'AEO 2023 Table 49 Raw'!R206</f>
        <v>116.97597500000001</v>
      </c>
      <c r="P222" s="18">
        <f>'AEO 2023 Table 49 Raw'!S206</f>
        <v>116.15428199999999</v>
      </c>
      <c r="Q222" s="18">
        <f>'AEO 2023 Table 49 Raw'!T206</f>
        <v>116.670227</v>
      </c>
      <c r="R222" s="18">
        <f>'AEO 2023 Table 49 Raw'!U206</f>
        <v>118.497925</v>
      </c>
      <c r="S222" s="18">
        <f>'AEO 2023 Table 49 Raw'!V206</f>
        <v>121.05987500000001</v>
      </c>
      <c r="T222" s="18">
        <f>'AEO 2023 Table 49 Raw'!W206</f>
        <v>123.670135</v>
      </c>
      <c r="U222" s="18">
        <f>'AEO 2023 Table 49 Raw'!X206</f>
        <v>125.33073400000001</v>
      </c>
      <c r="V222" s="18">
        <f>'AEO 2023 Table 49 Raw'!Y206</f>
        <v>125.99852799999999</v>
      </c>
      <c r="W222" s="18">
        <f>'AEO 2023 Table 49 Raw'!Z206</f>
        <v>126.588371</v>
      </c>
      <c r="X222" s="18">
        <f>'AEO 2023 Table 49 Raw'!AA206</f>
        <v>127.794685</v>
      </c>
      <c r="Y222" s="18">
        <f>'AEO 2023 Table 49 Raw'!AB206</f>
        <v>128.51411400000001</v>
      </c>
      <c r="Z222" s="18">
        <f>'AEO 2023 Table 49 Raw'!AC206</f>
        <v>127.958015</v>
      </c>
      <c r="AA222" s="18">
        <f>'AEO 2023 Table 49 Raw'!AD206</f>
        <v>127.589088</v>
      </c>
      <c r="AB222" s="18">
        <f>'AEO 2023 Table 49 Raw'!AE206</f>
        <v>127.828537</v>
      </c>
      <c r="AC222" s="18">
        <f>'AEO 2023 Table 49 Raw'!AF206</f>
        <v>128.70858799999999</v>
      </c>
      <c r="AD222" s="18">
        <f>'AEO 2023 Table 49 Raw'!AG206</f>
        <v>130.93695099999999</v>
      </c>
      <c r="AE222" s="18">
        <f>'AEO 2023 Table 49 Raw'!AH206</f>
        <v>132.92228700000001</v>
      </c>
      <c r="AF222" s="30">
        <f>'AEO 2023 Table 49 Raw'!AI206</f>
        <v>8.9999999999999993E-3</v>
      </c>
    </row>
    <row r="223" spans="1:32" ht="15" customHeight="1">
      <c r="A223" s="7" t="s">
        <v>935</v>
      </c>
      <c r="B223" s="16" t="s">
        <v>738</v>
      </c>
      <c r="C223" s="18">
        <f>'AEO 2023 Table 49 Raw'!F207</f>
        <v>65.718322999999998</v>
      </c>
      <c r="D223" s="18">
        <f>'AEO 2023 Table 49 Raw'!G207</f>
        <v>59.346218</v>
      </c>
      <c r="E223" s="18">
        <f>'AEO 2023 Table 49 Raw'!H207</f>
        <v>58.616394</v>
      </c>
      <c r="F223" s="18">
        <f>'AEO 2023 Table 49 Raw'!I207</f>
        <v>63.438938</v>
      </c>
      <c r="G223" s="18">
        <f>'AEO 2023 Table 49 Raw'!J207</f>
        <v>67.937827999999996</v>
      </c>
      <c r="H223" s="18">
        <f>'AEO 2023 Table 49 Raw'!K207</f>
        <v>70.617630000000005</v>
      </c>
      <c r="I223" s="18">
        <f>'AEO 2023 Table 49 Raw'!L207</f>
        <v>72.558753999999993</v>
      </c>
      <c r="J223" s="18">
        <f>'AEO 2023 Table 49 Raw'!M207</f>
        <v>73.104111000000003</v>
      </c>
      <c r="K223" s="18">
        <f>'AEO 2023 Table 49 Raw'!N207</f>
        <v>72.167632999999995</v>
      </c>
      <c r="L223" s="18">
        <f>'AEO 2023 Table 49 Raw'!O207</f>
        <v>71.425362000000007</v>
      </c>
      <c r="M223" s="18">
        <f>'AEO 2023 Table 49 Raw'!P207</f>
        <v>72.070419000000001</v>
      </c>
      <c r="N223" s="18">
        <f>'AEO 2023 Table 49 Raw'!Q207</f>
        <v>72.495384000000001</v>
      </c>
      <c r="O223" s="18">
        <f>'AEO 2023 Table 49 Raw'!R207</f>
        <v>71.437973</v>
      </c>
      <c r="P223" s="18">
        <f>'AEO 2023 Table 49 Raw'!S207</f>
        <v>70.804771000000002</v>
      </c>
      <c r="Q223" s="18">
        <f>'AEO 2023 Table 49 Raw'!T207</f>
        <v>70.998146000000006</v>
      </c>
      <c r="R223" s="18">
        <f>'AEO 2023 Table 49 Raw'!U207</f>
        <v>71.997405999999998</v>
      </c>
      <c r="S223" s="18">
        <f>'AEO 2023 Table 49 Raw'!V207</f>
        <v>73.448020999999997</v>
      </c>
      <c r="T223" s="18">
        <f>'AEO 2023 Table 49 Raw'!W207</f>
        <v>74.932304000000002</v>
      </c>
      <c r="U223" s="18">
        <f>'AEO 2023 Table 49 Raw'!X207</f>
        <v>75.845984999999999</v>
      </c>
      <c r="V223" s="18">
        <f>'AEO 2023 Table 49 Raw'!Y207</f>
        <v>76.164756999999994</v>
      </c>
      <c r="W223" s="18">
        <f>'AEO 2023 Table 49 Raw'!Z207</f>
        <v>76.442573999999993</v>
      </c>
      <c r="X223" s="18">
        <f>'AEO 2023 Table 49 Raw'!AA207</f>
        <v>77.097999999999999</v>
      </c>
      <c r="Y223" s="18">
        <f>'AEO 2023 Table 49 Raw'!AB207</f>
        <v>77.464584000000002</v>
      </c>
      <c r="Z223" s="18">
        <f>'AEO 2023 Table 49 Raw'!AC207</f>
        <v>77.067642000000006</v>
      </c>
      <c r="AA223" s="18">
        <f>'AEO 2023 Table 49 Raw'!AD207</f>
        <v>76.788810999999995</v>
      </c>
      <c r="AB223" s="18">
        <f>'AEO 2023 Table 49 Raw'!AE207</f>
        <v>76.880707000000001</v>
      </c>
      <c r="AC223" s="18">
        <f>'AEO 2023 Table 49 Raw'!AF207</f>
        <v>77.361571999999995</v>
      </c>
      <c r="AD223" s="18">
        <f>'AEO 2023 Table 49 Raw'!AG207</f>
        <v>78.655547999999996</v>
      </c>
      <c r="AE223" s="18">
        <f>'AEO 2023 Table 49 Raw'!AH207</f>
        <v>79.805649000000003</v>
      </c>
      <c r="AF223" s="30">
        <f>'AEO 2023 Table 49 Raw'!AI207</f>
        <v>7.0000000000000001E-3</v>
      </c>
    </row>
    <row r="224" spans="1:32" ht="15" customHeight="1">
      <c r="A224" s="7" t="s">
        <v>936</v>
      </c>
      <c r="B224" s="16" t="s">
        <v>382</v>
      </c>
      <c r="C224" s="18">
        <f>'AEO 2023 Table 49 Raw'!F208</f>
        <v>0.18179799999999999</v>
      </c>
      <c r="D224" s="18">
        <f>'AEO 2023 Table 49 Raw'!G208</f>
        <v>0.16347100000000001</v>
      </c>
      <c r="E224" s="18">
        <f>'AEO 2023 Table 49 Raw'!H208</f>
        <v>0.16278300000000001</v>
      </c>
      <c r="F224" s="18">
        <f>'AEO 2023 Table 49 Raw'!I208</f>
        <v>0.174286</v>
      </c>
      <c r="G224" s="18">
        <f>'AEO 2023 Table 49 Raw'!J208</f>
        <v>0.189836</v>
      </c>
      <c r="H224" s="18">
        <f>'AEO 2023 Table 49 Raw'!K208</f>
        <v>0.20184299999999999</v>
      </c>
      <c r="I224" s="18">
        <f>'AEO 2023 Table 49 Raw'!L208</f>
        <v>0.213171</v>
      </c>
      <c r="J224" s="18">
        <f>'AEO 2023 Table 49 Raw'!M208</f>
        <v>0.22183700000000001</v>
      </c>
      <c r="K224" s="18">
        <f>'AEO 2023 Table 49 Raw'!N208</f>
        <v>0.228135</v>
      </c>
      <c r="L224" s="18">
        <f>'AEO 2023 Table 49 Raw'!O208</f>
        <v>0.237845</v>
      </c>
      <c r="M224" s="18">
        <f>'AEO 2023 Table 49 Raw'!P208</f>
        <v>0.25361699999999998</v>
      </c>
      <c r="N224" s="18">
        <f>'AEO 2023 Table 49 Raw'!Q208</f>
        <v>0.27221000000000001</v>
      </c>
      <c r="O224" s="18">
        <f>'AEO 2023 Table 49 Raw'!R208</f>
        <v>0.28478100000000001</v>
      </c>
      <c r="P224" s="18">
        <f>'AEO 2023 Table 49 Raw'!S208</f>
        <v>0.29964800000000003</v>
      </c>
      <c r="Q224" s="18">
        <f>'AEO 2023 Table 49 Raw'!T208</f>
        <v>0.32134000000000001</v>
      </c>
      <c r="R224" s="18">
        <f>'AEO 2023 Table 49 Raw'!U208</f>
        <v>0.35065000000000002</v>
      </c>
      <c r="S224" s="18">
        <f>'AEO 2023 Table 49 Raw'!V208</f>
        <v>0.38563799999999998</v>
      </c>
      <c r="T224" s="18">
        <f>'AEO 2023 Table 49 Raw'!W208</f>
        <v>0.42357</v>
      </c>
      <c r="U224" s="18">
        <f>'AEO 2023 Table 49 Raw'!X208</f>
        <v>0.45776099999999997</v>
      </c>
      <c r="V224" s="18">
        <f>'AEO 2023 Table 49 Raw'!Y208</f>
        <v>0.48791299999999999</v>
      </c>
      <c r="W224" s="18">
        <f>'AEO 2023 Table 49 Raw'!Z208</f>
        <v>0.516787</v>
      </c>
      <c r="X224" s="18">
        <f>'AEO 2023 Table 49 Raw'!AA208</f>
        <v>0.54991900000000005</v>
      </c>
      <c r="Y224" s="18">
        <f>'AEO 2023 Table 49 Raw'!AB208</f>
        <v>0.58043400000000001</v>
      </c>
      <c r="Z224" s="18">
        <f>'AEO 2023 Table 49 Raw'!AC208</f>
        <v>0.60335499999999997</v>
      </c>
      <c r="AA224" s="18">
        <f>'AEO 2023 Table 49 Raw'!AD208</f>
        <v>0.62334299999999998</v>
      </c>
      <c r="AB224" s="18">
        <f>'AEO 2023 Table 49 Raw'!AE208</f>
        <v>0.64342900000000003</v>
      </c>
      <c r="AC224" s="18">
        <f>'AEO 2023 Table 49 Raw'!AF208</f>
        <v>0.66342000000000001</v>
      </c>
      <c r="AD224" s="18">
        <f>'AEO 2023 Table 49 Raw'!AG208</f>
        <v>0.68860600000000005</v>
      </c>
      <c r="AE224" s="18">
        <f>'AEO 2023 Table 49 Raw'!AH208</f>
        <v>0.71112500000000001</v>
      </c>
      <c r="AF224" s="30">
        <f>'AEO 2023 Table 49 Raw'!AI208</f>
        <v>0.05</v>
      </c>
    </row>
    <row r="225" spans="1:32" ht="15" customHeight="1">
      <c r="A225" s="7" t="s">
        <v>937</v>
      </c>
      <c r="B225" s="16" t="s">
        <v>741</v>
      </c>
      <c r="C225" s="18">
        <f>'AEO 2023 Table 49 Raw'!F209</f>
        <v>8.4726999999999997E-2</v>
      </c>
      <c r="D225" s="18">
        <f>'AEO 2023 Table 49 Raw'!G209</f>
        <v>6.7200999999999997E-2</v>
      </c>
      <c r="E225" s="18">
        <f>'AEO 2023 Table 49 Raw'!H209</f>
        <v>5.8499000000000002E-2</v>
      </c>
      <c r="F225" s="18">
        <f>'AEO 2023 Table 49 Raw'!I209</f>
        <v>5.5223000000000001E-2</v>
      </c>
      <c r="G225" s="18">
        <f>'AEO 2023 Table 49 Raw'!J209</f>
        <v>5.1539000000000001E-2</v>
      </c>
      <c r="H225" s="18">
        <f>'AEO 2023 Table 49 Raw'!K209</f>
        <v>4.6612000000000001E-2</v>
      </c>
      <c r="I225" s="18">
        <f>'AEO 2023 Table 49 Raw'!L209</f>
        <v>4.1568000000000001E-2</v>
      </c>
      <c r="J225" s="18">
        <f>'AEO 2023 Table 49 Raw'!M209</f>
        <v>3.6276999999999997E-2</v>
      </c>
      <c r="K225" s="18">
        <f>'AEO 2023 Table 49 Raw'!N209</f>
        <v>3.0949999999999998E-2</v>
      </c>
      <c r="L225" s="18">
        <f>'AEO 2023 Table 49 Raw'!O209</f>
        <v>2.6404E-2</v>
      </c>
      <c r="M225" s="18">
        <f>'AEO 2023 Table 49 Raw'!P209</f>
        <v>2.2890000000000001E-2</v>
      </c>
      <c r="N225" s="18">
        <f>'AEO 2023 Table 49 Raw'!Q209</f>
        <v>1.9713999999999999E-2</v>
      </c>
      <c r="O225" s="18">
        <f>'AEO 2023 Table 49 Raw'!R209</f>
        <v>1.6565E-2</v>
      </c>
      <c r="P225" s="18">
        <f>'AEO 2023 Table 49 Raw'!S209</f>
        <v>1.3952000000000001E-2</v>
      </c>
      <c r="Q225" s="18">
        <f>'AEO 2023 Table 49 Raw'!T209</f>
        <v>1.1849E-2</v>
      </c>
      <c r="R225" s="18">
        <f>'AEO 2023 Table 49 Raw'!U209</f>
        <v>1.0146000000000001E-2</v>
      </c>
      <c r="S225" s="18">
        <f>'AEO 2023 Table 49 Raw'!V209</f>
        <v>8.7139999999999995E-3</v>
      </c>
      <c r="T225" s="18">
        <f>'AEO 2023 Table 49 Raw'!W209</f>
        <v>7.4660000000000004E-3</v>
      </c>
      <c r="U225" s="18">
        <f>'AEO 2023 Table 49 Raw'!X209</f>
        <v>6.3299999999999997E-3</v>
      </c>
      <c r="V225" s="18">
        <f>'AEO 2023 Table 49 Raw'!Y209</f>
        <v>5.3119999999999999E-3</v>
      </c>
      <c r="W225" s="18">
        <f>'AEO 2023 Table 49 Raw'!Z209</f>
        <v>4.444E-3</v>
      </c>
      <c r="X225" s="18">
        <f>'AEO 2023 Table 49 Raw'!AA209</f>
        <v>3.7299999999999998E-3</v>
      </c>
      <c r="Y225" s="18">
        <f>'AEO 2023 Table 49 Raw'!AB209</f>
        <v>3.114E-3</v>
      </c>
      <c r="Z225" s="18">
        <f>'AEO 2023 Table 49 Raw'!AC209</f>
        <v>2.5709999999999999E-3</v>
      </c>
      <c r="AA225" s="18">
        <f>'AEO 2023 Table 49 Raw'!AD209</f>
        <v>2.1220000000000002E-3</v>
      </c>
      <c r="AB225" s="18">
        <f>'AEO 2023 Table 49 Raw'!AE209</f>
        <v>1.758E-3</v>
      </c>
      <c r="AC225" s="18">
        <f>'AEO 2023 Table 49 Raw'!AF209</f>
        <v>1.462E-3</v>
      </c>
      <c r="AD225" s="18">
        <f>'AEO 2023 Table 49 Raw'!AG209</f>
        <v>1.227E-3</v>
      </c>
      <c r="AE225" s="18">
        <f>'AEO 2023 Table 49 Raw'!AH209</f>
        <v>1.0280000000000001E-3</v>
      </c>
      <c r="AF225" s="30">
        <f>'AEO 2023 Table 49 Raw'!AI209</f>
        <v>-0.14599999999999999</v>
      </c>
    </row>
    <row r="226" spans="1:32" ht="15" customHeight="1">
      <c r="A226" s="7" t="s">
        <v>938</v>
      </c>
      <c r="B226" s="16" t="s">
        <v>743</v>
      </c>
      <c r="C226" s="18">
        <f>'AEO 2023 Table 49 Raw'!F210</f>
        <v>3.2730670000000002</v>
      </c>
      <c r="D226" s="18">
        <f>'AEO 2023 Table 49 Raw'!G210</f>
        <v>3.322184</v>
      </c>
      <c r="E226" s="18">
        <f>'AEO 2023 Table 49 Raw'!H210</f>
        <v>3.5807000000000002</v>
      </c>
      <c r="F226" s="18">
        <f>'AEO 2023 Table 49 Raw'!I210</f>
        <v>4.0857429999999999</v>
      </c>
      <c r="G226" s="18">
        <f>'AEO 2023 Table 49 Raw'!J210</f>
        <v>4.6985200000000003</v>
      </c>
      <c r="H226" s="18">
        <f>'AEO 2023 Table 49 Raw'!K210</f>
        <v>5.3569370000000003</v>
      </c>
      <c r="I226" s="18">
        <f>'AEO 2023 Table 49 Raw'!L210</f>
        <v>5.8913250000000001</v>
      </c>
      <c r="J226" s="18">
        <f>'AEO 2023 Table 49 Raw'!M210</f>
        <v>6.3785939999999997</v>
      </c>
      <c r="K226" s="18">
        <f>'AEO 2023 Table 49 Raw'!N210</f>
        <v>6.8041530000000003</v>
      </c>
      <c r="L226" s="18">
        <f>'AEO 2023 Table 49 Raw'!O210</f>
        <v>7.3675160000000002</v>
      </c>
      <c r="M226" s="18">
        <f>'AEO 2023 Table 49 Raw'!P210</f>
        <v>8.1123370000000001</v>
      </c>
      <c r="N226" s="18">
        <f>'AEO 2023 Table 49 Raw'!Q210</f>
        <v>8.926221</v>
      </c>
      <c r="O226" s="18">
        <f>'AEO 2023 Table 49 Raw'!R210</f>
        <v>9.4645550000000007</v>
      </c>
      <c r="P226" s="18">
        <f>'AEO 2023 Table 49 Raw'!S210</f>
        <v>10.002560000000001</v>
      </c>
      <c r="Q226" s="18">
        <f>'AEO 2023 Table 49 Raw'!T210</f>
        <v>10.573024</v>
      </c>
      <c r="R226" s="18">
        <f>'AEO 2023 Table 49 Raw'!U210</f>
        <v>11.235374999999999</v>
      </c>
      <c r="S226" s="18">
        <f>'AEO 2023 Table 49 Raw'!V210</f>
        <v>11.893890000000001</v>
      </c>
      <c r="T226" s="18">
        <f>'AEO 2023 Table 49 Raw'!W210</f>
        <v>12.544364</v>
      </c>
      <c r="U226" s="18">
        <f>'AEO 2023 Table 49 Raw'!X210</f>
        <v>13.095907</v>
      </c>
      <c r="V226" s="18">
        <f>'AEO 2023 Table 49 Raw'!Y210</f>
        <v>13.520489</v>
      </c>
      <c r="W226" s="18">
        <f>'AEO 2023 Table 49 Raw'!Z210</f>
        <v>13.811425</v>
      </c>
      <c r="X226" s="18">
        <f>'AEO 2023 Table 49 Raw'!AA210</f>
        <v>14.108290999999999</v>
      </c>
      <c r="Y226" s="18">
        <f>'AEO 2023 Table 49 Raw'!AB210</f>
        <v>14.325763</v>
      </c>
      <c r="Z226" s="18">
        <f>'AEO 2023 Table 49 Raw'!AC210</f>
        <v>14.435430999999999</v>
      </c>
      <c r="AA226" s="18">
        <f>'AEO 2023 Table 49 Raw'!AD210</f>
        <v>14.519729</v>
      </c>
      <c r="AB226" s="18">
        <f>'AEO 2023 Table 49 Raw'!AE210</f>
        <v>14.613554000000001</v>
      </c>
      <c r="AC226" s="18">
        <f>'AEO 2023 Table 49 Raw'!AF210</f>
        <v>14.750197999999999</v>
      </c>
      <c r="AD226" s="18">
        <f>'AEO 2023 Table 49 Raw'!AG210</f>
        <v>15.035280999999999</v>
      </c>
      <c r="AE226" s="18">
        <f>'AEO 2023 Table 49 Raw'!AH210</f>
        <v>15.262869</v>
      </c>
      <c r="AF226" s="30">
        <f>'AEO 2023 Table 49 Raw'!AI210</f>
        <v>5.7000000000000002E-2</v>
      </c>
    </row>
    <row r="227" spans="1:32" ht="15" customHeight="1">
      <c r="A227" s="7" t="s">
        <v>939</v>
      </c>
      <c r="B227" s="16" t="s">
        <v>745</v>
      </c>
      <c r="C227" s="18">
        <f>'AEO 2023 Table 49 Raw'!F211</f>
        <v>6.2216E-2</v>
      </c>
      <c r="D227" s="18">
        <f>'AEO 2023 Table 49 Raw'!G211</f>
        <v>4.9613999999999998E-2</v>
      </c>
      <c r="E227" s="18">
        <f>'AEO 2023 Table 49 Raw'!H211</f>
        <v>4.317E-2</v>
      </c>
      <c r="F227" s="18">
        <f>'AEO 2023 Table 49 Raw'!I211</f>
        <v>4.0901E-2</v>
      </c>
      <c r="G227" s="18">
        <f>'AEO 2023 Table 49 Raw'!J211</f>
        <v>3.8318999999999999E-2</v>
      </c>
      <c r="H227" s="18">
        <f>'AEO 2023 Table 49 Raw'!K211</f>
        <v>3.4785999999999997E-2</v>
      </c>
      <c r="I227" s="18">
        <f>'AEO 2023 Table 49 Raw'!L211</f>
        <v>3.1146E-2</v>
      </c>
      <c r="J227" s="18">
        <f>'AEO 2023 Table 49 Raw'!M211</f>
        <v>2.7297999999999999E-2</v>
      </c>
      <c r="K227" s="18">
        <f>'AEO 2023 Table 49 Raw'!N211</f>
        <v>2.3394999999999999E-2</v>
      </c>
      <c r="L227" s="18">
        <f>'AEO 2023 Table 49 Raw'!O211</f>
        <v>2.0049999999999998E-2</v>
      </c>
      <c r="M227" s="18">
        <f>'AEO 2023 Table 49 Raw'!P211</f>
        <v>1.7461000000000001E-2</v>
      </c>
      <c r="N227" s="18">
        <f>'AEO 2023 Table 49 Raw'!Q211</f>
        <v>1.5108E-2</v>
      </c>
      <c r="O227" s="18">
        <f>'AEO 2023 Table 49 Raw'!R211</f>
        <v>1.2755000000000001E-2</v>
      </c>
      <c r="P227" s="18">
        <f>'AEO 2023 Table 49 Raw'!S211</f>
        <v>1.0794E-2</v>
      </c>
      <c r="Q227" s="18">
        <f>'AEO 2023 Table 49 Raw'!T211</f>
        <v>9.2110000000000004E-3</v>
      </c>
      <c r="R227" s="18">
        <f>'AEO 2023 Table 49 Raw'!U211</f>
        <v>7.9249999999999998E-3</v>
      </c>
      <c r="S227" s="18">
        <f>'AEO 2023 Table 49 Raw'!V211</f>
        <v>6.8380000000000003E-3</v>
      </c>
      <c r="T227" s="18">
        <f>'AEO 2023 Table 49 Raw'!W211</f>
        <v>5.8849999999999996E-3</v>
      </c>
      <c r="U227" s="18">
        <f>'AEO 2023 Table 49 Raw'!X211</f>
        <v>5.0130000000000001E-3</v>
      </c>
      <c r="V227" s="18">
        <f>'AEO 2023 Table 49 Raw'!Y211</f>
        <v>4.2259999999999997E-3</v>
      </c>
      <c r="W227" s="18">
        <f>'AEO 2023 Table 49 Raw'!Z211</f>
        <v>3.552E-3</v>
      </c>
      <c r="X227" s="18">
        <f>'AEO 2023 Table 49 Raw'!AA211</f>
        <v>2.9949999999999998E-3</v>
      </c>
      <c r="Y227" s="18">
        <f>'AEO 2023 Table 49 Raw'!AB211</f>
        <v>2.5119999999999999E-3</v>
      </c>
      <c r="Z227" s="18">
        <f>'AEO 2023 Table 49 Raw'!AC211</f>
        <v>2.0839999999999999E-3</v>
      </c>
      <c r="AA227" s="18">
        <f>'AEO 2023 Table 49 Raw'!AD211</f>
        <v>1.7279999999999999E-3</v>
      </c>
      <c r="AB227" s="18">
        <f>'AEO 2023 Table 49 Raw'!AE211</f>
        <v>1.438E-3</v>
      </c>
      <c r="AC227" s="18">
        <f>'AEO 2023 Table 49 Raw'!AF211</f>
        <v>1.2019999999999999E-3</v>
      </c>
      <c r="AD227" s="18">
        <f>'AEO 2023 Table 49 Raw'!AG211</f>
        <v>1.0139999999999999E-3</v>
      </c>
      <c r="AE227" s="18">
        <f>'AEO 2023 Table 49 Raw'!AH211</f>
        <v>8.5300000000000003E-4</v>
      </c>
      <c r="AF227" s="30">
        <f>'AEO 2023 Table 49 Raw'!AI211</f>
        <v>-0.14199999999999999</v>
      </c>
    </row>
    <row r="228" spans="1:32" ht="15" customHeight="1">
      <c r="A228" s="7" t="s">
        <v>940</v>
      </c>
      <c r="B228" s="16" t="s">
        <v>747</v>
      </c>
      <c r="C228" s="18">
        <f>'AEO 2023 Table 49 Raw'!F212</f>
        <v>0</v>
      </c>
      <c r="D228" s="18">
        <f>'AEO 2023 Table 49 Raw'!G212</f>
        <v>0</v>
      </c>
      <c r="E228" s="18">
        <f>'AEO 2023 Table 49 Raw'!H212</f>
        <v>0.186029</v>
      </c>
      <c r="F228" s="18">
        <f>'AEO 2023 Table 49 Raw'!I212</f>
        <v>0.20210900000000001</v>
      </c>
      <c r="G228" s="18">
        <f>'AEO 2023 Table 49 Raw'!J212</f>
        <v>0.21531700000000001</v>
      </c>
      <c r="H228" s="18">
        <f>'AEO 2023 Table 49 Raw'!K212</f>
        <v>0.22434699999999999</v>
      </c>
      <c r="I228" s="18">
        <f>'AEO 2023 Table 49 Raw'!L212</f>
        <v>0.23363300000000001</v>
      </c>
      <c r="J228" s="18">
        <f>'AEO 2023 Table 49 Raw'!M212</f>
        <v>0.23822599999999999</v>
      </c>
      <c r="K228" s="18">
        <f>'AEO 2023 Table 49 Raw'!N212</f>
        <v>0.23896600000000001</v>
      </c>
      <c r="L228" s="18">
        <f>'AEO 2023 Table 49 Raw'!O212</f>
        <v>0.241788</v>
      </c>
      <c r="M228" s="18">
        <f>'AEO 2023 Table 49 Raw'!P212</f>
        <v>0.25212600000000002</v>
      </c>
      <c r="N228" s="18">
        <f>'AEO 2023 Table 49 Raw'!Q212</f>
        <v>0.26472200000000001</v>
      </c>
      <c r="O228" s="18">
        <f>'AEO 2023 Table 49 Raw'!R212</f>
        <v>0.27237600000000001</v>
      </c>
      <c r="P228" s="18">
        <f>'AEO 2023 Table 49 Raw'!S212</f>
        <v>0.281142</v>
      </c>
      <c r="Q228" s="18">
        <f>'AEO 2023 Table 49 Raw'!T212</f>
        <v>0.29588999999999999</v>
      </c>
      <c r="R228" s="18">
        <f>'AEO 2023 Table 49 Raw'!U212</f>
        <v>0.315577</v>
      </c>
      <c r="S228" s="18">
        <f>'AEO 2023 Table 49 Raw'!V212</f>
        <v>0.33903899999999998</v>
      </c>
      <c r="T228" s="18">
        <f>'AEO 2023 Table 49 Raw'!W212</f>
        <v>0.36582399999999998</v>
      </c>
      <c r="U228" s="18">
        <f>'AEO 2023 Table 49 Raw'!X212</f>
        <v>0.39288899999999999</v>
      </c>
      <c r="V228" s="18">
        <f>'AEO 2023 Table 49 Raw'!Y212</f>
        <v>0.41955199999999998</v>
      </c>
      <c r="W228" s="18">
        <f>'AEO 2023 Table 49 Raw'!Z212</f>
        <v>0.44816699999999998</v>
      </c>
      <c r="X228" s="18">
        <f>'AEO 2023 Table 49 Raw'!AA212</f>
        <v>0.48085</v>
      </c>
      <c r="Y228" s="18">
        <f>'AEO 2023 Table 49 Raw'!AB212</f>
        <v>0.51291900000000001</v>
      </c>
      <c r="Z228" s="18">
        <f>'AEO 2023 Table 49 Raw'!AC212</f>
        <v>0.53992600000000002</v>
      </c>
      <c r="AA228" s="18">
        <f>'AEO 2023 Table 49 Raw'!AD212</f>
        <v>0.56671400000000005</v>
      </c>
      <c r="AB228" s="18">
        <f>'AEO 2023 Table 49 Raw'!AE212</f>
        <v>0.59474800000000005</v>
      </c>
      <c r="AC228" s="18">
        <f>'AEO 2023 Table 49 Raw'!AF212</f>
        <v>0.62408300000000005</v>
      </c>
      <c r="AD228" s="18">
        <f>'AEO 2023 Table 49 Raw'!AG212</f>
        <v>0.65509099999999998</v>
      </c>
      <c r="AE228" s="18">
        <f>'AEO 2023 Table 49 Raw'!AH212</f>
        <v>0.68619200000000002</v>
      </c>
      <c r="AF228" s="30" t="str">
        <f>'AEO 2023 Table 49 Raw'!AI212</f>
        <v>- -</v>
      </c>
    </row>
    <row r="229" spans="1:32" ht="15" customHeight="1">
      <c r="A229" s="7" t="s">
        <v>941</v>
      </c>
      <c r="B229" s="16" t="s">
        <v>749</v>
      </c>
      <c r="C229" s="18">
        <f>'AEO 2023 Table 49 Raw'!F213</f>
        <v>0</v>
      </c>
      <c r="D229" s="18">
        <f>'AEO 2023 Table 49 Raw'!G213</f>
        <v>0</v>
      </c>
      <c r="E229" s="18">
        <f>'AEO 2023 Table 49 Raw'!H213</f>
        <v>0.18621099999999999</v>
      </c>
      <c r="F229" s="18">
        <f>'AEO 2023 Table 49 Raw'!I213</f>
        <v>0.195795</v>
      </c>
      <c r="G229" s="18">
        <f>'AEO 2023 Table 49 Raw'!J213</f>
        <v>0.20369699999999999</v>
      </c>
      <c r="H229" s="18">
        <f>'AEO 2023 Table 49 Raw'!K213</f>
        <v>0.209484</v>
      </c>
      <c r="I229" s="18">
        <f>'AEO 2023 Table 49 Raw'!L213</f>
        <v>0.21459</v>
      </c>
      <c r="J229" s="18">
        <f>'AEO 2023 Table 49 Raw'!M213</f>
        <v>0.21629100000000001</v>
      </c>
      <c r="K229" s="18">
        <f>'AEO 2023 Table 49 Raw'!N213</f>
        <v>0.217471</v>
      </c>
      <c r="L229" s="18">
        <f>'AEO 2023 Table 49 Raw'!O213</f>
        <v>0.223722</v>
      </c>
      <c r="M229" s="18">
        <f>'AEO 2023 Table 49 Raw'!P213</f>
        <v>0.23843</v>
      </c>
      <c r="N229" s="18">
        <f>'AEO 2023 Table 49 Raw'!Q213</f>
        <v>0.25765100000000002</v>
      </c>
      <c r="O229" s="18">
        <f>'AEO 2023 Table 49 Raw'!R213</f>
        <v>0.27265299999999998</v>
      </c>
      <c r="P229" s="18">
        <f>'AEO 2023 Table 49 Raw'!S213</f>
        <v>0.288495</v>
      </c>
      <c r="Q229" s="18">
        <f>'AEO 2023 Table 49 Raw'!T213</f>
        <v>0.31278600000000001</v>
      </c>
      <c r="R229" s="18">
        <f>'AEO 2023 Table 49 Raw'!U213</f>
        <v>0.34418399999999999</v>
      </c>
      <c r="S229" s="18">
        <f>'AEO 2023 Table 49 Raw'!V213</f>
        <v>0.38087900000000002</v>
      </c>
      <c r="T229" s="18">
        <f>'AEO 2023 Table 49 Raw'!W213</f>
        <v>0.42353299999999999</v>
      </c>
      <c r="U229" s="18">
        <f>'AEO 2023 Table 49 Raw'!X213</f>
        <v>0.46896199999999999</v>
      </c>
      <c r="V229" s="18">
        <f>'AEO 2023 Table 49 Raw'!Y213</f>
        <v>0.51583699999999999</v>
      </c>
      <c r="W229" s="18">
        <f>'AEO 2023 Table 49 Raw'!Z213</f>
        <v>0.56491999999999998</v>
      </c>
      <c r="X229" s="18">
        <f>'AEO 2023 Table 49 Raw'!AA213</f>
        <v>0.61953899999999995</v>
      </c>
      <c r="Y229" s="18">
        <f>'AEO 2023 Table 49 Raw'!AB213</f>
        <v>0.67395400000000005</v>
      </c>
      <c r="Z229" s="18">
        <f>'AEO 2023 Table 49 Raw'!AC213</f>
        <v>0.72306800000000004</v>
      </c>
      <c r="AA229" s="18">
        <f>'AEO 2023 Table 49 Raw'!AD213</f>
        <v>0.77104200000000001</v>
      </c>
      <c r="AB229" s="18">
        <f>'AEO 2023 Table 49 Raw'!AE213</f>
        <v>0.81916699999999998</v>
      </c>
      <c r="AC229" s="18">
        <f>'AEO 2023 Table 49 Raw'!AF213</f>
        <v>0.86801700000000004</v>
      </c>
      <c r="AD229" s="18">
        <f>'AEO 2023 Table 49 Raw'!AG213</f>
        <v>0.92293199999999997</v>
      </c>
      <c r="AE229" s="18">
        <f>'AEO 2023 Table 49 Raw'!AH213</f>
        <v>0.97226900000000005</v>
      </c>
      <c r="AF229" s="30" t="str">
        <f>'AEO 2023 Table 49 Raw'!AI213</f>
        <v>- -</v>
      </c>
    </row>
    <row r="230" spans="1:32" ht="15" customHeight="1">
      <c r="A230" s="7" t="s">
        <v>942</v>
      </c>
      <c r="B230" s="16" t="s">
        <v>751</v>
      </c>
      <c r="C230" s="18">
        <f>'AEO 2023 Table 49 Raw'!F214</f>
        <v>0</v>
      </c>
      <c r="D230" s="18">
        <f>'AEO 2023 Table 49 Raw'!G214</f>
        <v>0</v>
      </c>
      <c r="E230" s="18">
        <f>'AEO 2023 Table 49 Raw'!H214</f>
        <v>0.311087</v>
      </c>
      <c r="F230" s="18">
        <f>'AEO 2023 Table 49 Raw'!I214</f>
        <v>0.33967399999999998</v>
      </c>
      <c r="G230" s="18">
        <f>'AEO 2023 Table 49 Raw'!J214</f>
        <v>0.36747600000000002</v>
      </c>
      <c r="H230" s="18">
        <f>'AEO 2023 Table 49 Raw'!K214</f>
        <v>0.38651099999999999</v>
      </c>
      <c r="I230" s="18">
        <f>'AEO 2023 Table 49 Raw'!L214</f>
        <v>0.40268799999999999</v>
      </c>
      <c r="J230" s="18">
        <f>'AEO 2023 Table 49 Raw'!M214</f>
        <v>0.41243400000000002</v>
      </c>
      <c r="K230" s="18">
        <f>'AEO 2023 Table 49 Raw'!N214</f>
        <v>0.41516599999999998</v>
      </c>
      <c r="L230" s="18">
        <f>'AEO 2023 Table 49 Raw'!O214</f>
        <v>0.420512</v>
      </c>
      <c r="M230" s="18">
        <f>'AEO 2023 Table 49 Raw'!P214</f>
        <v>0.436081</v>
      </c>
      <c r="N230" s="18">
        <f>'AEO 2023 Table 49 Raw'!Q214</f>
        <v>0.45299800000000001</v>
      </c>
      <c r="O230" s="18">
        <f>'AEO 2023 Table 49 Raw'!R214</f>
        <v>0.46345399999999998</v>
      </c>
      <c r="P230" s="18">
        <f>'AEO 2023 Table 49 Raw'!S214</f>
        <v>0.47964099999999998</v>
      </c>
      <c r="Q230" s="18">
        <f>'AEO 2023 Table 49 Raw'!T214</f>
        <v>0.50517800000000002</v>
      </c>
      <c r="R230" s="18">
        <f>'AEO 2023 Table 49 Raw'!U214</f>
        <v>0.54123500000000002</v>
      </c>
      <c r="S230" s="18">
        <f>'AEO 2023 Table 49 Raw'!V214</f>
        <v>0.58649099999999998</v>
      </c>
      <c r="T230" s="18">
        <f>'AEO 2023 Table 49 Raw'!W214</f>
        <v>0.63849699999999998</v>
      </c>
      <c r="U230" s="18">
        <f>'AEO 2023 Table 49 Raw'!X214</f>
        <v>0.69203199999999998</v>
      </c>
      <c r="V230" s="18">
        <f>'AEO 2023 Table 49 Raw'!Y214</f>
        <v>0.74562499999999998</v>
      </c>
      <c r="W230" s="18">
        <f>'AEO 2023 Table 49 Raw'!Z214</f>
        <v>0.80322899999999997</v>
      </c>
      <c r="X230" s="18">
        <f>'AEO 2023 Table 49 Raw'!AA214</f>
        <v>0.86841699999999999</v>
      </c>
      <c r="Y230" s="18">
        <f>'AEO 2023 Table 49 Raw'!AB214</f>
        <v>0.93269400000000002</v>
      </c>
      <c r="Z230" s="18">
        <f>'AEO 2023 Table 49 Raw'!AC214</f>
        <v>0.98777300000000001</v>
      </c>
      <c r="AA230" s="18">
        <f>'AEO 2023 Table 49 Raw'!AD214</f>
        <v>1.042319</v>
      </c>
      <c r="AB230" s="18">
        <f>'AEO 2023 Table 49 Raw'!AE214</f>
        <v>1.0988450000000001</v>
      </c>
      <c r="AC230" s="18">
        <f>'AEO 2023 Table 49 Raw'!AF214</f>
        <v>1.1572979999999999</v>
      </c>
      <c r="AD230" s="18">
        <f>'AEO 2023 Table 49 Raw'!AG214</f>
        <v>1.224207</v>
      </c>
      <c r="AE230" s="18">
        <f>'AEO 2023 Table 49 Raw'!AH214</f>
        <v>1.2849740000000001</v>
      </c>
      <c r="AF230" s="30" t="str">
        <f>'AEO 2023 Table 49 Raw'!AI214</f>
        <v>- -</v>
      </c>
    </row>
    <row r="231" spans="1:32" ht="15" customHeight="1">
      <c r="A231" s="7" t="s">
        <v>943</v>
      </c>
      <c r="B231" s="16" t="s">
        <v>765</v>
      </c>
      <c r="C231" s="18">
        <f>'AEO 2023 Table 49 Raw'!F215</f>
        <v>172.72479200000001</v>
      </c>
      <c r="D231" s="18">
        <f>'AEO 2023 Table 49 Raw'!G215</f>
        <v>156.799713</v>
      </c>
      <c r="E231" s="18">
        <f>'AEO 2023 Table 49 Raw'!H215</f>
        <v>156.272797</v>
      </c>
      <c r="F231" s="18">
        <f>'AEO 2023 Table 49 Raw'!I215</f>
        <v>169.75384500000001</v>
      </c>
      <c r="G231" s="18">
        <f>'AEO 2023 Table 49 Raw'!J215</f>
        <v>182.52856399999999</v>
      </c>
      <c r="H231" s="18">
        <f>'AEO 2023 Table 49 Raw'!K215</f>
        <v>190.606247</v>
      </c>
      <c r="I231" s="18">
        <f>'AEO 2023 Table 49 Raw'!L215</f>
        <v>196.62394699999999</v>
      </c>
      <c r="J231" s="18">
        <f>'AEO 2023 Table 49 Raw'!M215</f>
        <v>198.91287199999999</v>
      </c>
      <c r="K231" s="18">
        <f>'AEO 2023 Table 49 Raw'!N215</f>
        <v>197.217468</v>
      </c>
      <c r="L231" s="18">
        <f>'AEO 2023 Table 49 Raw'!O215</f>
        <v>196.15072599999999</v>
      </c>
      <c r="M231" s="18">
        <f>'AEO 2023 Table 49 Raw'!P215</f>
        <v>198.919678</v>
      </c>
      <c r="N231" s="18">
        <f>'AEO 2023 Table 49 Raw'!Q215</f>
        <v>201.17245500000001</v>
      </c>
      <c r="O231" s="18">
        <f>'AEO 2023 Table 49 Raw'!R215</f>
        <v>199.201111</v>
      </c>
      <c r="P231" s="18">
        <f>'AEO 2023 Table 49 Raw'!S215</f>
        <v>198.33532700000001</v>
      </c>
      <c r="Q231" s="18">
        <f>'AEO 2023 Table 49 Raw'!T215</f>
        <v>199.69764699999999</v>
      </c>
      <c r="R231" s="18">
        <f>'AEO 2023 Table 49 Raw'!U215</f>
        <v>203.3004</v>
      </c>
      <c r="S231" s="18">
        <f>'AEO 2023 Table 49 Raw'!V215</f>
        <v>208.109375</v>
      </c>
      <c r="T231" s="18">
        <f>'AEO 2023 Table 49 Raw'!W215</f>
        <v>213.01158100000001</v>
      </c>
      <c r="U231" s="18">
        <f>'AEO 2023 Table 49 Raw'!X215</f>
        <v>216.295593</v>
      </c>
      <c r="V231" s="18">
        <f>'AEO 2023 Table 49 Raw'!Y215</f>
        <v>217.86222799999999</v>
      </c>
      <c r="W231" s="18">
        <f>'AEO 2023 Table 49 Raw'!Z215</f>
        <v>219.18348700000001</v>
      </c>
      <c r="X231" s="18">
        <f>'AEO 2023 Table 49 Raw'!AA215</f>
        <v>221.52641299999999</v>
      </c>
      <c r="Y231" s="18">
        <f>'AEO 2023 Table 49 Raw'!AB215</f>
        <v>223.01007100000001</v>
      </c>
      <c r="Z231" s="18">
        <f>'AEO 2023 Table 49 Raw'!AC215</f>
        <v>222.31985499999999</v>
      </c>
      <c r="AA231" s="18">
        <f>'AEO 2023 Table 49 Raw'!AD215</f>
        <v>221.90490700000001</v>
      </c>
      <c r="AB231" s="18">
        <f>'AEO 2023 Table 49 Raw'!AE215</f>
        <v>222.48220800000001</v>
      </c>
      <c r="AC231" s="18">
        <f>'AEO 2023 Table 49 Raw'!AF215</f>
        <v>224.13584900000001</v>
      </c>
      <c r="AD231" s="18">
        <f>'AEO 2023 Table 49 Raw'!AG215</f>
        <v>228.12084999999999</v>
      </c>
      <c r="AE231" s="18">
        <f>'AEO 2023 Table 49 Raw'!AH215</f>
        <v>231.647232</v>
      </c>
      <c r="AF231" s="30">
        <f>'AEO 2023 Table 49 Raw'!AI215</f>
        <v>1.0999999999999999E-2</v>
      </c>
    </row>
    <row r="232" spans="1:32" ht="15" customHeight="1">
      <c r="B232" s="15" t="s">
        <v>766</v>
      </c>
      <c r="C232" s="18">
        <f>'AEO 2023 Table 49 Raw'!F216</f>
        <v>0</v>
      </c>
      <c r="D232" s="18">
        <f>'AEO 2023 Table 49 Raw'!G216</f>
        <v>0</v>
      </c>
      <c r="E232" s="18">
        <f>'AEO 2023 Table 49 Raw'!H216</f>
        <v>0</v>
      </c>
      <c r="F232" s="18">
        <f>'AEO 2023 Table 49 Raw'!I216</f>
        <v>0</v>
      </c>
      <c r="G232" s="18">
        <f>'AEO 2023 Table 49 Raw'!J216</f>
        <v>0</v>
      </c>
      <c r="H232" s="18">
        <f>'AEO 2023 Table 49 Raw'!K216</f>
        <v>0</v>
      </c>
      <c r="I232" s="18">
        <f>'AEO 2023 Table 49 Raw'!L216</f>
        <v>0</v>
      </c>
      <c r="J232" s="18">
        <f>'AEO 2023 Table 49 Raw'!M216</f>
        <v>0</v>
      </c>
      <c r="K232" s="18">
        <f>'AEO 2023 Table 49 Raw'!N216</f>
        <v>0</v>
      </c>
      <c r="L232" s="18">
        <f>'AEO 2023 Table 49 Raw'!O216</f>
        <v>0</v>
      </c>
      <c r="M232" s="18">
        <f>'AEO 2023 Table 49 Raw'!P216</f>
        <v>0</v>
      </c>
      <c r="N232" s="18">
        <f>'AEO 2023 Table 49 Raw'!Q216</f>
        <v>0</v>
      </c>
      <c r="O232" s="18">
        <f>'AEO 2023 Table 49 Raw'!R216</f>
        <v>0</v>
      </c>
      <c r="P232" s="18">
        <f>'AEO 2023 Table 49 Raw'!S216</f>
        <v>0</v>
      </c>
      <c r="Q232" s="18">
        <f>'AEO 2023 Table 49 Raw'!T216</f>
        <v>0</v>
      </c>
      <c r="R232" s="18">
        <f>'AEO 2023 Table 49 Raw'!U216</f>
        <v>0</v>
      </c>
      <c r="S232" s="18">
        <f>'AEO 2023 Table 49 Raw'!V216</f>
        <v>0</v>
      </c>
      <c r="T232" s="18">
        <f>'AEO 2023 Table 49 Raw'!W216</f>
        <v>0</v>
      </c>
      <c r="U232" s="18">
        <f>'AEO 2023 Table 49 Raw'!X216</f>
        <v>0</v>
      </c>
      <c r="V232" s="18">
        <f>'AEO 2023 Table 49 Raw'!Y216</f>
        <v>0</v>
      </c>
      <c r="W232" s="18">
        <f>'AEO 2023 Table 49 Raw'!Z216</f>
        <v>0</v>
      </c>
      <c r="X232" s="18">
        <f>'AEO 2023 Table 49 Raw'!AA216</f>
        <v>0</v>
      </c>
      <c r="Y232" s="18">
        <f>'AEO 2023 Table 49 Raw'!AB216</f>
        <v>0</v>
      </c>
      <c r="Z232" s="18">
        <f>'AEO 2023 Table 49 Raw'!AC216</f>
        <v>0</v>
      </c>
      <c r="AA232" s="18">
        <f>'AEO 2023 Table 49 Raw'!AD216</f>
        <v>0</v>
      </c>
      <c r="AB232" s="18">
        <f>'AEO 2023 Table 49 Raw'!AE216</f>
        <v>0</v>
      </c>
      <c r="AC232" s="18">
        <f>'AEO 2023 Table 49 Raw'!AF216</f>
        <v>0</v>
      </c>
      <c r="AD232" s="18">
        <f>'AEO 2023 Table 49 Raw'!AG216</f>
        <v>0</v>
      </c>
      <c r="AE232" s="18">
        <f>'AEO 2023 Table 49 Raw'!AH216</f>
        <v>0</v>
      </c>
      <c r="AF232" s="30">
        <f>'AEO 2023 Table 49 Raw'!AI216</f>
        <v>0</v>
      </c>
    </row>
    <row r="233" spans="1:32" ht="15" customHeight="1">
      <c r="A233" s="7" t="s">
        <v>944</v>
      </c>
      <c r="B233" s="16" t="s">
        <v>736</v>
      </c>
      <c r="C233" s="18">
        <f>'AEO 2023 Table 49 Raw'!F217</f>
        <v>261.21398900000003</v>
      </c>
      <c r="D233" s="18">
        <f>'AEO 2023 Table 49 Raw'!G217</f>
        <v>232.95715300000001</v>
      </c>
      <c r="E233" s="18">
        <f>'AEO 2023 Table 49 Raw'!H217</f>
        <v>227.335297</v>
      </c>
      <c r="F233" s="18">
        <f>'AEO 2023 Table 49 Raw'!I217</f>
        <v>242.68454</v>
      </c>
      <c r="G233" s="18">
        <f>'AEO 2023 Table 49 Raw'!J217</f>
        <v>256.58145100000002</v>
      </c>
      <c r="H233" s="18">
        <f>'AEO 2023 Table 49 Raw'!K217</f>
        <v>263.566101</v>
      </c>
      <c r="I233" s="18">
        <f>'AEO 2023 Table 49 Raw'!L217</f>
        <v>267.61416600000001</v>
      </c>
      <c r="J233" s="18">
        <f>'AEO 2023 Table 49 Raw'!M217</f>
        <v>266.540527</v>
      </c>
      <c r="K233" s="18">
        <f>'AEO 2023 Table 49 Raw'!N217</f>
        <v>260.20056199999999</v>
      </c>
      <c r="L233" s="18">
        <f>'AEO 2023 Table 49 Raw'!O217</f>
        <v>254.780823</v>
      </c>
      <c r="M233" s="18">
        <f>'AEO 2023 Table 49 Raw'!P217</f>
        <v>254.38827499999999</v>
      </c>
      <c r="N233" s="18">
        <f>'AEO 2023 Table 49 Raw'!Q217</f>
        <v>253.287857</v>
      </c>
      <c r="O233" s="18">
        <f>'AEO 2023 Table 49 Raw'!R217</f>
        <v>246.95425399999999</v>
      </c>
      <c r="P233" s="18">
        <f>'AEO 2023 Table 49 Raw'!S217</f>
        <v>242.15368699999999</v>
      </c>
      <c r="Q233" s="18">
        <f>'AEO 2023 Table 49 Raw'!T217</f>
        <v>240.175568</v>
      </c>
      <c r="R233" s="18">
        <f>'AEO 2023 Table 49 Raw'!U217</f>
        <v>240.903412</v>
      </c>
      <c r="S233" s="18">
        <f>'AEO 2023 Table 49 Raw'!V217</f>
        <v>243.00683599999999</v>
      </c>
      <c r="T233" s="18">
        <f>'AEO 2023 Table 49 Raw'!W217</f>
        <v>245.15043600000001</v>
      </c>
      <c r="U233" s="18">
        <f>'AEO 2023 Table 49 Raw'!X217</f>
        <v>245.39141799999999</v>
      </c>
      <c r="V233" s="18">
        <f>'AEO 2023 Table 49 Raw'!Y217</f>
        <v>243.68821700000001</v>
      </c>
      <c r="W233" s="18">
        <f>'AEO 2023 Table 49 Raw'!Z217</f>
        <v>241.747131</v>
      </c>
      <c r="X233" s="18">
        <f>'AEO 2023 Table 49 Raw'!AA217</f>
        <v>240.94059799999999</v>
      </c>
      <c r="Y233" s="18">
        <f>'AEO 2023 Table 49 Raw'!AB217</f>
        <v>239.21463</v>
      </c>
      <c r="Z233" s="18">
        <f>'AEO 2023 Table 49 Raw'!AC217</f>
        <v>235.22081</v>
      </c>
      <c r="AA233" s="18">
        <f>'AEO 2023 Table 49 Raw'!AD217</f>
        <v>231.60012800000001</v>
      </c>
      <c r="AB233" s="18">
        <f>'AEO 2023 Table 49 Raw'!AE217</f>
        <v>229.08311499999999</v>
      </c>
      <c r="AC233" s="18">
        <f>'AEO 2023 Table 49 Raw'!AF217</f>
        <v>227.70941199999999</v>
      </c>
      <c r="AD233" s="18">
        <f>'AEO 2023 Table 49 Raw'!AG217</f>
        <v>228.69503800000001</v>
      </c>
      <c r="AE233" s="18">
        <f>'AEO 2023 Table 49 Raw'!AH217</f>
        <v>229.18687399999999</v>
      </c>
      <c r="AF233" s="30">
        <f>'AEO 2023 Table 49 Raw'!AI217</f>
        <v>-5.0000000000000001E-3</v>
      </c>
    </row>
    <row r="234" spans="1:32" ht="15" customHeight="1">
      <c r="A234" s="7" t="s">
        <v>945</v>
      </c>
      <c r="B234" s="16" t="s">
        <v>738</v>
      </c>
      <c r="C234" s="18">
        <f>'AEO 2023 Table 49 Raw'!F218</f>
        <v>1.4041360000000001</v>
      </c>
      <c r="D234" s="18">
        <f>'AEO 2023 Table 49 Raw'!G218</f>
        <v>1.239317</v>
      </c>
      <c r="E234" s="18">
        <f>'AEO 2023 Table 49 Raw'!H218</f>
        <v>1.198804</v>
      </c>
      <c r="F234" s="18">
        <f>'AEO 2023 Table 49 Raw'!I218</f>
        <v>1.2702040000000001</v>
      </c>
      <c r="G234" s="18">
        <f>'AEO 2023 Table 49 Raw'!J218</f>
        <v>1.3344450000000001</v>
      </c>
      <c r="H234" s="18">
        <f>'AEO 2023 Table 49 Raw'!K218</f>
        <v>1.3634280000000001</v>
      </c>
      <c r="I234" s="18">
        <f>'AEO 2023 Table 49 Raw'!L218</f>
        <v>1.378085</v>
      </c>
      <c r="J234" s="18">
        <f>'AEO 2023 Table 49 Raw'!M218</f>
        <v>1.3672960000000001</v>
      </c>
      <c r="K234" s="18">
        <f>'AEO 2023 Table 49 Raw'!N218</f>
        <v>1.330446</v>
      </c>
      <c r="L234" s="18">
        <f>'AEO 2023 Table 49 Raw'!O218</f>
        <v>1.2991729999999999</v>
      </c>
      <c r="M234" s="18">
        <f>'AEO 2023 Table 49 Raw'!P218</f>
        <v>1.2941689999999999</v>
      </c>
      <c r="N234" s="18">
        <f>'AEO 2023 Table 49 Raw'!Q218</f>
        <v>1.286052</v>
      </c>
      <c r="O234" s="18">
        <f>'AEO 2023 Table 49 Raw'!R218</f>
        <v>1.251833</v>
      </c>
      <c r="P234" s="18">
        <f>'AEO 2023 Table 49 Raw'!S218</f>
        <v>1.225797</v>
      </c>
      <c r="Q234" s="18">
        <f>'AEO 2023 Table 49 Raw'!T218</f>
        <v>1.2143649999999999</v>
      </c>
      <c r="R234" s="18">
        <f>'AEO 2023 Table 49 Raw'!U218</f>
        <v>1.216836</v>
      </c>
      <c r="S234" s="18">
        <f>'AEO 2023 Table 49 Raw'!V218</f>
        <v>1.2264470000000001</v>
      </c>
      <c r="T234" s="18">
        <f>'AEO 2023 Table 49 Raw'!W218</f>
        <v>1.2363919999999999</v>
      </c>
      <c r="U234" s="18">
        <f>'AEO 2023 Table 49 Raw'!X218</f>
        <v>1.2368710000000001</v>
      </c>
      <c r="V234" s="18">
        <f>'AEO 2023 Table 49 Raw'!Y218</f>
        <v>1.227681</v>
      </c>
      <c r="W234" s="18">
        <f>'AEO 2023 Table 49 Raw'!Z218</f>
        <v>1.217392</v>
      </c>
      <c r="X234" s="18">
        <f>'AEO 2023 Table 49 Raw'!AA218</f>
        <v>1.2129000000000001</v>
      </c>
      <c r="Y234" s="18">
        <f>'AEO 2023 Table 49 Raw'!AB218</f>
        <v>1.2038530000000001</v>
      </c>
      <c r="Z234" s="18">
        <f>'AEO 2023 Table 49 Raw'!AC218</f>
        <v>1.1834560000000001</v>
      </c>
      <c r="AA234" s="18">
        <f>'AEO 2023 Table 49 Raw'!AD218</f>
        <v>1.165</v>
      </c>
      <c r="AB234" s="18">
        <f>'AEO 2023 Table 49 Raw'!AE218</f>
        <v>1.152134</v>
      </c>
      <c r="AC234" s="18">
        <f>'AEO 2023 Table 49 Raw'!AF218</f>
        <v>1.145054</v>
      </c>
      <c r="AD234" s="18">
        <f>'AEO 2023 Table 49 Raw'!AG218</f>
        <v>1.1498600000000001</v>
      </c>
      <c r="AE234" s="18">
        <f>'AEO 2023 Table 49 Raw'!AH218</f>
        <v>1.152204</v>
      </c>
      <c r="AF234" s="30">
        <f>'AEO 2023 Table 49 Raw'!AI218</f>
        <v>-7.0000000000000001E-3</v>
      </c>
    </row>
    <row r="235" spans="1:32" ht="15" customHeight="1">
      <c r="A235" s="7" t="s">
        <v>946</v>
      </c>
      <c r="B235" s="16" t="s">
        <v>382</v>
      </c>
      <c r="C235" s="18">
        <f>'AEO 2023 Table 49 Raw'!F219</f>
        <v>0.16544500000000001</v>
      </c>
      <c r="D235" s="18">
        <f>'AEO 2023 Table 49 Raw'!G219</f>
        <v>0.14466699999999999</v>
      </c>
      <c r="E235" s="18">
        <f>'AEO 2023 Table 49 Raw'!H219</f>
        <v>0.14008399999999999</v>
      </c>
      <c r="F235" s="18">
        <f>'AEO 2023 Table 49 Raw'!I219</f>
        <v>0.14647199999999999</v>
      </c>
      <c r="G235" s="18">
        <f>'AEO 2023 Table 49 Raw'!J219</f>
        <v>0.153947</v>
      </c>
      <c r="H235" s="18">
        <f>'AEO 2023 Table 49 Raw'!K219</f>
        <v>0.15726399999999999</v>
      </c>
      <c r="I235" s="18">
        <f>'AEO 2023 Table 49 Raw'!L219</f>
        <v>0.15859699999999999</v>
      </c>
      <c r="J235" s="18">
        <f>'AEO 2023 Table 49 Raw'!M219</f>
        <v>0.15712599999999999</v>
      </c>
      <c r="K235" s="18">
        <f>'AEO 2023 Table 49 Raw'!N219</f>
        <v>0.15252099999999999</v>
      </c>
      <c r="L235" s="18">
        <f>'AEO 2023 Table 49 Raw'!O219</f>
        <v>0.14894399999999999</v>
      </c>
      <c r="M235" s="18">
        <f>'AEO 2023 Table 49 Raw'!P219</f>
        <v>0.14788200000000001</v>
      </c>
      <c r="N235" s="18">
        <f>'AEO 2023 Table 49 Raw'!Q219</f>
        <v>0.14672299999999999</v>
      </c>
      <c r="O235" s="18">
        <f>'AEO 2023 Table 49 Raw'!R219</f>
        <v>0.14156099999999999</v>
      </c>
      <c r="P235" s="18">
        <f>'AEO 2023 Table 49 Raw'!S219</f>
        <v>0.137429</v>
      </c>
      <c r="Q235" s="18">
        <f>'AEO 2023 Table 49 Raw'!T219</f>
        <v>0.13535900000000001</v>
      </c>
      <c r="R235" s="18">
        <f>'AEO 2023 Table 49 Raw'!U219</f>
        <v>0.13547100000000001</v>
      </c>
      <c r="S235" s="18">
        <f>'AEO 2023 Table 49 Raw'!V219</f>
        <v>0.13658999999999999</v>
      </c>
      <c r="T235" s="18">
        <f>'AEO 2023 Table 49 Raw'!W219</f>
        <v>0.13772000000000001</v>
      </c>
      <c r="U235" s="18">
        <f>'AEO 2023 Table 49 Raw'!X219</f>
        <v>0.13731199999999999</v>
      </c>
      <c r="V235" s="18">
        <f>'AEO 2023 Table 49 Raw'!Y219</f>
        <v>0.135745</v>
      </c>
      <c r="W235" s="18">
        <f>'AEO 2023 Table 49 Raw'!Z219</f>
        <v>0.13406499999999999</v>
      </c>
      <c r="X235" s="18">
        <f>'AEO 2023 Table 49 Raw'!AA219</f>
        <v>0.13355900000000001</v>
      </c>
      <c r="Y235" s="18">
        <f>'AEO 2023 Table 49 Raw'!AB219</f>
        <v>0.132719</v>
      </c>
      <c r="Z235" s="18">
        <f>'AEO 2023 Table 49 Raw'!AC219</f>
        <v>0.13070300000000001</v>
      </c>
      <c r="AA235" s="18">
        <f>'AEO 2023 Table 49 Raw'!AD219</f>
        <v>0.12873799999999999</v>
      </c>
      <c r="AB235" s="18">
        <f>'AEO 2023 Table 49 Raw'!AE219</f>
        <v>0.127358</v>
      </c>
      <c r="AC235" s="18">
        <f>'AEO 2023 Table 49 Raw'!AF219</f>
        <v>0.12651599999999999</v>
      </c>
      <c r="AD235" s="18">
        <f>'AEO 2023 Table 49 Raw'!AG219</f>
        <v>0.12703200000000001</v>
      </c>
      <c r="AE235" s="18">
        <f>'AEO 2023 Table 49 Raw'!AH219</f>
        <v>0.127271</v>
      </c>
      <c r="AF235" s="30">
        <f>'AEO 2023 Table 49 Raw'!AI219</f>
        <v>-8.9999999999999993E-3</v>
      </c>
    </row>
    <row r="236" spans="1:32" ht="15" customHeight="1">
      <c r="A236" s="7" t="s">
        <v>947</v>
      </c>
      <c r="B236" s="16" t="s">
        <v>741</v>
      </c>
      <c r="C236" s="18">
        <f>'AEO 2023 Table 49 Raw'!F220</f>
        <v>4.131297</v>
      </c>
      <c r="D236" s="18">
        <f>'AEO 2023 Table 49 Raw'!G220</f>
        <v>3.399645</v>
      </c>
      <c r="E236" s="18">
        <f>'AEO 2023 Table 49 Raw'!H220</f>
        <v>3.2476150000000001</v>
      </c>
      <c r="F236" s="18">
        <f>'AEO 2023 Table 49 Raw'!I220</f>
        <v>3.3248160000000002</v>
      </c>
      <c r="G236" s="18">
        <f>'AEO 2023 Table 49 Raw'!J220</f>
        <v>3.3366020000000001</v>
      </c>
      <c r="H236" s="18">
        <f>'AEO 2023 Table 49 Raw'!K220</f>
        <v>3.2365620000000002</v>
      </c>
      <c r="I236" s="18">
        <f>'AEO 2023 Table 49 Raw'!L220</f>
        <v>3.0313650000000001</v>
      </c>
      <c r="J236" s="18">
        <f>'AEO 2023 Table 49 Raw'!M220</f>
        <v>2.7968120000000001</v>
      </c>
      <c r="K236" s="18">
        <f>'AEO 2023 Table 49 Raw'!N220</f>
        <v>2.5805479999999998</v>
      </c>
      <c r="L236" s="18">
        <f>'AEO 2023 Table 49 Raw'!O220</f>
        <v>2.4900419999999999</v>
      </c>
      <c r="M236" s="18">
        <f>'AEO 2023 Table 49 Raw'!P220</f>
        <v>2.510497</v>
      </c>
      <c r="N236" s="18">
        <f>'AEO 2023 Table 49 Raw'!Q220</f>
        <v>2.6049250000000002</v>
      </c>
      <c r="O236" s="18">
        <f>'AEO 2023 Table 49 Raw'!R220</f>
        <v>2.6832539999999998</v>
      </c>
      <c r="P236" s="18">
        <f>'AEO 2023 Table 49 Raw'!S220</f>
        <v>2.7872620000000001</v>
      </c>
      <c r="Q236" s="18">
        <f>'AEO 2023 Table 49 Raw'!T220</f>
        <v>2.9224299999999999</v>
      </c>
      <c r="R236" s="18">
        <f>'AEO 2023 Table 49 Raw'!U220</f>
        <v>3.098395</v>
      </c>
      <c r="S236" s="18">
        <f>'AEO 2023 Table 49 Raw'!V220</f>
        <v>3.3081209999999999</v>
      </c>
      <c r="T236" s="18">
        <f>'AEO 2023 Table 49 Raw'!W220</f>
        <v>3.5266310000000001</v>
      </c>
      <c r="U236" s="18">
        <f>'AEO 2023 Table 49 Raw'!X220</f>
        <v>3.7228829999999999</v>
      </c>
      <c r="V236" s="18">
        <f>'AEO 2023 Table 49 Raw'!Y220</f>
        <v>3.9005800000000002</v>
      </c>
      <c r="W236" s="18">
        <f>'AEO 2023 Table 49 Raw'!Z220</f>
        <v>4.081086</v>
      </c>
      <c r="X236" s="18">
        <f>'AEO 2023 Table 49 Raw'!AA220</f>
        <v>4.3035690000000004</v>
      </c>
      <c r="Y236" s="18">
        <f>'AEO 2023 Table 49 Raw'!AB220</f>
        <v>4.5183299999999997</v>
      </c>
      <c r="Z236" s="18">
        <f>'AEO 2023 Table 49 Raw'!AC220</f>
        <v>4.6917869999999997</v>
      </c>
      <c r="AA236" s="18">
        <f>'AEO 2023 Table 49 Raw'!AD220</f>
        <v>4.8784850000000004</v>
      </c>
      <c r="AB236" s="18">
        <f>'AEO 2023 Table 49 Raw'!AE220</f>
        <v>5.0894089999999998</v>
      </c>
      <c r="AC236" s="18">
        <f>'AEO 2023 Table 49 Raw'!AF220</f>
        <v>5.3294730000000001</v>
      </c>
      <c r="AD236" s="18">
        <f>'AEO 2023 Table 49 Raw'!AG220</f>
        <v>5.6305930000000002</v>
      </c>
      <c r="AE236" s="18">
        <f>'AEO 2023 Table 49 Raw'!AH220</f>
        <v>5.9275779999999996</v>
      </c>
      <c r="AF236" s="30">
        <f>'AEO 2023 Table 49 Raw'!AI220</f>
        <v>1.2999999999999999E-2</v>
      </c>
    </row>
    <row r="237" spans="1:32" ht="15" customHeight="1">
      <c r="A237" s="7" t="s">
        <v>948</v>
      </c>
      <c r="B237" s="16" t="s">
        <v>743</v>
      </c>
      <c r="C237" s="18">
        <f>'AEO 2023 Table 49 Raw'!F221</f>
        <v>0</v>
      </c>
      <c r="D237" s="18">
        <f>'AEO 2023 Table 49 Raw'!G221</f>
        <v>0</v>
      </c>
      <c r="E237" s="18">
        <f>'AEO 2023 Table 49 Raw'!H221</f>
        <v>0</v>
      </c>
      <c r="F237" s="18">
        <f>'AEO 2023 Table 49 Raw'!I221</f>
        <v>0</v>
      </c>
      <c r="G237" s="18">
        <f>'AEO 2023 Table 49 Raw'!J221</f>
        <v>0</v>
      </c>
      <c r="H237" s="18">
        <f>'AEO 2023 Table 49 Raw'!K221</f>
        <v>0</v>
      </c>
      <c r="I237" s="18">
        <f>'AEO 2023 Table 49 Raw'!L221</f>
        <v>0</v>
      </c>
      <c r="J237" s="18">
        <f>'AEO 2023 Table 49 Raw'!M221</f>
        <v>0</v>
      </c>
      <c r="K237" s="18">
        <f>'AEO 2023 Table 49 Raw'!N221</f>
        <v>0</v>
      </c>
      <c r="L237" s="18">
        <f>'AEO 2023 Table 49 Raw'!O221</f>
        <v>0</v>
      </c>
      <c r="M237" s="18">
        <f>'AEO 2023 Table 49 Raw'!P221</f>
        <v>0</v>
      </c>
      <c r="N237" s="18">
        <f>'AEO 2023 Table 49 Raw'!Q221</f>
        <v>0</v>
      </c>
      <c r="O237" s="18">
        <f>'AEO 2023 Table 49 Raw'!R221</f>
        <v>0</v>
      </c>
      <c r="P237" s="18">
        <f>'AEO 2023 Table 49 Raw'!S221</f>
        <v>0</v>
      </c>
      <c r="Q237" s="18">
        <f>'AEO 2023 Table 49 Raw'!T221</f>
        <v>0</v>
      </c>
      <c r="R237" s="18">
        <f>'AEO 2023 Table 49 Raw'!U221</f>
        <v>0</v>
      </c>
      <c r="S237" s="18">
        <f>'AEO 2023 Table 49 Raw'!V221</f>
        <v>0</v>
      </c>
      <c r="T237" s="18">
        <f>'AEO 2023 Table 49 Raw'!W221</f>
        <v>0</v>
      </c>
      <c r="U237" s="18">
        <f>'AEO 2023 Table 49 Raw'!X221</f>
        <v>0</v>
      </c>
      <c r="V237" s="18">
        <f>'AEO 2023 Table 49 Raw'!Y221</f>
        <v>0</v>
      </c>
      <c r="W237" s="18">
        <f>'AEO 2023 Table 49 Raw'!Z221</f>
        <v>0</v>
      </c>
      <c r="X237" s="18">
        <f>'AEO 2023 Table 49 Raw'!AA221</f>
        <v>0</v>
      </c>
      <c r="Y237" s="18">
        <f>'AEO 2023 Table 49 Raw'!AB221</f>
        <v>0</v>
      </c>
      <c r="Z237" s="18">
        <f>'AEO 2023 Table 49 Raw'!AC221</f>
        <v>0</v>
      </c>
      <c r="AA237" s="18">
        <f>'AEO 2023 Table 49 Raw'!AD221</f>
        <v>0</v>
      </c>
      <c r="AB237" s="18">
        <f>'AEO 2023 Table 49 Raw'!AE221</f>
        <v>0</v>
      </c>
      <c r="AC237" s="18">
        <f>'AEO 2023 Table 49 Raw'!AF221</f>
        <v>0</v>
      </c>
      <c r="AD237" s="18">
        <f>'AEO 2023 Table 49 Raw'!AG221</f>
        <v>0</v>
      </c>
      <c r="AE237" s="18">
        <f>'AEO 2023 Table 49 Raw'!AH221</f>
        <v>0</v>
      </c>
      <c r="AF237" s="30" t="str">
        <f>'AEO 2023 Table 49 Raw'!AI221</f>
        <v>- -</v>
      </c>
    </row>
    <row r="238" spans="1:32" ht="15" customHeight="1">
      <c r="A238" s="7" t="s">
        <v>949</v>
      </c>
      <c r="B238" s="16" t="s">
        <v>745</v>
      </c>
      <c r="C238" s="18">
        <f>'AEO 2023 Table 49 Raw'!F222</f>
        <v>4.4812999999999999E-2</v>
      </c>
      <c r="D238" s="18">
        <f>'AEO 2023 Table 49 Raw'!G222</f>
        <v>3.5400000000000001E-2</v>
      </c>
      <c r="E238" s="18">
        <f>'AEO 2023 Table 49 Raw'!H222</f>
        <v>3.0667E-2</v>
      </c>
      <c r="F238" s="18">
        <f>'AEO 2023 Table 49 Raw'!I222</f>
        <v>2.8981E-2</v>
      </c>
      <c r="G238" s="18">
        <f>'AEO 2023 Table 49 Raw'!J222</f>
        <v>2.7132E-2</v>
      </c>
      <c r="H238" s="18">
        <f>'AEO 2023 Table 49 Raw'!K222</f>
        <v>2.4688999999999999E-2</v>
      </c>
      <c r="I238" s="18">
        <f>'AEO 2023 Table 49 Raw'!L222</f>
        <v>2.2217000000000001E-2</v>
      </c>
      <c r="J238" s="18">
        <f>'AEO 2023 Table 49 Raw'!M222</f>
        <v>1.9625E-2</v>
      </c>
      <c r="K238" s="18">
        <f>'AEO 2023 Table 49 Raw'!N222</f>
        <v>1.6997000000000002E-2</v>
      </c>
      <c r="L238" s="18">
        <f>'AEO 2023 Table 49 Raw'!O222</f>
        <v>1.4770999999999999E-2</v>
      </c>
      <c r="M238" s="18">
        <f>'AEO 2023 Table 49 Raw'!P222</f>
        <v>1.3089999999999999E-2</v>
      </c>
      <c r="N238" s="18">
        <f>'AEO 2023 Table 49 Raw'!Q222</f>
        <v>1.1565000000000001E-2</v>
      </c>
      <c r="O238" s="18">
        <f>'AEO 2023 Table 49 Raw'!R222</f>
        <v>0.01</v>
      </c>
      <c r="P238" s="18">
        <f>'AEO 2023 Table 49 Raw'!S222</f>
        <v>8.6910000000000008E-3</v>
      </c>
      <c r="Q238" s="18">
        <f>'AEO 2023 Table 49 Raw'!T222</f>
        <v>7.6340000000000002E-3</v>
      </c>
      <c r="R238" s="18">
        <f>'AEO 2023 Table 49 Raw'!U222</f>
        <v>6.777E-3</v>
      </c>
      <c r="S238" s="18">
        <f>'AEO 2023 Table 49 Raw'!V222</f>
        <v>6.045E-3</v>
      </c>
      <c r="T238" s="18">
        <f>'AEO 2023 Table 49 Raw'!W222</f>
        <v>5.3880000000000004E-3</v>
      </c>
      <c r="U238" s="18">
        <f>'AEO 2023 Table 49 Raw'!X222</f>
        <v>4.7609999999999996E-3</v>
      </c>
      <c r="V238" s="18">
        <f>'AEO 2023 Table 49 Raw'!Y222</f>
        <v>4.169E-3</v>
      </c>
      <c r="W238" s="18">
        <f>'AEO 2023 Table 49 Raw'!Z222</f>
        <v>3.643E-3</v>
      </c>
      <c r="X238" s="18">
        <f>'AEO 2023 Table 49 Raw'!AA222</f>
        <v>3.1949999999999999E-3</v>
      </c>
      <c r="Y238" s="18">
        <f>'AEO 2023 Table 49 Raw'!AB222</f>
        <v>2.7880000000000001E-3</v>
      </c>
      <c r="Z238" s="18">
        <f>'AEO 2023 Table 49 Raw'!AC222</f>
        <v>2.4069999999999999E-3</v>
      </c>
      <c r="AA238" s="18">
        <f>'AEO 2023 Table 49 Raw'!AD222</f>
        <v>2.078E-3</v>
      </c>
      <c r="AB238" s="18">
        <f>'AEO 2023 Table 49 Raw'!AE222</f>
        <v>1.799E-3</v>
      </c>
      <c r="AC238" s="18">
        <f>'AEO 2023 Table 49 Raw'!AF222</f>
        <v>1.5640000000000001E-3</v>
      </c>
      <c r="AD238" s="18">
        <f>'AEO 2023 Table 49 Raw'!AG222</f>
        <v>1.372E-3</v>
      </c>
      <c r="AE238" s="18">
        <f>'AEO 2023 Table 49 Raw'!AH222</f>
        <v>1.1980000000000001E-3</v>
      </c>
      <c r="AF238" s="30">
        <f>'AEO 2023 Table 49 Raw'!AI222</f>
        <v>-0.121</v>
      </c>
    </row>
    <row r="239" spans="1:32" ht="15" customHeight="1">
      <c r="A239" s="7" t="s">
        <v>950</v>
      </c>
      <c r="B239" s="16" t="s">
        <v>747</v>
      </c>
      <c r="C239" s="18">
        <f>'AEO 2023 Table 49 Raw'!F223</f>
        <v>0</v>
      </c>
      <c r="D239" s="18">
        <f>'AEO 2023 Table 49 Raw'!G223</f>
        <v>0</v>
      </c>
      <c r="E239" s="18">
        <f>'AEO 2023 Table 49 Raw'!H223</f>
        <v>0.102627</v>
      </c>
      <c r="F239" s="18">
        <f>'AEO 2023 Table 49 Raw'!I223</f>
        <v>0.109876</v>
      </c>
      <c r="G239" s="18">
        <f>'AEO 2023 Table 49 Raw'!J223</f>
        <v>0.115606</v>
      </c>
      <c r="H239" s="18">
        <f>'AEO 2023 Table 49 Raw'!K223</f>
        <v>0.119007</v>
      </c>
      <c r="I239" s="18">
        <f>'AEO 2023 Table 49 Raw'!L223</f>
        <v>0.12245399999999999</v>
      </c>
      <c r="J239" s="18">
        <f>'AEO 2023 Table 49 Raw'!M223</f>
        <v>0.12360699999999999</v>
      </c>
      <c r="K239" s="18">
        <f>'AEO 2023 Table 49 Raw'!N223</f>
        <v>0.123154</v>
      </c>
      <c r="L239" s="18">
        <f>'AEO 2023 Table 49 Raw'!O223</f>
        <v>0.123726</v>
      </c>
      <c r="M239" s="18">
        <f>'AEO 2023 Table 49 Raw'!P223</f>
        <v>0.12792999999999999</v>
      </c>
      <c r="N239" s="18">
        <f>'AEO 2023 Table 49 Raw'!Q223</f>
        <v>0.132877</v>
      </c>
      <c r="O239" s="18">
        <f>'AEO 2023 Table 49 Raw'!R223</f>
        <v>0.13522899999999999</v>
      </c>
      <c r="P239" s="18">
        <f>'AEO 2023 Table 49 Raw'!S223</f>
        <v>0.13786599999999999</v>
      </c>
      <c r="Q239" s="18">
        <f>'AEO 2023 Table 49 Raw'!T223</f>
        <v>0.143488</v>
      </c>
      <c r="R239" s="18">
        <f>'AEO 2023 Table 49 Raw'!U223</f>
        <v>0.151391</v>
      </c>
      <c r="S239" s="18">
        <f>'AEO 2023 Table 49 Raw'!V223</f>
        <v>0.16062100000000001</v>
      </c>
      <c r="T239" s="18">
        <f>'AEO 2023 Table 49 Raw'!W223</f>
        <v>0.17118</v>
      </c>
      <c r="U239" s="18">
        <f>'AEO 2023 Table 49 Raw'!X223</f>
        <v>0.181757</v>
      </c>
      <c r="V239" s="18">
        <f>'AEO 2023 Table 49 Raw'!Y223</f>
        <v>0.192223</v>
      </c>
      <c r="W239" s="18">
        <f>'AEO 2023 Table 49 Raw'!Z223</f>
        <v>0.203791</v>
      </c>
      <c r="X239" s="18">
        <f>'AEO 2023 Table 49 Raw'!AA223</f>
        <v>0.217698</v>
      </c>
      <c r="Y239" s="18">
        <f>'AEO 2023 Table 49 Raw'!AB223</f>
        <v>0.23214199999999999</v>
      </c>
      <c r="Z239" s="18">
        <f>'AEO 2023 Table 49 Raw'!AC223</f>
        <v>0.24545800000000001</v>
      </c>
      <c r="AA239" s="18">
        <f>'AEO 2023 Table 49 Raw'!AD223</f>
        <v>0.25994299999999998</v>
      </c>
      <c r="AB239" s="18">
        <f>'AEO 2023 Table 49 Raw'!AE223</f>
        <v>0.276393</v>
      </c>
      <c r="AC239" s="18">
        <f>'AEO 2023 Table 49 Raw'!AF223</f>
        <v>0.29494100000000001</v>
      </c>
      <c r="AD239" s="18">
        <f>'AEO 2023 Table 49 Raw'!AG223</f>
        <v>0.31729299999999999</v>
      </c>
      <c r="AE239" s="18">
        <f>'AEO 2023 Table 49 Raw'!AH223</f>
        <v>0.33960699999999999</v>
      </c>
      <c r="AF239" s="30" t="str">
        <f>'AEO 2023 Table 49 Raw'!AI223</f>
        <v>- -</v>
      </c>
    </row>
    <row r="240" spans="1:32" ht="15" customHeight="1">
      <c r="A240" s="7" t="s">
        <v>951</v>
      </c>
      <c r="B240" s="16" t="s">
        <v>749</v>
      </c>
      <c r="C240" s="18">
        <f>'AEO 2023 Table 49 Raw'!F224</f>
        <v>0</v>
      </c>
      <c r="D240" s="18">
        <f>'AEO 2023 Table 49 Raw'!G224</f>
        <v>0</v>
      </c>
      <c r="E240" s="18">
        <f>'AEO 2023 Table 49 Raw'!H224</f>
        <v>0.23166</v>
      </c>
      <c r="F240" s="18">
        <f>'AEO 2023 Table 49 Raw'!I224</f>
        <v>0.241648</v>
      </c>
      <c r="G240" s="18">
        <f>'AEO 2023 Table 49 Raw'!J224</f>
        <v>0.25026300000000001</v>
      </c>
      <c r="H240" s="18">
        <f>'AEO 2023 Table 49 Raw'!K224</f>
        <v>0.25448399999999999</v>
      </c>
      <c r="I240" s="18">
        <f>'AEO 2023 Table 49 Raw'!L224</f>
        <v>0.25684499999999999</v>
      </c>
      <c r="J240" s="18">
        <f>'AEO 2023 Table 49 Raw'!M224</f>
        <v>0.25485999999999998</v>
      </c>
      <c r="K240" s="18">
        <f>'AEO 2023 Table 49 Raw'!N224</f>
        <v>0.25021900000000002</v>
      </c>
      <c r="L240" s="18">
        <f>'AEO 2023 Table 49 Raw'!O224</f>
        <v>0.24899399999999999</v>
      </c>
      <c r="M240" s="18">
        <f>'AEO 2023 Table 49 Raw'!P224</f>
        <v>0.25468200000000002</v>
      </c>
      <c r="N240" s="18">
        <f>'AEO 2023 Table 49 Raw'!Q224</f>
        <v>0.26232800000000001</v>
      </c>
      <c r="O240" s="18">
        <f>'AEO 2023 Table 49 Raw'!R224</f>
        <v>0.26449400000000001</v>
      </c>
      <c r="P240" s="18">
        <f>'AEO 2023 Table 49 Raw'!S224</f>
        <v>0.267988</v>
      </c>
      <c r="Q240" s="18">
        <f>'AEO 2023 Table 49 Raw'!T224</f>
        <v>0.276285</v>
      </c>
      <c r="R240" s="18">
        <f>'AEO 2023 Table 49 Raw'!U224</f>
        <v>0.28914400000000001</v>
      </c>
      <c r="S240" s="18">
        <f>'AEO 2023 Table 49 Raw'!V224</f>
        <v>0.30428699999999997</v>
      </c>
      <c r="T240" s="18">
        <f>'AEO 2023 Table 49 Raw'!W224</f>
        <v>0.32177800000000001</v>
      </c>
      <c r="U240" s="18">
        <f>'AEO 2023 Table 49 Raw'!X224</f>
        <v>0.33918599999999999</v>
      </c>
      <c r="V240" s="18">
        <f>'AEO 2023 Table 49 Raw'!Y224</f>
        <v>0.35597099999999998</v>
      </c>
      <c r="W240" s="18">
        <f>'AEO 2023 Table 49 Raw'!Z224</f>
        <v>0.37338500000000002</v>
      </c>
      <c r="X240" s="18">
        <f>'AEO 2023 Table 49 Raw'!AA224</f>
        <v>0.39376100000000003</v>
      </c>
      <c r="Y240" s="18">
        <f>'AEO 2023 Table 49 Raw'!AB224</f>
        <v>0.41369</v>
      </c>
      <c r="Z240" s="18">
        <f>'AEO 2023 Table 49 Raw'!AC224</f>
        <v>0.43043700000000001</v>
      </c>
      <c r="AA240" s="18">
        <f>'AEO 2023 Table 49 Raw'!AD224</f>
        <v>0.44717099999999999</v>
      </c>
      <c r="AB240" s="18">
        <f>'AEO 2023 Table 49 Raw'!AE224</f>
        <v>0.46481699999999998</v>
      </c>
      <c r="AC240" s="18">
        <f>'AEO 2023 Table 49 Raw'!AF224</f>
        <v>0.483547</v>
      </c>
      <c r="AD240" s="18">
        <f>'AEO 2023 Table 49 Raw'!AG224</f>
        <v>0.50610299999999997</v>
      </c>
      <c r="AE240" s="18">
        <f>'AEO 2023 Table 49 Raw'!AH224</f>
        <v>0.52600599999999997</v>
      </c>
      <c r="AF240" s="30" t="str">
        <f>'AEO 2023 Table 49 Raw'!AI224</f>
        <v>- -</v>
      </c>
    </row>
    <row r="241" spans="1:32" ht="15" customHeight="1">
      <c r="A241" s="7" t="s">
        <v>952</v>
      </c>
      <c r="B241" s="16" t="s">
        <v>751</v>
      </c>
      <c r="C241" s="18">
        <f>'AEO 2023 Table 49 Raw'!F225</f>
        <v>0</v>
      </c>
      <c r="D241" s="18">
        <f>'AEO 2023 Table 49 Raw'!G225</f>
        <v>0</v>
      </c>
      <c r="E241" s="18">
        <f>'AEO 2023 Table 49 Raw'!H225</f>
        <v>0.339368</v>
      </c>
      <c r="F241" s="18">
        <f>'AEO 2023 Table 49 Raw'!I225</f>
        <v>0.36515599999999998</v>
      </c>
      <c r="G241" s="18">
        <f>'AEO 2023 Table 49 Raw'!J225</f>
        <v>0.38952500000000001</v>
      </c>
      <c r="H241" s="18">
        <f>'AEO 2023 Table 49 Raw'!K225</f>
        <v>0.40417199999999998</v>
      </c>
      <c r="I241" s="18">
        <f>'AEO 2023 Table 49 Raw'!L225</f>
        <v>0.415047</v>
      </c>
      <c r="J241" s="18">
        <f>'AEO 2023 Table 49 Raw'!M225</f>
        <v>0.41866399999999998</v>
      </c>
      <c r="K241" s="18">
        <f>'AEO 2023 Table 49 Raw'!N225</f>
        <v>0.41455999999999998</v>
      </c>
      <c r="L241" s="18">
        <f>'AEO 2023 Table 49 Raw'!O225</f>
        <v>0.41242899999999999</v>
      </c>
      <c r="M241" s="18">
        <f>'AEO 2023 Table 49 Raw'!P225</f>
        <v>0.419153</v>
      </c>
      <c r="N241" s="18">
        <f>'AEO 2023 Table 49 Raw'!Q225</f>
        <v>0.42563899999999999</v>
      </c>
      <c r="O241" s="18">
        <f>'AEO 2023 Table 49 Raw'!R225</f>
        <v>0.424149</v>
      </c>
      <c r="P241" s="18">
        <f>'AEO 2023 Table 49 Raw'!S225</f>
        <v>0.42604599999999998</v>
      </c>
      <c r="Q241" s="18">
        <f>'AEO 2023 Table 49 Raw'!T225</f>
        <v>0.433917</v>
      </c>
      <c r="R241" s="18">
        <f>'AEO 2023 Table 49 Raw'!U225</f>
        <v>0.44806200000000002</v>
      </c>
      <c r="S241" s="18">
        <f>'AEO 2023 Table 49 Raw'!V225</f>
        <v>0.46653499999999998</v>
      </c>
      <c r="T241" s="18">
        <f>'AEO 2023 Table 49 Raw'!W225</f>
        <v>0.48714400000000002</v>
      </c>
      <c r="U241" s="18">
        <f>'AEO 2023 Table 49 Raw'!X225</f>
        <v>0.50612500000000005</v>
      </c>
      <c r="V241" s="18">
        <f>'AEO 2023 Table 49 Raw'!Y225</f>
        <v>0.52315400000000001</v>
      </c>
      <c r="W241" s="18">
        <f>'AEO 2023 Table 49 Raw'!Z225</f>
        <v>0.541713</v>
      </c>
      <c r="X241" s="18">
        <f>'AEO 2023 Table 49 Raw'!AA225</f>
        <v>0.56509200000000004</v>
      </c>
      <c r="Y241" s="18">
        <f>'AEO 2023 Table 49 Raw'!AB225</f>
        <v>0.58876099999999998</v>
      </c>
      <c r="Z241" s="18">
        <f>'AEO 2023 Table 49 Raw'!AC225</f>
        <v>0.60903499999999999</v>
      </c>
      <c r="AA241" s="18">
        <f>'AEO 2023 Table 49 Raw'!AD225</f>
        <v>0.63227100000000003</v>
      </c>
      <c r="AB241" s="18">
        <f>'AEO 2023 Table 49 Raw'!AE225</f>
        <v>0.66073700000000002</v>
      </c>
      <c r="AC241" s="18">
        <f>'AEO 2023 Table 49 Raw'!AF225</f>
        <v>0.69507399999999997</v>
      </c>
      <c r="AD241" s="18">
        <f>'AEO 2023 Table 49 Raw'!AG225</f>
        <v>0.73980999999999997</v>
      </c>
      <c r="AE241" s="18">
        <f>'AEO 2023 Table 49 Raw'!AH225</f>
        <v>0.78651300000000002</v>
      </c>
      <c r="AF241" s="30" t="str">
        <f>'AEO 2023 Table 49 Raw'!AI225</f>
        <v>- -</v>
      </c>
    </row>
    <row r="242" spans="1:32" ht="15" customHeight="1">
      <c r="A242" s="7" t="s">
        <v>953</v>
      </c>
      <c r="B242" s="16" t="s">
        <v>777</v>
      </c>
      <c r="C242" s="18">
        <f>'AEO 2023 Table 49 Raw'!F226</f>
        <v>266.95968599999998</v>
      </c>
      <c r="D242" s="18">
        <f>'AEO 2023 Table 49 Raw'!G226</f>
        <v>237.77616900000001</v>
      </c>
      <c r="E242" s="18">
        <f>'AEO 2023 Table 49 Raw'!H226</f>
        <v>232.62614400000001</v>
      </c>
      <c r="F242" s="18">
        <f>'AEO 2023 Table 49 Raw'!I226</f>
        <v>248.17169200000001</v>
      </c>
      <c r="G242" s="18">
        <f>'AEO 2023 Table 49 Raw'!J226</f>
        <v>262.18890399999998</v>
      </c>
      <c r="H242" s="18">
        <f>'AEO 2023 Table 49 Raw'!K226</f>
        <v>269.12570199999999</v>
      </c>
      <c r="I242" s="18">
        <f>'AEO 2023 Table 49 Raw'!L226</f>
        <v>272.99877900000001</v>
      </c>
      <c r="J242" s="18">
        <f>'AEO 2023 Table 49 Raw'!M226</f>
        <v>271.67849699999999</v>
      </c>
      <c r="K242" s="18">
        <f>'AEO 2023 Table 49 Raw'!N226</f>
        <v>265.068939</v>
      </c>
      <c r="L242" s="18">
        <f>'AEO 2023 Table 49 Raw'!O226</f>
        <v>259.51889</v>
      </c>
      <c r="M242" s="18">
        <f>'AEO 2023 Table 49 Raw'!P226</f>
        <v>259.15566999999999</v>
      </c>
      <c r="N242" s="18">
        <f>'AEO 2023 Table 49 Raw'!Q226</f>
        <v>258.15792800000003</v>
      </c>
      <c r="O242" s="18">
        <f>'AEO 2023 Table 49 Raw'!R226</f>
        <v>251.86479199999999</v>
      </c>
      <c r="P242" s="18">
        <f>'AEO 2023 Table 49 Raw'!S226</f>
        <v>247.14475999999999</v>
      </c>
      <c r="Q242" s="18">
        <f>'AEO 2023 Table 49 Raw'!T226</f>
        <v>245.309021</v>
      </c>
      <c r="R242" s="18">
        <f>'AEO 2023 Table 49 Raw'!U226</f>
        <v>246.249481</v>
      </c>
      <c r="S242" s="18">
        <f>'AEO 2023 Table 49 Raw'!V226</f>
        <v>248.61546300000001</v>
      </c>
      <c r="T242" s="18">
        <f>'AEO 2023 Table 49 Raw'!W226</f>
        <v>251.03659099999999</v>
      </c>
      <c r="U242" s="18">
        <f>'AEO 2023 Table 49 Raw'!X226</f>
        <v>251.52034</v>
      </c>
      <c r="V242" s="18">
        <f>'AEO 2023 Table 49 Raw'!Y226</f>
        <v>250.027771</v>
      </c>
      <c r="W242" s="18">
        <f>'AEO 2023 Table 49 Raw'!Z226</f>
        <v>248.30218500000001</v>
      </c>
      <c r="X242" s="18">
        <f>'AEO 2023 Table 49 Raw'!AA226</f>
        <v>247.770386</v>
      </c>
      <c r="Y242" s="18">
        <f>'AEO 2023 Table 49 Raw'!AB226</f>
        <v>246.30693099999999</v>
      </c>
      <c r="Z242" s="18">
        <f>'AEO 2023 Table 49 Raw'!AC226</f>
        <v>242.51406900000001</v>
      </c>
      <c r="AA242" s="18">
        <f>'AEO 2023 Table 49 Raw'!AD226</f>
        <v>239.1138</v>
      </c>
      <c r="AB242" s="18">
        <f>'AEO 2023 Table 49 Raw'!AE226</f>
        <v>236.855774</v>
      </c>
      <c r="AC242" s="18">
        <f>'AEO 2023 Table 49 Raw'!AF226</f>
        <v>235.78559899999999</v>
      </c>
      <c r="AD242" s="18">
        <f>'AEO 2023 Table 49 Raw'!AG226</f>
        <v>237.16709900000001</v>
      </c>
      <c r="AE242" s="18">
        <f>'AEO 2023 Table 49 Raw'!AH226</f>
        <v>238.047256</v>
      </c>
      <c r="AF242" s="30">
        <f>'AEO 2023 Table 49 Raw'!AI226</f>
        <v>-4.0000000000000001E-3</v>
      </c>
    </row>
    <row r="243" spans="1:32" ht="15" customHeight="1">
      <c r="A243" s="7" t="s">
        <v>954</v>
      </c>
      <c r="B243" s="15" t="s">
        <v>955</v>
      </c>
      <c r="C243" s="18">
        <f>'AEO 2023 Table 49 Raw'!F227</f>
        <v>691.80749500000002</v>
      </c>
      <c r="D243" s="18">
        <f>'AEO 2023 Table 49 Raw'!G227</f>
        <v>629.29083300000002</v>
      </c>
      <c r="E243" s="18">
        <f>'AEO 2023 Table 49 Raw'!H227</f>
        <v>633.80187999999998</v>
      </c>
      <c r="F243" s="18">
        <f>'AEO 2023 Table 49 Raw'!I227</f>
        <v>675.50988800000005</v>
      </c>
      <c r="G243" s="18">
        <f>'AEO 2023 Table 49 Raw'!J227</f>
        <v>706.94268799999998</v>
      </c>
      <c r="H243" s="18">
        <f>'AEO 2023 Table 49 Raw'!K227</f>
        <v>722.332581</v>
      </c>
      <c r="I243" s="18">
        <f>'AEO 2023 Table 49 Raw'!L227</f>
        <v>735.13305700000001</v>
      </c>
      <c r="J243" s="18">
        <f>'AEO 2023 Table 49 Raw'!M227</f>
        <v>739.68627900000001</v>
      </c>
      <c r="K243" s="18">
        <f>'AEO 2023 Table 49 Raw'!N227</f>
        <v>732.18676800000003</v>
      </c>
      <c r="L243" s="18">
        <f>'AEO 2023 Table 49 Raw'!O227</f>
        <v>727.44451900000001</v>
      </c>
      <c r="M243" s="18">
        <f>'AEO 2023 Table 49 Raw'!P227</f>
        <v>736.88232400000004</v>
      </c>
      <c r="N243" s="18">
        <f>'AEO 2023 Table 49 Raw'!Q227</f>
        <v>744.23999000000003</v>
      </c>
      <c r="O243" s="18">
        <f>'AEO 2023 Table 49 Raw'!R227</f>
        <v>734.83605999999997</v>
      </c>
      <c r="P243" s="18">
        <f>'AEO 2023 Table 49 Raw'!S227</f>
        <v>728.68798800000002</v>
      </c>
      <c r="Q243" s="18">
        <f>'AEO 2023 Table 49 Raw'!T227</f>
        <v>730.20495600000004</v>
      </c>
      <c r="R243" s="18">
        <f>'AEO 2023 Table 49 Raw'!U227</f>
        <v>739.506531</v>
      </c>
      <c r="S243" s="18">
        <f>'AEO 2023 Table 49 Raw'!V227</f>
        <v>753.9375</v>
      </c>
      <c r="T243" s="18">
        <f>'AEO 2023 Table 49 Raw'!W227</f>
        <v>769.52655000000004</v>
      </c>
      <c r="U243" s="18">
        <f>'AEO 2023 Table 49 Raw'!X227</f>
        <v>780.50903300000004</v>
      </c>
      <c r="V243" s="18">
        <f>'AEO 2023 Table 49 Raw'!Y227</f>
        <v>785.47686799999997</v>
      </c>
      <c r="W243" s="18">
        <f>'AEO 2023 Table 49 Raw'!Z227</f>
        <v>790.01892099999998</v>
      </c>
      <c r="X243" s="18">
        <f>'AEO 2023 Table 49 Raw'!AA227</f>
        <v>795.15801999999996</v>
      </c>
      <c r="Y243" s="18">
        <f>'AEO 2023 Table 49 Raw'!AB227</f>
        <v>796.85241699999995</v>
      </c>
      <c r="Z243" s="18">
        <f>'AEO 2023 Table 49 Raw'!AC227</f>
        <v>795.20581100000004</v>
      </c>
      <c r="AA243" s="18">
        <f>'AEO 2023 Table 49 Raw'!AD227</f>
        <v>795.78259300000002</v>
      </c>
      <c r="AB243" s="18">
        <f>'AEO 2023 Table 49 Raw'!AE227</f>
        <v>798.57061799999997</v>
      </c>
      <c r="AC243" s="18">
        <f>'AEO 2023 Table 49 Raw'!AF227</f>
        <v>803.84234600000002</v>
      </c>
      <c r="AD243" s="18">
        <f>'AEO 2023 Table 49 Raw'!AG227</f>
        <v>813.56030299999998</v>
      </c>
      <c r="AE243" s="18">
        <f>'AEO 2023 Table 49 Raw'!AH227</f>
        <v>822.402466</v>
      </c>
      <c r="AF243" s="30">
        <f>'AEO 2023 Table 49 Raw'!AI227</f>
        <v>6.0000000000000001E-3</v>
      </c>
    </row>
    <row r="244" spans="1:32" ht="15" customHeight="1">
      <c r="C244" s="18"/>
      <c r="D244" s="18"/>
      <c r="E244" s="18"/>
      <c r="F244" s="18"/>
      <c r="G244" s="18"/>
      <c r="H244" s="18"/>
      <c r="I244" s="18"/>
      <c r="J244" s="18"/>
      <c r="K244" s="18"/>
      <c r="L244" s="18"/>
      <c r="M244" s="18"/>
      <c r="N244" s="18"/>
      <c r="O244" s="18"/>
      <c r="P244" s="18"/>
      <c r="Q244" s="18"/>
      <c r="R244" s="18"/>
      <c r="S244" s="18"/>
      <c r="T244" s="18"/>
      <c r="U244" s="18"/>
      <c r="V244" s="18"/>
      <c r="W244" s="18"/>
      <c r="X244" s="18"/>
      <c r="Y244" s="18"/>
      <c r="Z244" s="18"/>
      <c r="AA244" s="18"/>
      <c r="AB244" s="18"/>
      <c r="AC244" s="18"/>
      <c r="AD244" s="18"/>
      <c r="AE244" s="18"/>
      <c r="AF244" s="30"/>
    </row>
    <row r="245" spans="1:32" ht="15" customHeight="1">
      <c r="C245" s="18"/>
      <c r="D245" s="18"/>
      <c r="E245" s="18"/>
      <c r="F245" s="18"/>
      <c r="G245" s="18"/>
      <c r="H245" s="18"/>
      <c r="I245" s="18"/>
      <c r="J245" s="18"/>
      <c r="K245" s="18"/>
      <c r="L245" s="18"/>
      <c r="M245" s="18"/>
      <c r="N245" s="18"/>
      <c r="O245" s="18"/>
      <c r="P245" s="18"/>
      <c r="Q245" s="18"/>
      <c r="R245" s="18"/>
      <c r="S245" s="18"/>
      <c r="T245" s="18"/>
      <c r="U245" s="18"/>
      <c r="V245" s="18"/>
      <c r="W245" s="18"/>
      <c r="X245" s="18"/>
      <c r="Y245" s="18"/>
      <c r="Z245" s="18"/>
      <c r="AA245" s="18"/>
      <c r="AB245" s="18"/>
      <c r="AC245" s="18"/>
      <c r="AD245" s="18"/>
      <c r="AE245" s="18"/>
      <c r="AF245" s="30"/>
    </row>
    <row r="246" spans="1:32" ht="15" customHeight="1">
      <c r="C246" s="18"/>
      <c r="D246" s="18"/>
      <c r="E246" s="18"/>
      <c r="F246" s="18"/>
      <c r="G246" s="18"/>
      <c r="H246" s="18"/>
      <c r="I246" s="18"/>
      <c r="J246" s="18"/>
      <c r="K246" s="18"/>
      <c r="L246" s="18"/>
      <c r="M246" s="18"/>
      <c r="N246" s="18"/>
      <c r="O246" s="18"/>
      <c r="P246" s="18"/>
      <c r="Q246" s="18"/>
      <c r="R246" s="18"/>
      <c r="S246" s="18"/>
      <c r="T246" s="18"/>
      <c r="U246" s="18"/>
      <c r="V246" s="18"/>
      <c r="W246" s="18"/>
      <c r="X246" s="18"/>
      <c r="Y246" s="18"/>
      <c r="Z246" s="18"/>
      <c r="AA246" s="18"/>
      <c r="AB246" s="18"/>
      <c r="AC246" s="18"/>
      <c r="AD246" s="18"/>
      <c r="AE246" s="18"/>
      <c r="AF246" s="30"/>
    </row>
    <row r="247" spans="1:32" ht="15" customHeight="1">
      <c r="B247" s="15" t="s">
        <v>149</v>
      </c>
      <c r="C247" s="18"/>
      <c r="D247" s="18"/>
      <c r="E247" s="18"/>
      <c r="F247" s="18"/>
      <c r="G247" s="18"/>
      <c r="H247" s="18"/>
      <c r="I247" s="18"/>
      <c r="J247" s="18"/>
      <c r="K247" s="18"/>
      <c r="L247" s="18"/>
      <c r="M247" s="18"/>
      <c r="N247" s="18"/>
      <c r="O247" s="18"/>
      <c r="P247" s="18"/>
      <c r="Q247" s="18"/>
      <c r="R247" s="18"/>
      <c r="S247" s="18"/>
      <c r="T247" s="18"/>
      <c r="U247" s="18"/>
      <c r="V247" s="18"/>
      <c r="W247" s="18"/>
      <c r="X247" s="18"/>
      <c r="Y247" s="18"/>
      <c r="Z247" s="18"/>
      <c r="AA247" s="18"/>
      <c r="AB247" s="18"/>
      <c r="AC247" s="18"/>
      <c r="AD247" s="18"/>
      <c r="AE247" s="18"/>
      <c r="AF247" s="30"/>
    </row>
    <row r="248" spans="1:32" ht="12" customHeight="1">
      <c r="A248" s="7" t="s">
        <v>956</v>
      </c>
      <c r="B248" s="16" t="s">
        <v>957</v>
      </c>
      <c r="C248" s="18">
        <f>'AEO 2023 Table 49 Raw'!F229</f>
        <v>1615.891357</v>
      </c>
      <c r="D248" s="18">
        <f>'AEO 2023 Table 49 Raw'!G229</f>
        <v>1600.9323730000001</v>
      </c>
      <c r="E248" s="18">
        <f>'AEO 2023 Table 49 Raw'!H229</f>
        <v>1644.85376</v>
      </c>
      <c r="F248" s="18">
        <f>'AEO 2023 Table 49 Raw'!I229</f>
        <v>1574.5444339999999</v>
      </c>
      <c r="G248" s="18">
        <f>'AEO 2023 Table 49 Raw'!J229</f>
        <v>1499.0898440000001</v>
      </c>
      <c r="H248" s="18">
        <f>'AEO 2023 Table 49 Raw'!K229</f>
        <v>1433.7574460000001</v>
      </c>
      <c r="I248" s="18">
        <f>'AEO 2023 Table 49 Raw'!L229</f>
        <v>1458.376587</v>
      </c>
      <c r="J248" s="18">
        <f>'AEO 2023 Table 49 Raw'!M229</f>
        <v>1434.913818</v>
      </c>
      <c r="K248" s="18">
        <f>'AEO 2023 Table 49 Raw'!N229</f>
        <v>1416.9963379999999</v>
      </c>
      <c r="L248" s="18">
        <f>'AEO 2023 Table 49 Raw'!O229</f>
        <v>1418.5966800000001</v>
      </c>
      <c r="M248" s="18">
        <f>'AEO 2023 Table 49 Raw'!P229</f>
        <v>1430.637817</v>
      </c>
      <c r="N248" s="18">
        <f>'AEO 2023 Table 49 Raw'!Q229</f>
        <v>1440.8774410000001</v>
      </c>
      <c r="O248" s="18">
        <f>'AEO 2023 Table 49 Raw'!R229</f>
        <v>1434.4746090000001</v>
      </c>
      <c r="P248" s="18">
        <f>'AEO 2023 Table 49 Raw'!S229</f>
        <v>1434.338379</v>
      </c>
      <c r="Q248" s="18">
        <f>'AEO 2023 Table 49 Raw'!T229</f>
        <v>1426.081177</v>
      </c>
      <c r="R248" s="18">
        <f>'AEO 2023 Table 49 Raw'!U229</f>
        <v>1427.626587</v>
      </c>
      <c r="S248" s="18">
        <f>'AEO 2023 Table 49 Raw'!V229</f>
        <v>1433.1831050000001</v>
      </c>
      <c r="T248" s="18">
        <f>'AEO 2023 Table 49 Raw'!W229</f>
        <v>1428.119751</v>
      </c>
      <c r="U248" s="18">
        <f>'AEO 2023 Table 49 Raw'!X229</f>
        <v>1434.4642329999999</v>
      </c>
      <c r="V248" s="18">
        <f>'AEO 2023 Table 49 Raw'!Y229</f>
        <v>1438.4960940000001</v>
      </c>
      <c r="W248" s="18">
        <f>'AEO 2023 Table 49 Raw'!Z229</f>
        <v>1442.3275149999999</v>
      </c>
      <c r="X248" s="18">
        <f>'AEO 2023 Table 49 Raw'!AA229</f>
        <v>1442.4663089999999</v>
      </c>
      <c r="Y248" s="18">
        <f>'AEO 2023 Table 49 Raw'!AB229</f>
        <v>1435.6829829999999</v>
      </c>
      <c r="Z248" s="18">
        <f>'AEO 2023 Table 49 Raw'!AC229</f>
        <v>1434.551025</v>
      </c>
      <c r="AA248" s="18">
        <f>'AEO 2023 Table 49 Raw'!AD229</f>
        <v>1435.9487300000001</v>
      </c>
      <c r="AB248" s="18">
        <f>'AEO 2023 Table 49 Raw'!AE229</f>
        <v>1440.077759</v>
      </c>
      <c r="AC248" s="18">
        <f>'AEO 2023 Table 49 Raw'!AF229</f>
        <v>1444.1961670000001</v>
      </c>
      <c r="AD248" s="18">
        <f>'AEO 2023 Table 49 Raw'!AG229</f>
        <v>1447.7235109999999</v>
      </c>
      <c r="AE248" s="18">
        <f>'AEO 2023 Table 49 Raw'!AH229</f>
        <v>1456.248779</v>
      </c>
      <c r="AF248" s="30">
        <f>'AEO 2023 Table 49 Raw'!AI229</f>
        <v>-4.0000000000000001E-3</v>
      </c>
    </row>
    <row r="249" spans="1:32" ht="15" customHeight="1">
      <c r="A249" s="7" t="s">
        <v>958</v>
      </c>
      <c r="B249" s="16" t="s">
        <v>959</v>
      </c>
      <c r="C249" s="18">
        <f>'AEO 2023 Table 49 Raw'!F230</f>
        <v>3.3663400000000001</v>
      </c>
      <c r="D249" s="18">
        <f>'AEO 2023 Table 49 Raw'!G230</f>
        <v>3.3698929999999998</v>
      </c>
      <c r="E249" s="18">
        <f>'AEO 2023 Table 49 Raw'!H230</f>
        <v>3.3734500000000001</v>
      </c>
      <c r="F249" s="18">
        <f>'AEO 2023 Table 49 Raw'!I230</f>
        <v>3.3770099999999998</v>
      </c>
      <c r="G249" s="18">
        <f>'AEO 2023 Table 49 Raw'!J230</f>
        <v>3.3805740000000002</v>
      </c>
      <c r="H249" s="18">
        <f>'AEO 2023 Table 49 Raw'!K230</f>
        <v>3.3841420000000002</v>
      </c>
      <c r="I249" s="18">
        <f>'AEO 2023 Table 49 Raw'!L230</f>
        <v>3.3877130000000002</v>
      </c>
      <c r="J249" s="18">
        <f>'AEO 2023 Table 49 Raw'!M230</f>
        <v>3.391289</v>
      </c>
      <c r="K249" s="18">
        <f>'AEO 2023 Table 49 Raw'!N230</f>
        <v>3.3948680000000002</v>
      </c>
      <c r="L249" s="18">
        <f>'AEO 2023 Table 49 Raw'!O230</f>
        <v>3.3984510000000001</v>
      </c>
      <c r="M249" s="18">
        <f>'AEO 2023 Table 49 Raw'!P230</f>
        <v>3.402037</v>
      </c>
      <c r="N249" s="18">
        <f>'AEO 2023 Table 49 Raw'!Q230</f>
        <v>3.4056280000000001</v>
      </c>
      <c r="O249" s="18">
        <f>'AEO 2023 Table 49 Raw'!R230</f>
        <v>3.4092220000000002</v>
      </c>
      <c r="P249" s="18">
        <f>'AEO 2023 Table 49 Raw'!S230</f>
        <v>3.41282</v>
      </c>
      <c r="Q249" s="18">
        <f>'AEO 2023 Table 49 Raw'!T230</f>
        <v>3.4164219999999998</v>
      </c>
      <c r="R249" s="18">
        <f>'AEO 2023 Table 49 Raw'!U230</f>
        <v>3.4200270000000002</v>
      </c>
      <c r="S249" s="18">
        <f>'AEO 2023 Table 49 Raw'!V230</f>
        <v>3.4236369999999998</v>
      </c>
      <c r="T249" s="18">
        <f>'AEO 2023 Table 49 Raw'!W230</f>
        <v>3.4272499999999999</v>
      </c>
      <c r="U249" s="18">
        <f>'AEO 2023 Table 49 Raw'!X230</f>
        <v>3.4308670000000001</v>
      </c>
      <c r="V249" s="18">
        <f>'AEO 2023 Table 49 Raw'!Y230</f>
        <v>3.434488</v>
      </c>
      <c r="W249" s="18">
        <f>'AEO 2023 Table 49 Raw'!Z230</f>
        <v>3.438113</v>
      </c>
      <c r="X249" s="18">
        <f>'AEO 2023 Table 49 Raw'!AA230</f>
        <v>3.4417409999999999</v>
      </c>
      <c r="Y249" s="18">
        <f>'AEO 2023 Table 49 Raw'!AB230</f>
        <v>3.445373</v>
      </c>
      <c r="Z249" s="18">
        <f>'AEO 2023 Table 49 Raw'!AC230</f>
        <v>3.4490099999999999</v>
      </c>
      <c r="AA249" s="18">
        <f>'AEO 2023 Table 49 Raw'!AD230</f>
        <v>3.4526490000000001</v>
      </c>
      <c r="AB249" s="18">
        <f>'AEO 2023 Table 49 Raw'!AE230</f>
        <v>3.4562930000000001</v>
      </c>
      <c r="AC249" s="18">
        <f>'AEO 2023 Table 49 Raw'!AF230</f>
        <v>3.4599410000000002</v>
      </c>
      <c r="AD249" s="18">
        <f>'AEO 2023 Table 49 Raw'!AG230</f>
        <v>3.4635929999999999</v>
      </c>
      <c r="AE249" s="18">
        <f>'AEO 2023 Table 49 Raw'!AH230</f>
        <v>3.4672480000000001</v>
      </c>
      <c r="AF249" s="30">
        <f>'AEO 2023 Table 49 Raw'!AI230</f>
        <v>1E-3</v>
      </c>
    </row>
    <row r="250" spans="1:32" ht="15" customHeight="1">
      <c r="B250" s="15" t="s">
        <v>960</v>
      </c>
      <c r="C250" s="18">
        <f>'AEO 2023 Table 49 Raw'!F231</f>
        <v>0</v>
      </c>
      <c r="D250" s="18">
        <f>'AEO 2023 Table 49 Raw'!G231</f>
        <v>0</v>
      </c>
      <c r="E250" s="18">
        <f>'AEO 2023 Table 49 Raw'!H231</f>
        <v>0</v>
      </c>
      <c r="F250" s="18">
        <f>'AEO 2023 Table 49 Raw'!I231</f>
        <v>0</v>
      </c>
      <c r="G250" s="18">
        <f>'AEO 2023 Table 49 Raw'!J231</f>
        <v>0</v>
      </c>
      <c r="H250" s="18">
        <f>'AEO 2023 Table 49 Raw'!K231</f>
        <v>0</v>
      </c>
      <c r="I250" s="18">
        <f>'AEO 2023 Table 49 Raw'!L231</f>
        <v>0</v>
      </c>
      <c r="J250" s="18">
        <f>'AEO 2023 Table 49 Raw'!M231</f>
        <v>0</v>
      </c>
      <c r="K250" s="18">
        <f>'AEO 2023 Table 49 Raw'!N231</f>
        <v>0</v>
      </c>
      <c r="L250" s="18">
        <f>'AEO 2023 Table 49 Raw'!O231</f>
        <v>0</v>
      </c>
      <c r="M250" s="18">
        <f>'AEO 2023 Table 49 Raw'!P231</f>
        <v>0</v>
      </c>
      <c r="N250" s="18">
        <f>'AEO 2023 Table 49 Raw'!Q231</f>
        <v>0</v>
      </c>
      <c r="O250" s="18">
        <f>'AEO 2023 Table 49 Raw'!R231</f>
        <v>0</v>
      </c>
      <c r="P250" s="18">
        <f>'AEO 2023 Table 49 Raw'!S231</f>
        <v>0</v>
      </c>
      <c r="Q250" s="18">
        <f>'AEO 2023 Table 49 Raw'!T231</f>
        <v>0</v>
      </c>
      <c r="R250" s="18">
        <f>'AEO 2023 Table 49 Raw'!U231</f>
        <v>0</v>
      </c>
      <c r="S250" s="18">
        <f>'AEO 2023 Table 49 Raw'!V231</f>
        <v>0</v>
      </c>
      <c r="T250" s="18">
        <f>'AEO 2023 Table 49 Raw'!W231</f>
        <v>0</v>
      </c>
      <c r="U250" s="18">
        <f>'AEO 2023 Table 49 Raw'!X231</f>
        <v>0</v>
      </c>
      <c r="V250" s="18">
        <f>'AEO 2023 Table 49 Raw'!Y231</f>
        <v>0</v>
      </c>
      <c r="W250" s="18">
        <f>'AEO 2023 Table 49 Raw'!Z231</f>
        <v>0</v>
      </c>
      <c r="X250" s="18">
        <f>'AEO 2023 Table 49 Raw'!AA231</f>
        <v>0</v>
      </c>
      <c r="Y250" s="18">
        <f>'AEO 2023 Table 49 Raw'!AB231</f>
        <v>0</v>
      </c>
      <c r="Z250" s="18">
        <f>'AEO 2023 Table 49 Raw'!AC231</f>
        <v>0</v>
      </c>
      <c r="AA250" s="18">
        <f>'AEO 2023 Table 49 Raw'!AD231</f>
        <v>0</v>
      </c>
      <c r="AB250" s="18">
        <f>'AEO 2023 Table 49 Raw'!AE231</f>
        <v>0</v>
      </c>
      <c r="AC250" s="18">
        <f>'AEO 2023 Table 49 Raw'!AF231</f>
        <v>0</v>
      </c>
      <c r="AD250" s="18">
        <f>'AEO 2023 Table 49 Raw'!AG231</f>
        <v>0</v>
      </c>
      <c r="AE250" s="18">
        <f>'AEO 2023 Table 49 Raw'!AH231</f>
        <v>0</v>
      </c>
      <c r="AF250" s="30">
        <f>'AEO 2023 Table 49 Raw'!AI231</f>
        <v>0</v>
      </c>
    </row>
    <row r="251" spans="1:32" ht="15" customHeight="1">
      <c r="A251" s="7" t="s">
        <v>961</v>
      </c>
      <c r="B251" s="16" t="s">
        <v>962</v>
      </c>
      <c r="C251" s="18">
        <f>'AEO 2023 Table 49 Raw'!F232</f>
        <v>479.50054899999998</v>
      </c>
      <c r="D251" s="18">
        <f>'AEO 2023 Table 49 Raw'!G232</f>
        <v>474.03872699999999</v>
      </c>
      <c r="E251" s="18">
        <f>'AEO 2023 Table 49 Raw'!H232</f>
        <v>485.99523900000003</v>
      </c>
      <c r="F251" s="18">
        <f>'AEO 2023 Table 49 Raw'!I232</f>
        <v>464.21972699999998</v>
      </c>
      <c r="G251" s="18">
        <f>'AEO 2023 Table 49 Raw'!J232</f>
        <v>440.84536700000001</v>
      </c>
      <c r="H251" s="18">
        <f>'AEO 2023 Table 49 Raw'!K232</f>
        <v>420.34588600000001</v>
      </c>
      <c r="I251" s="18">
        <f>'AEO 2023 Table 49 Raw'!L232</f>
        <v>426.04513500000002</v>
      </c>
      <c r="J251" s="18">
        <f>'AEO 2023 Table 49 Raw'!M232</f>
        <v>417.49258400000002</v>
      </c>
      <c r="K251" s="18">
        <f>'AEO 2023 Table 49 Raw'!N232</f>
        <v>410.40325899999999</v>
      </c>
      <c r="L251" s="18">
        <f>'AEO 2023 Table 49 Raw'!O232</f>
        <v>408.79193099999998</v>
      </c>
      <c r="M251" s="18">
        <f>'AEO 2023 Table 49 Raw'!P232</f>
        <v>409.76800500000002</v>
      </c>
      <c r="N251" s="18">
        <f>'AEO 2023 Table 49 Raw'!Q232</f>
        <v>409.79217499999999</v>
      </c>
      <c r="O251" s="18">
        <f>'AEO 2023 Table 49 Raw'!R232</f>
        <v>404.68826300000001</v>
      </c>
      <c r="P251" s="18">
        <f>'AEO 2023 Table 49 Raw'!S232</f>
        <v>400.98950200000002</v>
      </c>
      <c r="Q251" s="18">
        <f>'AEO 2023 Table 49 Raw'!T232</f>
        <v>394.67639200000002</v>
      </c>
      <c r="R251" s="18">
        <f>'AEO 2023 Table 49 Raw'!U232</f>
        <v>390.74063100000001</v>
      </c>
      <c r="S251" s="18">
        <f>'AEO 2023 Table 49 Raw'!V232</f>
        <v>387.53753699999999</v>
      </c>
      <c r="T251" s="18">
        <f>'AEO 2023 Table 49 Raw'!W232</f>
        <v>381.13217200000003</v>
      </c>
      <c r="U251" s="18">
        <f>'AEO 2023 Table 49 Raw'!X232</f>
        <v>377.45034800000002</v>
      </c>
      <c r="V251" s="18">
        <f>'AEO 2023 Table 49 Raw'!Y232</f>
        <v>372.81863399999997</v>
      </c>
      <c r="W251" s="18">
        <f>'AEO 2023 Table 49 Raw'!Z232</f>
        <v>367.81625400000001</v>
      </c>
      <c r="X251" s="18">
        <f>'AEO 2023 Table 49 Raw'!AA232</f>
        <v>361.58444200000002</v>
      </c>
      <c r="Y251" s="18">
        <f>'AEO 2023 Table 49 Raw'!AB232</f>
        <v>353.39300500000002</v>
      </c>
      <c r="Z251" s="18">
        <f>'AEO 2023 Table 49 Raw'!AC232</f>
        <v>346.39276100000001</v>
      </c>
      <c r="AA251" s="18">
        <f>'AEO 2023 Table 49 Raw'!AD232</f>
        <v>339.78375199999999</v>
      </c>
      <c r="AB251" s="18">
        <f>'AEO 2023 Table 49 Raw'!AE232</f>
        <v>332.59033199999999</v>
      </c>
      <c r="AC251" s="18">
        <f>'AEO 2023 Table 49 Raw'!AF232</f>
        <v>325.54409800000002</v>
      </c>
      <c r="AD251" s="18">
        <f>'AEO 2023 Table 49 Raw'!AG232</f>
        <v>318.51464800000002</v>
      </c>
      <c r="AE251" s="18">
        <f>'AEO 2023 Table 49 Raw'!AH232</f>
        <v>312.70816000000002</v>
      </c>
      <c r="AF251" s="30">
        <f>'AEO 2023 Table 49 Raw'!AI232</f>
        <v>-1.4999999999999999E-2</v>
      </c>
    </row>
    <row r="252" spans="1:32" ht="12" customHeight="1">
      <c r="A252" s="7" t="s">
        <v>963</v>
      </c>
      <c r="B252" s="16" t="s">
        <v>964</v>
      </c>
      <c r="C252" s="18">
        <f>'AEO 2023 Table 49 Raw'!F233</f>
        <v>0</v>
      </c>
      <c r="D252" s="18">
        <f>'AEO 2023 Table 49 Raw'!G233</f>
        <v>0</v>
      </c>
      <c r="E252" s="18">
        <f>'AEO 2023 Table 49 Raw'!H233</f>
        <v>0</v>
      </c>
      <c r="F252" s="18">
        <f>'AEO 2023 Table 49 Raw'!I233</f>
        <v>0</v>
      </c>
      <c r="G252" s="18">
        <f>'AEO 2023 Table 49 Raw'!J233</f>
        <v>0</v>
      </c>
      <c r="H252" s="18">
        <f>'AEO 2023 Table 49 Raw'!K233</f>
        <v>0</v>
      </c>
      <c r="I252" s="18">
        <f>'AEO 2023 Table 49 Raw'!L233</f>
        <v>0</v>
      </c>
      <c r="J252" s="18">
        <f>'AEO 2023 Table 49 Raw'!M233</f>
        <v>0</v>
      </c>
      <c r="K252" s="18">
        <f>'AEO 2023 Table 49 Raw'!N233</f>
        <v>0</v>
      </c>
      <c r="L252" s="18">
        <f>'AEO 2023 Table 49 Raw'!O233</f>
        <v>0</v>
      </c>
      <c r="M252" s="18">
        <f>'AEO 2023 Table 49 Raw'!P233</f>
        <v>0</v>
      </c>
      <c r="N252" s="18">
        <f>'AEO 2023 Table 49 Raw'!Q233</f>
        <v>0</v>
      </c>
      <c r="O252" s="18">
        <f>'AEO 2023 Table 49 Raw'!R233</f>
        <v>0</v>
      </c>
      <c r="P252" s="18">
        <f>'AEO 2023 Table 49 Raw'!S233</f>
        <v>0</v>
      </c>
      <c r="Q252" s="18">
        <f>'AEO 2023 Table 49 Raw'!T233</f>
        <v>0</v>
      </c>
      <c r="R252" s="18">
        <f>'AEO 2023 Table 49 Raw'!U233</f>
        <v>0</v>
      </c>
      <c r="S252" s="18">
        <f>'AEO 2023 Table 49 Raw'!V233</f>
        <v>0</v>
      </c>
      <c r="T252" s="18">
        <f>'AEO 2023 Table 49 Raw'!W233</f>
        <v>0</v>
      </c>
      <c r="U252" s="18">
        <f>'AEO 2023 Table 49 Raw'!X233</f>
        <v>0</v>
      </c>
      <c r="V252" s="18">
        <f>'AEO 2023 Table 49 Raw'!Y233</f>
        <v>0</v>
      </c>
      <c r="W252" s="18">
        <f>'AEO 2023 Table 49 Raw'!Z233</f>
        <v>0</v>
      </c>
      <c r="X252" s="18">
        <f>'AEO 2023 Table 49 Raw'!AA233</f>
        <v>0</v>
      </c>
      <c r="Y252" s="18">
        <f>'AEO 2023 Table 49 Raw'!AB233</f>
        <v>0</v>
      </c>
      <c r="Z252" s="18">
        <f>'AEO 2023 Table 49 Raw'!AC233</f>
        <v>0</v>
      </c>
      <c r="AA252" s="18">
        <f>'AEO 2023 Table 49 Raw'!AD233</f>
        <v>0</v>
      </c>
      <c r="AB252" s="18">
        <f>'AEO 2023 Table 49 Raw'!AE233</f>
        <v>0</v>
      </c>
      <c r="AC252" s="18">
        <f>'AEO 2023 Table 49 Raw'!AF233</f>
        <v>0</v>
      </c>
      <c r="AD252" s="18">
        <f>'AEO 2023 Table 49 Raw'!AG233</f>
        <v>0</v>
      </c>
      <c r="AE252" s="18">
        <f>'AEO 2023 Table 49 Raw'!AH233</f>
        <v>0</v>
      </c>
      <c r="AF252" s="30" t="str">
        <f>'AEO 2023 Table 49 Raw'!AI233</f>
        <v>- -</v>
      </c>
    </row>
    <row r="253" spans="1:32" ht="15" customHeight="1">
      <c r="A253" s="7" t="s">
        <v>965</v>
      </c>
      <c r="B253" s="16" t="s">
        <v>966</v>
      </c>
      <c r="C253" s="18">
        <f>'AEO 2023 Table 49 Raw'!F234</f>
        <v>0</v>
      </c>
      <c r="D253" s="18">
        <f>'AEO 2023 Table 49 Raw'!G234</f>
        <v>0</v>
      </c>
      <c r="E253" s="18">
        <f>'AEO 2023 Table 49 Raw'!H234</f>
        <v>0</v>
      </c>
      <c r="F253" s="18">
        <f>'AEO 2023 Table 49 Raw'!I234</f>
        <v>0</v>
      </c>
      <c r="G253" s="18">
        <f>'AEO 2023 Table 49 Raw'!J234</f>
        <v>0</v>
      </c>
      <c r="H253" s="18">
        <f>'AEO 2023 Table 49 Raw'!K234</f>
        <v>0</v>
      </c>
      <c r="I253" s="18">
        <f>'AEO 2023 Table 49 Raw'!L234</f>
        <v>0</v>
      </c>
      <c r="J253" s="18">
        <f>'AEO 2023 Table 49 Raw'!M234</f>
        <v>0</v>
      </c>
      <c r="K253" s="18">
        <f>'AEO 2023 Table 49 Raw'!N234</f>
        <v>0</v>
      </c>
      <c r="L253" s="18">
        <f>'AEO 2023 Table 49 Raw'!O234</f>
        <v>0</v>
      </c>
      <c r="M253" s="18">
        <f>'AEO 2023 Table 49 Raw'!P234</f>
        <v>0</v>
      </c>
      <c r="N253" s="18">
        <f>'AEO 2023 Table 49 Raw'!Q234</f>
        <v>0</v>
      </c>
      <c r="O253" s="18">
        <f>'AEO 2023 Table 49 Raw'!R234</f>
        <v>0</v>
      </c>
      <c r="P253" s="18">
        <f>'AEO 2023 Table 49 Raw'!S234</f>
        <v>0</v>
      </c>
      <c r="Q253" s="18">
        <f>'AEO 2023 Table 49 Raw'!T234</f>
        <v>0</v>
      </c>
      <c r="R253" s="18">
        <f>'AEO 2023 Table 49 Raw'!U234</f>
        <v>0</v>
      </c>
      <c r="S253" s="18">
        <f>'AEO 2023 Table 49 Raw'!V234</f>
        <v>0</v>
      </c>
      <c r="T253" s="18">
        <f>'AEO 2023 Table 49 Raw'!W234</f>
        <v>0</v>
      </c>
      <c r="U253" s="18">
        <f>'AEO 2023 Table 49 Raw'!X234</f>
        <v>0</v>
      </c>
      <c r="V253" s="18">
        <f>'AEO 2023 Table 49 Raw'!Y234</f>
        <v>0</v>
      </c>
      <c r="W253" s="18">
        <f>'AEO 2023 Table 49 Raw'!Z234</f>
        <v>0</v>
      </c>
      <c r="X253" s="18">
        <f>'AEO 2023 Table 49 Raw'!AA234</f>
        <v>0</v>
      </c>
      <c r="Y253" s="18">
        <f>'AEO 2023 Table 49 Raw'!AB234</f>
        <v>0</v>
      </c>
      <c r="Z253" s="18">
        <f>'AEO 2023 Table 49 Raw'!AC234</f>
        <v>0</v>
      </c>
      <c r="AA253" s="18">
        <f>'AEO 2023 Table 49 Raw'!AD234</f>
        <v>0</v>
      </c>
      <c r="AB253" s="18">
        <f>'AEO 2023 Table 49 Raw'!AE234</f>
        <v>0</v>
      </c>
      <c r="AC253" s="18">
        <f>'AEO 2023 Table 49 Raw'!AF234</f>
        <v>0</v>
      </c>
      <c r="AD253" s="18">
        <f>'AEO 2023 Table 49 Raw'!AG234</f>
        <v>0</v>
      </c>
      <c r="AE253" s="18">
        <f>'AEO 2023 Table 49 Raw'!AH234</f>
        <v>0</v>
      </c>
      <c r="AF253" s="30" t="str">
        <f>'AEO 2023 Table 49 Raw'!AI234</f>
        <v>- -</v>
      </c>
    </row>
    <row r="254" spans="1:32" ht="15" customHeight="1">
      <c r="A254" s="7" t="s">
        <v>967</v>
      </c>
      <c r="B254" s="16" t="s">
        <v>968</v>
      </c>
      <c r="C254" s="18">
        <f>'AEO 2023 Table 49 Raw'!F235</f>
        <v>0.51370000000000005</v>
      </c>
      <c r="D254" s="18">
        <f>'AEO 2023 Table 49 Raw'!G235</f>
        <v>1.0304249999999999</v>
      </c>
      <c r="E254" s="18">
        <f>'AEO 2023 Table 49 Raw'!H235</f>
        <v>1.592762</v>
      </c>
      <c r="F254" s="18">
        <f>'AEO 2023 Table 49 Raw'!I235</f>
        <v>2.0342750000000001</v>
      </c>
      <c r="G254" s="18">
        <f>'AEO 2023 Table 49 Raw'!J235</f>
        <v>2.5970089999999999</v>
      </c>
      <c r="H254" s="18">
        <f>'AEO 2023 Table 49 Raw'!K235</f>
        <v>3.3235860000000002</v>
      </c>
      <c r="I254" s="18">
        <f>'AEO 2023 Table 49 Raw'!L235</f>
        <v>4.4448740000000004</v>
      </c>
      <c r="J254" s="18">
        <f>'AEO 2023 Table 49 Raw'!M235</f>
        <v>5.6249989999999999</v>
      </c>
      <c r="K254" s="18">
        <f>'AEO 2023 Table 49 Raw'!N235</f>
        <v>6.990361</v>
      </c>
      <c r="L254" s="18">
        <f>'AEO 2023 Table 49 Raw'!O235</f>
        <v>8.632612</v>
      </c>
      <c r="M254" s="18">
        <f>'AEO 2023 Table 49 Raw'!P235</f>
        <v>10.755844</v>
      </c>
      <c r="N254" s="18">
        <f>'AEO 2023 Table 49 Raw'!Q235</f>
        <v>13.295000999999999</v>
      </c>
      <c r="O254" s="18">
        <f>'AEO 2023 Table 49 Raw'!R235</f>
        <v>16.074755</v>
      </c>
      <c r="P254" s="18">
        <f>'AEO 2023 Table 49 Raw'!S235</f>
        <v>19.290071000000001</v>
      </c>
      <c r="Q254" s="18">
        <f>'AEO 2023 Table 49 Raw'!T235</f>
        <v>22.743151000000001</v>
      </c>
      <c r="R254" s="18">
        <f>'AEO 2023 Table 49 Raw'!U235</f>
        <v>26.690667999999999</v>
      </c>
      <c r="S254" s="18">
        <f>'AEO 2023 Table 49 Raw'!V235</f>
        <v>31.076626000000001</v>
      </c>
      <c r="T254" s="18">
        <f>'AEO 2023 Table 49 Raw'!W235</f>
        <v>35.563327999999998</v>
      </c>
      <c r="U254" s="18">
        <f>'AEO 2023 Table 49 Raw'!X235</f>
        <v>40.655144</v>
      </c>
      <c r="V254" s="18">
        <f>'AEO 2023 Table 49 Raw'!Y235</f>
        <v>46.020004</v>
      </c>
      <c r="W254" s="18">
        <f>'AEO 2023 Table 49 Raw'!Z235</f>
        <v>51.695194000000001</v>
      </c>
      <c r="X254" s="18">
        <f>'AEO 2023 Table 49 Raw'!AA235</f>
        <v>57.525084999999997</v>
      </c>
      <c r="Y254" s="18">
        <f>'AEO 2023 Table 49 Raw'!AB235</f>
        <v>63.305785999999998</v>
      </c>
      <c r="Z254" s="18">
        <f>'AEO 2023 Table 49 Raw'!AC235</f>
        <v>69.538535999999993</v>
      </c>
      <c r="AA254" s="18">
        <f>'AEO 2023 Table 49 Raw'!AD235</f>
        <v>76.113838000000001</v>
      </c>
      <c r="AB254" s="18">
        <f>'AEO 2023 Table 49 Raw'!AE235</f>
        <v>84.063445999999999</v>
      </c>
      <c r="AC254" s="18">
        <f>'AEO 2023 Table 49 Raw'!AF235</f>
        <v>91.860686999999999</v>
      </c>
      <c r="AD254" s="18">
        <f>'AEO 2023 Table 49 Raw'!AG235</f>
        <v>99.468627999999995</v>
      </c>
      <c r="AE254" s="18">
        <f>'AEO 2023 Table 49 Raw'!AH235</f>
        <v>107.29312899999999</v>
      </c>
      <c r="AF254" s="30">
        <f>'AEO 2023 Table 49 Raw'!AI235</f>
        <v>0.21</v>
      </c>
    </row>
    <row r="255" spans="1:32" ht="12" customHeight="1">
      <c r="C255" s="18"/>
      <c r="D255" s="18"/>
      <c r="E255" s="18"/>
      <c r="F255" s="18"/>
      <c r="G255" s="18"/>
      <c r="H255" s="18"/>
      <c r="I255" s="18"/>
      <c r="J255" s="18"/>
      <c r="K255" s="18"/>
      <c r="L255" s="18"/>
      <c r="M255" s="18"/>
      <c r="N255" s="18"/>
      <c r="O255" s="18"/>
      <c r="P255" s="18"/>
      <c r="Q255" s="18"/>
      <c r="R255" s="18"/>
      <c r="S255" s="18"/>
      <c r="T255" s="18"/>
      <c r="U255" s="18"/>
      <c r="V255" s="18"/>
      <c r="W255" s="18"/>
      <c r="X255" s="18"/>
      <c r="Y255" s="18"/>
      <c r="Z255" s="18"/>
      <c r="AA255" s="18"/>
      <c r="AB255" s="18"/>
      <c r="AC255" s="18"/>
      <c r="AD255" s="18"/>
      <c r="AE255" s="18"/>
      <c r="AF255" s="30"/>
    </row>
    <row r="256" spans="1:32" ht="15" customHeight="1">
      <c r="B256" s="15" t="s">
        <v>150</v>
      </c>
      <c r="C256" s="18">
        <f>'AEO 2023 Table 49 Raw'!F237</f>
        <v>444.89962800000001</v>
      </c>
      <c r="D256" s="18">
        <f>'AEO 2023 Table 49 Raw'!G237</f>
        <v>448.76980600000002</v>
      </c>
      <c r="E256" s="18">
        <f>'AEO 2023 Table 49 Raw'!H237</f>
        <v>442.17297400000001</v>
      </c>
      <c r="F256" s="18">
        <f>'AEO 2023 Table 49 Raw'!I237</f>
        <v>437.82516500000003</v>
      </c>
      <c r="G256" s="18">
        <f>'AEO 2023 Table 49 Raw'!J237</f>
        <v>434.28051799999997</v>
      </c>
      <c r="H256" s="18">
        <f>'AEO 2023 Table 49 Raw'!K237</f>
        <v>430.10589599999997</v>
      </c>
      <c r="I256" s="18">
        <f>'AEO 2023 Table 49 Raw'!L237</f>
        <v>425.93753099999998</v>
      </c>
      <c r="J256" s="18">
        <f>'AEO 2023 Table 49 Raw'!M237</f>
        <v>421.246399</v>
      </c>
      <c r="K256" s="18">
        <f>'AEO 2023 Table 49 Raw'!N237</f>
        <v>417.12356599999998</v>
      </c>
      <c r="L256" s="18">
        <f>'AEO 2023 Table 49 Raw'!O237</f>
        <v>413.34899899999999</v>
      </c>
      <c r="M256" s="18">
        <f>'AEO 2023 Table 49 Raw'!P237</f>
        <v>410.79986600000001</v>
      </c>
      <c r="N256" s="18">
        <f>'AEO 2023 Table 49 Raw'!Q237</f>
        <v>408.26834100000002</v>
      </c>
      <c r="O256" s="18">
        <f>'AEO 2023 Table 49 Raw'!R237</f>
        <v>404.54150399999997</v>
      </c>
      <c r="P256" s="18">
        <f>'AEO 2023 Table 49 Raw'!S237</f>
        <v>400.73419200000001</v>
      </c>
      <c r="Q256" s="18">
        <f>'AEO 2023 Table 49 Raw'!T237</f>
        <v>396.48425300000002</v>
      </c>
      <c r="R256" s="18">
        <f>'AEO 2023 Table 49 Raw'!U237</f>
        <v>393.49023399999999</v>
      </c>
      <c r="S256" s="18">
        <f>'AEO 2023 Table 49 Raw'!V237</f>
        <v>390.38732900000002</v>
      </c>
      <c r="T256" s="18">
        <f>'AEO 2023 Table 49 Raw'!W237</f>
        <v>387.22555499999999</v>
      </c>
      <c r="U256" s="18">
        <f>'AEO 2023 Table 49 Raw'!X237</f>
        <v>384.34295700000001</v>
      </c>
      <c r="V256" s="18">
        <f>'AEO 2023 Table 49 Raw'!Y237</f>
        <v>381.26913500000001</v>
      </c>
      <c r="W256" s="18">
        <f>'AEO 2023 Table 49 Raw'!Z237</f>
        <v>378.72885100000002</v>
      </c>
      <c r="X256" s="18">
        <f>'AEO 2023 Table 49 Raw'!AA237</f>
        <v>376.320831</v>
      </c>
      <c r="Y256" s="18">
        <f>'AEO 2023 Table 49 Raw'!AB237</f>
        <v>373.83056599999998</v>
      </c>
      <c r="Z256" s="18">
        <f>'AEO 2023 Table 49 Raw'!AC237</f>
        <v>371.47833300000002</v>
      </c>
      <c r="AA256" s="18">
        <f>'AEO 2023 Table 49 Raw'!AD237</f>
        <v>369.30810500000001</v>
      </c>
      <c r="AB256" s="18">
        <f>'AEO 2023 Table 49 Raw'!AE237</f>
        <v>366.82132000000001</v>
      </c>
      <c r="AC256" s="18">
        <f>'AEO 2023 Table 49 Raw'!AF237</f>
        <v>364.14447000000001</v>
      </c>
      <c r="AD256" s="18">
        <f>'AEO 2023 Table 49 Raw'!AG237</f>
        <v>362.368134</v>
      </c>
      <c r="AE256" s="18">
        <f>'AEO 2023 Table 49 Raw'!AH237</f>
        <v>360.92669699999999</v>
      </c>
      <c r="AF256" s="30">
        <f>'AEO 2023 Table 49 Raw'!AI237</f>
        <v>-7.0000000000000001E-3</v>
      </c>
    </row>
    <row r="257" spans="1:32" ht="15" customHeight="1">
      <c r="A257" s="7" t="s">
        <v>969</v>
      </c>
      <c r="B257" s="16" t="s">
        <v>970</v>
      </c>
      <c r="C257" s="18">
        <f>'AEO 2023 Table 49 Raw'!F238</f>
        <v>4.8202259999999999</v>
      </c>
      <c r="D257" s="18">
        <f>'AEO 2023 Table 49 Raw'!G238</f>
        <v>4.8389660000000001</v>
      </c>
      <c r="E257" s="18">
        <f>'AEO 2023 Table 49 Raw'!H238</f>
        <v>4.8577789999999998</v>
      </c>
      <c r="F257" s="18">
        <f>'AEO 2023 Table 49 Raw'!I238</f>
        <v>4.876665</v>
      </c>
      <c r="G257" s="18">
        <f>'AEO 2023 Table 49 Raw'!J238</f>
        <v>4.8956239999999998</v>
      </c>
      <c r="H257" s="18">
        <f>'AEO 2023 Table 49 Raw'!K238</f>
        <v>4.9146570000000001</v>
      </c>
      <c r="I257" s="18">
        <f>'AEO 2023 Table 49 Raw'!L238</f>
        <v>4.933764</v>
      </c>
      <c r="J257" s="18">
        <f>'AEO 2023 Table 49 Raw'!M238</f>
        <v>4.9529449999999997</v>
      </c>
      <c r="K257" s="18">
        <f>'AEO 2023 Table 49 Raw'!N238</f>
        <v>4.9722</v>
      </c>
      <c r="L257" s="18">
        <f>'AEO 2023 Table 49 Raw'!O238</f>
        <v>4.9915310000000002</v>
      </c>
      <c r="M257" s="18">
        <f>'AEO 2023 Table 49 Raw'!P238</f>
        <v>5.0109370000000002</v>
      </c>
      <c r="N257" s="18">
        <f>'AEO 2023 Table 49 Raw'!Q238</f>
        <v>5.0304180000000001</v>
      </c>
      <c r="O257" s="18">
        <f>'AEO 2023 Table 49 Raw'!R238</f>
        <v>5.0499749999999999</v>
      </c>
      <c r="P257" s="18">
        <f>'AEO 2023 Table 49 Raw'!S238</f>
        <v>5.0696079999999997</v>
      </c>
      <c r="Q257" s="18">
        <f>'AEO 2023 Table 49 Raw'!T238</f>
        <v>5.0893170000000003</v>
      </c>
      <c r="R257" s="18">
        <f>'AEO 2023 Table 49 Raw'!U238</f>
        <v>5.1091030000000002</v>
      </c>
      <c r="S257" s="18">
        <f>'AEO 2023 Table 49 Raw'!V238</f>
        <v>5.1289660000000001</v>
      </c>
      <c r="T257" s="18">
        <f>'AEO 2023 Table 49 Raw'!W238</f>
        <v>5.1489060000000002</v>
      </c>
      <c r="U257" s="18">
        <f>'AEO 2023 Table 49 Raw'!X238</f>
        <v>5.1689230000000004</v>
      </c>
      <c r="V257" s="18">
        <f>'AEO 2023 Table 49 Raw'!Y238</f>
        <v>5.189019</v>
      </c>
      <c r="W257" s="18">
        <f>'AEO 2023 Table 49 Raw'!Z238</f>
        <v>5.2091919999999998</v>
      </c>
      <c r="X257" s="18">
        <f>'AEO 2023 Table 49 Raw'!AA238</f>
        <v>5.2294450000000001</v>
      </c>
      <c r="Y257" s="18">
        <f>'AEO 2023 Table 49 Raw'!AB238</f>
        <v>5.2497749999999996</v>
      </c>
      <c r="Z257" s="18">
        <f>'AEO 2023 Table 49 Raw'!AC238</f>
        <v>5.2701849999999997</v>
      </c>
      <c r="AA257" s="18">
        <f>'AEO 2023 Table 49 Raw'!AD238</f>
        <v>5.2906740000000001</v>
      </c>
      <c r="AB257" s="18">
        <f>'AEO 2023 Table 49 Raw'!AE238</f>
        <v>5.3112430000000002</v>
      </c>
      <c r="AC257" s="18">
        <f>'AEO 2023 Table 49 Raw'!AF238</f>
        <v>5.3318919999999999</v>
      </c>
      <c r="AD257" s="18">
        <f>'AEO 2023 Table 49 Raw'!AG238</f>
        <v>5.3526210000000001</v>
      </c>
      <c r="AE257" s="18">
        <f>'AEO 2023 Table 49 Raw'!AH238</f>
        <v>5.3734299999999999</v>
      </c>
      <c r="AF257" s="30">
        <f>'AEO 2023 Table 49 Raw'!AI238</f>
        <v>4.0000000000000001E-3</v>
      </c>
    </row>
    <row r="258" spans="1:32" ht="15" customHeight="1">
      <c r="A258" s="7" t="s">
        <v>971</v>
      </c>
      <c r="B258" s="16" t="s">
        <v>959</v>
      </c>
      <c r="C258" s="18">
        <f>'AEO 2023 Table 49 Raw'!F239</f>
        <v>0</v>
      </c>
      <c r="D258" s="18">
        <f>'AEO 2023 Table 49 Raw'!G239</f>
        <v>0</v>
      </c>
      <c r="E258" s="18">
        <f>'AEO 2023 Table 49 Raw'!H239</f>
        <v>0</v>
      </c>
      <c r="F258" s="18">
        <f>'AEO 2023 Table 49 Raw'!I239</f>
        <v>0</v>
      </c>
      <c r="G258" s="18">
        <f>'AEO 2023 Table 49 Raw'!J239</f>
        <v>0</v>
      </c>
      <c r="H258" s="18">
        <f>'AEO 2023 Table 49 Raw'!K239</f>
        <v>0</v>
      </c>
      <c r="I258" s="18">
        <f>'AEO 2023 Table 49 Raw'!L239</f>
        <v>0</v>
      </c>
      <c r="J258" s="18">
        <f>'AEO 2023 Table 49 Raw'!M239</f>
        <v>0</v>
      </c>
      <c r="K258" s="18">
        <f>'AEO 2023 Table 49 Raw'!N239</f>
        <v>0</v>
      </c>
      <c r="L258" s="18">
        <f>'AEO 2023 Table 49 Raw'!O239</f>
        <v>0</v>
      </c>
      <c r="M258" s="18">
        <f>'AEO 2023 Table 49 Raw'!P239</f>
        <v>0</v>
      </c>
      <c r="N258" s="18">
        <f>'AEO 2023 Table 49 Raw'!Q239</f>
        <v>0</v>
      </c>
      <c r="O258" s="18">
        <f>'AEO 2023 Table 49 Raw'!R239</f>
        <v>0</v>
      </c>
      <c r="P258" s="18">
        <f>'AEO 2023 Table 49 Raw'!S239</f>
        <v>0</v>
      </c>
      <c r="Q258" s="18">
        <f>'AEO 2023 Table 49 Raw'!T239</f>
        <v>0</v>
      </c>
      <c r="R258" s="18">
        <f>'AEO 2023 Table 49 Raw'!U239</f>
        <v>0</v>
      </c>
      <c r="S258" s="18">
        <f>'AEO 2023 Table 49 Raw'!V239</f>
        <v>0</v>
      </c>
      <c r="T258" s="18">
        <f>'AEO 2023 Table 49 Raw'!W239</f>
        <v>0</v>
      </c>
      <c r="U258" s="18">
        <f>'AEO 2023 Table 49 Raw'!X239</f>
        <v>0</v>
      </c>
      <c r="V258" s="18">
        <f>'AEO 2023 Table 49 Raw'!Y239</f>
        <v>0</v>
      </c>
      <c r="W258" s="18">
        <f>'AEO 2023 Table 49 Raw'!Z239</f>
        <v>0</v>
      </c>
      <c r="X258" s="18">
        <f>'AEO 2023 Table 49 Raw'!AA239</f>
        <v>0</v>
      </c>
      <c r="Y258" s="18">
        <f>'AEO 2023 Table 49 Raw'!AB239</f>
        <v>0</v>
      </c>
      <c r="Z258" s="18">
        <f>'AEO 2023 Table 49 Raw'!AC239</f>
        <v>0</v>
      </c>
      <c r="AA258" s="18">
        <f>'AEO 2023 Table 49 Raw'!AD239</f>
        <v>0</v>
      </c>
      <c r="AB258" s="18">
        <f>'AEO 2023 Table 49 Raw'!AE239</f>
        <v>0</v>
      </c>
      <c r="AC258" s="18">
        <f>'AEO 2023 Table 49 Raw'!AF239</f>
        <v>0</v>
      </c>
      <c r="AD258" s="18">
        <f>'AEO 2023 Table 49 Raw'!AG239</f>
        <v>0</v>
      </c>
      <c r="AE258" s="18">
        <f>'AEO 2023 Table 49 Raw'!AH239</f>
        <v>0</v>
      </c>
      <c r="AF258" s="30">
        <f>'AEO 2023 Table 49 Raw'!AI239</f>
        <v>0</v>
      </c>
    </row>
    <row r="259" spans="1:32" ht="15" customHeight="1">
      <c r="B259" s="15" t="s">
        <v>960</v>
      </c>
      <c r="C259" s="18">
        <f>'AEO 2023 Table 49 Raw'!F240</f>
        <v>95.724982999999995</v>
      </c>
      <c r="D259" s="18">
        <f>'AEO 2023 Table 49 Raw'!G240</f>
        <v>96.054596000000004</v>
      </c>
      <c r="E259" s="18">
        <f>'AEO 2023 Table 49 Raw'!H240</f>
        <v>94.300528999999997</v>
      </c>
      <c r="F259" s="18">
        <f>'AEO 2023 Table 49 Raw'!I240</f>
        <v>93.061104</v>
      </c>
      <c r="G259" s="18">
        <f>'AEO 2023 Table 49 Raw'!J240</f>
        <v>92.019790999999998</v>
      </c>
      <c r="H259" s="18">
        <f>'AEO 2023 Table 49 Raw'!K240</f>
        <v>90.828117000000006</v>
      </c>
      <c r="I259" s="18">
        <f>'AEO 2023 Table 49 Raw'!L240</f>
        <v>89.649428999999998</v>
      </c>
      <c r="J259" s="18">
        <f>'AEO 2023 Table 49 Raw'!M240</f>
        <v>88.356209000000007</v>
      </c>
      <c r="K259" s="18">
        <f>'AEO 2023 Table 49 Raw'!N240</f>
        <v>87.201087999999999</v>
      </c>
      <c r="L259" s="18">
        <f>'AEO 2023 Table 49 Raw'!O240</f>
        <v>86.125823999999994</v>
      </c>
      <c r="M259" s="18">
        <f>'AEO 2023 Table 49 Raw'!P240</f>
        <v>85.299721000000005</v>
      </c>
      <c r="N259" s="18">
        <f>'AEO 2023 Table 49 Raw'!Q240</f>
        <v>84.472412000000006</v>
      </c>
      <c r="O259" s="18">
        <f>'AEO 2023 Table 49 Raw'!R240</f>
        <v>83.403960999999995</v>
      </c>
      <c r="P259" s="18">
        <f>'AEO 2023 Table 49 Raw'!S240</f>
        <v>82.337638999999996</v>
      </c>
      <c r="Q259" s="18">
        <f>'AEO 2023 Table 49 Raw'!T240</f>
        <v>81.183998000000003</v>
      </c>
      <c r="R259" s="18">
        <f>'AEO 2023 Table 49 Raw'!U240</f>
        <v>80.288261000000006</v>
      </c>
      <c r="S259" s="18">
        <f>'AEO 2023 Table 49 Raw'!V240</f>
        <v>79.383635999999996</v>
      </c>
      <c r="T259" s="18">
        <f>'AEO 2023 Table 49 Raw'!W240</f>
        <v>78.475121000000001</v>
      </c>
      <c r="U259" s="18">
        <f>'AEO 2023 Table 49 Raw'!X240</f>
        <v>77.575965999999994</v>
      </c>
      <c r="V259" s="18">
        <f>'AEO 2023 Table 49 Raw'!Y240</f>
        <v>76.576674999999994</v>
      </c>
      <c r="W259" s="18">
        <f>'AEO 2023 Table 49 Raw'!Z240</f>
        <v>75.68486</v>
      </c>
      <c r="X259" s="18">
        <f>'AEO 2023 Table 49 Raw'!AA240</f>
        <v>74.817138999999997</v>
      </c>
      <c r="Y259" s="18">
        <f>'AEO 2023 Table 49 Raw'!AB240</f>
        <v>73.935744999999997</v>
      </c>
      <c r="Z259" s="18">
        <f>'AEO 2023 Table 49 Raw'!AC240</f>
        <v>73.078468000000001</v>
      </c>
      <c r="AA259" s="18">
        <f>'AEO 2023 Table 49 Raw'!AD240</f>
        <v>72.250061000000002</v>
      </c>
      <c r="AB259" s="18">
        <f>'AEO 2023 Table 49 Raw'!AE240</f>
        <v>71.356705000000005</v>
      </c>
      <c r="AC259" s="18">
        <f>'AEO 2023 Table 49 Raw'!AF240</f>
        <v>70.429787000000005</v>
      </c>
      <c r="AD259" s="18">
        <f>'AEO 2023 Table 49 Raw'!AG240</f>
        <v>69.678925000000007</v>
      </c>
      <c r="AE259" s="18">
        <f>'AEO 2023 Table 49 Raw'!AH240</f>
        <v>68.982085999999995</v>
      </c>
      <c r="AF259" s="30">
        <f>'AEO 2023 Table 49 Raw'!AI240</f>
        <v>-1.2E-2</v>
      </c>
    </row>
    <row r="260" spans="1:32" ht="15" customHeight="1">
      <c r="A260" s="7" t="s">
        <v>972</v>
      </c>
      <c r="B260" s="16" t="s">
        <v>962</v>
      </c>
      <c r="C260" s="18">
        <f>'AEO 2023 Table 49 Raw'!F241</f>
        <v>1.8762760000000001</v>
      </c>
      <c r="D260" s="18">
        <f>'AEO 2023 Table 49 Raw'!G241</f>
        <v>1.801599</v>
      </c>
      <c r="E260" s="18">
        <f>'AEO 2023 Table 49 Raw'!H241</f>
        <v>1.689384</v>
      </c>
      <c r="F260" s="18">
        <f>'AEO 2023 Table 49 Raw'!I241</f>
        <v>1.58982</v>
      </c>
      <c r="G260" s="18">
        <f>'AEO 2023 Table 49 Raw'!J241</f>
        <v>1.5036719999999999</v>
      </c>
      <c r="H260" s="18">
        <f>'AEO 2023 Table 49 Raw'!K241</f>
        <v>1.4135530000000001</v>
      </c>
      <c r="I260" s="18">
        <f>'AEO 2023 Table 49 Raw'!L241</f>
        <v>1.3263990000000001</v>
      </c>
      <c r="J260" s="18">
        <f>'AEO 2023 Table 49 Raw'!M241</f>
        <v>1.240113</v>
      </c>
      <c r="K260" s="18">
        <f>'AEO 2023 Table 49 Raw'!N241</f>
        <v>1.1534450000000001</v>
      </c>
      <c r="L260" s="18">
        <f>'AEO 2023 Table 49 Raw'!O241</f>
        <v>1.06623</v>
      </c>
      <c r="M260" s="18">
        <f>'AEO 2023 Table 49 Raw'!P241</f>
        <v>0.985711</v>
      </c>
      <c r="N260" s="18">
        <f>'AEO 2023 Table 49 Raw'!Q241</f>
        <v>0.90452600000000005</v>
      </c>
      <c r="O260" s="18">
        <f>'AEO 2023 Table 49 Raw'!R241</f>
        <v>0.82449300000000003</v>
      </c>
      <c r="P260" s="18">
        <f>'AEO 2023 Table 49 Raw'!S241</f>
        <v>0.74822900000000003</v>
      </c>
      <c r="Q260" s="18">
        <f>'AEO 2023 Table 49 Raw'!T241</f>
        <v>0.68206800000000001</v>
      </c>
      <c r="R260" s="18">
        <f>'AEO 2023 Table 49 Raw'!U241</f>
        <v>0.613896</v>
      </c>
      <c r="S260" s="18">
        <f>'AEO 2023 Table 49 Raw'!V241</f>
        <v>0.53800199999999998</v>
      </c>
      <c r="T260" s="18">
        <f>'AEO 2023 Table 49 Raw'!W241</f>
        <v>0.458229</v>
      </c>
      <c r="U260" s="18">
        <f>'AEO 2023 Table 49 Raw'!X241</f>
        <v>0.388021</v>
      </c>
      <c r="V260" s="18">
        <f>'AEO 2023 Table 49 Raw'!Y241</f>
        <v>0.38343100000000002</v>
      </c>
      <c r="W260" s="18">
        <f>'AEO 2023 Table 49 Raw'!Z241</f>
        <v>0.37940600000000002</v>
      </c>
      <c r="X260" s="18">
        <f>'AEO 2023 Table 49 Raw'!AA241</f>
        <v>0.37553900000000001</v>
      </c>
      <c r="Y260" s="18">
        <f>'AEO 2023 Table 49 Raw'!AB241</f>
        <v>0.371614</v>
      </c>
      <c r="Z260" s="18">
        <f>'AEO 2023 Table 49 Raw'!AC241</f>
        <v>0.36785299999999999</v>
      </c>
      <c r="AA260" s="18">
        <f>'AEO 2023 Table 49 Raw'!AD241</f>
        <v>0.36429600000000001</v>
      </c>
      <c r="AB260" s="18">
        <f>'AEO 2023 Table 49 Raw'!AE241</f>
        <v>0.36045100000000002</v>
      </c>
      <c r="AC260" s="18">
        <f>'AEO 2023 Table 49 Raw'!AF241</f>
        <v>0.35644300000000001</v>
      </c>
      <c r="AD260" s="18">
        <f>'AEO 2023 Table 49 Raw'!AG241</f>
        <v>0.35333900000000001</v>
      </c>
      <c r="AE260" s="18">
        <f>'AEO 2023 Table 49 Raw'!AH241</f>
        <v>0.35058</v>
      </c>
      <c r="AF260" s="30">
        <f>'AEO 2023 Table 49 Raw'!AI241</f>
        <v>-5.8000000000000003E-2</v>
      </c>
    </row>
    <row r="261" spans="1:32" ht="15" customHeight="1">
      <c r="A261" s="7" t="s">
        <v>973</v>
      </c>
      <c r="B261" s="16" t="s">
        <v>964</v>
      </c>
      <c r="C261" s="18">
        <f>'AEO 2023 Table 49 Raw'!F242</f>
        <v>0</v>
      </c>
      <c r="D261" s="18">
        <f>'AEO 2023 Table 49 Raw'!G242</f>
        <v>0</v>
      </c>
      <c r="E261" s="18">
        <f>'AEO 2023 Table 49 Raw'!H242</f>
        <v>0</v>
      </c>
      <c r="F261" s="18">
        <f>'AEO 2023 Table 49 Raw'!I242</f>
        <v>0</v>
      </c>
      <c r="G261" s="18">
        <f>'AEO 2023 Table 49 Raw'!J242</f>
        <v>0</v>
      </c>
      <c r="H261" s="18">
        <f>'AEO 2023 Table 49 Raw'!K242</f>
        <v>0</v>
      </c>
      <c r="I261" s="18">
        <f>'AEO 2023 Table 49 Raw'!L242</f>
        <v>0</v>
      </c>
      <c r="J261" s="18">
        <f>'AEO 2023 Table 49 Raw'!M242</f>
        <v>0</v>
      </c>
      <c r="K261" s="18">
        <f>'AEO 2023 Table 49 Raw'!N242</f>
        <v>0</v>
      </c>
      <c r="L261" s="18">
        <f>'AEO 2023 Table 49 Raw'!O242</f>
        <v>0</v>
      </c>
      <c r="M261" s="18">
        <f>'AEO 2023 Table 49 Raw'!P242</f>
        <v>0</v>
      </c>
      <c r="N261" s="18">
        <f>'AEO 2023 Table 49 Raw'!Q242</f>
        <v>0</v>
      </c>
      <c r="O261" s="18">
        <f>'AEO 2023 Table 49 Raw'!R242</f>
        <v>0</v>
      </c>
      <c r="P261" s="18">
        <f>'AEO 2023 Table 49 Raw'!S242</f>
        <v>0</v>
      </c>
      <c r="Q261" s="18">
        <f>'AEO 2023 Table 49 Raw'!T242</f>
        <v>0</v>
      </c>
      <c r="R261" s="18">
        <f>'AEO 2023 Table 49 Raw'!U242</f>
        <v>0</v>
      </c>
      <c r="S261" s="18">
        <f>'AEO 2023 Table 49 Raw'!V242</f>
        <v>0</v>
      </c>
      <c r="T261" s="18">
        <f>'AEO 2023 Table 49 Raw'!W242</f>
        <v>0</v>
      </c>
      <c r="U261" s="18">
        <f>'AEO 2023 Table 49 Raw'!X242</f>
        <v>0</v>
      </c>
      <c r="V261" s="18">
        <f>'AEO 2023 Table 49 Raw'!Y242</f>
        <v>0</v>
      </c>
      <c r="W261" s="18">
        <f>'AEO 2023 Table 49 Raw'!Z242</f>
        <v>0</v>
      </c>
      <c r="X261" s="18">
        <f>'AEO 2023 Table 49 Raw'!AA242</f>
        <v>0</v>
      </c>
      <c r="Y261" s="18">
        <f>'AEO 2023 Table 49 Raw'!AB242</f>
        <v>0</v>
      </c>
      <c r="Z261" s="18">
        <f>'AEO 2023 Table 49 Raw'!AC242</f>
        <v>0</v>
      </c>
      <c r="AA261" s="18">
        <f>'AEO 2023 Table 49 Raw'!AD242</f>
        <v>0</v>
      </c>
      <c r="AB261" s="18">
        <f>'AEO 2023 Table 49 Raw'!AE242</f>
        <v>0</v>
      </c>
      <c r="AC261" s="18">
        <f>'AEO 2023 Table 49 Raw'!AF242</f>
        <v>0</v>
      </c>
      <c r="AD261" s="18">
        <f>'AEO 2023 Table 49 Raw'!AG242</f>
        <v>0</v>
      </c>
      <c r="AE261" s="18">
        <f>'AEO 2023 Table 49 Raw'!AH242</f>
        <v>0</v>
      </c>
      <c r="AF261" s="30" t="str">
        <f>'AEO 2023 Table 49 Raw'!AI242</f>
        <v>- -</v>
      </c>
    </row>
    <row r="262" spans="1:32" ht="15" customHeight="1">
      <c r="A262" s="7" t="s">
        <v>974</v>
      </c>
      <c r="B262" s="16" t="s">
        <v>966</v>
      </c>
      <c r="C262" s="18">
        <f>'AEO 2023 Table 49 Raw'!F243</f>
        <v>0.638131</v>
      </c>
      <c r="D262" s="18">
        <f>'AEO 2023 Table 49 Raw'!G243</f>
        <v>0.69940500000000005</v>
      </c>
      <c r="E262" s="18">
        <f>'AEO 2023 Table 49 Raw'!H243</f>
        <v>0.74200100000000002</v>
      </c>
      <c r="F262" s="18">
        <f>'AEO 2023 Table 49 Raw'!I243</f>
        <v>0.78600400000000004</v>
      </c>
      <c r="G262" s="18">
        <f>'AEO 2023 Table 49 Raw'!J243</f>
        <v>0.82445400000000002</v>
      </c>
      <c r="H262" s="18">
        <f>'AEO 2023 Table 49 Raw'!K243</f>
        <v>0.86295999999999995</v>
      </c>
      <c r="I262" s="18">
        <f>'AEO 2023 Table 49 Raw'!L243</f>
        <v>0.89963800000000005</v>
      </c>
      <c r="J262" s="18">
        <f>'AEO 2023 Table 49 Raw'!M243</f>
        <v>0.93352900000000005</v>
      </c>
      <c r="K262" s="18">
        <f>'AEO 2023 Table 49 Raw'!N243</f>
        <v>0.97043000000000001</v>
      </c>
      <c r="L262" s="18">
        <f>'AEO 2023 Table 49 Raw'!O243</f>
        <v>1.0094000000000001</v>
      </c>
      <c r="M262" s="18">
        <f>'AEO 2023 Table 49 Raw'!P243</f>
        <v>1.0488820000000001</v>
      </c>
      <c r="N262" s="18">
        <f>'AEO 2023 Table 49 Raw'!Q243</f>
        <v>1.0889180000000001</v>
      </c>
      <c r="O262" s="18">
        <f>'AEO 2023 Table 49 Raw'!R243</f>
        <v>1.123232</v>
      </c>
      <c r="P262" s="18">
        <f>'AEO 2023 Table 49 Raw'!S243</f>
        <v>1.1548700000000001</v>
      </c>
      <c r="Q262" s="18">
        <f>'AEO 2023 Table 49 Raw'!T243</f>
        <v>1.1776660000000001</v>
      </c>
      <c r="R262" s="18">
        <f>'AEO 2023 Table 49 Raw'!U243</f>
        <v>1.2071989999999999</v>
      </c>
      <c r="S262" s="18">
        <f>'AEO 2023 Table 49 Raw'!V243</f>
        <v>1.2419659999999999</v>
      </c>
      <c r="T262" s="18">
        <f>'AEO 2023 Table 49 Raw'!W243</f>
        <v>1.2794030000000001</v>
      </c>
      <c r="U262" s="18">
        <f>'AEO 2023 Table 49 Raw'!X243</f>
        <v>1.352077</v>
      </c>
      <c r="V262" s="18">
        <f>'AEO 2023 Table 49 Raw'!Y243</f>
        <v>1.427773</v>
      </c>
      <c r="W262" s="18">
        <f>'AEO 2023 Table 49 Raw'!Z243</f>
        <v>1.50972</v>
      </c>
      <c r="X262" s="18">
        <f>'AEO 2023 Table 49 Raw'!AA243</f>
        <v>1.5968059999999999</v>
      </c>
      <c r="Y262" s="18">
        <f>'AEO 2023 Table 49 Raw'!AB243</f>
        <v>1.688537</v>
      </c>
      <c r="Z262" s="18">
        <f>'AEO 2023 Table 49 Raw'!AC243</f>
        <v>1.786057</v>
      </c>
      <c r="AA262" s="18">
        <f>'AEO 2023 Table 49 Raw'!AD243</f>
        <v>1.889912</v>
      </c>
      <c r="AB262" s="18">
        <f>'AEO 2023 Table 49 Raw'!AE243</f>
        <v>1.99796</v>
      </c>
      <c r="AC262" s="18">
        <f>'AEO 2023 Table 49 Raw'!AF243</f>
        <v>2.1111149999999999</v>
      </c>
      <c r="AD262" s="18">
        <f>'AEO 2023 Table 49 Raw'!AG243</f>
        <v>2.2362440000000001</v>
      </c>
      <c r="AE262" s="18">
        <f>'AEO 2023 Table 49 Raw'!AH243</f>
        <v>2.370717</v>
      </c>
      <c r="AF262" s="30">
        <f>'AEO 2023 Table 49 Raw'!AI243</f>
        <v>4.8000000000000001E-2</v>
      </c>
    </row>
    <row r="263" spans="1:32" ht="15" customHeight="1">
      <c r="A263" s="7" t="s">
        <v>975</v>
      </c>
      <c r="B263" s="16" t="s">
        <v>968</v>
      </c>
      <c r="C263" s="18">
        <f>'AEO 2023 Table 49 Raw'!F244</f>
        <v>0</v>
      </c>
      <c r="D263" s="18">
        <f>'AEO 2023 Table 49 Raw'!G244</f>
        <v>0</v>
      </c>
      <c r="E263" s="18">
        <f>'AEO 2023 Table 49 Raw'!H244</f>
        <v>0</v>
      </c>
      <c r="F263" s="18">
        <f>'AEO 2023 Table 49 Raw'!I244</f>
        <v>0</v>
      </c>
      <c r="G263" s="18">
        <f>'AEO 2023 Table 49 Raw'!J244</f>
        <v>0</v>
      </c>
      <c r="H263" s="18">
        <f>'AEO 2023 Table 49 Raw'!K244</f>
        <v>0</v>
      </c>
      <c r="I263" s="18">
        <f>'AEO 2023 Table 49 Raw'!L244</f>
        <v>0</v>
      </c>
      <c r="J263" s="18">
        <f>'AEO 2023 Table 49 Raw'!M244</f>
        <v>0</v>
      </c>
      <c r="K263" s="18">
        <f>'AEO 2023 Table 49 Raw'!N244</f>
        <v>0</v>
      </c>
      <c r="L263" s="18">
        <f>'AEO 2023 Table 49 Raw'!O244</f>
        <v>0</v>
      </c>
      <c r="M263" s="18">
        <f>'AEO 2023 Table 49 Raw'!P244</f>
        <v>0</v>
      </c>
      <c r="N263" s="18">
        <f>'AEO 2023 Table 49 Raw'!Q244</f>
        <v>0</v>
      </c>
      <c r="O263" s="18">
        <f>'AEO 2023 Table 49 Raw'!R244</f>
        <v>0</v>
      </c>
      <c r="P263" s="18">
        <f>'AEO 2023 Table 49 Raw'!S244</f>
        <v>0</v>
      </c>
      <c r="Q263" s="18">
        <f>'AEO 2023 Table 49 Raw'!T244</f>
        <v>0</v>
      </c>
      <c r="R263" s="18">
        <f>'AEO 2023 Table 49 Raw'!U244</f>
        <v>0</v>
      </c>
      <c r="S263" s="18">
        <f>'AEO 2023 Table 49 Raw'!V244</f>
        <v>0</v>
      </c>
      <c r="T263" s="18">
        <f>'AEO 2023 Table 49 Raw'!W244</f>
        <v>0</v>
      </c>
      <c r="U263" s="18">
        <f>'AEO 2023 Table 49 Raw'!X244</f>
        <v>0</v>
      </c>
      <c r="V263" s="18">
        <f>'AEO 2023 Table 49 Raw'!Y244</f>
        <v>0</v>
      </c>
      <c r="W263" s="18">
        <f>'AEO 2023 Table 49 Raw'!Z244</f>
        <v>0</v>
      </c>
      <c r="X263" s="18">
        <f>'AEO 2023 Table 49 Raw'!AA244</f>
        <v>0</v>
      </c>
      <c r="Y263" s="18">
        <f>'AEO 2023 Table 49 Raw'!AB244</f>
        <v>0</v>
      </c>
      <c r="Z263" s="18">
        <f>'AEO 2023 Table 49 Raw'!AC244</f>
        <v>0</v>
      </c>
      <c r="AA263" s="18">
        <f>'AEO 2023 Table 49 Raw'!AD244</f>
        <v>0</v>
      </c>
      <c r="AB263" s="18">
        <f>'AEO 2023 Table 49 Raw'!AE244</f>
        <v>0</v>
      </c>
      <c r="AC263" s="18">
        <f>'AEO 2023 Table 49 Raw'!AF244</f>
        <v>0</v>
      </c>
      <c r="AD263" s="18">
        <f>'AEO 2023 Table 49 Raw'!AG244</f>
        <v>0</v>
      </c>
      <c r="AE263" s="18">
        <f>'AEO 2023 Table 49 Raw'!AH244</f>
        <v>0</v>
      </c>
      <c r="AF263" s="30">
        <f>'AEO 2023 Table 49 Raw'!AI244</f>
        <v>0</v>
      </c>
    </row>
    <row r="264" spans="1:32" ht="15" customHeight="1">
      <c r="C264" s="18"/>
      <c r="D264" s="18"/>
      <c r="E264" s="18"/>
      <c r="F264" s="18"/>
      <c r="G264" s="18"/>
      <c r="H264" s="18"/>
      <c r="I264" s="18"/>
      <c r="J264" s="18"/>
      <c r="K264" s="18"/>
      <c r="L264" s="18"/>
      <c r="M264" s="18"/>
      <c r="N264" s="18"/>
      <c r="O264" s="18"/>
      <c r="P264" s="18"/>
      <c r="Q264" s="18"/>
      <c r="R264" s="18"/>
      <c r="S264" s="18"/>
      <c r="T264" s="18"/>
      <c r="U264" s="18"/>
      <c r="V264" s="18"/>
      <c r="W264" s="18"/>
      <c r="X264" s="18"/>
      <c r="Y264" s="18"/>
      <c r="Z264" s="18"/>
      <c r="AA264" s="18"/>
      <c r="AB264" s="18"/>
      <c r="AC264" s="18"/>
      <c r="AD264" s="18"/>
      <c r="AE264" s="18"/>
      <c r="AF264" s="30"/>
    </row>
    <row r="265" spans="1:32" ht="15" customHeight="1">
      <c r="B265" s="15" t="s">
        <v>151</v>
      </c>
      <c r="C265" s="18"/>
      <c r="D265" s="18"/>
      <c r="E265" s="18"/>
      <c r="F265" s="18"/>
      <c r="G265" s="18"/>
      <c r="H265" s="18"/>
      <c r="I265" s="18"/>
      <c r="J265" s="18"/>
      <c r="K265" s="18"/>
      <c r="L265" s="18"/>
      <c r="M265" s="18"/>
      <c r="N265" s="18"/>
      <c r="O265" s="18"/>
      <c r="P265" s="18"/>
      <c r="Q265" s="18"/>
      <c r="R265" s="18"/>
      <c r="S265" s="18"/>
      <c r="T265" s="18"/>
      <c r="U265" s="18"/>
      <c r="V265" s="18"/>
      <c r="W265" s="18"/>
      <c r="X265" s="18"/>
      <c r="Y265" s="18"/>
      <c r="Z265" s="18"/>
      <c r="AA265" s="18"/>
      <c r="AB265" s="18"/>
      <c r="AC265" s="18"/>
      <c r="AD265" s="18"/>
      <c r="AE265" s="18"/>
      <c r="AF265" s="30"/>
    </row>
    <row r="266" spans="1:32" ht="15" customHeight="1">
      <c r="A266" s="7" t="s">
        <v>976</v>
      </c>
      <c r="B266" s="16" t="s">
        <v>977</v>
      </c>
      <c r="C266" s="18">
        <f>'AEO 2023 Table 49 Raw'!F245</f>
        <v>5187.8168949999999</v>
      </c>
      <c r="D266" s="18">
        <f>'AEO 2023 Table 49 Raw'!G245</f>
        <v>5113.0585940000001</v>
      </c>
      <c r="E266" s="18">
        <f>'AEO 2023 Table 49 Raw'!H245</f>
        <v>5146.841797</v>
      </c>
      <c r="F266" s="18">
        <f>'AEO 2023 Table 49 Raw'!I245</f>
        <v>5250.8764650000003</v>
      </c>
      <c r="G266" s="18">
        <f>'AEO 2023 Table 49 Raw'!J245</f>
        <v>5391.6943359999996</v>
      </c>
      <c r="H266" s="18">
        <f>'AEO 2023 Table 49 Raw'!K245</f>
        <v>5512.5371089999999</v>
      </c>
      <c r="I266" s="18">
        <f>'AEO 2023 Table 49 Raw'!L245</f>
        <v>5608.3964839999999</v>
      </c>
      <c r="J266" s="18">
        <f>'AEO 2023 Table 49 Raw'!M245</f>
        <v>5710.298828</v>
      </c>
      <c r="K266" s="18">
        <f>'AEO 2023 Table 49 Raw'!N245</f>
        <v>5822.5</v>
      </c>
      <c r="L266" s="18">
        <f>'AEO 2023 Table 49 Raw'!O245</f>
        <v>5953.3393550000001</v>
      </c>
      <c r="M266" s="18">
        <f>'AEO 2023 Table 49 Raw'!P245</f>
        <v>6106.6284180000002</v>
      </c>
      <c r="N266" s="18">
        <f>'AEO 2023 Table 49 Raw'!Q245</f>
        <v>6258.4541019999997</v>
      </c>
      <c r="O266" s="18">
        <f>'AEO 2023 Table 49 Raw'!R245</f>
        <v>6403.7695309999999</v>
      </c>
      <c r="P266" s="18">
        <f>'AEO 2023 Table 49 Raw'!S245</f>
        <v>6562.8208009999998</v>
      </c>
      <c r="Q266" s="18">
        <f>'AEO 2023 Table 49 Raw'!T245</f>
        <v>6716.3095700000003</v>
      </c>
      <c r="R266" s="18">
        <f>'AEO 2023 Table 49 Raw'!U245</f>
        <v>6875.7109380000002</v>
      </c>
      <c r="S266" s="18">
        <f>'AEO 2023 Table 49 Raw'!V245</f>
        <v>7045.28125</v>
      </c>
      <c r="T266" s="18">
        <f>'AEO 2023 Table 49 Raw'!W245</f>
        <v>7253.2470700000003</v>
      </c>
      <c r="U266" s="18">
        <f>'AEO 2023 Table 49 Raw'!X245</f>
        <v>7455.826172</v>
      </c>
      <c r="V266" s="18">
        <f>'AEO 2023 Table 49 Raw'!Y245</f>
        <v>7655.189453</v>
      </c>
      <c r="W266" s="18">
        <f>'AEO 2023 Table 49 Raw'!Z245</f>
        <v>7891.9492190000001</v>
      </c>
      <c r="X266" s="18">
        <f>'AEO 2023 Table 49 Raw'!AA245</f>
        <v>8151.3588870000003</v>
      </c>
      <c r="Y266" s="18">
        <f>'AEO 2023 Table 49 Raw'!AB245</f>
        <v>8441.7988280000009</v>
      </c>
      <c r="Z266" s="18">
        <f>'AEO 2023 Table 49 Raw'!AC245</f>
        <v>8738.0673829999996</v>
      </c>
      <c r="AA266" s="18">
        <f>'AEO 2023 Table 49 Raw'!AD245</f>
        <v>9055.0996090000008</v>
      </c>
      <c r="AB266" s="18">
        <f>'AEO 2023 Table 49 Raw'!AE245</f>
        <v>9359.515625</v>
      </c>
      <c r="AC266" s="18">
        <f>'AEO 2023 Table 49 Raw'!AF245</f>
        <v>9667.5195309999999</v>
      </c>
      <c r="AD266" s="18">
        <f>'AEO 2023 Table 49 Raw'!AG245</f>
        <v>10019.517578000001</v>
      </c>
      <c r="AE266" s="18">
        <f>'AEO 2023 Table 49 Raw'!AH245</f>
        <v>10370.173828000001</v>
      </c>
      <c r="AF266" s="30">
        <f>'AEO 2023 Table 49 Raw'!AI245</f>
        <v>2.5000000000000001E-2</v>
      </c>
    </row>
    <row r="267" spans="1:32" ht="12" customHeight="1">
      <c r="A267" s="7" t="s">
        <v>978</v>
      </c>
      <c r="B267" s="16" t="s">
        <v>979</v>
      </c>
      <c r="C267" s="18">
        <f>'AEO 2023 Table 49 Raw'!F246</f>
        <v>1818.8258060000001</v>
      </c>
      <c r="D267" s="18">
        <f>'AEO 2023 Table 49 Raw'!G246</f>
        <v>1834.769775</v>
      </c>
      <c r="E267" s="18">
        <f>'AEO 2023 Table 49 Raw'!H246</f>
        <v>1862.7230219999999</v>
      </c>
      <c r="F267" s="18">
        <f>'AEO 2023 Table 49 Raw'!I246</f>
        <v>1908.372192</v>
      </c>
      <c r="G267" s="18">
        <f>'AEO 2023 Table 49 Raw'!J246</f>
        <v>1965.4957280000001</v>
      </c>
      <c r="H267" s="18">
        <f>'AEO 2023 Table 49 Raw'!K246</f>
        <v>2014.6987300000001</v>
      </c>
      <c r="I267" s="18">
        <f>'AEO 2023 Table 49 Raw'!L246</f>
        <v>2056.375</v>
      </c>
      <c r="J267" s="18">
        <f>'AEO 2023 Table 49 Raw'!M246</f>
        <v>2096.7622070000002</v>
      </c>
      <c r="K267" s="18">
        <f>'AEO 2023 Table 49 Raw'!N246</f>
        <v>2132.8442380000001</v>
      </c>
      <c r="L267" s="18">
        <f>'AEO 2023 Table 49 Raw'!O246</f>
        <v>2170.9902339999999</v>
      </c>
      <c r="M267" s="18">
        <f>'AEO 2023 Table 49 Raw'!P246</f>
        <v>2211.525635</v>
      </c>
      <c r="N267" s="18">
        <f>'AEO 2023 Table 49 Raw'!Q246</f>
        <v>2257.0451659999999</v>
      </c>
      <c r="O267" s="18">
        <f>'AEO 2023 Table 49 Raw'!R246</f>
        <v>2305.1938479999999</v>
      </c>
      <c r="P267" s="18">
        <f>'AEO 2023 Table 49 Raw'!S246</f>
        <v>2366.4482419999999</v>
      </c>
      <c r="Q267" s="18">
        <f>'AEO 2023 Table 49 Raw'!T246</f>
        <v>2435.1203609999998</v>
      </c>
      <c r="R267" s="18">
        <f>'AEO 2023 Table 49 Raw'!U246</f>
        <v>2507.953857</v>
      </c>
      <c r="S267" s="18">
        <f>'AEO 2023 Table 49 Raw'!V246</f>
        <v>2585.2082519999999</v>
      </c>
      <c r="T267" s="18">
        <f>'AEO 2023 Table 49 Raw'!W246</f>
        <v>2679.1381839999999</v>
      </c>
      <c r="U267" s="18">
        <f>'AEO 2023 Table 49 Raw'!X246</f>
        <v>2783.4829100000002</v>
      </c>
      <c r="V267" s="18">
        <f>'AEO 2023 Table 49 Raw'!Y246</f>
        <v>2887.108643</v>
      </c>
      <c r="W267" s="18">
        <f>'AEO 2023 Table 49 Raw'!Z246</f>
        <v>3006.2321780000002</v>
      </c>
      <c r="X267" s="18">
        <f>'AEO 2023 Table 49 Raw'!AA246</f>
        <v>3135.8588869999999</v>
      </c>
      <c r="Y267" s="18">
        <f>'AEO 2023 Table 49 Raw'!AB246</f>
        <v>3282.3540039999998</v>
      </c>
      <c r="Z267" s="18">
        <f>'AEO 2023 Table 49 Raw'!AC246</f>
        <v>3431.9255370000001</v>
      </c>
      <c r="AA267" s="18">
        <f>'AEO 2023 Table 49 Raw'!AD246</f>
        <v>3589.960693</v>
      </c>
      <c r="AB267" s="18">
        <f>'AEO 2023 Table 49 Raw'!AE246</f>
        <v>3742.0151369999999</v>
      </c>
      <c r="AC267" s="18">
        <f>'AEO 2023 Table 49 Raw'!AF246</f>
        <v>3891.8676759999998</v>
      </c>
      <c r="AD267" s="18">
        <f>'AEO 2023 Table 49 Raw'!AG246</f>
        <v>4071.1130370000001</v>
      </c>
      <c r="AE267" s="18">
        <f>'AEO 2023 Table 49 Raw'!AH246</f>
        <v>4248.0322269999997</v>
      </c>
      <c r="AF267" s="30">
        <f>'AEO 2023 Table 49 Raw'!AI246</f>
        <v>3.1E-2</v>
      </c>
    </row>
    <row r="268" spans="1:32" ht="12" customHeight="1">
      <c r="A268" s="7" t="s">
        <v>980</v>
      </c>
      <c r="B268" s="16" t="s">
        <v>981</v>
      </c>
      <c r="C268" s="18">
        <f>'AEO 2023 Table 49 Raw'!F247</f>
        <v>3368.9909670000002</v>
      </c>
      <c r="D268" s="18">
        <f>'AEO 2023 Table 49 Raw'!G247</f>
        <v>3278.2885740000002</v>
      </c>
      <c r="E268" s="18">
        <f>'AEO 2023 Table 49 Raw'!H247</f>
        <v>3284.1186520000001</v>
      </c>
      <c r="F268" s="18">
        <f>'AEO 2023 Table 49 Raw'!I247</f>
        <v>3342.5043949999999</v>
      </c>
      <c r="G268" s="18">
        <f>'AEO 2023 Table 49 Raw'!J247</f>
        <v>3426.1987300000001</v>
      </c>
      <c r="H268" s="18">
        <f>'AEO 2023 Table 49 Raw'!K247</f>
        <v>3497.838135</v>
      </c>
      <c r="I268" s="18">
        <f>'AEO 2023 Table 49 Raw'!L247</f>
        <v>3552.02124</v>
      </c>
      <c r="J268" s="18">
        <f>'AEO 2023 Table 49 Raw'!M247</f>
        <v>3613.536865</v>
      </c>
      <c r="K268" s="18">
        <f>'AEO 2023 Table 49 Raw'!N247</f>
        <v>3689.6560060000002</v>
      </c>
      <c r="L268" s="18">
        <f>'AEO 2023 Table 49 Raw'!O247</f>
        <v>3782.3491210000002</v>
      </c>
      <c r="M268" s="18">
        <f>'AEO 2023 Table 49 Raw'!P247</f>
        <v>3895.1027829999998</v>
      </c>
      <c r="N268" s="18">
        <f>'AEO 2023 Table 49 Raw'!Q247</f>
        <v>4001.4091800000001</v>
      </c>
      <c r="O268" s="18">
        <f>'AEO 2023 Table 49 Raw'!R247</f>
        <v>4098.5756840000004</v>
      </c>
      <c r="P268" s="18">
        <f>'AEO 2023 Table 49 Raw'!S247</f>
        <v>4196.3725590000004</v>
      </c>
      <c r="Q268" s="18">
        <f>'AEO 2023 Table 49 Raw'!T247</f>
        <v>4281.189453</v>
      </c>
      <c r="R268" s="18">
        <f>'AEO 2023 Table 49 Raw'!U247</f>
        <v>4367.7568359999996</v>
      </c>
      <c r="S268" s="18">
        <f>'AEO 2023 Table 49 Raw'!V247</f>
        <v>4460.0732420000004</v>
      </c>
      <c r="T268" s="18">
        <f>'AEO 2023 Table 49 Raw'!W247</f>
        <v>4574.1088870000003</v>
      </c>
      <c r="U268" s="18">
        <f>'AEO 2023 Table 49 Raw'!X247</f>
        <v>4672.3432620000003</v>
      </c>
      <c r="V268" s="18">
        <f>'AEO 2023 Table 49 Raw'!Y247</f>
        <v>4768.0810549999997</v>
      </c>
      <c r="W268" s="18">
        <f>'AEO 2023 Table 49 Raw'!Z247</f>
        <v>4885.7172849999997</v>
      </c>
      <c r="X268" s="18">
        <f>'AEO 2023 Table 49 Raw'!AA247</f>
        <v>5015.5</v>
      </c>
      <c r="Y268" s="18">
        <f>'AEO 2023 Table 49 Raw'!AB247</f>
        <v>5159.4443359999996</v>
      </c>
      <c r="Z268" s="18">
        <f>'AEO 2023 Table 49 Raw'!AC247</f>
        <v>5306.1416019999997</v>
      </c>
      <c r="AA268" s="18">
        <f>'AEO 2023 Table 49 Raw'!AD247</f>
        <v>5465.1391599999997</v>
      </c>
      <c r="AB268" s="18">
        <f>'AEO 2023 Table 49 Raw'!AE247</f>
        <v>5617.5009769999997</v>
      </c>
      <c r="AC268" s="18">
        <f>'AEO 2023 Table 49 Raw'!AF247</f>
        <v>5775.6513670000004</v>
      </c>
      <c r="AD268" s="18">
        <f>'AEO 2023 Table 49 Raw'!AG247</f>
        <v>5948.4047849999997</v>
      </c>
      <c r="AE268" s="18">
        <f>'AEO 2023 Table 49 Raw'!AH247</f>
        <v>6122.1411129999997</v>
      </c>
      <c r="AF268" s="30">
        <f>'AEO 2023 Table 49 Raw'!AI247</f>
        <v>2.1999999999999999E-2</v>
      </c>
    </row>
    <row r="269" spans="1:32" ht="12" customHeight="1">
      <c r="B269" s="15" t="s">
        <v>960</v>
      </c>
      <c r="C269" s="18">
        <f>'AEO 2023 Table 49 Raw'!F248</f>
        <v>0</v>
      </c>
      <c r="D269" s="18">
        <f>'AEO 2023 Table 49 Raw'!G248</f>
        <v>0</v>
      </c>
      <c r="E269" s="18">
        <f>'AEO 2023 Table 49 Raw'!H248</f>
        <v>0</v>
      </c>
      <c r="F269" s="18">
        <f>'AEO 2023 Table 49 Raw'!I248</f>
        <v>0</v>
      </c>
      <c r="G269" s="18">
        <f>'AEO 2023 Table 49 Raw'!J248</f>
        <v>0</v>
      </c>
      <c r="H269" s="18">
        <f>'AEO 2023 Table 49 Raw'!K248</f>
        <v>0</v>
      </c>
      <c r="I269" s="18">
        <f>'AEO 2023 Table 49 Raw'!L248</f>
        <v>0</v>
      </c>
      <c r="J269" s="18">
        <f>'AEO 2023 Table 49 Raw'!M248</f>
        <v>0</v>
      </c>
      <c r="K269" s="18">
        <f>'AEO 2023 Table 49 Raw'!N248</f>
        <v>0</v>
      </c>
      <c r="L269" s="18">
        <f>'AEO 2023 Table 49 Raw'!O248</f>
        <v>0</v>
      </c>
      <c r="M269" s="18">
        <f>'AEO 2023 Table 49 Raw'!P248</f>
        <v>0</v>
      </c>
      <c r="N269" s="18">
        <f>'AEO 2023 Table 49 Raw'!Q248</f>
        <v>0</v>
      </c>
      <c r="O269" s="18">
        <f>'AEO 2023 Table 49 Raw'!R248</f>
        <v>0</v>
      </c>
      <c r="P269" s="18">
        <f>'AEO 2023 Table 49 Raw'!S248</f>
        <v>0</v>
      </c>
      <c r="Q269" s="18">
        <f>'AEO 2023 Table 49 Raw'!T248</f>
        <v>0</v>
      </c>
      <c r="R269" s="18">
        <f>'AEO 2023 Table 49 Raw'!U248</f>
        <v>0</v>
      </c>
      <c r="S269" s="18">
        <f>'AEO 2023 Table 49 Raw'!V248</f>
        <v>0</v>
      </c>
      <c r="T269" s="18">
        <f>'AEO 2023 Table 49 Raw'!W248</f>
        <v>0</v>
      </c>
      <c r="U269" s="18">
        <f>'AEO 2023 Table 49 Raw'!X248</f>
        <v>0</v>
      </c>
      <c r="V269" s="18">
        <f>'AEO 2023 Table 49 Raw'!Y248</f>
        <v>0</v>
      </c>
      <c r="W269" s="18">
        <f>'AEO 2023 Table 49 Raw'!Z248</f>
        <v>0</v>
      </c>
      <c r="X269" s="18">
        <f>'AEO 2023 Table 49 Raw'!AA248</f>
        <v>0</v>
      </c>
      <c r="Y269" s="18">
        <f>'AEO 2023 Table 49 Raw'!AB248</f>
        <v>0</v>
      </c>
      <c r="Z269" s="18">
        <f>'AEO 2023 Table 49 Raw'!AC248</f>
        <v>0</v>
      </c>
      <c r="AA269" s="18">
        <f>'AEO 2023 Table 49 Raw'!AD248</f>
        <v>0</v>
      </c>
      <c r="AB269" s="18">
        <f>'AEO 2023 Table 49 Raw'!AE248</f>
        <v>0</v>
      </c>
      <c r="AC269" s="18">
        <f>'AEO 2023 Table 49 Raw'!AF248</f>
        <v>0</v>
      </c>
      <c r="AD269" s="18">
        <f>'AEO 2023 Table 49 Raw'!AG248</f>
        <v>0</v>
      </c>
      <c r="AE269" s="18">
        <f>'AEO 2023 Table 49 Raw'!AH248</f>
        <v>0</v>
      </c>
      <c r="AF269" s="30">
        <f>'AEO 2023 Table 49 Raw'!AI248</f>
        <v>0</v>
      </c>
    </row>
    <row r="270" spans="1:32" ht="12" customHeight="1">
      <c r="A270" s="7" t="s">
        <v>982</v>
      </c>
      <c r="B270" s="16" t="s">
        <v>962</v>
      </c>
      <c r="C270" s="18">
        <f>'AEO 2023 Table 49 Raw'!F249</f>
        <v>222.90289300000001</v>
      </c>
      <c r="D270" s="18">
        <f>'AEO 2023 Table 49 Raw'!G249</f>
        <v>317.621216</v>
      </c>
      <c r="E270" s="18">
        <f>'AEO 2023 Table 49 Raw'!H249</f>
        <v>316.82064800000001</v>
      </c>
      <c r="F270" s="18">
        <f>'AEO 2023 Table 49 Raw'!I249</f>
        <v>318.86810300000002</v>
      </c>
      <c r="G270" s="18">
        <f>'AEO 2023 Table 49 Raw'!J249</f>
        <v>324.006775</v>
      </c>
      <c r="H270" s="18">
        <f>'AEO 2023 Table 49 Raw'!K249</f>
        <v>328.59732100000002</v>
      </c>
      <c r="I270" s="18">
        <f>'AEO 2023 Table 49 Raw'!L249</f>
        <v>337.00882000000001</v>
      </c>
      <c r="J270" s="18">
        <f>'AEO 2023 Table 49 Raw'!M249</f>
        <v>340.936646</v>
      </c>
      <c r="K270" s="18">
        <f>'AEO 2023 Table 49 Raw'!N249</f>
        <v>345.29251099999999</v>
      </c>
      <c r="L270" s="18">
        <f>'AEO 2023 Table 49 Raw'!O249</f>
        <v>346.830353</v>
      </c>
      <c r="M270" s="18">
        <f>'AEO 2023 Table 49 Raw'!P249</f>
        <v>349.25531000000001</v>
      </c>
      <c r="N270" s="18">
        <f>'AEO 2023 Table 49 Raw'!Q249</f>
        <v>351.60812399999998</v>
      </c>
      <c r="O270" s="18">
        <f>'AEO 2023 Table 49 Raw'!R249</f>
        <v>354.15759300000002</v>
      </c>
      <c r="P270" s="18">
        <f>'AEO 2023 Table 49 Raw'!S249</f>
        <v>355.73831200000001</v>
      </c>
      <c r="Q270" s="18">
        <f>'AEO 2023 Table 49 Raw'!T249</f>
        <v>356.87829599999998</v>
      </c>
      <c r="R270" s="18">
        <f>'AEO 2023 Table 49 Raw'!U249</f>
        <v>356.62280299999998</v>
      </c>
      <c r="S270" s="18">
        <f>'AEO 2023 Table 49 Raw'!V249</f>
        <v>357.07678199999998</v>
      </c>
      <c r="T270" s="18">
        <f>'AEO 2023 Table 49 Raw'!W249</f>
        <v>357.42880200000002</v>
      </c>
      <c r="U270" s="18">
        <f>'AEO 2023 Table 49 Raw'!X249</f>
        <v>359.40035999999998</v>
      </c>
      <c r="V270" s="18">
        <f>'AEO 2023 Table 49 Raw'!Y249</f>
        <v>361.00418100000002</v>
      </c>
      <c r="W270" s="18">
        <f>'AEO 2023 Table 49 Raw'!Z249</f>
        <v>361.87966899999998</v>
      </c>
      <c r="X270" s="18">
        <f>'AEO 2023 Table 49 Raw'!AA249</f>
        <v>361.73907500000001</v>
      </c>
      <c r="Y270" s="18">
        <f>'AEO 2023 Table 49 Raw'!AB249</f>
        <v>361.51782200000002</v>
      </c>
      <c r="Z270" s="18">
        <f>'AEO 2023 Table 49 Raw'!AC249</f>
        <v>361.01586900000001</v>
      </c>
      <c r="AA270" s="18">
        <f>'AEO 2023 Table 49 Raw'!AD249</f>
        <v>360.39416499999999</v>
      </c>
      <c r="AB270" s="18">
        <f>'AEO 2023 Table 49 Raw'!AE249</f>
        <v>359.54806500000001</v>
      </c>
      <c r="AC270" s="18">
        <f>'AEO 2023 Table 49 Raw'!AF249</f>
        <v>359.36944599999998</v>
      </c>
      <c r="AD270" s="18">
        <f>'AEO 2023 Table 49 Raw'!AG249</f>
        <v>357.037598</v>
      </c>
      <c r="AE270" s="18">
        <f>'AEO 2023 Table 49 Raw'!AH249</f>
        <v>355.06369000000001</v>
      </c>
      <c r="AF270" s="30">
        <f>'AEO 2023 Table 49 Raw'!AI249</f>
        <v>1.7000000000000001E-2</v>
      </c>
    </row>
    <row r="271" spans="1:32" ht="12" customHeight="1">
      <c r="A271" s="7" t="s">
        <v>983</v>
      </c>
      <c r="B271" s="16" t="s">
        <v>964</v>
      </c>
      <c r="C271" s="18">
        <f>'AEO 2023 Table 49 Raw'!F250</f>
        <v>685.66467299999999</v>
      </c>
      <c r="D271" s="18">
        <f>'AEO 2023 Table 49 Raw'!G250</f>
        <v>532.26501499999995</v>
      </c>
      <c r="E271" s="18">
        <f>'AEO 2023 Table 49 Raw'!H250</f>
        <v>521.59381099999996</v>
      </c>
      <c r="F271" s="18">
        <f>'AEO 2023 Table 49 Raw'!I250</f>
        <v>525.89343299999996</v>
      </c>
      <c r="G271" s="18">
        <f>'AEO 2023 Table 49 Raw'!J250</f>
        <v>503.096588</v>
      </c>
      <c r="H271" s="18">
        <f>'AEO 2023 Table 49 Raw'!K250</f>
        <v>496.74609400000003</v>
      </c>
      <c r="I271" s="18">
        <f>'AEO 2023 Table 49 Raw'!L250</f>
        <v>477.40963699999998</v>
      </c>
      <c r="J271" s="18">
        <f>'AEO 2023 Table 49 Raw'!M250</f>
        <v>466.270691</v>
      </c>
      <c r="K271" s="18">
        <f>'AEO 2023 Table 49 Raw'!N250</f>
        <v>457.94595299999997</v>
      </c>
      <c r="L271" s="18">
        <f>'AEO 2023 Table 49 Raw'!O250</f>
        <v>456.54238900000001</v>
      </c>
      <c r="M271" s="18">
        <f>'AEO 2023 Table 49 Raw'!P250</f>
        <v>454.821686</v>
      </c>
      <c r="N271" s="18">
        <f>'AEO 2023 Table 49 Raw'!Q250</f>
        <v>454.123627</v>
      </c>
      <c r="O271" s="18">
        <f>'AEO 2023 Table 49 Raw'!R250</f>
        <v>452.39529399999998</v>
      </c>
      <c r="P271" s="18">
        <f>'AEO 2023 Table 49 Raw'!S250</f>
        <v>450.571167</v>
      </c>
      <c r="Q271" s="18">
        <f>'AEO 2023 Table 49 Raw'!T250</f>
        <v>447.20434599999999</v>
      </c>
      <c r="R271" s="18">
        <f>'AEO 2023 Table 49 Raw'!U250</f>
        <v>445.97729500000003</v>
      </c>
      <c r="S271" s="18">
        <f>'AEO 2023 Table 49 Raw'!V250</f>
        <v>443.98672499999998</v>
      </c>
      <c r="T271" s="18">
        <f>'AEO 2023 Table 49 Raw'!W250</f>
        <v>442.23706099999998</v>
      </c>
      <c r="U271" s="18">
        <f>'AEO 2023 Table 49 Raw'!X250</f>
        <v>442.813782</v>
      </c>
      <c r="V271" s="18">
        <f>'AEO 2023 Table 49 Raw'!Y250</f>
        <v>440.02780200000001</v>
      </c>
      <c r="W271" s="18">
        <f>'AEO 2023 Table 49 Raw'!Z250</f>
        <v>437.12060500000001</v>
      </c>
      <c r="X271" s="18">
        <f>'AEO 2023 Table 49 Raw'!AA250</f>
        <v>434.76684599999999</v>
      </c>
      <c r="Y271" s="18">
        <f>'AEO 2023 Table 49 Raw'!AB250</f>
        <v>432.69305400000002</v>
      </c>
      <c r="Z271" s="18">
        <f>'AEO 2023 Table 49 Raw'!AC250</f>
        <v>429.77169800000001</v>
      </c>
      <c r="AA271" s="18">
        <f>'AEO 2023 Table 49 Raw'!AD250</f>
        <v>428.44003300000003</v>
      </c>
      <c r="AB271" s="18">
        <f>'AEO 2023 Table 49 Raw'!AE250</f>
        <v>426.155731</v>
      </c>
      <c r="AC271" s="18">
        <f>'AEO 2023 Table 49 Raw'!AF250</f>
        <v>419.12597699999998</v>
      </c>
      <c r="AD271" s="18">
        <f>'AEO 2023 Table 49 Raw'!AG250</f>
        <v>417.71749899999998</v>
      </c>
      <c r="AE271" s="18">
        <f>'AEO 2023 Table 49 Raw'!AH250</f>
        <v>415.33468599999998</v>
      </c>
      <c r="AF271" s="30">
        <f>'AEO 2023 Table 49 Raw'!AI250</f>
        <v>-1.7999999999999999E-2</v>
      </c>
    </row>
    <row r="272" spans="1:32" ht="12" customHeight="1">
      <c r="A272" s="7" t="s">
        <v>984</v>
      </c>
      <c r="B272" s="16" t="s">
        <v>966</v>
      </c>
      <c r="C272" s="18">
        <f>'AEO 2023 Table 49 Raw'!F251</f>
        <v>0</v>
      </c>
      <c r="D272" s="18">
        <f>'AEO 2023 Table 49 Raw'!G251</f>
        <v>0</v>
      </c>
      <c r="E272" s="18">
        <f>'AEO 2023 Table 49 Raw'!H251</f>
        <v>0</v>
      </c>
      <c r="F272" s="18">
        <f>'AEO 2023 Table 49 Raw'!I251</f>
        <v>0</v>
      </c>
      <c r="G272" s="18">
        <f>'AEO 2023 Table 49 Raw'!J251</f>
        <v>0</v>
      </c>
      <c r="H272" s="18">
        <f>'AEO 2023 Table 49 Raw'!K251</f>
        <v>0</v>
      </c>
      <c r="I272" s="18">
        <f>'AEO 2023 Table 49 Raw'!L251</f>
        <v>0</v>
      </c>
      <c r="J272" s="18">
        <f>'AEO 2023 Table 49 Raw'!M251</f>
        <v>0</v>
      </c>
      <c r="K272" s="18">
        <f>'AEO 2023 Table 49 Raw'!N251</f>
        <v>0</v>
      </c>
      <c r="L272" s="18">
        <f>'AEO 2023 Table 49 Raw'!O251</f>
        <v>0</v>
      </c>
      <c r="M272" s="18">
        <f>'AEO 2023 Table 49 Raw'!P251</f>
        <v>0</v>
      </c>
      <c r="N272" s="18">
        <f>'AEO 2023 Table 49 Raw'!Q251</f>
        <v>0</v>
      </c>
      <c r="O272" s="18">
        <f>'AEO 2023 Table 49 Raw'!R251</f>
        <v>0</v>
      </c>
      <c r="P272" s="18">
        <f>'AEO 2023 Table 49 Raw'!S251</f>
        <v>0</v>
      </c>
      <c r="Q272" s="18">
        <f>'AEO 2023 Table 49 Raw'!T251</f>
        <v>0</v>
      </c>
      <c r="R272" s="18">
        <f>'AEO 2023 Table 49 Raw'!U251</f>
        <v>0</v>
      </c>
      <c r="S272" s="18">
        <f>'AEO 2023 Table 49 Raw'!V251</f>
        <v>0</v>
      </c>
      <c r="T272" s="18">
        <f>'AEO 2023 Table 49 Raw'!W251</f>
        <v>0</v>
      </c>
      <c r="U272" s="18">
        <f>'AEO 2023 Table 49 Raw'!X251</f>
        <v>0</v>
      </c>
      <c r="V272" s="18">
        <f>'AEO 2023 Table 49 Raw'!Y251</f>
        <v>0</v>
      </c>
      <c r="W272" s="18">
        <f>'AEO 2023 Table 49 Raw'!Z251</f>
        <v>0</v>
      </c>
      <c r="X272" s="18">
        <f>'AEO 2023 Table 49 Raw'!AA251</f>
        <v>0</v>
      </c>
      <c r="Y272" s="18">
        <f>'AEO 2023 Table 49 Raw'!AB251</f>
        <v>0</v>
      </c>
      <c r="Z272" s="18">
        <f>'AEO 2023 Table 49 Raw'!AC251</f>
        <v>0</v>
      </c>
      <c r="AA272" s="18">
        <f>'AEO 2023 Table 49 Raw'!AD251</f>
        <v>0</v>
      </c>
      <c r="AB272" s="18">
        <f>'AEO 2023 Table 49 Raw'!AE251</f>
        <v>0</v>
      </c>
      <c r="AC272" s="18">
        <f>'AEO 2023 Table 49 Raw'!AF251</f>
        <v>0</v>
      </c>
      <c r="AD272" s="18">
        <f>'AEO 2023 Table 49 Raw'!AG251</f>
        <v>0</v>
      </c>
      <c r="AE272" s="18">
        <f>'AEO 2023 Table 49 Raw'!AH251</f>
        <v>0</v>
      </c>
      <c r="AF272" s="30" t="str">
        <f>'AEO 2023 Table 49 Raw'!AI251</f>
        <v>- -</v>
      </c>
    </row>
    <row r="273" spans="1:33" ht="12" customHeight="1">
      <c r="A273" s="7" t="s">
        <v>985</v>
      </c>
      <c r="B273" s="16" t="s">
        <v>968</v>
      </c>
      <c r="C273" s="18">
        <f>'AEO 2023 Table 49 Raw'!F252</f>
        <v>26.358443999999999</v>
      </c>
      <c r="D273" s="18">
        <f>'AEO 2023 Table 49 Raw'!G252</f>
        <v>31.450164999999998</v>
      </c>
      <c r="E273" s="18">
        <f>'AEO 2023 Table 49 Raw'!H252</f>
        <v>39.367027</v>
      </c>
      <c r="F273" s="18">
        <f>'AEO 2023 Table 49 Raw'!I252</f>
        <v>34.890903000000002</v>
      </c>
      <c r="G273" s="18">
        <f>'AEO 2023 Table 49 Raw'!J252</f>
        <v>45.094749</v>
      </c>
      <c r="H273" s="18">
        <f>'AEO 2023 Table 49 Raw'!K252</f>
        <v>45.047179999999997</v>
      </c>
      <c r="I273" s="18">
        <f>'AEO 2023 Table 49 Raw'!L252</f>
        <v>49.551949</v>
      </c>
      <c r="J273" s="18">
        <f>'AEO 2023 Table 49 Raw'!M252</f>
        <v>53.193492999999997</v>
      </c>
      <c r="K273" s="18">
        <f>'AEO 2023 Table 49 Raw'!N252</f>
        <v>54.584952999999999</v>
      </c>
      <c r="L273" s="18">
        <f>'AEO 2023 Table 49 Raw'!O252</f>
        <v>54.324471000000003</v>
      </c>
      <c r="M273" s="18">
        <f>'AEO 2023 Table 49 Raw'!P252</f>
        <v>53.443835999999997</v>
      </c>
      <c r="N273" s="18">
        <f>'AEO 2023 Table 49 Raw'!Q252</f>
        <v>51.944271000000001</v>
      </c>
      <c r="O273" s="18">
        <f>'AEO 2023 Table 49 Raw'!R252</f>
        <v>50.878489999999999</v>
      </c>
      <c r="P273" s="18">
        <f>'AEO 2023 Table 49 Raw'!S252</f>
        <v>50.864525</v>
      </c>
      <c r="Q273" s="18">
        <f>'AEO 2023 Table 49 Raw'!T252</f>
        <v>52.271923000000001</v>
      </c>
      <c r="R273" s="18">
        <f>'AEO 2023 Table 49 Raw'!U252</f>
        <v>53.688018999999997</v>
      </c>
      <c r="S273" s="18">
        <f>'AEO 2023 Table 49 Raw'!V252</f>
        <v>54.913826</v>
      </c>
      <c r="T273" s="18">
        <f>'AEO 2023 Table 49 Raw'!W252</f>
        <v>56.159897000000001</v>
      </c>
      <c r="U273" s="18">
        <f>'AEO 2023 Table 49 Raw'!X252</f>
        <v>54.236252</v>
      </c>
      <c r="V273" s="18">
        <f>'AEO 2023 Table 49 Raw'!Y252</f>
        <v>54.856876</v>
      </c>
      <c r="W273" s="18">
        <f>'AEO 2023 Table 49 Raw'!Z252</f>
        <v>56.348083000000003</v>
      </c>
      <c r="X273" s="18">
        <f>'AEO 2023 Table 49 Raw'!AA252</f>
        <v>58.531737999999997</v>
      </c>
      <c r="Y273" s="18">
        <f>'AEO 2023 Table 49 Raw'!AB252</f>
        <v>60.656860000000002</v>
      </c>
      <c r="Z273" s="18">
        <f>'AEO 2023 Table 49 Raw'!AC252</f>
        <v>63.607261999999999</v>
      </c>
      <c r="AA273" s="18">
        <f>'AEO 2023 Table 49 Raw'!AD252</f>
        <v>65.661552</v>
      </c>
      <c r="AB273" s="18">
        <f>'AEO 2023 Table 49 Raw'!AE252</f>
        <v>68.520568999999995</v>
      </c>
      <c r="AC273" s="18">
        <f>'AEO 2023 Table 49 Raw'!AF252</f>
        <v>73.802834000000004</v>
      </c>
      <c r="AD273" s="18">
        <f>'AEO 2023 Table 49 Raw'!AG252</f>
        <v>77.626357999999996</v>
      </c>
      <c r="AE273" s="18">
        <f>'AEO 2023 Table 49 Raw'!AH252</f>
        <v>81.707138</v>
      </c>
      <c r="AF273" s="30">
        <f>'AEO 2023 Table 49 Raw'!AI252</f>
        <v>4.1000000000000002E-2</v>
      </c>
    </row>
    <row r="274" spans="1:33" ht="12" customHeight="1" thickBot="1"/>
    <row r="275" spans="1:33" ht="12" customHeight="1">
      <c r="B275" s="24" t="s">
        <v>986</v>
      </c>
      <c r="C275" s="20"/>
      <c r="D275" s="20"/>
      <c r="E275" s="20"/>
      <c r="F275" s="20"/>
      <c r="G275" s="20"/>
      <c r="H275" s="20"/>
      <c r="I275" s="20"/>
      <c r="J275" s="20"/>
      <c r="K275" s="20"/>
      <c r="L275" s="20"/>
      <c r="M275" s="20"/>
      <c r="N275" s="20"/>
      <c r="O275" s="20"/>
      <c r="P275" s="20"/>
      <c r="Q275" s="20"/>
      <c r="R275" s="20"/>
      <c r="S275" s="20"/>
      <c r="T275" s="20"/>
      <c r="U275" s="20"/>
      <c r="V275" s="20"/>
      <c r="W275" s="20"/>
      <c r="X275" s="20"/>
      <c r="Y275" s="20"/>
      <c r="Z275" s="20"/>
      <c r="AA275" s="20"/>
      <c r="AB275" s="20"/>
      <c r="AC275" s="20"/>
      <c r="AD275" s="20"/>
      <c r="AE275" s="20"/>
      <c r="AF275" s="20"/>
      <c r="AG275" s="20"/>
    </row>
    <row r="276" spans="1:33" ht="12" customHeight="1">
      <c r="B276" s="4" t="s">
        <v>987</v>
      </c>
    </row>
    <row r="277" spans="1:33" ht="12" customHeight="1">
      <c r="B277" s="4" t="s">
        <v>157</v>
      </c>
    </row>
    <row r="278" spans="1:33" ht="12" customHeight="1">
      <c r="B278" s="4" t="s">
        <v>502</v>
      </c>
    </row>
    <row r="279" spans="1:33" ht="12" customHeight="1">
      <c r="B279" s="4" t="s">
        <v>404</v>
      </c>
    </row>
    <row r="280" spans="1:33" ht="12" customHeight="1">
      <c r="B280" s="4" t="s">
        <v>988</v>
      </c>
    </row>
    <row r="281" spans="1:33" ht="12" customHeight="1">
      <c r="B281" s="4" t="s">
        <v>989</v>
      </c>
    </row>
    <row r="282" spans="1:33" ht="12" customHeight="1">
      <c r="B282" s="4" t="s">
        <v>990</v>
      </c>
    </row>
    <row r="283" spans="1:33" ht="12" customHeight="1"/>
    <row r="284" spans="1:33" ht="12" customHeight="1"/>
    <row r="285" spans="1:33" ht="12" customHeight="1"/>
    <row r="286" spans="1:33" ht="12" customHeight="1"/>
    <row r="287" spans="1:33" ht="12" customHeight="1"/>
    <row r="288" spans="1:33" ht="12" customHeight="1"/>
    <row r="289" ht="12" customHeight="1"/>
    <row r="290" ht="12" customHeight="1"/>
    <row r="291" ht="12" customHeight="1"/>
    <row r="292" ht="12" customHeight="1"/>
    <row r="293" ht="12" customHeight="1"/>
    <row r="294" ht="12" customHeight="1"/>
    <row r="295" ht="12" customHeight="1"/>
    <row r="296" ht="12" customHeight="1"/>
    <row r="297" ht="12" customHeight="1"/>
    <row r="298" ht="12" customHeight="1"/>
    <row r="299" ht="12" customHeight="1"/>
    <row r="300" ht="15" customHeight="1"/>
    <row r="301" ht="15" customHeight="1"/>
    <row r="302" ht="15" customHeight="1"/>
    <row r="303" ht="15" customHeight="1"/>
    <row r="304" ht="15" customHeight="1"/>
    <row r="305" ht="15" customHeight="1"/>
    <row r="306" ht="15" customHeight="1"/>
    <row r="307" ht="15" customHeight="1"/>
    <row r="308" ht="15" customHeight="1"/>
    <row r="309" ht="15" customHeight="1"/>
    <row r="310" ht="12" customHeight="1"/>
    <row r="311" ht="15" customHeight="1"/>
    <row r="312" ht="15" customHeight="1"/>
    <row r="313" ht="15" customHeight="1"/>
    <row r="314" ht="15" customHeight="1"/>
    <row r="315" ht="15" customHeight="1"/>
    <row r="316" ht="15" customHeight="1"/>
    <row r="317" ht="15" customHeight="1"/>
    <row r="318" ht="15" customHeight="1"/>
    <row r="319" ht="15" customHeight="1"/>
    <row r="320" ht="15" customHeight="1"/>
    <row r="321" ht="15" customHeight="1"/>
    <row r="322" ht="15" customHeight="1"/>
    <row r="323" ht="15" customHeight="1"/>
    <row r="324" ht="15" customHeight="1"/>
    <row r="325" ht="15" customHeight="1"/>
    <row r="326" ht="15" customHeight="1"/>
    <row r="327" ht="12" customHeight="1"/>
    <row r="328" ht="15" customHeight="1"/>
    <row r="329" ht="12" customHeight="1"/>
    <row r="330" ht="15" customHeight="1"/>
    <row r="331" ht="15" customHeight="1"/>
    <row r="332" ht="15" customHeight="1"/>
    <row r="333" ht="15" customHeight="1"/>
    <row r="334" ht="15" customHeight="1"/>
    <row r="335" ht="15" customHeight="1"/>
    <row r="336" ht="15" customHeight="1"/>
    <row r="337" ht="15" customHeight="1"/>
    <row r="338" ht="15" customHeight="1"/>
    <row r="339" ht="15" customHeight="1"/>
    <row r="340" ht="15" customHeight="1"/>
    <row r="341" ht="15" customHeight="1"/>
    <row r="342" ht="15" customHeight="1"/>
    <row r="343" ht="15" customHeight="1"/>
    <row r="344" ht="15" customHeight="1"/>
    <row r="345" ht="15" customHeight="1"/>
    <row r="346" ht="12" customHeight="1"/>
    <row r="347" ht="12" customHeight="1"/>
    <row r="348" ht="12" customHeight="1"/>
    <row r="349" ht="12" customHeight="1"/>
    <row r="350" ht="12" customHeight="1"/>
    <row r="351" ht="12" customHeight="1"/>
    <row r="352" ht="12" customHeight="1"/>
    <row r="353" ht="12" customHeight="1"/>
    <row r="354" ht="12" customHeight="1"/>
    <row r="355" ht="12" customHeight="1"/>
    <row r="356" ht="12" customHeight="1"/>
    <row r="357" ht="12" customHeight="1"/>
    <row r="358" ht="12" customHeight="1"/>
    <row r="359" ht="12" customHeight="1"/>
    <row r="360" ht="12" customHeight="1"/>
    <row r="361" ht="12" customHeight="1"/>
    <row r="362" ht="12" customHeight="1"/>
    <row r="363" ht="12" customHeight="1"/>
    <row r="364" ht="12" customHeight="1"/>
    <row r="365" ht="12" customHeight="1"/>
    <row r="366" ht="12" customHeight="1"/>
    <row r="367" ht="12" customHeight="1"/>
    <row r="368" ht="12" customHeight="1"/>
    <row r="369" ht="12" customHeight="1"/>
    <row r="370" ht="12" customHeight="1"/>
    <row r="371" ht="12" customHeight="1"/>
    <row r="372" ht="12" customHeight="1"/>
    <row r="373" ht="12" customHeight="1"/>
    <row r="374" ht="12" customHeight="1"/>
    <row r="375" ht="15" customHeight="1"/>
    <row r="376" ht="15" customHeight="1"/>
    <row r="377" ht="15" customHeight="1"/>
    <row r="378" ht="15" customHeight="1"/>
    <row r="379" ht="15" customHeight="1"/>
    <row r="380" ht="15" customHeight="1"/>
    <row r="381" ht="15" customHeight="1"/>
    <row r="382" ht="15" customHeight="1"/>
    <row r="383" ht="15" customHeight="1"/>
    <row r="384" ht="15" customHeight="1"/>
    <row r="385" ht="12" customHeight="1"/>
    <row r="386" ht="15" customHeight="1"/>
    <row r="387" ht="15" customHeight="1"/>
    <row r="388" ht="15" customHeight="1"/>
    <row r="389" ht="15" customHeight="1"/>
    <row r="390" ht="15" customHeight="1"/>
    <row r="391" ht="15" customHeight="1"/>
    <row r="392" ht="15" customHeight="1"/>
    <row r="393" ht="15" customHeight="1"/>
    <row r="394" ht="15" customHeight="1"/>
    <row r="395" ht="15" customHeight="1"/>
    <row r="396" ht="15" customHeight="1"/>
    <row r="397" ht="15" customHeight="1"/>
    <row r="398" ht="15" customHeight="1"/>
    <row r="399" ht="15" customHeight="1"/>
    <row r="400" ht="15" customHeight="1"/>
    <row r="401" ht="15" customHeight="1"/>
    <row r="402" ht="12" customHeight="1"/>
    <row r="403" ht="15" customHeight="1"/>
    <row r="404" ht="15" customHeight="1"/>
    <row r="405" ht="12" customHeight="1"/>
    <row r="406" ht="15" customHeight="1"/>
    <row r="407" ht="15" customHeight="1"/>
    <row r="408" ht="15" customHeight="1"/>
    <row r="409" ht="15" customHeight="1"/>
    <row r="410" ht="15" customHeight="1"/>
    <row r="411" ht="12" customHeight="1"/>
    <row r="412" ht="15" customHeight="1"/>
    <row r="413" ht="15" customHeight="1"/>
    <row r="414" ht="15" customHeight="1"/>
    <row r="415" ht="15" customHeight="1"/>
    <row r="416" ht="15" customHeight="1"/>
    <row r="417" ht="15" customHeight="1"/>
    <row r="418" ht="15" customHeight="1"/>
    <row r="419" ht="15" customHeight="1"/>
    <row r="420" ht="15" customHeight="1"/>
    <row r="421" ht="15" customHeight="1"/>
    <row r="422" ht="15" customHeight="1"/>
    <row r="423" ht="15" customHeight="1"/>
    <row r="424" ht="15" customHeight="1"/>
    <row r="425" ht="15" customHeight="1"/>
    <row r="426" ht="15" customHeight="1"/>
    <row r="427" ht="15" customHeight="1"/>
    <row r="428" ht="12" customHeight="1"/>
    <row r="429" ht="15" customHeight="1"/>
    <row r="430" ht="15" customHeight="1"/>
    <row r="431" ht="12" customHeight="1"/>
    <row r="432" ht="15" customHeight="1"/>
    <row r="433" ht="15" customHeight="1"/>
    <row r="434" ht="15" customHeight="1"/>
    <row r="435" ht="12" customHeight="1"/>
    <row r="436" ht="15" customHeight="1"/>
    <row r="437" ht="15" customHeight="1"/>
    <row r="438" ht="15" customHeight="1"/>
    <row r="439" ht="15" customHeight="1"/>
    <row r="440" ht="15" customHeight="1"/>
    <row r="441" ht="15" customHeight="1"/>
    <row r="442" ht="15" customHeight="1"/>
    <row r="443" ht="15" customHeight="1"/>
    <row r="444" ht="15" customHeight="1"/>
    <row r="445" ht="15" customHeight="1"/>
    <row r="446" ht="12" customHeight="1"/>
    <row r="447" ht="15" customHeight="1"/>
    <row r="448" ht="15" customHeight="1"/>
    <row r="449" ht="12" customHeight="1"/>
    <row r="450" ht="15" customHeight="1"/>
    <row r="451" ht="15" customHeight="1"/>
    <row r="452" ht="15" customHeight="1"/>
    <row r="453" ht="15" customHeight="1"/>
    <row r="454" ht="15" customHeight="1"/>
    <row r="455" ht="15" customHeight="1"/>
    <row r="456" ht="15" customHeight="1"/>
    <row r="457" ht="15" customHeight="1"/>
    <row r="458" ht="15" customHeight="1"/>
    <row r="459" ht="15" customHeight="1"/>
    <row r="460" ht="12" customHeight="1"/>
    <row r="461" ht="12" customHeight="1"/>
    <row r="462" ht="12" customHeight="1"/>
    <row r="463" ht="12" customHeight="1"/>
    <row r="464" ht="12" customHeight="1"/>
    <row r="465" ht="12" customHeight="1"/>
    <row r="466" ht="12" customHeight="1"/>
    <row r="467" ht="12" customHeight="1"/>
    <row r="468" ht="12" customHeight="1"/>
    <row r="469" ht="12" customHeight="1"/>
    <row r="470" ht="12" customHeight="1"/>
    <row r="471" ht="12" customHeight="1"/>
    <row r="472" ht="12" customHeight="1"/>
    <row r="473" ht="12" customHeight="1"/>
    <row r="474" ht="12" customHeight="1"/>
    <row r="475" ht="12" customHeight="1"/>
    <row r="476" ht="12" customHeight="1"/>
    <row r="477" ht="12" customHeight="1"/>
    <row r="478" ht="12" customHeight="1"/>
    <row r="479" ht="12" customHeight="1"/>
    <row r="480" ht="12" customHeight="1"/>
    <row r="481" ht="12" customHeight="1"/>
    <row r="482" ht="12" customHeight="1"/>
    <row r="483" ht="12" customHeight="1"/>
    <row r="484" ht="12" customHeight="1"/>
    <row r="485" ht="12" customHeight="1"/>
    <row r="486" ht="12" customHeight="1"/>
    <row r="487" ht="12" customHeight="1"/>
    <row r="488" ht="12" customHeight="1"/>
    <row r="489" ht="12" customHeight="1"/>
    <row r="490" ht="12" customHeight="1"/>
    <row r="491" ht="12" customHeight="1"/>
    <row r="492" ht="12" customHeight="1"/>
    <row r="493" ht="12" customHeight="1"/>
    <row r="494" ht="12" customHeight="1"/>
    <row r="495" ht="12" customHeight="1"/>
    <row r="496" ht="12" customHeight="1"/>
    <row r="497" ht="12" customHeight="1"/>
    <row r="498" ht="12" customHeight="1"/>
    <row r="499" ht="12" customHeight="1"/>
    <row r="500" ht="15" customHeight="1"/>
    <row r="501" ht="15" customHeight="1"/>
    <row r="502" ht="15" customHeight="1"/>
    <row r="503" ht="15" customHeight="1"/>
    <row r="504" ht="15" customHeight="1"/>
    <row r="505" ht="15" customHeight="1"/>
    <row r="506" ht="15" customHeight="1"/>
    <row r="507" ht="15" customHeight="1"/>
    <row r="508" ht="15" customHeight="1"/>
    <row r="509" ht="15" customHeight="1"/>
    <row r="510" ht="12" customHeight="1"/>
    <row r="511" ht="15" customHeight="1"/>
    <row r="512" ht="15" customHeight="1"/>
    <row r="513" ht="15" customHeight="1"/>
    <row r="514" ht="15" customHeight="1"/>
    <row r="515" ht="15" customHeight="1"/>
    <row r="516" ht="15" customHeight="1"/>
    <row r="517" ht="15" customHeight="1"/>
    <row r="518" ht="15" customHeight="1"/>
    <row r="519" ht="15" customHeight="1"/>
    <row r="520" ht="15" customHeight="1"/>
    <row r="521" ht="15" customHeight="1"/>
    <row r="522" ht="15" customHeight="1"/>
    <row r="523" ht="15" customHeight="1"/>
    <row r="524" ht="15" customHeight="1"/>
    <row r="525" ht="15" customHeight="1"/>
    <row r="526" ht="15" customHeight="1"/>
    <row r="527" ht="12" customHeight="1"/>
    <row r="528" ht="15" customHeight="1"/>
    <row r="529" ht="12" customHeight="1"/>
    <row r="530" ht="15" customHeight="1"/>
    <row r="531" ht="15" customHeight="1"/>
    <row r="532" ht="15" customHeight="1"/>
    <row r="533" ht="15" customHeight="1"/>
    <row r="534" ht="15" customHeight="1"/>
    <row r="535" ht="12" customHeight="1"/>
    <row r="536" ht="15" customHeight="1"/>
    <row r="537" ht="15" customHeight="1"/>
    <row r="538" ht="15" customHeight="1"/>
    <row r="539" ht="15" customHeight="1"/>
    <row r="540" ht="15" customHeight="1"/>
    <row r="541" ht="15" customHeight="1"/>
    <row r="542" ht="15" customHeight="1"/>
    <row r="543" ht="15" customHeight="1"/>
    <row r="544" ht="15" customHeight="1"/>
    <row r="545" ht="15" customHeight="1"/>
    <row r="546" ht="15" customHeight="1"/>
    <row r="547" ht="15" customHeight="1"/>
    <row r="548" ht="15" customHeight="1"/>
    <row r="549" ht="15" customHeight="1"/>
    <row r="550" ht="15" customHeight="1"/>
    <row r="551" ht="15" customHeight="1"/>
    <row r="552" ht="12" customHeight="1"/>
    <row r="553" ht="15" customHeight="1"/>
    <row r="554" ht="12" customHeight="1"/>
    <row r="555" ht="15" customHeight="1"/>
    <row r="556" ht="15" customHeight="1"/>
    <row r="557" ht="15" customHeight="1"/>
    <row r="558" ht="15" customHeight="1"/>
    <row r="559" ht="15" customHeight="1"/>
    <row r="560" ht="15" customHeight="1"/>
    <row r="561" ht="15" customHeight="1"/>
    <row r="562" ht="12" customHeight="1"/>
    <row r="563" ht="12" customHeight="1"/>
    <row r="564" ht="12" customHeight="1"/>
    <row r="565" ht="12" customHeight="1"/>
    <row r="566" ht="12" customHeight="1"/>
    <row r="567" ht="12" customHeight="1"/>
    <row r="568" ht="12" customHeight="1"/>
    <row r="569" ht="12" customHeight="1"/>
    <row r="570" ht="12" customHeight="1"/>
    <row r="571" ht="12" customHeight="1"/>
    <row r="572" ht="12" customHeight="1"/>
    <row r="573" ht="12" customHeight="1"/>
    <row r="574" ht="12" customHeight="1"/>
    <row r="575" ht="15" customHeight="1"/>
    <row r="576" ht="15" customHeight="1"/>
    <row r="577" ht="15" customHeight="1"/>
    <row r="578" ht="15" customHeight="1"/>
    <row r="579" ht="15" customHeight="1"/>
    <row r="580" ht="15" customHeight="1"/>
    <row r="581" ht="15" customHeight="1"/>
    <row r="582" ht="15" customHeight="1"/>
    <row r="583" ht="15" customHeight="1"/>
    <row r="584" ht="12" customHeight="1"/>
    <row r="585" ht="15" customHeight="1"/>
    <row r="586" ht="15" customHeight="1"/>
    <row r="587" ht="15" customHeight="1"/>
    <row r="588" ht="15" customHeight="1"/>
    <row r="589" ht="15" customHeight="1"/>
    <row r="590" ht="15" customHeight="1"/>
    <row r="591" ht="15" customHeight="1"/>
    <row r="592" ht="15" customHeight="1"/>
    <row r="593" ht="15" customHeight="1"/>
    <row r="594" ht="15" customHeight="1"/>
    <row r="595" ht="15" customHeight="1"/>
    <row r="596" ht="15" customHeight="1"/>
    <row r="597" ht="15" customHeight="1"/>
    <row r="598" ht="15" customHeight="1"/>
    <row r="599" ht="15" customHeight="1"/>
    <row r="600" ht="12" customHeight="1"/>
    <row r="601" ht="15" customHeight="1"/>
    <row r="602" ht="12" customHeight="1"/>
    <row r="603" ht="15" customHeight="1"/>
    <row r="604" ht="15" customHeight="1"/>
    <row r="605" ht="15" customHeight="1"/>
    <row r="606" ht="15" customHeight="1"/>
    <row r="607" ht="12" customHeight="1"/>
    <row r="608" ht="15" customHeight="1"/>
    <row r="609" ht="15" customHeight="1"/>
    <row r="610" ht="15" customHeight="1"/>
    <row r="611" ht="15" customHeight="1"/>
    <row r="612" ht="15" customHeight="1"/>
    <row r="613" ht="15" customHeight="1"/>
    <row r="614" ht="15" customHeight="1"/>
    <row r="615" ht="15" customHeight="1"/>
    <row r="616" ht="15" customHeight="1"/>
    <row r="617" ht="15" customHeight="1"/>
    <row r="618" ht="15" customHeight="1"/>
    <row r="619" ht="15" customHeight="1"/>
    <row r="620" ht="15" customHeight="1"/>
    <row r="621" ht="15" customHeight="1"/>
    <row r="622" ht="15" customHeight="1"/>
    <row r="623" ht="12" customHeight="1"/>
    <row r="624" ht="15" customHeight="1"/>
    <row r="625" ht="12" customHeight="1"/>
    <row r="626" ht="15" customHeight="1"/>
    <row r="627" ht="12" customHeight="1"/>
    <row r="628" ht="15" customHeight="1"/>
    <row r="629" ht="15" customHeight="1"/>
    <row r="630" ht="12" customHeight="1"/>
    <row r="631" ht="15" customHeight="1"/>
    <row r="632" ht="12" customHeight="1"/>
    <row r="633" ht="12" customHeight="1"/>
    <row r="634" ht="15" customHeight="1"/>
    <row r="635" ht="12" customHeight="1"/>
    <row r="636" ht="15" customHeight="1"/>
    <row r="637" ht="15" customHeight="1"/>
    <row r="638" ht="15" customHeight="1"/>
    <row r="639" ht="15" customHeight="1"/>
    <row r="640" ht="15" customHeight="1"/>
    <row r="641" ht="15" customHeight="1"/>
    <row r="642" ht="15" customHeight="1"/>
    <row r="643" ht="12" customHeight="1"/>
    <row r="644" ht="12" customHeight="1"/>
    <row r="645" ht="12" customHeight="1"/>
    <row r="646" ht="12" customHeight="1"/>
    <row r="647" ht="12" customHeight="1"/>
    <row r="648" ht="12" customHeight="1"/>
    <row r="649" ht="12" customHeight="1"/>
    <row r="650" ht="12" customHeight="1"/>
    <row r="651" ht="12" customHeight="1"/>
    <row r="652" ht="12" customHeight="1"/>
    <row r="653" ht="12" customHeight="1"/>
    <row r="654" ht="12" customHeight="1"/>
    <row r="655" ht="12" customHeight="1"/>
    <row r="656" ht="12" customHeight="1"/>
    <row r="657" ht="12" customHeight="1"/>
    <row r="658" ht="12" customHeight="1"/>
    <row r="659" ht="12" customHeight="1"/>
    <row r="660" ht="12" customHeight="1"/>
    <row r="661" ht="12" customHeight="1"/>
    <row r="662" ht="12" customHeight="1"/>
    <row r="663" ht="12" customHeight="1"/>
    <row r="664" ht="12" customHeight="1"/>
    <row r="665" ht="12" customHeight="1"/>
    <row r="666" ht="12" customHeight="1"/>
    <row r="667" ht="12" customHeight="1"/>
    <row r="668" ht="12" customHeight="1"/>
    <row r="669" ht="12" customHeight="1"/>
    <row r="670" ht="12" customHeight="1"/>
    <row r="671" ht="12" customHeight="1"/>
    <row r="672" ht="12" customHeight="1"/>
    <row r="673" ht="12" customHeight="1"/>
    <row r="674" ht="12" customHeight="1"/>
    <row r="675" ht="15" customHeight="1"/>
    <row r="676" ht="15" customHeight="1"/>
    <row r="677" ht="15" customHeight="1"/>
    <row r="678" ht="15" customHeight="1"/>
    <row r="679" ht="15" customHeight="1"/>
    <row r="680" ht="15" customHeight="1"/>
    <row r="681" ht="15" customHeight="1"/>
    <row r="682" ht="12" customHeight="1"/>
    <row r="683" ht="15" customHeight="1"/>
    <row r="684" ht="15" customHeight="1"/>
    <row r="685" ht="15" customHeight="1"/>
    <row r="686" ht="15" customHeight="1"/>
    <row r="687" ht="15" customHeight="1"/>
    <row r="688" ht="15" customHeight="1"/>
    <row r="689" ht="15" customHeight="1"/>
    <row r="690" ht="15" customHeight="1"/>
    <row r="691" ht="15" customHeight="1"/>
    <row r="692" ht="15" customHeight="1"/>
    <row r="693" ht="15" customHeight="1"/>
    <row r="694" ht="15" customHeight="1"/>
    <row r="695" ht="15" customHeight="1"/>
    <row r="696" ht="15" customHeight="1"/>
    <row r="697" ht="15" customHeight="1"/>
    <row r="698" ht="12" customHeight="1"/>
    <row r="699" ht="15" customHeight="1"/>
    <row r="700" ht="15" customHeight="1"/>
    <row r="701" ht="15" customHeight="1"/>
    <row r="702" ht="15" customHeight="1"/>
    <row r="703" ht="12" customHeight="1"/>
    <row r="704" ht="15" customHeight="1"/>
    <row r="705" ht="15" customHeight="1"/>
    <row r="706" ht="15" customHeight="1"/>
    <row r="707" ht="15" customHeight="1"/>
    <row r="708" ht="15" customHeight="1"/>
    <row r="709" ht="15" customHeight="1"/>
    <row r="710" ht="15" customHeight="1"/>
    <row r="711" ht="15" customHeight="1"/>
    <row r="712" ht="15" customHeight="1"/>
    <row r="713" ht="15" customHeight="1"/>
    <row r="714" ht="15" customHeight="1"/>
    <row r="715" ht="15" customHeight="1"/>
    <row r="716" ht="12" customHeight="1"/>
    <row r="717" ht="12" customHeight="1"/>
    <row r="718" ht="12" customHeight="1"/>
    <row r="719" ht="12" customHeight="1"/>
    <row r="720" ht="12" customHeight="1"/>
    <row r="721" ht="12" customHeight="1"/>
    <row r="722" ht="12" customHeight="1"/>
    <row r="723" ht="12" customHeight="1"/>
    <row r="724" ht="12" customHeight="1"/>
    <row r="725" ht="12" customHeight="1"/>
    <row r="726" ht="12" customHeight="1"/>
    <row r="727" ht="12" customHeight="1"/>
    <row r="728" ht="12" customHeight="1"/>
    <row r="729" ht="12" customHeight="1"/>
    <row r="730" ht="12" customHeight="1"/>
    <row r="731" ht="12" customHeight="1"/>
    <row r="732" ht="12" customHeight="1"/>
    <row r="733" ht="12" customHeight="1"/>
    <row r="734" ht="12" customHeight="1"/>
    <row r="735" ht="12" customHeight="1"/>
    <row r="736" ht="12" customHeight="1"/>
    <row r="737" ht="12" customHeight="1"/>
    <row r="738" ht="12" customHeight="1"/>
    <row r="739" ht="12" customHeight="1"/>
    <row r="740" ht="12" customHeight="1"/>
    <row r="741" ht="12" customHeight="1"/>
    <row r="742" ht="12" customHeight="1"/>
    <row r="743" ht="12" customHeight="1"/>
    <row r="744" ht="12" customHeight="1"/>
    <row r="745" ht="12" customHeight="1"/>
    <row r="746" ht="12" customHeight="1"/>
    <row r="747" ht="12" customHeight="1"/>
    <row r="748" ht="12" customHeight="1"/>
    <row r="749" ht="12" customHeight="1"/>
    <row r="750" ht="15" customHeight="1"/>
    <row r="751" ht="15" customHeight="1"/>
    <row r="752" ht="15" customHeight="1"/>
    <row r="753" ht="15" customHeight="1"/>
    <row r="754" ht="15" customHeight="1"/>
    <row r="755" ht="15" customHeight="1"/>
    <row r="756" ht="15" customHeight="1"/>
    <row r="757" ht="15" customHeight="1"/>
    <row r="758" ht="15" customHeight="1"/>
    <row r="759" ht="15" customHeight="1"/>
    <row r="760" ht="15" customHeight="1"/>
    <row r="761" ht="15" customHeight="1"/>
    <row r="762" ht="15" customHeight="1"/>
    <row r="763" ht="15" customHeight="1"/>
    <row r="764" ht="15" customHeight="1"/>
    <row r="765" ht="15" customHeight="1"/>
    <row r="766" ht="15" customHeight="1"/>
    <row r="767" ht="15" customHeight="1"/>
    <row r="768" ht="12" customHeight="1"/>
    <row r="769" ht="15" customHeight="1"/>
    <row r="770" ht="15" customHeight="1"/>
    <row r="771" ht="15" customHeight="1"/>
    <row r="772" ht="15" customHeight="1"/>
    <row r="773" ht="15" customHeight="1"/>
    <row r="774" ht="15" customHeight="1"/>
    <row r="775" ht="15" customHeight="1"/>
    <row r="776" ht="15" customHeight="1"/>
    <row r="777" ht="15" customHeight="1"/>
    <row r="778" ht="15" customHeight="1"/>
    <row r="779" ht="15" customHeight="1"/>
    <row r="780" ht="12" customHeight="1"/>
    <row r="781" ht="15" customHeight="1"/>
    <row r="782" ht="15" customHeight="1"/>
    <row r="783" ht="15" customHeight="1"/>
    <row r="784" ht="12" customHeight="1"/>
    <row r="785" ht="15" customHeight="1"/>
    <row r="786" ht="15" customHeight="1"/>
    <row r="787" ht="15" customHeight="1"/>
    <row r="788" ht="15" customHeight="1"/>
    <row r="789" ht="15" customHeight="1"/>
    <row r="790" ht="15" customHeight="1"/>
    <row r="791" ht="15" customHeight="1"/>
    <row r="792" ht="15" customHeight="1"/>
    <row r="793" ht="15" customHeight="1"/>
    <row r="794" ht="15" customHeight="1"/>
    <row r="795" ht="15" customHeight="1"/>
    <row r="796" ht="12" customHeight="1"/>
    <row r="797" ht="15" customHeight="1"/>
    <row r="798" ht="15" customHeight="1"/>
    <row r="799" ht="15" customHeight="1"/>
    <row r="800" ht="15" customHeight="1"/>
    <row r="801" ht="15" customHeight="1"/>
    <row r="802" ht="15" customHeight="1"/>
    <row r="803" ht="15" customHeight="1"/>
    <row r="804" ht="15" customHeight="1"/>
    <row r="805" ht="15" customHeight="1"/>
    <row r="806" ht="15" customHeight="1"/>
    <row r="807" ht="15" customHeight="1"/>
    <row r="808" ht="15" customHeight="1"/>
    <row r="809" ht="15" customHeight="1"/>
    <row r="810" ht="12" customHeight="1"/>
    <row r="811" ht="15" customHeight="1"/>
    <row r="812" ht="15" customHeight="1"/>
    <row r="813" ht="15" customHeight="1"/>
    <row r="814" ht="12" customHeight="1"/>
    <row r="815" ht="15" customHeight="1"/>
    <row r="816" ht="15" customHeight="1"/>
    <row r="817" ht="15" customHeight="1"/>
    <row r="818" ht="15" customHeight="1"/>
    <row r="819" ht="15" customHeight="1"/>
    <row r="820" ht="15" customHeight="1"/>
    <row r="821" ht="15" customHeight="1"/>
    <row r="822" ht="15" customHeight="1"/>
    <row r="823" ht="15" customHeight="1"/>
    <row r="824" ht="15" customHeight="1"/>
    <row r="825" ht="12" customHeight="1"/>
    <row r="826" ht="15" customHeight="1"/>
    <row r="827" ht="15" customHeight="1"/>
    <row r="828" ht="15" customHeight="1"/>
    <row r="829" ht="15" customHeight="1"/>
    <row r="830" ht="15" customHeight="1"/>
    <row r="831" ht="15" customHeight="1"/>
    <row r="832" ht="15" customHeight="1"/>
    <row r="833" ht="15" customHeight="1"/>
    <row r="834" ht="15" customHeight="1"/>
    <row r="835" ht="12" customHeight="1"/>
    <row r="836" ht="15" customHeight="1"/>
    <row r="837" ht="15" customHeight="1"/>
    <row r="838" ht="15" customHeight="1"/>
    <row r="839" ht="15" customHeight="1"/>
    <row r="840" ht="15" customHeight="1"/>
    <row r="841" ht="15" customHeight="1"/>
    <row r="842" ht="15" customHeight="1"/>
    <row r="843" ht="15" customHeight="1"/>
    <row r="844" ht="15" customHeight="1"/>
    <row r="845" ht="15" customHeight="1"/>
    <row r="846" ht="15" customHeight="1"/>
    <row r="847" ht="12" customHeight="1"/>
    <row r="848" ht="15" customHeight="1"/>
    <row r="849" ht="15" customHeight="1"/>
    <row r="850" ht="15" customHeight="1"/>
    <row r="851" ht="15" customHeight="1"/>
    <row r="852" ht="15" customHeight="1"/>
    <row r="853" ht="15" customHeight="1"/>
    <row r="854" ht="15" customHeight="1"/>
    <row r="855" ht="15" customHeight="1"/>
    <row r="856" ht="15" customHeight="1"/>
    <row r="857" ht="15" customHeight="1"/>
    <row r="858" ht="12" customHeight="1"/>
    <row r="859" ht="15" customHeight="1"/>
    <row r="860" ht="15" customHeight="1"/>
    <row r="861" ht="15" customHeight="1"/>
    <row r="862" ht="15" customHeight="1"/>
    <row r="863" ht="15" customHeight="1"/>
    <row r="864" ht="15" customHeight="1"/>
    <row r="865" ht="15" customHeight="1"/>
    <row r="866" ht="15" customHeight="1"/>
    <row r="867" ht="15" customHeight="1"/>
    <row r="868" ht="15" customHeight="1"/>
    <row r="869" ht="15" customHeight="1"/>
    <row r="870" ht="12" customHeight="1"/>
    <row r="871" ht="15" customHeight="1"/>
    <row r="872" ht="15" customHeight="1"/>
    <row r="873" ht="15" customHeight="1"/>
    <row r="874" ht="15" customHeight="1"/>
    <row r="875" ht="15" customHeight="1"/>
    <row r="876" ht="15" customHeight="1"/>
    <row r="877" ht="15" customHeight="1"/>
    <row r="878" ht="15" customHeight="1"/>
    <row r="879" ht="15" customHeight="1"/>
    <row r="880" ht="15" customHeight="1"/>
    <row r="881" ht="12" customHeight="1"/>
    <row r="882" ht="15" customHeight="1"/>
    <row r="883" ht="15" customHeight="1"/>
    <row r="884" ht="15" customHeight="1"/>
    <row r="885" ht="15" customHeight="1"/>
    <row r="886" ht="15" customHeight="1"/>
    <row r="887" ht="15" customHeight="1"/>
    <row r="888" ht="15" customHeight="1"/>
    <row r="889" ht="12" customHeight="1"/>
    <row r="890" ht="12" customHeight="1"/>
    <row r="891" ht="12" customHeight="1"/>
    <row r="892" ht="12" customHeight="1"/>
    <row r="893" ht="12" customHeight="1"/>
    <row r="894" ht="12" customHeight="1"/>
    <row r="895" ht="12" customHeight="1"/>
    <row r="896" ht="12" customHeight="1"/>
    <row r="897" ht="12" customHeight="1"/>
    <row r="898" ht="12" customHeight="1"/>
    <row r="899" ht="12" customHeight="1"/>
    <row r="900" ht="15" customHeight="1"/>
    <row r="901" ht="15" customHeight="1"/>
    <row r="902" ht="15" customHeight="1"/>
    <row r="903" ht="15" customHeight="1"/>
    <row r="904" ht="15" customHeight="1"/>
    <row r="905" ht="15" customHeight="1"/>
    <row r="906" ht="15" customHeight="1"/>
    <row r="907" ht="15" customHeight="1"/>
    <row r="908" ht="15" customHeight="1"/>
    <row r="909" ht="15" customHeight="1"/>
    <row r="910" ht="12" customHeight="1"/>
    <row r="911" ht="15" customHeight="1"/>
    <row r="912" ht="15" customHeight="1"/>
    <row r="913" ht="15" customHeight="1"/>
    <row r="914" ht="15" customHeight="1"/>
    <row r="915" ht="15" customHeight="1"/>
    <row r="916" ht="15" customHeight="1"/>
    <row r="917" ht="15" customHeight="1"/>
    <row r="918" ht="15" customHeight="1"/>
    <row r="919" ht="15" customHeight="1"/>
    <row r="920" ht="15" customHeight="1"/>
    <row r="921" ht="15" customHeight="1"/>
    <row r="922" ht="15" customHeight="1"/>
    <row r="923" ht="15" customHeight="1"/>
    <row r="924" ht="15" customHeight="1"/>
    <row r="925" ht="15" customHeight="1"/>
    <row r="926" ht="15" customHeight="1"/>
    <row r="927" ht="12" customHeight="1"/>
    <row r="928" ht="15" customHeight="1"/>
    <row r="929" ht="12" customHeight="1"/>
    <row r="930" ht="15" customHeight="1"/>
    <row r="931" ht="15" customHeight="1"/>
    <row r="932" ht="15" customHeight="1"/>
    <row r="933" ht="15" customHeight="1"/>
    <row r="934" ht="15" customHeight="1"/>
    <row r="935" ht="12" customHeight="1"/>
    <row r="936" ht="15" customHeight="1"/>
    <row r="937" ht="15" customHeight="1"/>
    <row r="938" ht="15" customHeight="1"/>
    <row r="939" ht="15" customHeight="1"/>
    <row r="940" ht="15" customHeight="1"/>
    <row r="941" ht="15" customHeight="1"/>
    <row r="942" ht="15" customHeight="1"/>
    <row r="943" ht="15" customHeight="1"/>
    <row r="944" ht="15" customHeight="1"/>
    <row r="945" ht="15" customHeight="1"/>
    <row r="946" ht="15" customHeight="1"/>
    <row r="947" ht="15" customHeight="1"/>
    <row r="948" ht="15" customHeight="1"/>
    <row r="949" ht="15" customHeight="1"/>
    <row r="950" ht="15" customHeight="1"/>
    <row r="951" ht="15" customHeight="1"/>
    <row r="952" ht="12" customHeight="1"/>
    <row r="953" ht="15" customHeight="1"/>
    <row r="954" ht="12" customHeight="1"/>
    <row r="955" ht="15" customHeight="1"/>
    <row r="956" ht="12" customHeight="1"/>
    <row r="957" ht="15" customHeight="1"/>
    <row r="958" ht="15" customHeight="1"/>
    <row r="959" ht="15" customHeight="1"/>
    <row r="960" ht="15" customHeight="1"/>
    <row r="961" ht="15" customHeight="1"/>
    <row r="962" ht="15" customHeight="1"/>
    <row r="963" ht="15" customHeight="1"/>
    <row r="964" ht="15" customHeight="1"/>
    <row r="965" ht="15" customHeight="1"/>
    <row r="966" ht="15" customHeight="1"/>
    <row r="967" ht="15" customHeight="1"/>
    <row r="968" ht="15" customHeight="1"/>
    <row r="969" ht="15" customHeight="1"/>
    <row r="970" ht="15" customHeight="1"/>
    <row r="971" ht="15" customHeight="1"/>
    <row r="972" ht="15" customHeight="1"/>
    <row r="973" ht="15" customHeight="1"/>
    <row r="974" ht="15" customHeight="1"/>
    <row r="975" ht="12" customHeight="1"/>
    <row r="976" ht="12" customHeight="1"/>
    <row r="977" ht="12" customHeight="1"/>
    <row r="978" ht="12" customHeight="1"/>
    <row r="979" ht="12" customHeight="1"/>
    <row r="980" ht="12" customHeight="1"/>
    <row r="981" ht="12" customHeight="1"/>
    <row r="982" ht="12" customHeight="1"/>
    <row r="983" ht="12" customHeight="1"/>
    <row r="984" ht="12" customHeight="1"/>
    <row r="985" ht="12" customHeight="1"/>
    <row r="986" ht="12" customHeight="1"/>
    <row r="987" ht="12" customHeight="1"/>
    <row r="988" ht="12" customHeight="1"/>
    <row r="989" ht="12" customHeight="1"/>
    <row r="990" ht="12" customHeight="1"/>
    <row r="991" ht="12" customHeight="1"/>
    <row r="992" ht="12" customHeight="1"/>
    <row r="993" ht="12" customHeight="1"/>
    <row r="994" ht="12" customHeight="1"/>
    <row r="995" ht="12" customHeight="1"/>
    <row r="996" ht="12" customHeight="1"/>
    <row r="997" ht="12" customHeight="1"/>
    <row r="998" ht="12" customHeight="1"/>
    <row r="999" ht="12" customHeight="1"/>
    <row r="1000" ht="15" customHeight="1"/>
    <row r="1001" ht="15" customHeight="1"/>
    <row r="1002" ht="15" customHeight="1"/>
    <row r="1003" ht="15" customHeight="1"/>
    <row r="1004" ht="15" customHeight="1"/>
    <row r="1005" ht="15" customHeight="1"/>
    <row r="1006" ht="15" customHeight="1"/>
    <row r="1007" ht="15" customHeight="1"/>
    <row r="1008" ht="15" customHeight="1"/>
    <row r="1009" ht="15" customHeight="1"/>
    <row r="1010" ht="12" customHeight="1"/>
    <row r="1011" ht="15" customHeight="1"/>
    <row r="1012" ht="15" customHeight="1"/>
    <row r="1013" ht="15" customHeight="1"/>
    <row r="1014" ht="15" customHeight="1"/>
    <row r="1015" ht="15" customHeight="1"/>
    <row r="1016" ht="15" customHeight="1"/>
    <row r="1017" ht="15" customHeight="1"/>
    <row r="1018" ht="15" customHeight="1"/>
    <row r="1019" ht="15" customHeight="1"/>
    <row r="1020" ht="15" customHeight="1"/>
    <row r="1021" ht="15" customHeight="1"/>
    <row r="1022" ht="15" customHeight="1"/>
    <row r="1023" ht="15" customHeight="1"/>
    <row r="1024" ht="15" customHeight="1"/>
    <row r="1025" ht="15" customHeight="1"/>
    <row r="1026" ht="15" customHeight="1"/>
    <row r="1027" ht="12" customHeight="1"/>
    <row r="1028" ht="15" customHeight="1"/>
    <row r="1029" ht="15" customHeight="1"/>
    <row r="1030" ht="12" customHeight="1"/>
    <row r="1031" ht="15" customHeight="1"/>
    <row r="1032" ht="15" customHeight="1"/>
    <row r="1033" ht="15" customHeight="1"/>
    <row r="1034" ht="15" customHeight="1"/>
    <row r="1035" ht="15" customHeight="1"/>
    <row r="1036" ht="12" customHeight="1"/>
    <row r="1037" ht="15" customHeight="1"/>
    <row r="1038" ht="15" customHeight="1"/>
    <row r="1039" ht="15" customHeight="1"/>
    <row r="1040" ht="15" customHeight="1"/>
    <row r="1041" ht="15" customHeight="1"/>
    <row r="1042" ht="15" customHeight="1"/>
    <row r="1043" ht="15" customHeight="1"/>
    <row r="1044" ht="15" customHeight="1"/>
    <row r="1045" ht="15" customHeight="1"/>
    <row r="1046" ht="15" customHeight="1"/>
    <row r="1047" ht="15" customHeight="1"/>
    <row r="1048" ht="15" customHeight="1"/>
    <row r="1049" ht="15" customHeight="1"/>
    <row r="1050" ht="15" customHeight="1"/>
    <row r="1051" ht="15" customHeight="1"/>
    <row r="1052" ht="15" customHeight="1"/>
    <row r="1053" ht="12" customHeight="1"/>
    <row r="1054" ht="15" customHeight="1"/>
    <row r="1055" ht="15" customHeight="1"/>
    <row r="1056" ht="12" customHeight="1"/>
    <row r="1057" ht="15" customHeight="1"/>
    <row r="1058" ht="12" customHeight="1"/>
    <row r="1059" ht="15" customHeight="1"/>
    <row r="1060" ht="15" customHeight="1"/>
    <row r="1061" ht="15" customHeight="1"/>
    <row r="1062" ht="15" customHeight="1"/>
    <row r="1063" ht="15" customHeight="1"/>
    <row r="1064" ht="15" customHeight="1"/>
    <row r="1065" ht="15" customHeight="1"/>
    <row r="1066" ht="15" customHeight="1"/>
    <row r="1067" ht="15" customHeight="1"/>
    <row r="1068" ht="15" customHeight="1"/>
    <row r="1069" ht="15" customHeight="1"/>
    <row r="1070" ht="15" customHeight="1"/>
    <row r="1071" ht="15" customHeight="1"/>
    <row r="1072" ht="15" customHeight="1"/>
    <row r="1073" ht="15" customHeight="1"/>
    <row r="1074" ht="15" customHeight="1"/>
    <row r="1075" ht="15" customHeight="1"/>
    <row r="1076" ht="15" customHeight="1"/>
    <row r="1077" ht="12" customHeight="1"/>
    <row r="1078" ht="12" customHeight="1"/>
    <row r="1079" ht="12" customHeight="1"/>
    <row r="1080" ht="12" customHeight="1"/>
    <row r="1081" ht="12" customHeight="1"/>
    <row r="1082" ht="12" customHeight="1"/>
    <row r="1083" ht="12" customHeight="1"/>
    <row r="1084" ht="12" customHeight="1"/>
    <row r="1085" ht="12" customHeight="1"/>
    <row r="1086" ht="12" customHeight="1"/>
    <row r="1087" ht="12" customHeight="1"/>
    <row r="1088" ht="12" customHeight="1"/>
    <row r="1089" ht="12" customHeight="1"/>
    <row r="1090" ht="12" customHeight="1"/>
    <row r="1091" ht="12" customHeight="1"/>
    <row r="1092" ht="12" customHeight="1"/>
    <row r="1093" ht="12" customHeight="1"/>
    <row r="1094" ht="12" customHeight="1"/>
    <row r="1095" ht="12" customHeight="1"/>
    <row r="1096" ht="12" customHeight="1"/>
    <row r="1097" ht="12" customHeight="1"/>
    <row r="1098" ht="12" customHeight="1"/>
    <row r="1099" ht="12" customHeight="1"/>
    <row r="1100" ht="15" customHeight="1"/>
    <row r="1101" ht="15" customHeight="1"/>
    <row r="1102" ht="15" customHeight="1"/>
    <row r="1103" ht="15" customHeight="1"/>
    <row r="1104" ht="15" customHeight="1"/>
    <row r="1105" ht="15" customHeight="1"/>
    <row r="1106" ht="15" customHeight="1"/>
    <row r="1107" ht="15" customHeight="1"/>
    <row r="1108" ht="15" customHeight="1"/>
    <row r="1109" ht="15" customHeight="1"/>
    <row r="1110" ht="12" customHeight="1"/>
    <row r="1111" ht="15" customHeight="1"/>
    <row r="1112" ht="15" customHeight="1"/>
    <row r="1113" ht="15" customHeight="1"/>
    <row r="1114" ht="15" customHeight="1"/>
    <row r="1115" ht="15" customHeight="1"/>
    <row r="1116" ht="15" customHeight="1"/>
    <row r="1117" ht="15" customHeight="1"/>
    <row r="1118" ht="15" customHeight="1"/>
    <row r="1119" ht="15" customHeight="1"/>
    <row r="1120" ht="15" customHeight="1"/>
    <row r="1121" ht="15" customHeight="1"/>
    <row r="1122" ht="15" customHeight="1"/>
    <row r="1123" ht="15" customHeight="1"/>
    <row r="1124" ht="15" customHeight="1"/>
    <row r="1125" ht="15" customHeight="1"/>
    <row r="1126" ht="15" customHeight="1"/>
    <row r="1127" ht="12" customHeight="1"/>
    <row r="1128" ht="15" customHeight="1"/>
    <row r="1129" ht="12" customHeight="1"/>
    <row r="1130" ht="15" customHeight="1"/>
    <row r="1131" ht="15" customHeight="1"/>
    <row r="1132" ht="15" customHeight="1"/>
    <row r="1133" ht="15" customHeight="1"/>
    <row r="1134" ht="15" customHeight="1"/>
    <row r="1135" ht="12" customHeight="1"/>
    <row r="1136" ht="15" customHeight="1"/>
    <row r="1137" ht="15" customHeight="1"/>
    <row r="1138" ht="15" customHeight="1"/>
    <row r="1139" ht="15" customHeight="1"/>
    <row r="1140" ht="15" customHeight="1"/>
    <row r="1141" ht="15" customHeight="1"/>
    <row r="1142" ht="15" customHeight="1"/>
    <row r="1143" ht="15" customHeight="1"/>
    <row r="1144" ht="15" customHeight="1"/>
    <row r="1145" ht="15" customHeight="1"/>
    <row r="1146" ht="15" customHeight="1"/>
    <row r="1147" ht="15" customHeight="1"/>
    <row r="1148" ht="15" customHeight="1"/>
    <row r="1149" ht="15" customHeight="1"/>
    <row r="1150" ht="15" customHeight="1"/>
    <row r="1151" ht="15" customHeight="1"/>
    <row r="1152" ht="12" customHeight="1"/>
    <row r="1153" ht="15" customHeight="1"/>
    <row r="1154" ht="12" customHeight="1"/>
    <row r="1155" ht="15" customHeight="1"/>
    <row r="1156" ht="12" customHeight="1"/>
    <row r="1157" ht="15" customHeight="1"/>
    <row r="1158" ht="15" customHeight="1"/>
    <row r="1159" ht="15" customHeight="1"/>
    <row r="1160" ht="15" customHeight="1"/>
    <row r="1161" ht="15" customHeight="1"/>
    <row r="1162" ht="15" customHeight="1"/>
    <row r="1163" ht="15" customHeight="1"/>
    <row r="1164" ht="15" customHeight="1"/>
    <row r="1165" ht="15" customHeight="1"/>
    <row r="1166" ht="15" customHeight="1"/>
    <row r="1167" ht="15" customHeight="1"/>
    <row r="1168" ht="15" customHeight="1"/>
    <row r="1169" ht="15" customHeight="1"/>
    <row r="1170" ht="15" customHeight="1"/>
    <row r="1171" ht="15" customHeight="1"/>
    <row r="1172" ht="15" customHeight="1"/>
    <row r="1173" ht="15" customHeight="1"/>
    <row r="1174" ht="15" customHeight="1"/>
    <row r="1175" ht="12" customHeight="1"/>
    <row r="1176" ht="12" customHeight="1"/>
    <row r="1177" ht="12" customHeight="1"/>
    <row r="1178" ht="12" customHeight="1"/>
    <row r="1179" ht="12" customHeight="1"/>
    <row r="1180" ht="12" customHeight="1"/>
    <row r="1181" ht="12" customHeight="1"/>
    <row r="1182" ht="12" customHeight="1"/>
    <row r="1183" ht="12" customHeight="1"/>
    <row r="1184" ht="12" customHeight="1"/>
    <row r="1185" ht="12" customHeight="1"/>
    <row r="1186" ht="12" customHeight="1"/>
    <row r="1187" ht="12" customHeight="1"/>
    <row r="1188" ht="12" customHeight="1"/>
    <row r="1189" ht="12" customHeight="1"/>
    <row r="1190" ht="12" customHeight="1"/>
    <row r="1191" ht="12" customHeight="1"/>
    <row r="1192" ht="12" customHeight="1"/>
    <row r="1193" ht="12" customHeight="1"/>
    <row r="1194" ht="12" customHeight="1"/>
    <row r="1195" ht="12" customHeight="1"/>
    <row r="1196" ht="12" customHeight="1"/>
    <row r="1197" ht="12" customHeight="1"/>
    <row r="1198" ht="12" customHeight="1"/>
    <row r="1199" ht="12" customHeight="1"/>
    <row r="1200" ht="15" customHeight="1"/>
    <row r="1201" ht="15" customHeight="1"/>
    <row r="1202" ht="15" customHeight="1"/>
    <row r="1203" ht="15" customHeight="1"/>
    <row r="1204" ht="15" customHeight="1"/>
    <row r="1205" ht="15" customHeight="1"/>
    <row r="1206" ht="15" customHeight="1"/>
    <row r="1207" ht="15" customHeight="1"/>
    <row r="1208" ht="15" customHeight="1"/>
    <row r="1209" ht="15" customHeight="1"/>
    <row r="1210" ht="12" customHeight="1"/>
    <row r="1211" ht="15" customHeight="1"/>
    <row r="1212" ht="15" customHeight="1"/>
    <row r="1213" ht="15" customHeight="1"/>
    <row r="1214" ht="15" customHeight="1"/>
    <row r="1215" ht="15" customHeight="1"/>
    <row r="1216" ht="15" customHeight="1"/>
    <row r="1217" ht="15" customHeight="1"/>
    <row r="1218" ht="15" customHeight="1"/>
    <row r="1219" ht="15" customHeight="1"/>
    <row r="1220" ht="15" customHeight="1"/>
    <row r="1221" ht="15" customHeight="1"/>
    <row r="1222" ht="15" customHeight="1"/>
    <row r="1223" ht="15" customHeight="1"/>
    <row r="1224" ht="15" customHeight="1"/>
    <row r="1225" ht="15" customHeight="1"/>
    <row r="1226" ht="15" customHeight="1"/>
    <row r="1227" ht="12" customHeight="1"/>
    <row r="1228" ht="15" customHeight="1"/>
    <row r="1229" ht="12" customHeight="1"/>
    <row r="1230" ht="15" customHeight="1"/>
    <row r="1231" ht="15" customHeight="1"/>
    <row r="1232" ht="15" customHeight="1"/>
    <row r="1233" ht="15" customHeight="1"/>
    <row r="1234" ht="15" customHeight="1"/>
    <row r="1235" ht="12" customHeight="1"/>
    <row r="1236" ht="15" customHeight="1"/>
    <row r="1237" ht="15" customHeight="1"/>
    <row r="1238" ht="15" customHeight="1"/>
    <row r="1239" ht="15" customHeight="1"/>
    <row r="1240" ht="15" customHeight="1"/>
    <row r="1241" ht="15" customHeight="1"/>
    <row r="1242" ht="15" customHeight="1"/>
    <row r="1243" ht="15" customHeight="1"/>
    <row r="1244" ht="15" customHeight="1"/>
    <row r="1245" ht="15" customHeight="1"/>
    <row r="1246" ht="15" customHeight="1"/>
    <row r="1247" ht="15" customHeight="1"/>
    <row r="1248" ht="15" customHeight="1"/>
    <row r="1249" ht="15" customHeight="1"/>
    <row r="1250" ht="15" customHeight="1"/>
    <row r="1251" ht="15" customHeight="1"/>
    <row r="1252" ht="12" customHeight="1"/>
    <row r="1253" ht="15" customHeight="1"/>
    <row r="1254" ht="12" customHeight="1"/>
    <row r="1255" ht="15" customHeight="1"/>
    <row r="1256" ht="12" customHeight="1"/>
    <row r="1257" ht="15" customHeight="1"/>
    <row r="1258" ht="15" customHeight="1"/>
    <row r="1259" ht="15" customHeight="1"/>
    <row r="1260" ht="15" customHeight="1"/>
    <row r="1261" ht="15" customHeight="1"/>
    <row r="1262" ht="15" customHeight="1"/>
    <row r="1263" ht="15" customHeight="1"/>
    <row r="1264" ht="15" customHeight="1"/>
    <row r="1265" ht="15" customHeight="1"/>
    <row r="1266" ht="15" customHeight="1"/>
    <row r="1267" ht="15" customHeight="1"/>
    <row r="1268" ht="15" customHeight="1"/>
    <row r="1269" ht="15" customHeight="1"/>
    <row r="1270" ht="15" customHeight="1"/>
    <row r="1271" ht="15" customHeight="1"/>
    <row r="1272" ht="15" customHeight="1"/>
    <row r="1273" ht="15" customHeight="1"/>
    <row r="1274" ht="15" customHeight="1"/>
    <row r="1275" ht="12" customHeight="1"/>
    <row r="1276" ht="12" customHeight="1"/>
    <row r="1277" ht="12" customHeight="1"/>
    <row r="1278" ht="12" customHeight="1"/>
    <row r="1279" ht="12" customHeight="1"/>
    <row r="1280" ht="12" customHeight="1"/>
    <row r="1281" ht="12" customHeight="1"/>
    <row r="1282" ht="12" customHeight="1"/>
    <row r="1283" ht="12" customHeight="1"/>
    <row r="1284" ht="12" customHeight="1"/>
    <row r="1285" ht="12" customHeight="1"/>
    <row r="1286" ht="12" customHeight="1"/>
    <row r="1287" ht="12" customHeight="1"/>
    <row r="1288" ht="12" customHeight="1"/>
    <row r="1289" ht="12" customHeight="1"/>
    <row r="1290" ht="12" customHeight="1"/>
    <row r="1291" ht="12" customHeight="1"/>
    <row r="1292" ht="12" customHeight="1"/>
    <row r="1293" ht="12" customHeight="1"/>
    <row r="1294" ht="12" customHeight="1"/>
    <row r="1295" ht="12" customHeight="1"/>
    <row r="1296" ht="12" customHeight="1"/>
    <row r="1297" ht="12" customHeight="1"/>
    <row r="1298" ht="12" customHeight="1"/>
    <row r="1299" ht="12" customHeight="1"/>
    <row r="1300" ht="15" customHeight="1"/>
    <row r="1301" ht="15" customHeight="1"/>
    <row r="1302" ht="15" customHeight="1"/>
    <row r="1303" ht="15" customHeight="1"/>
    <row r="1304" ht="15" customHeight="1"/>
    <row r="1305" ht="15" customHeight="1"/>
    <row r="1306" ht="12" customHeight="1"/>
    <row r="1307" ht="15" customHeight="1"/>
    <row r="1308" ht="15" customHeight="1"/>
    <row r="1309" ht="15" customHeight="1"/>
    <row r="1310" ht="15" customHeight="1"/>
    <row r="1311" ht="12" customHeight="1"/>
    <row r="1312" ht="15" customHeight="1"/>
    <row r="1313" ht="15" customHeight="1"/>
    <row r="1314" ht="15" customHeight="1"/>
    <row r="1315" ht="12" customHeight="1"/>
    <row r="1316" ht="15" customHeight="1"/>
    <row r="1317" ht="15" customHeight="1"/>
    <row r="1318" ht="15" customHeight="1"/>
    <row r="1319" ht="15" customHeight="1"/>
    <row r="1320" ht="15" customHeight="1"/>
    <row r="1321" ht="15" customHeight="1"/>
    <row r="1322" ht="15" customHeight="1"/>
    <row r="1323" ht="15" customHeight="1"/>
    <row r="1324" ht="15" customHeight="1"/>
    <row r="1325" ht="15" customHeight="1"/>
    <row r="1326" ht="15" customHeight="1"/>
    <row r="1327" ht="15" customHeight="1"/>
    <row r="1328" ht="15" customHeight="1"/>
    <row r="1329" ht="15" customHeight="1"/>
    <row r="1330" ht="15" customHeight="1"/>
    <row r="1331" ht="12" customHeight="1"/>
    <row r="1332" ht="15" customHeight="1"/>
    <row r="1333" ht="15" customHeight="1"/>
    <row r="1334" ht="15" customHeight="1"/>
    <row r="1335" ht="15" customHeight="1"/>
    <row r="1336" ht="15" customHeight="1"/>
    <row r="1337" ht="15" customHeight="1"/>
    <row r="1338" ht="15" customHeight="1"/>
    <row r="1339" ht="15" customHeight="1"/>
    <row r="1340" ht="15" customHeight="1"/>
    <row r="1341" ht="15" customHeight="1"/>
    <row r="1342" ht="15" customHeight="1"/>
    <row r="1343" ht="15" customHeight="1"/>
    <row r="1344" ht="15" customHeight="1"/>
    <row r="1345" ht="15" customHeight="1"/>
    <row r="1346" ht="15" customHeight="1"/>
    <row r="1347" ht="15" customHeight="1"/>
    <row r="1348" ht="15" customHeight="1"/>
    <row r="1349" ht="15" customHeight="1"/>
    <row r="1350" ht="15" customHeight="1"/>
    <row r="1351" ht="15" customHeight="1"/>
    <row r="1352" ht="15" customHeight="1"/>
    <row r="1353" ht="15" customHeight="1"/>
    <row r="1354" ht="15" customHeight="1"/>
    <row r="1355" ht="15" customHeight="1"/>
    <row r="1356" ht="15" customHeight="1"/>
    <row r="1357" ht="15" customHeight="1"/>
    <row r="1358" ht="15" customHeight="1"/>
    <row r="1359" ht="15" customHeight="1"/>
    <row r="1360" ht="15" customHeight="1"/>
    <row r="1361" ht="15" customHeight="1"/>
    <row r="1362" ht="12" customHeight="1"/>
    <row r="1363" ht="15" customHeight="1"/>
    <row r="1364" ht="15" customHeight="1"/>
    <row r="1365" ht="15" customHeight="1"/>
    <row r="1366" ht="15" customHeight="1"/>
    <row r="1367" ht="15" customHeight="1"/>
    <row r="1368" ht="15" customHeight="1"/>
    <row r="1369" ht="15" customHeight="1"/>
    <row r="1370" ht="15" customHeight="1"/>
    <row r="1371" ht="15" customHeight="1"/>
    <row r="1372" ht="15" customHeight="1"/>
    <row r="1373" ht="15" customHeight="1"/>
    <row r="1374" ht="15" customHeight="1"/>
    <row r="1375" ht="15" customHeight="1"/>
    <row r="1376" ht="15" customHeight="1"/>
    <row r="1377" ht="15" customHeight="1"/>
    <row r="1378" ht="12" customHeight="1"/>
    <row r="1379" ht="15" customHeight="1"/>
    <row r="1380" ht="15" customHeight="1"/>
    <row r="1381" ht="15" customHeight="1"/>
    <row r="1382" ht="15" customHeight="1"/>
    <row r="1383" ht="15" customHeight="1"/>
    <row r="1384" ht="15" customHeight="1"/>
    <row r="1385" ht="15" customHeight="1"/>
    <row r="1386" ht="15" customHeight="1"/>
    <row r="1387" ht="15" customHeight="1"/>
    <row r="1388" ht="15" customHeight="1"/>
    <row r="1389" ht="15" customHeight="1"/>
    <row r="1390" ht="15" customHeight="1"/>
    <row r="1391" ht="15" customHeight="1"/>
    <row r="1392" ht="15" customHeight="1"/>
    <row r="1393" ht="15" customHeight="1"/>
    <row r="1394" ht="15" customHeight="1"/>
    <row r="1395" ht="15" customHeight="1"/>
    <row r="1396" ht="15" customHeight="1"/>
    <row r="1397" ht="12" customHeight="1"/>
    <row r="1398" ht="15" customHeight="1"/>
    <row r="1399" ht="15" customHeight="1"/>
    <row r="1400" ht="15" customHeight="1"/>
    <row r="1401" ht="15" customHeight="1"/>
    <row r="1402" ht="15" customHeight="1"/>
    <row r="1403" ht="15" customHeight="1"/>
    <row r="1404" ht="15" customHeight="1"/>
    <row r="1405" ht="15" customHeight="1"/>
    <row r="1406" ht="15" customHeight="1"/>
    <row r="1407" ht="15" customHeight="1"/>
    <row r="1408" ht="15" customHeight="1"/>
    <row r="1409" ht="15" customHeight="1"/>
    <row r="1410" ht="15" customHeight="1"/>
    <row r="1411" ht="15" customHeight="1"/>
    <row r="1412" ht="15" customHeight="1"/>
    <row r="1413" ht="15" customHeight="1"/>
    <row r="1414" ht="15" customHeight="1"/>
    <row r="1415" ht="15" customHeight="1"/>
    <row r="1416" ht="15" customHeight="1"/>
    <row r="1417" ht="15" customHeight="1"/>
    <row r="1418" ht="15" customHeight="1"/>
    <row r="1419" ht="15" customHeight="1"/>
    <row r="1420" ht="15" customHeight="1"/>
    <row r="1421" ht="15" customHeight="1"/>
    <row r="1422" ht="15" customHeight="1"/>
    <row r="1423" ht="15" customHeight="1"/>
    <row r="1424" ht="15" customHeight="1"/>
    <row r="1425" ht="15" customHeight="1"/>
    <row r="1426" ht="15" customHeight="1"/>
    <row r="1427" ht="15" customHeight="1"/>
    <row r="1428" ht="15" customHeight="1"/>
    <row r="1429" ht="15" customHeight="1"/>
    <row r="1430" ht="15" customHeight="1"/>
    <row r="1431" ht="15" customHeight="1"/>
    <row r="1432" ht="15" customHeight="1"/>
    <row r="1433" ht="15" customHeight="1"/>
    <row r="1434" ht="15" customHeight="1"/>
    <row r="1435" ht="15" customHeight="1"/>
    <row r="1436" ht="15" customHeight="1"/>
    <row r="1437" ht="15" customHeight="1"/>
    <row r="1438" ht="15" customHeight="1"/>
    <row r="1439" ht="15" customHeight="1"/>
    <row r="1440" ht="15" customHeight="1"/>
    <row r="1441" ht="15" customHeight="1"/>
    <row r="1442" ht="15" customHeight="1"/>
    <row r="1443" ht="15" customHeight="1"/>
    <row r="1444" ht="15" customHeight="1"/>
    <row r="1445" ht="15" customHeight="1"/>
    <row r="1446" ht="15" customHeight="1"/>
    <row r="1447" ht="15" customHeight="1"/>
    <row r="1448" ht="15" customHeight="1"/>
    <row r="1449" ht="15" customHeight="1"/>
    <row r="1450" ht="15" customHeight="1"/>
    <row r="1451" ht="15" customHeight="1"/>
    <row r="1452" ht="12" customHeight="1"/>
    <row r="1453" ht="15" customHeight="1"/>
    <row r="1454" ht="15" customHeight="1"/>
    <row r="1455" ht="15" customHeight="1"/>
    <row r="1456" ht="15" customHeight="1"/>
    <row r="1457" ht="15" customHeight="1"/>
    <row r="1458" ht="15" customHeight="1"/>
    <row r="1459" ht="15" customHeight="1"/>
    <row r="1460" ht="15" customHeight="1"/>
    <row r="1461" ht="15" customHeight="1"/>
    <row r="1462" ht="15" customHeight="1"/>
    <row r="1463" ht="15" customHeight="1"/>
    <row r="1464" ht="12" customHeight="1"/>
    <row r="1465" ht="15" customHeight="1"/>
    <row r="1466" ht="15" customHeight="1"/>
    <row r="1467" ht="15" customHeight="1"/>
    <row r="1468" ht="15" customHeight="1"/>
    <row r="1469" ht="15" customHeight="1"/>
    <row r="1470" ht="15" customHeight="1"/>
    <row r="1471" ht="15" customHeight="1"/>
    <row r="1472" ht="15" customHeight="1"/>
    <row r="1473" ht="15" customHeight="1"/>
    <row r="1474" ht="15" customHeight="1"/>
    <row r="1475" ht="15" customHeight="1"/>
    <row r="1476" ht="15" customHeight="1"/>
    <row r="1477" ht="15" customHeight="1"/>
    <row r="1478" ht="15" customHeight="1"/>
    <row r="1479" ht="15" customHeight="1"/>
    <row r="1480" ht="15" customHeight="1"/>
    <row r="1481" ht="15" customHeight="1"/>
    <row r="1482" ht="15" customHeight="1"/>
    <row r="1483" ht="15" customHeight="1"/>
    <row r="1484" ht="15" customHeight="1"/>
    <row r="1485" ht="15" customHeight="1"/>
    <row r="1486" ht="15" customHeight="1"/>
    <row r="1487" ht="15" customHeight="1"/>
    <row r="1488" ht="15" customHeight="1"/>
    <row r="1489" ht="15" customHeight="1"/>
    <row r="1490" ht="15" customHeight="1"/>
    <row r="1491" ht="15" customHeight="1"/>
    <row r="1492" ht="15" customHeight="1"/>
    <row r="1493" ht="15" customHeight="1"/>
    <row r="1494" ht="12" customHeight="1"/>
    <row r="1495" ht="12" customHeight="1"/>
    <row r="1496" ht="12" customHeight="1"/>
    <row r="1497" ht="12" customHeight="1"/>
    <row r="1498" ht="12" customHeight="1"/>
    <row r="1499" ht="12" customHeight="1"/>
    <row r="1500" ht="12" customHeight="1"/>
    <row r="1501" ht="12" customHeight="1"/>
    <row r="1502" ht="12" customHeight="1"/>
    <row r="1503" ht="12" customHeight="1"/>
    <row r="1504" ht="12" customHeight="1"/>
    <row r="1505" ht="12" customHeight="1"/>
    <row r="1506" ht="12" customHeight="1"/>
    <row r="1507" ht="12" customHeight="1"/>
    <row r="1508" ht="12" customHeight="1"/>
    <row r="1509" ht="12" customHeight="1"/>
    <row r="1510" ht="12" customHeight="1"/>
    <row r="1511" ht="12" customHeight="1"/>
    <row r="1512" ht="12" customHeight="1"/>
    <row r="1513" ht="12" customHeight="1"/>
    <row r="1514" ht="12" customHeight="1"/>
    <row r="1515" ht="12" customHeight="1"/>
    <row r="1516" ht="12" customHeight="1"/>
    <row r="1517" ht="12" customHeight="1"/>
    <row r="1518" ht="12" customHeight="1"/>
    <row r="1519" ht="12" customHeight="1"/>
    <row r="1520" ht="12" customHeight="1"/>
    <row r="1521" ht="12" customHeight="1"/>
    <row r="1522" ht="12" customHeight="1"/>
    <row r="1523" ht="12" customHeight="1"/>
    <row r="1524" ht="12" customHeight="1"/>
    <row r="1525" ht="15" customHeight="1"/>
    <row r="1526" ht="15" customHeight="1"/>
    <row r="1527" ht="15" customHeight="1"/>
    <row r="1528" ht="15" customHeight="1"/>
    <row r="1529" ht="15" customHeight="1"/>
    <row r="1530" ht="15" customHeight="1"/>
    <row r="1531" ht="15" customHeight="1"/>
    <row r="1532" ht="15" customHeight="1"/>
    <row r="1533" ht="15" customHeight="1"/>
    <row r="1534" ht="15" customHeight="1"/>
    <row r="1535" ht="15" customHeight="1"/>
    <row r="1536" ht="15" customHeight="1"/>
    <row r="1537" ht="15" customHeight="1"/>
    <row r="1538" ht="15" customHeight="1"/>
    <row r="1539" ht="15" customHeight="1"/>
    <row r="1540" ht="15" customHeight="1"/>
    <row r="1541" ht="15" customHeight="1"/>
    <row r="1542" ht="15" customHeight="1"/>
    <row r="1543" ht="15" customHeight="1"/>
    <row r="1544" ht="15" customHeight="1"/>
    <row r="1545" ht="15" customHeight="1"/>
    <row r="1546" ht="15" customHeight="1"/>
    <row r="1547" ht="15" customHeight="1"/>
    <row r="1548" ht="15" customHeight="1"/>
    <row r="1549" ht="15" customHeight="1"/>
    <row r="1550" ht="15" customHeight="1"/>
    <row r="1551" ht="15" customHeight="1"/>
    <row r="1552" ht="15" customHeight="1"/>
    <row r="1553" ht="15" customHeight="1"/>
    <row r="1554" ht="15" customHeight="1"/>
    <row r="1555" ht="15" customHeight="1"/>
    <row r="1556" ht="15" customHeight="1"/>
    <row r="1557" ht="15" customHeight="1"/>
    <row r="1558" ht="15" customHeight="1"/>
    <row r="1559" ht="15" customHeight="1"/>
    <row r="1560" ht="15" customHeight="1"/>
    <row r="1561" ht="15" customHeight="1"/>
    <row r="1562" ht="15" customHeight="1"/>
    <row r="1563" ht="15" customHeight="1"/>
    <row r="1564" ht="15" customHeight="1"/>
    <row r="1565" ht="15" customHeight="1"/>
    <row r="1566" ht="15" customHeight="1"/>
    <row r="1567" ht="15" customHeight="1"/>
    <row r="1568" ht="15" customHeight="1"/>
    <row r="1569" ht="15" customHeight="1"/>
    <row r="1570" ht="15" customHeight="1"/>
    <row r="1571" ht="15" customHeight="1"/>
    <row r="1572" ht="15" customHeight="1"/>
    <row r="1573" ht="15" customHeight="1"/>
    <row r="1574" ht="15" customHeight="1"/>
    <row r="1575" ht="15" customHeight="1"/>
    <row r="1576" ht="15" customHeight="1"/>
    <row r="1577" ht="15" customHeight="1"/>
    <row r="1578" ht="15" customHeight="1"/>
    <row r="1579" ht="15" customHeight="1"/>
    <row r="1580" ht="15" customHeight="1"/>
    <row r="1581" ht="15" customHeight="1"/>
    <row r="1582" ht="15" customHeight="1"/>
    <row r="1583" ht="15" customHeight="1"/>
    <row r="1584" ht="12" customHeight="1"/>
    <row r="1585" ht="12" customHeight="1"/>
    <row r="1586" ht="15" customHeight="1"/>
    <row r="1587" ht="15" customHeight="1"/>
    <row r="1588" ht="15" customHeight="1"/>
    <row r="1589" ht="15" customHeight="1"/>
    <row r="1590" ht="15" customHeight="1"/>
    <row r="1591" ht="15" customHeight="1"/>
    <row r="1592" ht="15" customHeight="1"/>
    <row r="1593" ht="15" customHeight="1"/>
    <row r="1594" ht="15" customHeight="1"/>
    <row r="1595" ht="15" customHeight="1"/>
    <row r="1596" ht="15" customHeight="1"/>
    <row r="1597" ht="15" customHeight="1"/>
    <row r="1598" ht="15" customHeight="1"/>
    <row r="1599" ht="15" customHeight="1"/>
    <row r="1600" ht="15" customHeight="1"/>
    <row r="1601" ht="15" customHeight="1"/>
    <row r="1602" ht="15" customHeight="1"/>
    <row r="1603" ht="15" customHeight="1"/>
    <row r="1604" ht="15" customHeight="1"/>
    <row r="1605" ht="15" customHeight="1"/>
    <row r="1606" ht="15" customHeight="1"/>
    <row r="1607" ht="15" customHeight="1"/>
    <row r="1608" ht="15" customHeight="1"/>
    <row r="1609" ht="15" customHeight="1"/>
    <row r="1610" ht="15" customHeight="1"/>
    <row r="1611" ht="15" customHeight="1"/>
    <row r="1612" ht="15" customHeight="1"/>
    <row r="1613" ht="15" customHeight="1"/>
    <row r="1614" ht="15" customHeight="1"/>
    <row r="1615" ht="15" customHeight="1"/>
    <row r="1616" ht="15" customHeight="1"/>
    <row r="1617" ht="15" customHeight="1"/>
    <row r="1618" ht="15" customHeight="1"/>
    <row r="1619" ht="15" customHeight="1"/>
    <row r="1620" ht="15" customHeight="1"/>
    <row r="1621" ht="15" customHeight="1"/>
    <row r="1622" ht="15" customHeight="1"/>
    <row r="1623" ht="15" customHeight="1"/>
    <row r="1624" ht="15" customHeight="1"/>
    <row r="1625" ht="15" customHeight="1"/>
    <row r="1626" ht="15" customHeight="1"/>
    <row r="1627" ht="15" customHeight="1"/>
    <row r="1628" ht="15" customHeight="1"/>
    <row r="1629" ht="15" customHeight="1"/>
    <row r="1630" ht="15" customHeight="1"/>
    <row r="1631" ht="15" customHeight="1"/>
    <row r="1632" ht="15" customHeight="1"/>
    <row r="1633" ht="15" customHeight="1"/>
    <row r="1634" ht="15" customHeight="1"/>
    <row r="1635" ht="15" customHeight="1"/>
    <row r="1636" ht="15" customHeight="1"/>
    <row r="1637" ht="15" customHeight="1"/>
    <row r="1638" ht="15" customHeight="1"/>
    <row r="1639" ht="15" customHeight="1"/>
    <row r="1640" ht="12" customHeight="1"/>
    <row r="1641" ht="12" customHeight="1"/>
    <row r="1642" ht="15" customHeight="1"/>
    <row r="1643" ht="15" customHeight="1"/>
    <row r="1644" ht="15" customHeight="1"/>
    <row r="1645" ht="15" customHeight="1"/>
    <row r="1646" ht="15" customHeight="1"/>
    <row r="1647" ht="15" customHeight="1"/>
    <row r="1648" ht="15" customHeight="1"/>
    <row r="1649" ht="15" customHeight="1"/>
    <row r="1650" ht="15" customHeight="1"/>
    <row r="1651" ht="15" customHeight="1"/>
    <row r="1652" ht="15" customHeight="1"/>
    <row r="1653" ht="15" customHeight="1"/>
    <row r="1654" ht="15" customHeight="1"/>
    <row r="1655" ht="15" customHeight="1"/>
    <row r="1656" ht="15" customHeight="1"/>
    <row r="1657" ht="15" customHeight="1"/>
    <row r="1658" ht="15" customHeight="1"/>
    <row r="1659" ht="15" customHeight="1"/>
    <row r="1660" ht="15" customHeight="1"/>
    <row r="1661" ht="15" customHeight="1"/>
    <row r="1662" ht="15" customHeight="1"/>
    <row r="1663" ht="15" customHeight="1"/>
    <row r="1664" ht="15" customHeight="1"/>
    <row r="1665" ht="15" customHeight="1"/>
    <row r="1666" ht="15" customHeight="1"/>
    <row r="1667" ht="15" customHeight="1"/>
    <row r="1668" ht="15" customHeight="1"/>
    <row r="1669" ht="15" customHeight="1"/>
    <row r="1670" ht="15" customHeight="1"/>
    <row r="1671" ht="15" customHeight="1"/>
    <row r="1672" ht="15" customHeight="1"/>
    <row r="1673" ht="15" customHeight="1"/>
    <row r="1674" ht="15" customHeight="1"/>
    <row r="1675" ht="15" customHeight="1"/>
    <row r="1676" ht="15" customHeight="1"/>
    <row r="1677" ht="15" customHeight="1"/>
    <row r="1678" ht="15" customHeight="1"/>
    <row r="1679" ht="15" customHeight="1"/>
    <row r="1680" ht="15" customHeight="1"/>
    <row r="1681" ht="15" customHeight="1"/>
    <row r="1682" ht="15" customHeight="1"/>
    <row r="1683" ht="15" customHeight="1"/>
    <row r="1684" ht="15" customHeight="1"/>
    <row r="1685" ht="15" customHeight="1"/>
    <row r="1686" ht="15" customHeight="1"/>
    <row r="1687" ht="15" customHeight="1"/>
    <row r="1688" ht="15" customHeight="1"/>
    <row r="1689" ht="15" customHeight="1"/>
    <row r="1690" ht="15" customHeight="1"/>
    <row r="1691" ht="15" customHeight="1"/>
    <row r="1692" ht="15" customHeight="1"/>
    <row r="1693" ht="15" customHeight="1"/>
    <row r="1694" ht="15" customHeight="1"/>
    <row r="1695" ht="15" customHeight="1"/>
    <row r="1696" ht="12" customHeight="1"/>
    <row r="1697" ht="12" customHeight="1"/>
    <row r="1698" ht="15" customHeight="1"/>
    <row r="1699" ht="15" customHeight="1"/>
    <row r="1700" ht="15" customHeight="1"/>
    <row r="1701" ht="15" customHeight="1"/>
    <row r="1702" ht="15" customHeight="1"/>
    <row r="1703" ht="15" customHeight="1"/>
    <row r="1704" ht="15" customHeight="1"/>
    <row r="1705" ht="15" customHeight="1"/>
    <row r="1706" ht="15" customHeight="1"/>
    <row r="1707" ht="15" customHeight="1"/>
    <row r="1708" ht="15" customHeight="1"/>
    <row r="1709" ht="15" customHeight="1"/>
    <row r="1710" ht="15" customHeight="1"/>
    <row r="1711" ht="15" customHeight="1"/>
    <row r="1712" ht="15" customHeight="1"/>
    <row r="1713" ht="15" customHeight="1"/>
    <row r="1714" ht="12" customHeight="1"/>
    <row r="1715" ht="12" customHeight="1"/>
    <row r="1716" ht="12" customHeight="1"/>
    <row r="1717" ht="12" customHeight="1"/>
    <row r="1718" ht="12" customHeight="1"/>
    <row r="1719" ht="12" customHeight="1"/>
    <row r="1720" ht="12" customHeight="1"/>
    <row r="1721" ht="12" customHeight="1"/>
    <row r="1722" ht="12" customHeight="1"/>
    <row r="1723" ht="12" customHeight="1"/>
    <row r="1724" ht="12" customHeight="1"/>
    <row r="1725" ht="15" customHeight="1"/>
    <row r="1726" ht="15" customHeight="1"/>
    <row r="1727" ht="15" customHeight="1"/>
    <row r="1728" ht="15" customHeight="1"/>
    <row r="1729" ht="15" customHeight="1"/>
    <row r="1730" ht="15" customHeight="1"/>
    <row r="1731" ht="12" customHeight="1"/>
    <row r="1732" ht="15" customHeight="1"/>
    <row r="1733" ht="15" customHeight="1"/>
    <row r="1734" ht="15" customHeight="1"/>
    <row r="1735" ht="15" customHeight="1"/>
    <row r="1736" ht="15" customHeight="1"/>
    <row r="1737" ht="15" customHeight="1"/>
    <row r="1738" ht="15" customHeight="1"/>
    <row r="1739" ht="15" customHeight="1"/>
    <row r="1740" ht="15" customHeight="1"/>
    <row r="1741" ht="15" customHeight="1"/>
    <row r="1742" ht="15" customHeight="1"/>
    <row r="1743" ht="15" customHeight="1"/>
    <row r="1744" ht="15" customHeight="1"/>
    <row r="1745" ht="15" customHeight="1"/>
    <row r="1746" ht="15" customHeight="1"/>
    <row r="1747" ht="15" customHeight="1"/>
    <row r="1748" ht="15" customHeight="1"/>
    <row r="1749" ht="15" customHeight="1"/>
    <row r="1750" ht="15" customHeight="1"/>
    <row r="1751" ht="15" customHeight="1"/>
    <row r="1752" ht="15" customHeight="1"/>
    <row r="1753" ht="15" customHeight="1"/>
    <row r="1754" ht="15" customHeight="1"/>
    <row r="1755" ht="15" customHeight="1"/>
    <row r="1756" ht="15" customHeight="1"/>
    <row r="1757" ht="15" customHeight="1"/>
    <row r="1758" ht="15" customHeight="1"/>
    <row r="1759" ht="15" customHeight="1"/>
    <row r="1760" ht="15" customHeight="1"/>
    <row r="1761" ht="15" customHeight="1"/>
    <row r="1762" ht="15" customHeight="1"/>
    <row r="1763" ht="15" customHeight="1"/>
    <row r="1764" ht="15" customHeight="1"/>
    <row r="1765" ht="15" customHeight="1"/>
    <row r="1766" ht="15" customHeight="1"/>
    <row r="1767" ht="12" customHeight="1"/>
    <row r="1768" ht="15" customHeight="1"/>
    <row r="1769" ht="15" customHeight="1"/>
    <row r="1770" ht="15" customHeight="1"/>
    <row r="1771" ht="15" customHeight="1"/>
    <row r="1772" ht="15" customHeight="1"/>
    <row r="1773" ht="15" customHeight="1"/>
    <row r="1774" ht="15" customHeight="1"/>
    <row r="1775" ht="15" customHeight="1"/>
    <row r="1776" ht="15" customHeight="1"/>
    <row r="1777" ht="15" customHeight="1"/>
    <row r="1778" ht="15" customHeight="1"/>
    <row r="1779" ht="15" customHeight="1"/>
    <row r="1780" ht="15" customHeight="1"/>
    <row r="1781" ht="15" customHeight="1"/>
    <row r="1782" ht="15" customHeight="1"/>
    <row r="1783" ht="15" customHeight="1"/>
    <row r="1784" ht="15" customHeight="1"/>
    <row r="1785" ht="15" customHeight="1"/>
    <row r="1786" ht="15" customHeight="1"/>
    <row r="1787" ht="15" customHeight="1"/>
    <row r="1788" ht="15" customHeight="1"/>
    <row r="1789" ht="15" customHeight="1"/>
    <row r="1790" ht="15" customHeight="1"/>
    <row r="1791" ht="15" customHeight="1"/>
    <row r="1792" ht="15" customHeight="1"/>
    <row r="1793" ht="15" customHeight="1"/>
    <row r="1794" ht="15" customHeight="1"/>
    <row r="1795" ht="15" customHeight="1"/>
    <row r="1796" ht="15" customHeight="1"/>
    <row r="1797" ht="15" customHeight="1"/>
    <row r="1798" ht="15" customHeight="1"/>
    <row r="1799" ht="15" customHeight="1"/>
    <row r="1800" ht="15" customHeight="1"/>
    <row r="1801" ht="15" customHeight="1"/>
    <row r="1802" ht="15" customHeight="1"/>
    <row r="1803" ht="15" customHeight="1"/>
    <row r="1804" ht="15" customHeight="1"/>
    <row r="1805" ht="15" customHeight="1"/>
    <row r="1806" ht="15" customHeight="1"/>
    <row r="1807" ht="15" customHeight="1"/>
    <row r="1808" ht="15" customHeight="1"/>
    <row r="1809" ht="15" customHeight="1"/>
    <row r="1810" ht="15" customHeight="1"/>
    <row r="1811" ht="15" customHeight="1"/>
    <row r="1812" ht="15" customHeight="1"/>
    <row r="1813" ht="12" customHeight="1"/>
    <row r="1814" ht="15" customHeight="1"/>
    <row r="1815" ht="15" customHeight="1"/>
    <row r="1816" ht="15" customHeight="1"/>
    <row r="1817" ht="15" customHeight="1"/>
    <row r="1818" ht="15" customHeight="1"/>
    <row r="1819" ht="15" customHeight="1"/>
    <row r="1820" ht="15" customHeight="1"/>
    <row r="1821" ht="15" customHeight="1"/>
    <row r="1822" ht="15" customHeight="1"/>
    <row r="1823" ht="15" customHeight="1"/>
    <row r="1824" ht="15" customHeight="1"/>
    <row r="1825" ht="15" customHeight="1"/>
    <row r="1826" ht="15" customHeight="1"/>
    <row r="1827" ht="15" customHeight="1"/>
    <row r="1828" ht="15" customHeight="1"/>
    <row r="1829" ht="15" customHeight="1"/>
    <row r="1830" ht="15" customHeight="1"/>
    <row r="1831" ht="15" customHeight="1"/>
    <row r="1832" ht="15" customHeight="1"/>
    <row r="1833" ht="15" customHeight="1"/>
    <row r="1834" ht="15" customHeight="1"/>
    <row r="1835" ht="15" customHeight="1"/>
    <row r="1836" ht="15" customHeight="1"/>
    <row r="1837" ht="15" customHeight="1"/>
    <row r="1838" ht="15" customHeight="1"/>
    <row r="1839" ht="15" customHeight="1"/>
    <row r="1840" ht="15" customHeight="1"/>
    <row r="1841" ht="15" customHeight="1"/>
    <row r="1842" ht="15" customHeight="1"/>
    <row r="1843" ht="15" customHeight="1"/>
    <row r="1844" ht="15" customHeight="1"/>
    <row r="1845" ht="15" customHeight="1"/>
    <row r="1846" ht="15" customHeight="1"/>
    <row r="1847" ht="15" customHeight="1"/>
    <row r="1848" ht="15" customHeight="1"/>
    <row r="1849" ht="12" customHeight="1"/>
    <row r="1850" ht="15" customHeight="1"/>
    <row r="1851" ht="15" customHeight="1"/>
    <row r="1852" ht="15" customHeight="1"/>
    <row r="1853" ht="15" customHeight="1"/>
    <row r="1854" ht="15" customHeight="1"/>
    <row r="1855" ht="15" customHeight="1"/>
    <row r="1856" ht="15" customHeight="1"/>
    <row r="1857" ht="15" customHeight="1"/>
    <row r="1858" ht="15" customHeight="1"/>
    <row r="1859" ht="15" customHeight="1"/>
    <row r="1860" ht="15" customHeight="1"/>
    <row r="1861" ht="15" customHeight="1"/>
    <row r="1862" ht="15" customHeight="1"/>
    <row r="1863" ht="15" customHeight="1"/>
    <row r="1864" ht="15" customHeight="1"/>
    <row r="1865" ht="15" customHeight="1"/>
    <row r="1866" ht="15" customHeight="1"/>
    <row r="1867" ht="15" customHeight="1"/>
    <row r="1868" ht="15" customHeight="1"/>
    <row r="1869" ht="15" customHeight="1"/>
    <row r="1870" ht="15" customHeight="1"/>
    <row r="1871" ht="15" customHeight="1"/>
    <row r="1872" ht="15" customHeight="1"/>
    <row r="1873" ht="15" customHeight="1"/>
    <row r="1874" ht="15" customHeight="1"/>
    <row r="1875" ht="15" customHeight="1"/>
    <row r="1876" ht="15" customHeight="1"/>
    <row r="1877" ht="15" customHeight="1"/>
    <row r="1878" ht="15" customHeight="1"/>
    <row r="1879" ht="15" customHeight="1"/>
    <row r="1880" ht="15" customHeight="1"/>
    <row r="1881" ht="15" customHeight="1"/>
    <row r="1882" ht="15" customHeight="1"/>
    <row r="1883" ht="15" customHeight="1"/>
    <row r="1884" ht="15" customHeight="1"/>
    <row r="1885" ht="12" customHeight="1"/>
    <row r="1886" ht="15" customHeight="1"/>
    <row r="1887" ht="12" customHeight="1"/>
    <row r="1888" ht="15" customHeight="1"/>
    <row r="1889" ht="15" customHeight="1"/>
    <row r="1890" ht="15" customHeight="1"/>
    <row r="1891" ht="15" customHeight="1"/>
    <row r="1892" ht="15" customHeight="1"/>
    <row r="1893" ht="15" customHeight="1"/>
    <row r="1894" ht="15" customHeight="1"/>
    <row r="1895" ht="15" customHeight="1"/>
    <row r="1896" ht="15" customHeight="1"/>
    <row r="1897" ht="15" customHeight="1"/>
    <row r="1898" ht="15" customHeight="1"/>
    <row r="1899" ht="15" customHeight="1"/>
    <row r="1900" ht="15" customHeight="1"/>
    <row r="1901" ht="15" customHeight="1"/>
    <row r="1902" ht="15" customHeight="1"/>
    <row r="1903" ht="15" customHeight="1"/>
    <row r="1904" ht="15" customHeight="1"/>
    <row r="1905" ht="15" customHeight="1"/>
    <row r="1906" ht="15" customHeight="1"/>
    <row r="1907" ht="15" customHeight="1"/>
    <row r="1908" ht="15" customHeight="1"/>
    <row r="1909" ht="15" customHeight="1"/>
    <row r="1910" ht="15" customHeight="1"/>
    <row r="1911" ht="15" customHeight="1"/>
    <row r="1912" ht="15" customHeight="1"/>
    <row r="1913" ht="15" customHeight="1"/>
    <row r="1914" ht="15" customHeight="1"/>
    <row r="1915" ht="15" customHeight="1"/>
    <row r="1916" ht="15" customHeight="1"/>
    <row r="1917" ht="15" customHeight="1"/>
    <row r="1918" ht="15" customHeight="1"/>
    <row r="1919" ht="15" customHeight="1"/>
    <row r="1920" ht="15" customHeight="1"/>
    <row r="1921" ht="15" customHeight="1"/>
    <row r="1922" ht="15" customHeight="1"/>
    <row r="1923" ht="12" customHeight="1"/>
    <row r="1924" ht="15" customHeight="1"/>
    <row r="1925" ht="15" customHeight="1"/>
    <row r="1926" ht="15" customHeight="1"/>
    <row r="1927" ht="15" customHeight="1"/>
    <row r="1928" ht="15" customHeight="1"/>
    <row r="1929" ht="15" customHeight="1"/>
    <row r="1930" ht="15" customHeight="1"/>
    <row r="1931" ht="15" customHeight="1"/>
    <row r="1932" ht="15" customHeight="1"/>
    <row r="1933" ht="15" customHeight="1"/>
    <row r="1934" ht="15" customHeight="1"/>
    <row r="1935" ht="15" customHeight="1"/>
    <row r="1936" ht="15" customHeight="1"/>
    <row r="1937" ht="15" customHeight="1"/>
    <row r="1938" ht="15" customHeight="1"/>
    <row r="1939" ht="15" customHeight="1"/>
    <row r="1940" ht="15" customHeight="1"/>
    <row r="1941" ht="15" customHeight="1"/>
    <row r="1942" ht="15" customHeight="1"/>
    <row r="1943" ht="15" customHeight="1"/>
    <row r="1944" ht="15" customHeight="1"/>
    <row r="1945" ht="15" customHeight="1"/>
    <row r="1946" ht="15" customHeight="1"/>
    <row r="1947" ht="15" customHeight="1"/>
    <row r="1948" ht="15" customHeight="1"/>
    <row r="1949" ht="15" customHeight="1"/>
    <row r="1950" ht="15" customHeight="1"/>
    <row r="1951" ht="15" customHeight="1"/>
    <row r="1952" ht="15" customHeight="1"/>
    <row r="1953" ht="15" customHeight="1"/>
    <row r="1954" ht="15" customHeight="1"/>
    <row r="1955" ht="15" customHeight="1"/>
    <row r="1956" ht="15" customHeight="1"/>
    <row r="1957" ht="15" customHeight="1"/>
    <row r="1958" ht="15" customHeight="1"/>
    <row r="1959" ht="12" customHeight="1"/>
    <row r="1960" ht="12" customHeight="1"/>
    <row r="1961" ht="12" customHeight="1"/>
    <row r="1962" ht="15" customHeight="1"/>
    <row r="1963" ht="15" customHeight="1"/>
    <row r="1964" ht="15" customHeight="1"/>
    <row r="1965" ht="15" customHeight="1"/>
    <row r="1966" ht="15" customHeight="1"/>
    <row r="1967" ht="15" customHeight="1"/>
    <row r="1968" ht="15" customHeight="1"/>
    <row r="1969" ht="15" customHeight="1"/>
    <row r="1970" ht="12" customHeight="1"/>
    <row r="1971" ht="15" customHeight="1"/>
    <row r="1972" ht="15" customHeight="1"/>
    <row r="1973" ht="15" customHeight="1"/>
    <row r="1974" ht="15" customHeight="1"/>
    <row r="1975" ht="15" customHeight="1"/>
    <row r="1976" ht="15" customHeight="1"/>
    <row r="1977" ht="15" customHeight="1"/>
    <row r="1978" ht="15" customHeight="1"/>
    <row r="1979" ht="12" customHeight="1"/>
    <row r="1980" ht="15" customHeight="1"/>
    <row r="1981" ht="15" customHeight="1"/>
    <row r="1982" ht="15" customHeight="1"/>
    <row r="1983" ht="15" customHeight="1"/>
    <row r="1984" ht="15" customHeight="1"/>
    <row r="1985" ht="15" customHeight="1"/>
    <row r="1986" ht="15" customHeight="1"/>
    <row r="1987" ht="15" customHeight="1"/>
    <row r="1988" ht="15" customHeight="1"/>
    <row r="1989" ht="15" customHeight="1"/>
    <row r="1990" ht="15" customHeight="1"/>
    <row r="1991" ht="15" customHeight="1"/>
    <row r="1992" ht="15" customHeight="1"/>
    <row r="1993" ht="15" customHeight="1"/>
    <row r="1994" ht="15" customHeight="1"/>
    <row r="1995" ht="15" customHeight="1"/>
    <row r="1996" ht="15" customHeight="1"/>
    <row r="1997" ht="15" customHeight="1"/>
    <row r="1998" ht="12" customHeight="1"/>
    <row r="1999" ht="12" customHeight="1"/>
    <row r="2000" ht="12" customHeight="1"/>
    <row r="2001" ht="12" customHeight="1"/>
    <row r="2002" ht="12" customHeight="1"/>
    <row r="2003" ht="12" customHeight="1"/>
    <row r="2004" ht="12" customHeight="1"/>
    <row r="2005" ht="12" customHeight="1"/>
    <row r="2006" ht="12" customHeight="1"/>
    <row r="2007" ht="12" customHeight="1"/>
    <row r="2008" ht="12" customHeight="1"/>
    <row r="2009" ht="12" customHeight="1"/>
    <row r="2010" ht="12" customHeight="1"/>
    <row r="2011" ht="12" customHeight="1"/>
    <row r="2012" ht="12" customHeight="1"/>
    <row r="2013" ht="12" customHeight="1"/>
    <row r="2014" ht="12" customHeight="1"/>
    <row r="2015" ht="12" customHeight="1"/>
    <row r="2016" ht="12" customHeight="1"/>
    <row r="2017" ht="12" customHeight="1"/>
    <row r="2018" ht="12" customHeight="1"/>
    <row r="2019" ht="12" customHeight="1"/>
    <row r="2020" ht="12" customHeight="1"/>
    <row r="2021" ht="12" customHeight="1"/>
    <row r="2022" ht="12" customHeight="1"/>
    <row r="2023" ht="12" customHeight="1"/>
    <row r="2024" ht="12" customHeight="1"/>
    <row r="2025" ht="12" customHeight="1"/>
    <row r="2026" ht="12" customHeight="1"/>
    <row r="2027" ht="12" customHeight="1"/>
    <row r="2028" ht="12" customHeight="1"/>
    <row r="2029" ht="12" customHeight="1"/>
    <row r="2030" ht="12" customHeight="1"/>
    <row r="2031" ht="12" customHeight="1"/>
    <row r="2032" ht="12" customHeight="1"/>
    <row r="2033" ht="12" customHeight="1"/>
    <row r="2034" ht="12" customHeight="1"/>
    <row r="2035" ht="12" customHeight="1"/>
    <row r="2036" ht="12" customHeight="1"/>
    <row r="2037" ht="12" customHeight="1"/>
    <row r="2038" ht="12" customHeight="1"/>
    <row r="2039" ht="12" customHeight="1"/>
    <row r="2040" ht="12" customHeight="1"/>
    <row r="2041" ht="12" customHeight="1"/>
    <row r="2042" ht="12" customHeight="1"/>
    <row r="2043" ht="12" customHeight="1"/>
    <row r="2044" ht="12" customHeight="1"/>
    <row r="2045" ht="12" customHeight="1"/>
    <row r="2046" ht="12" customHeight="1"/>
    <row r="2047" ht="12" customHeight="1"/>
    <row r="2048" ht="12" customHeight="1"/>
    <row r="2049" ht="12" customHeight="1"/>
    <row r="2050" ht="15" customHeight="1"/>
    <row r="2051" ht="15" customHeight="1"/>
    <row r="2052" ht="15" customHeight="1"/>
    <row r="2053" ht="15" customHeight="1"/>
    <row r="2054" ht="15" customHeight="1"/>
    <row r="2055" ht="15" customHeight="1"/>
    <row r="2056" ht="15" customHeight="1"/>
    <row r="2057" ht="15" customHeight="1"/>
    <row r="2058" ht="15" customHeight="1"/>
    <row r="2059" ht="15" customHeight="1"/>
    <row r="2060" ht="15" customHeight="1"/>
    <row r="2061" ht="15" customHeight="1"/>
    <row r="2062" ht="15" customHeight="1"/>
    <row r="2063" ht="15" customHeight="1"/>
    <row r="2064" ht="15" customHeight="1"/>
    <row r="2065" ht="15" customHeight="1"/>
    <row r="2066" ht="15" customHeight="1"/>
    <row r="2067" ht="15" customHeight="1"/>
    <row r="2068" ht="15" customHeight="1"/>
    <row r="2069" ht="15" customHeight="1"/>
    <row r="2070" ht="15" customHeight="1"/>
    <row r="2071" ht="15" customHeight="1"/>
    <row r="2072" ht="15" customHeight="1"/>
    <row r="2073" ht="15" customHeight="1"/>
    <row r="2074" ht="15" customHeight="1"/>
    <row r="2075" ht="15" customHeight="1"/>
    <row r="2076" ht="15" customHeight="1"/>
    <row r="2077" ht="15" customHeight="1"/>
    <row r="2078" ht="15" customHeight="1"/>
    <row r="2079" ht="15" customHeight="1"/>
    <row r="2080" ht="15" customHeight="1"/>
    <row r="2081" ht="15" customHeight="1"/>
    <row r="2082" ht="15" customHeight="1"/>
    <row r="2083" ht="15" customHeight="1"/>
    <row r="2084" ht="15" customHeight="1"/>
    <row r="2085" ht="15" customHeight="1"/>
    <row r="2086" ht="15" customHeight="1"/>
    <row r="2087" ht="15" customHeight="1"/>
    <row r="2088" ht="15" customHeight="1"/>
    <row r="2089" ht="15" customHeight="1"/>
    <row r="2090" ht="15" customHeight="1"/>
    <row r="2091" ht="15" customHeight="1"/>
    <row r="2092" ht="15" customHeight="1"/>
    <row r="2093" ht="15" customHeight="1"/>
    <row r="2094" ht="15" customHeight="1"/>
    <row r="2095" ht="15" customHeight="1"/>
    <row r="2096" ht="15" customHeight="1"/>
    <row r="2097" ht="15" customHeight="1"/>
    <row r="2098" ht="15" customHeight="1"/>
    <row r="2099" ht="15" customHeight="1"/>
    <row r="2100" ht="15" customHeight="1"/>
    <row r="2101" ht="15" customHeight="1"/>
    <row r="2102" ht="15" customHeight="1"/>
    <row r="2103" ht="15" customHeight="1"/>
    <row r="2104" ht="15" customHeight="1"/>
    <row r="2105" ht="15" customHeight="1"/>
    <row r="2106" ht="15" customHeight="1"/>
    <row r="2107" ht="15" customHeight="1"/>
    <row r="2108" ht="15" customHeight="1"/>
    <row r="2109" ht="15" customHeight="1"/>
    <row r="2110" ht="15" customHeight="1"/>
    <row r="2111" ht="15" customHeight="1"/>
    <row r="2112" ht="15" customHeight="1"/>
    <row r="2113" ht="15" customHeight="1"/>
    <row r="2114" ht="15" customHeight="1"/>
    <row r="2115" ht="15" customHeight="1"/>
    <row r="2116" ht="15" customHeight="1"/>
    <row r="2117" ht="15" customHeight="1"/>
    <row r="2118" ht="15" customHeight="1"/>
    <row r="2119" ht="15" customHeight="1"/>
    <row r="2120" ht="15" customHeight="1"/>
    <row r="2121" ht="15" customHeight="1"/>
    <row r="2122" ht="15" customHeight="1"/>
    <row r="2123" ht="15" customHeight="1"/>
    <row r="2124" ht="15" customHeight="1"/>
    <row r="2125" ht="15" customHeight="1"/>
    <row r="2126" ht="15" customHeight="1"/>
    <row r="2127" ht="15" customHeight="1"/>
    <row r="2128" ht="15" customHeight="1"/>
    <row r="2129" ht="15" customHeight="1"/>
    <row r="2130" ht="15" customHeight="1"/>
    <row r="2131" ht="15" customHeight="1"/>
    <row r="2132" ht="15" customHeight="1"/>
    <row r="2133" ht="15" customHeight="1"/>
    <row r="2134" ht="15" customHeight="1"/>
    <row r="2135" ht="15" customHeight="1"/>
    <row r="2136" ht="15" customHeight="1"/>
    <row r="2137" ht="15" customHeight="1"/>
    <row r="2138" ht="15" customHeight="1"/>
    <row r="2139" ht="15" customHeight="1"/>
    <row r="2140" ht="15" customHeight="1"/>
    <row r="2141" ht="15" customHeight="1"/>
    <row r="2142" ht="15" customHeight="1"/>
    <row r="2143" ht="15" customHeight="1"/>
    <row r="2144" ht="12" customHeight="1"/>
    <row r="2145" ht="15" customHeight="1"/>
    <row r="2146" ht="15" customHeight="1"/>
    <row r="2147" ht="15" customHeight="1"/>
    <row r="2148" ht="15" customHeight="1"/>
    <row r="2149" ht="15" customHeight="1"/>
    <row r="2150" ht="15" customHeight="1"/>
    <row r="2151" ht="15" customHeight="1"/>
    <row r="2152" ht="15" customHeight="1"/>
    <row r="2153" ht="15" customHeight="1"/>
    <row r="2154" ht="15" customHeight="1"/>
    <row r="2155" ht="15" customHeight="1"/>
    <row r="2156" ht="15" customHeight="1"/>
    <row r="2157" ht="15" customHeight="1"/>
    <row r="2158" ht="15" customHeight="1"/>
    <row r="2159" ht="15" customHeight="1"/>
    <row r="2160" ht="15" customHeight="1"/>
    <row r="2161" ht="15" customHeight="1"/>
    <row r="2162" ht="15" customHeight="1"/>
    <row r="2163" ht="15" customHeight="1"/>
    <row r="2164" ht="15" customHeight="1"/>
    <row r="2165" ht="15" customHeight="1"/>
    <row r="2166" ht="15" customHeight="1"/>
    <row r="2167" ht="15" customHeight="1"/>
    <row r="2168" ht="15" customHeight="1"/>
    <row r="2169" ht="15" customHeight="1"/>
    <row r="2170" ht="15" customHeight="1"/>
    <row r="2171" ht="15" customHeight="1"/>
    <row r="2172" ht="15" customHeight="1"/>
    <row r="2173" ht="15" customHeight="1"/>
    <row r="2174" ht="15" customHeight="1"/>
    <row r="2175" ht="15" customHeight="1"/>
    <row r="2176" ht="15" customHeight="1"/>
    <row r="2177" ht="15" customHeight="1"/>
    <row r="2178" ht="15" customHeight="1"/>
    <row r="2179" ht="15" customHeight="1"/>
    <row r="2180" ht="15" customHeight="1"/>
    <row r="2181" ht="15" customHeight="1"/>
    <row r="2182" ht="15" customHeight="1"/>
    <row r="2183" ht="15" customHeight="1"/>
    <row r="2184" ht="15" customHeight="1"/>
    <row r="2185" ht="15" customHeight="1"/>
    <row r="2186" ht="15" customHeight="1"/>
    <row r="2187" ht="15" customHeight="1"/>
    <row r="2188" ht="15" customHeight="1"/>
    <row r="2189" ht="15" customHeight="1"/>
    <row r="2190" ht="15" customHeight="1"/>
    <row r="2191" ht="15" customHeight="1"/>
    <row r="2192" ht="15" customHeight="1"/>
    <row r="2193" ht="15" customHeight="1"/>
    <row r="2194" ht="15" customHeight="1"/>
    <row r="2195" ht="15" customHeight="1"/>
    <row r="2196" ht="15" customHeight="1"/>
    <row r="2197" ht="15" customHeight="1"/>
    <row r="2198" ht="15" customHeight="1"/>
    <row r="2199" ht="15" customHeight="1"/>
    <row r="2200" ht="15" customHeight="1"/>
    <row r="2201" ht="15" customHeight="1"/>
    <row r="2202" ht="15" customHeight="1"/>
    <row r="2203" ht="15" customHeight="1"/>
    <row r="2204" ht="15" customHeight="1"/>
    <row r="2205" ht="15" customHeight="1"/>
    <row r="2206" ht="15" customHeight="1"/>
    <row r="2207" ht="15" customHeight="1"/>
    <row r="2208" ht="15" customHeight="1"/>
    <row r="2209" ht="15" customHeight="1"/>
    <row r="2210" ht="15" customHeight="1"/>
    <row r="2211" ht="15" customHeight="1"/>
    <row r="2212" ht="15" customHeight="1"/>
    <row r="2213" ht="15" customHeight="1"/>
    <row r="2214" ht="15" customHeight="1"/>
    <row r="2215" ht="15" customHeight="1"/>
    <row r="2216" ht="15" customHeight="1"/>
    <row r="2217" ht="15" customHeight="1"/>
    <row r="2218" ht="15" customHeight="1"/>
    <row r="2219" ht="15" customHeight="1"/>
    <row r="2220" ht="15" customHeight="1"/>
    <row r="2221" ht="15" customHeight="1"/>
    <row r="2222" ht="15" customHeight="1"/>
    <row r="2223" ht="15" customHeight="1"/>
    <row r="2224" ht="15" customHeight="1"/>
    <row r="2225" ht="15" customHeight="1"/>
    <row r="2226" ht="15" customHeight="1"/>
    <row r="2227" ht="15" customHeight="1"/>
    <row r="2228" ht="15" customHeight="1"/>
    <row r="2229" ht="15" customHeight="1"/>
    <row r="2230" ht="15" customHeight="1"/>
    <row r="2231" ht="15" customHeight="1"/>
    <row r="2232" ht="15" customHeight="1"/>
    <row r="2233" ht="15" customHeight="1"/>
    <row r="2234" ht="12" customHeight="1"/>
    <row r="2235" ht="15" customHeight="1"/>
    <row r="2236" ht="15" customHeight="1"/>
    <row r="2237" ht="15" customHeight="1"/>
    <row r="2238" ht="15" customHeight="1"/>
    <row r="2239" ht="15" customHeight="1"/>
    <row r="2240" ht="15" customHeight="1"/>
    <row r="2241" ht="15" customHeight="1"/>
    <row r="2242" ht="15" customHeight="1"/>
    <row r="2243" ht="15" customHeight="1"/>
    <row r="2244" ht="15" customHeight="1"/>
    <row r="2245" ht="15" customHeight="1"/>
    <row r="2246" ht="15" customHeight="1"/>
    <row r="2247" ht="15" customHeight="1"/>
    <row r="2248" ht="15" customHeight="1"/>
    <row r="2249" ht="15" customHeight="1"/>
    <row r="2250" ht="15" customHeight="1"/>
    <row r="2251" ht="15" customHeight="1"/>
    <row r="2252" ht="15" customHeight="1"/>
    <row r="2253" ht="15" customHeight="1"/>
    <row r="2254" ht="15" customHeight="1"/>
    <row r="2255" ht="15" customHeight="1"/>
    <row r="2256" ht="15" customHeight="1"/>
    <row r="2257" ht="15" customHeight="1"/>
    <row r="2258" ht="15" customHeight="1"/>
    <row r="2259" ht="15" customHeight="1"/>
    <row r="2260" ht="15" customHeight="1"/>
    <row r="2261" ht="15" customHeight="1"/>
    <row r="2262" ht="15" customHeight="1"/>
    <row r="2263" ht="15" customHeight="1"/>
    <row r="2264" ht="15" customHeight="1"/>
    <row r="2265" ht="15" customHeight="1"/>
    <row r="2266" ht="15" customHeight="1"/>
    <row r="2267" ht="15" customHeight="1"/>
    <row r="2268" ht="15" customHeight="1"/>
    <row r="2269" ht="15" customHeight="1"/>
    <row r="2270" ht="15" customHeight="1"/>
    <row r="2271" ht="15" customHeight="1"/>
    <row r="2272" ht="15" customHeight="1"/>
    <row r="2273" ht="15" customHeight="1"/>
    <row r="2274" ht="15" customHeight="1"/>
    <row r="2275" ht="15" customHeight="1"/>
    <row r="2276" ht="15" customHeight="1"/>
    <row r="2277" ht="15" customHeight="1"/>
    <row r="2278" ht="15" customHeight="1"/>
    <row r="2279" ht="15" customHeight="1"/>
    <row r="2280" ht="15" customHeight="1"/>
    <row r="2281" ht="15" customHeight="1"/>
    <row r="2282" ht="15" customHeight="1"/>
    <row r="2283" ht="15" customHeight="1"/>
    <row r="2284" ht="15" customHeight="1"/>
    <row r="2285" ht="15" customHeight="1"/>
    <row r="2286" ht="15" customHeight="1"/>
    <row r="2287" ht="15" customHeight="1"/>
    <row r="2288" ht="15" customHeight="1"/>
    <row r="2289" ht="15" customHeight="1"/>
    <row r="2290" ht="15" customHeight="1"/>
    <row r="2291" ht="15" customHeight="1"/>
    <row r="2292" ht="15" customHeight="1"/>
    <row r="2293" ht="15" customHeight="1"/>
    <row r="2294" ht="15" customHeight="1"/>
    <row r="2295" ht="15" customHeight="1"/>
    <row r="2296" ht="15" customHeight="1"/>
    <row r="2297" ht="15" customHeight="1"/>
    <row r="2298" ht="15" customHeight="1"/>
    <row r="2299" ht="15" customHeight="1"/>
    <row r="2300" ht="15" customHeight="1"/>
    <row r="2301" ht="15" customHeight="1"/>
    <row r="2302" ht="15" customHeight="1"/>
    <row r="2303" ht="15" customHeight="1"/>
    <row r="2304" ht="15" customHeight="1"/>
    <row r="2305" ht="15" customHeight="1"/>
    <row r="2306" ht="15" customHeight="1"/>
    <row r="2307" ht="15" customHeight="1"/>
    <row r="2308" ht="15" customHeight="1"/>
    <row r="2309" ht="15" customHeight="1"/>
    <row r="2310" ht="15" customHeight="1"/>
    <row r="2311" ht="15" customHeight="1"/>
    <row r="2312" ht="15" customHeight="1"/>
    <row r="2313" ht="15" customHeight="1"/>
    <row r="2314" ht="15" customHeight="1"/>
    <row r="2315" ht="15" customHeight="1"/>
    <row r="2316" ht="15" customHeight="1"/>
    <row r="2317" ht="15" customHeight="1"/>
    <row r="2318" ht="15" customHeight="1"/>
    <row r="2319" ht="15" customHeight="1"/>
    <row r="2320" ht="15" customHeight="1"/>
    <row r="2321" ht="15" customHeight="1"/>
    <row r="2322" ht="15" customHeight="1"/>
    <row r="2323" ht="15" customHeight="1"/>
    <row r="2324" ht="15" customHeight="1"/>
    <row r="2325" ht="15" customHeight="1"/>
    <row r="2326" ht="15" customHeight="1"/>
    <row r="2327" ht="12" customHeight="1"/>
    <row r="2328" ht="12" customHeight="1"/>
    <row r="2329" ht="12" customHeight="1"/>
    <row r="2330" ht="12" customHeight="1"/>
    <row r="2331" ht="12" customHeight="1"/>
    <row r="2332" ht="12" customHeight="1"/>
    <row r="2333" ht="12" customHeight="1"/>
    <row r="2334" ht="12" customHeight="1"/>
    <row r="2335" ht="12" customHeight="1"/>
    <row r="2336" ht="12" customHeight="1"/>
    <row r="2337" ht="12" customHeight="1"/>
    <row r="2338" ht="12" customHeight="1"/>
    <row r="2339" ht="12" customHeight="1"/>
    <row r="2340" ht="12" customHeight="1"/>
    <row r="2341" ht="12" customHeight="1"/>
    <row r="2342" ht="12" customHeight="1"/>
    <row r="2343" ht="12" customHeight="1"/>
    <row r="2344" ht="12" customHeight="1"/>
    <row r="2345" ht="12" customHeight="1"/>
    <row r="2346" ht="12" customHeight="1"/>
    <row r="2347" ht="12" customHeight="1"/>
    <row r="2348" ht="12" customHeight="1"/>
    <row r="2349" ht="12" customHeight="1"/>
    <row r="2350" ht="15" customHeight="1"/>
    <row r="2351" ht="15" customHeight="1"/>
    <row r="2352" ht="15" customHeight="1"/>
    <row r="2353" ht="15" customHeight="1"/>
    <row r="2354" ht="15" customHeight="1"/>
    <row r="2355" ht="15" customHeight="1"/>
    <row r="2356" ht="15" customHeight="1"/>
    <row r="2357" ht="15" customHeight="1"/>
    <row r="2358" ht="15" customHeight="1"/>
    <row r="2359" ht="15" customHeight="1"/>
    <row r="2360" ht="15" customHeight="1"/>
    <row r="2361" ht="15" customHeight="1"/>
    <row r="2362" ht="15" customHeight="1"/>
    <row r="2363" ht="15" customHeight="1"/>
    <row r="2364" ht="15" customHeight="1"/>
    <row r="2365" ht="15" customHeight="1"/>
    <row r="2366" ht="15" customHeight="1"/>
    <row r="2367" ht="15" customHeight="1"/>
    <row r="2368" ht="15" customHeight="1"/>
    <row r="2369" ht="15" customHeight="1"/>
    <row r="2370" ht="15" customHeight="1"/>
    <row r="2371" ht="15" customHeight="1"/>
    <row r="2372" ht="12" customHeight="1"/>
    <row r="2373" ht="15" customHeight="1"/>
    <row r="2374" ht="15" customHeight="1"/>
    <row r="2375" ht="15" customHeight="1"/>
    <row r="2376" ht="15" customHeight="1"/>
    <row r="2377" ht="15" customHeight="1"/>
    <row r="2378" ht="15" customHeight="1"/>
    <row r="2379" ht="15" customHeight="1"/>
    <row r="2380" ht="15" customHeight="1"/>
    <row r="2381" ht="15" customHeight="1"/>
    <row r="2382" ht="15" customHeight="1"/>
    <row r="2383" ht="15" customHeight="1"/>
    <row r="2384" ht="15" customHeight="1"/>
    <row r="2385" ht="15" customHeight="1"/>
    <row r="2386" ht="15" customHeight="1"/>
    <row r="2387" ht="15" customHeight="1"/>
    <row r="2388" ht="15" customHeight="1"/>
    <row r="2389" ht="15" customHeight="1"/>
    <row r="2390" ht="12" customHeight="1"/>
    <row r="2391" ht="15" customHeight="1"/>
    <row r="2392" ht="15" customHeight="1"/>
    <row r="2393" ht="15" customHeight="1"/>
    <row r="2394" ht="15" customHeight="1"/>
    <row r="2395" ht="15" customHeight="1"/>
    <row r="2396" ht="15" customHeight="1"/>
    <row r="2397" ht="15" customHeight="1"/>
    <row r="2398" ht="15" customHeight="1"/>
    <row r="2399" ht="15" customHeight="1"/>
    <row r="2400" ht="15" customHeight="1"/>
    <row r="2401" ht="15" customHeight="1"/>
    <row r="2402" ht="15" customHeight="1"/>
    <row r="2403" ht="15" customHeight="1"/>
    <row r="2404" ht="15" customHeight="1"/>
    <row r="2405" ht="15" customHeight="1"/>
    <row r="2406" ht="15" customHeight="1"/>
    <row r="2407" ht="15" customHeight="1"/>
    <row r="2408" ht="12" customHeight="1"/>
    <row r="2409" ht="15" customHeight="1"/>
    <row r="2410" ht="15" customHeight="1"/>
    <row r="2411" ht="15" customHeight="1"/>
    <row r="2412" ht="15" customHeight="1"/>
    <row r="2413" ht="15" customHeight="1"/>
    <row r="2414" ht="15" customHeight="1"/>
    <row r="2415" ht="15" customHeight="1"/>
    <row r="2416" ht="15" customHeight="1"/>
    <row r="2417" ht="15" customHeight="1"/>
    <row r="2418" ht="15" customHeight="1"/>
    <row r="2419" ht="15" customHeight="1"/>
    <row r="2420" ht="15" customHeight="1"/>
    <row r="2421" ht="15" customHeight="1"/>
    <row r="2422" ht="15" customHeight="1"/>
    <row r="2423" ht="15" customHeight="1"/>
    <row r="2424" ht="15" customHeight="1"/>
    <row r="2425" ht="15" customHeight="1"/>
    <row r="2426" ht="12" customHeight="1"/>
    <row r="2427" ht="15" customHeight="1"/>
    <row r="2428" ht="15" customHeight="1"/>
    <row r="2429" ht="15" customHeight="1"/>
    <row r="2430" ht="15" customHeight="1"/>
    <row r="2431" ht="15" customHeight="1"/>
    <row r="2432" ht="15" customHeight="1"/>
    <row r="2433" ht="15" customHeight="1"/>
    <row r="2434" ht="15" customHeight="1"/>
    <row r="2435" ht="15" customHeight="1"/>
    <row r="2436" ht="15" customHeight="1"/>
    <row r="2437" ht="15" customHeight="1"/>
    <row r="2438" ht="15" customHeight="1"/>
    <row r="2439" ht="15" customHeight="1"/>
    <row r="2440" ht="15" customHeight="1"/>
    <row r="2441" ht="15" customHeight="1"/>
    <row r="2442" ht="15" customHeight="1"/>
    <row r="2443" ht="15" customHeight="1"/>
    <row r="2444" ht="12" customHeight="1"/>
    <row r="2445" ht="15" customHeight="1"/>
    <row r="2446" ht="15" customHeight="1"/>
    <row r="2447" ht="15" customHeight="1"/>
    <row r="2448" ht="15" customHeight="1"/>
    <row r="2449" ht="15" customHeight="1"/>
    <row r="2450" ht="15" customHeight="1"/>
    <row r="2451" ht="15" customHeight="1"/>
    <row r="2452" ht="15" customHeight="1"/>
    <row r="2453" ht="15" customHeight="1"/>
    <row r="2454" ht="15" customHeight="1"/>
    <row r="2455" ht="15" customHeight="1"/>
    <row r="2456" ht="15" customHeight="1"/>
    <row r="2457" ht="15" customHeight="1"/>
    <row r="2458" ht="15" customHeight="1"/>
    <row r="2459" ht="15" customHeight="1"/>
    <row r="2460" ht="15" customHeight="1"/>
    <row r="2461" ht="15" customHeight="1"/>
    <row r="2462" ht="12" customHeight="1"/>
    <row r="2463" ht="12" customHeight="1"/>
    <row r="2464" ht="15" customHeight="1"/>
    <row r="2465" ht="15" customHeight="1"/>
    <row r="2466" ht="15" customHeight="1"/>
    <row r="2467" ht="15" customHeight="1"/>
    <row r="2468" ht="15" customHeight="1"/>
    <row r="2469" ht="15" customHeight="1"/>
    <row r="2470" ht="15" customHeight="1"/>
    <row r="2471" ht="15" customHeight="1"/>
    <row r="2472" ht="15" customHeight="1"/>
    <row r="2473" ht="15" customHeight="1"/>
    <row r="2474" ht="15" customHeight="1"/>
    <row r="2475" ht="15" customHeight="1"/>
    <row r="2476" ht="15" customHeight="1"/>
    <row r="2477" ht="15" customHeight="1"/>
    <row r="2478" ht="15" customHeight="1"/>
    <row r="2479" ht="15" customHeight="1"/>
    <row r="2480" ht="15" customHeight="1"/>
    <row r="2481" ht="12" customHeight="1"/>
    <row r="2482" ht="15" customHeight="1"/>
    <row r="2483" ht="15" customHeight="1"/>
    <row r="2484" ht="15" customHeight="1"/>
    <row r="2485" ht="15" customHeight="1"/>
    <row r="2486" ht="15" customHeight="1"/>
    <row r="2487" ht="15" customHeight="1"/>
    <row r="2488" ht="15" customHeight="1"/>
    <row r="2489" ht="15" customHeight="1"/>
    <row r="2490" ht="15" customHeight="1"/>
    <row r="2491" ht="15" customHeight="1"/>
    <row r="2492" ht="15" customHeight="1"/>
    <row r="2493" ht="15" customHeight="1"/>
    <row r="2494" ht="15" customHeight="1"/>
    <row r="2495" ht="15" customHeight="1"/>
    <row r="2496" ht="15" customHeight="1"/>
    <row r="2497" ht="15" customHeight="1"/>
    <row r="2498" ht="15" customHeight="1"/>
    <row r="2499" ht="12" customHeight="1"/>
    <row r="2500" ht="15" customHeight="1"/>
    <row r="2501" ht="15" customHeight="1"/>
    <row r="2502" ht="15" customHeight="1"/>
    <row r="2503" ht="15" customHeight="1"/>
    <row r="2504" ht="15" customHeight="1"/>
    <row r="2505" ht="15" customHeight="1"/>
    <row r="2506" ht="15" customHeight="1"/>
    <row r="2507" ht="15" customHeight="1"/>
    <row r="2508" ht="15" customHeight="1"/>
    <row r="2509" ht="15" customHeight="1"/>
    <row r="2510" ht="15" customHeight="1"/>
    <row r="2511" ht="15" customHeight="1"/>
    <row r="2512" ht="15" customHeight="1"/>
    <row r="2513" ht="15" customHeight="1"/>
    <row r="2514" ht="15" customHeight="1"/>
    <row r="2515" ht="15" customHeight="1"/>
    <row r="2516" ht="15" customHeight="1"/>
    <row r="2517" ht="12" customHeight="1"/>
    <row r="2518" ht="12" customHeight="1"/>
    <row r="2519" ht="15" customHeight="1"/>
    <row r="2520" ht="15" customHeight="1"/>
    <row r="2521" ht="15" customHeight="1"/>
    <row r="2522" ht="15" customHeight="1"/>
    <row r="2523" ht="15" customHeight="1"/>
    <row r="2524" ht="15" customHeight="1"/>
    <row r="2525" ht="15" customHeight="1"/>
    <row r="2526" ht="15" customHeight="1"/>
    <row r="2527" ht="15" customHeight="1"/>
    <row r="2528" ht="15" customHeight="1"/>
    <row r="2529" ht="15" customHeight="1"/>
    <row r="2530" ht="15" customHeight="1"/>
    <row r="2531" ht="15" customHeight="1"/>
    <row r="2532" ht="15" customHeight="1"/>
    <row r="2533" ht="15" customHeight="1"/>
    <row r="2534" ht="15" customHeight="1"/>
    <row r="2535" ht="15" customHeight="1"/>
    <row r="2536" ht="12" customHeight="1"/>
    <row r="2537" ht="15" customHeight="1"/>
    <row r="2538" ht="15" customHeight="1"/>
    <row r="2539" ht="15" customHeight="1"/>
    <row r="2540" ht="15" customHeight="1"/>
    <row r="2541" ht="15" customHeight="1"/>
    <row r="2542" ht="15" customHeight="1"/>
    <row r="2543" ht="15" customHeight="1"/>
    <row r="2544" ht="15" customHeight="1"/>
    <row r="2545" ht="15" customHeight="1"/>
    <row r="2546" ht="15" customHeight="1"/>
    <row r="2547" ht="15" customHeight="1"/>
    <row r="2548" ht="15" customHeight="1"/>
    <row r="2549" ht="15" customHeight="1"/>
    <row r="2550" ht="15" customHeight="1"/>
    <row r="2551" ht="15" customHeight="1"/>
    <row r="2552" ht="15" customHeight="1"/>
    <row r="2553" ht="15" customHeight="1"/>
    <row r="2554" ht="12" customHeight="1"/>
    <row r="2555" ht="15" customHeight="1"/>
    <row r="2556" ht="15" customHeight="1"/>
    <row r="2557" ht="15" customHeight="1"/>
    <row r="2558" ht="15" customHeight="1"/>
    <row r="2559" ht="15" customHeight="1"/>
    <row r="2560" ht="15" customHeight="1"/>
    <row r="2561" ht="15" customHeight="1"/>
    <row r="2562" ht="15" customHeight="1"/>
    <row r="2563" ht="15" customHeight="1"/>
    <row r="2564" ht="15" customHeight="1"/>
    <row r="2565" ht="15" customHeight="1"/>
    <row r="2566" ht="15" customHeight="1"/>
    <row r="2567" ht="15" customHeight="1"/>
    <row r="2568" ht="15" customHeight="1"/>
    <row r="2569" ht="15" customHeight="1"/>
    <row r="2570" ht="15" customHeight="1"/>
    <row r="2571" ht="15" customHeight="1"/>
    <row r="2572" ht="12" customHeight="1"/>
    <row r="2573" ht="15" customHeight="1"/>
    <row r="2574" ht="15" customHeight="1"/>
    <row r="2575" ht="15" customHeight="1"/>
    <row r="2576" ht="15" customHeight="1"/>
    <row r="2577" ht="15" customHeight="1"/>
    <row r="2578" ht="15" customHeight="1"/>
    <row r="2579" ht="15" customHeight="1"/>
    <row r="2580" ht="15" customHeight="1"/>
    <row r="2581" ht="15" customHeight="1"/>
    <row r="2582" ht="15" customHeight="1"/>
    <row r="2583" ht="15" customHeight="1"/>
    <row r="2584" ht="15" customHeight="1"/>
    <row r="2585" ht="15" customHeight="1"/>
    <row r="2586" ht="15" customHeight="1"/>
    <row r="2587" ht="15" customHeight="1"/>
    <row r="2588" ht="15" customHeight="1"/>
    <row r="2589" ht="15" customHeight="1"/>
    <row r="2590" ht="12" customHeight="1"/>
    <row r="2591" ht="15" customHeight="1"/>
    <row r="2592" ht="15" customHeight="1"/>
    <row r="2593" ht="15" customHeight="1"/>
    <row r="2594" ht="15" customHeight="1"/>
    <row r="2595" ht="15" customHeight="1"/>
    <row r="2596" ht="15" customHeight="1"/>
    <row r="2597" ht="15" customHeight="1"/>
    <row r="2598" ht="15" customHeight="1"/>
    <row r="2599" ht="15" customHeight="1"/>
    <row r="2600" ht="15" customHeight="1"/>
    <row r="2601" ht="15" customHeight="1"/>
    <row r="2602" ht="15" customHeight="1"/>
    <row r="2603" ht="15" customHeight="1"/>
    <row r="2604" ht="15" customHeight="1"/>
    <row r="2605" ht="15" customHeight="1"/>
    <row r="2606" ht="15" customHeight="1"/>
    <row r="2607" ht="15" customHeight="1"/>
    <row r="2608" ht="12" customHeight="1"/>
    <row r="2609" ht="15" customHeight="1"/>
    <row r="2610" ht="15" customHeight="1"/>
    <row r="2611" ht="15" customHeight="1"/>
    <row r="2612" ht="15" customHeight="1"/>
    <row r="2613" ht="15" customHeight="1"/>
    <row r="2614" ht="15" customHeight="1"/>
    <row r="2615" ht="15" customHeight="1"/>
    <row r="2616" ht="15" customHeight="1"/>
    <row r="2617" ht="15" customHeight="1"/>
    <row r="2618" ht="15" customHeight="1"/>
    <row r="2619" ht="15" customHeight="1"/>
    <row r="2620" ht="15" customHeight="1"/>
    <row r="2621" ht="15" customHeight="1"/>
    <row r="2622" ht="15" customHeight="1"/>
    <row r="2623" ht="15" customHeight="1"/>
    <row r="2624" ht="15" customHeight="1"/>
    <row r="2625" ht="15" customHeight="1"/>
    <row r="2626" ht="12" customHeight="1"/>
    <row r="2627" ht="15" customHeight="1"/>
    <row r="2628" ht="15" customHeight="1"/>
    <row r="2629" ht="15" customHeight="1"/>
    <row r="2630" ht="15" customHeight="1"/>
    <row r="2631" ht="15" customHeight="1"/>
    <row r="2632" ht="15" customHeight="1"/>
    <row r="2633" ht="15" customHeight="1"/>
    <row r="2634" ht="15" customHeight="1"/>
    <row r="2635" ht="15" customHeight="1"/>
    <row r="2636" ht="15" customHeight="1"/>
    <row r="2637" ht="15" customHeight="1"/>
    <row r="2638" ht="15" customHeight="1"/>
    <row r="2639" ht="15" customHeight="1"/>
    <row r="2640" ht="15" customHeight="1"/>
    <row r="2641" ht="15" customHeight="1"/>
    <row r="2642" ht="15" customHeight="1"/>
    <row r="2643" ht="15" customHeight="1"/>
    <row r="2644" ht="15" customHeight="1"/>
    <row r="2645" ht="15" customHeight="1"/>
    <row r="2646" ht="15" customHeight="1"/>
    <row r="2647" ht="12" customHeight="1"/>
    <row r="2648" ht="12" customHeight="1"/>
    <row r="2649" ht="12" customHeight="1"/>
    <row r="2650" ht="12" customHeight="1"/>
    <row r="2651" ht="12" customHeight="1"/>
    <row r="2652" ht="12" customHeight="1"/>
    <row r="2653" ht="12" customHeight="1"/>
    <row r="2654" ht="12" customHeight="1"/>
    <row r="2655" ht="12" customHeight="1"/>
    <row r="2656" ht="12" customHeight="1"/>
    <row r="2657" ht="12" customHeight="1"/>
    <row r="2658" ht="12" customHeight="1"/>
    <row r="2659" ht="12" customHeight="1"/>
    <row r="2660" ht="12" customHeight="1"/>
    <row r="2661" ht="12" customHeight="1"/>
    <row r="2662" ht="12" customHeight="1"/>
    <row r="2663" ht="12" customHeight="1"/>
    <row r="2664" ht="12" customHeight="1"/>
    <row r="2665" ht="12" customHeight="1"/>
    <row r="2666" ht="12" customHeight="1"/>
    <row r="2667" ht="12" customHeight="1"/>
    <row r="2668" ht="12" customHeight="1"/>
    <row r="2669" ht="12" customHeight="1"/>
    <row r="2670" ht="12" customHeight="1"/>
    <row r="2671" ht="12" customHeight="1"/>
    <row r="2672" ht="12" customHeight="1"/>
    <row r="2673" ht="12" customHeight="1"/>
    <row r="2674" ht="12" customHeight="1"/>
    <row r="2675" ht="15" customHeight="1"/>
    <row r="2676" ht="15" customHeight="1"/>
    <row r="2677" ht="15" customHeight="1"/>
    <row r="2678" ht="15" customHeight="1"/>
    <row r="2679" ht="15" customHeight="1"/>
    <row r="2680" ht="15" customHeight="1"/>
    <row r="2681" ht="15" customHeight="1"/>
    <row r="2682" ht="15" customHeight="1"/>
    <row r="2683" ht="15" customHeight="1"/>
    <row r="2684" ht="15" customHeight="1"/>
    <row r="2685" ht="15" customHeight="1"/>
    <row r="2686" ht="15" customHeight="1"/>
    <row r="2687" ht="15" customHeight="1"/>
    <row r="2688" ht="15" customHeight="1"/>
    <row r="2689" ht="15" customHeight="1"/>
    <row r="2690" ht="15" customHeight="1"/>
    <row r="2691" ht="15" customHeight="1"/>
    <row r="2692" ht="15" customHeight="1"/>
    <row r="2693" ht="15" customHeight="1"/>
    <row r="2694" ht="15" customHeight="1"/>
    <row r="2695" ht="15" customHeight="1"/>
    <row r="2696" ht="15" customHeight="1"/>
    <row r="2697" ht="12" customHeight="1"/>
    <row r="2698" ht="15" customHeight="1"/>
    <row r="2699" ht="15" customHeight="1"/>
    <row r="2700" ht="15" customHeight="1"/>
    <row r="2701" ht="15" customHeight="1"/>
    <row r="2702" ht="15" customHeight="1"/>
    <row r="2703" ht="15" customHeight="1"/>
    <row r="2704" ht="15" customHeight="1"/>
    <row r="2705" ht="15" customHeight="1"/>
    <row r="2706" ht="15" customHeight="1"/>
    <row r="2707" ht="15" customHeight="1"/>
    <row r="2708" ht="15" customHeight="1"/>
    <row r="2709" ht="15" customHeight="1"/>
    <row r="2710" ht="15" customHeight="1"/>
    <row r="2711" ht="15" customHeight="1"/>
    <row r="2712" ht="15" customHeight="1"/>
    <row r="2713" ht="15" customHeight="1"/>
    <row r="2714" ht="15" customHeight="1"/>
    <row r="2715" ht="12" customHeight="1"/>
    <row r="2716" ht="15" customHeight="1"/>
    <row r="2717" ht="15" customHeight="1"/>
    <row r="2718" ht="15" customHeight="1"/>
    <row r="2719" ht="15" customHeight="1"/>
    <row r="2720" ht="15" customHeight="1"/>
    <row r="2721" ht="15" customHeight="1"/>
    <row r="2722" ht="15" customHeight="1"/>
    <row r="2723" ht="15" customHeight="1"/>
    <row r="2724" ht="15" customHeight="1"/>
    <row r="2725" ht="15" customHeight="1"/>
    <row r="2726" ht="15" customHeight="1"/>
    <row r="2727" ht="15" customHeight="1"/>
    <row r="2728" ht="15" customHeight="1"/>
    <row r="2729" ht="15" customHeight="1"/>
    <row r="2730" ht="15" customHeight="1"/>
    <row r="2731" ht="15" customHeight="1"/>
    <row r="2732" ht="15" customHeight="1"/>
    <row r="2733" ht="12" customHeight="1"/>
    <row r="2734" ht="15" customHeight="1"/>
    <row r="2735" ht="15" customHeight="1"/>
    <row r="2736" ht="15" customHeight="1"/>
    <row r="2737" ht="15" customHeight="1"/>
    <row r="2738" ht="15" customHeight="1"/>
    <row r="2739" ht="15" customHeight="1"/>
    <row r="2740" ht="15" customHeight="1"/>
    <row r="2741" ht="15" customHeight="1"/>
    <row r="2742" ht="15" customHeight="1"/>
    <row r="2743" ht="15" customHeight="1"/>
    <row r="2744" ht="15" customHeight="1"/>
    <row r="2745" ht="15" customHeight="1"/>
    <row r="2746" ht="15" customHeight="1"/>
    <row r="2747" ht="15" customHeight="1"/>
    <row r="2748" ht="15" customHeight="1"/>
    <row r="2749" ht="15" customHeight="1"/>
    <row r="2750" ht="15" customHeight="1"/>
    <row r="2751" ht="12" customHeight="1"/>
    <row r="2752" ht="15" customHeight="1"/>
    <row r="2753" ht="15" customHeight="1"/>
    <row r="2754" ht="15" customHeight="1"/>
    <row r="2755" ht="15" customHeight="1"/>
    <row r="2756" ht="15" customHeight="1"/>
    <row r="2757" ht="15" customHeight="1"/>
    <row r="2758" ht="15" customHeight="1"/>
    <row r="2759" ht="15" customHeight="1"/>
    <row r="2760" ht="15" customHeight="1"/>
    <row r="2761" ht="15" customHeight="1"/>
    <row r="2762" ht="15" customHeight="1"/>
    <row r="2763" ht="15" customHeight="1"/>
    <row r="2764" ht="15" customHeight="1"/>
    <row r="2765" ht="15" customHeight="1"/>
    <row r="2766" ht="15" customHeight="1"/>
    <row r="2767" ht="15" customHeight="1"/>
    <row r="2768" ht="15" customHeight="1"/>
    <row r="2769" ht="15" customHeight="1"/>
    <row r="2770" ht="15" customHeight="1"/>
    <row r="2771" ht="15" customHeight="1"/>
    <row r="2772" ht="15" customHeight="1"/>
    <row r="2773" ht="15" customHeight="1"/>
    <row r="2774" ht="15" customHeight="1"/>
    <row r="2775" ht="15" customHeight="1"/>
    <row r="2776" ht="15" customHeight="1"/>
    <row r="2777" ht="15" customHeight="1"/>
    <row r="2778" ht="15" customHeight="1"/>
    <row r="2779" ht="15" customHeight="1"/>
    <row r="2780" ht="15" customHeight="1"/>
    <row r="2781" ht="15" customHeight="1"/>
    <row r="2782" ht="15" customHeight="1"/>
    <row r="2783" ht="15" customHeight="1"/>
    <row r="2784" ht="15" customHeight="1"/>
    <row r="2785" ht="15" customHeight="1"/>
    <row r="2786" ht="12" customHeight="1"/>
    <row r="2787" ht="15" customHeight="1"/>
    <row r="2788" ht="15" customHeight="1"/>
    <row r="2789" ht="15" customHeight="1"/>
    <row r="2790" ht="15" customHeight="1"/>
    <row r="2791" ht="15" customHeight="1"/>
    <row r="2792" ht="15" customHeight="1"/>
    <row r="2793" ht="15" customHeight="1"/>
    <row r="2794" ht="15" customHeight="1"/>
    <row r="2795" ht="15" customHeight="1"/>
    <row r="2796" ht="15" customHeight="1"/>
    <row r="2797" ht="15" customHeight="1"/>
    <row r="2798" ht="15" customHeight="1"/>
    <row r="2799" ht="15" customHeight="1"/>
    <row r="2800" ht="15" customHeight="1"/>
    <row r="2801" ht="15" customHeight="1"/>
    <row r="2802" ht="15" customHeight="1"/>
    <row r="2803" ht="15" customHeight="1"/>
    <row r="2804" ht="12" customHeight="1"/>
    <row r="2805" ht="15" customHeight="1"/>
    <row r="2806" ht="15" customHeight="1"/>
    <row r="2807" ht="15" customHeight="1"/>
    <row r="2808" ht="15" customHeight="1"/>
    <row r="2809" ht="15" customHeight="1"/>
    <row r="2810" ht="15" customHeight="1"/>
    <row r="2811" ht="15" customHeight="1"/>
    <row r="2812" ht="15" customHeight="1"/>
    <row r="2813" ht="15" customHeight="1"/>
    <row r="2814" ht="15" customHeight="1"/>
    <row r="2815" ht="15" customHeight="1"/>
    <row r="2816" ht="15" customHeight="1"/>
    <row r="2817" ht="15" customHeight="1"/>
    <row r="2818" ht="15" customHeight="1"/>
    <row r="2819" ht="15" customHeight="1"/>
    <row r="2820" ht="15" customHeight="1"/>
    <row r="2821" ht="15" customHeight="1"/>
    <row r="2822" ht="15" customHeight="1"/>
    <row r="2823" ht="15" customHeight="1"/>
    <row r="2824" ht="15" customHeight="1"/>
    <row r="2825" ht="15" customHeight="1"/>
    <row r="2826" ht="15" customHeight="1"/>
    <row r="2827" ht="15" customHeight="1"/>
    <row r="2828" ht="15" customHeight="1"/>
    <row r="2829" ht="15" customHeight="1"/>
    <row r="2830" ht="15" customHeight="1"/>
    <row r="2831" ht="15" customHeight="1"/>
    <row r="2832" ht="15" customHeight="1"/>
    <row r="2833" ht="15" customHeight="1"/>
    <row r="2834" ht="15" customHeight="1"/>
    <row r="2835" ht="15" customHeight="1"/>
    <row r="2836" ht="15" customHeight="1"/>
    <row r="2837" ht="15" customHeight="1"/>
    <row r="2838" ht="15" customHeight="1"/>
    <row r="2839" ht="12" customHeight="1"/>
    <row r="2840" ht="15" customHeight="1"/>
    <row r="2841" ht="15" customHeight="1"/>
    <row r="2842" ht="15" customHeight="1"/>
    <row r="2843" ht="15" customHeight="1"/>
    <row r="2844" ht="15" customHeight="1"/>
    <row r="2845" ht="15" customHeight="1"/>
    <row r="2846" ht="15" customHeight="1"/>
    <row r="2847" ht="15" customHeight="1"/>
    <row r="2848" ht="15" customHeight="1"/>
    <row r="2849" ht="15" customHeight="1"/>
    <row r="2850" ht="15" customHeight="1"/>
    <row r="2851" ht="15" customHeight="1"/>
    <row r="2852" ht="15" customHeight="1"/>
    <row r="2853" ht="15" customHeight="1"/>
    <row r="2854" ht="15" customHeight="1"/>
    <row r="2855" ht="15" customHeight="1"/>
    <row r="2856" ht="15" customHeight="1"/>
    <row r="2857" ht="12" customHeight="1"/>
    <row r="2858" ht="15" customHeight="1"/>
    <row r="2859" ht="15" customHeight="1"/>
    <row r="2860" ht="15" customHeight="1"/>
    <row r="2861" ht="15" customHeight="1"/>
    <row r="2862" ht="15" customHeight="1"/>
    <row r="2863" ht="15" customHeight="1"/>
    <row r="2864" ht="15" customHeight="1"/>
    <row r="2865" ht="15" customHeight="1"/>
    <row r="2866" ht="15" customHeight="1"/>
    <row r="2867" ht="15" customHeight="1"/>
    <row r="2868" ht="15" customHeight="1"/>
    <row r="2869" ht="15" customHeight="1"/>
    <row r="2870" ht="15" customHeight="1"/>
    <row r="2871" ht="15" customHeight="1"/>
    <row r="2872" ht="15" customHeight="1"/>
    <row r="2873" ht="15" customHeight="1"/>
    <row r="2874" ht="15" customHeight="1"/>
    <row r="2875" ht="12" customHeight="1"/>
    <row r="2876" ht="15" customHeight="1"/>
    <row r="2877" ht="15" customHeight="1"/>
    <row r="2878" ht="15" customHeight="1"/>
    <row r="2879" ht="15" customHeight="1"/>
    <row r="2880" ht="15" customHeight="1"/>
    <row r="2881" ht="15" customHeight="1"/>
    <row r="2882" ht="15" customHeight="1"/>
    <row r="2883" ht="15" customHeight="1"/>
    <row r="2884" ht="15" customHeight="1"/>
    <row r="2885" ht="15" customHeight="1"/>
    <row r="2886" ht="15" customHeight="1"/>
    <row r="2887" ht="15" customHeight="1"/>
    <row r="2888" ht="15" customHeight="1"/>
    <row r="2889" ht="15" customHeight="1"/>
    <row r="2890" ht="15" customHeight="1"/>
    <row r="2891" ht="15" customHeight="1"/>
    <row r="2892" ht="15" customHeight="1"/>
    <row r="2893" ht="12" customHeight="1"/>
    <row r="2894" ht="15" customHeight="1"/>
    <row r="2895" ht="15" customHeight="1"/>
    <row r="2896" ht="15" customHeight="1"/>
    <row r="2897" ht="15" customHeight="1"/>
    <row r="2898" ht="15" customHeight="1"/>
    <row r="2899" ht="15" customHeight="1"/>
    <row r="2900" ht="15" customHeight="1"/>
    <row r="2901" ht="15" customHeight="1"/>
    <row r="2902" ht="15" customHeight="1"/>
    <row r="2903" ht="15" customHeight="1"/>
    <row r="2904" ht="15" customHeight="1"/>
    <row r="2905" ht="15" customHeight="1"/>
    <row r="2906" ht="15" customHeight="1"/>
    <row r="2907" ht="15" customHeight="1"/>
    <row r="2908" ht="15" customHeight="1"/>
    <row r="2909" ht="15" customHeight="1"/>
    <row r="2910" ht="15" customHeight="1"/>
    <row r="2911" ht="12" customHeight="1"/>
    <row r="2912" ht="15" customHeight="1"/>
    <row r="2913" ht="15" customHeight="1"/>
    <row r="2914" ht="15" customHeight="1"/>
    <row r="2915" ht="15" customHeight="1"/>
    <row r="2916" ht="15" customHeight="1"/>
    <row r="2917" ht="15" customHeight="1"/>
    <row r="2918" ht="15" customHeight="1"/>
    <row r="2919" ht="15" customHeight="1"/>
    <row r="2920" ht="15" customHeight="1"/>
    <row r="2921" ht="15" customHeight="1"/>
    <row r="2922" ht="15" customHeight="1"/>
    <row r="2923" ht="15" customHeight="1"/>
    <row r="2924" ht="15" customHeight="1"/>
    <row r="2925" ht="15" customHeight="1"/>
    <row r="2926" ht="15" customHeight="1"/>
    <row r="2927" ht="15" customHeight="1"/>
    <row r="2928" ht="15" customHeight="1"/>
    <row r="2929" ht="12" customHeight="1"/>
    <row r="2930" ht="15" customHeight="1"/>
    <row r="2931" ht="15" customHeight="1"/>
    <row r="2932" ht="15" customHeight="1"/>
    <row r="2933" ht="15" customHeight="1"/>
    <row r="2934" ht="15" customHeight="1"/>
    <row r="2935" ht="15" customHeight="1"/>
    <row r="2936" ht="15" customHeight="1"/>
    <row r="2937" ht="15" customHeight="1"/>
    <row r="2938" ht="15" customHeight="1"/>
    <row r="2939" ht="15" customHeight="1"/>
    <row r="2940" ht="15" customHeight="1"/>
    <row r="2941" ht="15" customHeight="1"/>
    <row r="2942" ht="15" customHeight="1"/>
    <row r="2943" ht="15" customHeight="1"/>
    <row r="2944" ht="15" customHeight="1"/>
    <row r="2945" ht="15" customHeight="1"/>
    <row r="2946" ht="15" customHeight="1"/>
    <row r="2947" ht="12" customHeight="1"/>
    <row r="2948" ht="15" customHeight="1"/>
    <row r="2949" ht="15" customHeight="1"/>
    <row r="2950" ht="15" customHeight="1"/>
    <row r="2951" ht="15" customHeight="1"/>
    <row r="2952" ht="15" customHeight="1"/>
    <row r="2953" ht="15" customHeight="1"/>
    <row r="2954" ht="15" customHeight="1"/>
    <row r="2955" ht="15" customHeight="1"/>
    <row r="2956" ht="15" customHeight="1"/>
    <row r="2957" ht="15" customHeight="1"/>
    <row r="2958" ht="15" customHeight="1"/>
    <row r="2959" ht="15" customHeight="1"/>
    <row r="2960" ht="15" customHeight="1"/>
    <row r="2961" ht="15" customHeight="1"/>
    <row r="2962" ht="15" customHeight="1"/>
    <row r="2963" ht="15" customHeight="1"/>
    <row r="2964" ht="15" customHeight="1"/>
    <row r="2965" ht="12" customHeight="1"/>
    <row r="2966" ht="15" customHeight="1"/>
    <row r="2967" ht="15" customHeight="1"/>
    <row r="2968" ht="15" customHeight="1"/>
    <row r="2969" ht="15" customHeight="1"/>
    <row r="2970" ht="15" customHeight="1"/>
    <row r="2971" ht="15" customHeight="1"/>
    <row r="2972" ht="15" customHeight="1"/>
    <row r="2973" ht="12" customHeight="1"/>
    <row r="2974" ht="12" customHeight="1"/>
    <row r="2975" ht="12" customHeight="1"/>
    <row r="2976" ht="12" customHeight="1"/>
    <row r="2977" ht="12" customHeight="1"/>
    <row r="2978" ht="12" customHeight="1"/>
    <row r="2979" ht="12" customHeight="1"/>
    <row r="2980" ht="12" customHeight="1"/>
    <row r="2981" ht="12" customHeight="1"/>
    <row r="2982" ht="12" customHeight="1"/>
    <row r="2983" ht="12" customHeight="1"/>
    <row r="2984" ht="12" customHeight="1"/>
    <row r="2985" ht="12" customHeight="1"/>
    <row r="2986" ht="12" customHeight="1"/>
    <row r="2987" ht="12" customHeight="1"/>
    <row r="2988" ht="12" customHeight="1"/>
    <row r="2989" ht="12" customHeight="1"/>
    <row r="2990" ht="12" customHeight="1"/>
    <row r="2991" ht="12" customHeight="1"/>
    <row r="2992" ht="12" customHeight="1"/>
    <row r="2993" ht="12" customHeight="1"/>
    <row r="2994" ht="12" customHeight="1"/>
    <row r="2995" ht="12" customHeight="1"/>
    <row r="2996" ht="12" customHeight="1"/>
    <row r="2997" ht="12" customHeight="1"/>
    <row r="2998" ht="12" customHeight="1"/>
    <row r="2999" ht="12" customHeight="1"/>
    <row r="3000" ht="15" customHeight="1"/>
    <row r="3001" ht="15" customHeight="1"/>
    <row r="3002" ht="15" customHeight="1"/>
    <row r="3003" ht="15" customHeight="1"/>
    <row r="3004" ht="15" customHeight="1"/>
    <row r="3005" ht="15" customHeight="1"/>
    <row r="3006" ht="15" customHeight="1"/>
    <row r="3007" ht="15" customHeight="1"/>
    <row r="3008" ht="15" customHeight="1"/>
    <row r="3009" ht="15" customHeight="1"/>
    <row r="3010" ht="15" customHeight="1"/>
    <row r="3011" ht="15" customHeight="1"/>
    <row r="3012" ht="15" customHeight="1"/>
    <row r="3013" ht="15" customHeight="1"/>
    <row r="3014" ht="15" customHeight="1"/>
    <row r="3015" ht="15" customHeight="1"/>
    <row r="3016" ht="15" customHeight="1"/>
    <row r="3017" ht="15" customHeight="1"/>
    <row r="3018" ht="15" customHeight="1"/>
    <row r="3019" ht="15" customHeight="1"/>
    <row r="3020" ht="15" customHeight="1"/>
    <row r="3021" ht="15" customHeight="1"/>
    <row r="3022" ht="12" customHeight="1"/>
    <row r="3023" ht="15" customHeight="1"/>
    <row r="3024" ht="15" customHeight="1"/>
    <row r="3025" ht="15" customHeight="1"/>
    <row r="3026" ht="15" customHeight="1"/>
    <row r="3027" ht="15" customHeight="1"/>
    <row r="3028" ht="15" customHeight="1"/>
    <row r="3029" ht="15" customHeight="1"/>
    <row r="3030" ht="15" customHeight="1"/>
    <row r="3031" ht="15" customHeight="1"/>
    <row r="3032" ht="15" customHeight="1"/>
    <row r="3033" ht="15" customHeight="1"/>
    <row r="3034" ht="15" customHeight="1"/>
    <row r="3035" ht="15" customHeight="1"/>
    <row r="3036" ht="15" customHeight="1"/>
    <row r="3037" ht="15" customHeight="1"/>
    <row r="3038" ht="15" customHeight="1"/>
    <row r="3039" ht="15" customHeight="1"/>
    <row r="3040" ht="12" customHeight="1"/>
    <row r="3041" ht="15" customHeight="1"/>
    <row r="3042" ht="15" customHeight="1"/>
    <row r="3043" ht="15" customHeight="1"/>
    <row r="3044" ht="15" customHeight="1"/>
    <row r="3045" ht="15" customHeight="1"/>
    <row r="3046" ht="15" customHeight="1"/>
    <row r="3047" ht="15" customHeight="1"/>
    <row r="3048" ht="15" customHeight="1"/>
    <row r="3049" ht="15" customHeight="1"/>
    <row r="3050" ht="15" customHeight="1"/>
    <row r="3051" ht="15" customHeight="1"/>
    <row r="3052" ht="15" customHeight="1"/>
    <row r="3053" ht="15" customHeight="1"/>
    <row r="3054" ht="15" customHeight="1"/>
    <row r="3055" ht="15" customHeight="1"/>
    <row r="3056" ht="15" customHeight="1"/>
    <row r="3057" ht="15" customHeight="1"/>
    <row r="3058" ht="12" customHeight="1"/>
    <row r="3059" ht="15" customHeight="1"/>
    <row r="3060" ht="15" customHeight="1"/>
    <row r="3061" ht="15" customHeight="1"/>
    <row r="3062" ht="15" customHeight="1"/>
    <row r="3063" ht="15" customHeight="1"/>
    <row r="3064" ht="15" customHeight="1"/>
    <row r="3065" ht="15" customHeight="1"/>
    <row r="3066" ht="15" customHeight="1"/>
    <row r="3067" ht="15" customHeight="1"/>
    <row r="3068" ht="15" customHeight="1"/>
    <row r="3069" ht="15" customHeight="1"/>
    <row r="3070" ht="15" customHeight="1"/>
    <row r="3071" ht="15" customHeight="1"/>
    <row r="3072" ht="15" customHeight="1"/>
    <row r="3073" ht="15" customHeight="1"/>
    <row r="3074" ht="15" customHeight="1"/>
    <row r="3075" ht="15" customHeight="1"/>
    <row r="3076" ht="12" customHeight="1"/>
    <row r="3077" ht="15" customHeight="1"/>
    <row r="3078" ht="15" customHeight="1"/>
    <row r="3079" ht="15" customHeight="1"/>
    <row r="3080" ht="15" customHeight="1"/>
    <row r="3081" ht="15" customHeight="1"/>
    <row r="3082" ht="15" customHeight="1"/>
    <row r="3083" ht="15" customHeight="1"/>
    <row r="3084" ht="15" customHeight="1"/>
    <row r="3085" ht="15" customHeight="1"/>
    <row r="3086" ht="15" customHeight="1"/>
    <row r="3087" ht="15" customHeight="1"/>
    <row r="3088" ht="15" customHeight="1"/>
    <row r="3089" ht="15" customHeight="1"/>
    <row r="3090" ht="15" customHeight="1"/>
    <row r="3091" ht="15" customHeight="1"/>
    <row r="3092" ht="15" customHeight="1"/>
    <row r="3093" ht="15" customHeight="1"/>
    <row r="3094" ht="15" customHeight="1"/>
    <row r="3095" ht="15" customHeight="1"/>
    <row r="3096" ht="15" customHeight="1"/>
    <row r="3097" ht="15" customHeight="1"/>
    <row r="3098" ht="15" customHeight="1"/>
    <row r="3099" ht="15" customHeight="1"/>
    <row r="3100" ht="15" customHeight="1"/>
    <row r="3101" ht="15" customHeight="1"/>
    <row r="3102" ht="15" customHeight="1"/>
    <row r="3103" ht="15" customHeight="1"/>
    <row r="3104" ht="15" customHeight="1"/>
    <row r="3105" ht="15" customHeight="1"/>
    <row r="3106" ht="15" customHeight="1"/>
    <row r="3107" ht="15" customHeight="1"/>
    <row r="3108" ht="15" customHeight="1"/>
    <row r="3109" ht="15" customHeight="1"/>
    <row r="3110" ht="15" customHeight="1"/>
    <row r="3111" ht="12" customHeight="1"/>
    <row r="3112" ht="15" customHeight="1"/>
    <row r="3113" ht="15" customHeight="1"/>
    <row r="3114" ht="15" customHeight="1"/>
    <row r="3115" ht="15" customHeight="1"/>
    <row r="3116" ht="15" customHeight="1"/>
    <row r="3117" ht="15" customHeight="1"/>
    <row r="3118" ht="15" customHeight="1"/>
    <row r="3119" ht="15" customHeight="1"/>
    <row r="3120" ht="15" customHeight="1"/>
    <row r="3121" ht="15" customHeight="1"/>
    <row r="3122" ht="15" customHeight="1"/>
    <row r="3123" ht="15" customHeight="1"/>
    <row r="3124" ht="15" customHeight="1"/>
    <row r="3125" ht="15" customHeight="1"/>
    <row r="3126" ht="15" customHeight="1"/>
    <row r="3127" ht="15" customHeight="1"/>
    <row r="3128" ht="15" customHeight="1"/>
    <row r="3129" ht="12" customHeight="1"/>
    <row r="3130" ht="15" customHeight="1"/>
    <row r="3131" ht="15" customHeight="1"/>
    <row r="3132" ht="15" customHeight="1"/>
    <row r="3133" ht="15" customHeight="1"/>
    <row r="3134" ht="15" customHeight="1"/>
    <row r="3135" ht="15" customHeight="1"/>
    <row r="3136" ht="15" customHeight="1"/>
    <row r="3137" ht="15" customHeight="1"/>
    <row r="3138" ht="15" customHeight="1"/>
    <row r="3139" ht="15" customHeight="1"/>
    <row r="3140" ht="15" customHeight="1"/>
    <row r="3141" ht="15" customHeight="1"/>
    <row r="3142" ht="15" customHeight="1"/>
    <row r="3143" ht="15" customHeight="1"/>
    <row r="3144" ht="15" customHeight="1"/>
    <row r="3145" ht="15" customHeight="1"/>
    <row r="3146" ht="15" customHeight="1"/>
    <row r="3147" ht="12" customHeight="1"/>
    <row r="3148" ht="15" customHeight="1"/>
    <row r="3149" ht="15" customHeight="1"/>
    <row r="3150" ht="15" customHeight="1"/>
    <row r="3151" ht="15" customHeight="1"/>
    <row r="3152" ht="15" customHeight="1"/>
    <row r="3153" ht="15" customHeight="1"/>
    <row r="3154" ht="15" customHeight="1"/>
    <row r="3155" ht="15" customHeight="1"/>
    <row r="3156" ht="15" customHeight="1"/>
    <row r="3157" ht="15" customHeight="1"/>
    <row r="3158" ht="15" customHeight="1"/>
    <row r="3159" ht="15" customHeight="1"/>
    <row r="3160" ht="15" customHeight="1"/>
    <row r="3161" ht="15" customHeight="1"/>
    <row r="3162" ht="15" customHeight="1"/>
    <row r="3163" ht="15" customHeight="1"/>
    <row r="3164" ht="15" customHeight="1"/>
    <row r="3165" ht="12" customHeight="1"/>
    <row r="3166" ht="12" customHeight="1"/>
    <row r="3167" ht="15" customHeight="1"/>
    <row r="3168" ht="15" customHeight="1"/>
    <row r="3169" ht="15" customHeight="1"/>
    <row r="3170" ht="15" customHeight="1"/>
    <row r="3171" ht="15" customHeight="1"/>
    <row r="3172" ht="15" customHeight="1"/>
    <row r="3173" ht="15" customHeight="1"/>
    <row r="3174" ht="15" customHeight="1"/>
    <row r="3175" ht="15" customHeight="1"/>
    <row r="3176" ht="15" customHeight="1"/>
    <row r="3177" ht="15" customHeight="1"/>
    <row r="3178" ht="15" customHeight="1"/>
    <row r="3179" ht="15" customHeight="1"/>
    <row r="3180" ht="15" customHeight="1"/>
    <row r="3181" ht="15" customHeight="1"/>
    <row r="3182" ht="15" customHeight="1"/>
    <row r="3183" ht="15" customHeight="1"/>
    <row r="3184" ht="12" customHeight="1"/>
    <row r="3185" ht="15" customHeight="1"/>
    <row r="3186" ht="15" customHeight="1"/>
    <row r="3187" ht="15" customHeight="1"/>
    <row r="3188" ht="15" customHeight="1"/>
    <row r="3189" ht="15" customHeight="1"/>
    <row r="3190" ht="15" customHeight="1"/>
    <row r="3191" ht="15" customHeight="1"/>
    <row r="3192" ht="15" customHeight="1"/>
    <row r="3193" ht="15" customHeight="1"/>
    <row r="3194" ht="15" customHeight="1"/>
    <row r="3195" ht="15" customHeight="1"/>
    <row r="3196" ht="15" customHeight="1"/>
    <row r="3197" ht="15" customHeight="1"/>
    <row r="3198" ht="15" customHeight="1"/>
    <row r="3199" ht="15" customHeight="1"/>
    <row r="3200" ht="15" customHeight="1"/>
    <row r="3201" ht="15" customHeight="1"/>
    <row r="3202" ht="12" customHeight="1"/>
    <row r="3203" ht="15" customHeight="1"/>
    <row r="3204" ht="15" customHeight="1"/>
    <row r="3205" ht="15" customHeight="1"/>
    <row r="3206" ht="15" customHeight="1"/>
    <row r="3207" ht="15" customHeight="1"/>
    <row r="3208" ht="15" customHeight="1"/>
    <row r="3209" ht="15" customHeight="1"/>
    <row r="3210" ht="15" customHeight="1"/>
    <row r="3211" ht="15" customHeight="1"/>
    <row r="3212" ht="15" customHeight="1"/>
    <row r="3213" ht="15" customHeight="1"/>
    <row r="3214" ht="15" customHeight="1"/>
    <row r="3215" ht="15" customHeight="1"/>
    <row r="3216" ht="15" customHeight="1"/>
    <row r="3217" ht="15" customHeight="1"/>
    <row r="3218" ht="15" customHeight="1"/>
    <row r="3219" ht="15" customHeight="1"/>
    <row r="3220" ht="12" customHeight="1"/>
    <row r="3221" ht="15" customHeight="1"/>
    <row r="3222" ht="15" customHeight="1"/>
    <row r="3223" ht="15" customHeight="1"/>
    <row r="3224" ht="15" customHeight="1"/>
    <row r="3225" ht="15" customHeight="1"/>
    <row r="3226" ht="15" customHeight="1"/>
    <row r="3227" ht="15" customHeight="1"/>
    <row r="3228" ht="15" customHeight="1"/>
    <row r="3229" ht="15" customHeight="1"/>
    <row r="3230" ht="15" customHeight="1"/>
    <row r="3231" ht="15" customHeight="1"/>
    <row r="3232" ht="15" customHeight="1"/>
    <row r="3233" ht="15" customHeight="1"/>
    <row r="3234" ht="15" customHeight="1"/>
    <row r="3235" ht="15" customHeight="1"/>
    <row r="3236" ht="15" customHeight="1"/>
    <row r="3237" ht="15" customHeight="1"/>
    <row r="3238" ht="12" customHeight="1"/>
    <row r="3239" ht="15" customHeight="1"/>
    <row r="3240" ht="15" customHeight="1"/>
    <row r="3241" ht="15" customHeight="1"/>
    <row r="3242" ht="15" customHeight="1"/>
    <row r="3243" ht="15" customHeight="1"/>
    <row r="3244" ht="15" customHeight="1"/>
    <row r="3245" ht="15" customHeight="1"/>
    <row r="3246" ht="15" customHeight="1"/>
    <row r="3247" ht="15" customHeight="1"/>
    <row r="3248" ht="15" customHeight="1"/>
    <row r="3249" ht="15" customHeight="1"/>
    <row r="3250" ht="15" customHeight="1"/>
    <row r="3251" ht="15" customHeight="1"/>
    <row r="3252" ht="15" customHeight="1"/>
    <row r="3253" ht="15" customHeight="1"/>
    <row r="3254" ht="15" customHeight="1"/>
    <row r="3255" ht="15" customHeight="1"/>
    <row r="3256" ht="12" customHeight="1"/>
    <row r="3257" ht="15" customHeight="1"/>
    <row r="3258" ht="15" customHeight="1"/>
    <row r="3259" ht="15" customHeight="1"/>
    <row r="3260" ht="15" customHeight="1"/>
    <row r="3261" ht="15" customHeight="1"/>
    <row r="3262" ht="15" customHeight="1"/>
    <row r="3263" ht="15" customHeight="1"/>
    <row r="3264" ht="15" customHeight="1"/>
    <row r="3265" ht="15" customHeight="1"/>
    <row r="3266" ht="15" customHeight="1"/>
    <row r="3267" ht="15" customHeight="1"/>
    <row r="3268" ht="15" customHeight="1"/>
    <row r="3269" ht="15" customHeight="1"/>
    <row r="3270" ht="15" customHeight="1"/>
    <row r="3271" ht="15" customHeight="1"/>
    <row r="3272" ht="15" customHeight="1"/>
    <row r="3273" ht="15" customHeight="1"/>
    <row r="3274" ht="12" customHeight="1"/>
    <row r="3275" ht="15" customHeight="1"/>
    <row r="3276" ht="15" customHeight="1"/>
    <row r="3277" ht="15" customHeight="1"/>
    <row r="3278" ht="15" customHeight="1"/>
    <row r="3279" ht="15" customHeight="1"/>
    <row r="3280" ht="15" customHeight="1"/>
    <row r="3281" ht="15" customHeight="1"/>
    <row r="3282" ht="15" customHeight="1"/>
    <row r="3283" ht="15" customHeight="1"/>
    <row r="3284" ht="15" customHeight="1"/>
    <row r="3285" ht="15" customHeight="1"/>
    <row r="3286" ht="15" customHeight="1"/>
    <row r="3287" ht="15" customHeight="1"/>
    <row r="3288" ht="15" customHeight="1"/>
    <row r="3289" ht="15" customHeight="1"/>
    <row r="3290" ht="15" customHeight="1"/>
    <row r="3291" ht="15" customHeight="1"/>
    <row r="3292" ht="15" customHeight="1"/>
    <row r="3293" ht="15" customHeight="1"/>
    <row r="3294" ht="12" customHeight="1"/>
    <row r="3295" ht="12" customHeight="1"/>
    <row r="3296" ht="12" customHeight="1"/>
    <row r="3297" ht="12" customHeight="1"/>
    <row r="3298" ht="12" customHeight="1"/>
    <row r="3299" ht="12" customHeight="1"/>
    <row r="3300" ht="12" customHeight="1"/>
    <row r="3301" ht="12" customHeight="1"/>
    <row r="3302" ht="12" customHeight="1"/>
    <row r="3303" ht="12" customHeight="1"/>
    <row r="3304" ht="12" customHeight="1"/>
    <row r="3305" ht="12" customHeight="1"/>
    <row r="3306" ht="12" customHeight="1"/>
    <row r="3307" ht="12" customHeight="1"/>
    <row r="3308" ht="12" customHeight="1"/>
    <row r="3309" ht="12" customHeight="1"/>
    <row r="3310" ht="12" customHeight="1"/>
    <row r="3311" ht="12" customHeight="1"/>
    <row r="3312" ht="12" customHeight="1"/>
    <row r="3313" ht="12" customHeight="1"/>
    <row r="3314" ht="12" customHeight="1"/>
    <row r="3315" ht="12" customHeight="1"/>
    <row r="3316" ht="12" customHeight="1"/>
    <row r="3317" ht="12" customHeight="1"/>
    <row r="3318" ht="12" customHeight="1"/>
    <row r="3319" ht="12" customHeight="1"/>
    <row r="3320" ht="12" customHeight="1"/>
    <row r="3321" ht="12" customHeight="1"/>
    <row r="3322" ht="12" customHeight="1"/>
    <row r="3323" ht="12" customHeight="1"/>
    <row r="3324" ht="12" customHeight="1"/>
    <row r="3325" ht="15" customHeight="1"/>
    <row r="3326" ht="15" customHeight="1"/>
    <row r="3327" ht="15" customHeight="1"/>
    <row r="3328" ht="15" customHeight="1"/>
    <row r="3329" ht="15" customHeight="1"/>
    <row r="3330" ht="15" customHeight="1"/>
    <row r="3331" ht="15" customHeight="1"/>
    <row r="3332" ht="15" customHeight="1"/>
    <row r="3333" ht="15" customHeight="1"/>
    <row r="3334" ht="15" customHeight="1"/>
    <row r="3335" ht="12" customHeight="1"/>
    <row r="3336" ht="15" customHeight="1"/>
    <row r="3337" ht="15" customHeight="1"/>
    <row r="3338" ht="15" customHeight="1"/>
    <row r="3339" ht="15" customHeight="1"/>
    <row r="3340" ht="15" customHeight="1"/>
    <row r="3341" ht="15" customHeight="1"/>
    <row r="3342" ht="15" customHeight="1"/>
    <row r="3343" ht="15" customHeight="1"/>
    <row r="3344" ht="15" customHeight="1"/>
    <row r="3345" ht="15" customHeight="1"/>
    <row r="3346" ht="15" customHeight="1"/>
    <row r="3347" ht="15" customHeight="1"/>
    <row r="3348" ht="15" customHeight="1"/>
    <row r="3349" ht="15" customHeight="1"/>
    <row r="3350" ht="15" customHeight="1"/>
    <row r="3351" ht="15" customHeight="1"/>
    <row r="3352" ht="12" customHeight="1"/>
    <row r="3353" ht="15" customHeight="1"/>
    <row r="3354" ht="15" customHeight="1"/>
    <row r="3355" ht="12" customHeight="1"/>
    <row r="3356" ht="15" customHeight="1"/>
    <row r="3357" ht="15" customHeight="1"/>
    <row r="3358" ht="15" customHeight="1"/>
    <row r="3359" ht="15" customHeight="1"/>
    <row r="3360" ht="15" customHeight="1"/>
    <row r="3361" ht="12" customHeight="1"/>
    <row r="3362" ht="15" customHeight="1"/>
    <row r="3363" ht="15" customHeight="1"/>
    <row r="3364" ht="15" customHeight="1"/>
    <row r="3365" ht="15" customHeight="1"/>
    <row r="3366" ht="15" customHeight="1"/>
    <row r="3367" ht="15" customHeight="1"/>
    <row r="3368" ht="15" customHeight="1"/>
    <row r="3369" ht="15" customHeight="1"/>
    <row r="3370" ht="15" customHeight="1"/>
    <row r="3371" ht="15" customHeight="1"/>
    <row r="3372" ht="15" customHeight="1"/>
    <row r="3373" ht="15" customHeight="1"/>
    <row r="3374" ht="15" customHeight="1"/>
    <row r="3375" ht="15" customHeight="1"/>
    <row r="3376" ht="15" customHeight="1"/>
    <row r="3377" ht="15" customHeight="1"/>
    <row r="3378" ht="12" customHeight="1"/>
    <row r="3379" ht="15" customHeight="1"/>
    <row r="3380" ht="15" customHeight="1"/>
    <row r="3381" ht="12" customHeight="1"/>
    <row r="3382" ht="15" customHeight="1"/>
    <row r="3383" ht="15" customHeight="1"/>
    <row r="3384" ht="15" customHeight="1"/>
    <row r="3385" ht="12" customHeight="1"/>
    <row r="3386" ht="15" customHeight="1"/>
    <row r="3387" ht="15" customHeight="1"/>
    <row r="3388" ht="15" customHeight="1"/>
    <row r="3389" ht="15" customHeight="1"/>
    <row r="3390" ht="15" customHeight="1"/>
    <row r="3391" ht="15" customHeight="1"/>
    <row r="3392" ht="15" customHeight="1"/>
    <row r="3393" ht="15" customHeight="1"/>
    <row r="3394" ht="15" customHeight="1"/>
    <row r="3395" ht="15" customHeight="1"/>
    <row r="3396" ht="12" customHeight="1"/>
    <row r="3397" ht="15" customHeight="1"/>
    <row r="3398" ht="15" customHeight="1"/>
    <row r="3399" ht="12" customHeight="1"/>
    <row r="3400" ht="15" customHeight="1"/>
    <row r="3401" ht="15" customHeight="1"/>
    <row r="3402" ht="15" customHeight="1"/>
    <row r="3403" ht="15" customHeight="1"/>
    <row r="3404" ht="15" customHeight="1"/>
    <row r="3405" ht="15" customHeight="1"/>
    <row r="3406" ht="15" customHeight="1"/>
    <row r="3407" ht="15" customHeight="1"/>
    <row r="3408" ht="15" customHeight="1"/>
    <row r="3409" ht="15" customHeight="1"/>
    <row r="3410" ht="12" customHeight="1"/>
    <row r="3411" ht="12" customHeight="1"/>
    <row r="3412" ht="12" customHeight="1"/>
    <row r="3413" ht="12" customHeight="1"/>
    <row r="3414" ht="12" customHeight="1"/>
    <row r="3415" ht="12" customHeight="1"/>
    <row r="3416" ht="12" customHeight="1"/>
    <row r="3417" ht="12" customHeight="1"/>
    <row r="3418" ht="12" customHeight="1"/>
    <row r="3419" ht="12" customHeight="1"/>
    <row r="3420" ht="12" customHeight="1"/>
    <row r="3421" ht="12" customHeight="1"/>
    <row r="3422" ht="12" customHeight="1"/>
    <row r="3423" ht="12" customHeight="1"/>
    <row r="3424" ht="12" customHeight="1"/>
    <row r="3425" ht="12" customHeight="1"/>
    <row r="3426" ht="12" customHeight="1"/>
    <row r="3427" ht="12" customHeight="1"/>
    <row r="3428" ht="12" customHeight="1"/>
    <row r="3429" ht="12" customHeight="1"/>
    <row r="3430" ht="12" customHeight="1"/>
    <row r="3431" ht="12" customHeight="1"/>
    <row r="3432" ht="12" customHeight="1"/>
    <row r="3433" ht="12" customHeight="1"/>
    <row r="3434" ht="12" customHeight="1"/>
    <row r="3435" ht="12" customHeight="1"/>
    <row r="3436" ht="12" customHeight="1"/>
    <row r="3437" ht="12" customHeight="1"/>
    <row r="3438" ht="12" customHeight="1"/>
    <row r="3439" ht="12" customHeight="1"/>
    <row r="3440" ht="12" customHeight="1"/>
    <row r="3441" ht="12" customHeight="1"/>
    <row r="3442" ht="12" customHeight="1"/>
    <row r="3443" ht="12" customHeight="1"/>
    <row r="3444" ht="12" customHeight="1"/>
    <row r="3445" ht="12" customHeight="1"/>
    <row r="3446" ht="12" customHeight="1"/>
    <row r="3447" ht="12" customHeight="1"/>
    <row r="3448" ht="12" customHeight="1"/>
    <row r="3449" ht="12" customHeight="1"/>
    <row r="3450" ht="15" customHeight="1"/>
    <row r="3451" ht="15" customHeight="1"/>
    <row r="3452" ht="15" customHeight="1"/>
    <row r="3453" ht="15" customHeight="1"/>
    <row r="3454" ht="15" customHeight="1"/>
    <row r="3455" ht="15" customHeight="1"/>
    <row r="3456" ht="15" customHeight="1"/>
    <row r="3457" ht="15" customHeight="1"/>
    <row r="3458" ht="15" customHeight="1"/>
    <row r="3459" ht="15" customHeight="1"/>
    <row r="3460" ht="12" customHeight="1"/>
    <row r="3461" ht="15" customHeight="1"/>
    <row r="3462" ht="15" customHeight="1"/>
    <row r="3463" ht="15" customHeight="1"/>
    <row r="3464" ht="15" customHeight="1"/>
    <row r="3465" ht="15" customHeight="1"/>
    <row r="3466" ht="15" customHeight="1"/>
    <row r="3467" ht="15" customHeight="1"/>
    <row r="3468" ht="15" customHeight="1"/>
    <row r="3469" ht="15" customHeight="1"/>
    <row r="3470" ht="15" customHeight="1"/>
    <row r="3471" ht="15" customHeight="1"/>
    <row r="3472" ht="15" customHeight="1"/>
    <row r="3473" ht="15" customHeight="1"/>
    <row r="3474" ht="15" customHeight="1"/>
    <row r="3475" ht="15" customHeight="1"/>
    <row r="3476" ht="15" customHeight="1"/>
    <row r="3477" ht="12" customHeight="1"/>
    <row r="3478" ht="15" customHeight="1"/>
    <row r="3479" ht="15" customHeight="1"/>
    <row r="3480" ht="12" customHeight="1"/>
    <row r="3481" ht="15" customHeight="1"/>
    <row r="3482" ht="15" customHeight="1"/>
    <row r="3483" ht="15" customHeight="1"/>
    <row r="3484" ht="15" customHeight="1"/>
    <row r="3485" ht="15" customHeight="1"/>
    <row r="3486" ht="12" customHeight="1"/>
    <row r="3487" ht="15" customHeight="1"/>
    <row r="3488" ht="15" customHeight="1"/>
    <row r="3489" ht="15" customHeight="1"/>
    <row r="3490" ht="15" customHeight="1"/>
    <row r="3491" ht="15" customHeight="1"/>
    <row r="3492" ht="15" customHeight="1"/>
    <row r="3493" ht="15" customHeight="1"/>
    <row r="3494" ht="15" customHeight="1"/>
    <row r="3495" ht="15" customHeight="1"/>
    <row r="3496" ht="15" customHeight="1"/>
    <row r="3497" ht="15" customHeight="1"/>
    <row r="3498" ht="15" customHeight="1"/>
    <row r="3499" ht="15" customHeight="1"/>
    <row r="3500" ht="15" customHeight="1"/>
    <row r="3501" ht="15" customHeight="1"/>
    <row r="3502" ht="15" customHeight="1"/>
    <row r="3503" ht="12" customHeight="1"/>
    <row r="3504" ht="15" customHeight="1"/>
    <row r="3505" ht="15" customHeight="1"/>
    <row r="3506" ht="12" customHeight="1"/>
    <row r="3507" ht="15" customHeight="1"/>
    <row r="3508" ht="15" customHeight="1"/>
    <row r="3509" ht="15" customHeight="1"/>
    <row r="3510" ht="12" customHeight="1"/>
    <row r="3511" ht="15" customHeight="1"/>
    <row r="3512" ht="15" customHeight="1"/>
    <row r="3513" ht="15" customHeight="1"/>
    <row r="3514" ht="15" customHeight="1"/>
    <row r="3515" ht="15" customHeight="1"/>
    <row r="3516" ht="15" customHeight="1"/>
    <row r="3517" ht="15" customHeight="1"/>
    <row r="3518" ht="15" customHeight="1"/>
    <row r="3519" ht="15" customHeight="1"/>
    <row r="3520" ht="15" customHeight="1"/>
    <row r="3521" ht="12" customHeight="1"/>
    <row r="3522" ht="15" customHeight="1"/>
    <row r="3523" ht="15" customHeight="1"/>
    <row r="3524" ht="12" customHeight="1"/>
    <row r="3525" ht="15" customHeight="1"/>
    <row r="3526" ht="15" customHeight="1"/>
    <row r="3527" ht="15" customHeight="1"/>
    <row r="3528" ht="15" customHeight="1"/>
    <row r="3529" ht="15" customHeight="1"/>
    <row r="3530" ht="15" customHeight="1"/>
    <row r="3531" ht="15" customHeight="1"/>
    <row r="3532" ht="15" customHeight="1"/>
    <row r="3533" ht="15" customHeight="1"/>
    <row r="3534" ht="15" customHeight="1"/>
    <row r="3535" ht="12" customHeight="1"/>
    <row r="3536" ht="12" customHeight="1"/>
    <row r="3537" ht="12" customHeight="1"/>
    <row r="3538" ht="12" customHeight="1"/>
    <row r="3539" ht="12" customHeight="1"/>
    <row r="3540" ht="12" customHeight="1"/>
    <row r="3541" ht="12" customHeight="1"/>
    <row r="3542" ht="12" customHeight="1"/>
    <row r="3543" ht="12" customHeight="1"/>
    <row r="3544" ht="12" customHeight="1"/>
    <row r="3545" ht="12" customHeight="1"/>
    <row r="3546" ht="12" customHeight="1"/>
    <row r="3547" ht="12" customHeight="1"/>
    <row r="3548" ht="12" customHeight="1"/>
    <row r="3549" ht="12" customHeight="1"/>
    <row r="3550" ht="12" customHeight="1"/>
    <row r="3551" ht="12" customHeight="1"/>
    <row r="3552" ht="12" customHeight="1"/>
    <row r="3553" ht="12" customHeight="1"/>
    <row r="3554" ht="12" customHeight="1"/>
    <row r="3555" ht="12" customHeight="1"/>
    <row r="3556" ht="12" customHeight="1"/>
    <row r="3557" ht="12" customHeight="1"/>
    <row r="3558" ht="12" customHeight="1"/>
    <row r="3559" ht="12" customHeight="1"/>
    <row r="3560" ht="12" customHeight="1"/>
    <row r="3561" ht="12" customHeight="1"/>
    <row r="3562" ht="12" customHeight="1"/>
    <row r="3563" ht="12" customHeight="1"/>
    <row r="3564" ht="12" customHeight="1"/>
    <row r="3565" ht="12" customHeight="1"/>
    <row r="3566" ht="12" customHeight="1"/>
    <row r="3567" ht="12" customHeight="1"/>
    <row r="3568" ht="12" customHeight="1"/>
    <row r="3569" ht="12" customHeight="1"/>
    <row r="3570" ht="12" customHeight="1"/>
    <row r="3571" ht="12" customHeight="1"/>
    <row r="3572" ht="12" customHeight="1"/>
    <row r="3573" ht="12" customHeight="1"/>
    <row r="3574" ht="12" customHeight="1"/>
    <row r="3575" ht="15" customHeight="1"/>
    <row r="3576" ht="15" customHeight="1"/>
    <row r="3577" ht="15" customHeight="1"/>
    <row r="3578" ht="15" customHeight="1"/>
    <row r="3579" ht="15" customHeight="1"/>
    <row r="3580" ht="15" customHeight="1"/>
    <row r="3581" ht="15" customHeight="1"/>
    <row r="3582" ht="15" customHeight="1"/>
    <row r="3583" ht="15" customHeight="1"/>
    <row r="3584" ht="15" customHeight="1"/>
    <row r="3585" ht="12" customHeight="1"/>
    <row r="3586" ht="15" customHeight="1"/>
    <row r="3587" ht="15" customHeight="1"/>
    <row r="3588" ht="15" customHeight="1"/>
    <row r="3589" ht="15" customHeight="1"/>
    <row r="3590" ht="15" customHeight="1"/>
    <row r="3591" ht="15" customHeight="1"/>
    <row r="3592" ht="15" customHeight="1"/>
    <row r="3593" ht="15" customHeight="1"/>
    <row r="3594" ht="15" customHeight="1"/>
    <row r="3595" ht="15" customHeight="1"/>
    <row r="3596" ht="15" customHeight="1"/>
    <row r="3597" ht="15" customHeight="1"/>
    <row r="3598" ht="15" customHeight="1"/>
    <row r="3599" ht="15" customHeight="1"/>
    <row r="3600" ht="15" customHeight="1"/>
    <row r="3601" ht="15" customHeight="1"/>
    <row r="3602" ht="12" customHeight="1"/>
    <row r="3603" ht="15" customHeight="1"/>
    <row r="3604" ht="15" customHeight="1"/>
    <row r="3605" ht="12" customHeight="1"/>
    <row r="3606" ht="15" customHeight="1"/>
    <row r="3607" ht="15" customHeight="1"/>
    <row r="3608" ht="15" customHeight="1"/>
    <row r="3609" ht="15" customHeight="1"/>
    <row r="3610" ht="15" customHeight="1"/>
    <row r="3611" ht="12" customHeight="1"/>
    <row r="3612" ht="15" customHeight="1"/>
    <row r="3613" ht="15" customHeight="1"/>
    <row r="3614" ht="15" customHeight="1"/>
    <row r="3615" ht="15" customHeight="1"/>
    <row r="3616" ht="15" customHeight="1"/>
    <row r="3617" ht="15" customHeight="1"/>
    <row r="3618" ht="15" customHeight="1"/>
    <row r="3619" ht="15" customHeight="1"/>
    <row r="3620" ht="15" customHeight="1"/>
    <row r="3621" ht="15" customHeight="1"/>
    <row r="3622" ht="15" customHeight="1"/>
    <row r="3623" ht="15" customHeight="1"/>
    <row r="3624" ht="15" customHeight="1"/>
    <row r="3625" ht="15" customHeight="1"/>
    <row r="3626" ht="15" customHeight="1"/>
    <row r="3627" ht="15" customHeight="1"/>
    <row r="3628" ht="12" customHeight="1"/>
    <row r="3629" ht="15" customHeight="1"/>
    <row r="3630" ht="15" customHeight="1"/>
    <row r="3631" ht="12" customHeight="1"/>
    <row r="3632" ht="15" customHeight="1"/>
    <row r="3633" ht="15" customHeight="1"/>
    <row r="3634" ht="15" customHeight="1"/>
    <row r="3635" ht="12" customHeight="1"/>
    <row r="3636" ht="15" customHeight="1"/>
    <row r="3637" ht="15" customHeight="1"/>
    <row r="3638" ht="15" customHeight="1"/>
    <row r="3639" ht="15" customHeight="1"/>
    <row r="3640" ht="15" customHeight="1"/>
    <row r="3641" ht="15" customHeight="1"/>
    <row r="3642" ht="15" customHeight="1"/>
    <row r="3643" ht="15" customHeight="1"/>
    <row r="3644" ht="15" customHeight="1"/>
    <row r="3645" ht="15" customHeight="1"/>
    <row r="3646" ht="12" customHeight="1"/>
    <row r="3647" ht="15" customHeight="1"/>
    <row r="3648" ht="15" customHeight="1"/>
    <row r="3649" ht="12" customHeight="1"/>
    <row r="3650" ht="15" customHeight="1"/>
    <row r="3651" ht="15" customHeight="1"/>
    <row r="3652" ht="15" customHeight="1"/>
    <row r="3653" ht="15" customHeight="1"/>
    <row r="3654" ht="15" customHeight="1"/>
    <row r="3655" ht="15" customHeight="1"/>
    <row r="3656" ht="15" customHeight="1"/>
    <row r="3657" ht="15" customHeight="1"/>
    <row r="3658" ht="15" customHeight="1"/>
    <row r="3659" ht="15" customHeight="1"/>
    <row r="3660" ht="12" customHeight="1"/>
    <row r="3661" ht="12" customHeight="1"/>
    <row r="3662" ht="12" customHeight="1"/>
    <row r="3663" ht="12" customHeight="1"/>
    <row r="3664" ht="12" customHeight="1"/>
    <row r="3665" ht="12" customHeight="1"/>
    <row r="3666" ht="12" customHeight="1"/>
    <row r="3667" ht="12" customHeight="1"/>
    <row r="3668" ht="12" customHeight="1"/>
    <row r="3669" ht="12" customHeight="1"/>
    <row r="3670" ht="12" customHeight="1"/>
    <row r="3671" ht="12" customHeight="1"/>
    <row r="3672" ht="12" customHeight="1"/>
    <row r="3673" ht="12" customHeight="1"/>
    <row r="3674" ht="12" customHeight="1"/>
    <row r="3675" ht="12" customHeight="1"/>
    <row r="3676" ht="12" customHeight="1"/>
    <row r="3677" ht="12" customHeight="1"/>
    <row r="3678" ht="12" customHeight="1"/>
    <row r="3679" ht="12" customHeight="1"/>
    <row r="3680" ht="12" customHeight="1"/>
    <row r="3681" ht="12" customHeight="1"/>
    <row r="3682" ht="12" customHeight="1"/>
    <row r="3683" ht="12" customHeight="1"/>
    <row r="3684" ht="12" customHeight="1"/>
    <row r="3685" ht="12" customHeight="1"/>
    <row r="3686" ht="12" customHeight="1"/>
    <row r="3687" ht="12" customHeight="1"/>
    <row r="3688" ht="12" customHeight="1"/>
    <row r="3689" ht="12" customHeight="1"/>
    <row r="3690" ht="12" customHeight="1"/>
    <row r="3691" ht="12" customHeight="1"/>
    <row r="3692" ht="12" customHeight="1"/>
    <row r="3693" ht="12" customHeight="1"/>
    <row r="3694" ht="12" customHeight="1"/>
    <row r="3695" ht="12" customHeight="1"/>
    <row r="3696" ht="12" customHeight="1"/>
    <row r="3697" ht="12" customHeight="1"/>
    <row r="3698" ht="12" customHeight="1"/>
    <row r="3699" ht="12" customHeight="1"/>
    <row r="3700" ht="15" customHeight="1"/>
    <row r="3701" ht="15" customHeight="1"/>
    <row r="3702" ht="15" customHeight="1"/>
    <row r="3703" ht="15" customHeight="1"/>
    <row r="3704" ht="15" customHeight="1"/>
    <row r="3705" ht="15" customHeight="1"/>
    <row r="3706" ht="15" customHeight="1"/>
    <row r="3707" ht="15" customHeight="1"/>
    <row r="3708" ht="15" customHeight="1"/>
    <row r="3709" ht="15" customHeight="1"/>
    <row r="3710" ht="12" customHeight="1"/>
    <row r="3711" ht="15" customHeight="1"/>
    <row r="3712" ht="15" customHeight="1"/>
    <row r="3713" ht="15" customHeight="1"/>
    <row r="3714" ht="15" customHeight="1"/>
    <row r="3715" ht="15" customHeight="1"/>
    <row r="3716" ht="15" customHeight="1"/>
    <row r="3717" ht="15" customHeight="1"/>
    <row r="3718" ht="15" customHeight="1"/>
    <row r="3719" ht="15" customHeight="1"/>
    <row r="3720" ht="15" customHeight="1"/>
    <row r="3721" ht="15" customHeight="1"/>
    <row r="3722" ht="15" customHeight="1"/>
    <row r="3723" ht="15" customHeight="1"/>
    <row r="3724" ht="15" customHeight="1"/>
    <row r="3725" ht="15" customHeight="1"/>
    <row r="3726" ht="15" customHeight="1"/>
    <row r="3727" ht="12" customHeight="1"/>
    <row r="3728" ht="15" customHeight="1"/>
    <row r="3729" ht="15" customHeight="1"/>
    <row r="3730" ht="12" customHeight="1"/>
    <row r="3731" ht="15" customHeight="1"/>
    <row r="3732" ht="15" customHeight="1"/>
    <row r="3733" ht="15" customHeight="1"/>
    <row r="3734" ht="15" customHeight="1"/>
    <row r="3735" ht="15" customHeight="1"/>
    <row r="3736" ht="12" customHeight="1"/>
    <row r="3737" ht="15" customHeight="1"/>
    <row r="3738" ht="15" customHeight="1"/>
    <row r="3739" ht="15" customHeight="1"/>
    <row r="3740" ht="15" customHeight="1"/>
    <row r="3741" ht="15" customHeight="1"/>
    <row r="3742" ht="15" customHeight="1"/>
    <row r="3743" ht="15" customHeight="1"/>
    <row r="3744" ht="15" customHeight="1"/>
    <row r="3745" ht="15" customHeight="1"/>
    <row r="3746" ht="15" customHeight="1"/>
    <row r="3747" ht="15" customHeight="1"/>
    <row r="3748" ht="15" customHeight="1"/>
    <row r="3749" ht="15" customHeight="1"/>
    <row r="3750" ht="15" customHeight="1"/>
    <row r="3751" ht="15" customHeight="1"/>
    <row r="3752" ht="15" customHeight="1"/>
    <row r="3753" ht="12" customHeight="1"/>
    <row r="3754" ht="15" customHeight="1"/>
    <row r="3755" ht="15" customHeight="1"/>
    <row r="3756" ht="12" customHeight="1"/>
    <row r="3757" ht="15" customHeight="1"/>
    <row r="3758" ht="15" customHeight="1"/>
    <row r="3759" ht="15" customHeight="1"/>
    <row r="3760" ht="12" customHeight="1"/>
    <row r="3761" ht="15" customHeight="1"/>
    <row r="3762" ht="15" customHeight="1"/>
    <row r="3763" ht="15" customHeight="1"/>
    <row r="3764" ht="15" customHeight="1"/>
    <row r="3765" ht="15" customHeight="1"/>
    <row r="3766" ht="15" customHeight="1"/>
    <row r="3767" ht="15" customHeight="1"/>
    <row r="3768" ht="15" customHeight="1"/>
    <row r="3769" ht="15" customHeight="1"/>
    <row r="3770" ht="15" customHeight="1"/>
    <row r="3771" ht="12" customHeight="1"/>
    <row r="3772" ht="15" customHeight="1"/>
    <row r="3773" ht="15" customHeight="1"/>
    <row r="3774" ht="12" customHeight="1"/>
    <row r="3775" ht="15" customHeight="1"/>
    <row r="3776" ht="15" customHeight="1"/>
    <row r="3777" ht="15" customHeight="1"/>
    <row r="3778" ht="15" customHeight="1"/>
    <row r="3779" ht="15" customHeight="1"/>
    <row r="3780" ht="15" customHeight="1"/>
    <row r="3781" ht="15" customHeight="1"/>
    <row r="3782" ht="15" customHeight="1"/>
    <row r="3783" ht="15" customHeight="1"/>
    <row r="3784" ht="15" customHeight="1"/>
    <row r="3785" ht="12" customHeight="1"/>
    <row r="3786" ht="12" customHeight="1"/>
    <row r="3787" ht="12" customHeight="1"/>
    <row r="3788" ht="12" customHeight="1"/>
    <row r="3789" ht="12" customHeight="1"/>
    <row r="3790" ht="12" customHeight="1"/>
    <row r="3791" ht="12" customHeight="1"/>
    <row r="3792" ht="12" customHeight="1"/>
    <row r="3793" ht="12" customHeight="1"/>
    <row r="3794" ht="12" customHeight="1"/>
    <row r="3795" ht="12" customHeight="1"/>
    <row r="3796" ht="12" customHeight="1"/>
    <row r="3797" ht="12" customHeight="1"/>
    <row r="3798" ht="12" customHeight="1"/>
    <row r="3799" ht="12" customHeight="1"/>
    <row r="3800" ht="12" customHeight="1"/>
    <row r="3801" ht="12" customHeight="1"/>
    <row r="3802" ht="12" customHeight="1"/>
    <row r="3803" ht="12" customHeight="1"/>
    <row r="3804" ht="12" customHeight="1"/>
    <row r="3805" ht="12" customHeight="1"/>
    <row r="3806" ht="12" customHeight="1"/>
    <row r="3807" ht="12" customHeight="1"/>
    <row r="3808" ht="12" customHeight="1"/>
    <row r="3809" ht="12" customHeight="1"/>
    <row r="3810" ht="12" customHeight="1"/>
    <row r="3811" ht="12" customHeight="1"/>
    <row r="3812" ht="12" customHeight="1"/>
    <row r="3813" ht="12" customHeight="1"/>
    <row r="3814" ht="12" customHeight="1"/>
    <row r="3815" ht="12" customHeight="1"/>
    <row r="3816" ht="12" customHeight="1"/>
    <row r="3817" ht="12" customHeight="1"/>
    <row r="3818" ht="12" customHeight="1"/>
    <row r="3819" ht="12" customHeight="1"/>
    <row r="3820" ht="12" customHeight="1"/>
    <row r="3821" ht="12" customHeight="1"/>
    <row r="3822" ht="12" customHeight="1"/>
    <row r="3823" ht="12" customHeight="1"/>
    <row r="3824" ht="12" customHeight="1"/>
    <row r="3825" ht="15" customHeight="1"/>
    <row r="3826" ht="15" customHeight="1"/>
    <row r="3827" ht="15" customHeight="1"/>
    <row r="3828" ht="15" customHeight="1"/>
    <row r="3829" ht="15" customHeight="1"/>
    <row r="3830" ht="15" customHeight="1"/>
    <row r="3831" ht="15" customHeight="1"/>
    <row r="3832" ht="15" customHeight="1"/>
    <row r="3833" ht="15" customHeight="1"/>
    <row r="3834" ht="15" customHeight="1"/>
    <row r="3835" ht="12" customHeight="1"/>
    <row r="3836" ht="15" customHeight="1"/>
    <row r="3837" ht="15" customHeight="1"/>
    <row r="3838" ht="15" customHeight="1"/>
    <row r="3839" ht="15" customHeight="1"/>
    <row r="3840" ht="15" customHeight="1"/>
    <row r="3841" ht="15" customHeight="1"/>
    <row r="3842" ht="15" customHeight="1"/>
    <row r="3843" ht="15" customHeight="1"/>
    <row r="3844" ht="15" customHeight="1"/>
    <row r="3845" ht="15" customHeight="1"/>
    <row r="3846" ht="15" customHeight="1"/>
    <row r="3847" ht="15" customHeight="1"/>
    <row r="3848" ht="15" customHeight="1"/>
    <row r="3849" ht="15" customHeight="1"/>
    <row r="3850" ht="15" customHeight="1"/>
    <row r="3851" ht="15" customHeight="1"/>
    <row r="3852" ht="12" customHeight="1"/>
    <row r="3853" ht="15" customHeight="1"/>
    <row r="3854" ht="15" customHeight="1"/>
    <row r="3855" ht="12" customHeight="1"/>
    <row r="3856" ht="15" customHeight="1"/>
    <row r="3857" ht="15" customHeight="1"/>
    <row r="3858" ht="15" customHeight="1"/>
    <row r="3859" ht="15" customHeight="1"/>
    <row r="3860" ht="15" customHeight="1"/>
    <row r="3861" ht="12" customHeight="1"/>
    <row r="3862" ht="15" customHeight="1"/>
    <row r="3863" ht="15" customHeight="1"/>
    <row r="3864" ht="15" customHeight="1"/>
    <row r="3865" ht="15" customHeight="1"/>
    <row r="3866" ht="15" customHeight="1"/>
    <row r="3867" ht="15" customHeight="1"/>
    <row r="3868" ht="15" customHeight="1"/>
    <row r="3869" ht="15" customHeight="1"/>
    <row r="3870" ht="15" customHeight="1"/>
    <row r="3871" ht="15" customHeight="1"/>
    <row r="3872" ht="15" customHeight="1"/>
    <row r="3873" ht="15" customHeight="1"/>
    <row r="3874" ht="15" customHeight="1"/>
    <row r="3875" ht="15" customHeight="1"/>
    <row r="3876" ht="15" customHeight="1"/>
    <row r="3877" ht="15" customHeight="1"/>
    <row r="3878" ht="12" customHeight="1"/>
    <row r="3879" ht="15" customHeight="1"/>
    <row r="3880" ht="15" customHeight="1"/>
    <row r="3881" ht="12" customHeight="1"/>
    <row r="3882" ht="15" customHeight="1"/>
    <row r="3883" ht="15" customHeight="1"/>
    <row r="3884" ht="15" customHeight="1"/>
    <row r="3885" ht="12" customHeight="1"/>
    <row r="3886" ht="15" customHeight="1"/>
    <row r="3887" ht="15" customHeight="1"/>
    <row r="3888" ht="15" customHeight="1"/>
    <row r="3889" ht="15" customHeight="1"/>
    <row r="3890" ht="15" customHeight="1"/>
    <row r="3891" ht="15" customHeight="1"/>
    <row r="3892" ht="15" customHeight="1"/>
    <row r="3893" ht="15" customHeight="1"/>
    <row r="3894" ht="15" customHeight="1"/>
    <row r="3895" ht="15" customHeight="1"/>
    <row r="3896" ht="12" customHeight="1"/>
    <row r="3897" ht="15" customHeight="1"/>
    <row r="3898" ht="15" customHeight="1"/>
    <row r="3899" ht="12" customHeight="1"/>
    <row r="3900" ht="15" customHeight="1"/>
    <row r="3901" ht="15" customHeight="1"/>
    <row r="3902" ht="15" customHeight="1"/>
    <row r="3903" ht="15" customHeight="1"/>
    <row r="3904" ht="15" customHeight="1"/>
    <row r="3905" ht="15" customHeight="1"/>
    <row r="3906" ht="15" customHeight="1"/>
    <row r="3907" ht="15" customHeight="1"/>
    <row r="3908" ht="15" customHeight="1"/>
    <row r="3909" ht="15" customHeight="1"/>
    <row r="3910" ht="12" customHeight="1"/>
    <row r="3911" ht="12" customHeight="1"/>
    <row r="3912" ht="12" customHeight="1"/>
    <row r="3913" ht="12" customHeight="1"/>
    <row r="3914" ht="12" customHeight="1"/>
    <row r="3915" ht="12" customHeight="1"/>
    <row r="3916" ht="12" customHeight="1"/>
    <row r="3917" ht="12" customHeight="1"/>
    <row r="3918" ht="12" customHeight="1"/>
    <row r="3919" ht="12" customHeight="1"/>
    <row r="3920" ht="12" customHeight="1"/>
    <row r="3921" ht="12" customHeight="1"/>
    <row r="3922" ht="12" customHeight="1"/>
    <row r="3923" ht="12" customHeight="1"/>
    <row r="3924" ht="12" customHeight="1"/>
    <row r="3925" ht="12" customHeight="1"/>
    <row r="3926" ht="12" customHeight="1"/>
    <row r="3927" ht="12" customHeight="1"/>
    <row r="3928" ht="12" customHeight="1"/>
    <row r="3929" ht="12" customHeight="1"/>
    <row r="3930" ht="12" customHeight="1"/>
    <row r="3931" ht="12" customHeight="1"/>
    <row r="3932" ht="12" customHeight="1"/>
    <row r="3933" ht="12" customHeight="1"/>
    <row r="3934" ht="12" customHeight="1"/>
    <row r="3935" ht="12" customHeight="1"/>
    <row r="3936" ht="12" customHeight="1"/>
    <row r="3937" ht="12" customHeight="1"/>
    <row r="3938" ht="12" customHeight="1"/>
    <row r="3939" ht="12" customHeight="1"/>
    <row r="3940" ht="12" customHeight="1"/>
    <row r="3941" ht="12" customHeight="1"/>
    <row r="3942" ht="12" customHeight="1"/>
    <row r="3943" ht="12" customHeight="1"/>
    <row r="3944" ht="12" customHeight="1"/>
    <row r="3945" ht="12" customHeight="1"/>
    <row r="3946" ht="12" customHeight="1"/>
    <row r="3947" ht="12" customHeight="1"/>
    <row r="3948" ht="12" customHeight="1"/>
    <row r="3949" ht="12" customHeight="1"/>
    <row r="3950" ht="15" customHeight="1"/>
    <row r="3951" ht="15" customHeight="1"/>
    <row r="3952" ht="15" customHeight="1"/>
    <row r="3953" ht="15" customHeight="1"/>
    <row r="3954" ht="15" customHeight="1"/>
    <row r="3955" ht="15" customHeight="1"/>
    <row r="3956" ht="15" customHeight="1"/>
    <row r="3957" ht="15" customHeight="1"/>
    <row r="3958" ht="15" customHeight="1"/>
    <row r="3959" ht="15" customHeight="1"/>
    <row r="3960" ht="12" customHeight="1"/>
    <row r="3961" ht="15" customHeight="1"/>
    <row r="3962" ht="15" customHeight="1"/>
    <row r="3963" ht="15" customHeight="1"/>
    <row r="3964" ht="15" customHeight="1"/>
    <row r="3965" ht="15" customHeight="1"/>
    <row r="3966" ht="15" customHeight="1"/>
    <row r="3967" ht="15" customHeight="1"/>
    <row r="3968" ht="15" customHeight="1"/>
    <row r="3969" ht="15" customHeight="1"/>
    <row r="3970" ht="15" customHeight="1"/>
    <row r="3971" ht="15" customHeight="1"/>
    <row r="3972" ht="15" customHeight="1"/>
    <row r="3973" ht="15" customHeight="1"/>
    <row r="3974" ht="15" customHeight="1"/>
    <row r="3975" ht="15" customHeight="1"/>
    <row r="3976" ht="15" customHeight="1"/>
    <row r="3977" ht="12" customHeight="1"/>
    <row r="3978" ht="15" customHeight="1"/>
    <row r="3979" ht="15" customHeight="1"/>
    <row r="3980" ht="12" customHeight="1"/>
    <row r="3981" ht="15" customHeight="1"/>
    <row r="3982" ht="15" customHeight="1"/>
    <row r="3983" ht="15" customHeight="1"/>
    <row r="3984" ht="15" customHeight="1"/>
    <row r="3985" ht="15" customHeight="1"/>
    <row r="3986" ht="12" customHeight="1"/>
    <row r="3987" ht="15" customHeight="1"/>
    <row r="3988" ht="15" customHeight="1"/>
    <row r="3989" ht="15" customHeight="1"/>
    <row r="3990" ht="15" customHeight="1"/>
    <row r="3991" ht="15" customHeight="1"/>
    <row r="3992" ht="15" customHeight="1"/>
    <row r="3993" ht="15" customHeight="1"/>
    <row r="3994" ht="15" customHeight="1"/>
    <row r="3995" ht="15" customHeight="1"/>
    <row r="3996" ht="15" customHeight="1"/>
    <row r="3997" ht="15" customHeight="1"/>
    <row r="3998" ht="15" customHeight="1"/>
    <row r="3999" ht="15" customHeight="1"/>
    <row r="4000" ht="15" customHeight="1"/>
    <row r="4001" ht="15" customHeight="1"/>
    <row r="4002" ht="15" customHeight="1"/>
    <row r="4003" ht="12" customHeight="1"/>
    <row r="4004" ht="15" customHeight="1"/>
    <row r="4005" ht="15" customHeight="1"/>
    <row r="4006" ht="12" customHeight="1"/>
    <row r="4007" ht="15" customHeight="1"/>
    <row r="4008" ht="15" customHeight="1"/>
    <row r="4009" ht="15" customHeight="1"/>
    <row r="4010" ht="12" customHeight="1"/>
    <row r="4011" ht="15" customHeight="1"/>
    <row r="4012" ht="15" customHeight="1"/>
    <row r="4013" ht="15" customHeight="1"/>
    <row r="4014" ht="15" customHeight="1"/>
    <row r="4015" ht="15" customHeight="1"/>
    <row r="4016" ht="15" customHeight="1"/>
    <row r="4017" ht="15" customHeight="1"/>
    <row r="4018" ht="15" customHeight="1"/>
    <row r="4019" ht="15" customHeight="1"/>
    <row r="4020" ht="15" customHeight="1"/>
    <row r="4021" ht="12" customHeight="1"/>
    <row r="4022" ht="15" customHeight="1"/>
    <row r="4023" ht="15" customHeight="1"/>
    <row r="4024" ht="12" customHeight="1"/>
    <row r="4025" ht="15" customHeight="1"/>
    <row r="4026" ht="15" customHeight="1"/>
    <row r="4027" ht="15" customHeight="1"/>
    <row r="4028" ht="15" customHeight="1"/>
    <row r="4029" ht="15" customHeight="1"/>
    <row r="4030" ht="15" customHeight="1"/>
    <row r="4031" ht="15" customHeight="1"/>
    <row r="4032" ht="15" customHeight="1"/>
    <row r="4033" ht="15" customHeight="1"/>
    <row r="4034" ht="15" customHeight="1"/>
    <row r="4035" ht="12" customHeight="1"/>
    <row r="4036" ht="12" customHeight="1"/>
    <row r="4037" ht="12" customHeight="1"/>
    <row r="4038" ht="12" customHeight="1"/>
    <row r="4039" ht="12" customHeight="1"/>
    <row r="4040" ht="12" customHeight="1"/>
    <row r="4041" ht="12" customHeight="1"/>
    <row r="4042" ht="12" customHeight="1"/>
    <row r="4043" ht="12" customHeight="1"/>
    <row r="4044" ht="12" customHeight="1"/>
    <row r="4045" ht="12" customHeight="1"/>
    <row r="4046" ht="12" customHeight="1"/>
    <row r="4047" ht="12" customHeight="1"/>
    <row r="4048" ht="12" customHeight="1"/>
    <row r="4049" ht="12" customHeight="1"/>
    <row r="4050" ht="12" customHeight="1"/>
    <row r="4051" ht="12" customHeight="1"/>
    <row r="4052" ht="12" customHeight="1"/>
    <row r="4053" ht="12" customHeight="1"/>
    <row r="4054" ht="12" customHeight="1"/>
    <row r="4055" ht="12" customHeight="1"/>
    <row r="4056" ht="12" customHeight="1"/>
    <row r="4057" ht="12" customHeight="1"/>
    <row r="4058" ht="12" customHeight="1"/>
    <row r="4059" ht="12" customHeight="1"/>
    <row r="4060" ht="12" customHeight="1"/>
    <row r="4061" ht="12" customHeight="1"/>
    <row r="4062" ht="12" customHeight="1"/>
    <row r="4063" ht="12" customHeight="1"/>
    <row r="4064" ht="12" customHeight="1"/>
    <row r="4065" ht="12" customHeight="1"/>
    <row r="4066" ht="12" customHeight="1"/>
    <row r="4067" ht="12" customHeight="1"/>
    <row r="4068" ht="12" customHeight="1"/>
    <row r="4069" ht="12" customHeight="1"/>
    <row r="4070" ht="12" customHeight="1"/>
    <row r="4071" ht="12" customHeight="1"/>
    <row r="4072" ht="12" customHeight="1"/>
    <row r="4073" ht="12" customHeight="1"/>
    <row r="4074" ht="12" customHeight="1"/>
    <row r="4075" ht="15" customHeight="1"/>
    <row r="4076" ht="15" customHeight="1"/>
    <row r="4077" ht="15" customHeight="1"/>
    <row r="4078" ht="15" customHeight="1"/>
    <row r="4079" ht="15" customHeight="1"/>
    <row r="4080" ht="15" customHeight="1"/>
    <row r="4081" ht="15" customHeight="1"/>
    <row r="4082" ht="15" customHeight="1"/>
    <row r="4083" ht="15" customHeight="1"/>
    <row r="4084" ht="15" customHeight="1"/>
    <row r="4085" ht="12" customHeight="1"/>
    <row r="4086" ht="15" customHeight="1"/>
    <row r="4087" ht="15" customHeight="1"/>
    <row r="4088" ht="15" customHeight="1"/>
    <row r="4089" ht="15" customHeight="1"/>
    <row r="4090" ht="15" customHeight="1"/>
    <row r="4091" ht="15" customHeight="1"/>
    <row r="4092" ht="15" customHeight="1"/>
    <row r="4093" ht="15" customHeight="1"/>
    <row r="4094" ht="15" customHeight="1"/>
    <row r="4095" ht="15" customHeight="1"/>
    <row r="4096" ht="15" customHeight="1"/>
    <row r="4097" ht="15" customHeight="1"/>
    <row r="4098" ht="15" customHeight="1"/>
    <row r="4099" ht="15" customHeight="1"/>
    <row r="4100" ht="15" customHeight="1"/>
    <row r="4101" ht="15" customHeight="1"/>
    <row r="4102" ht="12" customHeight="1"/>
    <row r="4103" ht="15" customHeight="1"/>
    <row r="4104" ht="15" customHeight="1"/>
    <row r="4105" ht="12" customHeight="1"/>
    <row r="4106" ht="15" customHeight="1"/>
    <row r="4107" ht="15" customHeight="1"/>
    <row r="4108" ht="15" customHeight="1"/>
    <row r="4109" ht="15" customHeight="1"/>
    <row r="4110" ht="15" customHeight="1"/>
    <row r="4111" ht="12" customHeight="1"/>
    <row r="4112" ht="15" customHeight="1"/>
    <row r="4113" ht="15" customHeight="1"/>
    <row r="4114" ht="15" customHeight="1"/>
    <row r="4115" ht="15" customHeight="1"/>
    <row r="4116" ht="15" customHeight="1"/>
    <row r="4117" ht="15" customHeight="1"/>
    <row r="4118" ht="15" customHeight="1"/>
    <row r="4119" ht="15" customHeight="1"/>
    <row r="4120" ht="15" customHeight="1"/>
    <row r="4121" ht="15" customHeight="1"/>
    <row r="4122" ht="15" customHeight="1"/>
    <row r="4123" ht="15" customHeight="1"/>
    <row r="4124" ht="15" customHeight="1"/>
    <row r="4125" ht="15" customHeight="1"/>
    <row r="4126" ht="15" customHeight="1"/>
    <row r="4127" ht="15" customHeight="1"/>
    <row r="4128" ht="12" customHeight="1"/>
    <row r="4129" ht="15" customHeight="1"/>
    <row r="4130" ht="15" customHeight="1"/>
    <row r="4131" ht="12" customHeight="1"/>
    <row r="4132" ht="15" customHeight="1"/>
    <row r="4133" ht="15" customHeight="1"/>
    <row r="4134" ht="15" customHeight="1"/>
    <row r="4135" ht="12" customHeight="1"/>
    <row r="4136" ht="15" customHeight="1"/>
    <row r="4137" ht="15" customHeight="1"/>
    <row r="4138" ht="15" customHeight="1"/>
    <row r="4139" ht="15" customHeight="1"/>
    <row r="4140" ht="15" customHeight="1"/>
    <row r="4141" ht="15" customHeight="1"/>
    <row r="4142" ht="15" customHeight="1"/>
    <row r="4143" ht="15" customHeight="1"/>
    <row r="4144" ht="15" customHeight="1"/>
    <row r="4145" ht="15" customHeight="1"/>
    <row r="4146" ht="12" customHeight="1"/>
    <row r="4147" ht="15" customHeight="1"/>
    <row r="4148" ht="15" customHeight="1"/>
    <row r="4149" ht="12" customHeight="1"/>
    <row r="4150" ht="15" customHeight="1"/>
    <row r="4151" ht="15" customHeight="1"/>
    <row r="4152" ht="15" customHeight="1"/>
    <row r="4153" ht="15" customHeight="1"/>
    <row r="4154" ht="15" customHeight="1"/>
    <row r="4155" ht="15" customHeight="1"/>
    <row r="4156" ht="15" customHeight="1"/>
    <row r="4157" ht="15" customHeight="1"/>
    <row r="4158" ht="15" customHeight="1"/>
    <row r="4159" ht="15" customHeight="1"/>
    <row r="4160" ht="12" customHeight="1"/>
    <row r="4161" ht="12" customHeight="1"/>
    <row r="4162" ht="12" customHeight="1"/>
    <row r="4163" ht="12" customHeight="1"/>
    <row r="4164" ht="12" customHeight="1"/>
    <row r="4165" ht="12" customHeight="1"/>
    <row r="4166" ht="12" customHeight="1"/>
    <row r="4167" ht="12" customHeight="1"/>
    <row r="4168" ht="12" customHeight="1"/>
    <row r="4169" ht="12" customHeight="1"/>
    <row r="4170" ht="12" customHeight="1"/>
    <row r="4171" ht="12" customHeight="1"/>
    <row r="4172" ht="12" customHeight="1"/>
    <row r="4173" ht="12" customHeight="1"/>
    <row r="4174" ht="12" customHeight="1"/>
    <row r="4175" ht="12" customHeight="1"/>
    <row r="4176" ht="12" customHeight="1"/>
    <row r="4177" ht="12" customHeight="1"/>
    <row r="4178" ht="12" customHeight="1"/>
    <row r="4179" ht="12" customHeight="1"/>
    <row r="4180" ht="12" customHeight="1"/>
    <row r="4181" ht="12" customHeight="1"/>
    <row r="4182" ht="12" customHeight="1"/>
    <row r="4183" ht="12" customHeight="1"/>
    <row r="4184" ht="12" customHeight="1"/>
    <row r="4185" ht="12" customHeight="1"/>
    <row r="4186" ht="12" customHeight="1"/>
    <row r="4187" ht="12" customHeight="1"/>
    <row r="4188" ht="12" customHeight="1"/>
    <row r="4189" ht="12" customHeight="1"/>
    <row r="4190" ht="12" customHeight="1"/>
    <row r="4191" ht="12" customHeight="1"/>
    <row r="4192" ht="12" customHeight="1"/>
    <row r="4193" ht="12" customHeight="1"/>
    <row r="4194" ht="12" customHeight="1"/>
    <row r="4195" ht="12" customHeight="1"/>
    <row r="4196" ht="12" customHeight="1"/>
    <row r="4197" ht="12" customHeight="1"/>
    <row r="4198" ht="12" customHeight="1"/>
    <row r="4199" ht="12" customHeight="1"/>
    <row r="4200" ht="15" customHeight="1"/>
    <row r="4201" ht="15" customHeight="1"/>
    <row r="4202" ht="15" customHeight="1"/>
    <row r="4203" ht="15" customHeight="1"/>
    <row r="4204" ht="15" customHeight="1"/>
    <row r="4205" ht="15" customHeight="1"/>
    <row r="4206" ht="15" customHeight="1"/>
    <row r="4207" ht="15" customHeight="1"/>
    <row r="4208" ht="15" customHeight="1"/>
    <row r="4209" ht="15" customHeight="1"/>
    <row r="4210" ht="12" customHeight="1"/>
    <row r="4211" ht="15" customHeight="1"/>
    <row r="4212" ht="15" customHeight="1"/>
    <row r="4213" ht="15" customHeight="1"/>
    <row r="4214" ht="15" customHeight="1"/>
    <row r="4215" ht="15" customHeight="1"/>
    <row r="4216" ht="15" customHeight="1"/>
    <row r="4217" ht="15" customHeight="1"/>
    <row r="4218" ht="15" customHeight="1"/>
    <row r="4219" ht="15" customHeight="1"/>
    <row r="4220" ht="15" customHeight="1"/>
    <row r="4221" ht="15" customHeight="1"/>
    <row r="4222" ht="15" customHeight="1"/>
    <row r="4223" ht="15" customHeight="1"/>
    <row r="4224" ht="15" customHeight="1"/>
    <row r="4225" ht="15" customHeight="1"/>
    <row r="4226" ht="15" customHeight="1"/>
    <row r="4227" ht="12" customHeight="1"/>
    <row r="4228" ht="15" customHeight="1"/>
    <row r="4229" ht="15" customHeight="1"/>
    <row r="4230" ht="12" customHeight="1"/>
    <row r="4231" ht="15" customHeight="1"/>
    <row r="4232" ht="15" customHeight="1"/>
    <row r="4233" ht="15" customHeight="1"/>
    <row r="4234" ht="15" customHeight="1"/>
    <row r="4235" ht="15" customHeight="1"/>
    <row r="4236" ht="12" customHeight="1"/>
    <row r="4237" ht="15" customHeight="1"/>
    <row r="4238" ht="15" customHeight="1"/>
    <row r="4239" ht="15" customHeight="1"/>
    <row r="4240" ht="15" customHeight="1"/>
    <row r="4241" ht="15" customHeight="1"/>
    <row r="4242" ht="15" customHeight="1"/>
    <row r="4243" ht="15" customHeight="1"/>
    <row r="4244" ht="15" customHeight="1"/>
    <row r="4245" ht="15" customHeight="1"/>
    <row r="4246" ht="15" customHeight="1"/>
    <row r="4247" ht="15" customHeight="1"/>
    <row r="4248" ht="15" customHeight="1"/>
    <row r="4249" ht="15" customHeight="1"/>
    <row r="4250" ht="15" customHeight="1"/>
    <row r="4251" ht="15" customHeight="1"/>
    <row r="4252" ht="15" customHeight="1"/>
    <row r="4253" ht="12" customHeight="1"/>
    <row r="4254" ht="15" customHeight="1"/>
    <row r="4255" ht="15" customHeight="1"/>
    <row r="4256" ht="12" customHeight="1"/>
    <row r="4257" ht="15" customHeight="1"/>
    <row r="4258" ht="15" customHeight="1"/>
    <row r="4259" ht="15" customHeight="1"/>
    <row r="4260" ht="12" customHeight="1"/>
    <row r="4261" ht="15" customHeight="1"/>
    <row r="4262" ht="15" customHeight="1"/>
    <row r="4263" ht="15" customHeight="1"/>
    <row r="4264" ht="15" customHeight="1"/>
    <row r="4265" ht="15" customHeight="1"/>
    <row r="4266" ht="15" customHeight="1"/>
    <row r="4267" ht="15" customHeight="1"/>
    <row r="4268" ht="15" customHeight="1"/>
    <row r="4269" ht="15" customHeight="1"/>
    <row r="4270" ht="15" customHeight="1"/>
    <row r="4271" ht="12" customHeight="1"/>
    <row r="4272" ht="15" customHeight="1"/>
    <row r="4273" ht="15" customHeight="1"/>
    <row r="4274" ht="12" customHeight="1"/>
    <row r="4275" ht="15" customHeight="1"/>
    <row r="4276" ht="15" customHeight="1"/>
    <row r="4277" ht="15" customHeight="1"/>
    <row r="4278" ht="15" customHeight="1"/>
    <row r="4279" ht="15" customHeight="1"/>
    <row r="4280" ht="15" customHeight="1"/>
    <row r="4281" ht="15" customHeight="1"/>
    <row r="4282" ht="15" customHeight="1"/>
    <row r="4283" ht="15" customHeight="1"/>
    <row r="4284" ht="15" customHeight="1"/>
    <row r="4285" ht="12" customHeight="1"/>
    <row r="4286" ht="12" customHeight="1"/>
    <row r="4287" ht="12" customHeight="1"/>
    <row r="4288" ht="12" customHeight="1"/>
    <row r="4289" ht="12" customHeight="1"/>
    <row r="4290" ht="12" customHeight="1"/>
    <row r="4291" ht="12" customHeight="1"/>
    <row r="4292" ht="12" customHeight="1"/>
    <row r="4293" ht="12" customHeight="1"/>
    <row r="4294" ht="12" customHeight="1"/>
    <row r="4295" ht="12" customHeight="1"/>
    <row r="4296" ht="12" customHeight="1"/>
    <row r="4297" ht="12" customHeight="1"/>
    <row r="4298" ht="12" customHeight="1"/>
    <row r="4299" ht="12" customHeight="1"/>
    <row r="4300" ht="12" customHeight="1"/>
    <row r="4301" ht="12" customHeight="1"/>
    <row r="4302" ht="12" customHeight="1"/>
    <row r="4303" ht="12" customHeight="1"/>
    <row r="4304" ht="12" customHeight="1"/>
    <row r="4305" ht="12" customHeight="1"/>
    <row r="4306" ht="12" customHeight="1"/>
    <row r="4307" ht="12" customHeight="1"/>
    <row r="4308" ht="12" customHeight="1"/>
    <row r="4309" ht="12" customHeight="1"/>
    <row r="4310" ht="12" customHeight="1"/>
    <row r="4311" ht="12" customHeight="1"/>
    <row r="4312" ht="12" customHeight="1"/>
    <row r="4313" ht="12" customHeight="1"/>
    <row r="4314" ht="12" customHeight="1"/>
    <row r="4315" ht="12" customHeight="1"/>
    <row r="4316" ht="12" customHeight="1"/>
    <row r="4317" ht="12" customHeight="1"/>
    <row r="4318" ht="12" customHeight="1"/>
    <row r="4319" ht="12" customHeight="1"/>
    <row r="4320" ht="12" customHeight="1"/>
    <row r="4321" ht="12" customHeight="1"/>
    <row r="4322" ht="12" customHeight="1"/>
    <row r="4323" ht="12" customHeight="1"/>
    <row r="4324" ht="12" customHeight="1"/>
    <row r="4325" ht="15" customHeight="1"/>
    <row r="4326" ht="15" customHeight="1"/>
    <row r="4327" ht="15" customHeight="1"/>
    <row r="4328" ht="15" customHeight="1"/>
    <row r="4329" ht="15" customHeight="1"/>
    <row r="4330" ht="15" customHeight="1"/>
    <row r="4331" ht="15" customHeight="1"/>
    <row r="4332" ht="15" customHeight="1"/>
    <row r="4333" ht="15" customHeight="1"/>
    <row r="4334" ht="15" customHeight="1"/>
    <row r="4335" ht="12" customHeight="1"/>
    <row r="4336" ht="15" customHeight="1"/>
    <row r="4337" ht="15" customHeight="1"/>
    <row r="4338" ht="15" customHeight="1"/>
    <row r="4339" ht="15" customHeight="1"/>
    <row r="4340" ht="15" customHeight="1"/>
    <row r="4341" ht="15" customHeight="1"/>
    <row r="4342" ht="15" customHeight="1"/>
    <row r="4343" ht="15" customHeight="1"/>
    <row r="4344" ht="15" customHeight="1"/>
    <row r="4345" ht="15" customHeight="1"/>
    <row r="4346" ht="15" customHeight="1"/>
    <row r="4347" ht="15" customHeight="1"/>
    <row r="4348" ht="15" customHeight="1"/>
    <row r="4349" ht="15" customHeight="1"/>
    <row r="4350" ht="15" customHeight="1"/>
    <row r="4351" ht="15" customHeight="1"/>
    <row r="4352" ht="12" customHeight="1"/>
    <row r="4353" ht="15" customHeight="1"/>
    <row r="4354" ht="15" customHeight="1"/>
    <row r="4355" ht="12" customHeight="1"/>
    <row r="4356" ht="15" customHeight="1"/>
    <row r="4357" ht="15" customHeight="1"/>
    <row r="4358" ht="15" customHeight="1"/>
    <row r="4359" ht="15" customHeight="1"/>
    <row r="4360" ht="15" customHeight="1"/>
    <row r="4361" ht="12" customHeight="1"/>
    <row r="4362" ht="15" customHeight="1"/>
    <row r="4363" ht="15" customHeight="1"/>
    <row r="4364" ht="15" customHeight="1"/>
    <row r="4365" ht="15" customHeight="1"/>
    <row r="4366" ht="15" customHeight="1"/>
    <row r="4367" ht="15" customHeight="1"/>
    <row r="4368" ht="15" customHeight="1"/>
    <row r="4369" ht="15" customHeight="1"/>
    <row r="4370" ht="15" customHeight="1"/>
    <row r="4371" ht="15" customHeight="1"/>
    <row r="4372" ht="15" customHeight="1"/>
    <row r="4373" ht="15" customHeight="1"/>
    <row r="4374" ht="15" customHeight="1"/>
    <row r="4375" ht="15" customHeight="1"/>
    <row r="4376" ht="15" customHeight="1"/>
    <row r="4377" ht="15" customHeight="1"/>
    <row r="4378" ht="12" customHeight="1"/>
    <row r="4379" ht="15" customHeight="1"/>
    <row r="4380" ht="15" customHeight="1"/>
    <row r="4381" ht="12" customHeight="1"/>
    <row r="4382" ht="15" customHeight="1"/>
    <row r="4383" ht="15" customHeight="1"/>
    <row r="4384" ht="15" customHeight="1"/>
    <row r="4385" ht="12" customHeight="1"/>
    <row r="4386" ht="15" customHeight="1"/>
    <row r="4387" ht="15" customHeight="1"/>
    <row r="4388" ht="15" customHeight="1"/>
    <row r="4389" ht="15" customHeight="1"/>
    <row r="4390" ht="15" customHeight="1"/>
    <row r="4391" ht="15" customHeight="1"/>
    <row r="4392" ht="15" customHeight="1"/>
    <row r="4393" ht="15" customHeight="1"/>
    <row r="4394" ht="15" customHeight="1"/>
    <row r="4395" ht="15" customHeight="1"/>
    <row r="4396" ht="12" customHeight="1"/>
    <row r="4397" ht="15" customHeight="1"/>
    <row r="4398" ht="15" customHeight="1"/>
    <row r="4399" ht="12" customHeight="1"/>
    <row r="4400" ht="15" customHeight="1"/>
    <row r="4401" ht="15" customHeight="1"/>
    <row r="4402" ht="15" customHeight="1"/>
    <row r="4403" ht="15" customHeight="1"/>
    <row r="4404" ht="15" customHeight="1"/>
    <row r="4405" ht="15" customHeight="1"/>
    <row r="4406" ht="15" customHeight="1"/>
    <row r="4407" ht="15" customHeight="1"/>
    <row r="4408" ht="15" customHeight="1"/>
    <row r="4409" ht="15" customHeight="1"/>
  </sheetData>
  <pageMargins left="0.7" right="0.7" top="0.75" bottom="0.75" header="0.3" footer="0.3"/>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A133B33-F560-4A97-9238-FD04D3E178B3}">
  <sheetPr>
    <tabColor theme="4" tint="0.39997558519241921"/>
  </sheetPr>
  <dimension ref="A1:AG119"/>
  <sheetViews>
    <sheetView topLeftCell="F1" workbookViewId="0">
      <selection activeCell="AH16" sqref="AH16"/>
    </sheetView>
  </sheetViews>
  <sheetFormatPr defaultRowHeight="15"/>
  <cols>
    <col min="1" max="1" width="15" customWidth="1"/>
    <col min="2" max="2" width="25.7109375" customWidth="1"/>
  </cols>
  <sheetData>
    <row r="1" spans="1:33">
      <c r="A1" t="s">
        <v>3769</v>
      </c>
    </row>
    <row r="2" spans="1:33">
      <c r="A2" t="s">
        <v>3768</v>
      </c>
    </row>
    <row r="3" spans="1:33">
      <c r="A3" t="s">
        <v>3767</v>
      </c>
    </row>
    <row r="4" spans="1:33">
      <c r="A4" t="s">
        <v>146</v>
      </c>
    </row>
    <row r="5" spans="1:33">
      <c r="B5" t="s">
        <v>198</v>
      </c>
      <c r="C5" t="s">
        <v>199</v>
      </c>
      <c r="D5" t="s">
        <v>200</v>
      </c>
      <c r="E5">
        <v>2023</v>
      </c>
      <c r="F5">
        <v>2024</v>
      </c>
      <c r="G5">
        <v>2025</v>
      </c>
      <c r="H5">
        <v>2026</v>
      </c>
      <c r="I5">
        <v>2027</v>
      </c>
      <c r="J5">
        <v>2028</v>
      </c>
      <c r="K5">
        <v>2029</v>
      </c>
      <c r="L5">
        <v>2030</v>
      </c>
      <c r="M5">
        <v>2031</v>
      </c>
      <c r="N5">
        <v>2032</v>
      </c>
      <c r="O5">
        <v>2033</v>
      </c>
      <c r="P5">
        <v>2034</v>
      </c>
      <c r="Q5">
        <v>2035</v>
      </c>
      <c r="R5">
        <v>2036</v>
      </c>
      <c r="S5">
        <v>2037</v>
      </c>
      <c r="T5">
        <v>2038</v>
      </c>
      <c r="U5">
        <v>2039</v>
      </c>
      <c r="V5">
        <v>2040</v>
      </c>
      <c r="W5">
        <v>2041</v>
      </c>
      <c r="X5">
        <v>2042</v>
      </c>
      <c r="Y5">
        <v>2043</v>
      </c>
      <c r="Z5">
        <v>2044</v>
      </c>
      <c r="AA5">
        <v>2045</v>
      </c>
      <c r="AB5">
        <v>2046</v>
      </c>
      <c r="AC5">
        <v>2047</v>
      </c>
      <c r="AD5">
        <v>2048</v>
      </c>
      <c r="AE5">
        <v>2049</v>
      </c>
      <c r="AF5">
        <v>2050</v>
      </c>
      <c r="AG5" t="s">
        <v>2417</v>
      </c>
    </row>
    <row r="6" spans="1:33">
      <c r="A6" t="s">
        <v>101</v>
      </c>
    </row>
    <row r="7" spans="1:33">
      <c r="A7" t="s">
        <v>100</v>
      </c>
    </row>
    <row r="8" spans="1:33">
      <c r="A8" t="s">
        <v>3766</v>
      </c>
    </row>
    <row r="9" spans="1:33">
      <c r="A9" t="s">
        <v>3765</v>
      </c>
      <c r="B9" t="s">
        <v>3764</v>
      </c>
      <c r="C9" t="s">
        <v>3763</v>
      </c>
      <c r="D9" t="s">
        <v>3762</v>
      </c>
      <c r="E9" t="s">
        <v>3755</v>
      </c>
      <c r="F9">
        <v>3013.7297359999998</v>
      </c>
      <c r="G9">
        <v>3058.3715820000002</v>
      </c>
      <c r="H9">
        <v>3083.451172</v>
      </c>
      <c r="I9">
        <v>3100.0170899999998</v>
      </c>
      <c r="J9">
        <v>3112.2297359999998</v>
      </c>
      <c r="K9">
        <v>3125.576172</v>
      </c>
      <c r="L9">
        <v>3140.1669919999999</v>
      </c>
      <c r="M9">
        <v>3154.0073240000002</v>
      </c>
      <c r="N9">
        <v>3161.4350589999999</v>
      </c>
      <c r="O9">
        <v>3167.1464839999999</v>
      </c>
      <c r="P9">
        <v>3171.9169919999999</v>
      </c>
      <c r="Q9">
        <v>3174.3566890000002</v>
      </c>
      <c r="R9">
        <v>3179.41626</v>
      </c>
      <c r="S9">
        <v>3189.5078119999998</v>
      </c>
      <c r="T9">
        <v>3202.960693</v>
      </c>
      <c r="U9">
        <v>3216.1186520000001</v>
      </c>
      <c r="V9">
        <v>3230.5129390000002</v>
      </c>
      <c r="W9">
        <v>3244.2316890000002</v>
      </c>
      <c r="X9">
        <v>3257.2741700000001</v>
      </c>
      <c r="Y9">
        <v>3268.8366700000001</v>
      </c>
      <c r="Z9">
        <v>3279.341797</v>
      </c>
      <c r="AA9">
        <v>3288.4411620000001</v>
      </c>
      <c r="AB9">
        <v>3297.5173340000001</v>
      </c>
      <c r="AC9">
        <v>3308.5703119999998</v>
      </c>
      <c r="AD9">
        <v>3321.3464359999998</v>
      </c>
      <c r="AE9">
        <v>3335.046875</v>
      </c>
      <c r="AF9">
        <v>3349.8640140000002</v>
      </c>
      <c r="AG9" s="22">
        <v>4.0000000000000001E-3</v>
      </c>
    </row>
    <row r="10" spans="1:33" s="94" customFormat="1">
      <c r="A10" s="94" t="s">
        <v>164</v>
      </c>
      <c r="B10" s="94" t="s">
        <v>3761</v>
      </c>
      <c r="C10" s="94" t="s">
        <v>3760</v>
      </c>
      <c r="D10" s="94" t="s">
        <v>3755</v>
      </c>
      <c r="F10" s="94">
        <v>90.234665000000007</v>
      </c>
      <c r="G10" s="94">
        <v>88.746048000000002</v>
      </c>
      <c r="H10" s="94">
        <v>87.524918</v>
      </c>
      <c r="I10" s="94">
        <v>86.879401999999999</v>
      </c>
      <c r="J10" s="94">
        <v>86.146125999999995</v>
      </c>
      <c r="K10" s="94">
        <v>85.551413999999994</v>
      </c>
      <c r="L10" s="94">
        <v>85.088477999999995</v>
      </c>
      <c r="M10" s="94">
        <v>84.555840000000003</v>
      </c>
      <c r="N10" s="94">
        <v>84.013214000000005</v>
      </c>
      <c r="O10" s="94">
        <v>83.542664000000002</v>
      </c>
      <c r="P10" s="94">
        <v>83.043007000000003</v>
      </c>
      <c r="Q10" s="94">
        <v>82.538109000000006</v>
      </c>
      <c r="R10" s="94">
        <v>82.013915999999995</v>
      </c>
      <c r="S10" s="94">
        <v>81.499672000000004</v>
      </c>
      <c r="T10" s="94">
        <v>80.976737999999997</v>
      </c>
      <c r="U10" s="94">
        <v>80.459800999999999</v>
      </c>
      <c r="V10" s="94">
        <v>79.954575000000006</v>
      </c>
      <c r="W10" s="94">
        <v>79.410117999999997</v>
      </c>
      <c r="X10" s="94">
        <v>78.884186</v>
      </c>
      <c r="Y10" s="94">
        <v>78.326515000000001</v>
      </c>
      <c r="Z10" s="94">
        <v>77.806870000000004</v>
      </c>
      <c r="AA10" s="94">
        <v>77.239433000000005</v>
      </c>
      <c r="AB10" s="94">
        <v>76.680190999999994</v>
      </c>
      <c r="AC10" s="94">
        <v>76.081207000000006</v>
      </c>
      <c r="AD10" s="94">
        <v>75.451774999999998</v>
      </c>
      <c r="AE10" s="94">
        <v>74.792136999999997</v>
      </c>
      <c r="AF10" s="94">
        <v>74.117767000000001</v>
      </c>
      <c r="AG10" s="95">
        <v>-8.0000000000000002E-3</v>
      </c>
    </row>
    <row r="11" spans="1:33">
      <c r="A11" t="s">
        <v>3759</v>
      </c>
      <c r="B11" t="s">
        <v>3758</v>
      </c>
      <c r="C11" t="s">
        <v>3757</v>
      </c>
      <c r="D11" t="s">
        <v>3756</v>
      </c>
      <c r="E11" t="s">
        <v>3755</v>
      </c>
      <c r="F11">
        <v>340.05480999999997</v>
      </c>
      <c r="G11">
        <v>346.20788599999997</v>
      </c>
      <c r="H11">
        <v>350.06781000000001</v>
      </c>
      <c r="I11">
        <v>353.52682499999997</v>
      </c>
      <c r="J11">
        <v>356.01293900000002</v>
      </c>
      <c r="K11">
        <v>358.95523100000003</v>
      </c>
      <c r="L11">
        <v>362.11615</v>
      </c>
      <c r="M11">
        <v>364.84686299999998</v>
      </c>
      <c r="N11">
        <v>367.71499599999999</v>
      </c>
      <c r="O11">
        <v>370.28033399999998</v>
      </c>
      <c r="P11">
        <v>373.22686800000002</v>
      </c>
      <c r="Q11">
        <v>376.19421399999999</v>
      </c>
      <c r="R11">
        <v>379.62560999999999</v>
      </c>
      <c r="S11">
        <v>383.28887900000001</v>
      </c>
      <c r="T11">
        <v>386.979919</v>
      </c>
      <c r="U11">
        <v>390.324951</v>
      </c>
      <c r="V11">
        <v>393.89111300000002</v>
      </c>
      <c r="W11">
        <v>397.25488300000001</v>
      </c>
      <c r="X11">
        <v>400.59506199999998</v>
      </c>
      <c r="Y11">
        <v>403.50134300000002</v>
      </c>
      <c r="Z11">
        <v>406.149719</v>
      </c>
      <c r="AA11">
        <v>409.08056599999998</v>
      </c>
      <c r="AB11">
        <v>411.83874500000002</v>
      </c>
      <c r="AC11">
        <v>416.011169</v>
      </c>
      <c r="AD11">
        <v>420.09765599999997</v>
      </c>
      <c r="AE11">
        <v>423.84225500000002</v>
      </c>
      <c r="AF11">
        <v>427.05206299999998</v>
      </c>
      <c r="AG11" s="22">
        <v>8.9999999999999993E-3</v>
      </c>
    </row>
    <row r="12" spans="1:33">
      <c r="A12" t="s">
        <v>3754</v>
      </c>
    </row>
    <row r="13" spans="1:33">
      <c r="A13" t="s">
        <v>2171</v>
      </c>
      <c r="B13" t="s">
        <v>3753</v>
      </c>
      <c r="C13" t="s">
        <v>3752</v>
      </c>
      <c r="D13" t="s">
        <v>3748</v>
      </c>
      <c r="F13">
        <v>190.78021200000001</v>
      </c>
      <c r="G13">
        <v>196.637619</v>
      </c>
      <c r="H13">
        <v>200.382034</v>
      </c>
      <c r="I13">
        <v>202.76496900000001</v>
      </c>
      <c r="J13">
        <v>204.50441000000001</v>
      </c>
      <c r="K13">
        <v>205.76622</v>
      </c>
      <c r="L13">
        <v>206.654663</v>
      </c>
      <c r="M13">
        <v>207.15368699999999</v>
      </c>
      <c r="N13">
        <v>207.40228300000001</v>
      </c>
      <c r="O13">
        <v>207.54490699999999</v>
      </c>
      <c r="P13">
        <v>207.693939</v>
      </c>
      <c r="Q13">
        <v>207.716095</v>
      </c>
      <c r="R13">
        <v>207.670807</v>
      </c>
      <c r="S13">
        <v>207.610535</v>
      </c>
      <c r="T13">
        <v>207.429047</v>
      </c>
      <c r="U13">
        <v>207.19026199999999</v>
      </c>
      <c r="V13">
        <v>206.886765</v>
      </c>
      <c r="W13">
        <v>206.52593999999999</v>
      </c>
      <c r="X13">
        <v>206.10232500000001</v>
      </c>
      <c r="Y13">
        <v>205.65777600000001</v>
      </c>
      <c r="Z13">
        <v>205.159729</v>
      </c>
      <c r="AA13">
        <v>204.65632600000001</v>
      </c>
      <c r="AB13">
        <v>204.09098800000001</v>
      </c>
      <c r="AC13">
        <v>203.49281300000001</v>
      </c>
      <c r="AD13">
        <v>202.89883399999999</v>
      </c>
      <c r="AE13">
        <v>202.30595400000001</v>
      </c>
      <c r="AF13">
        <v>201.76945499999999</v>
      </c>
      <c r="AG13" s="22">
        <v>2E-3</v>
      </c>
    </row>
    <row r="14" spans="1:33" s="1" customFormat="1">
      <c r="A14" s="1" t="s">
        <v>3751</v>
      </c>
      <c r="B14" s="1" t="s">
        <v>3750</v>
      </c>
      <c r="C14" s="1" t="s">
        <v>3749</v>
      </c>
      <c r="D14" s="1" t="s">
        <v>3748</v>
      </c>
      <c r="F14" s="1">
        <v>25.878022999999999</v>
      </c>
      <c r="G14" s="1">
        <v>28.773292999999999</v>
      </c>
      <c r="H14" s="1">
        <v>30.990027999999999</v>
      </c>
      <c r="I14" s="1">
        <v>32.691127999999999</v>
      </c>
      <c r="J14" s="1">
        <v>34.018692000000001</v>
      </c>
      <c r="K14" s="1">
        <v>35.161124999999998</v>
      </c>
      <c r="L14" s="1">
        <v>36.109000999999999</v>
      </c>
      <c r="M14" s="1">
        <v>36.852859000000002</v>
      </c>
      <c r="N14" s="1">
        <v>37.463329000000002</v>
      </c>
      <c r="O14" s="1">
        <v>37.964500000000001</v>
      </c>
      <c r="P14" s="1">
        <v>38.458427</v>
      </c>
      <c r="Q14" s="1">
        <v>38.854377999999997</v>
      </c>
      <c r="R14" s="1">
        <v>39.233795000000001</v>
      </c>
      <c r="S14" s="1">
        <v>39.64349</v>
      </c>
      <c r="T14" s="1">
        <v>40.072304000000003</v>
      </c>
      <c r="U14" s="1">
        <v>40.454436999999999</v>
      </c>
      <c r="V14" s="1">
        <v>40.811695</v>
      </c>
      <c r="W14" s="1">
        <v>41.128436999999998</v>
      </c>
      <c r="X14" s="1">
        <v>41.427906</v>
      </c>
      <c r="Y14" s="1">
        <v>41.717632000000002</v>
      </c>
      <c r="Z14" s="1">
        <v>41.951228999999998</v>
      </c>
      <c r="AA14" s="1">
        <v>42.199916999999999</v>
      </c>
      <c r="AB14" s="1">
        <v>42.389290000000003</v>
      </c>
      <c r="AC14" s="1">
        <v>42.613959999999999</v>
      </c>
      <c r="AD14" s="1">
        <v>42.893344999999997</v>
      </c>
      <c r="AE14" s="1">
        <v>43.173431000000001</v>
      </c>
      <c r="AF14" s="1">
        <v>43.548084000000003</v>
      </c>
      <c r="AG14" s="83">
        <v>0.02</v>
      </c>
    </row>
    <row r="15" spans="1:33">
      <c r="A15" t="s">
        <v>3747</v>
      </c>
    </row>
    <row r="16" spans="1:33" s="8" customFormat="1">
      <c r="A16" s="8" t="s">
        <v>173</v>
      </c>
      <c r="B16" s="8" t="s">
        <v>3746</v>
      </c>
      <c r="C16" s="8" t="s">
        <v>3745</v>
      </c>
      <c r="D16" s="8" t="s">
        <v>3744</v>
      </c>
      <c r="F16" s="8">
        <v>1413.1365969999999</v>
      </c>
      <c r="G16" s="8">
        <v>1426.5014650000001</v>
      </c>
      <c r="H16" s="8">
        <v>1461.8975829999999</v>
      </c>
      <c r="I16" s="8">
        <v>1494.7885739999999</v>
      </c>
      <c r="J16" s="8">
        <v>1522.10022</v>
      </c>
      <c r="K16" s="8">
        <v>1551.6201169999999</v>
      </c>
      <c r="L16" s="8">
        <v>1578.6829829999999</v>
      </c>
      <c r="M16" s="8">
        <v>1601.181519</v>
      </c>
      <c r="N16" s="8">
        <v>1627.146362</v>
      </c>
      <c r="O16" s="8">
        <v>1654.892212</v>
      </c>
      <c r="P16" s="8">
        <v>1681.6214600000001</v>
      </c>
      <c r="Q16" s="8">
        <v>1711.017578</v>
      </c>
      <c r="R16" s="8">
        <v>1740.960693</v>
      </c>
      <c r="S16" s="8">
        <v>1772.771851</v>
      </c>
      <c r="T16" s="8">
        <v>1806.9364009999999</v>
      </c>
      <c r="U16" s="8">
        <v>1841.1685789999999</v>
      </c>
      <c r="V16" s="8">
        <v>1875.4395750000001</v>
      </c>
      <c r="W16" s="8">
        <v>1909.125366</v>
      </c>
      <c r="X16" s="8">
        <v>1945.61853</v>
      </c>
      <c r="Y16" s="8">
        <v>1981.3470460000001</v>
      </c>
      <c r="Z16" s="8">
        <v>2014.714111</v>
      </c>
      <c r="AA16" s="8">
        <v>2047.454346</v>
      </c>
      <c r="AB16" s="8">
        <v>2079.6472170000002</v>
      </c>
      <c r="AC16" s="8">
        <v>2117.3378910000001</v>
      </c>
      <c r="AD16" s="8">
        <v>2157.5336910000001</v>
      </c>
      <c r="AE16" s="8">
        <v>2196.0695799999999</v>
      </c>
      <c r="AF16" s="8">
        <v>2234.092529</v>
      </c>
      <c r="AG16" s="106">
        <v>1.7999999999999999E-2</v>
      </c>
    </row>
    <row r="17" spans="1:33">
      <c r="A17" t="s">
        <v>3743</v>
      </c>
    </row>
    <row r="18" spans="1:33">
      <c r="A18" t="s">
        <v>178</v>
      </c>
      <c r="B18" t="s">
        <v>3742</v>
      </c>
      <c r="C18" t="s">
        <v>3741</v>
      </c>
      <c r="D18" t="s">
        <v>3738</v>
      </c>
      <c r="F18">
        <v>1464.855225</v>
      </c>
      <c r="G18">
        <v>1498.5776370000001</v>
      </c>
      <c r="H18">
        <v>1462.373169</v>
      </c>
      <c r="I18">
        <v>1413.733154</v>
      </c>
      <c r="J18">
        <v>1414.115112</v>
      </c>
      <c r="K18">
        <v>1410.565186</v>
      </c>
      <c r="L18">
        <v>1369.7414550000001</v>
      </c>
      <c r="M18">
        <v>1370.1805420000001</v>
      </c>
      <c r="N18">
        <v>1305.8111570000001</v>
      </c>
      <c r="O18">
        <v>1312.2113039999999</v>
      </c>
      <c r="P18">
        <v>1299.8524170000001</v>
      </c>
      <c r="Q18">
        <v>1300.4210210000001</v>
      </c>
      <c r="R18">
        <v>1305.7510990000001</v>
      </c>
      <c r="S18">
        <v>1312.3923339999999</v>
      </c>
      <c r="T18">
        <v>1330.286621</v>
      </c>
      <c r="U18">
        <v>1321.974976</v>
      </c>
      <c r="V18">
        <v>1328.3294679999999</v>
      </c>
      <c r="W18">
        <v>1330.294678</v>
      </c>
      <c r="X18">
        <v>1337.347534</v>
      </c>
      <c r="Y18">
        <v>1345.204712</v>
      </c>
      <c r="Z18">
        <v>1349.7685550000001</v>
      </c>
      <c r="AA18">
        <v>1354.558716</v>
      </c>
      <c r="AB18">
        <v>1355.6860349999999</v>
      </c>
      <c r="AC18">
        <v>1370.355591</v>
      </c>
      <c r="AD18">
        <v>1382.527466</v>
      </c>
      <c r="AE18">
        <v>1392.701904</v>
      </c>
      <c r="AF18">
        <v>1397.21228</v>
      </c>
      <c r="AG18" s="22">
        <v>-2E-3</v>
      </c>
    </row>
    <row r="19" spans="1:33">
      <c r="A19" t="s">
        <v>150</v>
      </c>
      <c r="B19" t="s">
        <v>3740</v>
      </c>
      <c r="C19" t="s">
        <v>3739</v>
      </c>
      <c r="D19" t="s">
        <v>3738</v>
      </c>
      <c r="F19">
        <v>458.773346</v>
      </c>
      <c r="G19">
        <v>464.892853</v>
      </c>
      <c r="H19">
        <v>462.96167000000003</v>
      </c>
      <c r="I19">
        <v>460.98571800000002</v>
      </c>
      <c r="J19">
        <v>459.37042200000002</v>
      </c>
      <c r="K19">
        <v>457.35058600000002</v>
      </c>
      <c r="L19">
        <v>454.85974099999999</v>
      </c>
      <c r="M19">
        <v>451.94982900000002</v>
      </c>
      <c r="N19">
        <v>448.29049700000002</v>
      </c>
      <c r="O19">
        <v>446.236603</v>
      </c>
      <c r="P19">
        <v>444.57028200000002</v>
      </c>
      <c r="Q19">
        <v>442.67672700000003</v>
      </c>
      <c r="R19">
        <v>440.63128699999999</v>
      </c>
      <c r="S19">
        <v>439.09964000000002</v>
      </c>
      <c r="T19">
        <v>437.71414199999998</v>
      </c>
      <c r="U19">
        <v>435.98474099999999</v>
      </c>
      <c r="V19">
        <v>434.76898199999999</v>
      </c>
      <c r="W19">
        <v>433.49096700000001</v>
      </c>
      <c r="X19">
        <v>432.22720299999997</v>
      </c>
      <c r="Y19">
        <v>430.67340100000001</v>
      </c>
      <c r="Z19">
        <v>428.801331</v>
      </c>
      <c r="AA19">
        <v>427.06716899999998</v>
      </c>
      <c r="AB19">
        <v>425.27600100000001</v>
      </c>
      <c r="AC19">
        <v>424.65441900000002</v>
      </c>
      <c r="AD19">
        <v>423.51385499999998</v>
      </c>
      <c r="AE19">
        <v>422.14224200000001</v>
      </c>
      <c r="AF19">
        <v>420.62109400000003</v>
      </c>
      <c r="AG19" s="22">
        <v>-3.0000000000000001E-3</v>
      </c>
    </row>
    <row r="20" spans="1:33">
      <c r="A20" t="s">
        <v>86</v>
      </c>
    </row>
    <row r="21" spans="1:33">
      <c r="A21" t="s">
        <v>3737</v>
      </c>
    </row>
    <row r="22" spans="1:33">
      <c r="A22" t="s">
        <v>3736</v>
      </c>
      <c r="B22" t="s">
        <v>3735</v>
      </c>
      <c r="C22" t="s">
        <v>3734</v>
      </c>
      <c r="D22" t="s">
        <v>269</v>
      </c>
      <c r="F22">
        <v>39.271113999999997</v>
      </c>
      <c r="G22">
        <v>42.959927</v>
      </c>
      <c r="H22">
        <v>47.575771000000003</v>
      </c>
      <c r="I22">
        <v>47.493256000000002</v>
      </c>
      <c r="J22">
        <v>47.449084999999997</v>
      </c>
      <c r="K22">
        <v>47.490924999999997</v>
      </c>
      <c r="L22">
        <v>47.591320000000003</v>
      </c>
      <c r="M22">
        <v>47.604393000000002</v>
      </c>
      <c r="N22">
        <v>47.569965000000003</v>
      </c>
      <c r="O22">
        <v>47.492598999999998</v>
      </c>
      <c r="P22">
        <v>47.679400999999999</v>
      </c>
      <c r="Q22">
        <v>47.648468000000001</v>
      </c>
      <c r="R22">
        <v>47.59169</v>
      </c>
      <c r="S22">
        <v>47.590065000000003</v>
      </c>
      <c r="T22">
        <v>47.594569999999997</v>
      </c>
      <c r="U22">
        <v>47.597126000000003</v>
      </c>
      <c r="V22">
        <v>47.557651999999997</v>
      </c>
      <c r="W22">
        <v>47.536555999999997</v>
      </c>
      <c r="X22">
        <v>47.522250999999997</v>
      </c>
      <c r="Y22">
        <v>47.527641000000003</v>
      </c>
      <c r="Z22">
        <v>47.509605000000001</v>
      </c>
      <c r="AA22">
        <v>47.515839</v>
      </c>
      <c r="AB22">
        <v>47.499699</v>
      </c>
      <c r="AC22">
        <v>47.476486000000001</v>
      </c>
      <c r="AD22">
        <v>47.471778999999998</v>
      </c>
      <c r="AE22">
        <v>47.466419000000002</v>
      </c>
      <c r="AF22">
        <v>47.51144</v>
      </c>
      <c r="AG22" s="22">
        <v>7.0000000000000001E-3</v>
      </c>
    </row>
    <row r="23" spans="1:33">
      <c r="A23" t="s">
        <v>3712</v>
      </c>
      <c r="B23" t="s">
        <v>3733</v>
      </c>
      <c r="C23" t="s">
        <v>3732</v>
      </c>
      <c r="D23" t="s">
        <v>269</v>
      </c>
      <c r="F23">
        <v>48.175083000000001</v>
      </c>
      <c r="G23">
        <v>52.414535999999998</v>
      </c>
      <c r="H23">
        <v>58.241450999999998</v>
      </c>
      <c r="I23">
        <v>58.255462999999999</v>
      </c>
      <c r="J23">
        <v>58.266669999999998</v>
      </c>
      <c r="K23">
        <v>58.284412000000003</v>
      </c>
      <c r="L23">
        <v>58.290976999999998</v>
      </c>
      <c r="M23">
        <v>58.296238000000002</v>
      </c>
      <c r="N23">
        <v>58.292617999999997</v>
      </c>
      <c r="O23">
        <v>58.297882000000001</v>
      </c>
      <c r="P23">
        <v>58.322220000000002</v>
      </c>
      <c r="Q23">
        <v>58.317551000000002</v>
      </c>
      <c r="R23">
        <v>58.313091</v>
      </c>
      <c r="S23">
        <v>58.312266999999999</v>
      </c>
      <c r="T23">
        <v>58.318325000000002</v>
      </c>
      <c r="U23">
        <v>58.320647999999998</v>
      </c>
      <c r="V23">
        <v>58.313701999999999</v>
      </c>
      <c r="W23">
        <v>58.314289000000002</v>
      </c>
      <c r="X23">
        <v>58.312122000000002</v>
      </c>
      <c r="Y23">
        <v>58.322738999999999</v>
      </c>
      <c r="Z23">
        <v>58.317923999999998</v>
      </c>
      <c r="AA23">
        <v>58.327765999999997</v>
      </c>
      <c r="AB23">
        <v>58.321185999999997</v>
      </c>
      <c r="AC23">
        <v>58.318832</v>
      </c>
      <c r="AD23">
        <v>58.325527000000001</v>
      </c>
      <c r="AE23">
        <v>58.327376999999998</v>
      </c>
      <c r="AF23">
        <v>58.347693999999997</v>
      </c>
      <c r="AG23" s="22">
        <v>7.0000000000000001E-3</v>
      </c>
    </row>
    <row r="24" spans="1:33">
      <c r="A24" t="s">
        <v>3709</v>
      </c>
      <c r="B24" t="s">
        <v>3731</v>
      </c>
      <c r="C24" t="s">
        <v>3730</v>
      </c>
      <c r="D24" t="s">
        <v>269</v>
      </c>
      <c r="F24">
        <v>35.086903</v>
      </c>
      <c r="G24">
        <v>38.087924999999998</v>
      </c>
      <c r="H24">
        <v>42.293404000000002</v>
      </c>
      <c r="I24">
        <v>42.265976000000002</v>
      </c>
      <c r="J24">
        <v>42.251018999999999</v>
      </c>
      <c r="K24">
        <v>42.230449999999998</v>
      </c>
      <c r="L24">
        <v>42.21875</v>
      </c>
      <c r="M24">
        <v>42.207087999999999</v>
      </c>
      <c r="N24">
        <v>42.198193000000003</v>
      </c>
      <c r="O24">
        <v>42.188656000000002</v>
      </c>
      <c r="P24">
        <v>42.178351999999997</v>
      </c>
      <c r="Q24">
        <v>42.170338000000001</v>
      </c>
      <c r="R24">
        <v>42.163196999999997</v>
      </c>
      <c r="S24">
        <v>42.157119999999999</v>
      </c>
      <c r="T24">
        <v>42.150413999999998</v>
      </c>
      <c r="U24">
        <v>42.144038999999999</v>
      </c>
      <c r="V24">
        <v>42.139083999999997</v>
      </c>
      <c r="W24">
        <v>42.13335</v>
      </c>
      <c r="X24">
        <v>42.127730999999997</v>
      </c>
      <c r="Y24">
        <v>42.121071000000001</v>
      </c>
      <c r="Z24">
        <v>42.115974000000001</v>
      </c>
      <c r="AA24">
        <v>42.109614999999998</v>
      </c>
      <c r="AB24">
        <v>42.105437999999999</v>
      </c>
      <c r="AC24">
        <v>42.100982999999999</v>
      </c>
      <c r="AD24">
        <v>42.095027999999999</v>
      </c>
      <c r="AE24">
        <v>42.089644999999997</v>
      </c>
      <c r="AF24">
        <v>42.083157</v>
      </c>
      <c r="AG24" s="22">
        <v>7.0000000000000001E-3</v>
      </c>
    </row>
    <row r="25" spans="1:33">
      <c r="A25" t="s">
        <v>3729</v>
      </c>
      <c r="B25" t="s">
        <v>3728</v>
      </c>
      <c r="C25" t="s">
        <v>3727</v>
      </c>
      <c r="D25" t="s">
        <v>269</v>
      </c>
      <c r="F25">
        <v>39.942822</v>
      </c>
      <c r="G25">
        <v>43.957706000000002</v>
      </c>
      <c r="H25">
        <v>47.924385000000001</v>
      </c>
      <c r="I25">
        <v>48.168633</v>
      </c>
      <c r="J25">
        <v>48.206814000000001</v>
      </c>
      <c r="K25">
        <v>47.845936000000002</v>
      </c>
      <c r="L25">
        <v>47.905158999999998</v>
      </c>
      <c r="M25">
        <v>48.590632999999997</v>
      </c>
      <c r="N25">
        <v>49.493091999999997</v>
      </c>
      <c r="O25">
        <v>48.658332999999999</v>
      </c>
      <c r="P25">
        <v>49.540320999999999</v>
      </c>
      <c r="Q25">
        <v>50.266624</v>
      </c>
      <c r="R25">
        <v>50.779812</v>
      </c>
      <c r="S25">
        <v>51.219344999999997</v>
      </c>
      <c r="T25">
        <v>51.674301</v>
      </c>
      <c r="U25">
        <v>52.231579000000004</v>
      </c>
      <c r="V25">
        <v>52.558425999999997</v>
      </c>
      <c r="W25">
        <v>52.808188999999999</v>
      </c>
      <c r="X25">
        <v>52.984974000000001</v>
      </c>
      <c r="Y25">
        <v>53.223258999999999</v>
      </c>
      <c r="Z25">
        <v>53.349930000000001</v>
      </c>
      <c r="AA25">
        <v>53.548645</v>
      </c>
      <c r="AB25">
        <v>53.654530000000001</v>
      </c>
      <c r="AC25">
        <v>53.715496000000002</v>
      </c>
      <c r="AD25">
        <v>53.847445999999998</v>
      </c>
      <c r="AE25">
        <v>53.972465999999997</v>
      </c>
      <c r="AF25">
        <v>54.298808999999999</v>
      </c>
      <c r="AG25" s="22">
        <v>1.2E-2</v>
      </c>
    </row>
    <row r="26" spans="1:33">
      <c r="A26" t="s">
        <v>3712</v>
      </c>
      <c r="B26" t="s">
        <v>3726</v>
      </c>
      <c r="C26" t="s">
        <v>3725</v>
      </c>
      <c r="D26" t="s">
        <v>269</v>
      </c>
      <c r="F26">
        <v>53.113453</v>
      </c>
      <c r="G26">
        <v>57.640594</v>
      </c>
      <c r="H26">
        <v>63.325600000000001</v>
      </c>
      <c r="I26">
        <v>68.261688000000007</v>
      </c>
      <c r="J26">
        <v>68.800171000000006</v>
      </c>
      <c r="K26">
        <v>66.580070000000006</v>
      </c>
      <c r="L26">
        <v>66.171570000000003</v>
      </c>
      <c r="M26">
        <v>67.334129000000004</v>
      </c>
      <c r="N26">
        <v>70.141272999999998</v>
      </c>
      <c r="O26">
        <v>69.021690000000007</v>
      </c>
      <c r="P26">
        <v>70.175094999999999</v>
      </c>
      <c r="Q26">
        <v>72.345962999999998</v>
      </c>
      <c r="R26">
        <v>73.417396999999994</v>
      </c>
      <c r="S26">
        <v>74.362701000000001</v>
      </c>
      <c r="T26">
        <v>75.273003000000003</v>
      </c>
      <c r="U26">
        <v>76.767471</v>
      </c>
      <c r="V26">
        <v>77.966553000000005</v>
      </c>
      <c r="W26">
        <v>78.546875</v>
      </c>
      <c r="X26">
        <v>79.005652999999995</v>
      </c>
      <c r="Y26">
        <v>79.448586000000006</v>
      </c>
      <c r="Z26">
        <v>79.814239999999998</v>
      </c>
      <c r="AA26">
        <v>80.153214000000006</v>
      </c>
      <c r="AB26">
        <v>80.456695999999994</v>
      </c>
      <c r="AC26">
        <v>80.688453999999993</v>
      </c>
      <c r="AD26">
        <v>80.951462000000006</v>
      </c>
      <c r="AE26">
        <v>81.205382999999998</v>
      </c>
      <c r="AF26">
        <v>81.537047999999999</v>
      </c>
      <c r="AG26" s="22">
        <v>1.7000000000000001E-2</v>
      </c>
    </row>
    <row r="27" spans="1:33">
      <c r="A27" t="s">
        <v>3709</v>
      </c>
      <c r="B27" t="s">
        <v>3724</v>
      </c>
      <c r="C27" t="s">
        <v>3723</v>
      </c>
      <c r="D27" t="s">
        <v>269</v>
      </c>
      <c r="F27">
        <v>34.459515000000003</v>
      </c>
      <c r="G27">
        <v>37.642277</v>
      </c>
      <c r="H27">
        <v>41.127471999999997</v>
      </c>
      <c r="I27">
        <v>40.267257999999998</v>
      </c>
      <c r="J27">
        <v>40.255310000000001</v>
      </c>
      <c r="K27">
        <v>40.242519000000001</v>
      </c>
      <c r="L27">
        <v>40.218753999999997</v>
      </c>
      <c r="M27">
        <v>40.700054000000002</v>
      </c>
      <c r="N27">
        <v>41.130524000000001</v>
      </c>
      <c r="O27">
        <v>40.554600000000001</v>
      </c>
      <c r="P27">
        <v>40.930511000000003</v>
      </c>
      <c r="Q27">
        <v>41.310794999999999</v>
      </c>
      <c r="R27">
        <v>41.765965000000001</v>
      </c>
      <c r="S27">
        <v>42.053348999999997</v>
      </c>
      <c r="T27">
        <v>42.351562000000001</v>
      </c>
      <c r="U27">
        <v>42.643214999999998</v>
      </c>
      <c r="V27">
        <v>42.837719</v>
      </c>
      <c r="W27">
        <v>43.033183999999999</v>
      </c>
      <c r="X27">
        <v>43.158431999999998</v>
      </c>
      <c r="Y27">
        <v>43.308086000000003</v>
      </c>
      <c r="Z27">
        <v>43.407924999999999</v>
      </c>
      <c r="AA27">
        <v>43.533504000000001</v>
      </c>
      <c r="AB27">
        <v>43.621684999999999</v>
      </c>
      <c r="AC27">
        <v>43.68882</v>
      </c>
      <c r="AD27">
        <v>43.782268999999999</v>
      </c>
      <c r="AE27">
        <v>43.872546999999997</v>
      </c>
      <c r="AF27">
        <v>44.049908000000002</v>
      </c>
      <c r="AG27" s="22">
        <v>8.9999999999999993E-3</v>
      </c>
    </row>
    <row r="28" spans="1:33">
      <c r="A28" t="s">
        <v>3722</v>
      </c>
      <c r="B28" t="s">
        <v>3721</v>
      </c>
      <c r="C28" t="s">
        <v>3720</v>
      </c>
      <c r="D28" t="s">
        <v>269</v>
      </c>
      <c r="F28">
        <v>36.992213999999997</v>
      </c>
      <c r="G28">
        <v>40.049953000000002</v>
      </c>
      <c r="H28">
        <v>42.808971</v>
      </c>
      <c r="I28">
        <v>43.230891999999997</v>
      </c>
      <c r="J28">
        <v>44.016902999999999</v>
      </c>
      <c r="K28">
        <v>44.308898999999997</v>
      </c>
      <c r="L28">
        <v>44.989899000000001</v>
      </c>
      <c r="M28">
        <v>45.614960000000004</v>
      </c>
      <c r="N28">
        <v>46.454155</v>
      </c>
      <c r="O28">
        <v>45.667557000000002</v>
      </c>
      <c r="P28">
        <v>46.478081000000003</v>
      </c>
      <c r="Q28">
        <v>47.149428999999998</v>
      </c>
      <c r="R28">
        <v>47.616024000000003</v>
      </c>
      <c r="S28">
        <v>48.020485000000001</v>
      </c>
      <c r="T28">
        <v>48.435195999999998</v>
      </c>
      <c r="U28">
        <v>48.949013000000001</v>
      </c>
      <c r="V28">
        <v>49.253231</v>
      </c>
      <c r="W28">
        <v>49.479267</v>
      </c>
      <c r="X28">
        <v>49.642772999999998</v>
      </c>
      <c r="Y28">
        <v>49.856163000000002</v>
      </c>
      <c r="Z28">
        <v>49.976058999999999</v>
      </c>
      <c r="AA28">
        <v>50.153815999999999</v>
      </c>
      <c r="AB28">
        <v>50.256393000000003</v>
      </c>
      <c r="AC28">
        <v>50.313774000000002</v>
      </c>
      <c r="AD28">
        <v>50.431538000000003</v>
      </c>
      <c r="AE28">
        <v>50.545406</v>
      </c>
      <c r="AF28">
        <v>50.836013999999999</v>
      </c>
      <c r="AG28" s="22">
        <v>1.2E-2</v>
      </c>
    </row>
    <row r="29" spans="1:33">
      <c r="A29" t="s">
        <v>3712</v>
      </c>
      <c r="B29" t="s">
        <v>3719</v>
      </c>
      <c r="C29" t="s">
        <v>3718</v>
      </c>
      <c r="D29" t="s">
        <v>269</v>
      </c>
      <c r="F29">
        <v>48.381923999999998</v>
      </c>
      <c r="G29">
        <v>51.754009000000003</v>
      </c>
      <c r="H29">
        <v>55.653796999999997</v>
      </c>
      <c r="I29">
        <v>59.137737000000001</v>
      </c>
      <c r="J29">
        <v>61.278339000000003</v>
      </c>
      <c r="K29">
        <v>61.308632000000003</v>
      </c>
      <c r="L29">
        <v>62.883270000000003</v>
      </c>
      <c r="M29">
        <v>63.968285000000002</v>
      </c>
      <c r="N29">
        <v>66.642882999999998</v>
      </c>
      <c r="O29">
        <v>65.576897000000002</v>
      </c>
      <c r="P29">
        <v>66.660210000000006</v>
      </c>
      <c r="Q29">
        <v>68.722472999999994</v>
      </c>
      <c r="R29">
        <v>69.727547000000001</v>
      </c>
      <c r="S29">
        <v>70.613060000000004</v>
      </c>
      <c r="T29">
        <v>71.466324</v>
      </c>
      <c r="U29">
        <v>72.886696000000001</v>
      </c>
      <c r="V29">
        <v>74.021286000000003</v>
      </c>
      <c r="W29">
        <v>74.566199999999995</v>
      </c>
      <c r="X29">
        <v>74.998435999999998</v>
      </c>
      <c r="Y29">
        <v>75.416839999999993</v>
      </c>
      <c r="Z29">
        <v>75.761993000000004</v>
      </c>
      <c r="AA29">
        <v>76.083054000000004</v>
      </c>
      <c r="AB29">
        <v>76.370345999999998</v>
      </c>
      <c r="AC29">
        <v>76.590514999999996</v>
      </c>
      <c r="AD29">
        <v>76.839706000000007</v>
      </c>
      <c r="AE29">
        <v>77.080558999999994</v>
      </c>
      <c r="AF29">
        <v>77.395804999999996</v>
      </c>
      <c r="AG29" s="22">
        <v>1.7999999999999999E-2</v>
      </c>
    </row>
    <row r="30" spans="1:33">
      <c r="A30" t="s">
        <v>3709</v>
      </c>
      <c r="B30" t="s">
        <v>3717</v>
      </c>
      <c r="C30" t="s">
        <v>3716</v>
      </c>
      <c r="D30" t="s">
        <v>269</v>
      </c>
      <c r="F30">
        <v>32.114288000000002</v>
      </c>
      <c r="G30">
        <v>34.514839000000002</v>
      </c>
      <c r="H30">
        <v>36.986862000000002</v>
      </c>
      <c r="I30">
        <v>36.634200999999997</v>
      </c>
      <c r="J30">
        <v>37.092925999999999</v>
      </c>
      <c r="K30">
        <v>37.343777000000003</v>
      </c>
      <c r="L30">
        <v>37.577010999999999</v>
      </c>
      <c r="M30">
        <v>38.011017000000002</v>
      </c>
      <c r="N30">
        <v>38.403038000000002</v>
      </c>
      <c r="O30">
        <v>37.869067999999999</v>
      </c>
      <c r="P30">
        <v>38.209907999999999</v>
      </c>
      <c r="Q30">
        <v>38.555424000000002</v>
      </c>
      <c r="R30">
        <v>38.963661000000002</v>
      </c>
      <c r="S30">
        <v>39.224598</v>
      </c>
      <c r="T30">
        <v>39.495063999999999</v>
      </c>
      <c r="U30">
        <v>39.75996</v>
      </c>
      <c r="V30">
        <v>39.93721</v>
      </c>
      <c r="W30">
        <v>40.114798999999998</v>
      </c>
      <c r="X30">
        <v>40.230305000000001</v>
      </c>
      <c r="Y30">
        <v>40.368130000000001</v>
      </c>
      <c r="Z30">
        <v>40.460380999999998</v>
      </c>
      <c r="AA30">
        <v>40.576186999999997</v>
      </c>
      <c r="AB30">
        <v>40.657494</v>
      </c>
      <c r="AC30">
        <v>40.719509000000002</v>
      </c>
      <c r="AD30">
        <v>40.805653</v>
      </c>
      <c r="AE30">
        <v>40.888672</v>
      </c>
      <c r="AF30">
        <v>41.051575</v>
      </c>
      <c r="AG30" s="22">
        <v>8.9999999999999993E-3</v>
      </c>
    </row>
    <row r="31" spans="1:33">
      <c r="A31" t="s">
        <v>3715</v>
      </c>
      <c r="B31" t="s">
        <v>3714</v>
      </c>
      <c r="C31" t="s">
        <v>3713</v>
      </c>
      <c r="D31" t="s">
        <v>269</v>
      </c>
      <c r="F31">
        <v>27.538564999999998</v>
      </c>
      <c r="G31">
        <v>29.747971</v>
      </c>
      <c r="H31">
        <v>31.720669000000001</v>
      </c>
      <c r="I31">
        <v>32.058968</v>
      </c>
      <c r="J31">
        <v>32.641983000000003</v>
      </c>
      <c r="K31">
        <v>32.859589</v>
      </c>
      <c r="L31">
        <v>33.335555999999997</v>
      </c>
      <c r="M31">
        <v>33.786160000000002</v>
      </c>
      <c r="N31">
        <v>34.398437999999999</v>
      </c>
      <c r="O31">
        <v>33.841163999999999</v>
      </c>
      <c r="P31">
        <v>34.423504000000001</v>
      </c>
      <c r="Q31">
        <v>34.906590000000001</v>
      </c>
      <c r="R31">
        <v>35.232799999999997</v>
      </c>
      <c r="S31">
        <v>35.521309000000002</v>
      </c>
      <c r="T31">
        <v>35.816288</v>
      </c>
      <c r="U31">
        <v>36.185467000000003</v>
      </c>
      <c r="V31">
        <v>36.402821000000003</v>
      </c>
      <c r="W31">
        <v>36.561584000000003</v>
      </c>
      <c r="X31">
        <v>36.675685999999999</v>
      </c>
      <c r="Y31">
        <v>36.824798999999999</v>
      </c>
      <c r="Z31">
        <v>36.907935999999999</v>
      </c>
      <c r="AA31">
        <v>37.031731000000001</v>
      </c>
      <c r="AB31">
        <v>37.102466999999997</v>
      </c>
      <c r="AC31">
        <v>37.140445999999997</v>
      </c>
      <c r="AD31">
        <v>37.221237000000002</v>
      </c>
      <c r="AE31">
        <v>37.299518999999997</v>
      </c>
      <c r="AF31">
        <v>37.503345000000003</v>
      </c>
      <c r="AG31" s="22">
        <v>1.2E-2</v>
      </c>
    </row>
    <row r="32" spans="1:33">
      <c r="A32" t="s">
        <v>3712</v>
      </c>
      <c r="B32" t="s">
        <v>3711</v>
      </c>
      <c r="C32" t="s">
        <v>3710</v>
      </c>
      <c r="D32" t="s">
        <v>269</v>
      </c>
      <c r="F32">
        <v>35.736514999999997</v>
      </c>
      <c r="G32">
        <v>38.187514999999998</v>
      </c>
      <c r="H32">
        <v>41.026561999999998</v>
      </c>
      <c r="I32">
        <v>43.567794999999997</v>
      </c>
      <c r="J32">
        <v>45.129069999999999</v>
      </c>
      <c r="K32">
        <v>45.143227000000003</v>
      </c>
      <c r="L32">
        <v>46.28548</v>
      </c>
      <c r="M32">
        <v>47.069462000000001</v>
      </c>
      <c r="N32">
        <v>49.029162999999997</v>
      </c>
      <c r="O32">
        <v>48.263415999999999</v>
      </c>
      <c r="P32">
        <v>49.042400000000001</v>
      </c>
      <c r="Q32">
        <v>50.544037000000003</v>
      </c>
      <c r="R32">
        <v>51.270535000000002</v>
      </c>
      <c r="S32">
        <v>51.909388999999997</v>
      </c>
      <c r="T32">
        <v>52.522804000000001</v>
      </c>
      <c r="U32">
        <v>53.556106999999997</v>
      </c>
      <c r="V32">
        <v>54.379283999999998</v>
      </c>
      <c r="W32">
        <v>54.768990000000002</v>
      </c>
      <c r="X32">
        <v>55.077838999999997</v>
      </c>
      <c r="Y32">
        <v>55.373089</v>
      </c>
      <c r="Z32">
        <v>55.619441999999999</v>
      </c>
      <c r="AA32">
        <v>55.844054999999997</v>
      </c>
      <c r="AB32">
        <v>56.048706000000003</v>
      </c>
      <c r="AC32">
        <v>56.203578999999998</v>
      </c>
      <c r="AD32">
        <v>56.377032999999997</v>
      </c>
      <c r="AE32">
        <v>56.545631</v>
      </c>
      <c r="AF32">
        <v>56.762431999999997</v>
      </c>
      <c r="AG32" s="22">
        <v>1.7999999999999999E-2</v>
      </c>
    </row>
    <row r="33" spans="1:33">
      <c r="A33" t="s">
        <v>3709</v>
      </c>
      <c r="B33" t="s">
        <v>3708</v>
      </c>
      <c r="C33" t="s">
        <v>3707</v>
      </c>
      <c r="D33" t="s">
        <v>269</v>
      </c>
      <c r="F33">
        <v>23.988018</v>
      </c>
      <c r="G33">
        <v>25.717506</v>
      </c>
      <c r="H33">
        <v>27.470897999999998</v>
      </c>
      <c r="I33">
        <v>27.241520000000001</v>
      </c>
      <c r="J33">
        <v>27.584202000000001</v>
      </c>
      <c r="K33">
        <v>27.775763999999999</v>
      </c>
      <c r="L33">
        <v>27.919968000000001</v>
      </c>
      <c r="M33">
        <v>28.231255000000001</v>
      </c>
      <c r="N33">
        <v>28.510629999999999</v>
      </c>
      <c r="O33">
        <v>28.137867</v>
      </c>
      <c r="P33">
        <v>28.37771</v>
      </c>
      <c r="Q33">
        <v>28.619430999999999</v>
      </c>
      <c r="R33">
        <v>28.901937</v>
      </c>
      <c r="S33">
        <v>29.085546000000001</v>
      </c>
      <c r="T33">
        <v>29.275507000000001</v>
      </c>
      <c r="U33">
        <v>29.461161000000001</v>
      </c>
      <c r="V33">
        <v>29.584817999999999</v>
      </c>
      <c r="W33">
        <v>29.708748</v>
      </c>
      <c r="X33">
        <v>29.788166</v>
      </c>
      <c r="Y33">
        <v>29.883118</v>
      </c>
      <c r="Z33">
        <v>29.946400000000001</v>
      </c>
      <c r="AA33">
        <v>30.026071999999999</v>
      </c>
      <c r="AB33">
        <v>30.081591</v>
      </c>
      <c r="AC33">
        <v>30.123497</v>
      </c>
      <c r="AD33">
        <v>30.182155999999999</v>
      </c>
      <c r="AE33">
        <v>30.238665000000001</v>
      </c>
      <c r="AF33">
        <v>30.351025</v>
      </c>
      <c r="AG33" s="22">
        <v>8.9999999999999993E-3</v>
      </c>
    </row>
    <row r="34" spans="1:33">
      <c r="A34" t="s">
        <v>3706</v>
      </c>
      <c r="B34" t="s">
        <v>3705</v>
      </c>
      <c r="C34" t="s">
        <v>3704</v>
      </c>
      <c r="D34" t="s">
        <v>269</v>
      </c>
      <c r="F34">
        <v>22.673542000000001</v>
      </c>
      <c r="G34">
        <v>23.019804000000001</v>
      </c>
      <c r="H34">
        <v>23.398861</v>
      </c>
      <c r="I34">
        <v>23.830568</v>
      </c>
      <c r="J34">
        <v>24.300024000000001</v>
      </c>
      <c r="K34">
        <v>24.836760000000002</v>
      </c>
      <c r="L34">
        <v>25.429971999999999</v>
      </c>
      <c r="M34">
        <v>25.986374000000001</v>
      </c>
      <c r="N34">
        <v>26.538643</v>
      </c>
      <c r="O34">
        <v>27.064734999999999</v>
      </c>
      <c r="P34">
        <v>27.521101000000002</v>
      </c>
      <c r="Q34">
        <v>27.975999999999999</v>
      </c>
      <c r="R34">
        <v>28.511520000000001</v>
      </c>
      <c r="S34">
        <v>29.075071000000001</v>
      </c>
      <c r="T34">
        <v>29.604527999999998</v>
      </c>
      <c r="U34">
        <v>30.117156999999999</v>
      </c>
      <c r="V34">
        <v>30.573536000000001</v>
      </c>
      <c r="W34">
        <v>30.986899999999999</v>
      </c>
      <c r="X34">
        <v>31.437296</v>
      </c>
      <c r="Y34">
        <v>31.758548999999999</v>
      </c>
      <c r="Z34">
        <v>32.106952999999997</v>
      </c>
      <c r="AA34">
        <v>32.412998000000002</v>
      </c>
      <c r="AB34">
        <v>32.726719000000003</v>
      </c>
      <c r="AC34">
        <v>32.964526999999997</v>
      </c>
      <c r="AD34">
        <v>33.336478999999997</v>
      </c>
      <c r="AE34">
        <v>33.624088</v>
      </c>
      <c r="AF34">
        <v>33.818747999999999</v>
      </c>
      <c r="AG34" s="22">
        <v>1.4999999999999999E-2</v>
      </c>
    </row>
    <row r="35" spans="1:33">
      <c r="A35" t="s">
        <v>3703</v>
      </c>
      <c r="B35" t="s">
        <v>3702</v>
      </c>
      <c r="C35" t="s">
        <v>3701</v>
      </c>
      <c r="D35" t="s">
        <v>269</v>
      </c>
      <c r="F35">
        <v>13.769277000000001</v>
      </c>
      <c r="G35">
        <v>13.86491</v>
      </c>
      <c r="H35">
        <v>13.983874999999999</v>
      </c>
      <c r="I35">
        <v>14.109709000000001</v>
      </c>
      <c r="J35">
        <v>14.421766</v>
      </c>
      <c r="K35">
        <v>14.424688</v>
      </c>
      <c r="L35">
        <v>14.556281999999999</v>
      </c>
      <c r="M35">
        <v>14.750196000000001</v>
      </c>
      <c r="N35">
        <v>14.936327</v>
      </c>
      <c r="O35">
        <v>15.064475</v>
      </c>
      <c r="P35">
        <v>15.224270000000001</v>
      </c>
      <c r="Q35">
        <v>15.464074</v>
      </c>
      <c r="R35">
        <v>15.665839999999999</v>
      </c>
      <c r="S35">
        <v>15.84999</v>
      </c>
      <c r="T35">
        <v>16.032001000000001</v>
      </c>
      <c r="U35">
        <v>16.187612999999999</v>
      </c>
      <c r="V35">
        <v>16.309277000000002</v>
      </c>
      <c r="W35">
        <v>16.511687999999999</v>
      </c>
      <c r="X35">
        <v>16.675953</v>
      </c>
      <c r="Y35">
        <v>16.834778</v>
      </c>
      <c r="Z35">
        <v>16.980089</v>
      </c>
      <c r="AA35">
        <v>17.087033999999999</v>
      </c>
      <c r="AB35">
        <v>17.201184999999999</v>
      </c>
      <c r="AC35">
        <v>17.306694</v>
      </c>
      <c r="AD35">
        <v>17.349647999999998</v>
      </c>
      <c r="AE35">
        <v>17.431222999999999</v>
      </c>
      <c r="AF35">
        <v>17.567291000000001</v>
      </c>
      <c r="AG35" s="22">
        <v>8.9999999999999993E-3</v>
      </c>
    </row>
    <row r="36" spans="1:33">
      <c r="A36" t="s">
        <v>3700</v>
      </c>
      <c r="B36" t="s">
        <v>3699</v>
      </c>
      <c r="C36" t="s">
        <v>3698</v>
      </c>
      <c r="D36" t="s">
        <v>269</v>
      </c>
      <c r="F36">
        <v>13.296923</v>
      </c>
      <c r="G36">
        <v>13.351376999999999</v>
      </c>
      <c r="H36">
        <v>13.405718999999999</v>
      </c>
      <c r="I36">
        <v>13.465928999999999</v>
      </c>
      <c r="J36">
        <v>13.534836</v>
      </c>
      <c r="K36">
        <v>13.601525000000001</v>
      </c>
      <c r="L36">
        <v>13.675136</v>
      </c>
      <c r="M36">
        <v>13.75475</v>
      </c>
      <c r="N36">
        <v>13.839869</v>
      </c>
      <c r="O36">
        <v>13.933196000000001</v>
      </c>
      <c r="P36">
        <v>14.030329999999999</v>
      </c>
      <c r="Q36">
        <v>14.136103</v>
      </c>
      <c r="R36">
        <v>14.245768</v>
      </c>
      <c r="S36">
        <v>14.363693</v>
      </c>
      <c r="T36">
        <v>14.48442</v>
      </c>
      <c r="U36">
        <v>14.607023</v>
      </c>
      <c r="V36">
        <v>14.721759</v>
      </c>
      <c r="W36">
        <v>14.851385000000001</v>
      </c>
      <c r="X36">
        <v>14.978259</v>
      </c>
      <c r="Y36">
        <v>15.111693000000001</v>
      </c>
      <c r="Z36">
        <v>15.246414</v>
      </c>
      <c r="AA36">
        <v>15.375544</v>
      </c>
      <c r="AB36">
        <v>15.505302</v>
      </c>
      <c r="AC36">
        <v>15.6272</v>
      </c>
      <c r="AD36">
        <v>15.74775</v>
      </c>
      <c r="AE36">
        <v>15.865226</v>
      </c>
      <c r="AF36">
        <v>15.983394000000001</v>
      </c>
      <c r="AG36" s="22">
        <v>7.0000000000000001E-3</v>
      </c>
    </row>
    <row r="37" spans="1:33">
      <c r="A37" t="s">
        <v>3697</v>
      </c>
      <c r="B37" t="s">
        <v>3696</v>
      </c>
      <c r="C37" t="s">
        <v>3695</v>
      </c>
      <c r="D37" t="s">
        <v>269</v>
      </c>
      <c r="F37">
        <v>7.7570230000000002</v>
      </c>
      <c r="G37">
        <v>7.8260310000000004</v>
      </c>
      <c r="H37">
        <v>7.9062919999999997</v>
      </c>
      <c r="I37">
        <v>7.9960290000000001</v>
      </c>
      <c r="J37">
        <v>8.0947890000000005</v>
      </c>
      <c r="K37">
        <v>8.1991750000000003</v>
      </c>
      <c r="L37">
        <v>8.3074709999999996</v>
      </c>
      <c r="M37">
        <v>8.4176070000000003</v>
      </c>
      <c r="N37">
        <v>8.5283219999999993</v>
      </c>
      <c r="O37">
        <v>8.6380099999999995</v>
      </c>
      <c r="P37">
        <v>8.7450679999999998</v>
      </c>
      <c r="Q37">
        <v>8.8470669999999991</v>
      </c>
      <c r="R37">
        <v>8.9420540000000006</v>
      </c>
      <c r="S37">
        <v>9.029954</v>
      </c>
      <c r="T37">
        <v>9.1127330000000004</v>
      </c>
      <c r="U37">
        <v>9.1914820000000006</v>
      </c>
      <c r="V37">
        <v>9.2668909999999993</v>
      </c>
      <c r="W37">
        <v>9.3372069999999994</v>
      </c>
      <c r="X37">
        <v>9.4020580000000002</v>
      </c>
      <c r="Y37">
        <v>9.4613700000000005</v>
      </c>
      <c r="Z37">
        <v>9.5162099999999992</v>
      </c>
      <c r="AA37">
        <v>9.5691059999999997</v>
      </c>
      <c r="AB37">
        <v>9.6208910000000003</v>
      </c>
      <c r="AC37">
        <v>9.6705670000000001</v>
      </c>
      <c r="AD37">
        <v>9.7169790000000003</v>
      </c>
      <c r="AE37">
        <v>9.7613710000000005</v>
      </c>
      <c r="AF37">
        <v>9.8045439999999999</v>
      </c>
      <c r="AG37" s="22">
        <v>8.9999999999999993E-3</v>
      </c>
    </row>
    <row r="38" spans="1:33">
      <c r="A38" t="s">
        <v>3694</v>
      </c>
    </row>
    <row r="39" spans="1:33">
      <c r="A39" t="s">
        <v>3693</v>
      </c>
      <c r="B39" t="s">
        <v>3692</v>
      </c>
      <c r="C39" t="s">
        <v>3691</v>
      </c>
      <c r="D39" t="s">
        <v>232</v>
      </c>
      <c r="F39">
        <v>85.368492000000003</v>
      </c>
      <c r="G39">
        <v>85.782234000000003</v>
      </c>
      <c r="H39">
        <v>86.453063999999998</v>
      </c>
      <c r="I39">
        <v>87.127350000000007</v>
      </c>
      <c r="J39">
        <v>87.815926000000005</v>
      </c>
      <c r="K39">
        <v>88.497085999999996</v>
      </c>
      <c r="L39">
        <v>89.183655000000002</v>
      </c>
      <c r="M39">
        <v>89.886848000000001</v>
      </c>
      <c r="N39">
        <v>90.639893000000001</v>
      </c>
      <c r="O39">
        <v>91.399001999999996</v>
      </c>
      <c r="P39">
        <v>92.155806999999996</v>
      </c>
      <c r="Q39">
        <v>92.914574000000002</v>
      </c>
      <c r="R39">
        <v>93.675323000000006</v>
      </c>
      <c r="S39">
        <v>94.433295999999999</v>
      </c>
      <c r="T39">
        <v>95.211731</v>
      </c>
      <c r="U39">
        <v>95.983520999999996</v>
      </c>
      <c r="V39">
        <v>96.768569999999997</v>
      </c>
      <c r="W39">
        <v>97.563377000000003</v>
      </c>
      <c r="X39">
        <v>98.389313000000001</v>
      </c>
      <c r="Y39">
        <v>99.21096</v>
      </c>
      <c r="Z39">
        <v>100.03321099999999</v>
      </c>
      <c r="AA39">
        <v>100.86144299999999</v>
      </c>
      <c r="AB39">
        <v>101.69375599999999</v>
      </c>
      <c r="AC39">
        <v>102.534424</v>
      </c>
      <c r="AD39">
        <v>103.379761</v>
      </c>
      <c r="AE39">
        <v>104.22199999999999</v>
      </c>
      <c r="AF39">
        <v>105.063164</v>
      </c>
      <c r="AG39" s="22">
        <v>8.0000000000000002E-3</v>
      </c>
    </row>
    <row r="40" spans="1:33">
      <c r="A40" t="s">
        <v>3690</v>
      </c>
    </row>
    <row r="41" spans="1:33">
      <c r="A41" t="s">
        <v>178</v>
      </c>
      <c r="B41" t="s">
        <v>3689</v>
      </c>
      <c r="C41" t="s">
        <v>3688</v>
      </c>
      <c r="D41" t="s">
        <v>2920</v>
      </c>
      <c r="F41">
        <v>3.3734500000000001</v>
      </c>
      <c r="G41">
        <v>3.3770099999999998</v>
      </c>
      <c r="H41">
        <v>3.3805740000000002</v>
      </c>
      <c r="I41">
        <v>3.3841420000000002</v>
      </c>
      <c r="J41">
        <v>3.3877130000000002</v>
      </c>
      <c r="K41">
        <v>3.391289</v>
      </c>
      <c r="L41">
        <v>3.3948680000000002</v>
      </c>
      <c r="M41">
        <v>3.3984510000000001</v>
      </c>
      <c r="N41">
        <v>3.402037</v>
      </c>
      <c r="O41">
        <v>3.4056280000000001</v>
      </c>
      <c r="P41">
        <v>3.4092220000000002</v>
      </c>
      <c r="Q41">
        <v>3.41282</v>
      </c>
      <c r="R41">
        <v>3.4164219999999998</v>
      </c>
      <c r="S41">
        <v>3.4200270000000002</v>
      </c>
      <c r="T41">
        <v>3.4236369999999998</v>
      </c>
      <c r="U41">
        <v>3.4272499999999999</v>
      </c>
      <c r="V41">
        <v>3.4308670000000001</v>
      </c>
      <c r="W41">
        <v>3.434488</v>
      </c>
      <c r="X41">
        <v>3.438113</v>
      </c>
      <c r="Y41">
        <v>3.4417409999999999</v>
      </c>
      <c r="Z41">
        <v>3.445373</v>
      </c>
      <c r="AA41">
        <v>3.4490099999999999</v>
      </c>
      <c r="AB41">
        <v>3.4526490000000001</v>
      </c>
      <c r="AC41">
        <v>3.4562930000000001</v>
      </c>
      <c r="AD41">
        <v>3.4599410000000002</v>
      </c>
      <c r="AE41">
        <v>3.4635929999999999</v>
      </c>
      <c r="AF41">
        <v>3.4672480000000001</v>
      </c>
      <c r="AG41" s="22">
        <v>1E-3</v>
      </c>
    </row>
    <row r="42" spans="1:33">
      <c r="A42" t="s">
        <v>150</v>
      </c>
      <c r="B42" t="s">
        <v>3687</v>
      </c>
      <c r="C42" t="s">
        <v>3686</v>
      </c>
      <c r="D42" t="s">
        <v>2920</v>
      </c>
      <c r="F42">
        <v>4.8577789999999998</v>
      </c>
      <c r="G42">
        <v>4.876665</v>
      </c>
      <c r="H42">
        <v>4.8956239999999998</v>
      </c>
      <c r="I42">
        <v>4.9146570000000001</v>
      </c>
      <c r="J42">
        <v>4.933764</v>
      </c>
      <c r="K42">
        <v>4.9529449999999997</v>
      </c>
      <c r="L42">
        <v>4.9722</v>
      </c>
      <c r="M42">
        <v>4.9915310000000002</v>
      </c>
      <c r="N42">
        <v>5.0109370000000002</v>
      </c>
      <c r="O42">
        <v>5.0304180000000001</v>
      </c>
      <c r="P42">
        <v>5.0499749999999999</v>
      </c>
      <c r="Q42">
        <v>5.0696079999999997</v>
      </c>
      <c r="R42">
        <v>5.0893170000000003</v>
      </c>
      <c r="S42">
        <v>5.1091030000000002</v>
      </c>
      <c r="T42">
        <v>5.1289660000000001</v>
      </c>
      <c r="U42">
        <v>5.1489060000000002</v>
      </c>
      <c r="V42">
        <v>5.1689230000000004</v>
      </c>
      <c r="W42">
        <v>5.189019</v>
      </c>
      <c r="X42">
        <v>5.2091919999999998</v>
      </c>
      <c r="Y42">
        <v>5.2294450000000001</v>
      </c>
      <c r="Z42">
        <v>5.2497749999999996</v>
      </c>
      <c r="AA42">
        <v>5.2701849999999997</v>
      </c>
      <c r="AB42">
        <v>5.2906740000000001</v>
      </c>
      <c r="AC42">
        <v>5.3112430000000002</v>
      </c>
      <c r="AD42">
        <v>5.3318919999999999</v>
      </c>
      <c r="AE42">
        <v>5.3526210000000001</v>
      </c>
      <c r="AF42">
        <v>5.3734299999999999</v>
      </c>
      <c r="AG42" s="22">
        <v>4.0000000000000001E-3</v>
      </c>
    </row>
    <row r="43" spans="1:33">
      <c r="A43" t="s">
        <v>44</v>
      </c>
    </row>
    <row r="44" spans="1:33">
      <c r="A44" t="s">
        <v>3685</v>
      </c>
    </row>
    <row r="45" spans="1:33">
      <c r="A45" t="s">
        <v>160</v>
      </c>
      <c r="B45" t="s">
        <v>3667</v>
      </c>
      <c r="C45" t="s">
        <v>3684</v>
      </c>
      <c r="D45" t="s">
        <v>3669</v>
      </c>
      <c r="F45">
        <v>15.264656</v>
      </c>
      <c r="G45">
        <v>15.318794</v>
      </c>
      <c r="H45">
        <v>15.263797</v>
      </c>
      <c r="I45">
        <v>15.137206000000001</v>
      </c>
      <c r="J45">
        <v>14.977221</v>
      </c>
      <c r="K45">
        <v>14.792021999999999</v>
      </c>
      <c r="L45">
        <v>14.586777</v>
      </c>
      <c r="M45">
        <v>14.410761000000001</v>
      </c>
      <c r="N45">
        <v>14.212754</v>
      </c>
      <c r="O45">
        <v>14.032137000000001</v>
      </c>
      <c r="P45">
        <v>13.876548</v>
      </c>
      <c r="Q45">
        <v>13.716936</v>
      </c>
      <c r="R45">
        <v>13.53182</v>
      </c>
      <c r="S45">
        <v>13.355209</v>
      </c>
      <c r="T45">
        <v>13.213084</v>
      </c>
      <c r="U45">
        <v>13.074738</v>
      </c>
      <c r="V45">
        <v>12.960391</v>
      </c>
      <c r="W45">
        <v>12.861575999999999</v>
      </c>
      <c r="X45">
        <v>12.746392999999999</v>
      </c>
      <c r="Y45">
        <v>12.672746999999999</v>
      </c>
      <c r="Z45">
        <v>12.58318</v>
      </c>
      <c r="AA45">
        <v>12.516975</v>
      </c>
      <c r="AB45">
        <v>12.440613000000001</v>
      </c>
      <c r="AC45">
        <v>12.393321</v>
      </c>
      <c r="AD45">
        <v>12.311717</v>
      </c>
      <c r="AE45">
        <v>12.264787</v>
      </c>
      <c r="AF45">
        <v>12.255931</v>
      </c>
      <c r="AG45" s="22">
        <v>-8.0000000000000002E-3</v>
      </c>
    </row>
    <row r="46" spans="1:33">
      <c r="A46" t="s">
        <v>164</v>
      </c>
      <c r="B46" t="s">
        <v>3665</v>
      </c>
      <c r="C46" t="s">
        <v>3683</v>
      </c>
      <c r="D46" t="s">
        <v>3669</v>
      </c>
      <c r="F46">
        <v>0.87437500000000001</v>
      </c>
      <c r="G46">
        <v>0.85573900000000003</v>
      </c>
      <c r="H46">
        <v>0.83974099999999996</v>
      </c>
      <c r="I46">
        <v>0.82906299999999999</v>
      </c>
      <c r="J46">
        <v>0.81703800000000004</v>
      </c>
      <c r="K46">
        <v>0.80652299999999999</v>
      </c>
      <c r="L46">
        <v>0.79705300000000001</v>
      </c>
      <c r="M46">
        <v>0.78666800000000003</v>
      </c>
      <c r="N46">
        <v>0.77601900000000001</v>
      </c>
      <c r="O46">
        <v>0.76574799999999998</v>
      </c>
      <c r="P46">
        <v>0.75515299999999996</v>
      </c>
      <c r="Q46">
        <v>0.74423300000000003</v>
      </c>
      <c r="R46">
        <v>0.73315399999999997</v>
      </c>
      <c r="S46">
        <v>0.72199100000000005</v>
      </c>
      <c r="T46">
        <v>0.71085900000000002</v>
      </c>
      <c r="U46">
        <v>0.69993099999999997</v>
      </c>
      <c r="V46">
        <v>0.68972299999999997</v>
      </c>
      <c r="W46">
        <v>0.67865399999999998</v>
      </c>
      <c r="X46">
        <v>0.66812099999999996</v>
      </c>
      <c r="Y46">
        <v>0.65726200000000001</v>
      </c>
      <c r="Z46">
        <v>0.64687300000000003</v>
      </c>
      <c r="AA46">
        <v>0.63653199999999999</v>
      </c>
      <c r="AB46">
        <v>0.62642500000000001</v>
      </c>
      <c r="AC46">
        <v>0.61649600000000004</v>
      </c>
      <c r="AD46">
        <v>0.60653199999999996</v>
      </c>
      <c r="AE46">
        <v>0.59660599999999997</v>
      </c>
      <c r="AF46">
        <v>0.58668299999999995</v>
      </c>
      <c r="AG46" s="22">
        <v>-1.4999999999999999E-2</v>
      </c>
    </row>
    <row r="47" spans="1:33">
      <c r="A47" t="s">
        <v>2171</v>
      </c>
      <c r="B47" t="s">
        <v>3663</v>
      </c>
      <c r="C47" t="s">
        <v>3682</v>
      </c>
      <c r="D47" t="s">
        <v>3669</v>
      </c>
      <c r="F47">
        <v>0.20785899999999999</v>
      </c>
      <c r="G47">
        <v>0.21351600000000001</v>
      </c>
      <c r="H47">
        <v>0.21612999999999999</v>
      </c>
      <c r="I47">
        <v>0.21712600000000001</v>
      </c>
      <c r="J47">
        <v>0.21748200000000001</v>
      </c>
      <c r="K47">
        <v>0.21742800000000001</v>
      </c>
      <c r="L47">
        <v>0.21724399999999999</v>
      </c>
      <c r="M47">
        <v>0.21624199999999999</v>
      </c>
      <c r="N47">
        <v>0.21476500000000001</v>
      </c>
      <c r="O47">
        <v>0.21318599999999999</v>
      </c>
      <c r="P47">
        <v>0.21190600000000001</v>
      </c>
      <c r="Q47">
        <v>0.210372</v>
      </c>
      <c r="R47">
        <v>0.208783</v>
      </c>
      <c r="S47">
        <v>0.20722499999999999</v>
      </c>
      <c r="T47">
        <v>0.20564499999999999</v>
      </c>
      <c r="U47">
        <v>0.20397999999999999</v>
      </c>
      <c r="V47">
        <v>0.20218700000000001</v>
      </c>
      <c r="W47">
        <v>0.20030100000000001</v>
      </c>
      <c r="X47">
        <v>0.198292</v>
      </c>
      <c r="Y47">
        <v>0.19633700000000001</v>
      </c>
      <c r="Z47">
        <v>0.19428100000000001</v>
      </c>
      <c r="AA47">
        <v>0.19231999999999999</v>
      </c>
      <c r="AB47">
        <v>0.190195</v>
      </c>
      <c r="AC47">
        <v>0.18795100000000001</v>
      </c>
      <c r="AD47">
        <v>0.18579200000000001</v>
      </c>
      <c r="AE47">
        <v>0.18369099999999999</v>
      </c>
      <c r="AF47">
        <v>0.18190400000000001</v>
      </c>
      <c r="AG47" s="22">
        <v>-5.0000000000000001E-3</v>
      </c>
    </row>
    <row r="48" spans="1:33">
      <c r="A48" t="s">
        <v>169</v>
      </c>
      <c r="B48" t="s">
        <v>3661</v>
      </c>
      <c r="C48" t="s">
        <v>3681</v>
      </c>
      <c r="D48" t="s">
        <v>3669</v>
      </c>
      <c r="F48">
        <v>6.005128</v>
      </c>
      <c r="G48">
        <v>6.058611</v>
      </c>
      <c r="H48">
        <v>6.0625530000000003</v>
      </c>
      <c r="I48">
        <v>6.0522770000000001</v>
      </c>
      <c r="J48">
        <v>6.0186789999999997</v>
      </c>
      <c r="K48">
        <v>5.988855</v>
      </c>
      <c r="L48">
        <v>5.9601290000000002</v>
      </c>
      <c r="M48">
        <v>5.9234799999999996</v>
      </c>
      <c r="N48">
        <v>5.8891929999999997</v>
      </c>
      <c r="O48">
        <v>5.8513450000000002</v>
      </c>
      <c r="P48">
        <v>5.82186</v>
      </c>
      <c r="Q48">
        <v>5.7964849999999997</v>
      </c>
      <c r="R48">
        <v>5.7830719999999998</v>
      </c>
      <c r="S48">
        <v>5.7776480000000001</v>
      </c>
      <c r="T48">
        <v>5.7755739999999998</v>
      </c>
      <c r="U48">
        <v>5.7705010000000003</v>
      </c>
      <c r="V48">
        <v>5.7706039999999996</v>
      </c>
      <c r="W48">
        <v>5.7710679999999996</v>
      </c>
      <c r="X48">
        <v>5.774972</v>
      </c>
      <c r="Y48">
        <v>5.7765789999999999</v>
      </c>
      <c r="Z48">
        <v>5.7777500000000002</v>
      </c>
      <c r="AA48">
        <v>5.7845149999999999</v>
      </c>
      <c r="AB48">
        <v>5.7897829999999999</v>
      </c>
      <c r="AC48">
        <v>5.816376</v>
      </c>
      <c r="AD48">
        <v>5.8437739999999998</v>
      </c>
      <c r="AE48">
        <v>5.8675810000000004</v>
      </c>
      <c r="AF48">
        <v>5.8845640000000001</v>
      </c>
      <c r="AG48" s="22">
        <v>-1E-3</v>
      </c>
    </row>
    <row r="49" spans="1:33">
      <c r="A49" t="s">
        <v>178</v>
      </c>
      <c r="B49" t="s">
        <v>3659</v>
      </c>
      <c r="C49" t="s">
        <v>3658</v>
      </c>
      <c r="D49" t="s">
        <v>3680</v>
      </c>
      <c r="E49" t="s">
        <v>3669</v>
      </c>
      <c r="F49">
        <v>4.3892E-2</v>
      </c>
      <c r="G49">
        <v>4.6490999999999998E-2</v>
      </c>
      <c r="H49">
        <v>4.7928999999999999E-2</v>
      </c>
      <c r="I49">
        <v>4.8710999999999997E-2</v>
      </c>
      <c r="J49">
        <v>4.9231999999999998E-2</v>
      </c>
      <c r="K49">
        <v>4.9773999999999999E-2</v>
      </c>
      <c r="L49">
        <v>5.0394000000000001E-2</v>
      </c>
      <c r="M49">
        <v>5.0847000000000003E-2</v>
      </c>
      <c r="N49">
        <v>5.1249999999999997E-2</v>
      </c>
      <c r="O49">
        <v>5.1577999999999999E-2</v>
      </c>
      <c r="P49">
        <v>5.1859000000000002E-2</v>
      </c>
      <c r="Q49">
        <v>5.2283999999999997E-2</v>
      </c>
      <c r="R49">
        <v>5.2821E-2</v>
      </c>
      <c r="S49">
        <v>5.3370000000000001E-2</v>
      </c>
      <c r="T49">
        <v>5.3935999999999998E-2</v>
      </c>
      <c r="U49">
        <v>5.4448999999999997E-2</v>
      </c>
      <c r="V49">
        <v>5.4919999999999997E-2</v>
      </c>
      <c r="W49">
        <v>5.534E-2</v>
      </c>
      <c r="X49">
        <v>5.5737000000000002E-2</v>
      </c>
      <c r="Y49">
        <v>5.6128999999999998E-2</v>
      </c>
      <c r="Z49">
        <v>5.6454999999999998E-2</v>
      </c>
      <c r="AA49">
        <v>5.6805000000000001E-2</v>
      </c>
      <c r="AB49">
        <v>5.7083000000000002E-2</v>
      </c>
      <c r="AC49">
        <v>5.7393E-2</v>
      </c>
      <c r="AD49">
        <v>5.7764999999999997E-2</v>
      </c>
      <c r="AE49">
        <v>5.8137000000000001E-2</v>
      </c>
      <c r="AF49">
        <v>5.8624999999999997E-2</v>
      </c>
      <c r="AG49" s="22">
        <v>1.0999999999999999E-2</v>
      </c>
    </row>
    <row r="50" spans="1:33">
      <c r="A50" t="s">
        <v>178</v>
      </c>
      <c r="B50" t="s">
        <v>3656</v>
      </c>
      <c r="C50" t="s">
        <v>3655</v>
      </c>
      <c r="D50" t="s">
        <v>3679</v>
      </c>
      <c r="E50" t="s">
        <v>3669</v>
      </c>
      <c r="F50">
        <v>0.43423099999999998</v>
      </c>
      <c r="G50">
        <v>0.44375900000000001</v>
      </c>
      <c r="H50">
        <v>0.43258099999999999</v>
      </c>
      <c r="I50">
        <v>0.41775200000000001</v>
      </c>
      <c r="J50">
        <v>0.41742499999999999</v>
      </c>
      <c r="K50">
        <v>0.41593799999999997</v>
      </c>
      <c r="L50">
        <v>0.403474</v>
      </c>
      <c r="M50">
        <v>0.40317799999999998</v>
      </c>
      <c r="N50">
        <v>0.38383200000000001</v>
      </c>
      <c r="O50">
        <v>0.38530700000000001</v>
      </c>
      <c r="P50">
        <v>0.38127499999999998</v>
      </c>
      <c r="Q50">
        <v>0.38103999999999999</v>
      </c>
      <c r="R50">
        <v>0.38219799999999998</v>
      </c>
      <c r="S50">
        <v>0.38373699999999999</v>
      </c>
      <c r="T50">
        <v>0.38856000000000002</v>
      </c>
      <c r="U50">
        <v>0.38572499999999998</v>
      </c>
      <c r="V50">
        <v>0.38717000000000001</v>
      </c>
      <c r="W50">
        <v>0.38733400000000001</v>
      </c>
      <c r="X50">
        <v>0.38897700000000002</v>
      </c>
      <c r="Y50">
        <v>0.39084999999999998</v>
      </c>
      <c r="Z50">
        <v>0.39176299999999997</v>
      </c>
      <c r="AA50">
        <v>0.39273799999999998</v>
      </c>
      <c r="AB50">
        <v>0.39265099999999997</v>
      </c>
      <c r="AC50">
        <v>0.39648099999999997</v>
      </c>
      <c r="AD50">
        <v>0.39958100000000002</v>
      </c>
      <c r="AE50">
        <v>0.40209800000000001</v>
      </c>
      <c r="AF50">
        <v>0.40297500000000003</v>
      </c>
      <c r="AG50" s="22">
        <v>-3.0000000000000001E-3</v>
      </c>
    </row>
    <row r="51" spans="1:33">
      <c r="A51" t="s">
        <v>3650</v>
      </c>
      <c r="B51" t="s">
        <v>3653</v>
      </c>
      <c r="C51" t="s">
        <v>3652</v>
      </c>
      <c r="D51" t="s">
        <v>3678</v>
      </c>
      <c r="E51" t="s">
        <v>3669</v>
      </c>
      <c r="F51">
        <v>9.4440999999999997E-2</v>
      </c>
      <c r="G51">
        <v>9.5329999999999998E-2</v>
      </c>
      <c r="H51">
        <v>9.4565999999999997E-2</v>
      </c>
      <c r="I51">
        <v>9.3798000000000006E-2</v>
      </c>
      <c r="J51">
        <v>9.3107999999999996E-2</v>
      </c>
      <c r="K51">
        <v>9.2339000000000004E-2</v>
      </c>
      <c r="L51">
        <v>9.1481000000000007E-2</v>
      </c>
      <c r="M51">
        <v>9.0542999999999998E-2</v>
      </c>
      <c r="N51">
        <v>8.9462E-2</v>
      </c>
      <c r="O51">
        <v>8.8707999999999995E-2</v>
      </c>
      <c r="P51">
        <v>8.8034000000000001E-2</v>
      </c>
      <c r="Q51">
        <v>8.7319999999999995E-2</v>
      </c>
      <c r="R51">
        <v>8.6580000000000004E-2</v>
      </c>
      <c r="S51">
        <v>8.5944999999999994E-2</v>
      </c>
      <c r="T51">
        <v>8.5342000000000001E-2</v>
      </c>
      <c r="U51">
        <v>8.4675E-2</v>
      </c>
      <c r="V51">
        <v>8.4112000000000006E-2</v>
      </c>
      <c r="W51">
        <v>8.3540000000000003E-2</v>
      </c>
      <c r="X51">
        <v>8.2974000000000006E-2</v>
      </c>
      <c r="Y51">
        <v>8.2354999999999998E-2</v>
      </c>
      <c r="Z51">
        <v>8.1680000000000003E-2</v>
      </c>
      <c r="AA51">
        <v>8.1034999999999996E-2</v>
      </c>
      <c r="AB51">
        <v>8.0381999999999995E-2</v>
      </c>
      <c r="AC51">
        <v>7.9953999999999997E-2</v>
      </c>
      <c r="AD51">
        <v>7.9430000000000001E-2</v>
      </c>
      <c r="AE51">
        <v>7.8866000000000006E-2</v>
      </c>
      <c r="AF51">
        <v>7.8278E-2</v>
      </c>
      <c r="AG51" s="22">
        <v>-7.0000000000000001E-3</v>
      </c>
    </row>
    <row r="52" spans="1:33">
      <c r="A52" t="s">
        <v>3650</v>
      </c>
      <c r="B52" t="s">
        <v>3649</v>
      </c>
      <c r="C52" t="s">
        <v>3648</v>
      </c>
      <c r="D52" t="s">
        <v>3677</v>
      </c>
      <c r="E52" t="s">
        <v>3669</v>
      </c>
      <c r="F52">
        <v>0.75211899999999998</v>
      </c>
      <c r="G52">
        <v>0.73338199999999998</v>
      </c>
      <c r="H52">
        <v>0.74175500000000005</v>
      </c>
      <c r="I52">
        <v>0.75531999999999999</v>
      </c>
      <c r="J52">
        <v>0.76629499999999995</v>
      </c>
      <c r="K52">
        <v>0.778196</v>
      </c>
      <c r="L52">
        <v>0.78992600000000002</v>
      </c>
      <c r="M52">
        <v>0.80055600000000005</v>
      </c>
      <c r="N52">
        <v>0.81212399999999996</v>
      </c>
      <c r="O52">
        <v>0.82328699999999999</v>
      </c>
      <c r="P52">
        <v>0.83492999999999995</v>
      </c>
      <c r="Q52">
        <v>0.84416400000000003</v>
      </c>
      <c r="R52">
        <v>0.85184199999999999</v>
      </c>
      <c r="S52">
        <v>0.85928400000000005</v>
      </c>
      <c r="T52">
        <v>0.86581799999999998</v>
      </c>
      <c r="U52">
        <v>0.87240700000000004</v>
      </c>
      <c r="V52">
        <v>0.87826199999999999</v>
      </c>
      <c r="W52">
        <v>0.88398900000000002</v>
      </c>
      <c r="X52">
        <v>0.88983500000000004</v>
      </c>
      <c r="Y52">
        <v>0.89557200000000003</v>
      </c>
      <c r="Z52">
        <v>0.90109300000000003</v>
      </c>
      <c r="AA52">
        <v>0.90631600000000001</v>
      </c>
      <c r="AB52">
        <v>0.91075899999999999</v>
      </c>
      <c r="AC52">
        <v>0.91678400000000004</v>
      </c>
      <c r="AD52">
        <v>0.92391900000000005</v>
      </c>
      <c r="AE52">
        <v>0.93080399999999996</v>
      </c>
      <c r="AF52">
        <v>0.93727300000000002</v>
      </c>
      <c r="AG52" s="22">
        <v>8.9999999999999993E-3</v>
      </c>
    </row>
    <row r="53" spans="1:33" s="1" customFormat="1">
      <c r="A53" s="1" t="s">
        <v>177</v>
      </c>
      <c r="B53" s="1" t="s">
        <v>3646</v>
      </c>
      <c r="C53" s="1" t="s">
        <v>3676</v>
      </c>
      <c r="D53" s="1" t="s">
        <v>3669</v>
      </c>
      <c r="F53" s="1">
        <v>0.20760500000000001</v>
      </c>
      <c r="G53" s="1">
        <v>0.20604500000000001</v>
      </c>
      <c r="H53" s="1">
        <v>0.20525199999999999</v>
      </c>
      <c r="I53" s="1">
        <v>0.204434</v>
      </c>
      <c r="J53" s="1">
        <v>0.20314499999999999</v>
      </c>
      <c r="K53" s="1">
        <v>0.20208499999999999</v>
      </c>
      <c r="L53" s="1">
        <v>0.20075299999999999</v>
      </c>
      <c r="M53" s="1">
        <v>0.19906499999999999</v>
      </c>
      <c r="N53" s="1">
        <v>0.19771900000000001</v>
      </c>
      <c r="O53" s="1">
        <v>0.19650300000000001</v>
      </c>
      <c r="P53" s="1">
        <v>0.19525300000000001</v>
      </c>
      <c r="Q53" s="1">
        <v>0.19423499999999999</v>
      </c>
      <c r="R53" s="1">
        <v>0.193269</v>
      </c>
      <c r="S53" s="1">
        <v>0.19245499999999999</v>
      </c>
      <c r="T53" s="1">
        <v>0.19170200000000001</v>
      </c>
      <c r="U53" s="1">
        <v>0.19090599999999999</v>
      </c>
      <c r="V53" s="1">
        <v>0.19012599999999999</v>
      </c>
      <c r="W53" s="1">
        <v>0.18931899999999999</v>
      </c>
      <c r="X53" s="1">
        <v>0.18861600000000001</v>
      </c>
      <c r="Y53" s="1">
        <v>0.187856</v>
      </c>
      <c r="Z53" s="1">
        <v>0.18696299999999999</v>
      </c>
      <c r="AA53" s="1">
        <v>0.18601500000000001</v>
      </c>
      <c r="AB53" s="1">
        <v>0.18501600000000001</v>
      </c>
      <c r="AC53" s="1">
        <v>0.18428600000000001</v>
      </c>
      <c r="AD53" s="1">
        <v>0.183617</v>
      </c>
      <c r="AE53" s="1">
        <v>0.18285100000000001</v>
      </c>
      <c r="AF53" s="1">
        <v>0.18205499999999999</v>
      </c>
      <c r="AG53" s="83">
        <v>-5.0000000000000001E-3</v>
      </c>
    </row>
    <row r="54" spans="1:33" s="81" customFormat="1">
      <c r="A54" s="81" t="s">
        <v>173</v>
      </c>
      <c r="B54" s="81" t="s">
        <v>3644</v>
      </c>
      <c r="C54" s="81" t="s">
        <v>3675</v>
      </c>
      <c r="D54" s="81" t="s">
        <v>3669</v>
      </c>
      <c r="F54" s="81">
        <v>3.2683239999999998</v>
      </c>
      <c r="G54" s="81">
        <v>3.2620330000000002</v>
      </c>
      <c r="H54" s="81">
        <v>3.2887469999999999</v>
      </c>
      <c r="I54" s="81">
        <v>3.3238750000000001</v>
      </c>
      <c r="J54" s="81">
        <v>3.351261</v>
      </c>
      <c r="K54" s="81">
        <v>3.3835480000000002</v>
      </c>
      <c r="L54" s="81">
        <v>3.411572</v>
      </c>
      <c r="M54" s="81">
        <v>3.4309509999999999</v>
      </c>
      <c r="N54" s="81">
        <v>3.4546049999999999</v>
      </c>
      <c r="O54" s="81">
        <v>3.4793050000000001</v>
      </c>
      <c r="P54" s="81">
        <v>3.5032459999999999</v>
      </c>
      <c r="Q54" s="81">
        <v>3.5340240000000001</v>
      </c>
      <c r="R54" s="81">
        <v>3.5675560000000002</v>
      </c>
      <c r="S54" s="81">
        <v>3.6071569999999999</v>
      </c>
      <c r="T54" s="81">
        <v>3.6496209999999998</v>
      </c>
      <c r="U54" s="81">
        <v>3.6931419999999999</v>
      </c>
      <c r="V54" s="81">
        <v>3.735951</v>
      </c>
      <c r="W54" s="81">
        <v>3.776446</v>
      </c>
      <c r="X54" s="81">
        <v>3.821688</v>
      </c>
      <c r="Y54" s="81">
        <v>3.8639779999999999</v>
      </c>
      <c r="Z54" s="81">
        <v>3.9011779999999998</v>
      </c>
      <c r="AA54" s="81">
        <v>3.9369100000000001</v>
      </c>
      <c r="AB54" s="81">
        <v>3.970224</v>
      </c>
      <c r="AC54" s="81">
        <v>4.0111319999999999</v>
      </c>
      <c r="AD54" s="81">
        <v>4.0551300000000001</v>
      </c>
      <c r="AE54" s="81">
        <v>4.0945159999999996</v>
      </c>
      <c r="AF54" s="81">
        <v>4.1335119999999996</v>
      </c>
      <c r="AG54" s="82">
        <v>8.9999999999999993E-3</v>
      </c>
    </row>
    <row r="55" spans="1:33">
      <c r="A55" t="s">
        <v>183</v>
      </c>
      <c r="B55" t="s">
        <v>3642</v>
      </c>
      <c r="C55" t="s">
        <v>3674</v>
      </c>
      <c r="D55" t="s">
        <v>3669</v>
      </c>
      <c r="F55">
        <v>0.44478899999999999</v>
      </c>
      <c r="G55">
        <v>0.44984499999999999</v>
      </c>
      <c r="H55">
        <v>0.45296900000000001</v>
      </c>
      <c r="I55">
        <v>0.45489600000000002</v>
      </c>
      <c r="J55">
        <v>0.455762</v>
      </c>
      <c r="K55">
        <v>0.45559300000000003</v>
      </c>
      <c r="L55">
        <v>0.45537699999999998</v>
      </c>
      <c r="M55">
        <v>0.45584200000000002</v>
      </c>
      <c r="N55">
        <v>0.45621699999999998</v>
      </c>
      <c r="O55">
        <v>0.45661000000000002</v>
      </c>
      <c r="P55">
        <v>0.45693299999999998</v>
      </c>
      <c r="Q55">
        <v>0.45718500000000001</v>
      </c>
      <c r="R55">
        <v>0.45763300000000001</v>
      </c>
      <c r="S55">
        <v>0.45822099999999999</v>
      </c>
      <c r="T55">
        <v>0.458787</v>
      </c>
      <c r="U55">
        <v>0.459339</v>
      </c>
      <c r="V55">
        <v>0.45987499999999998</v>
      </c>
      <c r="W55">
        <v>0.460399</v>
      </c>
      <c r="X55">
        <v>0.46091399999999999</v>
      </c>
      <c r="Y55">
        <v>0.46142300000000003</v>
      </c>
      <c r="Z55">
        <v>0.46192699999999998</v>
      </c>
      <c r="AA55">
        <v>0.46242499999999997</v>
      </c>
      <c r="AB55">
        <v>0.462922</v>
      </c>
      <c r="AC55">
        <v>0.46341900000000003</v>
      </c>
      <c r="AD55">
        <v>0.46391300000000002</v>
      </c>
      <c r="AE55">
        <v>0.46440799999999999</v>
      </c>
      <c r="AF55">
        <v>0.46490399999999998</v>
      </c>
      <c r="AG55" s="22">
        <v>2E-3</v>
      </c>
    </row>
    <row r="56" spans="1:33">
      <c r="A56" t="s">
        <v>181</v>
      </c>
      <c r="B56" t="s">
        <v>3640</v>
      </c>
      <c r="C56" t="s">
        <v>3673</v>
      </c>
      <c r="D56" t="s">
        <v>3669</v>
      </c>
      <c r="F56">
        <v>0.134269</v>
      </c>
      <c r="G56">
        <v>0.13466500000000001</v>
      </c>
      <c r="H56">
        <v>0.13530500000000001</v>
      </c>
      <c r="I56">
        <v>0.135764</v>
      </c>
      <c r="J56">
        <v>0.13597200000000001</v>
      </c>
      <c r="K56">
        <v>0.13608500000000001</v>
      </c>
      <c r="L56">
        <v>0.136129</v>
      </c>
      <c r="M56">
        <v>0.13605500000000001</v>
      </c>
      <c r="N56">
        <v>0.135958</v>
      </c>
      <c r="O56">
        <v>0.13591</v>
      </c>
      <c r="P56">
        <v>0.13589200000000001</v>
      </c>
      <c r="Q56">
        <v>0.13586300000000001</v>
      </c>
      <c r="R56">
        <v>0.135821</v>
      </c>
      <c r="S56">
        <v>0.13577600000000001</v>
      </c>
      <c r="T56">
        <v>0.13575699999999999</v>
      </c>
      <c r="U56">
        <v>0.135764</v>
      </c>
      <c r="V56">
        <v>0.135768</v>
      </c>
      <c r="W56">
        <v>0.135743</v>
      </c>
      <c r="X56">
        <v>0.13569899999999999</v>
      </c>
      <c r="Y56">
        <v>0.135634</v>
      </c>
      <c r="Z56">
        <v>0.13556699999999999</v>
      </c>
      <c r="AA56">
        <v>0.13550100000000001</v>
      </c>
      <c r="AB56">
        <v>0.13541800000000001</v>
      </c>
      <c r="AC56">
        <v>0.135323</v>
      </c>
      <c r="AD56">
        <v>0.13519600000000001</v>
      </c>
      <c r="AE56">
        <v>0.13505600000000001</v>
      </c>
      <c r="AF56">
        <v>0.13491900000000001</v>
      </c>
      <c r="AG56" s="22">
        <v>0</v>
      </c>
    </row>
    <row r="57" spans="1:33">
      <c r="A57" t="s">
        <v>3638</v>
      </c>
      <c r="B57" t="s">
        <v>3637</v>
      </c>
      <c r="C57" t="s">
        <v>3672</v>
      </c>
      <c r="D57" t="s">
        <v>3669</v>
      </c>
      <c r="F57">
        <v>0.92415800000000004</v>
      </c>
      <c r="G57">
        <v>0.87021000000000004</v>
      </c>
      <c r="H57">
        <v>0.86357099999999998</v>
      </c>
      <c r="I57">
        <v>0.83560900000000005</v>
      </c>
      <c r="J57">
        <v>0.79156499999999996</v>
      </c>
      <c r="K57">
        <v>0.75778999999999996</v>
      </c>
      <c r="L57">
        <v>0.71301099999999995</v>
      </c>
      <c r="M57">
        <v>0.70335300000000001</v>
      </c>
      <c r="N57">
        <v>0.71609599999999995</v>
      </c>
      <c r="O57">
        <v>0.70919600000000005</v>
      </c>
      <c r="P57">
        <v>0.70162199999999997</v>
      </c>
      <c r="Q57">
        <v>0.70198499999999997</v>
      </c>
      <c r="R57">
        <v>0.70706999999999998</v>
      </c>
      <c r="S57">
        <v>0.71651200000000004</v>
      </c>
      <c r="T57">
        <v>0.72648199999999996</v>
      </c>
      <c r="U57">
        <v>0.73760999999999999</v>
      </c>
      <c r="V57">
        <v>0.746228</v>
      </c>
      <c r="W57">
        <v>0.752332</v>
      </c>
      <c r="X57">
        <v>0.75695699999999999</v>
      </c>
      <c r="Y57">
        <v>0.76515100000000003</v>
      </c>
      <c r="Z57">
        <v>0.77486100000000002</v>
      </c>
      <c r="AA57">
        <v>0.78181100000000003</v>
      </c>
      <c r="AB57">
        <v>0.79294299999999995</v>
      </c>
      <c r="AC57">
        <v>0.80118500000000004</v>
      </c>
      <c r="AD57">
        <v>0.81029300000000004</v>
      </c>
      <c r="AE57">
        <v>0.81983700000000004</v>
      </c>
      <c r="AF57">
        <v>0.83159899999999998</v>
      </c>
      <c r="AG57" s="22">
        <v>-4.0000000000000001E-3</v>
      </c>
    </row>
    <row r="58" spans="1:33">
      <c r="A58" t="s">
        <v>1106</v>
      </c>
      <c r="B58" t="s">
        <v>3635</v>
      </c>
      <c r="C58" t="s">
        <v>3671</v>
      </c>
      <c r="D58" t="s">
        <v>3669</v>
      </c>
      <c r="F58">
        <v>0.36798999999999998</v>
      </c>
      <c r="G58">
        <v>0.42041099999999998</v>
      </c>
      <c r="H58">
        <v>0.44769300000000001</v>
      </c>
      <c r="I58">
        <v>0.44849299999999998</v>
      </c>
      <c r="J58">
        <v>0.53499699999999994</v>
      </c>
      <c r="K58">
        <v>0.59558800000000001</v>
      </c>
      <c r="L58">
        <v>0.65857699999999997</v>
      </c>
      <c r="M58">
        <v>0.70078799999999997</v>
      </c>
      <c r="N58">
        <v>0.76951800000000004</v>
      </c>
      <c r="O58">
        <v>0.83505300000000005</v>
      </c>
      <c r="P58">
        <v>0.87701099999999999</v>
      </c>
      <c r="Q58">
        <v>0.89379399999999998</v>
      </c>
      <c r="R58">
        <v>0.91217599999999999</v>
      </c>
      <c r="S58">
        <v>0.92736099999999999</v>
      </c>
      <c r="T58">
        <v>0.93575200000000003</v>
      </c>
      <c r="U58">
        <v>0.93575200000000003</v>
      </c>
      <c r="V58">
        <v>0.93735100000000005</v>
      </c>
      <c r="W58">
        <v>0.93575200000000003</v>
      </c>
      <c r="X58">
        <v>0.93574199999999996</v>
      </c>
      <c r="Y58">
        <v>0.93075399999999997</v>
      </c>
      <c r="Z58">
        <v>0.93217099999999997</v>
      </c>
      <c r="AA58">
        <v>0.92952699999999999</v>
      </c>
      <c r="AB58">
        <v>0.93468700000000005</v>
      </c>
      <c r="AC58">
        <v>0.93499699999999997</v>
      </c>
      <c r="AD58">
        <v>0.93623199999999995</v>
      </c>
      <c r="AE58">
        <v>0.93412899999999999</v>
      </c>
      <c r="AF58">
        <v>0.93501800000000002</v>
      </c>
      <c r="AG58" s="22">
        <v>3.6999999999999998E-2</v>
      </c>
    </row>
    <row r="59" spans="1:33">
      <c r="A59" t="s">
        <v>141</v>
      </c>
      <c r="B59" t="s">
        <v>3633</v>
      </c>
      <c r="C59" t="s">
        <v>3670</v>
      </c>
      <c r="D59" t="s">
        <v>3669</v>
      </c>
      <c r="F59">
        <v>29.023834000000001</v>
      </c>
      <c r="G59">
        <v>29.108829</v>
      </c>
      <c r="H59">
        <v>29.092590000000001</v>
      </c>
      <c r="I59">
        <v>28.954325000000001</v>
      </c>
      <c r="J59">
        <v>28.829184000000001</v>
      </c>
      <c r="K59">
        <v>28.671766000000002</v>
      </c>
      <c r="L59">
        <v>28.471896999999998</v>
      </c>
      <c r="M59">
        <v>28.308323000000001</v>
      </c>
      <c r="N59">
        <v>28.159511999999999</v>
      </c>
      <c r="O59">
        <v>28.023869999999999</v>
      </c>
      <c r="P59">
        <v>27.891521000000001</v>
      </c>
      <c r="Q59">
        <v>27.749924</v>
      </c>
      <c r="R59">
        <v>27.603794000000001</v>
      </c>
      <c r="S59">
        <v>27.481891999999998</v>
      </c>
      <c r="T59">
        <v>27.396920999999999</v>
      </c>
      <c r="U59">
        <v>27.298918</v>
      </c>
      <c r="V59">
        <v>27.232672000000001</v>
      </c>
      <c r="W59">
        <v>27.171799</v>
      </c>
      <c r="X59">
        <v>27.104918000000001</v>
      </c>
      <c r="Y59">
        <v>27.072628000000002</v>
      </c>
      <c r="Z59">
        <v>27.025742000000001</v>
      </c>
      <c r="AA59">
        <v>26.999421999999999</v>
      </c>
      <c r="AB59">
        <v>26.969100999999998</v>
      </c>
      <c r="AC59">
        <v>26.995097999999999</v>
      </c>
      <c r="AD59">
        <v>26.992891</v>
      </c>
      <c r="AE59">
        <v>27.013369000000001</v>
      </c>
      <c r="AF59">
        <v>27.068242999999999</v>
      </c>
      <c r="AG59" s="22">
        <v>-3.0000000000000001E-3</v>
      </c>
    </row>
    <row r="60" spans="1:33">
      <c r="A60" t="s">
        <v>3668</v>
      </c>
    </row>
    <row r="61" spans="1:33">
      <c r="A61" t="s">
        <v>160</v>
      </c>
      <c r="B61" t="s">
        <v>3667</v>
      </c>
      <c r="C61" t="s">
        <v>3666</v>
      </c>
      <c r="D61" t="s">
        <v>3631</v>
      </c>
      <c r="F61">
        <v>8.2808890000000002</v>
      </c>
      <c r="G61">
        <v>8.3093610000000009</v>
      </c>
      <c r="H61">
        <v>8.2775669999999995</v>
      </c>
      <c r="I61">
        <v>8.2064699999999995</v>
      </c>
      <c r="J61">
        <v>8.1172900000000006</v>
      </c>
      <c r="K61">
        <v>8.0142310000000005</v>
      </c>
      <c r="L61">
        <v>7.9001390000000002</v>
      </c>
      <c r="M61">
        <v>7.8022710000000002</v>
      </c>
      <c r="N61">
        <v>7.6924460000000003</v>
      </c>
      <c r="O61">
        <v>7.5924829999999996</v>
      </c>
      <c r="P61">
        <v>7.5060650000000004</v>
      </c>
      <c r="Q61">
        <v>7.4175789999999999</v>
      </c>
      <c r="R61">
        <v>7.3148879999999998</v>
      </c>
      <c r="S61">
        <v>7.216888</v>
      </c>
      <c r="T61">
        <v>7.1375099999999998</v>
      </c>
      <c r="U61">
        <v>7.060346</v>
      </c>
      <c r="V61">
        <v>6.996391</v>
      </c>
      <c r="W61">
        <v>6.9408979999999998</v>
      </c>
      <c r="X61">
        <v>6.876627</v>
      </c>
      <c r="Y61">
        <v>6.8351490000000004</v>
      </c>
      <c r="Z61">
        <v>6.7852079999999999</v>
      </c>
      <c r="AA61">
        <v>6.7480399999999996</v>
      </c>
      <c r="AB61">
        <v>6.705527</v>
      </c>
      <c r="AC61">
        <v>6.6790250000000002</v>
      </c>
      <c r="AD61">
        <v>6.6338410000000003</v>
      </c>
      <c r="AE61">
        <v>6.6075730000000004</v>
      </c>
      <c r="AF61">
        <v>6.6020709999999996</v>
      </c>
      <c r="AG61" s="22">
        <v>-8.9999999999999993E-3</v>
      </c>
    </row>
    <row r="62" spans="1:33">
      <c r="A62" t="s">
        <v>164</v>
      </c>
      <c r="B62" t="s">
        <v>3665</v>
      </c>
      <c r="C62" t="s">
        <v>3664</v>
      </c>
      <c r="D62" t="s">
        <v>3631</v>
      </c>
      <c r="F62">
        <v>0.45701599999999998</v>
      </c>
      <c r="G62">
        <v>0.44781300000000002</v>
      </c>
      <c r="H62">
        <v>0.44001899999999999</v>
      </c>
      <c r="I62">
        <v>0.43496899999999999</v>
      </c>
      <c r="J62">
        <v>0.42930299999999999</v>
      </c>
      <c r="K62">
        <v>0.42444999999999999</v>
      </c>
      <c r="L62">
        <v>0.42006100000000002</v>
      </c>
      <c r="M62">
        <v>0.415188</v>
      </c>
      <c r="N62">
        <v>0.41015800000000002</v>
      </c>
      <c r="O62">
        <v>0.40529700000000002</v>
      </c>
      <c r="P62">
        <v>0.40024300000000002</v>
      </c>
      <c r="Q62">
        <v>0.39499000000000001</v>
      </c>
      <c r="R62">
        <v>0.389598</v>
      </c>
      <c r="S62">
        <v>0.38410699999999998</v>
      </c>
      <c r="T62">
        <v>0.37855699999999998</v>
      </c>
      <c r="U62">
        <v>0.37307699999999999</v>
      </c>
      <c r="V62">
        <v>0.36791600000000002</v>
      </c>
      <c r="W62">
        <v>0.36227700000000002</v>
      </c>
      <c r="X62">
        <v>0.35687000000000002</v>
      </c>
      <c r="Y62">
        <v>0.35124300000000003</v>
      </c>
      <c r="Z62">
        <v>0.34584900000000002</v>
      </c>
      <c r="AA62">
        <v>0.34045500000000001</v>
      </c>
      <c r="AB62">
        <v>0.33516899999999999</v>
      </c>
      <c r="AC62">
        <v>0.329957</v>
      </c>
      <c r="AD62">
        <v>0.32472099999999998</v>
      </c>
      <c r="AE62">
        <v>0.319494</v>
      </c>
      <c r="AF62">
        <v>0.31426399999999999</v>
      </c>
      <c r="AG62" s="22">
        <v>-1.4E-2</v>
      </c>
    </row>
    <row r="63" spans="1:33">
      <c r="A63" t="s">
        <v>2171</v>
      </c>
      <c r="B63" t="s">
        <v>3663</v>
      </c>
      <c r="C63" t="s">
        <v>3662</v>
      </c>
      <c r="D63" t="s">
        <v>3631</v>
      </c>
      <c r="F63">
        <v>0.103228</v>
      </c>
      <c r="G63">
        <v>0.10592600000000001</v>
      </c>
      <c r="H63">
        <v>0.107151</v>
      </c>
      <c r="I63">
        <v>0.107583</v>
      </c>
      <c r="J63">
        <v>0.10771799999999999</v>
      </c>
      <c r="K63">
        <v>0.10764799999999999</v>
      </c>
      <c r="L63">
        <v>0.107517</v>
      </c>
      <c r="M63">
        <v>0.10698199999999999</v>
      </c>
      <c r="N63">
        <v>0.106228</v>
      </c>
      <c r="O63">
        <v>0.105447</v>
      </c>
      <c r="P63">
        <v>0.104835</v>
      </c>
      <c r="Q63">
        <v>0.104076</v>
      </c>
      <c r="R63">
        <v>0.103287</v>
      </c>
      <c r="S63">
        <v>0.102533</v>
      </c>
      <c r="T63">
        <v>0.101759</v>
      </c>
      <c r="U63">
        <v>0.10094400000000001</v>
      </c>
      <c r="V63">
        <v>0.10005500000000001</v>
      </c>
      <c r="W63">
        <v>9.9111000000000005E-2</v>
      </c>
      <c r="X63">
        <v>9.8109000000000002E-2</v>
      </c>
      <c r="Y63">
        <v>9.7108E-2</v>
      </c>
      <c r="Z63">
        <v>9.6051999999999998E-2</v>
      </c>
      <c r="AA63">
        <v>9.5036999999999996E-2</v>
      </c>
      <c r="AB63">
        <v>9.3949000000000005E-2</v>
      </c>
      <c r="AC63">
        <v>9.2840000000000006E-2</v>
      </c>
      <c r="AD63">
        <v>9.1764999999999999E-2</v>
      </c>
      <c r="AE63">
        <v>9.0727000000000002E-2</v>
      </c>
      <c r="AF63">
        <v>8.9831999999999995E-2</v>
      </c>
      <c r="AG63" s="22">
        <v>-5.0000000000000001E-3</v>
      </c>
    </row>
    <row r="64" spans="1:33">
      <c r="A64" t="s">
        <v>169</v>
      </c>
      <c r="B64" t="s">
        <v>3661</v>
      </c>
      <c r="C64" t="s">
        <v>3660</v>
      </c>
      <c r="D64" t="s">
        <v>3631</v>
      </c>
      <c r="F64">
        <v>2.8939409999999999</v>
      </c>
      <c r="G64">
        <v>2.9200170000000001</v>
      </c>
      <c r="H64">
        <v>2.9221780000000002</v>
      </c>
      <c r="I64">
        <v>2.9175800000000001</v>
      </c>
      <c r="J64">
        <v>2.9023850000000002</v>
      </c>
      <c r="K64">
        <v>2.8892139999999999</v>
      </c>
      <c r="L64">
        <v>2.8769239999999998</v>
      </c>
      <c r="M64">
        <v>2.8609070000000001</v>
      </c>
      <c r="N64">
        <v>2.8461609999999999</v>
      </c>
      <c r="O64">
        <v>2.8299210000000001</v>
      </c>
      <c r="P64">
        <v>2.817726</v>
      </c>
      <c r="Q64">
        <v>2.8072620000000001</v>
      </c>
      <c r="R64">
        <v>2.8023570000000002</v>
      </c>
      <c r="S64">
        <v>2.8011180000000002</v>
      </c>
      <c r="T64">
        <v>2.8012329999999999</v>
      </c>
      <c r="U64">
        <v>2.7997049999999999</v>
      </c>
      <c r="V64">
        <v>2.800392</v>
      </c>
      <c r="W64">
        <v>2.8007070000000001</v>
      </c>
      <c r="X64">
        <v>2.80227</v>
      </c>
      <c r="Y64">
        <v>2.802311</v>
      </c>
      <c r="Z64">
        <v>2.8020360000000002</v>
      </c>
      <c r="AA64">
        <v>2.8042590000000001</v>
      </c>
      <c r="AB64">
        <v>2.805666</v>
      </c>
      <c r="AC64">
        <v>2.8171620000000002</v>
      </c>
      <c r="AD64">
        <v>2.8287710000000001</v>
      </c>
      <c r="AE64">
        <v>2.8385180000000001</v>
      </c>
      <c r="AF64">
        <v>2.8448889999999998</v>
      </c>
      <c r="AG64" s="22">
        <v>-1E-3</v>
      </c>
    </row>
    <row r="65" spans="1:33">
      <c r="A65" t="s">
        <v>178</v>
      </c>
      <c r="B65" t="s">
        <v>3659</v>
      </c>
      <c r="C65" t="s">
        <v>3658</v>
      </c>
      <c r="D65" t="s">
        <v>3657</v>
      </c>
      <c r="E65" t="s">
        <v>3631</v>
      </c>
      <c r="F65">
        <v>2.0774999999999998E-2</v>
      </c>
      <c r="G65">
        <v>2.2003999999999999E-2</v>
      </c>
      <c r="H65">
        <v>2.2683999999999999E-2</v>
      </c>
      <c r="I65">
        <v>2.3053000000000001E-2</v>
      </c>
      <c r="J65">
        <v>2.3300000000000001E-2</v>
      </c>
      <c r="K65">
        <v>2.3556000000000001E-2</v>
      </c>
      <c r="L65">
        <v>2.3848999999999999E-2</v>
      </c>
      <c r="M65">
        <v>2.4063999999999999E-2</v>
      </c>
      <c r="N65">
        <v>2.4254000000000001E-2</v>
      </c>
      <c r="O65">
        <v>2.4410000000000001E-2</v>
      </c>
      <c r="P65">
        <v>2.4542999999999999E-2</v>
      </c>
      <c r="Q65">
        <v>2.4743000000000001E-2</v>
      </c>
      <c r="R65">
        <v>2.4997999999999999E-2</v>
      </c>
      <c r="S65">
        <v>2.5257999999999999E-2</v>
      </c>
      <c r="T65">
        <v>2.5526E-2</v>
      </c>
      <c r="U65">
        <v>2.5769E-2</v>
      </c>
      <c r="V65">
        <v>2.5992000000000001E-2</v>
      </c>
      <c r="W65">
        <v>2.6190999999999999E-2</v>
      </c>
      <c r="X65">
        <v>2.6377999999999999E-2</v>
      </c>
      <c r="Y65">
        <v>2.6564000000000001E-2</v>
      </c>
      <c r="Z65">
        <v>2.6717999999999999E-2</v>
      </c>
      <c r="AA65">
        <v>2.6884000000000002E-2</v>
      </c>
      <c r="AB65">
        <v>2.7015999999999998E-2</v>
      </c>
      <c r="AC65">
        <v>2.7163E-2</v>
      </c>
      <c r="AD65">
        <v>2.7338999999999999E-2</v>
      </c>
      <c r="AE65">
        <v>2.7515000000000001E-2</v>
      </c>
      <c r="AF65">
        <v>2.7746E-2</v>
      </c>
      <c r="AG65" s="22">
        <v>1.0999999999999999E-2</v>
      </c>
    </row>
    <row r="66" spans="1:33">
      <c r="A66" t="s">
        <v>178</v>
      </c>
      <c r="B66" t="s">
        <v>3656</v>
      </c>
      <c r="C66" t="s">
        <v>3655</v>
      </c>
      <c r="D66" t="s">
        <v>3654</v>
      </c>
      <c r="E66" t="s">
        <v>3631</v>
      </c>
      <c r="F66">
        <v>0.205982</v>
      </c>
      <c r="G66">
        <v>0.21049599999999999</v>
      </c>
      <c r="H66">
        <v>0.205175</v>
      </c>
      <c r="I66">
        <v>0.19812299999999999</v>
      </c>
      <c r="J66">
        <v>0.19797799999999999</v>
      </c>
      <c r="K66">
        <v>0.197273</v>
      </c>
      <c r="L66">
        <v>0.19136500000000001</v>
      </c>
      <c r="M66">
        <v>0.191222</v>
      </c>
      <c r="N66">
        <v>0.18204500000000001</v>
      </c>
      <c r="O66">
        <v>0.18274399999999999</v>
      </c>
      <c r="P66">
        <v>0.180835</v>
      </c>
      <c r="Q66">
        <v>0.18072099999999999</v>
      </c>
      <c r="R66">
        <v>0.18127199999999999</v>
      </c>
      <c r="S66">
        <v>0.182005</v>
      </c>
      <c r="T66">
        <v>0.18429200000000001</v>
      </c>
      <c r="U66">
        <v>0.182949</v>
      </c>
      <c r="V66">
        <v>0.18363699999999999</v>
      </c>
      <c r="W66">
        <v>0.18371299999999999</v>
      </c>
      <c r="X66">
        <v>0.18449199999999999</v>
      </c>
      <c r="Y66">
        <v>0.18537999999999999</v>
      </c>
      <c r="Z66">
        <v>0.18581500000000001</v>
      </c>
      <c r="AA66">
        <v>0.186277</v>
      </c>
      <c r="AB66">
        <v>0.18623899999999999</v>
      </c>
      <c r="AC66">
        <v>0.188059</v>
      </c>
      <c r="AD66">
        <v>0.189528</v>
      </c>
      <c r="AE66">
        <v>0.19072</v>
      </c>
      <c r="AF66">
        <v>0.191137</v>
      </c>
      <c r="AG66" s="22">
        <v>-3.0000000000000001E-3</v>
      </c>
    </row>
    <row r="67" spans="1:33">
      <c r="A67" t="s">
        <v>3650</v>
      </c>
      <c r="B67" t="s">
        <v>3653</v>
      </c>
      <c r="C67" t="s">
        <v>3652</v>
      </c>
      <c r="D67" t="s">
        <v>3651</v>
      </c>
      <c r="E67" t="s">
        <v>3631</v>
      </c>
      <c r="F67">
        <v>4.4743999999999999E-2</v>
      </c>
      <c r="G67">
        <v>4.5169000000000001E-2</v>
      </c>
      <c r="H67">
        <v>4.4804999999999998E-2</v>
      </c>
      <c r="I67">
        <v>4.4438999999999999E-2</v>
      </c>
      <c r="J67">
        <v>4.4117000000000003E-2</v>
      </c>
      <c r="K67">
        <v>4.3755000000000002E-2</v>
      </c>
      <c r="L67">
        <v>4.3351000000000001E-2</v>
      </c>
      <c r="M67">
        <v>4.2908000000000002E-2</v>
      </c>
      <c r="N67">
        <v>4.2397999999999998E-2</v>
      </c>
      <c r="O67">
        <v>4.2042000000000003E-2</v>
      </c>
      <c r="P67">
        <v>4.1724999999999998E-2</v>
      </c>
      <c r="Q67">
        <v>4.1388000000000001E-2</v>
      </c>
      <c r="R67">
        <v>4.104E-2</v>
      </c>
      <c r="S67">
        <v>4.0740999999999999E-2</v>
      </c>
      <c r="T67">
        <v>4.0457E-2</v>
      </c>
      <c r="U67">
        <v>4.0143999999999999E-2</v>
      </c>
      <c r="V67">
        <v>3.9878999999999998E-2</v>
      </c>
      <c r="W67">
        <v>3.9607999999999997E-2</v>
      </c>
      <c r="X67">
        <v>3.9338999999999999E-2</v>
      </c>
      <c r="Y67">
        <v>3.9045999999999997E-2</v>
      </c>
      <c r="Z67">
        <v>3.8725999999999997E-2</v>
      </c>
      <c r="AA67">
        <v>3.8419000000000002E-2</v>
      </c>
      <c r="AB67">
        <v>3.8109999999999998E-2</v>
      </c>
      <c r="AC67">
        <v>3.7907999999999997E-2</v>
      </c>
      <c r="AD67">
        <v>3.7658999999999998E-2</v>
      </c>
      <c r="AE67">
        <v>3.7391000000000001E-2</v>
      </c>
      <c r="AF67">
        <v>3.7111999999999999E-2</v>
      </c>
      <c r="AG67" s="22">
        <v>-7.0000000000000001E-3</v>
      </c>
    </row>
    <row r="68" spans="1:33">
      <c r="A68" t="s">
        <v>3650</v>
      </c>
      <c r="B68" t="s">
        <v>3649</v>
      </c>
      <c r="C68" t="s">
        <v>3648</v>
      </c>
      <c r="D68" t="s">
        <v>3647</v>
      </c>
      <c r="E68" t="s">
        <v>3631</v>
      </c>
      <c r="F68">
        <v>0.33552599999999999</v>
      </c>
      <c r="G68">
        <v>0.32803199999999999</v>
      </c>
      <c r="H68">
        <v>0.33212399999999997</v>
      </c>
      <c r="I68">
        <v>0.338171</v>
      </c>
      <c r="J68">
        <v>0.34316999999999998</v>
      </c>
      <c r="K68">
        <v>0.348464</v>
      </c>
      <c r="L68">
        <v>0.35370600000000002</v>
      </c>
      <c r="M68">
        <v>0.35850500000000002</v>
      </c>
      <c r="N68">
        <v>0.36379800000000001</v>
      </c>
      <c r="O68">
        <v>0.36891600000000002</v>
      </c>
      <c r="P68">
        <v>0.37424099999999999</v>
      </c>
      <c r="Q68">
        <v>0.37837799999999999</v>
      </c>
      <c r="R68">
        <v>0.381832</v>
      </c>
      <c r="S68">
        <v>0.38513900000000001</v>
      </c>
      <c r="T68">
        <v>0.38807799999999998</v>
      </c>
      <c r="U68">
        <v>0.39102700000000001</v>
      </c>
      <c r="V68">
        <v>0.39366099999999998</v>
      </c>
      <c r="W68">
        <v>0.39625199999999999</v>
      </c>
      <c r="X68">
        <v>0.398897</v>
      </c>
      <c r="Y68">
        <v>0.40148099999999998</v>
      </c>
      <c r="Z68">
        <v>0.40397100000000002</v>
      </c>
      <c r="AA68">
        <v>0.40631</v>
      </c>
      <c r="AB68">
        <v>0.40826099999999999</v>
      </c>
      <c r="AC68">
        <v>0.41094900000000001</v>
      </c>
      <c r="AD68">
        <v>0.41413299999999997</v>
      </c>
      <c r="AE68">
        <v>0.41722100000000001</v>
      </c>
      <c r="AF68">
        <v>0.42011900000000002</v>
      </c>
      <c r="AG68" s="22">
        <v>8.9999999999999993E-3</v>
      </c>
    </row>
    <row r="69" spans="1:33">
      <c r="A69" t="s">
        <v>177</v>
      </c>
      <c r="B69" t="s">
        <v>3646</v>
      </c>
      <c r="C69" t="s">
        <v>3645</v>
      </c>
      <c r="D69" t="s">
        <v>3631</v>
      </c>
      <c r="F69">
        <v>0.11264399999999999</v>
      </c>
      <c r="G69">
        <v>0.11182300000000001</v>
      </c>
      <c r="H69">
        <v>0.111419</v>
      </c>
      <c r="I69">
        <v>0.111002</v>
      </c>
      <c r="J69">
        <v>0.110329</v>
      </c>
      <c r="K69">
        <v>0.109779</v>
      </c>
      <c r="L69">
        <v>0.109081</v>
      </c>
      <c r="M69">
        <v>0.10818999999999999</v>
      </c>
      <c r="N69">
        <v>0.107484</v>
      </c>
      <c r="O69">
        <v>0.106848</v>
      </c>
      <c r="P69">
        <v>0.106194</v>
      </c>
      <c r="Q69">
        <v>0.105666</v>
      </c>
      <c r="R69">
        <v>0.105161</v>
      </c>
      <c r="S69">
        <v>0.104739</v>
      </c>
      <c r="T69">
        <v>0.10435</v>
      </c>
      <c r="U69">
        <v>0.103936</v>
      </c>
      <c r="V69">
        <v>0.103532</v>
      </c>
      <c r="W69">
        <v>0.10310999999999999</v>
      </c>
      <c r="X69">
        <v>0.102745</v>
      </c>
      <c r="Y69">
        <v>0.102349</v>
      </c>
      <c r="Z69">
        <v>0.10188</v>
      </c>
      <c r="AA69">
        <v>0.101381</v>
      </c>
      <c r="AB69">
        <v>0.100854</v>
      </c>
      <c r="AC69">
        <v>0.10047399999999999</v>
      </c>
      <c r="AD69">
        <v>0.10012699999999999</v>
      </c>
      <c r="AE69">
        <v>9.9725999999999995E-2</v>
      </c>
      <c r="AF69">
        <v>9.9308999999999995E-2</v>
      </c>
      <c r="AG69" s="22">
        <v>-5.0000000000000001E-3</v>
      </c>
    </row>
    <row r="70" spans="1:33">
      <c r="A70" t="s">
        <v>173</v>
      </c>
      <c r="B70" t="s">
        <v>3644</v>
      </c>
      <c r="C70" t="s">
        <v>3643</v>
      </c>
      <c r="D70" t="s">
        <v>3631</v>
      </c>
      <c r="F70">
        <v>1.5805739999999999</v>
      </c>
      <c r="G70">
        <v>1.577537</v>
      </c>
      <c r="H70">
        <v>1.5904469999999999</v>
      </c>
      <c r="I70">
        <v>1.607424</v>
      </c>
      <c r="J70">
        <v>1.6206590000000001</v>
      </c>
      <c r="K70">
        <v>1.636263</v>
      </c>
      <c r="L70">
        <v>1.649807</v>
      </c>
      <c r="M70">
        <v>1.659173</v>
      </c>
      <c r="N70">
        <v>1.6706049999999999</v>
      </c>
      <c r="O70">
        <v>1.6825429999999999</v>
      </c>
      <c r="P70">
        <v>1.6941139999999999</v>
      </c>
      <c r="Q70">
        <v>1.7089890000000001</v>
      </c>
      <c r="R70">
        <v>1.7251939999999999</v>
      </c>
      <c r="S70">
        <v>1.7443310000000001</v>
      </c>
      <c r="T70">
        <v>1.7648520000000001</v>
      </c>
      <c r="U70">
        <v>1.785884</v>
      </c>
      <c r="V70">
        <v>1.8065709999999999</v>
      </c>
      <c r="W70">
        <v>1.8261400000000001</v>
      </c>
      <c r="X70">
        <v>1.8480030000000001</v>
      </c>
      <c r="Y70">
        <v>1.8684400000000001</v>
      </c>
      <c r="Z70">
        <v>1.886417</v>
      </c>
      <c r="AA70">
        <v>1.9036839999999999</v>
      </c>
      <c r="AB70">
        <v>1.9197839999999999</v>
      </c>
      <c r="AC70">
        <v>1.9395519999999999</v>
      </c>
      <c r="AD70">
        <v>1.960815</v>
      </c>
      <c r="AE70">
        <v>1.9798480000000001</v>
      </c>
      <c r="AF70">
        <v>1.9986919999999999</v>
      </c>
      <c r="AG70" s="22">
        <v>8.9999999999999993E-3</v>
      </c>
    </row>
    <row r="71" spans="1:33">
      <c r="A71" t="s">
        <v>183</v>
      </c>
      <c r="B71" t="s">
        <v>3642</v>
      </c>
      <c r="C71" t="s">
        <v>3641</v>
      </c>
      <c r="D71" t="s">
        <v>3631</v>
      </c>
      <c r="F71">
        <v>0.21395900000000001</v>
      </c>
      <c r="G71">
        <v>0.216389</v>
      </c>
      <c r="H71">
        <v>0.217888</v>
      </c>
      <c r="I71">
        <v>0.218809</v>
      </c>
      <c r="J71">
        <v>0.21922900000000001</v>
      </c>
      <c r="K71">
        <v>0.21914800000000001</v>
      </c>
      <c r="L71">
        <v>0.21904499999999999</v>
      </c>
      <c r="M71">
        <v>0.21926699999999999</v>
      </c>
      <c r="N71">
        <v>0.219448</v>
      </c>
      <c r="O71">
        <v>0.219636</v>
      </c>
      <c r="P71">
        <v>0.21979199999999999</v>
      </c>
      <c r="Q71">
        <v>0.219913</v>
      </c>
      <c r="R71">
        <v>0.22012899999999999</v>
      </c>
      <c r="S71">
        <v>0.220413</v>
      </c>
      <c r="T71">
        <v>0.22068499999999999</v>
      </c>
      <c r="U71">
        <v>0.22095100000000001</v>
      </c>
      <c r="V71">
        <v>0.22120999999999999</v>
      </c>
      <c r="W71">
        <v>0.22146099999999999</v>
      </c>
      <c r="X71">
        <v>0.22170899999999999</v>
      </c>
      <c r="Y71">
        <v>0.22195400000000001</v>
      </c>
      <c r="Z71">
        <v>0.22219700000000001</v>
      </c>
      <c r="AA71">
        <v>0.22243599999999999</v>
      </c>
      <c r="AB71">
        <v>0.22267600000000001</v>
      </c>
      <c r="AC71">
        <v>0.222916</v>
      </c>
      <c r="AD71">
        <v>0.22315299999999999</v>
      </c>
      <c r="AE71">
        <v>0.22339100000000001</v>
      </c>
      <c r="AF71">
        <v>0.22363</v>
      </c>
      <c r="AG71" s="22">
        <v>2E-3</v>
      </c>
    </row>
    <row r="72" spans="1:33">
      <c r="A72" t="s">
        <v>181</v>
      </c>
      <c r="B72" t="s">
        <v>3640</v>
      </c>
      <c r="C72" t="s">
        <v>3639</v>
      </c>
      <c r="D72" t="s">
        <v>3631</v>
      </c>
      <c r="F72">
        <v>6.3423999999999994E-2</v>
      </c>
      <c r="G72">
        <v>6.3611000000000001E-2</v>
      </c>
      <c r="H72">
        <v>6.3912999999999998E-2</v>
      </c>
      <c r="I72">
        <v>6.4130999999999994E-2</v>
      </c>
      <c r="J72">
        <v>6.4227999999999993E-2</v>
      </c>
      <c r="K72">
        <v>6.4282000000000006E-2</v>
      </c>
      <c r="L72">
        <v>6.4302999999999999E-2</v>
      </c>
      <c r="M72">
        <v>6.4268000000000006E-2</v>
      </c>
      <c r="N72">
        <v>6.4222000000000001E-2</v>
      </c>
      <c r="O72">
        <v>6.4199000000000006E-2</v>
      </c>
      <c r="P72">
        <v>6.4190999999999998E-2</v>
      </c>
      <c r="Q72">
        <v>6.4176999999999998E-2</v>
      </c>
      <c r="R72">
        <v>6.4157000000000006E-2</v>
      </c>
      <c r="S72">
        <v>6.4135999999999999E-2</v>
      </c>
      <c r="T72">
        <v>6.4127000000000003E-2</v>
      </c>
      <c r="U72">
        <v>6.4130000000000006E-2</v>
      </c>
      <c r="V72">
        <v>6.4131999999999995E-2</v>
      </c>
      <c r="W72">
        <v>6.4120999999999997E-2</v>
      </c>
      <c r="X72">
        <v>6.4100000000000004E-2</v>
      </c>
      <c r="Y72">
        <v>6.4069000000000001E-2</v>
      </c>
      <c r="Z72">
        <v>6.4036999999999997E-2</v>
      </c>
      <c r="AA72">
        <v>6.4005999999999993E-2</v>
      </c>
      <c r="AB72">
        <v>6.3966999999999996E-2</v>
      </c>
      <c r="AC72">
        <v>6.3922000000000007E-2</v>
      </c>
      <c r="AD72">
        <v>6.3862000000000002E-2</v>
      </c>
      <c r="AE72">
        <v>6.3796000000000005E-2</v>
      </c>
      <c r="AF72">
        <v>6.3730999999999996E-2</v>
      </c>
      <c r="AG72" s="22">
        <v>0</v>
      </c>
    </row>
    <row r="73" spans="1:33">
      <c r="A73" t="s">
        <v>3638</v>
      </c>
      <c r="B73" t="s">
        <v>3637</v>
      </c>
      <c r="C73" t="s">
        <v>3636</v>
      </c>
      <c r="D73" t="s">
        <v>3631</v>
      </c>
      <c r="F73">
        <v>0.43654100000000001</v>
      </c>
      <c r="G73">
        <v>0.41105799999999998</v>
      </c>
      <c r="H73">
        <v>0.40792200000000001</v>
      </c>
      <c r="I73">
        <v>0.39471400000000001</v>
      </c>
      <c r="J73">
        <v>0.37390899999999999</v>
      </c>
      <c r="K73">
        <v>0.35795500000000002</v>
      </c>
      <c r="L73">
        <v>0.33680300000000002</v>
      </c>
      <c r="M73">
        <v>0.33223999999999998</v>
      </c>
      <c r="N73">
        <v>0.33826000000000001</v>
      </c>
      <c r="O73">
        <v>0.33500099999999999</v>
      </c>
      <c r="P73">
        <v>0.33142300000000002</v>
      </c>
      <c r="Q73">
        <v>0.331594</v>
      </c>
      <c r="R73">
        <v>0.33399600000000002</v>
      </c>
      <c r="S73">
        <v>0.33845599999999998</v>
      </c>
      <c r="T73">
        <v>0.34316600000000003</v>
      </c>
      <c r="U73">
        <v>0.34842200000000001</v>
      </c>
      <c r="V73">
        <v>0.352493</v>
      </c>
      <c r="W73">
        <v>0.35537600000000003</v>
      </c>
      <c r="X73">
        <v>0.35756100000000002</v>
      </c>
      <c r="Y73">
        <v>0.36143199999999998</v>
      </c>
      <c r="Z73">
        <v>0.36601800000000001</v>
      </c>
      <c r="AA73">
        <v>0.36930099999999999</v>
      </c>
      <c r="AB73">
        <v>0.37456</v>
      </c>
      <c r="AC73">
        <v>0.37845299999999998</v>
      </c>
      <c r="AD73">
        <v>0.38275500000000001</v>
      </c>
      <c r="AE73">
        <v>0.38726300000000002</v>
      </c>
      <c r="AF73">
        <v>0.39282</v>
      </c>
      <c r="AG73" s="22">
        <v>-4.0000000000000001E-3</v>
      </c>
    </row>
    <row r="74" spans="1:33">
      <c r="A74" t="s">
        <v>1106</v>
      </c>
      <c r="B74" t="s">
        <v>3635</v>
      </c>
      <c r="C74" t="s">
        <v>3634</v>
      </c>
      <c r="D74" t="s">
        <v>3631</v>
      </c>
      <c r="F74">
        <v>0.17382600000000001</v>
      </c>
      <c r="G74">
        <v>0.19858799999999999</v>
      </c>
      <c r="H74">
        <v>0.211475</v>
      </c>
      <c r="I74">
        <v>0.21185300000000001</v>
      </c>
      <c r="J74">
        <v>0.25271500000000002</v>
      </c>
      <c r="K74">
        <v>0.28133599999999997</v>
      </c>
      <c r="L74">
        <v>0.31108999999999998</v>
      </c>
      <c r="M74">
        <v>0.33102900000000002</v>
      </c>
      <c r="N74">
        <v>0.36349500000000001</v>
      </c>
      <c r="O74">
        <v>0.394451</v>
      </c>
      <c r="P74">
        <v>0.414271</v>
      </c>
      <c r="Q74">
        <v>0.42219899999999999</v>
      </c>
      <c r="R74">
        <v>0.43088100000000001</v>
      </c>
      <c r="S74">
        <v>0.438054</v>
      </c>
      <c r="T74">
        <v>0.44201800000000002</v>
      </c>
      <c r="U74">
        <v>0.44201800000000002</v>
      </c>
      <c r="V74">
        <v>0.44277300000000003</v>
      </c>
      <c r="W74">
        <v>0.44201800000000002</v>
      </c>
      <c r="X74">
        <v>0.44201299999999999</v>
      </c>
      <c r="Y74">
        <v>0.43965700000000002</v>
      </c>
      <c r="Z74">
        <v>0.440326</v>
      </c>
      <c r="AA74">
        <v>0.43907800000000002</v>
      </c>
      <c r="AB74">
        <v>0.44151499999999999</v>
      </c>
      <c r="AC74">
        <v>0.44166100000000003</v>
      </c>
      <c r="AD74">
        <v>0.442245</v>
      </c>
      <c r="AE74">
        <v>0.441251</v>
      </c>
      <c r="AF74">
        <v>0.44167099999999998</v>
      </c>
      <c r="AG74" s="22">
        <v>3.6999999999999998E-2</v>
      </c>
    </row>
    <row r="75" spans="1:33">
      <c r="A75" t="s">
        <v>141</v>
      </c>
      <c r="B75" t="s">
        <v>3633</v>
      </c>
      <c r="C75" t="s">
        <v>3632</v>
      </c>
      <c r="D75" t="s">
        <v>3631</v>
      </c>
      <c r="F75">
        <v>14.923069</v>
      </c>
      <c r="G75">
        <v>14.967827</v>
      </c>
      <c r="H75">
        <v>14.954769000000001</v>
      </c>
      <c r="I75">
        <v>14.878322000000001</v>
      </c>
      <c r="J75">
        <v>14.806329</v>
      </c>
      <c r="K75">
        <v>14.717354</v>
      </c>
      <c r="L75">
        <v>14.60704</v>
      </c>
      <c r="M75">
        <v>14.516214</v>
      </c>
      <c r="N75">
        <v>14.431001</v>
      </c>
      <c r="O75">
        <v>14.353937999999999</v>
      </c>
      <c r="P75">
        <v>14.280196999999999</v>
      </c>
      <c r="Q75">
        <v>14.201674000000001</v>
      </c>
      <c r="R75">
        <v>14.118790000000001</v>
      </c>
      <c r="S75">
        <v>14.047919</v>
      </c>
      <c r="T75">
        <v>13.996613</v>
      </c>
      <c r="U75">
        <v>13.939302</v>
      </c>
      <c r="V75">
        <v>13.898635000000001</v>
      </c>
      <c r="W75">
        <v>13.860984999999999</v>
      </c>
      <c r="X75">
        <v>13.819115</v>
      </c>
      <c r="Y75">
        <v>13.79618</v>
      </c>
      <c r="Z75">
        <v>13.765250999999999</v>
      </c>
      <c r="AA75">
        <v>13.745568</v>
      </c>
      <c r="AB75">
        <v>13.723292000000001</v>
      </c>
      <c r="AC75">
        <v>13.730040000000001</v>
      </c>
      <c r="AD75">
        <v>13.720713</v>
      </c>
      <c r="AE75">
        <v>13.724432999999999</v>
      </c>
      <c r="AF75">
        <v>13.747025000000001</v>
      </c>
      <c r="AG75" s="22">
        <v>-3.0000000000000001E-3</v>
      </c>
    </row>
    <row r="76" spans="1:33">
      <c r="A76" t="s">
        <v>3630</v>
      </c>
    </row>
    <row r="77" spans="1:33">
      <c r="A77" t="s">
        <v>160</v>
      </c>
    </row>
    <row r="78" spans="1:33">
      <c r="A78" t="s">
        <v>3629</v>
      </c>
      <c r="B78" t="s">
        <v>3628</v>
      </c>
      <c r="C78" t="s">
        <v>3624</v>
      </c>
      <c r="D78" t="s">
        <v>3623</v>
      </c>
      <c r="F78">
        <v>196.04522700000001</v>
      </c>
      <c r="G78">
        <v>171.409897</v>
      </c>
      <c r="H78">
        <v>162.355515</v>
      </c>
      <c r="I78">
        <v>154.321045</v>
      </c>
      <c r="J78">
        <v>148.64556899999999</v>
      </c>
      <c r="K78">
        <v>144.482483</v>
      </c>
      <c r="L78">
        <v>141.272278</v>
      </c>
      <c r="M78">
        <v>138.77520799999999</v>
      </c>
      <c r="N78">
        <v>136.615768</v>
      </c>
      <c r="O78">
        <v>134.627396</v>
      </c>
      <c r="P78">
        <v>133.028458</v>
      </c>
      <c r="Q78">
        <v>131.523697</v>
      </c>
      <c r="R78">
        <v>130.10266100000001</v>
      </c>
      <c r="S78">
        <v>128.795334</v>
      </c>
      <c r="T78">
        <v>127.58626599999999</v>
      </c>
      <c r="U78">
        <v>126.458855</v>
      </c>
      <c r="V78">
        <v>125.39215900000001</v>
      </c>
      <c r="W78">
        <v>124.39598100000001</v>
      </c>
      <c r="X78">
        <v>123.470978</v>
      </c>
      <c r="Y78">
        <v>122.61042</v>
      </c>
      <c r="Z78">
        <v>121.805725</v>
      </c>
      <c r="AA78">
        <v>121.053917</v>
      </c>
      <c r="AB78">
        <v>120.34687</v>
      </c>
      <c r="AC78">
        <v>119.68440200000001</v>
      </c>
      <c r="AD78">
        <v>119.062546</v>
      </c>
      <c r="AE78">
        <v>118.478157</v>
      </c>
      <c r="AF78">
        <v>117.926872</v>
      </c>
      <c r="AG78" s="22">
        <v>-1.9E-2</v>
      </c>
    </row>
    <row r="79" spans="1:33">
      <c r="A79" t="s">
        <v>3627</v>
      </c>
      <c r="B79" t="s">
        <v>3626</v>
      </c>
      <c r="C79" t="s">
        <v>3624</v>
      </c>
      <c r="D79" t="s">
        <v>3623</v>
      </c>
      <c r="F79">
        <v>570.03552200000001</v>
      </c>
      <c r="G79">
        <v>489.47833300000002</v>
      </c>
      <c r="H79">
        <v>459.87057499999997</v>
      </c>
      <c r="I79">
        <v>433.59802200000001</v>
      </c>
      <c r="J79">
        <v>415.03927599999997</v>
      </c>
      <c r="K79">
        <v>401.425995</v>
      </c>
      <c r="L79">
        <v>390.92867999999999</v>
      </c>
      <c r="M79">
        <v>382.763306</v>
      </c>
      <c r="N79">
        <v>375.70193499999999</v>
      </c>
      <c r="O79">
        <v>369.19998199999998</v>
      </c>
      <c r="P79">
        <v>363.971497</v>
      </c>
      <c r="Q79">
        <v>359.05090300000001</v>
      </c>
      <c r="R79">
        <v>354.40417500000001</v>
      </c>
      <c r="S79">
        <v>350.12924199999998</v>
      </c>
      <c r="T79">
        <v>346.17562900000001</v>
      </c>
      <c r="U79">
        <v>342.48895299999998</v>
      </c>
      <c r="V79">
        <v>339.00088499999998</v>
      </c>
      <c r="W79">
        <v>335.74340799999999</v>
      </c>
      <c r="X79">
        <v>332.718658</v>
      </c>
      <c r="Y79">
        <v>329.90460200000001</v>
      </c>
      <c r="Z79">
        <v>327.27328499999999</v>
      </c>
      <c r="AA79">
        <v>324.81484999999998</v>
      </c>
      <c r="AB79">
        <v>322.502838</v>
      </c>
      <c r="AC79">
        <v>320.33651700000001</v>
      </c>
      <c r="AD79">
        <v>318.30306999999999</v>
      </c>
      <c r="AE79">
        <v>316.39218099999999</v>
      </c>
      <c r="AF79">
        <v>314.58950800000002</v>
      </c>
      <c r="AG79" s="22">
        <v>-2.3E-2</v>
      </c>
    </row>
    <row r="80" spans="1:33">
      <c r="A80" t="s">
        <v>3614</v>
      </c>
      <c r="B80" t="s">
        <v>3625</v>
      </c>
      <c r="C80" t="s">
        <v>3624</v>
      </c>
      <c r="D80" t="s">
        <v>3623</v>
      </c>
      <c r="F80">
        <v>570.03552200000001</v>
      </c>
      <c r="G80">
        <v>489.47833300000002</v>
      </c>
      <c r="H80">
        <v>459.87057499999997</v>
      </c>
      <c r="I80">
        <v>433.59802200000001</v>
      </c>
      <c r="J80">
        <v>415.03927599999997</v>
      </c>
      <c r="K80">
        <v>401.425995</v>
      </c>
      <c r="L80">
        <v>390.92867999999999</v>
      </c>
      <c r="M80">
        <v>382.763306</v>
      </c>
      <c r="N80">
        <v>375.70193499999999</v>
      </c>
      <c r="O80">
        <v>369.19998199999998</v>
      </c>
      <c r="P80">
        <v>363.971497</v>
      </c>
      <c r="Q80">
        <v>359.05090300000001</v>
      </c>
      <c r="R80">
        <v>354.40417500000001</v>
      </c>
      <c r="S80">
        <v>350.12924199999998</v>
      </c>
      <c r="T80">
        <v>346.17562900000001</v>
      </c>
      <c r="U80">
        <v>342.48895299999998</v>
      </c>
      <c r="V80">
        <v>339.00088499999998</v>
      </c>
      <c r="W80">
        <v>335.74340799999999</v>
      </c>
      <c r="X80">
        <v>332.718658</v>
      </c>
      <c r="Y80">
        <v>329.90460200000001</v>
      </c>
      <c r="Z80">
        <v>327.27328499999999</v>
      </c>
      <c r="AA80">
        <v>324.81484999999998</v>
      </c>
      <c r="AB80">
        <v>322.502838</v>
      </c>
      <c r="AC80">
        <v>320.33651700000001</v>
      </c>
      <c r="AD80">
        <v>318.30306999999999</v>
      </c>
      <c r="AE80">
        <v>316.39218099999999</v>
      </c>
      <c r="AF80">
        <v>314.58950800000002</v>
      </c>
      <c r="AG80" s="22">
        <v>-2.3E-2</v>
      </c>
    </row>
    <row r="81" spans="1:33">
      <c r="A81" t="s">
        <v>169</v>
      </c>
    </row>
    <row r="82" spans="1:33">
      <c r="A82" t="s">
        <v>3622</v>
      </c>
      <c r="B82" t="s">
        <v>3621</v>
      </c>
      <c r="C82" t="s">
        <v>3612</v>
      </c>
      <c r="D82" t="s">
        <v>3611</v>
      </c>
      <c r="F82">
        <v>336.87881499999997</v>
      </c>
      <c r="G82">
        <v>307.29882800000001</v>
      </c>
      <c r="H82">
        <v>288.80246</v>
      </c>
      <c r="I82">
        <v>271.07699600000001</v>
      </c>
      <c r="J82">
        <v>255.568634</v>
      </c>
      <c r="K82">
        <v>244.600708</v>
      </c>
      <c r="L82">
        <v>236.54896500000001</v>
      </c>
      <c r="M82">
        <v>230.33711199999999</v>
      </c>
      <c r="N82">
        <v>225.49472</v>
      </c>
      <c r="O82">
        <v>221.30664100000001</v>
      </c>
      <c r="P82">
        <v>217.45829800000001</v>
      </c>
      <c r="Q82">
        <v>214.35638399999999</v>
      </c>
      <c r="R82">
        <v>211.433594</v>
      </c>
      <c r="S82">
        <v>208.67517100000001</v>
      </c>
      <c r="T82">
        <v>206.139725</v>
      </c>
      <c r="U82">
        <v>203.79489100000001</v>
      </c>
      <c r="V82">
        <v>201.60882599999999</v>
      </c>
      <c r="W82">
        <v>199.54255699999999</v>
      </c>
      <c r="X82">
        <v>197.61050399999999</v>
      </c>
      <c r="Y82">
        <v>195.81800799999999</v>
      </c>
      <c r="Z82">
        <v>194.15103099999999</v>
      </c>
      <c r="AA82">
        <v>192.59423799999999</v>
      </c>
      <c r="AB82">
        <v>191.14033499999999</v>
      </c>
      <c r="AC82">
        <v>189.77330000000001</v>
      </c>
      <c r="AD82">
        <v>188.49174500000001</v>
      </c>
      <c r="AE82">
        <v>187.289368</v>
      </c>
      <c r="AF82">
        <v>186.15943899999999</v>
      </c>
      <c r="AG82" s="22">
        <v>-2.3E-2</v>
      </c>
    </row>
    <row r="83" spans="1:33">
      <c r="A83" t="s">
        <v>3620</v>
      </c>
      <c r="B83" t="s">
        <v>3619</v>
      </c>
      <c r="C83" t="s">
        <v>3612</v>
      </c>
      <c r="D83" t="s">
        <v>3611</v>
      </c>
      <c r="F83">
        <v>483.723389</v>
      </c>
      <c r="G83">
        <v>441.24963400000001</v>
      </c>
      <c r="H83">
        <v>414.69073500000002</v>
      </c>
      <c r="I83">
        <v>389.23873900000001</v>
      </c>
      <c r="J83">
        <v>366.97033699999997</v>
      </c>
      <c r="K83">
        <v>351.22152699999998</v>
      </c>
      <c r="L83">
        <v>339.66006499999997</v>
      </c>
      <c r="M83">
        <v>330.74047899999999</v>
      </c>
      <c r="N83">
        <v>323.78732300000001</v>
      </c>
      <c r="O83">
        <v>317.77362099999999</v>
      </c>
      <c r="P83">
        <v>312.247772</v>
      </c>
      <c r="Q83">
        <v>307.79376200000002</v>
      </c>
      <c r="R83">
        <v>303.596924</v>
      </c>
      <c r="S83">
        <v>299.63619999999997</v>
      </c>
      <c r="T83">
        <v>295.99548299999998</v>
      </c>
      <c r="U83">
        <v>292.62853999999999</v>
      </c>
      <c r="V83">
        <v>289.489532</v>
      </c>
      <c r="W83">
        <v>286.52267499999999</v>
      </c>
      <c r="X83">
        <v>283.74841300000003</v>
      </c>
      <c r="Y83">
        <v>281.17456099999998</v>
      </c>
      <c r="Z83">
        <v>278.78097500000001</v>
      </c>
      <c r="AA83">
        <v>276.545593</v>
      </c>
      <c r="AB83">
        <v>274.45788599999997</v>
      </c>
      <c r="AC83">
        <v>272.49499500000002</v>
      </c>
      <c r="AD83">
        <v>270.65481599999998</v>
      </c>
      <c r="AE83">
        <v>268.92828400000002</v>
      </c>
      <c r="AF83">
        <v>267.30587800000001</v>
      </c>
      <c r="AG83" s="22">
        <v>-2.3E-2</v>
      </c>
    </row>
    <row r="84" spans="1:33">
      <c r="A84" t="s">
        <v>3618</v>
      </c>
      <c r="B84" t="s">
        <v>3617</v>
      </c>
      <c r="C84" t="s">
        <v>3612</v>
      </c>
      <c r="D84" t="s">
        <v>3611</v>
      </c>
      <c r="F84">
        <v>362.79254200000003</v>
      </c>
      <c r="G84">
        <v>330.93722500000001</v>
      </c>
      <c r="H84">
        <v>311.01800500000002</v>
      </c>
      <c r="I84">
        <v>291.92904700000003</v>
      </c>
      <c r="J84">
        <v>275.22778299999999</v>
      </c>
      <c r="K84">
        <v>263.41613799999999</v>
      </c>
      <c r="L84">
        <v>254.74504099999999</v>
      </c>
      <c r="M84">
        <v>248.05534399999999</v>
      </c>
      <c r="N84">
        <v>242.840485</v>
      </c>
      <c r="O84">
        <v>238.33019999999999</v>
      </c>
      <c r="P84">
        <v>234.18585200000001</v>
      </c>
      <c r="Q84">
        <v>230.84532200000001</v>
      </c>
      <c r="R84">
        <v>227.69770800000001</v>
      </c>
      <c r="S84">
        <v>224.727127</v>
      </c>
      <c r="T84">
        <v>221.99662799999999</v>
      </c>
      <c r="U84">
        <v>219.47141999999999</v>
      </c>
      <c r="V84">
        <v>217.11720299999999</v>
      </c>
      <c r="W84">
        <v>214.891998</v>
      </c>
      <c r="X84">
        <v>212.81132500000001</v>
      </c>
      <c r="Y84">
        <v>210.88093599999999</v>
      </c>
      <c r="Z84">
        <v>209.08573899999999</v>
      </c>
      <c r="AA84">
        <v>207.40919500000001</v>
      </c>
      <c r="AB84">
        <v>205.84343000000001</v>
      </c>
      <c r="AC84">
        <v>204.37124600000001</v>
      </c>
      <c r="AD84">
        <v>202.99110400000001</v>
      </c>
      <c r="AE84">
        <v>201.69624300000001</v>
      </c>
      <c r="AF84">
        <v>200.479401</v>
      </c>
      <c r="AG84" s="22">
        <v>-2.3E-2</v>
      </c>
    </row>
    <row r="85" spans="1:33">
      <c r="A85" t="s">
        <v>3616</v>
      </c>
      <c r="B85" t="s">
        <v>3615</v>
      </c>
      <c r="C85" t="s">
        <v>3612</v>
      </c>
      <c r="D85" t="s">
        <v>3611</v>
      </c>
      <c r="F85">
        <v>238.97354100000001</v>
      </c>
      <c r="G85">
        <v>217.99026499999999</v>
      </c>
      <c r="H85">
        <v>204.86937</v>
      </c>
      <c r="I85">
        <v>192.29534899999999</v>
      </c>
      <c r="J85">
        <v>181.29411300000001</v>
      </c>
      <c r="K85">
        <v>173.51374799999999</v>
      </c>
      <c r="L85">
        <v>167.802032</v>
      </c>
      <c r="M85">
        <v>163.39550800000001</v>
      </c>
      <c r="N85">
        <v>159.960419</v>
      </c>
      <c r="O85">
        <v>156.989487</v>
      </c>
      <c r="P85">
        <v>154.259567</v>
      </c>
      <c r="Q85">
        <v>152.05914300000001</v>
      </c>
      <c r="R85">
        <v>149.98577900000001</v>
      </c>
      <c r="S85">
        <v>148.029068</v>
      </c>
      <c r="T85">
        <v>146.23045300000001</v>
      </c>
      <c r="U85">
        <v>144.56707800000001</v>
      </c>
      <c r="V85">
        <v>143.01632699999999</v>
      </c>
      <c r="W85">
        <v>141.55059800000001</v>
      </c>
      <c r="X85">
        <v>140.180069</v>
      </c>
      <c r="Y85">
        <v>138.908478</v>
      </c>
      <c r="Z85">
        <v>137.72598300000001</v>
      </c>
      <c r="AA85">
        <v>136.62162799999999</v>
      </c>
      <c r="AB85">
        <v>135.590271</v>
      </c>
      <c r="AC85">
        <v>134.620529</v>
      </c>
      <c r="AD85">
        <v>133.71142599999999</v>
      </c>
      <c r="AE85">
        <v>132.85845900000001</v>
      </c>
      <c r="AF85">
        <v>132.05694600000001</v>
      </c>
      <c r="AG85" s="22">
        <v>-2.3E-2</v>
      </c>
    </row>
    <row r="86" spans="1:33">
      <c r="A86" t="s">
        <v>3614</v>
      </c>
      <c r="B86" t="s">
        <v>3613</v>
      </c>
      <c r="C86" t="s">
        <v>3612</v>
      </c>
      <c r="D86" t="s">
        <v>3611</v>
      </c>
      <c r="F86">
        <v>993.36047399999995</v>
      </c>
      <c r="G86">
        <v>906.13757299999997</v>
      </c>
      <c r="H86">
        <v>851.59698500000002</v>
      </c>
      <c r="I86">
        <v>799.32952899999998</v>
      </c>
      <c r="J86">
        <v>753.59985400000005</v>
      </c>
      <c r="K86">
        <v>721.25848399999995</v>
      </c>
      <c r="L86">
        <v>697.51623500000005</v>
      </c>
      <c r="M86">
        <v>679.19909700000005</v>
      </c>
      <c r="N86">
        <v>664.92034899999999</v>
      </c>
      <c r="O86">
        <v>652.57074</v>
      </c>
      <c r="P86">
        <v>641.22314500000005</v>
      </c>
      <c r="Q86">
        <v>632.07647699999995</v>
      </c>
      <c r="R86">
        <v>623.45794699999999</v>
      </c>
      <c r="S86">
        <v>615.32428000000004</v>
      </c>
      <c r="T86">
        <v>607.84789999999998</v>
      </c>
      <c r="U86">
        <v>600.93365500000004</v>
      </c>
      <c r="V86">
        <v>594.48748799999998</v>
      </c>
      <c r="W86">
        <v>588.39471400000002</v>
      </c>
      <c r="X86">
        <v>582.69769299999996</v>
      </c>
      <c r="Y86">
        <v>577.41204800000003</v>
      </c>
      <c r="Z86">
        <v>572.49664299999995</v>
      </c>
      <c r="AA86">
        <v>567.90606700000001</v>
      </c>
      <c r="AB86">
        <v>563.61889599999995</v>
      </c>
      <c r="AC86">
        <v>559.58795199999997</v>
      </c>
      <c r="AD86">
        <v>555.80895999999996</v>
      </c>
      <c r="AE86">
        <v>552.26348900000005</v>
      </c>
      <c r="AF86">
        <v>548.93164100000001</v>
      </c>
      <c r="AG86" s="22">
        <v>-2.3E-2</v>
      </c>
    </row>
    <row r="87" spans="1:33">
      <c r="A87" t="s">
        <v>3610</v>
      </c>
    </row>
    <row r="88" spans="1:33">
      <c r="A88" t="s">
        <v>3609</v>
      </c>
      <c r="B88" t="s">
        <v>3608</v>
      </c>
      <c r="C88" t="s">
        <v>3607</v>
      </c>
      <c r="D88" t="s">
        <v>3583</v>
      </c>
      <c r="F88">
        <v>14.660724999999999</v>
      </c>
      <c r="G88">
        <v>14.47932</v>
      </c>
      <c r="H88">
        <v>13.539622</v>
      </c>
      <c r="I88">
        <v>12.501745</v>
      </c>
      <c r="J88">
        <v>12.459519999999999</v>
      </c>
      <c r="K88">
        <v>12.533541</v>
      </c>
      <c r="L88">
        <v>12.655854</v>
      </c>
      <c r="M88">
        <v>12.79153</v>
      </c>
      <c r="N88">
        <v>12.88917</v>
      </c>
      <c r="O88">
        <v>13.116578000000001</v>
      </c>
      <c r="P88">
        <v>13.132267000000001</v>
      </c>
      <c r="Q88">
        <v>13.026171</v>
      </c>
      <c r="R88">
        <v>13.029432</v>
      </c>
      <c r="S88">
        <v>13.024822</v>
      </c>
      <c r="T88">
        <v>13.013798</v>
      </c>
      <c r="U88">
        <v>12.905737</v>
      </c>
      <c r="V88">
        <v>12.819233000000001</v>
      </c>
      <c r="W88">
        <v>12.860766999999999</v>
      </c>
      <c r="X88">
        <v>12.948478</v>
      </c>
      <c r="Y88">
        <v>13.121888999999999</v>
      </c>
      <c r="Z88">
        <v>13.205757999999999</v>
      </c>
      <c r="AA88">
        <v>13.272812999999999</v>
      </c>
      <c r="AB88">
        <v>13.279309</v>
      </c>
      <c r="AC88">
        <v>13.341877999999999</v>
      </c>
      <c r="AD88">
        <v>13.308396999999999</v>
      </c>
      <c r="AE88">
        <v>13.322649999999999</v>
      </c>
      <c r="AF88">
        <v>13.292918999999999</v>
      </c>
      <c r="AG88" s="22">
        <v>-4.0000000000000001E-3</v>
      </c>
    </row>
    <row r="89" spans="1:33">
      <c r="A89" t="s">
        <v>160</v>
      </c>
      <c r="B89" t="s">
        <v>3606</v>
      </c>
      <c r="C89" t="s">
        <v>3599</v>
      </c>
      <c r="D89" t="s">
        <v>3583</v>
      </c>
      <c r="F89">
        <v>21.406419</v>
      </c>
      <c r="G89">
        <v>20.894677000000001</v>
      </c>
      <c r="H89">
        <v>18.821584999999999</v>
      </c>
      <c r="I89">
        <v>17.486322000000001</v>
      </c>
      <c r="J89">
        <v>17.284580999999999</v>
      </c>
      <c r="K89">
        <v>17.332429000000001</v>
      </c>
      <c r="L89">
        <v>17.445575000000002</v>
      </c>
      <c r="M89">
        <v>17.659478</v>
      </c>
      <c r="N89">
        <v>17.786636999999999</v>
      </c>
      <c r="O89">
        <v>18.025981000000002</v>
      </c>
      <c r="P89">
        <v>18.087261000000002</v>
      </c>
      <c r="Q89">
        <v>18.058178000000002</v>
      </c>
      <c r="R89">
        <v>18.077915000000001</v>
      </c>
      <c r="S89">
        <v>18.038933</v>
      </c>
      <c r="T89">
        <v>18.008388</v>
      </c>
      <c r="U89">
        <v>17.904356</v>
      </c>
      <c r="V89">
        <v>17.860285000000001</v>
      </c>
      <c r="W89">
        <v>17.921337000000001</v>
      </c>
      <c r="X89">
        <v>18.047402999999999</v>
      </c>
      <c r="Y89">
        <v>18.188303999999999</v>
      </c>
      <c r="Z89">
        <v>18.280470000000001</v>
      </c>
      <c r="AA89">
        <v>18.398088000000001</v>
      </c>
      <c r="AB89">
        <v>18.47851</v>
      </c>
      <c r="AC89">
        <v>18.575382999999999</v>
      </c>
      <c r="AD89">
        <v>18.601012999999998</v>
      </c>
      <c r="AE89">
        <v>18.634260999999999</v>
      </c>
      <c r="AF89">
        <v>18.651931999999999</v>
      </c>
      <c r="AG89" s="22">
        <v>-5.0000000000000001E-3</v>
      </c>
    </row>
    <row r="90" spans="1:33">
      <c r="A90" t="s">
        <v>3605</v>
      </c>
      <c r="B90" t="s">
        <v>3604</v>
      </c>
      <c r="C90" t="s">
        <v>3599</v>
      </c>
      <c r="D90" t="s">
        <v>3583</v>
      </c>
      <c r="F90">
        <v>18.915469000000002</v>
      </c>
      <c r="G90">
        <v>18.494361000000001</v>
      </c>
      <c r="H90">
        <v>16.748058</v>
      </c>
      <c r="I90">
        <v>15.598786</v>
      </c>
      <c r="J90">
        <v>15.387491000000001</v>
      </c>
      <c r="K90">
        <v>15.411830999999999</v>
      </c>
      <c r="L90">
        <v>15.483029999999999</v>
      </c>
      <c r="M90">
        <v>15.651555999999999</v>
      </c>
      <c r="N90">
        <v>15.761011</v>
      </c>
      <c r="O90">
        <v>15.963941</v>
      </c>
      <c r="P90">
        <v>16.044131</v>
      </c>
      <c r="Q90">
        <v>16.044027</v>
      </c>
      <c r="R90">
        <v>16.074539000000001</v>
      </c>
      <c r="S90">
        <v>16.049256</v>
      </c>
      <c r="T90">
        <v>16.027716999999999</v>
      </c>
      <c r="U90">
        <v>15.944241</v>
      </c>
      <c r="V90">
        <v>15.890953</v>
      </c>
      <c r="W90">
        <v>15.949241000000001</v>
      </c>
      <c r="X90">
        <v>16.076356000000001</v>
      </c>
      <c r="Y90">
        <v>16.220196999999999</v>
      </c>
      <c r="Z90">
        <v>16.330137000000001</v>
      </c>
      <c r="AA90">
        <v>16.446974999999998</v>
      </c>
      <c r="AB90">
        <v>16.533956</v>
      </c>
      <c r="AC90">
        <v>16.647703</v>
      </c>
      <c r="AD90">
        <v>16.695798</v>
      </c>
      <c r="AE90">
        <v>16.747364000000001</v>
      </c>
      <c r="AF90">
        <v>16.791399999999999</v>
      </c>
      <c r="AG90" s="22">
        <v>-5.0000000000000001E-3</v>
      </c>
    </row>
    <row r="91" spans="1:33">
      <c r="A91" t="s">
        <v>3603</v>
      </c>
      <c r="B91" t="s">
        <v>3602</v>
      </c>
      <c r="C91" t="s">
        <v>3599</v>
      </c>
      <c r="D91" t="s">
        <v>3583</v>
      </c>
      <c r="F91">
        <v>24.560234000000001</v>
      </c>
      <c r="G91">
        <v>23.65334</v>
      </c>
      <c r="H91">
        <v>20.961617</v>
      </c>
      <c r="I91">
        <v>19.246886</v>
      </c>
      <c r="J91">
        <v>18.991436</v>
      </c>
      <c r="K91">
        <v>18.994349</v>
      </c>
      <c r="L91">
        <v>19.096301</v>
      </c>
      <c r="M91">
        <v>19.288595999999998</v>
      </c>
      <c r="N91">
        <v>19.346433000000001</v>
      </c>
      <c r="O91">
        <v>19.542026</v>
      </c>
      <c r="P91">
        <v>19.505562999999999</v>
      </c>
      <c r="Q91">
        <v>19.382211999999999</v>
      </c>
      <c r="R91">
        <v>19.341442000000001</v>
      </c>
      <c r="S91">
        <v>19.236585000000002</v>
      </c>
      <c r="T91">
        <v>19.152076000000001</v>
      </c>
      <c r="U91">
        <v>18.982410000000002</v>
      </c>
      <c r="V91">
        <v>18.923145000000002</v>
      </c>
      <c r="W91">
        <v>18.947120999999999</v>
      </c>
      <c r="X91">
        <v>19.024059000000001</v>
      </c>
      <c r="Y91">
        <v>19.112776</v>
      </c>
      <c r="Z91">
        <v>19.133858</v>
      </c>
      <c r="AA91">
        <v>19.210448</v>
      </c>
      <c r="AB91">
        <v>19.242525000000001</v>
      </c>
      <c r="AC91">
        <v>19.275586000000001</v>
      </c>
      <c r="AD91">
        <v>19.235341999999999</v>
      </c>
      <c r="AE91">
        <v>19.213842</v>
      </c>
      <c r="AF91">
        <v>19.162220999999999</v>
      </c>
      <c r="AG91" s="22">
        <v>-0.01</v>
      </c>
    </row>
    <row r="92" spans="1:33">
      <c r="A92" t="s">
        <v>3601</v>
      </c>
      <c r="B92" t="s">
        <v>3600</v>
      </c>
      <c r="C92" t="s">
        <v>3599</v>
      </c>
      <c r="D92" t="s">
        <v>3583</v>
      </c>
      <c r="F92">
        <v>32.392367999999998</v>
      </c>
      <c r="G92">
        <v>31.175576</v>
      </c>
      <c r="H92">
        <v>27.621338000000002</v>
      </c>
      <c r="I92">
        <v>25.355183</v>
      </c>
      <c r="J92">
        <v>25.018739</v>
      </c>
      <c r="K92">
        <v>25.021774000000001</v>
      </c>
      <c r="L92">
        <v>25.157150000000001</v>
      </c>
      <c r="M92">
        <v>25.409141999999999</v>
      </c>
      <c r="N92">
        <v>25.478199</v>
      </c>
      <c r="O92">
        <v>25.725657999999999</v>
      </c>
      <c r="P92">
        <v>25.6675</v>
      </c>
      <c r="Q92">
        <v>25.497035</v>
      </c>
      <c r="R92">
        <v>25.434052000000001</v>
      </c>
      <c r="S92">
        <v>25.300881</v>
      </c>
      <c r="T92">
        <v>25.193921</v>
      </c>
      <c r="U92">
        <v>24.978705999999999</v>
      </c>
      <c r="V92">
        <v>24.923964000000002</v>
      </c>
      <c r="W92">
        <v>24.959510000000002</v>
      </c>
      <c r="X92">
        <v>25.053393</v>
      </c>
      <c r="Y92">
        <v>25.160581000000001</v>
      </c>
      <c r="Z92">
        <v>25.174085999999999</v>
      </c>
      <c r="AA92">
        <v>25.273709</v>
      </c>
      <c r="AB92">
        <v>25.316188</v>
      </c>
      <c r="AC92">
        <v>25.346585000000001</v>
      </c>
      <c r="AD92">
        <v>25.289458</v>
      </c>
      <c r="AE92">
        <v>25.253147999999999</v>
      </c>
      <c r="AF92">
        <v>25.178395999999999</v>
      </c>
      <c r="AG92" s="22">
        <v>-0.01</v>
      </c>
    </row>
    <row r="93" spans="1:33">
      <c r="A93" t="s">
        <v>3598</v>
      </c>
      <c r="B93" t="s">
        <v>3597</v>
      </c>
      <c r="C93" t="s">
        <v>3593</v>
      </c>
      <c r="D93" t="s">
        <v>3583</v>
      </c>
      <c r="F93">
        <v>17.499977999999999</v>
      </c>
      <c r="G93">
        <v>16.868295</v>
      </c>
      <c r="H93">
        <v>14.858658</v>
      </c>
      <c r="I93">
        <v>13.690975</v>
      </c>
      <c r="J93">
        <v>13.510317000000001</v>
      </c>
      <c r="K93">
        <v>13.550777</v>
      </c>
      <c r="L93">
        <v>13.650695000000001</v>
      </c>
      <c r="M93">
        <v>13.814605999999999</v>
      </c>
      <c r="N93">
        <v>13.887226</v>
      </c>
      <c r="O93">
        <v>14.057883</v>
      </c>
      <c r="P93">
        <v>14.094117000000001</v>
      </c>
      <c r="Q93">
        <v>14.088540999999999</v>
      </c>
      <c r="R93">
        <v>14.142582000000001</v>
      </c>
      <c r="S93">
        <v>14.072425000000001</v>
      </c>
      <c r="T93">
        <v>14.010379</v>
      </c>
      <c r="U93">
        <v>13.850702</v>
      </c>
      <c r="V93">
        <v>13.739597</v>
      </c>
      <c r="W93">
        <v>13.741968</v>
      </c>
      <c r="X93">
        <v>13.801117</v>
      </c>
      <c r="Y93">
        <v>13.910145</v>
      </c>
      <c r="Z93">
        <v>13.958562000000001</v>
      </c>
      <c r="AA93">
        <v>14.029273999999999</v>
      </c>
      <c r="AB93">
        <v>14.033215</v>
      </c>
      <c r="AC93">
        <v>14.086240999999999</v>
      </c>
      <c r="AD93">
        <v>14.057613</v>
      </c>
      <c r="AE93">
        <v>14.07015</v>
      </c>
      <c r="AF93">
        <v>14.052716</v>
      </c>
      <c r="AG93" s="22">
        <v>-8.0000000000000002E-3</v>
      </c>
    </row>
    <row r="94" spans="1:33">
      <c r="A94" t="s">
        <v>168</v>
      </c>
      <c r="B94" t="s">
        <v>3596</v>
      </c>
      <c r="C94" t="s">
        <v>3593</v>
      </c>
      <c r="D94" t="s">
        <v>3583</v>
      </c>
      <c r="F94">
        <v>17.109794999999998</v>
      </c>
      <c r="G94">
        <v>16.165376999999999</v>
      </c>
      <c r="H94">
        <v>14.333702000000001</v>
      </c>
      <c r="I94">
        <v>13.116031</v>
      </c>
      <c r="J94">
        <v>12.958225000000001</v>
      </c>
      <c r="K94">
        <v>12.986746999999999</v>
      </c>
      <c r="L94">
        <v>13.083360000000001</v>
      </c>
      <c r="M94">
        <v>13.197463000000001</v>
      </c>
      <c r="N94">
        <v>13.253920000000001</v>
      </c>
      <c r="O94">
        <v>13.438112</v>
      </c>
      <c r="P94">
        <v>13.430469</v>
      </c>
      <c r="Q94">
        <v>13.314503</v>
      </c>
      <c r="R94">
        <v>13.323175000000001</v>
      </c>
      <c r="S94">
        <v>13.323256000000001</v>
      </c>
      <c r="T94">
        <v>13.299072000000001</v>
      </c>
      <c r="U94">
        <v>13.205408</v>
      </c>
      <c r="V94">
        <v>13.172117</v>
      </c>
      <c r="W94">
        <v>13.215064</v>
      </c>
      <c r="X94">
        <v>13.264645</v>
      </c>
      <c r="Y94">
        <v>13.397519000000001</v>
      </c>
      <c r="Z94">
        <v>13.428667000000001</v>
      </c>
      <c r="AA94">
        <v>13.513114</v>
      </c>
      <c r="AB94">
        <v>13.536572</v>
      </c>
      <c r="AC94">
        <v>13.570066000000001</v>
      </c>
      <c r="AD94">
        <v>13.520778</v>
      </c>
      <c r="AE94">
        <v>13.503270000000001</v>
      </c>
      <c r="AF94">
        <v>13.441691</v>
      </c>
      <c r="AG94" s="22">
        <v>-8.9999999999999993E-3</v>
      </c>
    </row>
    <row r="95" spans="1:33">
      <c r="A95" t="s">
        <v>166</v>
      </c>
      <c r="B95" t="s">
        <v>3595</v>
      </c>
      <c r="C95" t="s">
        <v>3593</v>
      </c>
      <c r="D95" t="s">
        <v>3583</v>
      </c>
      <c r="F95">
        <v>17.561288999999999</v>
      </c>
      <c r="G95">
        <v>17.024719999999999</v>
      </c>
      <c r="H95">
        <v>14.998709</v>
      </c>
      <c r="I95">
        <v>13.865487999999999</v>
      </c>
      <c r="J95">
        <v>13.694796999999999</v>
      </c>
      <c r="K95">
        <v>13.753669</v>
      </c>
      <c r="L95">
        <v>13.866458</v>
      </c>
      <c r="M95">
        <v>14.061038</v>
      </c>
      <c r="N95">
        <v>14.151945</v>
      </c>
      <c r="O95">
        <v>14.327889000000001</v>
      </c>
      <c r="P95">
        <v>14.392894</v>
      </c>
      <c r="Q95">
        <v>14.448506</v>
      </c>
      <c r="R95">
        <v>14.535325</v>
      </c>
      <c r="S95">
        <v>14.441808999999999</v>
      </c>
      <c r="T95">
        <v>14.369104999999999</v>
      </c>
      <c r="U95">
        <v>14.182898</v>
      </c>
      <c r="V95">
        <v>14.037635999999999</v>
      </c>
      <c r="W95">
        <v>14.023992</v>
      </c>
      <c r="X95">
        <v>14.093598</v>
      </c>
      <c r="Y95">
        <v>14.194001999999999</v>
      </c>
      <c r="Z95">
        <v>14.256455000000001</v>
      </c>
      <c r="AA95">
        <v>14.322983000000001</v>
      </c>
      <c r="AB95">
        <v>14.319469</v>
      </c>
      <c r="AC95">
        <v>14.387855</v>
      </c>
      <c r="AD95">
        <v>14.374874999999999</v>
      </c>
      <c r="AE95">
        <v>14.408455</v>
      </c>
      <c r="AF95">
        <v>14.418906</v>
      </c>
      <c r="AG95" s="22">
        <v>-8.0000000000000002E-3</v>
      </c>
    </row>
    <row r="96" spans="1:33">
      <c r="A96" t="s">
        <v>167</v>
      </c>
      <c r="B96" t="s">
        <v>3594</v>
      </c>
      <c r="C96" t="s">
        <v>3593</v>
      </c>
      <c r="D96" t="s">
        <v>3583</v>
      </c>
      <c r="F96">
        <v>12.941013</v>
      </c>
      <c r="G96">
        <v>12.624143999999999</v>
      </c>
      <c r="H96">
        <v>11.719846</v>
      </c>
      <c r="I96">
        <v>11.091652</v>
      </c>
      <c r="J96">
        <v>11.041523</v>
      </c>
      <c r="K96">
        <v>11.135455</v>
      </c>
      <c r="L96">
        <v>11.261929</v>
      </c>
      <c r="M96">
        <v>11.467452</v>
      </c>
      <c r="N96">
        <v>11.591284</v>
      </c>
      <c r="O96">
        <v>11.827546</v>
      </c>
      <c r="P96">
        <v>11.914558</v>
      </c>
      <c r="Q96">
        <v>11.840052999999999</v>
      </c>
      <c r="R96">
        <v>11.800545</v>
      </c>
      <c r="S96">
        <v>11.73856</v>
      </c>
      <c r="T96">
        <v>11.673352</v>
      </c>
      <c r="U96">
        <v>11.557297999999999</v>
      </c>
      <c r="V96">
        <v>11.491102</v>
      </c>
      <c r="W96">
        <v>11.510795</v>
      </c>
      <c r="X96">
        <v>11.566348</v>
      </c>
      <c r="Y96">
        <v>11.638818000000001</v>
      </c>
      <c r="Z96">
        <v>11.67062</v>
      </c>
      <c r="AA96">
        <v>11.73199</v>
      </c>
      <c r="AB96">
        <v>11.780459</v>
      </c>
      <c r="AC96">
        <v>11.801879</v>
      </c>
      <c r="AD96">
        <v>11.767419</v>
      </c>
      <c r="AE96">
        <v>11.731590000000001</v>
      </c>
      <c r="AF96">
        <v>11.686546</v>
      </c>
      <c r="AG96" s="22">
        <v>-4.0000000000000001E-3</v>
      </c>
    </row>
    <row r="97" spans="1:33">
      <c r="A97" t="s">
        <v>3592</v>
      </c>
      <c r="B97" t="s">
        <v>3591</v>
      </c>
      <c r="C97" t="s">
        <v>3588</v>
      </c>
      <c r="D97" t="s">
        <v>3583</v>
      </c>
      <c r="F97">
        <v>18.392759999999999</v>
      </c>
      <c r="G97">
        <v>17.964400000000001</v>
      </c>
      <c r="H97">
        <v>16.773347000000001</v>
      </c>
      <c r="I97">
        <v>15.913226999999999</v>
      </c>
      <c r="J97">
        <v>15.843658</v>
      </c>
      <c r="K97">
        <v>15.975294999999999</v>
      </c>
      <c r="L97">
        <v>16.123283000000001</v>
      </c>
      <c r="M97">
        <v>16.242621</v>
      </c>
      <c r="N97">
        <v>16.119142</v>
      </c>
      <c r="O97">
        <v>16.181032999999999</v>
      </c>
      <c r="P97">
        <v>15.929745</v>
      </c>
      <c r="Q97">
        <v>15.355148</v>
      </c>
      <c r="R97">
        <v>14.820855999999999</v>
      </c>
      <c r="S97">
        <v>14.332749</v>
      </c>
      <c r="T97">
        <v>13.900952</v>
      </c>
      <c r="U97">
        <v>13.469419</v>
      </c>
      <c r="V97">
        <v>13.144062</v>
      </c>
      <c r="W97">
        <v>12.936470999999999</v>
      </c>
      <c r="X97">
        <v>12.805147</v>
      </c>
      <c r="Y97">
        <v>12.721908000000001</v>
      </c>
      <c r="Z97">
        <v>12.632145</v>
      </c>
      <c r="AA97">
        <v>12.598369</v>
      </c>
      <c r="AB97">
        <v>12.569184</v>
      </c>
      <c r="AC97">
        <v>12.521887</v>
      </c>
      <c r="AD97">
        <v>12.426758</v>
      </c>
      <c r="AE97">
        <v>12.339561</v>
      </c>
      <c r="AF97">
        <v>12.250221</v>
      </c>
      <c r="AG97" s="22">
        <v>-1.6E-2</v>
      </c>
    </row>
    <row r="98" spans="1:33">
      <c r="A98" t="s">
        <v>3560</v>
      </c>
      <c r="B98" t="s">
        <v>3590</v>
      </c>
      <c r="C98" t="s">
        <v>3588</v>
      </c>
      <c r="D98" t="s">
        <v>3583</v>
      </c>
      <c r="F98">
        <v>12.941013</v>
      </c>
      <c r="G98">
        <v>12.624143999999999</v>
      </c>
      <c r="H98">
        <v>11.719846</v>
      </c>
      <c r="I98">
        <v>11.091652</v>
      </c>
      <c r="J98">
        <v>11.041523</v>
      </c>
      <c r="K98">
        <v>11.135455</v>
      </c>
      <c r="L98">
        <v>11.261929</v>
      </c>
      <c r="M98">
        <v>11.467452</v>
      </c>
      <c r="N98">
        <v>11.591284</v>
      </c>
      <c r="O98">
        <v>11.827546</v>
      </c>
      <c r="P98">
        <v>11.914558</v>
      </c>
      <c r="Q98">
        <v>11.840052999999999</v>
      </c>
      <c r="R98">
        <v>11.800545</v>
      </c>
      <c r="S98">
        <v>11.73856</v>
      </c>
      <c r="T98">
        <v>11.673352</v>
      </c>
      <c r="U98">
        <v>11.557297999999999</v>
      </c>
      <c r="V98">
        <v>11.491102</v>
      </c>
      <c r="W98">
        <v>11.510795</v>
      </c>
      <c r="X98">
        <v>11.566348</v>
      </c>
      <c r="Y98">
        <v>11.638818000000001</v>
      </c>
      <c r="Z98">
        <v>11.67062</v>
      </c>
      <c r="AA98">
        <v>11.73199</v>
      </c>
      <c r="AB98">
        <v>11.780459</v>
      </c>
      <c r="AC98">
        <v>11.801879</v>
      </c>
      <c r="AD98">
        <v>11.767419</v>
      </c>
      <c r="AE98">
        <v>11.731590000000001</v>
      </c>
      <c r="AF98">
        <v>11.686546</v>
      </c>
      <c r="AG98" s="22">
        <v>-4.0000000000000001E-3</v>
      </c>
    </row>
    <row r="99" spans="1:33">
      <c r="A99" t="s">
        <v>3563</v>
      </c>
      <c r="B99" t="s">
        <v>3589</v>
      </c>
      <c r="C99" t="s">
        <v>3588</v>
      </c>
      <c r="D99" t="s">
        <v>3583</v>
      </c>
      <c r="F99">
        <v>24.149308999999999</v>
      </c>
      <c r="G99">
        <v>23.538983999999999</v>
      </c>
      <c r="H99">
        <v>22.020655000000001</v>
      </c>
      <c r="I99">
        <v>20.899756</v>
      </c>
      <c r="J99">
        <v>20.810403000000001</v>
      </c>
      <c r="K99">
        <v>21.018688999999998</v>
      </c>
      <c r="L99">
        <v>21.265512999999999</v>
      </c>
      <c r="M99">
        <v>21.630918000000001</v>
      </c>
      <c r="N99">
        <v>21.821584999999999</v>
      </c>
      <c r="O99">
        <v>22.191970999999999</v>
      </c>
      <c r="P99">
        <v>22.233132000000001</v>
      </c>
      <c r="Q99">
        <v>21.968354000000001</v>
      </c>
      <c r="R99">
        <v>21.82507</v>
      </c>
      <c r="S99">
        <v>21.729991999999999</v>
      </c>
      <c r="T99">
        <v>21.668022000000001</v>
      </c>
      <c r="U99">
        <v>21.554518999999999</v>
      </c>
      <c r="V99">
        <v>21.546306999999999</v>
      </c>
      <c r="W99">
        <v>21.653545000000001</v>
      </c>
      <c r="X99">
        <v>21.818480999999998</v>
      </c>
      <c r="Y99">
        <v>21.973880999999999</v>
      </c>
      <c r="Z99">
        <v>22.062764000000001</v>
      </c>
      <c r="AA99">
        <v>22.223499</v>
      </c>
      <c r="AB99">
        <v>22.378456</v>
      </c>
      <c r="AC99">
        <v>22.459212000000001</v>
      </c>
      <c r="AD99">
        <v>22.427599000000001</v>
      </c>
      <c r="AE99">
        <v>22.37236</v>
      </c>
      <c r="AF99">
        <v>22.297429000000001</v>
      </c>
      <c r="AG99" s="22">
        <v>-3.0000000000000001E-3</v>
      </c>
    </row>
    <row r="100" spans="1:33">
      <c r="A100" t="s">
        <v>3587</v>
      </c>
    </row>
    <row r="101" spans="1:33">
      <c r="A101" t="s">
        <v>3560</v>
      </c>
      <c r="B101" t="s">
        <v>3586</v>
      </c>
      <c r="C101" t="s">
        <v>3584</v>
      </c>
      <c r="D101" t="s">
        <v>3583</v>
      </c>
      <c r="F101">
        <v>12.941013</v>
      </c>
      <c r="G101">
        <v>12.624143999999999</v>
      </c>
      <c r="H101">
        <v>11.719846</v>
      </c>
      <c r="I101">
        <v>11.091652</v>
      </c>
      <c r="J101">
        <v>11.041523</v>
      </c>
      <c r="K101">
        <v>11.135455</v>
      </c>
      <c r="L101">
        <v>11.261929</v>
      </c>
      <c r="M101">
        <v>11.467452</v>
      </c>
      <c r="N101">
        <v>11.591284</v>
      </c>
      <c r="O101">
        <v>11.827546</v>
      </c>
      <c r="P101">
        <v>11.914558</v>
      </c>
      <c r="Q101">
        <v>11.840052999999999</v>
      </c>
      <c r="R101">
        <v>11.800545</v>
      </c>
      <c r="S101">
        <v>11.73856</v>
      </c>
      <c r="T101">
        <v>11.673352</v>
      </c>
      <c r="U101">
        <v>11.557297999999999</v>
      </c>
      <c r="V101">
        <v>11.491102</v>
      </c>
      <c r="W101">
        <v>11.510795</v>
      </c>
      <c r="X101">
        <v>11.566348</v>
      </c>
      <c r="Y101">
        <v>11.638818000000001</v>
      </c>
      <c r="Z101">
        <v>11.67062</v>
      </c>
      <c r="AA101">
        <v>11.73199</v>
      </c>
      <c r="AB101">
        <v>11.780459</v>
      </c>
      <c r="AC101">
        <v>11.801879</v>
      </c>
      <c r="AD101">
        <v>11.767419</v>
      </c>
      <c r="AE101">
        <v>11.731590000000001</v>
      </c>
      <c r="AF101">
        <v>11.686546</v>
      </c>
      <c r="AG101" s="22">
        <v>-4.0000000000000001E-3</v>
      </c>
    </row>
    <row r="102" spans="1:33">
      <c r="A102" t="s">
        <v>3563</v>
      </c>
      <c r="B102" t="s">
        <v>3585</v>
      </c>
      <c r="C102" t="s">
        <v>3584</v>
      </c>
      <c r="D102" t="s">
        <v>3583</v>
      </c>
      <c r="F102">
        <v>24.149308999999999</v>
      </c>
      <c r="G102">
        <v>23.538983999999999</v>
      </c>
      <c r="H102">
        <v>22.020655000000001</v>
      </c>
      <c r="I102">
        <v>20.899756</v>
      </c>
      <c r="J102">
        <v>20.810403000000001</v>
      </c>
      <c r="K102">
        <v>21.018688999999998</v>
      </c>
      <c r="L102">
        <v>21.265512999999999</v>
      </c>
      <c r="M102">
        <v>21.630918000000001</v>
      </c>
      <c r="N102">
        <v>21.821584999999999</v>
      </c>
      <c r="O102">
        <v>22.191970999999999</v>
      </c>
      <c r="P102">
        <v>22.233132000000001</v>
      </c>
      <c r="Q102">
        <v>21.968354000000001</v>
      </c>
      <c r="R102">
        <v>21.82507</v>
      </c>
      <c r="S102">
        <v>21.729991999999999</v>
      </c>
      <c r="T102">
        <v>21.668022000000001</v>
      </c>
      <c r="U102">
        <v>21.554518999999999</v>
      </c>
      <c r="V102">
        <v>21.546306999999999</v>
      </c>
      <c r="W102">
        <v>21.653545000000001</v>
      </c>
      <c r="X102">
        <v>21.818480999999998</v>
      </c>
      <c r="Y102">
        <v>21.973880999999999</v>
      </c>
      <c r="Z102">
        <v>22.062764000000001</v>
      </c>
      <c r="AA102">
        <v>22.223499</v>
      </c>
      <c r="AB102">
        <v>22.378456</v>
      </c>
      <c r="AC102">
        <v>22.459212000000001</v>
      </c>
      <c r="AD102">
        <v>22.427599000000001</v>
      </c>
      <c r="AE102">
        <v>22.37236</v>
      </c>
      <c r="AF102">
        <v>22.297429000000001</v>
      </c>
      <c r="AG102" s="22">
        <v>-3.0000000000000001E-3</v>
      </c>
    </row>
    <row r="103" spans="1:33">
      <c r="A103" t="s">
        <v>3582</v>
      </c>
      <c r="B103" t="s">
        <v>3581</v>
      </c>
      <c r="C103" t="s">
        <v>3580</v>
      </c>
      <c r="D103" t="s">
        <v>3579</v>
      </c>
      <c r="F103">
        <v>8.2315170000000002</v>
      </c>
      <c r="G103">
        <v>8.356859</v>
      </c>
      <c r="H103">
        <v>8.3182880000000008</v>
      </c>
      <c r="I103">
        <v>8.2909299999999995</v>
      </c>
      <c r="J103">
        <v>8.3077780000000008</v>
      </c>
      <c r="K103">
        <v>8.3374550000000003</v>
      </c>
      <c r="L103">
        <v>8.3757319999999993</v>
      </c>
      <c r="M103">
        <v>8.4028349999999996</v>
      </c>
      <c r="N103">
        <v>8.4641330000000004</v>
      </c>
      <c r="O103">
        <v>8.4959319999999998</v>
      </c>
      <c r="P103">
        <v>8.5403179999999992</v>
      </c>
      <c r="Q103">
        <v>8.5279729999999994</v>
      </c>
      <c r="R103">
        <v>8.5055169999999993</v>
      </c>
      <c r="S103">
        <v>8.4888680000000001</v>
      </c>
      <c r="T103">
        <v>8.483689</v>
      </c>
      <c r="U103">
        <v>8.4763900000000003</v>
      </c>
      <c r="V103">
        <v>8.4840520000000001</v>
      </c>
      <c r="W103">
        <v>8.5093599999999991</v>
      </c>
      <c r="X103">
        <v>8.5356719999999999</v>
      </c>
      <c r="Y103">
        <v>8.5486109999999993</v>
      </c>
      <c r="Z103">
        <v>8.5571140000000003</v>
      </c>
      <c r="AA103">
        <v>8.5607380000000006</v>
      </c>
      <c r="AB103">
        <v>8.5608299999999993</v>
      </c>
      <c r="AC103">
        <v>8.5542350000000003</v>
      </c>
      <c r="AD103">
        <v>8.5512890000000006</v>
      </c>
      <c r="AE103">
        <v>8.5480119999999999</v>
      </c>
      <c r="AF103">
        <v>8.5461880000000008</v>
      </c>
      <c r="AG103" s="22">
        <v>1E-3</v>
      </c>
    </row>
    <row r="104" spans="1:33">
      <c r="A104" t="s">
        <v>3578</v>
      </c>
    </row>
    <row r="105" spans="1:33">
      <c r="A105" t="s">
        <v>260</v>
      </c>
    </row>
    <row r="106" spans="1:33">
      <c r="A106" t="s">
        <v>169</v>
      </c>
      <c r="B106" t="s">
        <v>3577</v>
      </c>
      <c r="C106" t="s">
        <v>3576</v>
      </c>
      <c r="D106" t="s">
        <v>3547</v>
      </c>
      <c r="F106">
        <v>17.766323</v>
      </c>
      <c r="G106">
        <v>17.970210999999999</v>
      </c>
      <c r="H106">
        <v>17.959671</v>
      </c>
      <c r="I106">
        <v>17.85622</v>
      </c>
      <c r="J106">
        <v>17.812985999999999</v>
      </c>
      <c r="K106">
        <v>17.876345000000001</v>
      </c>
      <c r="L106">
        <v>17.945992</v>
      </c>
      <c r="M106">
        <v>17.996148999999999</v>
      </c>
      <c r="N106">
        <v>18.214977000000001</v>
      </c>
      <c r="O106">
        <v>18.394098</v>
      </c>
      <c r="P106">
        <v>18.492505999999999</v>
      </c>
      <c r="Q106">
        <v>19.302897999999999</v>
      </c>
      <c r="R106">
        <v>19.313524000000001</v>
      </c>
      <c r="S106">
        <v>19.199712999999999</v>
      </c>
      <c r="T106">
        <v>19.099436000000001</v>
      </c>
      <c r="U106">
        <v>19.006401</v>
      </c>
      <c r="V106">
        <v>18.972618000000001</v>
      </c>
      <c r="W106">
        <v>19.015931999999999</v>
      </c>
      <c r="X106">
        <v>19.059194999999999</v>
      </c>
      <c r="Y106">
        <v>19.089003000000002</v>
      </c>
      <c r="Z106">
        <v>19.078462999999999</v>
      </c>
      <c r="AA106">
        <v>19.073222999999999</v>
      </c>
      <c r="AB106">
        <v>19.035549</v>
      </c>
      <c r="AC106">
        <v>18.976642999999999</v>
      </c>
      <c r="AD106">
        <v>18.914947999999999</v>
      </c>
      <c r="AE106">
        <v>18.991773999999999</v>
      </c>
      <c r="AF106">
        <v>18.961599</v>
      </c>
      <c r="AG106" s="22">
        <v>3.0000000000000001E-3</v>
      </c>
    </row>
    <row r="107" spans="1:33">
      <c r="A107" t="s">
        <v>3563</v>
      </c>
      <c r="B107" t="s">
        <v>3575</v>
      </c>
      <c r="C107" t="s">
        <v>3574</v>
      </c>
      <c r="D107" t="s">
        <v>3547</v>
      </c>
      <c r="F107">
        <v>19.777598999999999</v>
      </c>
      <c r="G107">
        <v>19.960829</v>
      </c>
      <c r="H107">
        <v>19.863551999999999</v>
      </c>
      <c r="I107">
        <v>19.700586000000001</v>
      </c>
      <c r="J107">
        <v>19.63954</v>
      </c>
      <c r="K107">
        <v>19.690778999999999</v>
      </c>
      <c r="L107">
        <v>19.757977</v>
      </c>
      <c r="M107">
        <v>19.798511999999999</v>
      </c>
      <c r="N107">
        <v>20.007479</v>
      </c>
      <c r="O107">
        <v>20.204947000000001</v>
      </c>
      <c r="P107">
        <v>20.307542999999999</v>
      </c>
      <c r="Q107">
        <v>20.827048999999999</v>
      </c>
      <c r="R107">
        <v>20.821225999999999</v>
      </c>
      <c r="S107">
        <v>20.723355999999999</v>
      </c>
      <c r="T107">
        <v>20.637675999999999</v>
      </c>
      <c r="U107">
        <v>20.552267000000001</v>
      </c>
      <c r="V107">
        <v>20.518706999999999</v>
      </c>
      <c r="W107">
        <v>20.559086000000001</v>
      </c>
      <c r="X107">
        <v>20.594023</v>
      </c>
      <c r="Y107">
        <v>20.612739999999999</v>
      </c>
      <c r="Z107">
        <v>20.589821000000001</v>
      </c>
      <c r="AA107">
        <v>20.572635999999999</v>
      </c>
      <c r="AB107">
        <v>20.518937999999999</v>
      </c>
      <c r="AC107">
        <v>20.441102999999998</v>
      </c>
      <c r="AD107">
        <v>20.358809000000001</v>
      </c>
      <c r="AE107">
        <v>20.404717999999999</v>
      </c>
      <c r="AF107">
        <v>20.358135000000001</v>
      </c>
      <c r="AG107" s="22">
        <v>1E-3</v>
      </c>
    </row>
    <row r="108" spans="1:33">
      <c r="A108" t="s">
        <v>3560</v>
      </c>
      <c r="B108" t="s">
        <v>3573</v>
      </c>
      <c r="C108" t="s">
        <v>3572</v>
      </c>
      <c r="D108" t="s">
        <v>3547</v>
      </c>
      <c r="F108">
        <v>17.562643000000001</v>
      </c>
      <c r="G108">
        <v>17.663405999999998</v>
      </c>
      <c r="H108">
        <v>17.567457000000001</v>
      </c>
      <c r="I108">
        <v>17.382929000000001</v>
      </c>
      <c r="J108">
        <v>17.291913999999998</v>
      </c>
      <c r="K108">
        <v>17.307409</v>
      </c>
      <c r="L108">
        <v>17.343654999999998</v>
      </c>
      <c r="M108">
        <v>17.378972999999998</v>
      </c>
      <c r="N108">
        <v>17.587420999999999</v>
      </c>
      <c r="O108">
        <v>17.754463000000001</v>
      </c>
      <c r="P108">
        <v>17.843942999999999</v>
      </c>
      <c r="Q108">
        <v>18.745529000000001</v>
      </c>
      <c r="R108">
        <v>18.747879000000001</v>
      </c>
      <c r="S108">
        <v>18.610184</v>
      </c>
      <c r="T108">
        <v>18.480103</v>
      </c>
      <c r="U108">
        <v>18.357793999999998</v>
      </c>
      <c r="V108">
        <v>18.290929999999999</v>
      </c>
      <c r="W108">
        <v>18.293406000000001</v>
      </c>
      <c r="X108">
        <v>18.292567999999999</v>
      </c>
      <c r="Y108">
        <v>18.276505</v>
      </c>
      <c r="Z108">
        <v>18.221741000000002</v>
      </c>
      <c r="AA108">
        <v>18.169429999999998</v>
      </c>
      <c r="AB108">
        <v>18.083389</v>
      </c>
      <c r="AC108">
        <v>17.971112999999999</v>
      </c>
      <c r="AD108">
        <v>17.858927000000001</v>
      </c>
      <c r="AE108">
        <v>17.892932999999999</v>
      </c>
      <c r="AF108">
        <v>17.811951000000001</v>
      </c>
      <c r="AG108" s="22">
        <v>1E-3</v>
      </c>
    </row>
    <row r="109" spans="1:33">
      <c r="A109" t="s">
        <v>3554</v>
      </c>
      <c r="B109" t="s">
        <v>3571</v>
      </c>
      <c r="C109" t="s">
        <v>3570</v>
      </c>
      <c r="D109" t="s">
        <v>3547</v>
      </c>
      <c r="F109">
        <v>0</v>
      </c>
      <c r="G109">
        <v>0</v>
      </c>
      <c r="H109">
        <v>0</v>
      </c>
      <c r="I109">
        <v>0</v>
      </c>
      <c r="J109">
        <v>0</v>
      </c>
      <c r="K109">
        <v>0</v>
      </c>
      <c r="L109">
        <v>0</v>
      </c>
      <c r="M109">
        <v>0</v>
      </c>
      <c r="N109">
        <v>0</v>
      </c>
      <c r="O109">
        <v>0</v>
      </c>
      <c r="P109">
        <v>0</v>
      </c>
      <c r="Q109">
        <v>0</v>
      </c>
      <c r="R109">
        <v>0</v>
      </c>
      <c r="S109">
        <v>0</v>
      </c>
      <c r="T109">
        <v>0</v>
      </c>
      <c r="U109">
        <v>0</v>
      </c>
      <c r="V109">
        <v>0</v>
      </c>
      <c r="W109">
        <v>0</v>
      </c>
      <c r="X109">
        <v>0</v>
      </c>
      <c r="Y109">
        <v>0</v>
      </c>
      <c r="Z109">
        <v>0</v>
      </c>
      <c r="AA109">
        <v>0</v>
      </c>
      <c r="AB109">
        <v>0</v>
      </c>
      <c r="AC109">
        <v>0</v>
      </c>
      <c r="AD109">
        <v>0</v>
      </c>
      <c r="AE109">
        <v>0</v>
      </c>
      <c r="AF109">
        <v>0</v>
      </c>
      <c r="AG109" t="s">
        <v>111</v>
      </c>
    </row>
    <row r="110" spans="1:33">
      <c r="A110" t="s">
        <v>206</v>
      </c>
      <c r="B110" t="s">
        <v>3569</v>
      </c>
      <c r="C110" t="s">
        <v>3568</v>
      </c>
      <c r="D110" t="s">
        <v>3547</v>
      </c>
      <c r="F110">
        <v>11.443804</v>
      </c>
      <c r="G110">
        <v>12.072668</v>
      </c>
      <c r="H110">
        <v>11.969920999999999</v>
      </c>
      <c r="I110">
        <v>11.783875</v>
      </c>
      <c r="J110">
        <v>11.726345999999999</v>
      </c>
      <c r="K110">
        <v>11.797737</v>
      </c>
      <c r="L110">
        <v>11.908505999999999</v>
      </c>
      <c r="M110">
        <v>11.999717</v>
      </c>
      <c r="N110">
        <v>12.302014</v>
      </c>
      <c r="O110">
        <v>12.554612000000001</v>
      </c>
      <c r="P110">
        <v>12.694451000000001</v>
      </c>
      <c r="Q110">
        <v>13.0364</v>
      </c>
      <c r="R110">
        <v>12.997778</v>
      </c>
      <c r="S110">
        <v>12.920356999999999</v>
      </c>
      <c r="T110">
        <v>12.858921</v>
      </c>
      <c r="U110">
        <v>12.790533999999999</v>
      </c>
      <c r="V110">
        <v>12.798731999999999</v>
      </c>
      <c r="W110">
        <v>12.878328</v>
      </c>
      <c r="X110">
        <v>12.934844999999999</v>
      </c>
      <c r="Y110">
        <v>12.995628</v>
      </c>
      <c r="Z110">
        <v>12.983548000000001</v>
      </c>
      <c r="AA110">
        <v>12.963507999999999</v>
      </c>
      <c r="AB110">
        <v>12.921654999999999</v>
      </c>
      <c r="AC110">
        <v>12.843486</v>
      </c>
      <c r="AD110">
        <v>12.780554</v>
      </c>
      <c r="AE110">
        <v>12.805318</v>
      </c>
      <c r="AF110">
        <v>12.774438999999999</v>
      </c>
      <c r="AG110" s="22">
        <v>4.0000000000000001E-3</v>
      </c>
    </row>
    <row r="111" spans="1:33">
      <c r="A111" t="s">
        <v>207</v>
      </c>
      <c r="B111" t="s">
        <v>3567</v>
      </c>
      <c r="C111" t="s">
        <v>3566</v>
      </c>
      <c r="D111" t="s">
        <v>3547</v>
      </c>
      <c r="F111">
        <v>11.443804</v>
      </c>
      <c r="G111">
        <v>12.072668</v>
      </c>
      <c r="H111">
        <v>11.969920999999999</v>
      </c>
      <c r="I111">
        <v>11.783875</v>
      </c>
      <c r="J111">
        <v>11.726345999999999</v>
      </c>
      <c r="K111">
        <v>11.797737</v>
      </c>
      <c r="L111">
        <v>11.908505999999999</v>
      </c>
      <c r="M111">
        <v>11.999717</v>
      </c>
      <c r="N111">
        <v>12.302014</v>
      </c>
      <c r="O111">
        <v>12.554612000000001</v>
      </c>
      <c r="P111">
        <v>12.694451000000001</v>
      </c>
      <c r="Q111">
        <v>13.0364</v>
      </c>
      <c r="R111">
        <v>12.997778</v>
      </c>
      <c r="S111">
        <v>12.920356999999999</v>
      </c>
      <c r="T111">
        <v>12.858921</v>
      </c>
      <c r="U111">
        <v>12.790533999999999</v>
      </c>
      <c r="V111">
        <v>12.798731999999999</v>
      </c>
      <c r="W111">
        <v>12.878328</v>
      </c>
      <c r="X111">
        <v>12.934844999999999</v>
      </c>
      <c r="Y111">
        <v>12.995628</v>
      </c>
      <c r="Z111">
        <v>12.983548000000001</v>
      </c>
      <c r="AA111">
        <v>12.963507999999999</v>
      </c>
      <c r="AB111">
        <v>12.921654999999999</v>
      </c>
      <c r="AC111">
        <v>12.843486</v>
      </c>
      <c r="AD111">
        <v>12.780554</v>
      </c>
      <c r="AE111">
        <v>12.805318</v>
      </c>
      <c r="AF111">
        <v>12.774438999999999</v>
      </c>
      <c r="AG111" s="22">
        <v>4.0000000000000001E-3</v>
      </c>
    </row>
    <row r="112" spans="1:33">
      <c r="A112" t="s">
        <v>261</v>
      </c>
    </row>
    <row r="113" spans="1:33">
      <c r="A113" t="s">
        <v>169</v>
      </c>
      <c r="B113" t="s">
        <v>3565</v>
      </c>
      <c r="C113" t="s">
        <v>3564</v>
      </c>
      <c r="D113" t="s">
        <v>3547</v>
      </c>
      <c r="F113">
        <v>26.082224</v>
      </c>
      <c r="G113">
        <v>27.372015000000001</v>
      </c>
      <c r="H113">
        <v>26.960653000000001</v>
      </c>
      <c r="I113">
        <v>26.532195999999999</v>
      </c>
      <c r="J113">
        <v>26.423973</v>
      </c>
      <c r="K113">
        <v>26.564364999999999</v>
      </c>
      <c r="L113">
        <v>26.776347999999999</v>
      </c>
      <c r="M113">
        <v>26.899049999999999</v>
      </c>
      <c r="N113">
        <v>27.525832999999999</v>
      </c>
      <c r="O113">
        <v>28.011175000000001</v>
      </c>
      <c r="P113">
        <v>28.278126</v>
      </c>
      <c r="Q113">
        <v>28.777691000000001</v>
      </c>
      <c r="R113">
        <v>28.634815</v>
      </c>
      <c r="S113">
        <v>28.390754999999999</v>
      </c>
      <c r="T113">
        <v>28.198139000000001</v>
      </c>
      <c r="U113">
        <v>28.004740000000002</v>
      </c>
      <c r="V113">
        <v>27.976728000000001</v>
      </c>
      <c r="W113">
        <v>28.080334000000001</v>
      </c>
      <c r="X113">
        <v>28.169062</v>
      </c>
      <c r="Y113">
        <v>28.202684000000001</v>
      </c>
      <c r="Z113">
        <v>28.142578</v>
      </c>
      <c r="AA113">
        <v>28.047516000000002</v>
      </c>
      <c r="AB113">
        <v>27.889599</v>
      </c>
      <c r="AC113">
        <v>27.643142999999998</v>
      </c>
      <c r="AD113">
        <v>27.423555</v>
      </c>
      <c r="AE113">
        <v>27.345938</v>
      </c>
      <c r="AF113">
        <v>27.191025</v>
      </c>
      <c r="AG113" s="22">
        <v>2E-3</v>
      </c>
    </row>
    <row r="114" spans="1:33">
      <c r="A114" t="s">
        <v>3563</v>
      </c>
      <c r="B114" t="s">
        <v>3562</v>
      </c>
      <c r="C114" t="s">
        <v>3561</v>
      </c>
      <c r="D114" t="s">
        <v>3547</v>
      </c>
      <c r="F114">
        <v>27.212330000000001</v>
      </c>
      <c r="G114">
        <v>28.590579999999999</v>
      </c>
      <c r="H114">
        <v>28.250004000000001</v>
      </c>
      <c r="I114">
        <v>27.861284000000001</v>
      </c>
      <c r="J114">
        <v>27.783439999999999</v>
      </c>
      <c r="K114">
        <v>27.948340999999999</v>
      </c>
      <c r="L114">
        <v>28.180513000000001</v>
      </c>
      <c r="M114">
        <v>28.31982</v>
      </c>
      <c r="N114">
        <v>28.963902000000001</v>
      </c>
      <c r="O114">
        <v>29.464773000000001</v>
      </c>
      <c r="P114">
        <v>29.745934999999999</v>
      </c>
      <c r="Q114">
        <v>30.258866999999999</v>
      </c>
      <c r="R114">
        <v>30.127694999999999</v>
      </c>
      <c r="S114">
        <v>29.898018</v>
      </c>
      <c r="T114">
        <v>29.718136000000001</v>
      </c>
      <c r="U114">
        <v>29.539587000000001</v>
      </c>
      <c r="V114">
        <v>29.532623000000001</v>
      </c>
      <c r="W114">
        <v>29.663944000000001</v>
      </c>
      <c r="X114">
        <v>29.776478000000001</v>
      </c>
      <c r="Y114">
        <v>29.836489</v>
      </c>
      <c r="Z114">
        <v>29.807697000000001</v>
      </c>
      <c r="AA114">
        <v>29.742032999999999</v>
      </c>
      <c r="AB114">
        <v>29.621078000000001</v>
      </c>
      <c r="AC114">
        <v>29.414465</v>
      </c>
      <c r="AD114">
        <v>29.243926999999999</v>
      </c>
      <c r="AE114">
        <v>29.218567</v>
      </c>
      <c r="AF114">
        <v>29.114000000000001</v>
      </c>
      <c r="AG114" s="22">
        <v>3.0000000000000001E-3</v>
      </c>
    </row>
    <row r="115" spans="1:33">
      <c r="A115" t="s">
        <v>3560</v>
      </c>
      <c r="B115" t="s">
        <v>3559</v>
      </c>
      <c r="C115" t="s">
        <v>3558</v>
      </c>
      <c r="D115" t="s">
        <v>3547</v>
      </c>
      <c r="F115">
        <v>24.282774</v>
      </c>
      <c r="G115">
        <v>25.647283999999999</v>
      </c>
      <c r="H115">
        <v>25.308827999999998</v>
      </c>
      <c r="I115">
        <v>24.922684</v>
      </c>
      <c r="J115">
        <v>24.84449</v>
      </c>
      <c r="K115">
        <v>25.006926</v>
      </c>
      <c r="L115">
        <v>25.235980999999999</v>
      </c>
      <c r="M115">
        <v>25.372945999999999</v>
      </c>
      <c r="N115">
        <v>26.010107000000001</v>
      </c>
      <c r="O115">
        <v>26.505376999999999</v>
      </c>
      <c r="P115">
        <v>26.782921000000002</v>
      </c>
      <c r="Q115">
        <v>27.294965999999999</v>
      </c>
      <c r="R115">
        <v>27.164916999999999</v>
      </c>
      <c r="S115">
        <v>26.936419000000001</v>
      </c>
      <c r="T115">
        <v>26.757287999999999</v>
      </c>
      <c r="U115">
        <v>26.579505999999999</v>
      </c>
      <c r="V115">
        <v>26.571735</v>
      </c>
      <c r="W115">
        <v>26.701001999999999</v>
      </c>
      <c r="X115">
        <v>26.811657</v>
      </c>
      <c r="Y115">
        <v>26.870258</v>
      </c>
      <c r="Z115">
        <v>26.840878</v>
      </c>
      <c r="AA115">
        <v>26.774963</v>
      </c>
      <c r="AB115">
        <v>26.654264000000001</v>
      </c>
      <c r="AC115">
        <v>26.448715</v>
      </c>
      <c r="AD115">
        <v>26.278912999999999</v>
      </c>
      <c r="AE115">
        <v>26.253814999999999</v>
      </c>
      <c r="AF115">
        <v>26.149422000000001</v>
      </c>
      <c r="AG115" s="22">
        <v>3.0000000000000001E-3</v>
      </c>
    </row>
    <row r="116" spans="1:33">
      <c r="A116" t="s">
        <v>3557</v>
      </c>
      <c r="B116" t="s">
        <v>3556</v>
      </c>
      <c r="C116" t="s">
        <v>3555</v>
      </c>
      <c r="D116" t="s">
        <v>3547</v>
      </c>
      <c r="F116">
        <v>15.662438</v>
      </c>
      <c r="G116">
        <v>17.095972</v>
      </c>
      <c r="H116">
        <v>16.921756999999999</v>
      </c>
      <c r="I116">
        <v>16.564378999999999</v>
      </c>
      <c r="J116">
        <v>16.49259</v>
      </c>
      <c r="K116">
        <v>16.698236000000001</v>
      </c>
      <c r="L116">
        <v>16.991081000000001</v>
      </c>
      <c r="M116">
        <v>17.245121000000001</v>
      </c>
      <c r="N116">
        <v>17.959441999999999</v>
      </c>
      <c r="O116">
        <v>18.565225999999999</v>
      </c>
      <c r="P116">
        <v>18.924628999999999</v>
      </c>
      <c r="Q116">
        <v>19.662490999999999</v>
      </c>
      <c r="R116">
        <v>19.615673000000001</v>
      </c>
      <c r="S116">
        <v>19.493829999999999</v>
      </c>
      <c r="T116">
        <v>19.405608999999998</v>
      </c>
      <c r="U116">
        <v>19.300985000000001</v>
      </c>
      <c r="V116">
        <v>19.363647</v>
      </c>
      <c r="W116">
        <v>19.582083000000001</v>
      </c>
      <c r="X116">
        <v>19.75009</v>
      </c>
      <c r="Y116">
        <v>19.927520999999999</v>
      </c>
      <c r="Z116">
        <v>19.945639</v>
      </c>
      <c r="AA116">
        <v>19.946338999999998</v>
      </c>
      <c r="AB116">
        <v>19.898668000000001</v>
      </c>
      <c r="AC116">
        <v>19.771090999999998</v>
      </c>
      <c r="AD116">
        <v>19.676361</v>
      </c>
      <c r="AE116">
        <v>19.762139999999999</v>
      </c>
      <c r="AF116">
        <v>19.735866999999999</v>
      </c>
      <c r="AG116" s="22">
        <v>8.9999999999999993E-3</v>
      </c>
    </row>
    <row r="117" spans="1:33">
      <c r="A117" t="s">
        <v>3554</v>
      </c>
      <c r="B117" t="s">
        <v>3553</v>
      </c>
      <c r="C117" t="s">
        <v>3552</v>
      </c>
      <c r="D117" t="s">
        <v>3547</v>
      </c>
      <c r="F117">
        <v>11.131519000000001</v>
      </c>
      <c r="G117">
        <v>11.783325</v>
      </c>
      <c r="H117">
        <v>11.598039</v>
      </c>
      <c r="I117">
        <v>11.436346</v>
      </c>
      <c r="J117">
        <v>11.439994</v>
      </c>
      <c r="K117">
        <v>11.579726000000001</v>
      </c>
      <c r="L117">
        <v>11.769632</v>
      </c>
      <c r="M117">
        <v>11.890407</v>
      </c>
      <c r="N117">
        <v>12.266788</v>
      </c>
      <c r="O117">
        <v>12.528677999999999</v>
      </c>
      <c r="P117">
        <v>12.711942000000001</v>
      </c>
      <c r="Q117">
        <v>13.838943</v>
      </c>
      <c r="R117">
        <v>13.914254</v>
      </c>
      <c r="S117">
        <v>13.820492</v>
      </c>
      <c r="T117">
        <v>13.752132</v>
      </c>
      <c r="U117">
        <v>13.689482999999999</v>
      </c>
      <c r="V117">
        <v>13.71308</v>
      </c>
      <c r="W117">
        <v>13.800635</v>
      </c>
      <c r="X117">
        <v>13.886991</v>
      </c>
      <c r="Y117">
        <v>13.943507</v>
      </c>
      <c r="Z117">
        <v>13.96114</v>
      </c>
      <c r="AA117">
        <v>13.94815</v>
      </c>
      <c r="AB117">
        <v>13.912392000000001</v>
      </c>
      <c r="AC117">
        <v>13.839399999999999</v>
      </c>
      <c r="AD117">
        <v>13.792706000000001</v>
      </c>
      <c r="AE117">
        <v>13.955946000000001</v>
      </c>
      <c r="AF117">
        <v>13.916736999999999</v>
      </c>
      <c r="AG117" s="22">
        <v>8.9999999999999993E-3</v>
      </c>
    </row>
    <row r="118" spans="1:33">
      <c r="A118" t="s">
        <v>206</v>
      </c>
      <c r="B118" t="s">
        <v>3551</v>
      </c>
      <c r="C118" t="s">
        <v>3550</v>
      </c>
      <c r="D118" t="s">
        <v>3547</v>
      </c>
      <c r="F118">
        <v>10.518917999999999</v>
      </c>
      <c r="G118">
        <v>11.220459</v>
      </c>
      <c r="H118">
        <v>11.048302</v>
      </c>
      <c r="I118">
        <v>10.882524</v>
      </c>
      <c r="J118">
        <v>10.878577999999999</v>
      </c>
      <c r="K118">
        <v>10.997228</v>
      </c>
      <c r="L118">
        <v>11.141553999999999</v>
      </c>
      <c r="M118">
        <v>11.237958000000001</v>
      </c>
      <c r="N118">
        <v>11.587527</v>
      </c>
      <c r="O118">
        <v>11.865107</v>
      </c>
      <c r="P118">
        <v>12.042180999999999</v>
      </c>
      <c r="Q118">
        <v>12.425376999999999</v>
      </c>
      <c r="R118">
        <v>12.398633999999999</v>
      </c>
      <c r="S118">
        <v>12.306039999999999</v>
      </c>
      <c r="T118">
        <v>12.237890999999999</v>
      </c>
      <c r="U118">
        <v>12.169972</v>
      </c>
      <c r="V118">
        <v>12.187250000000001</v>
      </c>
      <c r="W118">
        <v>12.269031999999999</v>
      </c>
      <c r="X118">
        <v>12.346788999999999</v>
      </c>
      <c r="Y118">
        <v>12.400518999999999</v>
      </c>
      <c r="Z118">
        <v>12.414308999999999</v>
      </c>
      <c r="AA118">
        <v>12.404987999999999</v>
      </c>
      <c r="AB118">
        <v>12.371383</v>
      </c>
      <c r="AC118">
        <v>12.301284000000001</v>
      </c>
      <c r="AD118">
        <v>12.250579</v>
      </c>
      <c r="AE118">
        <v>12.284452</v>
      </c>
      <c r="AF118">
        <v>12.258368000000001</v>
      </c>
      <c r="AG118" s="22">
        <v>6.0000000000000001E-3</v>
      </c>
    </row>
    <row r="119" spans="1:33">
      <c r="A119" t="s">
        <v>207</v>
      </c>
      <c r="B119" t="s">
        <v>3549</v>
      </c>
      <c r="C119" t="s">
        <v>3548</v>
      </c>
      <c r="D119" t="s">
        <v>3547</v>
      </c>
      <c r="F119">
        <v>11.206511000000001</v>
      </c>
      <c r="G119">
        <v>11.851167999999999</v>
      </c>
      <c r="H119">
        <v>11.666744</v>
      </c>
      <c r="I119">
        <v>11.508732999999999</v>
      </c>
      <c r="J119">
        <v>11.513063000000001</v>
      </c>
      <c r="K119">
        <v>11.654737000000001</v>
      </c>
      <c r="L119">
        <v>11.849112999999999</v>
      </c>
      <c r="M119">
        <v>11.970824</v>
      </c>
      <c r="N119">
        <v>12.350697</v>
      </c>
      <c r="O119">
        <v>12.611025</v>
      </c>
      <c r="P119">
        <v>12.794636000000001</v>
      </c>
      <c r="Q119">
        <v>14.018115999999999</v>
      </c>
      <c r="R119">
        <v>14.107737999999999</v>
      </c>
      <c r="S119">
        <v>14.015776000000001</v>
      </c>
      <c r="T119">
        <v>13.949567999999999</v>
      </c>
      <c r="U119">
        <v>13.890155</v>
      </c>
      <c r="V119">
        <v>13.92394</v>
      </c>
      <c r="W119">
        <v>14.023643</v>
      </c>
      <c r="X119">
        <v>14.124241</v>
      </c>
      <c r="Y119">
        <v>14.193315</v>
      </c>
      <c r="Z119">
        <v>14.223763</v>
      </c>
      <c r="AA119">
        <v>14.221519000000001</v>
      </c>
      <c r="AB119">
        <v>14.199920000000001</v>
      </c>
      <c r="AC119">
        <v>14.141954</v>
      </c>
      <c r="AD119">
        <v>14.111420000000001</v>
      </c>
      <c r="AE119">
        <v>14.317017</v>
      </c>
      <c r="AF119">
        <v>14.291043999999999</v>
      </c>
      <c r="AG119" s="22">
        <v>8.9999999999999993E-3</v>
      </c>
    </row>
  </sheetData>
  <pageMargins left="0.7" right="0.7" top="0.75" bottom="0.75" header="0.3" footer="0.3"/>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3F48F02-FD67-4031-AB4A-9B8E1FA2E39D}">
  <sheetPr>
    <tabColor theme="4" tint="0.39997558519241921"/>
  </sheetPr>
  <dimension ref="A1:AG61"/>
  <sheetViews>
    <sheetView workbookViewId="0"/>
  </sheetViews>
  <sheetFormatPr defaultRowHeight="15"/>
  <cols>
    <col min="1" max="1" width="22.140625" customWidth="1"/>
  </cols>
  <sheetData>
    <row r="1" spans="1:33">
      <c r="A1" t="s">
        <v>197</v>
      </c>
    </row>
    <row r="2" spans="1:33">
      <c r="A2" t="s">
        <v>3546</v>
      </c>
    </row>
    <row r="3" spans="1:33">
      <c r="A3" t="s">
        <v>3545</v>
      </c>
    </row>
    <row r="4" spans="1:33">
      <c r="A4" t="s">
        <v>146</v>
      </c>
    </row>
    <row r="5" spans="1:33">
      <c r="B5" t="s">
        <v>198</v>
      </c>
      <c r="C5" t="s">
        <v>199</v>
      </c>
      <c r="D5" t="s">
        <v>200</v>
      </c>
      <c r="E5">
        <v>2023</v>
      </c>
      <c r="F5">
        <v>2024</v>
      </c>
      <c r="G5">
        <v>2025</v>
      </c>
      <c r="H5">
        <v>2026</v>
      </c>
      <c r="I5">
        <v>2027</v>
      </c>
      <c r="J5">
        <v>2028</v>
      </c>
      <c r="K5">
        <v>2029</v>
      </c>
      <c r="L5">
        <v>2030</v>
      </c>
      <c r="M5">
        <v>2031</v>
      </c>
      <c r="N5">
        <v>2032</v>
      </c>
      <c r="O5">
        <v>2033</v>
      </c>
      <c r="P5">
        <v>2034</v>
      </c>
      <c r="Q5">
        <v>2035</v>
      </c>
      <c r="R5">
        <v>2036</v>
      </c>
      <c r="S5">
        <v>2037</v>
      </c>
      <c r="T5">
        <v>2038</v>
      </c>
      <c r="U5">
        <v>2039</v>
      </c>
      <c r="V5">
        <v>2040</v>
      </c>
      <c r="W5">
        <v>2041</v>
      </c>
      <c r="X5">
        <v>2042</v>
      </c>
      <c r="Y5">
        <v>2043</v>
      </c>
      <c r="Z5">
        <v>2044</v>
      </c>
      <c r="AA5">
        <v>2045</v>
      </c>
      <c r="AB5">
        <v>2046</v>
      </c>
      <c r="AC5">
        <v>2047</v>
      </c>
      <c r="AD5">
        <v>2048</v>
      </c>
      <c r="AE5">
        <v>2049</v>
      </c>
      <c r="AF5">
        <v>2050</v>
      </c>
      <c r="AG5" t="s">
        <v>2417</v>
      </c>
    </row>
    <row r="6" spans="1:33">
      <c r="A6" t="s">
        <v>44</v>
      </c>
    </row>
    <row r="7" spans="1:33">
      <c r="A7" t="s">
        <v>159</v>
      </c>
    </row>
    <row r="8" spans="1:33">
      <c r="A8" t="s">
        <v>160</v>
      </c>
      <c r="B8" t="s">
        <v>3544</v>
      </c>
      <c r="C8" t="s">
        <v>3543</v>
      </c>
      <c r="D8" t="s">
        <v>201</v>
      </c>
      <c r="F8">
        <v>15264.654296999999</v>
      </c>
      <c r="G8">
        <v>15318.794921999999</v>
      </c>
      <c r="H8">
        <v>15263.796875</v>
      </c>
      <c r="I8">
        <v>15137.205078000001</v>
      </c>
      <c r="J8">
        <v>14977.21875</v>
      </c>
      <c r="K8">
        <v>14792.022461</v>
      </c>
      <c r="L8">
        <v>14586.776367</v>
      </c>
      <c r="M8">
        <v>14410.758789</v>
      </c>
      <c r="N8">
        <v>14212.752930000001</v>
      </c>
      <c r="O8">
        <v>14032.137694999999</v>
      </c>
      <c r="P8">
        <v>13876.545898</v>
      </c>
      <c r="Q8">
        <v>13716.935546999999</v>
      </c>
      <c r="R8">
        <v>13531.819336</v>
      </c>
      <c r="S8">
        <v>13355.208984000001</v>
      </c>
      <c r="T8">
        <v>13213.083984000001</v>
      </c>
      <c r="U8">
        <v>13074.737305000001</v>
      </c>
      <c r="V8">
        <v>12960.391602</v>
      </c>
      <c r="W8">
        <v>12861.576171999999</v>
      </c>
      <c r="X8">
        <v>12746.392578000001</v>
      </c>
      <c r="Y8">
        <v>12672.746094</v>
      </c>
      <c r="Z8">
        <v>12583.179688</v>
      </c>
      <c r="AA8">
        <v>12516.973633</v>
      </c>
      <c r="AB8">
        <v>12440.612305000001</v>
      </c>
      <c r="AC8">
        <v>12393.320312</v>
      </c>
      <c r="AD8">
        <v>12311.715819999999</v>
      </c>
      <c r="AE8">
        <v>12264.786133</v>
      </c>
      <c r="AF8">
        <v>12255.931640999999</v>
      </c>
      <c r="AG8" s="22">
        <v>-8.0000000000000002E-3</v>
      </c>
    </row>
    <row r="9" spans="1:33">
      <c r="A9" t="s">
        <v>161</v>
      </c>
      <c r="B9" t="s">
        <v>3542</v>
      </c>
      <c r="C9" t="s">
        <v>3541</v>
      </c>
      <c r="D9" t="s">
        <v>201</v>
      </c>
      <c r="F9">
        <v>5666.4248049999997</v>
      </c>
      <c r="G9">
        <v>5554.9677730000003</v>
      </c>
      <c r="H9">
        <v>5400.2788090000004</v>
      </c>
      <c r="I9">
        <v>5213.4335940000001</v>
      </c>
      <c r="J9">
        <v>5021.1035160000001</v>
      </c>
      <c r="K9">
        <v>4829.015625</v>
      </c>
      <c r="L9">
        <v>4647.3159180000002</v>
      </c>
      <c r="M9">
        <v>4471.4189450000003</v>
      </c>
      <c r="N9">
        <v>4301.4409180000002</v>
      </c>
      <c r="O9">
        <v>4137.546875</v>
      </c>
      <c r="P9">
        <v>4011.375732</v>
      </c>
      <c r="Q9">
        <v>3874.71875</v>
      </c>
      <c r="R9">
        <v>3737.3823240000002</v>
      </c>
      <c r="S9">
        <v>3626.6340329999998</v>
      </c>
      <c r="T9">
        <v>3540.140625</v>
      </c>
      <c r="U9">
        <v>3457.0771479999999</v>
      </c>
      <c r="V9">
        <v>3381.4636230000001</v>
      </c>
      <c r="W9">
        <v>3320.8725589999999</v>
      </c>
      <c r="X9">
        <v>3263.185547</v>
      </c>
      <c r="Y9">
        <v>3214.3291020000001</v>
      </c>
      <c r="Z9">
        <v>3165.242432</v>
      </c>
      <c r="AA9">
        <v>3127.65625</v>
      </c>
      <c r="AB9">
        <v>3090.6357419999999</v>
      </c>
      <c r="AC9">
        <v>3066.741211</v>
      </c>
      <c r="AD9">
        <v>3033.1828609999998</v>
      </c>
      <c r="AE9">
        <v>3002.1784670000002</v>
      </c>
      <c r="AF9">
        <v>2982.717529</v>
      </c>
      <c r="AG9" s="22">
        <v>-2.4E-2</v>
      </c>
    </row>
    <row r="10" spans="1:33">
      <c r="A10" t="s">
        <v>162</v>
      </c>
      <c r="B10" t="s">
        <v>3540</v>
      </c>
      <c r="C10" t="s">
        <v>3539</v>
      </c>
      <c r="D10" t="s">
        <v>201</v>
      </c>
      <c r="F10">
        <v>9580.5361329999996</v>
      </c>
      <c r="G10">
        <v>9746.5537110000005</v>
      </c>
      <c r="H10">
        <v>9846.8046880000002</v>
      </c>
      <c r="I10">
        <v>9907.7138670000004</v>
      </c>
      <c r="J10">
        <v>9940.7285159999992</v>
      </c>
      <c r="K10">
        <v>9948.2871090000008</v>
      </c>
      <c r="L10">
        <v>9925.3662110000005</v>
      </c>
      <c r="M10">
        <v>9925.8486329999996</v>
      </c>
      <c r="N10">
        <v>9898.3974610000005</v>
      </c>
      <c r="O10">
        <v>9882.2314449999994</v>
      </c>
      <c r="P10">
        <v>9853.2382809999999</v>
      </c>
      <c r="Q10">
        <v>9830.7392579999996</v>
      </c>
      <c r="R10">
        <v>9783.4082030000009</v>
      </c>
      <c r="S10">
        <v>9717.9101559999999</v>
      </c>
      <c r="T10">
        <v>9662.5664059999999</v>
      </c>
      <c r="U10">
        <v>9607.5527340000008</v>
      </c>
      <c r="V10">
        <v>9569.0595699999994</v>
      </c>
      <c r="W10">
        <v>9531.0273440000001</v>
      </c>
      <c r="X10">
        <v>9473.7138670000004</v>
      </c>
      <c r="Y10">
        <v>9449.0751949999994</v>
      </c>
      <c r="Z10">
        <v>9408.7441409999992</v>
      </c>
      <c r="AA10">
        <v>9380.2470699999994</v>
      </c>
      <c r="AB10">
        <v>9341.0205079999996</v>
      </c>
      <c r="AC10">
        <v>9317.6933590000008</v>
      </c>
      <c r="AD10">
        <v>9269.7519530000009</v>
      </c>
      <c r="AE10">
        <v>9253.921875</v>
      </c>
      <c r="AF10">
        <v>9264.5908199999994</v>
      </c>
      <c r="AG10" s="22">
        <v>-1E-3</v>
      </c>
    </row>
    <row r="11" spans="1:33">
      <c r="A11" t="s">
        <v>163</v>
      </c>
      <c r="B11" t="s">
        <v>3538</v>
      </c>
      <c r="C11" t="s">
        <v>3537</v>
      </c>
      <c r="D11" t="s">
        <v>201</v>
      </c>
      <c r="F11">
        <v>17.693826999999999</v>
      </c>
      <c r="G11">
        <v>17.273775000000001</v>
      </c>
      <c r="H11">
        <v>16.712741999999999</v>
      </c>
      <c r="I11">
        <v>16.057793</v>
      </c>
      <c r="J11">
        <v>15.386234999999999</v>
      </c>
      <c r="K11">
        <v>14.720136</v>
      </c>
      <c r="L11">
        <v>14.094455</v>
      </c>
      <c r="M11">
        <v>13.491011</v>
      </c>
      <c r="N11">
        <v>12.914552</v>
      </c>
      <c r="O11">
        <v>12.358893999999999</v>
      </c>
      <c r="P11">
        <v>11.931881000000001</v>
      </c>
      <c r="Q11">
        <v>11.47748</v>
      </c>
      <c r="R11">
        <v>11.027963</v>
      </c>
      <c r="S11">
        <v>10.665314</v>
      </c>
      <c r="T11">
        <v>10.377406000000001</v>
      </c>
      <c r="U11">
        <v>10.107397000000001</v>
      </c>
      <c r="V11">
        <v>9.8679469999999991</v>
      </c>
      <c r="W11">
        <v>9.6754479999999994</v>
      </c>
      <c r="X11">
        <v>9.4931680000000007</v>
      </c>
      <c r="Y11">
        <v>9.3422169999999998</v>
      </c>
      <c r="Z11">
        <v>9.1935490000000009</v>
      </c>
      <c r="AA11">
        <v>9.0707690000000003</v>
      </c>
      <c r="AB11">
        <v>8.9561119999999992</v>
      </c>
      <c r="AC11">
        <v>8.8854290000000002</v>
      </c>
      <c r="AD11">
        <v>8.7810810000000004</v>
      </c>
      <c r="AE11">
        <v>8.6851040000000008</v>
      </c>
      <c r="AF11">
        <v>8.623068</v>
      </c>
      <c r="AG11" s="22">
        <v>-2.7E-2</v>
      </c>
    </row>
    <row r="12" spans="1:33">
      <c r="A12" t="s">
        <v>164</v>
      </c>
      <c r="B12" t="s">
        <v>3536</v>
      </c>
      <c r="C12" t="s">
        <v>3535</v>
      </c>
      <c r="D12" t="s">
        <v>201</v>
      </c>
      <c r="F12">
        <v>874.37512200000003</v>
      </c>
      <c r="G12">
        <v>855.73944100000006</v>
      </c>
      <c r="H12">
        <v>839.740723</v>
      </c>
      <c r="I12">
        <v>829.06292699999995</v>
      </c>
      <c r="J12">
        <v>817.03814699999998</v>
      </c>
      <c r="K12">
        <v>806.52301</v>
      </c>
      <c r="L12">
        <v>797.05285600000002</v>
      </c>
      <c r="M12">
        <v>786.66845699999999</v>
      </c>
      <c r="N12">
        <v>776.01849400000003</v>
      </c>
      <c r="O12">
        <v>765.74768100000006</v>
      </c>
      <c r="P12">
        <v>755.15270999999996</v>
      </c>
      <c r="Q12">
        <v>744.23327600000005</v>
      </c>
      <c r="R12">
        <v>733.15374799999995</v>
      </c>
      <c r="S12">
        <v>721.99127199999998</v>
      </c>
      <c r="T12">
        <v>710.85888699999998</v>
      </c>
      <c r="U12">
        <v>699.93121299999996</v>
      </c>
      <c r="V12">
        <v>689.72302200000001</v>
      </c>
      <c r="W12">
        <v>678.65423599999997</v>
      </c>
      <c r="X12">
        <v>668.12085000000002</v>
      </c>
      <c r="Y12">
        <v>657.26196300000004</v>
      </c>
      <c r="Z12">
        <v>646.87316899999996</v>
      </c>
      <c r="AA12">
        <v>636.53192100000001</v>
      </c>
      <c r="AB12">
        <v>626.42468299999996</v>
      </c>
      <c r="AC12">
        <v>616.49578899999995</v>
      </c>
      <c r="AD12">
        <v>606.53198199999997</v>
      </c>
      <c r="AE12">
        <v>596.60644500000001</v>
      </c>
      <c r="AF12">
        <v>586.68280000000004</v>
      </c>
      <c r="AG12" s="22">
        <v>-1.4999999999999999E-2</v>
      </c>
    </row>
    <row r="13" spans="1:33">
      <c r="A13" t="s">
        <v>165</v>
      </c>
      <c r="B13" t="s">
        <v>3534</v>
      </c>
      <c r="C13" t="s">
        <v>3533</v>
      </c>
      <c r="D13" t="s">
        <v>201</v>
      </c>
      <c r="F13">
        <v>207.85881000000001</v>
      </c>
      <c r="G13">
        <v>213.51556400000001</v>
      </c>
      <c r="H13">
        <v>216.12988300000001</v>
      </c>
      <c r="I13">
        <v>217.12576300000001</v>
      </c>
      <c r="J13">
        <v>217.48173499999999</v>
      </c>
      <c r="K13">
        <v>217.42764299999999</v>
      </c>
      <c r="L13">
        <v>217.24430799999999</v>
      </c>
      <c r="M13">
        <v>216.24174500000001</v>
      </c>
      <c r="N13">
        <v>214.76507599999999</v>
      </c>
      <c r="O13">
        <v>213.185867</v>
      </c>
      <c r="P13">
        <v>211.90617399999999</v>
      </c>
      <c r="Q13">
        <v>210.37204</v>
      </c>
      <c r="R13">
        <v>208.782928</v>
      </c>
      <c r="S13">
        <v>207.22485399999999</v>
      </c>
      <c r="T13">
        <v>205.64492799999999</v>
      </c>
      <c r="U13">
        <v>203.97955300000001</v>
      </c>
      <c r="V13">
        <v>202.18666099999999</v>
      </c>
      <c r="W13">
        <v>200.30072000000001</v>
      </c>
      <c r="X13">
        <v>198.29199199999999</v>
      </c>
      <c r="Y13">
        <v>196.33680699999999</v>
      </c>
      <c r="Z13">
        <v>194.28083799999999</v>
      </c>
      <c r="AA13">
        <v>192.319534</v>
      </c>
      <c r="AB13">
        <v>190.19499200000001</v>
      </c>
      <c r="AC13">
        <v>187.95109600000001</v>
      </c>
      <c r="AD13">
        <v>185.79196200000001</v>
      </c>
      <c r="AE13">
        <v>183.69107099999999</v>
      </c>
      <c r="AF13">
        <v>181.903885</v>
      </c>
      <c r="AG13" s="22">
        <v>-5.0000000000000001E-3</v>
      </c>
    </row>
    <row r="14" spans="1:33">
      <c r="A14" t="s">
        <v>166</v>
      </c>
      <c r="B14" t="s">
        <v>3532</v>
      </c>
      <c r="C14" t="s">
        <v>3531</v>
      </c>
      <c r="D14" t="s">
        <v>201</v>
      </c>
      <c r="F14">
        <v>76.710044999999994</v>
      </c>
      <c r="G14">
        <v>81.313903999999994</v>
      </c>
      <c r="H14">
        <v>83.939346</v>
      </c>
      <c r="I14">
        <v>85.569359000000006</v>
      </c>
      <c r="J14">
        <v>86.754188999999997</v>
      </c>
      <c r="K14">
        <v>87.688941999999997</v>
      </c>
      <c r="L14">
        <v>88.627594000000002</v>
      </c>
      <c r="M14">
        <v>88.838866999999993</v>
      </c>
      <c r="N14">
        <v>88.562233000000006</v>
      </c>
      <c r="O14">
        <v>88.112342999999996</v>
      </c>
      <c r="P14">
        <v>87.900931999999997</v>
      </c>
      <c r="Q14">
        <v>87.407082000000003</v>
      </c>
      <c r="R14">
        <v>86.832076999999998</v>
      </c>
      <c r="S14">
        <v>86.239661999999996</v>
      </c>
      <c r="T14">
        <v>85.777709999999999</v>
      </c>
      <c r="U14">
        <v>85.252876000000001</v>
      </c>
      <c r="V14">
        <v>84.619086999999993</v>
      </c>
      <c r="W14">
        <v>83.913132000000004</v>
      </c>
      <c r="X14">
        <v>83.115341000000001</v>
      </c>
      <c r="Y14">
        <v>82.391418000000002</v>
      </c>
      <c r="Z14">
        <v>81.586922000000001</v>
      </c>
      <c r="AA14">
        <v>80.892448000000002</v>
      </c>
      <c r="AB14">
        <v>80.055817000000005</v>
      </c>
      <c r="AC14">
        <v>79.108192000000003</v>
      </c>
      <c r="AD14">
        <v>78.258156</v>
      </c>
      <c r="AE14">
        <v>77.463318000000001</v>
      </c>
      <c r="AF14">
        <v>76.982123999999999</v>
      </c>
      <c r="AG14" s="22">
        <v>0</v>
      </c>
    </row>
    <row r="15" spans="1:33">
      <c r="A15" t="s">
        <v>167</v>
      </c>
      <c r="B15" t="s">
        <v>3530</v>
      </c>
      <c r="C15" t="s">
        <v>3529</v>
      </c>
      <c r="D15" t="s">
        <v>201</v>
      </c>
      <c r="F15">
        <v>30.108592999999999</v>
      </c>
      <c r="G15">
        <v>31.324183000000001</v>
      </c>
      <c r="H15">
        <v>32.204268999999996</v>
      </c>
      <c r="I15">
        <v>32.814284999999998</v>
      </c>
      <c r="J15">
        <v>33.256686999999999</v>
      </c>
      <c r="K15">
        <v>33.580925000000001</v>
      </c>
      <c r="L15">
        <v>33.812759</v>
      </c>
      <c r="M15">
        <v>33.971854999999998</v>
      </c>
      <c r="N15">
        <v>34.074733999999999</v>
      </c>
      <c r="O15">
        <v>34.127521999999999</v>
      </c>
      <c r="P15">
        <v>34.138331999999998</v>
      </c>
      <c r="Q15">
        <v>34.117863</v>
      </c>
      <c r="R15">
        <v>34.071151999999998</v>
      </c>
      <c r="S15">
        <v>34.002563000000002</v>
      </c>
      <c r="T15">
        <v>33.932445999999999</v>
      </c>
      <c r="U15">
        <v>33.850540000000002</v>
      </c>
      <c r="V15">
        <v>33.759456999999998</v>
      </c>
      <c r="W15">
        <v>33.660358000000002</v>
      </c>
      <c r="X15">
        <v>33.556801</v>
      </c>
      <c r="Y15">
        <v>33.447479000000001</v>
      </c>
      <c r="Z15">
        <v>33.332580999999998</v>
      </c>
      <c r="AA15">
        <v>33.213673</v>
      </c>
      <c r="AB15">
        <v>33.091960999999998</v>
      </c>
      <c r="AC15">
        <v>32.971535000000003</v>
      </c>
      <c r="AD15">
        <v>32.850974999999998</v>
      </c>
      <c r="AE15">
        <v>32.727406000000002</v>
      </c>
      <c r="AF15">
        <v>32.602530999999999</v>
      </c>
      <c r="AG15" s="22">
        <v>3.0000000000000001E-3</v>
      </c>
    </row>
    <row r="16" spans="1:33">
      <c r="A16" t="s">
        <v>168</v>
      </c>
      <c r="B16" t="s">
        <v>3528</v>
      </c>
      <c r="C16" t="s">
        <v>3527</v>
      </c>
      <c r="D16" t="s">
        <v>201</v>
      </c>
      <c r="F16">
        <v>101.04016900000001</v>
      </c>
      <c r="G16">
        <v>100.87748000000001</v>
      </c>
      <c r="H16">
        <v>99.986282000000003</v>
      </c>
      <c r="I16">
        <v>98.742125999999999</v>
      </c>
      <c r="J16">
        <v>97.470871000000002</v>
      </c>
      <c r="K16">
        <v>96.157784000000007</v>
      </c>
      <c r="L16">
        <v>94.803955000000002</v>
      </c>
      <c r="M16">
        <v>93.431022999999996</v>
      </c>
      <c r="N16">
        <v>92.128097999999994</v>
      </c>
      <c r="O16">
        <v>90.945992000000004</v>
      </c>
      <c r="P16">
        <v>89.866919999999993</v>
      </c>
      <c r="Q16">
        <v>88.847099</v>
      </c>
      <c r="R16">
        <v>87.879683999999997</v>
      </c>
      <c r="S16">
        <v>86.982628000000005</v>
      </c>
      <c r="T16">
        <v>85.934760999999995</v>
      </c>
      <c r="U16">
        <v>84.876143999999996</v>
      </c>
      <c r="V16">
        <v>83.808136000000005</v>
      </c>
      <c r="W16">
        <v>82.727233999999996</v>
      </c>
      <c r="X16">
        <v>81.619865000000004</v>
      </c>
      <c r="Y16">
        <v>80.497901999999996</v>
      </c>
      <c r="Z16">
        <v>79.361335999999994</v>
      </c>
      <c r="AA16">
        <v>78.213408999999999</v>
      </c>
      <c r="AB16">
        <v>77.047211000000004</v>
      </c>
      <c r="AC16">
        <v>75.871360999999993</v>
      </c>
      <c r="AD16">
        <v>74.682838000000004</v>
      </c>
      <c r="AE16">
        <v>73.500343000000001</v>
      </c>
      <c r="AF16">
        <v>72.319229000000007</v>
      </c>
      <c r="AG16" s="22">
        <v>-1.2999999999999999E-2</v>
      </c>
    </row>
    <row r="17" spans="1:33">
      <c r="A17" t="s">
        <v>169</v>
      </c>
      <c r="B17" t="s">
        <v>3526</v>
      </c>
      <c r="C17" t="s">
        <v>3525</v>
      </c>
      <c r="D17" t="s">
        <v>201</v>
      </c>
      <c r="F17">
        <v>6005.126953</v>
      </c>
      <c r="G17">
        <v>6058.6118159999996</v>
      </c>
      <c r="H17">
        <v>6062.5512699999999</v>
      </c>
      <c r="I17">
        <v>6052.2773440000001</v>
      </c>
      <c r="J17">
        <v>6018.6777339999999</v>
      </c>
      <c r="K17">
        <v>5988.8540039999998</v>
      </c>
      <c r="L17">
        <v>5960.1274409999996</v>
      </c>
      <c r="M17">
        <v>5923.4799800000001</v>
      </c>
      <c r="N17">
        <v>5889.1938479999999</v>
      </c>
      <c r="O17">
        <v>5851.3447269999997</v>
      </c>
      <c r="P17">
        <v>5821.859375</v>
      </c>
      <c r="Q17">
        <v>5796.486328</v>
      </c>
      <c r="R17">
        <v>5783.0732420000004</v>
      </c>
      <c r="S17">
        <v>5777.6479490000002</v>
      </c>
      <c r="T17">
        <v>5775.5737300000001</v>
      </c>
      <c r="U17">
        <v>5770.501953</v>
      </c>
      <c r="V17">
        <v>5770.6044920000004</v>
      </c>
      <c r="W17">
        <v>5771.0683589999999</v>
      </c>
      <c r="X17">
        <v>5774.9721680000002</v>
      </c>
      <c r="Y17">
        <v>5776.578125</v>
      </c>
      <c r="Z17">
        <v>5777.7490230000003</v>
      </c>
      <c r="AA17">
        <v>5784.5146480000003</v>
      </c>
      <c r="AB17">
        <v>5789.7836909999996</v>
      </c>
      <c r="AC17">
        <v>5816.3759769999997</v>
      </c>
      <c r="AD17">
        <v>5843.7744140000004</v>
      </c>
      <c r="AE17">
        <v>5867.5795900000003</v>
      </c>
      <c r="AF17">
        <v>5884.564453</v>
      </c>
      <c r="AG17" s="22">
        <v>-1E-3</v>
      </c>
    </row>
    <row r="18" spans="1:33">
      <c r="A18" t="s">
        <v>170</v>
      </c>
      <c r="B18" t="s">
        <v>3524</v>
      </c>
      <c r="C18" t="s">
        <v>3523</v>
      </c>
      <c r="D18" t="s">
        <v>201</v>
      </c>
      <c r="F18">
        <v>851.47601299999997</v>
      </c>
      <c r="G18">
        <v>863.49975600000005</v>
      </c>
      <c r="H18">
        <v>867.48791500000004</v>
      </c>
      <c r="I18">
        <v>868.15887499999997</v>
      </c>
      <c r="J18">
        <v>866.95129399999996</v>
      </c>
      <c r="K18">
        <v>870.92327899999998</v>
      </c>
      <c r="L18">
        <v>877.43017599999996</v>
      </c>
      <c r="M18">
        <v>883.93866000000003</v>
      </c>
      <c r="N18">
        <v>890.85522500000002</v>
      </c>
      <c r="O18">
        <v>897.59167500000001</v>
      </c>
      <c r="P18">
        <v>905.223389</v>
      </c>
      <c r="Q18">
        <v>912.45800799999995</v>
      </c>
      <c r="R18">
        <v>919.90441899999996</v>
      </c>
      <c r="S18">
        <v>926.81396500000005</v>
      </c>
      <c r="T18">
        <v>933.20428500000003</v>
      </c>
      <c r="U18">
        <v>938.73590100000001</v>
      </c>
      <c r="V18">
        <v>945.26696800000002</v>
      </c>
      <c r="W18">
        <v>950.28949</v>
      </c>
      <c r="X18">
        <v>954.308716</v>
      </c>
      <c r="Y18">
        <v>956.26916500000004</v>
      </c>
      <c r="Z18">
        <v>958.11407499999996</v>
      </c>
      <c r="AA18">
        <v>961.79260299999999</v>
      </c>
      <c r="AB18">
        <v>966.234375</v>
      </c>
      <c r="AC18">
        <v>973.57995600000004</v>
      </c>
      <c r="AD18">
        <v>979.51190199999996</v>
      </c>
      <c r="AE18">
        <v>984.37396200000001</v>
      </c>
      <c r="AF18">
        <v>988.63189699999998</v>
      </c>
      <c r="AG18" s="22">
        <v>6.0000000000000001E-3</v>
      </c>
    </row>
    <row r="19" spans="1:33">
      <c r="A19" t="s">
        <v>171</v>
      </c>
      <c r="B19" t="s">
        <v>3522</v>
      </c>
      <c r="C19" t="s">
        <v>3521</v>
      </c>
      <c r="D19" t="s">
        <v>201</v>
      </c>
      <c r="F19">
        <v>945.58374000000003</v>
      </c>
      <c r="G19">
        <v>933.908142</v>
      </c>
      <c r="H19">
        <v>915.86285399999997</v>
      </c>
      <c r="I19">
        <v>898.11730999999997</v>
      </c>
      <c r="J19">
        <v>880.15130599999998</v>
      </c>
      <c r="K19">
        <v>864.79656999999997</v>
      </c>
      <c r="L19">
        <v>851.15039100000001</v>
      </c>
      <c r="M19">
        <v>837.89587400000005</v>
      </c>
      <c r="N19">
        <v>826.33019999999999</v>
      </c>
      <c r="O19">
        <v>814.63720699999999</v>
      </c>
      <c r="P19">
        <v>804.64459199999999</v>
      </c>
      <c r="Q19">
        <v>795.93487500000003</v>
      </c>
      <c r="R19">
        <v>789.71978799999999</v>
      </c>
      <c r="S19">
        <v>785.57684300000005</v>
      </c>
      <c r="T19">
        <v>782.27105700000004</v>
      </c>
      <c r="U19">
        <v>779.23022500000002</v>
      </c>
      <c r="V19">
        <v>777.32287599999995</v>
      </c>
      <c r="W19">
        <v>775.71301300000005</v>
      </c>
      <c r="X19">
        <v>775.07421899999997</v>
      </c>
      <c r="Y19">
        <v>774.70257600000002</v>
      </c>
      <c r="Z19">
        <v>774.43353300000001</v>
      </c>
      <c r="AA19">
        <v>774.83459500000004</v>
      </c>
      <c r="AB19">
        <v>774.97778300000004</v>
      </c>
      <c r="AC19">
        <v>778.14654499999995</v>
      </c>
      <c r="AD19">
        <v>781.60485800000004</v>
      </c>
      <c r="AE19">
        <v>784.56280500000003</v>
      </c>
      <c r="AF19">
        <v>786.19134499999996</v>
      </c>
      <c r="AG19" s="22">
        <v>-7.0000000000000001E-3</v>
      </c>
    </row>
    <row r="20" spans="1:33">
      <c r="A20" t="s">
        <v>243</v>
      </c>
      <c r="B20" t="s">
        <v>3520</v>
      </c>
      <c r="C20" t="s">
        <v>3519</v>
      </c>
      <c r="D20" t="s">
        <v>201</v>
      </c>
      <c r="F20">
        <v>4208.0673829999996</v>
      </c>
      <c r="G20">
        <v>4261.2041019999997</v>
      </c>
      <c r="H20">
        <v>4279.201172</v>
      </c>
      <c r="I20">
        <v>4286.0009769999997</v>
      </c>
      <c r="J20">
        <v>4271.5756840000004</v>
      </c>
      <c r="K20">
        <v>4253.1347660000001</v>
      </c>
      <c r="L20">
        <v>4231.546875</v>
      </c>
      <c r="M20">
        <v>4201.6450199999999</v>
      </c>
      <c r="N20">
        <v>4172.0083009999998</v>
      </c>
      <c r="O20">
        <v>4139.1157229999999</v>
      </c>
      <c r="P20">
        <v>4111.9912109999996</v>
      </c>
      <c r="Q20">
        <v>4088.0932619999999</v>
      </c>
      <c r="R20">
        <v>4073.4489749999998</v>
      </c>
      <c r="S20">
        <v>4065.2573240000002</v>
      </c>
      <c r="T20">
        <v>4060.0986330000001</v>
      </c>
      <c r="U20">
        <v>4052.5354000000002</v>
      </c>
      <c r="V20">
        <v>4048.0146479999999</v>
      </c>
      <c r="W20">
        <v>4045.0656739999999</v>
      </c>
      <c r="X20">
        <v>4045.5888669999999</v>
      </c>
      <c r="Y20">
        <v>4045.6066890000002</v>
      </c>
      <c r="Z20">
        <v>4045.2016600000002</v>
      </c>
      <c r="AA20">
        <v>4047.8876949999999</v>
      </c>
      <c r="AB20">
        <v>4048.5717770000001</v>
      </c>
      <c r="AC20">
        <v>4064.6491700000001</v>
      </c>
      <c r="AD20">
        <v>4082.657471</v>
      </c>
      <c r="AE20">
        <v>4098.6435549999997</v>
      </c>
      <c r="AF20">
        <v>4109.7412109999996</v>
      </c>
      <c r="AG20" s="22">
        <v>-1E-3</v>
      </c>
    </row>
    <row r="21" spans="1:33">
      <c r="A21" t="s">
        <v>172</v>
      </c>
    </row>
    <row r="22" spans="1:33">
      <c r="A22" t="s">
        <v>173</v>
      </c>
      <c r="B22" t="s">
        <v>3518</v>
      </c>
      <c r="C22" t="s">
        <v>3517</v>
      </c>
      <c r="D22" t="s">
        <v>201</v>
      </c>
      <c r="F22">
        <v>3268.3242190000001</v>
      </c>
      <c r="G22">
        <v>3262.0327149999998</v>
      </c>
      <c r="H22">
        <v>3288.7465820000002</v>
      </c>
      <c r="I22">
        <v>3323.8754880000001</v>
      </c>
      <c r="J22">
        <v>3351.2607419999999</v>
      </c>
      <c r="K22">
        <v>3383.5483399999998</v>
      </c>
      <c r="L22">
        <v>3411.5717770000001</v>
      </c>
      <c r="M22">
        <v>3430.9506839999999</v>
      </c>
      <c r="N22">
        <v>3454.6042480000001</v>
      </c>
      <c r="O22">
        <v>3479.304932</v>
      </c>
      <c r="P22">
        <v>3503.2453609999998</v>
      </c>
      <c r="Q22">
        <v>3534.0239259999998</v>
      </c>
      <c r="R22">
        <v>3567.5561520000001</v>
      </c>
      <c r="S22">
        <v>3607.1560060000002</v>
      </c>
      <c r="T22">
        <v>3649.6206050000001</v>
      </c>
      <c r="U22">
        <v>3693.1416020000001</v>
      </c>
      <c r="V22">
        <v>3735.9509280000002</v>
      </c>
      <c r="W22">
        <v>3776.4458009999998</v>
      </c>
      <c r="X22">
        <v>3821.6879880000001</v>
      </c>
      <c r="Y22">
        <v>3863.9777829999998</v>
      </c>
      <c r="Z22">
        <v>3901.1779790000001</v>
      </c>
      <c r="AA22">
        <v>3936.9099120000001</v>
      </c>
      <c r="AB22">
        <v>3970.2231449999999</v>
      </c>
      <c r="AC22">
        <v>4011.1311040000001</v>
      </c>
      <c r="AD22">
        <v>4055.1303710000002</v>
      </c>
      <c r="AE22">
        <v>4094.515625</v>
      </c>
      <c r="AF22">
        <v>4133.5112300000001</v>
      </c>
      <c r="AG22" s="22">
        <v>8.9999999999999993E-3</v>
      </c>
    </row>
    <row r="23" spans="1:33">
      <c r="A23" t="s">
        <v>174</v>
      </c>
      <c r="B23" t="s">
        <v>3516</v>
      </c>
      <c r="C23" t="s">
        <v>3515</v>
      </c>
      <c r="D23" t="s">
        <v>201</v>
      </c>
      <c r="F23">
        <v>176.969177</v>
      </c>
      <c r="G23">
        <v>176.66233800000001</v>
      </c>
      <c r="H23">
        <v>177.92858899999999</v>
      </c>
      <c r="I23">
        <v>179.59652700000001</v>
      </c>
      <c r="J23">
        <v>180.896469</v>
      </c>
      <c r="K23">
        <v>182.430542</v>
      </c>
      <c r="L23">
        <v>183.76234400000001</v>
      </c>
      <c r="M23">
        <v>184.682785</v>
      </c>
      <c r="N23">
        <v>185.807266</v>
      </c>
      <c r="O23">
        <v>186.98187300000001</v>
      </c>
      <c r="P23">
        <v>188.12065100000001</v>
      </c>
      <c r="Q23">
        <v>189.58509799999999</v>
      </c>
      <c r="R23">
        <v>191.18109100000001</v>
      </c>
      <c r="S23">
        <v>193.06605500000001</v>
      </c>
      <c r="T23">
        <v>195.08763099999999</v>
      </c>
      <c r="U23">
        <v>197.15936300000001</v>
      </c>
      <c r="V23">
        <v>199.19750999999999</v>
      </c>
      <c r="W23">
        <v>201.12560999999999</v>
      </c>
      <c r="X23">
        <v>203.27960200000001</v>
      </c>
      <c r="Y23">
        <v>205.293274</v>
      </c>
      <c r="Z23">
        <v>207.06454500000001</v>
      </c>
      <c r="AA23">
        <v>208.765793</v>
      </c>
      <c r="AB23">
        <v>210.352081</v>
      </c>
      <c r="AC23">
        <v>212.29995700000001</v>
      </c>
      <c r="AD23">
        <v>214.395081</v>
      </c>
      <c r="AE23">
        <v>216.27049299999999</v>
      </c>
      <c r="AF23">
        <v>218.12735000000001</v>
      </c>
      <c r="AG23" s="22">
        <v>8.0000000000000002E-3</v>
      </c>
    </row>
    <row r="24" spans="1:33">
      <c r="A24" t="s">
        <v>203</v>
      </c>
      <c r="B24" t="s">
        <v>3514</v>
      </c>
      <c r="C24" t="s">
        <v>3513</v>
      </c>
      <c r="D24" t="s">
        <v>201</v>
      </c>
      <c r="F24">
        <v>1627.3729249999999</v>
      </c>
      <c r="G24">
        <v>1628.439453</v>
      </c>
      <c r="H24">
        <v>1648.2767329999999</v>
      </c>
      <c r="I24">
        <v>1668.1154790000001</v>
      </c>
      <c r="J24">
        <v>1681.50415</v>
      </c>
      <c r="K24">
        <v>1697.8980710000001</v>
      </c>
      <c r="L24">
        <v>1711.0428469999999</v>
      </c>
      <c r="M24">
        <v>1719.088745</v>
      </c>
      <c r="N24">
        <v>1729.4327390000001</v>
      </c>
      <c r="O24">
        <v>1740.8630370000001</v>
      </c>
      <c r="P24">
        <v>1751.280029</v>
      </c>
      <c r="Q24">
        <v>1764.3302000000001</v>
      </c>
      <c r="R24">
        <v>1777.9760739999999</v>
      </c>
      <c r="S24">
        <v>1793.6168210000001</v>
      </c>
      <c r="T24">
        <v>1811.252197</v>
      </c>
      <c r="U24">
        <v>1829.1019289999999</v>
      </c>
      <c r="V24">
        <v>1846.6695560000001</v>
      </c>
      <c r="W24">
        <v>1863.1866460000001</v>
      </c>
      <c r="X24">
        <v>1882.0354</v>
      </c>
      <c r="Y24">
        <v>1899.494629</v>
      </c>
      <c r="Z24">
        <v>1914.418457</v>
      </c>
      <c r="AA24">
        <v>1928.4327390000001</v>
      </c>
      <c r="AB24">
        <v>1941.754639</v>
      </c>
      <c r="AC24">
        <v>1959.4229740000001</v>
      </c>
      <c r="AD24">
        <v>1978.9135739999999</v>
      </c>
      <c r="AE24">
        <v>1996.4677730000001</v>
      </c>
      <c r="AF24">
        <v>2013.169067</v>
      </c>
      <c r="AG24" s="22">
        <v>8.0000000000000002E-3</v>
      </c>
    </row>
    <row r="25" spans="1:33">
      <c r="A25" t="s">
        <v>204</v>
      </c>
      <c r="B25" t="s">
        <v>3512</v>
      </c>
      <c r="C25" t="s">
        <v>3511</v>
      </c>
      <c r="D25" t="s">
        <v>201</v>
      </c>
      <c r="F25">
        <v>908.70794699999999</v>
      </c>
      <c r="G25">
        <v>902.83483899999999</v>
      </c>
      <c r="H25">
        <v>908.52081299999998</v>
      </c>
      <c r="I25">
        <v>918.44818099999998</v>
      </c>
      <c r="J25">
        <v>927.182861</v>
      </c>
      <c r="K25">
        <v>936.98394800000005</v>
      </c>
      <c r="L25">
        <v>946.00244099999998</v>
      </c>
      <c r="M25">
        <v>952.78186000000005</v>
      </c>
      <c r="N25">
        <v>960.73150599999997</v>
      </c>
      <c r="O25">
        <v>968.70251499999995</v>
      </c>
      <c r="P25">
        <v>976.70752000000005</v>
      </c>
      <c r="Q25">
        <v>987.04418899999996</v>
      </c>
      <c r="R25">
        <v>998.51452600000005</v>
      </c>
      <c r="S25">
        <v>1012.217651</v>
      </c>
      <c r="T25">
        <v>1026.4882809999999</v>
      </c>
      <c r="U25">
        <v>1041.1876219999999</v>
      </c>
      <c r="V25">
        <v>1055.647827</v>
      </c>
      <c r="W25">
        <v>1069.3748780000001</v>
      </c>
      <c r="X25">
        <v>1084.5185550000001</v>
      </c>
      <c r="Y25">
        <v>1098.759644</v>
      </c>
      <c r="Z25">
        <v>1111.492432</v>
      </c>
      <c r="AA25">
        <v>1123.8741460000001</v>
      </c>
      <c r="AB25">
        <v>1135.3001710000001</v>
      </c>
      <c r="AC25">
        <v>1148.724365</v>
      </c>
      <c r="AD25">
        <v>1162.9368899999999</v>
      </c>
      <c r="AE25">
        <v>1175.6083980000001</v>
      </c>
      <c r="AF25">
        <v>1188.4796140000001</v>
      </c>
      <c r="AG25" s="22">
        <v>0.01</v>
      </c>
    </row>
    <row r="26" spans="1:33">
      <c r="A26" t="s">
        <v>205</v>
      </c>
      <c r="B26" t="s">
        <v>3510</v>
      </c>
      <c r="C26" t="s">
        <v>3509</v>
      </c>
      <c r="D26" t="s">
        <v>201</v>
      </c>
      <c r="F26">
        <v>555.27417000000003</v>
      </c>
      <c r="G26">
        <v>554.09625200000005</v>
      </c>
      <c r="H26">
        <v>554.02062999999998</v>
      </c>
      <c r="I26">
        <v>557.71520999999996</v>
      </c>
      <c r="J26">
        <v>561.677368</v>
      </c>
      <c r="K26">
        <v>566.23571800000002</v>
      </c>
      <c r="L26">
        <v>570.76415999999995</v>
      </c>
      <c r="M26">
        <v>574.39746100000002</v>
      </c>
      <c r="N26">
        <v>578.63281199999994</v>
      </c>
      <c r="O26">
        <v>582.75750700000003</v>
      </c>
      <c r="P26">
        <v>587.13720699999999</v>
      </c>
      <c r="Q26">
        <v>593.06451400000003</v>
      </c>
      <c r="R26">
        <v>599.88421600000004</v>
      </c>
      <c r="S26">
        <v>608.25561500000003</v>
      </c>
      <c r="T26">
        <v>616.79247999999995</v>
      </c>
      <c r="U26">
        <v>625.692993</v>
      </c>
      <c r="V26">
        <v>634.43609600000002</v>
      </c>
      <c r="W26">
        <v>642.75872800000002</v>
      </c>
      <c r="X26">
        <v>651.85437000000002</v>
      </c>
      <c r="Y26">
        <v>660.43035899999995</v>
      </c>
      <c r="Z26">
        <v>668.20257600000002</v>
      </c>
      <c r="AA26">
        <v>675.83709699999997</v>
      </c>
      <c r="AB26">
        <v>682.81634499999996</v>
      </c>
      <c r="AC26">
        <v>690.68383800000004</v>
      </c>
      <c r="AD26">
        <v>698.88488800000005</v>
      </c>
      <c r="AE26">
        <v>706.16888400000005</v>
      </c>
      <c r="AF26">
        <v>713.73535200000003</v>
      </c>
      <c r="AG26" s="22">
        <v>0.01</v>
      </c>
    </row>
    <row r="27" spans="1:33">
      <c r="A27" t="s">
        <v>175</v>
      </c>
      <c r="B27" t="s">
        <v>3508</v>
      </c>
      <c r="C27" t="s">
        <v>3507</v>
      </c>
      <c r="D27" t="s">
        <v>201</v>
      </c>
      <c r="F27">
        <v>1054.1651609999999</v>
      </c>
      <c r="G27">
        <v>1034.756592</v>
      </c>
      <c r="H27">
        <v>1041.57312</v>
      </c>
      <c r="I27">
        <v>1053.5527340000001</v>
      </c>
      <c r="J27">
        <v>1062.548096</v>
      </c>
      <c r="K27">
        <v>1072.6204829999999</v>
      </c>
      <c r="L27">
        <v>1082.159058</v>
      </c>
      <c r="M27">
        <v>1090.163818</v>
      </c>
      <c r="N27">
        <v>1099.305298</v>
      </c>
      <c r="O27">
        <v>1108.4968260000001</v>
      </c>
      <c r="P27">
        <v>1118.2166749999999</v>
      </c>
      <c r="Q27">
        <v>1125.7186280000001</v>
      </c>
      <c r="R27">
        <v>1131.690186</v>
      </c>
      <c r="S27">
        <v>1137.6835940000001</v>
      </c>
      <c r="T27">
        <v>1142.8618160000001</v>
      </c>
      <c r="U27">
        <v>1147.987793</v>
      </c>
      <c r="V27">
        <v>1152.5002440000001</v>
      </c>
      <c r="W27">
        <v>1156.8479</v>
      </c>
      <c r="X27">
        <v>1161.4255370000001</v>
      </c>
      <c r="Y27">
        <v>1165.7835689999999</v>
      </c>
      <c r="Z27">
        <v>1169.735962</v>
      </c>
      <c r="AA27">
        <v>1173.3648679999999</v>
      </c>
      <c r="AB27">
        <v>1176.1563719999999</v>
      </c>
      <c r="AC27">
        <v>1181.0235600000001</v>
      </c>
      <c r="AD27">
        <v>1186.966797</v>
      </c>
      <c r="AE27">
        <v>1192.521851</v>
      </c>
      <c r="AF27">
        <v>1197.6054690000001</v>
      </c>
      <c r="AG27" s="22">
        <v>5.0000000000000001E-3</v>
      </c>
    </row>
    <row r="28" spans="1:33">
      <c r="A28" t="s">
        <v>176</v>
      </c>
      <c r="B28" t="s">
        <v>3506</v>
      </c>
      <c r="C28" t="s">
        <v>3505</v>
      </c>
      <c r="D28" t="s">
        <v>201</v>
      </c>
      <c r="F28">
        <v>846.56011999999998</v>
      </c>
      <c r="G28">
        <v>828.71191399999998</v>
      </c>
      <c r="H28">
        <v>836.32147199999997</v>
      </c>
      <c r="I28">
        <v>849.118469</v>
      </c>
      <c r="J28">
        <v>859.40270999999996</v>
      </c>
      <c r="K28">
        <v>870.53509499999996</v>
      </c>
      <c r="L28">
        <v>881.40618900000004</v>
      </c>
      <c r="M28">
        <v>891.099243</v>
      </c>
      <c r="N28">
        <v>901.58679199999995</v>
      </c>
      <c r="O28">
        <v>911.99438499999997</v>
      </c>
      <c r="P28">
        <v>922.96386700000005</v>
      </c>
      <c r="Q28">
        <v>931.48333700000001</v>
      </c>
      <c r="R28">
        <v>938.42120399999999</v>
      </c>
      <c r="S28">
        <v>945.22869900000001</v>
      </c>
      <c r="T28">
        <v>951.15991199999996</v>
      </c>
      <c r="U28">
        <v>957.08178699999996</v>
      </c>
      <c r="V28">
        <v>962.37432899999999</v>
      </c>
      <c r="W28">
        <v>967.52905299999998</v>
      </c>
      <c r="X28">
        <v>972.80926499999998</v>
      </c>
      <c r="Y28">
        <v>977.92730700000004</v>
      </c>
      <c r="Z28">
        <v>982.77282700000001</v>
      </c>
      <c r="AA28">
        <v>987.35003700000004</v>
      </c>
      <c r="AB28">
        <v>991.14074700000003</v>
      </c>
      <c r="AC28">
        <v>996.73748799999998</v>
      </c>
      <c r="AD28">
        <v>1003.349365</v>
      </c>
      <c r="AE28">
        <v>1009.6705930000001</v>
      </c>
      <c r="AF28">
        <v>1015.550781</v>
      </c>
      <c r="AG28" s="22">
        <v>7.0000000000000001E-3</v>
      </c>
    </row>
    <row r="29" spans="1:33">
      <c r="A29" t="s">
        <v>150</v>
      </c>
      <c r="B29" t="s">
        <v>3504</v>
      </c>
      <c r="C29" t="s">
        <v>3503</v>
      </c>
      <c r="D29" t="s">
        <v>201</v>
      </c>
      <c r="F29">
        <v>94.440971000000005</v>
      </c>
      <c r="G29">
        <v>95.330078</v>
      </c>
      <c r="H29">
        <v>94.566444000000004</v>
      </c>
      <c r="I29">
        <v>93.798164</v>
      </c>
      <c r="J29">
        <v>93.107506000000001</v>
      </c>
      <c r="K29">
        <v>92.339127000000005</v>
      </c>
      <c r="L29">
        <v>91.480575999999999</v>
      </c>
      <c r="M29">
        <v>90.543334999999999</v>
      </c>
      <c r="N29">
        <v>89.462424999999996</v>
      </c>
      <c r="O29">
        <v>88.707656999999998</v>
      </c>
      <c r="P29">
        <v>88.034156999999993</v>
      </c>
      <c r="Q29">
        <v>87.319710000000001</v>
      </c>
      <c r="R29">
        <v>86.579650999999998</v>
      </c>
      <c r="S29">
        <v>85.944571999999994</v>
      </c>
      <c r="T29">
        <v>85.341614000000007</v>
      </c>
      <c r="U29">
        <v>84.675208999999995</v>
      </c>
      <c r="V29">
        <v>84.112099000000001</v>
      </c>
      <c r="W29">
        <v>83.540062000000006</v>
      </c>
      <c r="X29">
        <v>82.973929999999996</v>
      </c>
      <c r="Y29">
        <v>82.355484000000004</v>
      </c>
      <c r="Z29">
        <v>81.679946999999999</v>
      </c>
      <c r="AA29">
        <v>81.034569000000005</v>
      </c>
      <c r="AB29">
        <v>80.382202000000007</v>
      </c>
      <c r="AC29">
        <v>79.953879999999998</v>
      </c>
      <c r="AD29">
        <v>79.430321000000006</v>
      </c>
      <c r="AE29">
        <v>78.866470000000007</v>
      </c>
      <c r="AF29">
        <v>78.277953999999994</v>
      </c>
      <c r="AG29" s="22">
        <v>-7.0000000000000001E-3</v>
      </c>
    </row>
    <row r="30" spans="1:33">
      <c r="A30" t="s">
        <v>151</v>
      </c>
      <c r="B30" t="s">
        <v>3502</v>
      </c>
      <c r="C30" t="s">
        <v>3501</v>
      </c>
      <c r="D30" t="s">
        <v>201</v>
      </c>
      <c r="F30">
        <v>752.11914100000001</v>
      </c>
      <c r="G30">
        <v>733.38183600000002</v>
      </c>
      <c r="H30">
        <v>741.75500499999998</v>
      </c>
      <c r="I30">
        <v>755.32031199999994</v>
      </c>
      <c r="J30">
        <v>766.29522699999995</v>
      </c>
      <c r="K30">
        <v>778.19598399999995</v>
      </c>
      <c r="L30">
        <v>789.92559800000004</v>
      </c>
      <c r="M30">
        <v>800.55590800000004</v>
      </c>
      <c r="N30">
        <v>812.12438999999995</v>
      </c>
      <c r="O30">
        <v>823.286743</v>
      </c>
      <c r="P30">
        <v>834.92968800000006</v>
      </c>
      <c r="Q30">
        <v>844.163635</v>
      </c>
      <c r="R30">
        <v>851.84155299999998</v>
      </c>
      <c r="S30">
        <v>859.28411900000003</v>
      </c>
      <c r="T30">
        <v>865.81829800000003</v>
      </c>
      <c r="U30">
        <v>872.40655500000003</v>
      </c>
      <c r="V30">
        <v>878.26220699999999</v>
      </c>
      <c r="W30">
        <v>883.989014</v>
      </c>
      <c r="X30">
        <v>889.83532700000001</v>
      </c>
      <c r="Y30">
        <v>895.57183799999996</v>
      </c>
      <c r="Z30">
        <v>901.092896</v>
      </c>
      <c r="AA30">
        <v>906.31549099999995</v>
      </c>
      <c r="AB30">
        <v>910.75854500000003</v>
      </c>
      <c r="AC30">
        <v>916.78363000000002</v>
      </c>
      <c r="AD30">
        <v>923.91906700000004</v>
      </c>
      <c r="AE30">
        <v>930.80413799999997</v>
      </c>
      <c r="AF30">
        <v>937.27282700000001</v>
      </c>
      <c r="AG30" s="22">
        <v>8.9999999999999993E-3</v>
      </c>
    </row>
    <row r="31" spans="1:33">
      <c r="A31" t="s">
        <v>177</v>
      </c>
      <c r="B31" t="s">
        <v>3500</v>
      </c>
      <c r="C31" t="s">
        <v>3499</v>
      </c>
      <c r="D31" t="s">
        <v>201</v>
      </c>
      <c r="F31">
        <v>207.60502600000001</v>
      </c>
      <c r="G31">
        <v>206.044724</v>
      </c>
      <c r="H31">
        <v>205.25169399999999</v>
      </c>
      <c r="I31">
        <v>204.43426500000001</v>
      </c>
      <c r="J31">
        <v>203.14537000000001</v>
      </c>
      <c r="K31">
        <v>202.085342</v>
      </c>
      <c r="L31">
        <v>200.752869</v>
      </c>
      <c r="M31">
        <v>199.064514</v>
      </c>
      <c r="N31">
        <v>197.718536</v>
      </c>
      <c r="O31">
        <v>196.50250199999999</v>
      </c>
      <c r="P31">
        <v>195.25280799999999</v>
      </c>
      <c r="Q31">
        <v>194.23524499999999</v>
      </c>
      <c r="R31">
        <v>193.26904300000001</v>
      </c>
      <c r="S31">
        <v>192.45489499999999</v>
      </c>
      <c r="T31">
        <v>191.70195000000001</v>
      </c>
      <c r="U31">
        <v>190.90595999999999</v>
      </c>
      <c r="V31">
        <v>190.125854</v>
      </c>
      <c r="W31">
        <v>189.31890899999999</v>
      </c>
      <c r="X31">
        <v>188.616241</v>
      </c>
      <c r="Y31">
        <v>187.856247</v>
      </c>
      <c r="Z31">
        <v>186.963165</v>
      </c>
      <c r="AA31">
        <v>186.014847</v>
      </c>
      <c r="AB31">
        <v>185.01559399999999</v>
      </c>
      <c r="AC31">
        <v>184.28604100000001</v>
      </c>
      <c r="AD31">
        <v>183.61746199999999</v>
      </c>
      <c r="AE31">
        <v>182.85122699999999</v>
      </c>
      <c r="AF31">
        <v>182.05470299999999</v>
      </c>
      <c r="AG31" s="22">
        <v>-5.0000000000000001E-3</v>
      </c>
    </row>
    <row r="32" spans="1:33">
      <c r="A32" t="s">
        <v>178</v>
      </c>
      <c r="B32" t="s">
        <v>3498</v>
      </c>
      <c r="C32" t="s">
        <v>3497</v>
      </c>
      <c r="D32" t="s">
        <v>201</v>
      </c>
      <c r="F32">
        <v>478.12289399999997</v>
      </c>
      <c r="G32">
        <v>490.24941999999999</v>
      </c>
      <c r="H32">
        <v>480.51019300000002</v>
      </c>
      <c r="I32">
        <v>466.46356200000002</v>
      </c>
      <c r="J32">
        <v>466.65649400000001</v>
      </c>
      <c r="K32">
        <v>465.71142600000002</v>
      </c>
      <c r="L32">
        <v>453.86810300000002</v>
      </c>
      <c r="M32">
        <v>454.02496300000001</v>
      </c>
      <c r="N32">
        <v>435.08209199999999</v>
      </c>
      <c r="O32">
        <v>436.88516199999998</v>
      </c>
      <c r="P32">
        <v>433.13406400000002</v>
      </c>
      <c r="Q32">
        <v>433.32369999999997</v>
      </c>
      <c r="R32">
        <v>435.01943999999997</v>
      </c>
      <c r="S32">
        <v>437.10775799999999</v>
      </c>
      <c r="T32">
        <v>442.49597199999999</v>
      </c>
      <c r="U32">
        <v>440.17382800000001</v>
      </c>
      <c r="V32">
        <v>442.090149</v>
      </c>
      <c r="W32">
        <v>442.67453</v>
      </c>
      <c r="X32">
        <v>444.714539</v>
      </c>
      <c r="Y32">
        <v>446.979401</v>
      </c>
      <c r="Z32">
        <v>448.21762100000001</v>
      </c>
      <c r="AA32">
        <v>449.54321299999998</v>
      </c>
      <c r="AB32">
        <v>449.73406999999997</v>
      </c>
      <c r="AC32">
        <v>453.87383999999997</v>
      </c>
      <c r="AD32">
        <v>457.34600799999998</v>
      </c>
      <c r="AE32">
        <v>460.234283</v>
      </c>
      <c r="AF32">
        <v>461.59979199999998</v>
      </c>
      <c r="AG32" s="22">
        <v>-1E-3</v>
      </c>
    </row>
    <row r="33" spans="1:33">
      <c r="A33" t="s">
        <v>176</v>
      </c>
      <c r="B33" t="s">
        <v>3496</v>
      </c>
      <c r="C33" t="s">
        <v>3495</v>
      </c>
      <c r="D33" t="s">
        <v>201</v>
      </c>
      <c r="F33">
        <v>434.230682</v>
      </c>
      <c r="G33">
        <v>443.75869799999998</v>
      </c>
      <c r="H33">
        <v>432.581299</v>
      </c>
      <c r="I33">
        <v>417.75234999999998</v>
      </c>
      <c r="J33">
        <v>417.42465199999998</v>
      </c>
      <c r="K33">
        <v>415.93777499999999</v>
      </c>
      <c r="L33">
        <v>403.47412100000003</v>
      </c>
      <c r="M33">
        <v>403.17804000000001</v>
      </c>
      <c r="N33">
        <v>383.83212300000002</v>
      </c>
      <c r="O33">
        <v>385.30667099999999</v>
      </c>
      <c r="P33">
        <v>381.27539100000001</v>
      </c>
      <c r="Q33">
        <v>381.04003899999998</v>
      </c>
      <c r="R33">
        <v>382.19842499999999</v>
      </c>
      <c r="S33">
        <v>383.73739599999999</v>
      </c>
      <c r="T33">
        <v>388.55950899999999</v>
      </c>
      <c r="U33">
        <v>385.72473100000002</v>
      </c>
      <c r="V33">
        <v>387.17019699999997</v>
      </c>
      <c r="W33">
        <v>387.33422899999999</v>
      </c>
      <c r="X33">
        <v>388.97726399999999</v>
      </c>
      <c r="Y33">
        <v>390.85006700000002</v>
      </c>
      <c r="Z33">
        <v>391.76263399999999</v>
      </c>
      <c r="AA33">
        <v>392.73843399999998</v>
      </c>
      <c r="AB33">
        <v>392.65093999999999</v>
      </c>
      <c r="AC33">
        <v>396.48129299999999</v>
      </c>
      <c r="AD33">
        <v>399.58117700000003</v>
      </c>
      <c r="AE33">
        <v>402.097534</v>
      </c>
      <c r="AF33">
        <v>402.97448700000001</v>
      </c>
      <c r="AG33" s="22">
        <v>-3.0000000000000001E-3</v>
      </c>
    </row>
    <row r="34" spans="1:33">
      <c r="A34" t="s">
        <v>179</v>
      </c>
      <c r="B34" t="s">
        <v>3494</v>
      </c>
      <c r="C34" t="s">
        <v>3493</v>
      </c>
      <c r="D34" t="s">
        <v>201</v>
      </c>
      <c r="F34">
        <v>43.892207999999997</v>
      </c>
      <c r="G34">
        <v>46.490710999999997</v>
      </c>
      <c r="H34">
        <v>47.928882999999999</v>
      </c>
      <c r="I34">
        <v>48.711205</v>
      </c>
      <c r="J34">
        <v>49.231833999999999</v>
      </c>
      <c r="K34">
        <v>49.773636000000003</v>
      </c>
      <c r="L34">
        <v>50.393982000000001</v>
      </c>
      <c r="M34">
        <v>50.846912000000003</v>
      </c>
      <c r="N34">
        <v>51.249966000000001</v>
      </c>
      <c r="O34">
        <v>51.578487000000003</v>
      </c>
      <c r="P34">
        <v>51.858665000000002</v>
      </c>
      <c r="Q34">
        <v>52.283653000000001</v>
      </c>
      <c r="R34">
        <v>52.821021999999999</v>
      </c>
      <c r="S34">
        <v>53.370353999999999</v>
      </c>
      <c r="T34">
        <v>53.936473999999997</v>
      </c>
      <c r="U34">
        <v>54.449081</v>
      </c>
      <c r="V34">
        <v>54.919967999999997</v>
      </c>
      <c r="W34">
        <v>55.340313000000002</v>
      </c>
      <c r="X34">
        <v>55.737267000000003</v>
      </c>
      <c r="Y34">
        <v>56.129340999999997</v>
      </c>
      <c r="Z34">
        <v>56.454998000000003</v>
      </c>
      <c r="AA34">
        <v>56.804768000000003</v>
      </c>
      <c r="AB34">
        <v>57.083145000000002</v>
      </c>
      <c r="AC34">
        <v>57.392547999999998</v>
      </c>
      <c r="AD34">
        <v>57.764831999999998</v>
      </c>
      <c r="AE34">
        <v>58.136752999999999</v>
      </c>
      <c r="AF34">
        <v>58.625304999999997</v>
      </c>
      <c r="AG34" s="22">
        <v>1.0999999999999999E-2</v>
      </c>
    </row>
    <row r="35" spans="1:33">
      <c r="A35" t="s">
        <v>167</v>
      </c>
      <c r="B35" t="s">
        <v>3492</v>
      </c>
      <c r="C35" t="s">
        <v>3491</v>
      </c>
      <c r="D35" t="s">
        <v>201</v>
      </c>
      <c r="F35">
        <v>8.7423819999999992</v>
      </c>
      <c r="G35">
        <v>9.3800589999999993</v>
      </c>
      <c r="H35">
        <v>9.8378320000000006</v>
      </c>
      <c r="I35">
        <v>10.165743000000001</v>
      </c>
      <c r="J35">
        <v>10.415087</v>
      </c>
      <c r="K35">
        <v>10.611311000000001</v>
      </c>
      <c r="L35">
        <v>10.771235000000001</v>
      </c>
      <c r="M35">
        <v>10.905773999999999</v>
      </c>
      <c r="N35">
        <v>11.020588</v>
      </c>
      <c r="O35">
        <v>11.119541</v>
      </c>
      <c r="P35">
        <v>11.206322</v>
      </c>
      <c r="Q35">
        <v>11.283692</v>
      </c>
      <c r="R35">
        <v>11.353813000000001</v>
      </c>
      <c r="S35">
        <v>11.417555</v>
      </c>
      <c r="T35">
        <v>11.481839000000001</v>
      </c>
      <c r="U35">
        <v>11.543386999999999</v>
      </c>
      <c r="V35">
        <v>11.602665</v>
      </c>
      <c r="W35">
        <v>11.660023000000001</v>
      </c>
      <c r="X35">
        <v>11.716011999999999</v>
      </c>
      <c r="Y35">
        <v>11.770652999999999</v>
      </c>
      <c r="Z35">
        <v>11.824216</v>
      </c>
      <c r="AA35">
        <v>11.876847</v>
      </c>
      <c r="AB35">
        <v>11.928874</v>
      </c>
      <c r="AC35">
        <v>11.980318</v>
      </c>
      <c r="AD35">
        <v>12.031491000000001</v>
      </c>
      <c r="AE35">
        <v>12.082007000000001</v>
      </c>
      <c r="AF35">
        <v>12.132166</v>
      </c>
      <c r="AG35" s="22">
        <v>1.2999999999999999E-2</v>
      </c>
    </row>
    <row r="36" spans="1:33">
      <c r="A36" t="s">
        <v>166</v>
      </c>
      <c r="B36" t="s">
        <v>3490</v>
      </c>
      <c r="C36" t="s">
        <v>3489</v>
      </c>
      <c r="D36" t="s">
        <v>201</v>
      </c>
      <c r="F36">
        <v>14.508388999999999</v>
      </c>
      <c r="G36">
        <v>15.421035</v>
      </c>
      <c r="H36">
        <v>16.002700999999998</v>
      </c>
      <c r="I36">
        <v>16.428796999999999</v>
      </c>
      <c r="J36">
        <v>16.870525000000001</v>
      </c>
      <c r="K36">
        <v>17.287436</v>
      </c>
      <c r="L36">
        <v>17.607780000000002</v>
      </c>
      <c r="M36">
        <v>17.836908000000001</v>
      </c>
      <c r="N36">
        <v>18.041525</v>
      </c>
      <c r="O36">
        <v>18.197558999999998</v>
      </c>
      <c r="P36">
        <v>18.347023</v>
      </c>
      <c r="Q36">
        <v>18.543555999999999</v>
      </c>
      <c r="R36">
        <v>18.732952000000001</v>
      </c>
      <c r="S36">
        <v>18.925523999999999</v>
      </c>
      <c r="T36">
        <v>19.122789000000001</v>
      </c>
      <c r="U36">
        <v>19.294951999999999</v>
      </c>
      <c r="V36">
        <v>19.444386000000002</v>
      </c>
      <c r="W36">
        <v>19.568449000000001</v>
      </c>
      <c r="X36">
        <v>19.677353</v>
      </c>
      <c r="Y36">
        <v>19.784870000000002</v>
      </c>
      <c r="Z36">
        <v>19.860029000000001</v>
      </c>
      <c r="AA36">
        <v>19.946988999999999</v>
      </c>
      <c r="AB36">
        <v>19.998484000000001</v>
      </c>
      <c r="AC36">
        <v>20.058503999999999</v>
      </c>
      <c r="AD36">
        <v>20.148382000000002</v>
      </c>
      <c r="AE36">
        <v>20.242802000000001</v>
      </c>
      <c r="AF36">
        <v>20.400482</v>
      </c>
      <c r="AG36" s="22">
        <v>1.2999999999999999E-2</v>
      </c>
    </row>
    <row r="37" spans="1:33">
      <c r="A37" t="s">
        <v>180</v>
      </c>
      <c r="B37" t="s">
        <v>3488</v>
      </c>
      <c r="C37" t="s">
        <v>3487</v>
      </c>
      <c r="D37" t="s">
        <v>201</v>
      </c>
      <c r="F37">
        <v>20.641434</v>
      </c>
      <c r="G37">
        <v>21.689616999999998</v>
      </c>
      <c r="H37">
        <v>22.088348</v>
      </c>
      <c r="I37">
        <v>22.116669000000002</v>
      </c>
      <c r="J37">
        <v>21.94622</v>
      </c>
      <c r="K37">
        <v>21.874889</v>
      </c>
      <c r="L37">
        <v>22.014965</v>
      </c>
      <c r="M37">
        <v>22.104230999999999</v>
      </c>
      <c r="N37">
        <v>22.187854999999999</v>
      </c>
      <c r="O37">
        <v>22.261389000000001</v>
      </c>
      <c r="P37">
        <v>22.305319000000001</v>
      </c>
      <c r="Q37">
        <v>22.456403999999999</v>
      </c>
      <c r="R37">
        <v>22.734255000000001</v>
      </c>
      <c r="S37">
        <v>23.027270999999999</v>
      </c>
      <c r="T37">
        <v>23.331844</v>
      </c>
      <c r="U37">
        <v>23.610738999999999</v>
      </c>
      <c r="V37">
        <v>23.872917000000001</v>
      </c>
      <c r="W37">
        <v>24.111839</v>
      </c>
      <c r="X37">
        <v>24.343903000000001</v>
      </c>
      <c r="Y37">
        <v>24.573816000000001</v>
      </c>
      <c r="Z37">
        <v>24.770754</v>
      </c>
      <c r="AA37">
        <v>24.980931999999999</v>
      </c>
      <c r="AB37">
        <v>25.155787</v>
      </c>
      <c r="AC37">
        <v>25.353729000000001</v>
      </c>
      <c r="AD37">
        <v>25.584959000000001</v>
      </c>
      <c r="AE37">
        <v>25.811942999999999</v>
      </c>
      <c r="AF37">
        <v>26.092656999999999</v>
      </c>
      <c r="AG37" s="22">
        <v>8.9999999999999993E-3</v>
      </c>
    </row>
    <row r="38" spans="1:33">
      <c r="A38" t="s">
        <v>181</v>
      </c>
      <c r="B38" t="s">
        <v>3486</v>
      </c>
      <c r="C38" t="s">
        <v>3485</v>
      </c>
      <c r="D38" t="s">
        <v>201</v>
      </c>
      <c r="F38">
        <v>134.26944</v>
      </c>
      <c r="G38">
        <v>134.664963</v>
      </c>
      <c r="H38">
        <v>135.304733</v>
      </c>
      <c r="I38">
        <v>135.76445000000001</v>
      </c>
      <c r="J38">
        <v>135.97155799999999</v>
      </c>
      <c r="K38">
        <v>136.08528100000001</v>
      </c>
      <c r="L38">
        <v>136.12858600000001</v>
      </c>
      <c r="M38">
        <v>136.05534399999999</v>
      </c>
      <c r="N38">
        <v>135.95806899999999</v>
      </c>
      <c r="O38">
        <v>135.90976000000001</v>
      </c>
      <c r="P38">
        <v>135.892471</v>
      </c>
      <c r="Q38">
        <v>135.86319</v>
      </c>
      <c r="R38">
        <v>135.82115200000001</v>
      </c>
      <c r="S38">
        <v>135.77626000000001</v>
      </c>
      <c r="T38">
        <v>135.75709499999999</v>
      </c>
      <c r="U38">
        <v>135.764038</v>
      </c>
      <c r="V38">
        <v>135.76824999999999</v>
      </c>
      <c r="W38">
        <v>135.74340799999999</v>
      </c>
      <c r="X38">
        <v>135.698792</v>
      </c>
      <c r="Y38">
        <v>135.63441499999999</v>
      </c>
      <c r="Z38">
        <v>135.56684899999999</v>
      </c>
      <c r="AA38">
        <v>135.500809</v>
      </c>
      <c r="AB38">
        <v>135.41752600000001</v>
      </c>
      <c r="AC38">
        <v>135.32342499999999</v>
      </c>
      <c r="AD38">
        <v>135.19622799999999</v>
      </c>
      <c r="AE38">
        <v>135.05600000000001</v>
      </c>
      <c r="AF38">
        <v>134.919434</v>
      </c>
      <c r="AG38" s="22">
        <v>0</v>
      </c>
    </row>
    <row r="39" spans="1:33">
      <c r="A39" t="s">
        <v>182</v>
      </c>
      <c r="B39" t="s">
        <v>3484</v>
      </c>
      <c r="C39" t="s">
        <v>3447</v>
      </c>
      <c r="D39" t="s">
        <v>201</v>
      </c>
      <c r="F39">
        <v>924.15820299999996</v>
      </c>
      <c r="G39">
        <v>870.21014400000001</v>
      </c>
      <c r="H39">
        <v>863.57080099999996</v>
      </c>
      <c r="I39">
        <v>835.60900900000001</v>
      </c>
      <c r="J39">
        <v>791.56463599999995</v>
      </c>
      <c r="K39">
        <v>757.790344</v>
      </c>
      <c r="L39">
        <v>713.010986</v>
      </c>
      <c r="M39">
        <v>703.35260000000005</v>
      </c>
      <c r="N39">
        <v>716.09576400000003</v>
      </c>
      <c r="O39">
        <v>709.19616699999995</v>
      </c>
      <c r="P39">
        <v>701.62231399999996</v>
      </c>
      <c r="Q39">
        <v>701.98468000000003</v>
      </c>
      <c r="R39">
        <v>707.069885</v>
      </c>
      <c r="S39">
        <v>716.51238999999998</v>
      </c>
      <c r="T39">
        <v>726.48242200000004</v>
      </c>
      <c r="U39">
        <v>737.60986300000002</v>
      </c>
      <c r="V39">
        <v>746.22839399999998</v>
      </c>
      <c r="W39">
        <v>752.33184800000004</v>
      </c>
      <c r="X39">
        <v>756.95684800000004</v>
      </c>
      <c r="Y39">
        <v>765.15093999999999</v>
      </c>
      <c r="Z39">
        <v>774.86108400000001</v>
      </c>
      <c r="AA39">
        <v>781.81097399999999</v>
      </c>
      <c r="AB39">
        <v>792.942993</v>
      </c>
      <c r="AC39">
        <v>801.18463099999997</v>
      </c>
      <c r="AD39">
        <v>810.29339600000003</v>
      </c>
      <c r="AE39">
        <v>819.83679199999995</v>
      </c>
      <c r="AF39">
        <v>831.59936500000003</v>
      </c>
      <c r="AG39" s="22">
        <v>-4.0000000000000001E-3</v>
      </c>
    </row>
    <row r="40" spans="1:33">
      <c r="A40" t="s">
        <v>1106</v>
      </c>
      <c r="B40" t="s">
        <v>3483</v>
      </c>
      <c r="C40" t="s">
        <v>3445</v>
      </c>
      <c r="D40" t="s">
        <v>201</v>
      </c>
      <c r="F40">
        <v>367.99011200000001</v>
      </c>
      <c r="G40">
        <v>420.41076700000002</v>
      </c>
      <c r="H40">
        <v>447.69332900000001</v>
      </c>
      <c r="I40">
        <v>448.49334700000003</v>
      </c>
      <c r="J40">
        <v>534.99713099999997</v>
      </c>
      <c r="K40">
        <v>595.58819600000004</v>
      </c>
      <c r="L40">
        <v>658.57672100000002</v>
      </c>
      <c r="M40">
        <v>700.78753700000004</v>
      </c>
      <c r="N40">
        <v>769.51843299999996</v>
      </c>
      <c r="O40">
        <v>835.05316200000004</v>
      </c>
      <c r="P40">
        <v>877.011169</v>
      </c>
      <c r="Q40">
        <v>893.79437299999995</v>
      </c>
      <c r="R40">
        <v>912.175659</v>
      </c>
      <c r="S40">
        <v>927.36077899999998</v>
      </c>
      <c r="T40">
        <v>935.75238000000002</v>
      </c>
      <c r="U40">
        <v>935.75238000000002</v>
      </c>
      <c r="V40">
        <v>937.35046399999999</v>
      </c>
      <c r="W40">
        <v>935.75238000000002</v>
      </c>
      <c r="X40">
        <v>935.74237100000005</v>
      </c>
      <c r="Y40">
        <v>930.754456</v>
      </c>
      <c r="Z40">
        <v>932.171021</v>
      </c>
      <c r="AA40">
        <v>929.52716099999998</v>
      </c>
      <c r="AB40">
        <v>934.68682899999999</v>
      </c>
      <c r="AC40">
        <v>934.997253</v>
      </c>
      <c r="AD40">
        <v>936.23211700000002</v>
      </c>
      <c r="AE40">
        <v>934.12908900000002</v>
      </c>
      <c r="AF40">
        <v>935.01782200000002</v>
      </c>
      <c r="AG40" s="22">
        <v>3.6999999999999998E-2</v>
      </c>
    </row>
    <row r="41" spans="1:33">
      <c r="A41" t="s">
        <v>183</v>
      </c>
      <c r="B41" t="s">
        <v>3482</v>
      </c>
      <c r="C41" t="s">
        <v>3481</v>
      </c>
      <c r="D41" t="s">
        <v>201</v>
      </c>
      <c r="F41">
        <v>444.78881799999999</v>
      </c>
      <c r="G41">
        <v>449.84466600000002</v>
      </c>
      <c r="H41">
        <v>452.96935999999999</v>
      </c>
      <c r="I41">
        <v>454.89593500000001</v>
      </c>
      <c r="J41">
        <v>455.761932</v>
      </c>
      <c r="K41">
        <v>455.59344499999997</v>
      </c>
      <c r="L41">
        <v>455.377319</v>
      </c>
      <c r="M41">
        <v>455.84149200000002</v>
      </c>
      <c r="N41">
        <v>456.21725500000002</v>
      </c>
      <c r="O41">
        <v>456.609802</v>
      </c>
      <c r="P41">
        <v>456.93264799999997</v>
      </c>
      <c r="Q41">
        <v>457.18493699999999</v>
      </c>
      <c r="R41">
        <v>457.63305700000001</v>
      </c>
      <c r="S41">
        <v>458.22058099999998</v>
      </c>
      <c r="T41">
        <v>458.78735399999999</v>
      </c>
      <c r="U41">
        <v>459.338776</v>
      </c>
      <c r="V41">
        <v>459.87536599999999</v>
      </c>
      <c r="W41">
        <v>460.398956</v>
      </c>
      <c r="X41">
        <v>460.913971</v>
      </c>
      <c r="Y41">
        <v>461.42312600000002</v>
      </c>
      <c r="Z41">
        <v>461.92681900000002</v>
      </c>
      <c r="AA41">
        <v>462.42492700000003</v>
      </c>
      <c r="AB41">
        <v>462.92233299999998</v>
      </c>
      <c r="AC41">
        <v>463.41894500000001</v>
      </c>
      <c r="AD41">
        <v>463.91293300000001</v>
      </c>
      <c r="AE41">
        <v>464.407623</v>
      </c>
      <c r="AF41">
        <v>464.90356400000002</v>
      </c>
      <c r="AG41" s="22">
        <v>2E-3</v>
      </c>
    </row>
    <row r="42" spans="1:33">
      <c r="A42" t="s">
        <v>184</v>
      </c>
      <c r="B42" t="s">
        <v>3480</v>
      </c>
      <c r="C42" t="s">
        <v>3479</v>
      </c>
      <c r="D42" t="s">
        <v>201</v>
      </c>
      <c r="F42">
        <v>335.94638099999997</v>
      </c>
      <c r="G42">
        <v>339.76504499999999</v>
      </c>
      <c r="H42">
        <v>342.125092</v>
      </c>
      <c r="I42">
        <v>343.58023100000003</v>
      </c>
      <c r="J42">
        <v>344.23431399999998</v>
      </c>
      <c r="K42">
        <v>344.107056</v>
      </c>
      <c r="L42">
        <v>343.94381700000002</v>
      </c>
      <c r="M42">
        <v>344.29440299999999</v>
      </c>
      <c r="N42">
        <v>344.578217</v>
      </c>
      <c r="O42">
        <v>344.87469499999997</v>
      </c>
      <c r="P42">
        <v>345.11853000000002</v>
      </c>
      <c r="Q42">
        <v>345.30908199999999</v>
      </c>
      <c r="R42">
        <v>345.64752199999998</v>
      </c>
      <c r="S42">
        <v>346.09127799999999</v>
      </c>
      <c r="T42">
        <v>346.51937900000001</v>
      </c>
      <c r="U42">
        <v>346.93585200000001</v>
      </c>
      <c r="V42">
        <v>347.34112499999998</v>
      </c>
      <c r="W42">
        <v>347.736603</v>
      </c>
      <c r="X42">
        <v>348.12558000000001</v>
      </c>
      <c r="Y42">
        <v>348.51016199999998</v>
      </c>
      <c r="Z42">
        <v>348.89059400000002</v>
      </c>
      <c r="AA42">
        <v>349.26681500000001</v>
      </c>
      <c r="AB42">
        <v>349.64248700000002</v>
      </c>
      <c r="AC42">
        <v>350.01757800000001</v>
      </c>
      <c r="AD42">
        <v>350.39068600000002</v>
      </c>
      <c r="AE42">
        <v>350.76431300000002</v>
      </c>
      <c r="AF42">
        <v>351.13888500000002</v>
      </c>
      <c r="AG42" s="22">
        <v>2E-3</v>
      </c>
    </row>
    <row r="43" spans="1:33">
      <c r="A43" t="s">
        <v>185</v>
      </c>
      <c r="B43" t="s">
        <v>3478</v>
      </c>
      <c r="C43" t="s">
        <v>3477</v>
      </c>
      <c r="D43" t="s">
        <v>201</v>
      </c>
      <c r="F43">
        <v>0</v>
      </c>
      <c r="G43">
        <v>0</v>
      </c>
      <c r="H43">
        <v>0</v>
      </c>
      <c r="I43">
        <v>0</v>
      </c>
      <c r="J43">
        <v>0</v>
      </c>
      <c r="K43">
        <v>0</v>
      </c>
      <c r="L43">
        <v>0</v>
      </c>
      <c r="M43">
        <v>0</v>
      </c>
      <c r="N43">
        <v>0</v>
      </c>
      <c r="O43">
        <v>0</v>
      </c>
      <c r="P43">
        <v>0</v>
      </c>
      <c r="Q43">
        <v>0</v>
      </c>
      <c r="R43">
        <v>0</v>
      </c>
      <c r="S43">
        <v>0</v>
      </c>
      <c r="T43">
        <v>0</v>
      </c>
      <c r="U43">
        <v>0</v>
      </c>
      <c r="V43">
        <v>0</v>
      </c>
      <c r="W43">
        <v>0</v>
      </c>
      <c r="X43">
        <v>0</v>
      </c>
      <c r="Y43">
        <v>0</v>
      </c>
      <c r="Z43">
        <v>0</v>
      </c>
      <c r="AA43">
        <v>0</v>
      </c>
      <c r="AB43">
        <v>0</v>
      </c>
      <c r="AC43">
        <v>0</v>
      </c>
      <c r="AD43">
        <v>0</v>
      </c>
      <c r="AE43">
        <v>0</v>
      </c>
      <c r="AF43">
        <v>0</v>
      </c>
      <c r="AG43" t="s">
        <v>111</v>
      </c>
    </row>
    <row r="44" spans="1:33">
      <c r="A44" t="s">
        <v>186</v>
      </c>
      <c r="B44" t="s">
        <v>3476</v>
      </c>
      <c r="C44" t="s">
        <v>3475</v>
      </c>
      <c r="D44" t="s">
        <v>201</v>
      </c>
      <c r="F44">
        <v>108.84242999999999</v>
      </c>
      <c r="G44">
        <v>110.079628</v>
      </c>
      <c r="H44">
        <v>110.844261</v>
      </c>
      <c r="I44">
        <v>111.31572</v>
      </c>
      <c r="J44">
        <v>111.527618</v>
      </c>
      <c r="K44">
        <v>111.486397</v>
      </c>
      <c r="L44">
        <v>111.43351699999999</v>
      </c>
      <c r="M44">
        <v>111.547089</v>
      </c>
      <c r="N44">
        <v>111.63904599999999</v>
      </c>
      <c r="O44">
        <v>111.735107</v>
      </c>
      <c r="P44">
        <v>111.814117</v>
      </c>
      <c r="Q44">
        <v>111.87587000000001</v>
      </c>
      <c r="R44">
        <v>111.985519</v>
      </c>
      <c r="S44">
        <v>112.12930299999999</v>
      </c>
      <c r="T44">
        <v>112.26799</v>
      </c>
      <c r="U44">
        <v>112.402924</v>
      </c>
      <c r="V44">
        <v>112.53424099999999</v>
      </c>
      <c r="W44">
        <v>112.66235399999999</v>
      </c>
      <c r="X44">
        <v>112.788383</v>
      </c>
      <c r="Y44">
        <v>112.912964</v>
      </c>
      <c r="Z44">
        <v>113.03624000000001</v>
      </c>
      <c r="AA44">
        <v>113.15812699999999</v>
      </c>
      <c r="AB44">
        <v>113.27984600000001</v>
      </c>
      <c r="AC44">
        <v>113.401375</v>
      </c>
      <c r="AD44">
        <v>113.52224699999999</v>
      </c>
      <c r="AE44">
        <v>113.643303</v>
      </c>
      <c r="AF44">
        <v>113.764679</v>
      </c>
      <c r="AG44" s="22">
        <v>2E-3</v>
      </c>
    </row>
    <row r="45" spans="1:33">
      <c r="A45" t="s">
        <v>141</v>
      </c>
      <c r="B45" t="s">
        <v>3474</v>
      </c>
      <c r="C45" t="s">
        <v>3473</v>
      </c>
      <c r="D45" t="s">
        <v>201</v>
      </c>
      <c r="F45">
        <v>29023.835938</v>
      </c>
      <c r="G45">
        <v>29108.830077999999</v>
      </c>
      <c r="H45">
        <v>29092.583984000001</v>
      </c>
      <c r="I45">
        <v>28954.326172000001</v>
      </c>
      <c r="J45">
        <v>28829.179688</v>
      </c>
      <c r="K45">
        <v>28671.767577999999</v>
      </c>
      <c r="L45">
        <v>28471.892577999999</v>
      </c>
      <c r="M45">
        <v>28308.326172000001</v>
      </c>
      <c r="N45">
        <v>28159.507812</v>
      </c>
      <c r="O45">
        <v>28023.869140999999</v>
      </c>
      <c r="P45">
        <v>27891.523438</v>
      </c>
      <c r="Q45">
        <v>27749.919922000001</v>
      </c>
      <c r="R45">
        <v>27603.794922000001</v>
      </c>
      <c r="S45">
        <v>27481.890625</v>
      </c>
      <c r="T45">
        <v>27396.919922000001</v>
      </c>
      <c r="U45">
        <v>27298.916015999999</v>
      </c>
      <c r="V45">
        <v>27232.667968999998</v>
      </c>
      <c r="W45">
        <v>27171.792968999998</v>
      </c>
      <c r="X45">
        <v>27104.917968999998</v>
      </c>
      <c r="Y45">
        <v>27072.625</v>
      </c>
      <c r="Z45">
        <v>27025.742188</v>
      </c>
      <c r="AA45">
        <v>26999.421875</v>
      </c>
      <c r="AB45">
        <v>26969.099609000001</v>
      </c>
      <c r="AC45">
        <v>26995.099609000001</v>
      </c>
      <c r="AD45">
        <v>26992.888672000001</v>
      </c>
      <c r="AE45">
        <v>27013.363281000002</v>
      </c>
      <c r="AF45">
        <v>27068.242188</v>
      </c>
      <c r="AG45" s="22">
        <v>-3.0000000000000001E-3</v>
      </c>
    </row>
    <row r="46" spans="1:33">
      <c r="A46" t="s">
        <v>142</v>
      </c>
    </row>
    <row r="47" spans="1:33">
      <c r="A47" t="s">
        <v>187</v>
      </c>
      <c r="B47" t="s">
        <v>3472</v>
      </c>
      <c r="C47" t="s">
        <v>3471</v>
      </c>
      <c r="D47" t="s">
        <v>201</v>
      </c>
      <c r="F47">
        <v>16560.400390999999</v>
      </c>
      <c r="G47">
        <v>16586.140625</v>
      </c>
      <c r="H47">
        <v>16491.03125</v>
      </c>
      <c r="I47">
        <v>16322.833008</v>
      </c>
      <c r="J47">
        <v>16116.016602</v>
      </c>
      <c r="K47">
        <v>15889.712890999999</v>
      </c>
      <c r="L47">
        <v>15646.423828000001</v>
      </c>
      <c r="M47">
        <v>15442.432617</v>
      </c>
      <c r="N47">
        <v>15218.629883</v>
      </c>
      <c r="O47">
        <v>15020.561523</v>
      </c>
      <c r="P47">
        <v>14848.118164</v>
      </c>
      <c r="Q47">
        <v>14673.362305000001</v>
      </c>
      <c r="R47">
        <v>14472.293944999999</v>
      </c>
      <c r="S47">
        <v>14278.983398</v>
      </c>
      <c r="T47">
        <v>14119.804688</v>
      </c>
      <c r="U47">
        <v>13963.114258</v>
      </c>
      <c r="V47">
        <v>13831.295898</v>
      </c>
      <c r="W47">
        <v>13713.388671999999</v>
      </c>
      <c r="X47">
        <v>13578.588867</v>
      </c>
      <c r="Y47">
        <v>13483.399414</v>
      </c>
      <c r="Z47">
        <v>13372.885742</v>
      </c>
      <c r="AA47">
        <v>13287.871094</v>
      </c>
      <c r="AB47">
        <v>13192.722656</v>
      </c>
      <c r="AC47">
        <v>13130.140625</v>
      </c>
      <c r="AD47">
        <v>13032.898438</v>
      </c>
      <c r="AE47">
        <v>12968.008789</v>
      </c>
      <c r="AF47">
        <v>12939.202148</v>
      </c>
      <c r="AG47" s="22">
        <v>-8.9999999999999993E-3</v>
      </c>
    </row>
    <row r="48" spans="1:33">
      <c r="A48" t="s">
        <v>188</v>
      </c>
      <c r="B48" t="s">
        <v>3470</v>
      </c>
      <c r="C48" t="s">
        <v>3469</v>
      </c>
      <c r="D48" t="s">
        <v>201</v>
      </c>
      <c r="F48">
        <v>41.284557</v>
      </c>
      <c r="G48">
        <v>40.049072000000002</v>
      </c>
      <c r="H48">
        <v>37.582172</v>
      </c>
      <c r="I48">
        <v>34.528759000000001</v>
      </c>
      <c r="J48">
        <v>33.338047000000003</v>
      </c>
      <c r="K48">
        <v>32.040035000000003</v>
      </c>
      <c r="L48">
        <v>30.544377999999998</v>
      </c>
      <c r="M48">
        <v>28.232196999999999</v>
      </c>
      <c r="N48">
        <v>26.313065999999999</v>
      </c>
      <c r="O48">
        <v>24.350527</v>
      </c>
      <c r="P48">
        <v>22.539648</v>
      </c>
      <c r="Q48">
        <v>20.880737</v>
      </c>
      <c r="R48">
        <v>19.347086000000001</v>
      </c>
      <c r="S48">
        <v>18.291014000000001</v>
      </c>
      <c r="T48">
        <v>16.780552</v>
      </c>
      <c r="U48">
        <v>16.012640000000001</v>
      </c>
      <c r="V48">
        <v>15.460896</v>
      </c>
      <c r="W48">
        <v>14.956593</v>
      </c>
      <c r="X48">
        <v>14.46664</v>
      </c>
      <c r="Y48">
        <v>14.072709</v>
      </c>
      <c r="Z48">
        <v>13.952835</v>
      </c>
      <c r="AA48">
        <v>13.392300000000001</v>
      </c>
      <c r="AB48">
        <v>13.186946000000001</v>
      </c>
      <c r="AC48">
        <v>13.295123999999999</v>
      </c>
      <c r="AD48">
        <v>13.06893</v>
      </c>
      <c r="AE48">
        <v>12.868924</v>
      </c>
      <c r="AF48">
        <v>12.591402</v>
      </c>
      <c r="AG48" s="22">
        <v>-4.4999999999999998E-2</v>
      </c>
    </row>
    <row r="49" spans="1:33">
      <c r="A49" t="s">
        <v>189</v>
      </c>
      <c r="B49" t="s">
        <v>3468</v>
      </c>
      <c r="C49" t="s">
        <v>3467</v>
      </c>
      <c r="D49" t="s">
        <v>201</v>
      </c>
      <c r="F49">
        <v>6653.7041019999997</v>
      </c>
      <c r="G49">
        <v>6716.0161129999997</v>
      </c>
      <c r="H49">
        <v>6703.0981449999999</v>
      </c>
      <c r="I49">
        <v>6665.5390619999998</v>
      </c>
      <c r="J49">
        <v>6617.9301759999998</v>
      </c>
      <c r="K49">
        <v>6564.8139650000003</v>
      </c>
      <c r="L49">
        <v>6497.2319340000004</v>
      </c>
      <c r="M49">
        <v>6432.1474609999996</v>
      </c>
      <c r="N49">
        <v>6348.9628910000001</v>
      </c>
      <c r="O49">
        <v>6281.3920900000003</v>
      </c>
      <c r="P49">
        <v>6214.9931640000004</v>
      </c>
      <c r="Q49">
        <v>6151.626953</v>
      </c>
      <c r="R49">
        <v>6101.0117190000001</v>
      </c>
      <c r="S49">
        <v>6057.3623049999997</v>
      </c>
      <c r="T49">
        <v>6021.453125</v>
      </c>
      <c r="U49">
        <v>5974.8901370000003</v>
      </c>
      <c r="V49">
        <v>5937.7768550000001</v>
      </c>
      <c r="W49">
        <v>5901.2045900000003</v>
      </c>
      <c r="X49">
        <v>5872.0068359999996</v>
      </c>
      <c r="Y49">
        <v>5843.0327150000003</v>
      </c>
      <c r="Z49">
        <v>5813.5541990000002</v>
      </c>
      <c r="AA49">
        <v>5788.8496089999999</v>
      </c>
      <c r="AB49">
        <v>5761.7148440000001</v>
      </c>
      <c r="AC49">
        <v>5758.0214839999999</v>
      </c>
      <c r="AD49">
        <v>5755.5551759999998</v>
      </c>
      <c r="AE49">
        <v>5751.1220700000003</v>
      </c>
      <c r="AF49">
        <v>5739.8041990000002</v>
      </c>
      <c r="AG49" s="22">
        <v>-6.0000000000000001E-3</v>
      </c>
    </row>
    <row r="50" spans="1:33">
      <c r="A50" t="s">
        <v>190</v>
      </c>
      <c r="B50" t="s">
        <v>3466</v>
      </c>
      <c r="C50" t="s">
        <v>3465</v>
      </c>
      <c r="D50" t="s">
        <v>201</v>
      </c>
      <c r="F50">
        <v>3581.8688959999999</v>
      </c>
      <c r="G50">
        <v>3579.4040530000002</v>
      </c>
      <c r="H50">
        <v>3608.4841310000002</v>
      </c>
      <c r="I50">
        <v>3645.0727539999998</v>
      </c>
      <c r="J50">
        <v>3673.1166990000002</v>
      </c>
      <c r="K50">
        <v>3705.2802729999999</v>
      </c>
      <c r="L50">
        <v>3733.1437989999999</v>
      </c>
      <c r="M50">
        <v>3752.8754880000001</v>
      </c>
      <c r="N50">
        <v>3776.8149410000001</v>
      </c>
      <c r="O50">
        <v>3801.813721</v>
      </c>
      <c r="P50">
        <v>3825.9995119999999</v>
      </c>
      <c r="Q50">
        <v>3856.9697270000001</v>
      </c>
      <c r="R50">
        <v>3890.8408199999999</v>
      </c>
      <c r="S50">
        <v>3930.8857419999999</v>
      </c>
      <c r="T50">
        <v>3973.7788089999999</v>
      </c>
      <c r="U50">
        <v>4017.7170409999999</v>
      </c>
      <c r="V50">
        <v>4060.931885</v>
      </c>
      <c r="W50">
        <v>4101.8227539999998</v>
      </c>
      <c r="X50">
        <v>4147.4541019999997</v>
      </c>
      <c r="Y50">
        <v>4190.1289059999999</v>
      </c>
      <c r="Z50">
        <v>4227.7094729999999</v>
      </c>
      <c r="AA50">
        <v>4263.8173829999996</v>
      </c>
      <c r="AB50">
        <v>4297.5073240000002</v>
      </c>
      <c r="AC50">
        <v>4338.7900390000004</v>
      </c>
      <c r="AD50">
        <v>4383.1625979999999</v>
      </c>
      <c r="AE50">
        <v>4422.9213870000003</v>
      </c>
      <c r="AF50">
        <v>4462.2915039999998</v>
      </c>
      <c r="AG50" s="22">
        <v>8.0000000000000002E-3</v>
      </c>
    </row>
    <row r="51" spans="1:33">
      <c r="A51" t="s">
        <v>185</v>
      </c>
      <c r="B51" t="s">
        <v>3464</v>
      </c>
      <c r="C51" t="s">
        <v>3463</v>
      </c>
      <c r="D51" t="s">
        <v>201</v>
      </c>
      <c r="F51">
        <v>551.82116699999995</v>
      </c>
      <c r="G51">
        <v>515.44671600000004</v>
      </c>
      <c r="H51">
        <v>512.00433299999997</v>
      </c>
      <c r="I51">
        <v>521.71460000000002</v>
      </c>
      <c r="J51">
        <v>527.149902</v>
      </c>
      <c r="K51">
        <v>536.16485599999999</v>
      </c>
      <c r="L51">
        <v>544.46398899999997</v>
      </c>
      <c r="M51">
        <v>550.63928199999998</v>
      </c>
      <c r="N51">
        <v>555.56909199999996</v>
      </c>
      <c r="O51">
        <v>560.05175799999995</v>
      </c>
      <c r="P51">
        <v>565.12554899999998</v>
      </c>
      <c r="Q51">
        <v>571.33374000000003</v>
      </c>
      <c r="R51">
        <v>576.15924099999995</v>
      </c>
      <c r="S51">
        <v>581.94079599999998</v>
      </c>
      <c r="T51">
        <v>586.01965299999995</v>
      </c>
      <c r="U51">
        <v>590.54821800000002</v>
      </c>
      <c r="V51">
        <v>594.242615</v>
      </c>
      <c r="W51">
        <v>597.45153800000003</v>
      </c>
      <c r="X51">
        <v>600.77636700000005</v>
      </c>
      <c r="Y51">
        <v>604.31085199999995</v>
      </c>
      <c r="Z51">
        <v>607.69940199999996</v>
      </c>
      <c r="AA51">
        <v>611.23754899999994</v>
      </c>
      <c r="AB51">
        <v>615.37231399999996</v>
      </c>
      <c r="AC51">
        <v>619.821594</v>
      </c>
      <c r="AD51">
        <v>624.98010299999999</v>
      </c>
      <c r="AE51">
        <v>629.56622300000004</v>
      </c>
      <c r="AF51">
        <v>633.98541299999999</v>
      </c>
      <c r="AG51" s="22">
        <v>5.0000000000000001E-3</v>
      </c>
    </row>
    <row r="52" spans="1:33">
      <c r="A52" t="s">
        <v>191</v>
      </c>
      <c r="B52" t="s">
        <v>3462</v>
      </c>
      <c r="C52" t="s">
        <v>3461</v>
      </c>
      <c r="D52" t="s">
        <v>201</v>
      </c>
      <c r="F52">
        <v>22.401547999999998</v>
      </c>
      <c r="G52">
        <v>22.394031999999999</v>
      </c>
      <c r="H52">
        <v>22.387812</v>
      </c>
      <c r="I52">
        <v>22.382666</v>
      </c>
      <c r="J52">
        <v>22.378406999999999</v>
      </c>
      <c r="K52">
        <v>22.374884000000002</v>
      </c>
      <c r="L52">
        <v>22.371969</v>
      </c>
      <c r="M52">
        <v>22.369558000000001</v>
      </c>
      <c r="N52">
        <v>22.367563000000001</v>
      </c>
      <c r="O52">
        <v>22.365911000000001</v>
      </c>
      <c r="P52">
        <v>22.364546000000001</v>
      </c>
      <c r="Q52">
        <v>22.363416999999998</v>
      </c>
      <c r="R52">
        <v>22.362480000000001</v>
      </c>
      <c r="S52">
        <v>22.361708</v>
      </c>
      <c r="T52">
        <v>22.361066999999998</v>
      </c>
      <c r="U52">
        <v>22.360537999999998</v>
      </c>
      <c r="V52">
        <v>22.360099999999999</v>
      </c>
      <c r="W52">
        <v>22.359736999999999</v>
      </c>
      <c r="X52">
        <v>22.359438000000001</v>
      </c>
      <c r="Y52">
        <v>22.359190000000002</v>
      </c>
      <c r="Z52">
        <v>22.358984</v>
      </c>
      <c r="AA52">
        <v>22.358813999999999</v>
      </c>
      <c r="AB52">
        <v>22.358673</v>
      </c>
      <c r="AC52">
        <v>22.358557000000001</v>
      </c>
      <c r="AD52">
        <v>22.358460999999998</v>
      </c>
      <c r="AE52">
        <v>22.358381000000001</v>
      </c>
      <c r="AF52">
        <v>22.358315000000001</v>
      </c>
      <c r="AG52" s="22">
        <v>0</v>
      </c>
    </row>
    <row r="53" spans="1:33">
      <c r="A53" t="s">
        <v>192</v>
      </c>
      <c r="B53" t="s">
        <v>3460</v>
      </c>
      <c r="C53" t="s">
        <v>3459</v>
      </c>
      <c r="D53" t="s">
        <v>201</v>
      </c>
      <c r="F53">
        <v>11.194936999999999</v>
      </c>
      <c r="G53">
        <v>11.326601999999999</v>
      </c>
      <c r="H53">
        <v>11.367645</v>
      </c>
      <c r="I53">
        <v>11.375973</v>
      </c>
      <c r="J53">
        <v>11.351239</v>
      </c>
      <c r="K53">
        <v>11.289317</v>
      </c>
      <c r="L53">
        <v>11.225379</v>
      </c>
      <c r="M53">
        <v>11.113161</v>
      </c>
      <c r="N53">
        <v>10.983699</v>
      </c>
      <c r="O53">
        <v>10.848458000000001</v>
      </c>
      <c r="P53">
        <v>10.725232999999999</v>
      </c>
      <c r="Q53">
        <v>10.595364999999999</v>
      </c>
      <c r="R53">
        <v>10.469961</v>
      </c>
      <c r="S53">
        <v>10.348195</v>
      </c>
      <c r="T53">
        <v>10.219623</v>
      </c>
      <c r="U53">
        <v>10.09042</v>
      </c>
      <c r="V53">
        <v>9.9622200000000003</v>
      </c>
      <c r="W53">
        <v>9.8300920000000005</v>
      </c>
      <c r="X53">
        <v>9.6967789999999994</v>
      </c>
      <c r="Y53">
        <v>9.5655000000000001</v>
      </c>
      <c r="Z53">
        <v>9.433719</v>
      </c>
      <c r="AA53">
        <v>9.3097999999999992</v>
      </c>
      <c r="AB53">
        <v>9.1828850000000006</v>
      </c>
      <c r="AC53">
        <v>9.0655330000000003</v>
      </c>
      <c r="AD53">
        <v>8.9465109999999992</v>
      </c>
      <c r="AE53">
        <v>8.8220840000000003</v>
      </c>
      <c r="AF53">
        <v>8.7052230000000002</v>
      </c>
      <c r="AG53" s="22">
        <v>-0.01</v>
      </c>
    </row>
    <row r="54" spans="1:33">
      <c r="A54" t="s">
        <v>181</v>
      </c>
      <c r="B54" t="s">
        <v>3458</v>
      </c>
      <c r="C54" t="s">
        <v>3457</v>
      </c>
      <c r="D54" t="s">
        <v>201</v>
      </c>
      <c r="F54">
        <v>134.26944</v>
      </c>
      <c r="G54">
        <v>134.664963</v>
      </c>
      <c r="H54">
        <v>135.304733</v>
      </c>
      <c r="I54">
        <v>135.76445000000001</v>
      </c>
      <c r="J54">
        <v>135.97155799999999</v>
      </c>
      <c r="K54">
        <v>136.08528100000001</v>
      </c>
      <c r="L54">
        <v>136.12858600000001</v>
      </c>
      <c r="M54">
        <v>136.05534399999999</v>
      </c>
      <c r="N54">
        <v>135.95806899999999</v>
      </c>
      <c r="O54">
        <v>135.90976000000001</v>
      </c>
      <c r="P54">
        <v>135.892471</v>
      </c>
      <c r="Q54">
        <v>135.86319</v>
      </c>
      <c r="R54">
        <v>135.82115200000001</v>
      </c>
      <c r="S54">
        <v>135.77626000000001</v>
      </c>
      <c r="T54">
        <v>135.75709499999999</v>
      </c>
      <c r="U54">
        <v>135.764038</v>
      </c>
      <c r="V54">
        <v>135.76824999999999</v>
      </c>
      <c r="W54">
        <v>135.74340799999999</v>
      </c>
      <c r="X54">
        <v>135.698792</v>
      </c>
      <c r="Y54">
        <v>135.63441499999999</v>
      </c>
      <c r="Z54">
        <v>135.56684899999999</v>
      </c>
      <c r="AA54">
        <v>135.500809</v>
      </c>
      <c r="AB54">
        <v>135.41752600000001</v>
      </c>
      <c r="AC54">
        <v>135.32342499999999</v>
      </c>
      <c r="AD54">
        <v>135.19622799999999</v>
      </c>
      <c r="AE54">
        <v>135.05600000000001</v>
      </c>
      <c r="AF54">
        <v>134.919434</v>
      </c>
      <c r="AG54" s="22">
        <v>0</v>
      </c>
    </row>
    <row r="55" spans="1:33">
      <c r="A55" t="s">
        <v>193</v>
      </c>
      <c r="B55" t="s">
        <v>3456</v>
      </c>
      <c r="C55" t="s">
        <v>3455</v>
      </c>
      <c r="D55" t="s">
        <v>201</v>
      </c>
      <c r="F55">
        <v>27556.947265999999</v>
      </c>
      <c r="G55">
        <v>27605.441406000002</v>
      </c>
      <c r="H55">
        <v>27521.259765999999</v>
      </c>
      <c r="I55">
        <v>27359.208984000001</v>
      </c>
      <c r="J55">
        <v>27137.253906000002</v>
      </c>
      <c r="K55">
        <v>26897.761718999998</v>
      </c>
      <c r="L55">
        <v>26621.535156000002</v>
      </c>
      <c r="M55">
        <v>26375.863281000002</v>
      </c>
      <c r="N55">
        <v>26095.599609000001</v>
      </c>
      <c r="O55">
        <v>25857.292968999998</v>
      </c>
      <c r="P55">
        <v>25645.757812</v>
      </c>
      <c r="Q55">
        <v>25442.994140999999</v>
      </c>
      <c r="R55">
        <v>25228.306640999999</v>
      </c>
      <c r="S55">
        <v>25035.947265999999</v>
      </c>
      <c r="T55">
        <v>24886.175781000002</v>
      </c>
      <c r="U55">
        <v>24730.496093999998</v>
      </c>
      <c r="V55">
        <v>24607.796875</v>
      </c>
      <c r="W55">
        <v>24496.757812</v>
      </c>
      <c r="X55">
        <v>24381.050781000002</v>
      </c>
      <c r="Y55">
        <v>24302.503906000002</v>
      </c>
      <c r="Z55">
        <v>24203.160156000002</v>
      </c>
      <c r="AA55">
        <v>24132.339843999998</v>
      </c>
      <c r="AB55">
        <v>24047.466797000001</v>
      </c>
      <c r="AC55">
        <v>24026.820312</v>
      </c>
      <c r="AD55">
        <v>23976.166015999999</v>
      </c>
      <c r="AE55">
        <v>23950.724609000001</v>
      </c>
      <c r="AF55">
        <v>23953.857422000001</v>
      </c>
      <c r="AG55" s="22">
        <v>-5.0000000000000001E-3</v>
      </c>
    </row>
    <row r="56" spans="1:33">
      <c r="A56" t="s">
        <v>194</v>
      </c>
      <c r="B56" t="s">
        <v>3454</v>
      </c>
      <c r="C56" t="s">
        <v>3453</v>
      </c>
      <c r="D56" t="s">
        <v>201</v>
      </c>
      <c r="F56">
        <v>85.344939999999994</v>
      </c>
      <c r="G56">
        <v>115.150368</v>
      </c>
      <c r="H56">
        <v>155.988541</v>
      </c>
      <c r="I56">
        <v>201.97129799999999</v>
      </c>
      <c r="J56">
        <v>252.632858</v>
      </c>
      <c r="K56">
        <v>304.47863799999999</v>
      </c>
      <c r="L56">
        <v>359.64196800000002</v>
      </c>
      <c r="M56">
        <v>406.82205199999999</v>
      </c>
      <c r="N56">
        <v>454.854828</v>
      </c>
      <c r="O56">
        <v>497.35562099999999</v>
      </c>
      <c r="P56">
        <v>540.099243</v>
      </c>
      <c r="Q56">
        <v>581.99963400000001</v>
      </c>
      <c r="R56">
        <v>624.28204300000004</v>
      </c>
      <c r="S56">
        <v>666.59503199999995</v>
      </c>
      <c r="T56">
        <v>708.72296100000005</v>
      </c>
      <c r="U56">
        <v>750.334473</v>
      </c>
      <c r="V56">
        <v>790.61645499999997</v>
      </c>
      <c r="W56">
        <v>829.09991500000001</v>
      </c>
      <c r="X56">
        <v>865.36230499999999</v>
      </c>
      <c r="Y56">
        <v>899.78277600000001</v>
      </c>
      <c r="Z56">
        <v>932.205872</v>
      </c>
      <c r="AA56">
        <v>962.77514599999995</v>
      </c>
      <c r="AB56">
        <v>990.92175299999997</v>
      </c>
      <c r="AC56">
        <v>1017.371704</v>
      </c>
      <c r="AD56">
        <v>1042.7154539999999</v>
      </c>
      <c r="AE56">
        <v>1067.538086</v>
      </c>
      <c r="AF56">
        <v>1091.956543</v>
      </c>
      <c r="AG56" s="22">
        <v>0.10299999999999999</v>
      </c>
    </row>
    <row r="57" spans="1:33">
      <c r="A57" t="s">
        <v>195</v>
      </c>
      <c r="B57" t="s">
        <v>3452</v>
      </c>
      <c r="C57" t="s">
        <v>3451</v>
      </c>
      <c r="D57" t="s">
        <v>201</v>
      </c>
      <c r="F57">
        <v>88.136702999999997</v>
      </c>
      <c r="G57">
        <v>95.444480999999996</v>
      </c>
      <c r="H57">
        <v>101.018845</v>
      </c>
      <c r="I57">
        <v>105.189232</v>
      </c>
      <c r="J57">
        <v>108.276009</v>
      </c>
      <c r="K57">
        <v>111.195801</v>
      </c>
      <c r="L57">
        <v>113.73023999999999</v>
      </c>
      <c r="M57">
        <v>115.542404</v>
      </c>
      <c r="N57">
        <v>116.80027800000001</v>
      </c>
      <c r="O57">
        <v>117.769814</v>
      </c>
      <c r="P57">
        <v>119.054474</v>
      </c>
      <c r="Q57">
        <v>120.038246</v>
      </c>
      <c r="R57">
        <v>121.296707</v>
      </c>
      <c r="S57">
        <v>122.925552</v>
      </c>
      <c r="T57">
        <v>124.973213</v>
      </c>
      <c r="U57">
        <v>127.270691</v>
      </c>
      <c r="V57">
        <v>130.13639800000001</v>
      </c>
      <c r="W57">
        <v>133.575928</v>
      </c>
      <c r="X57">
        <v>137.28263899999999</v>
      </c>
      <c r="Y57">
        <v>141.25102200000001</v>
      </c>
      <c r="Z57">
        <v>145.45997600000001</v>
      </c>
      <c r="AA57">
        <v>150.18043499999999</v>
      </c>
      <c r="AB57">
        <v>155.238663</v>
      </c>
      <c r="AC57">
        <v>161.42147800000001</v>
      </c>
      <c r="AD57">
        <v>168.573669</v>
      </c>
      <c r="AE57">
        <v>176.61393699999999</v>
      </c>
      <c r="AF57">
        <v>185.69241299999999</v>
      </c>
      <c r="AG57" s="22">
        <v>2.9000000000000001E-2</v>
      </c>
    </row>
    <row r="58" spans="1:33">
      <c r="A58" t="s">
        <v>196</v>
      </c>
      <c r="B58" t="s">
        <v>3450</v>
      </c>
      <c r="C58" t="s">
        <v>3449</v>
      </c>
      <c r="D58" t="s">
        <v>201</v>
      </c>
      <c r="F58">
        <v>0.43567400000000001</v>
      </c>
      <c r="G58">
        <v>0.46314300000000003</v>
      </c>
      <c r="H58">
        <v>0.47356700000000002</v>
      </c>
      <c r="I58">
        <v>0.47776000000000002</v>
      </c>
      <c r="J58">
        <v>0.47633199999999998</v>
      </c>
      <c r="K58">
        <v>0.46326299999999998</v>
      </c>
      <c r="L58">
        <v>0.450768</v>
      </c>
      <c r="M58">
        <v>0.43599399999999999</v>
      </c>
      <c r="N58">
        <v>0.41830400000000001</v>
      </c>
      <c r="O58">
        <v>0.39632000000000001</v>
      </c>
      <c r="P58">
        <v>0.37400499999999998</v>
      </c>
      <c r="Q58">
        <v>0.35125000000000001</v>
      </c>
      <c r="R58">
        <v>0.32793099999999997</v>
      </c>
      <c r="S58">
        <v>0.30443700000000001</v>
      </c>
      <c r="T58">
        <v>0.28106599999999998</v>
      </c>
      <c r="U58">
        <v>0.25866</v>
      </c>
      <c r="V58">
        <v>0.23719100000000001</v>
      </c>
      <c r="W58">
        <v>0.216257</v>
      </c>
      <c r="X58">
        <v>0.19920299999999999</v>
      </c>
      <c r="Y58">
        <v>0.18405299999999999</v>
      </c>
      <c r="Z58">
        <v>0.17237</v>
      </c>
      <c r="AA58">
        <v>0.15951799999999999</v>
      </c>
      <c r="AB58">
        <v>0.14982400000000001</v>
      </c>
      <c r="AC58">
        <v>0.14279500000000001</v>
      </c>
      <c r="AD58">
        <v>0.13841200000000001</v>
      </c>
      <c r="AE58">
        <v>0.13444500000000001</v>
      </c>
      <c r="AF58">
        <v>0.13148299999999999</v>
      </c>
      <c r="AG58" s="22">
        <v>-4.4999999999999998E-2</v>
      </c>
    </row>
    <row r="59" spans="1:33">
      <c r="A59" t="s">
        <v>182</v>
      </c>
      <c r="B59" t="s">
        <v>3448</v>
      </c>
      <c r="C59" t="s">
        <v>3447</v>
      </c>
      <c r="D59" t="s">
        <v>201</v>
      </c>
      <c r="F59">
        <v>924.15820299999996</v>
      </c>
      <c r="G59">
        <v>870.21014400000001</v>
      </c>
      <c r="H59">
        <v>863.57080099999996</v>
      </c>
      <c r="I59">
        <v>835.60900900000001</v>
      </c>
      <c r="J59">
        <v>791.56463599999995</v>
      </c>
      <c r="K59">
        <v>757.790344</v>
      </c>
      <c r="L59">
        <v>713.010986</v>
      </c>
      <c r="M59">
        <v>703.35260000000005</v>
      </c>
      <c r="N59">
        <v>716.09576400000003</v>
      </c>
      <c r="O59">
        <v>709.19616699999995</v>
      </c>
      <c r="P59">
        <v>701.62231399999996</v>
      </c>
      <c r="Q59">
        <v>701.98468000000003</v>
      </c>
      <c r="R59">
        <v>707.069885</v>
      </c>
      <c r="S59">
        <v>716.51238999999998</v>
      </c>
      <c r="T59">
        <v>726.48242200000004</v>
      </c>
      <c r="U59">
        <v>737.60986300000002</v>
      </c>
      <c r="V59">
        <v>746.22839399999998</v>
      </c>
      <c r="W59">
        <v>752.33184800000004</v>
      </c>
      <c r="X59">
        <v>756.95684800000004</v>
      </c>
      <c r="Y59">
        <v>765.15093999999999</v>
      </c>
      <c r="Z59">
        <v>774.86108400000001</v>
      </c>
      <c r="AA59">
        <v>781.81097399999999</v>
      </c>
      <c r="AB59">
        <v>792.942993</v>
      </c>
      <c r="AC59">
        <v>801.18463099999997</v>
      </c>
      <c r="AD59">
        <v>810.29339600000003</v>
      </c>
      <c r="AE59">
        <v>819.83679199999995</v>
      </c>
      <c r="AF59">
        <v>831.59936500000003</v>
      </c>
      <c r="AG59" s="22">
        <v>-4.0000000000000001E-3</v>
      </c>
    </row>
    <row r="60" spans="1:33">
      <c r="A60" t="s">
        <v>1106</v>
      </c>
      <c r="B60" t="s">
        <v>3446</v>
      </c>
      <c r="C60" t="s">
        <v>3445</v>
      </c>
      <c r="D60" t="s">
        <v>201</v>
      </c>
      <c r="F60">
        <v>367.99011200000001</v>
      </c>
      <c r="G60">
        <v>420.41076700000002</v>
      </c>
      <c r="H60">
        <v>447.69332900000001</v>
      </c>
      <c r="I60">
        <v>448.49334700000003</v>
      </c>
      <c r="J60">
        <v>534.99713099999997</v>
      </c>
      <c r="K60">
        <v>595.58819600000004</v>
      </c>
      <c r="L60">
        <v>658.57672100000002</v>
      </c>
      <c r="M60">
        <v>700.78753700000004</v>
      </c>
      <c r="N60">
        <v>769.51843299999996</v>
      </c>
      <c r="O60">
        <v>835.05316200000004</v>
      </c>
      <c r="P60">
        <v>877.011169</v>
      </c>
      <c r="Q60">
        <v>893.79437299999995</v>
      </c>
      <c r="R60">
        <v>912.175659</v>
      </c>
      <c r="S60">
        <v>927.36077899999998</v>
      </c>
      <c r="T60">
        <v>935.75238000000002</v>
      </c>
      <c r="U60">
        <v>935.75238000000002</v>
      </c>
      <c r="V60">
        <v>937.35046399999999</v>
      </c>
      <c r="W60">
        <v>935.75238000000002</v>
      </c>
      <c r="X60">
        <v>935.74237100000005</v>
      </c>
      <c r="Y60">
        <v>930.754456</v>
      </c>
      <c r="Z60">
        <v>932.171021</v>
      </c>
      <c r="AA60">
        <v>929.52716099999998</v>
      </c>
      <c r="AB60">
        <v>934.68682899999999</v>
      </c>
      <c r="AC60">
        <v>934.997253</v>
      </c>
      <c r="AD60">
        <v>936.23211700000002</v>
      </c>
      <c r="AE60">
        <v>934.12908900000002</v>
      </c>
      <c r="AF60">
        <v>935.01782200000002</v>
      </c>
      <c r="AG60" s="22">
        <v>3.6999999999999998E-2</v>
      </c>
    </row>
    <row r="61" spans="1:33">
      <c r="A61" t="s">
        <v>143</v>
      </c>
      <c r="B61" t="s">
        <v>3444</v>
      </c>
      <c r="C61" t="s">
        <v>3443</v>
      </c>
      <c r="D61" t="s">
        <v>201</v>
      </c>
      <c r="F61">
        <v>29023.013672000001</v>
      </c>
      <c r="G61">
        <v>29107.121093999998</v>
      </c>
      <c r="H61">
        <v>29090.003906000002</v>
      </c>
      <c r="I61">
        <v>28950.951172000001</v>
      </c>
      <c r="J61">
        <v>28825.201172000001</v>
      </c>
      <c r="K61">
        <v>28667.277343999998</v>
      </c>
      <c r="L61">
        <v>28466.947265999999</v>
      </c>
      <c r="M61">
        <v>28302.804688</v>
      </c>
      <c r="N61">
        <v>28153.287109000001</v>
      </c>
      <c r="O61">
        <v>28017.0625</v>
      </c>
      <c r="P61">
        <v>27883.919922000001</v>
      </c>
      <c r="Q61">
        <v>27741.164062</v>
      </c>
      <c r="R61">
        <v>27593.458984000001</v>
      </c>
      <c r="S61">
        <v>27469.646484000001</v>
      </c>
      <c r="T61">
        <v>27382.386718999998</v>
      </c>
      <c r="U61">
        <v>27281.720702999999</v>
      </c>
      <c r="V61">
        <v>27212.365234000001</v>
      </c>
      <c r="W61">
        <v>27147.734375</v>
      </c>
      <c r="X61">
        <v>27076.595702999999</v>
      </c>
      <c r="Y61">
        <v>27039.626952999999</v>
      </c>
      <c r="Z61">
        <v>26988.03125</v>
      </c>
      <c r="AA61">
        <v>26956.792968999998</v>
      </c>
      <c r="AB61">
        <v>26921.408202999999</v>
      </c>
      <c r="AC61">
        <v>26941.939452999999</v>
      </c>
      <c r="AD61">
        <v>26934.119140999999</v>
      </c>
      <c r="AE61">
        <v>26948.974609000001</v>
      </c>
      <c r="AF61">
        <v>26998.255859000001</v>
      </c>
      <c r="AG61" s="22">
        <v>-3.0000000000000001E-3</v>
      </c>
    </row>
  </sheetData>
  <pageMargins left="0.7" right="0.7" top="0.75" bottom="0.75" header="0.3" footer="0.3"/>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933B3A0-12D5-44ED-941F-BCFACF7F44B3}">
  <sheetPr>
    <tabColor theme="4" tint="0.39997558519241921"/>
  </sheetPr>
  <dimension ref="A1:AG63"/>
  <sheetViews>
    <sheetView workbookViewId="0"/>
  </sheetViews>
  <sheetFormatPr defaultRowHeight="15"/>
  <sheetData>
    <row r="1" spans="1:33">
      <c r="A1" t="s">
        <v>992</v>
      </c>
    </row>
    <row r="2" spans="1:33">
      <c r="A2" t="s">
        <v>2419</v>
      </c>
    </row>
    <row r="3" spans="1:33">
      <c r="A3" t="s">
        <v>2418</v>
      </c>
    </row>
    <row r="4" spans="1:33">
      <c r="A4" t="s">
        <v>146</v>
      </c>
    </row>
    <row r="5" spans="1:33">
      <c r="B5" t="s">
        <v>198</v>
      </c>
      <c r="C5" t="s">
        <v>199</v>
      </c>
      <c r="D5" t="s">
        <v>200</v>
      </c>
      <c r="E5">
        <v>2023</v>
      </c>
      <c r="F5">
        <v>2024</v>
      </c>
      <c r="G5">
        <v>2025</v>
      </c>
      <c r="H5">
        <v>2026</v>
      </c>
      <c r="I5">
        <v>2027</v>
      </c>
      <c r="J5">
        <v>2028</v>
      </c>
      <c r="K5">
        <v>2029</v>
      </c>
      <c r="L5">
        <v>2030</v>
      </c>
      <c r="M5">
        <v>2031</v>
      </c>
      <c r="N5">
        <v>2032</v>
      </c>
      <c r="O5">
        <v>2033</v>
      </c>
      <c r="P5">
        <v>2034</v>
      </c>
      <c r="Q5">
        <v>2035</v>
      </c>
      <c r="R5">
        <v>2036</v>
      </c>
      <c r="S5">
        <v>2037</v>
      </c>
      <c r="T5">
        <v>2038</v>
      </c>
      <c r="U5">
        <v>2039</v>
      </c>
      <c r="V5">
        <v>2040</v>
      </c>
      <c r="W5">
        <v>2041</v>
      </c>
      <c r="X5">
        <v>2042</v>
      </c>
      <c r="Y5">
        <v>2043</v>
      </c>
      <c r="Z5">
        <v>2044</v>
      </c>
      <c r="AA5">
        <v>2045</v>
      </c>
      <c r="AB5">
        <v>2046</v>
      </c>
      <c r="AC5">
        <v>2047</v>
      </c>
      <c r="AD5">
        <v>2048</v>
      </c>
      <c r="AE5">
        <v>2049</v>
      </c>
      <c r="AF5">
        <v>2050</v>
      </c>
      <c r="AG5" t="s">
        <v>2417</v>
      </c>
    </row>
    <row r="6" spans="1:33">
      <c r="A6" t="s">
        <v>993</v>
      </c>
    </row>
    <row r="7" spans="1:33">
      <c r="A7" t="s">
        <v>994</v>
      </c>
    </row>
    <row r="8" spans="1:33">
      <c r="A8" t="s">
        <v>995</v>
      </c>
      <c r="B8" t="s">
        <v>2416</v>
      </c>
      <c r="C8" t="s">
        <v>2415</v>
      </c>
      <c r="D8" t="s">
        <v>202</v>
      </c>
      <c r="F8">
        <v>50.638137999999998</v>
      </c>
      <c r="G8">
        <v>48.885429000000002</v>
      </c>
      <c r="H8">
        <v>46.748302000000002</v>
      </c>
      <c r="I8">
        <v>44.010258</v>
      </c>
      <c r="J8">
        <v>41.474693000000002</v>
      </c>
      <c r="K8">
        <v>39.650063000000003</v>
      </c>
      <c r="L8">
        <v>38.069546000000003</v>
      </c>
      <c r="M8">
        <v>36.528156000000003</v>
      </c>
      <c r="N8">
        <v>34.710064000000003</v>
      </c>
      <c r="O8">
        <v>33.442504999999997</v>
      </c>
      <c r="P8">
        <v>32.505721999999999</v>
      </c>
      <c r="Q8">
        <v>31.332032999999999</v>
      </c>
      <c r="R8">
        <v>30.183112999999999</v>
      </c>
      <c r="S8">
        <v>29.184698000000001</v>
      </c>
      <c r="T8">
        <v>28.347183000000001</v>
      </c>
      <c r="U8">
        <v>27.496824</v>
      </c>
      <c r="V8">
        <v>26.624618999999999</v>
      </c>
      <c r="W8">
        <v>25.859490999999998</v>
      </c>
      <c r="X8">
        <v>25.193740999999999</v>
      </c>
      <c r="Y8">
        <v>24.602195999999999</v>
      </c>
      <c r="Z8">
        <v>24.052531999999999</v>
      </c>
      <c r="AA8">
        <v>23.561592000000001</v>
      </c>
      <c r="AB8">
        <v>23.087154000000002</v>
      </c>
      <c r="AC8">
        <v>22.633206999999999</v>
      </c>
      <c r="AD8">
        <v>22.193701000000001</v>
      </c>
      <c r="AE8">
        <v>21.778998999999999</v>
      </c>
      <c r="AF8">
        <v>21.422250999999999</v>
      </c>
      <c r="AG8" s="22">
        <v>-3.3000000000000002E-2</v>
      </c>
    </row>
    <row r="9" spans="1:33">
      <c r="A9" t="s">
        <v>996</v>
      </c>
      <c r="B9" t="s">
        <v>2414</v>
      </c>
      <c r="C9" t="s">
        <v>2413</v>
      </c>
      <c r="D9" t="s">
        <v>202</v>
      </c>
      <c r="F9">
        <v>0.105861</v>
      </c>
      <c r="G9">
        <v>9.2277999999999999E-2</v>
      </c>
      <c r="H9">
        <v>8.0051999999999998E-2</v>
      </c>
      <c r="I9">
        <v>6.9001999999999994E-2</v>
      </c>
      <c r="J9">
        <v>5.8966999999999999E-2</v>
      </c>
      <c r="K9">
        <v>4.9986000000000003E-2</v>
      </c>
      <c r="L9">
        <v>4.2127999999999999E-2</v>
      </c>
      <c r="M9">
        <v>3.5327999999999998E-2</v>
      </c>
      <c r="N9">
        <v>2.9527999999999999E-2</v>
      </c>
      <c r="O9">
        <v>2.4714E-2</v>
      </c>
      <c r="P9">
        <v>2.0797E-2</v>
      </c>
      <c r="Q9">
        <v>1.7670000000000002E-2</v>
      </c>
      <c r="R9">
        <v>1.5205E-2</v>
      </c>
      <c r="S9">
        <v>1.3269E-2</v>
      </c>
      <c r="T9">
        <v>1.1756000000000001E-2</v>
      </c>
      <c r="U9">
        <v>1.0555E-2</v>
      </c>
      <c r="V9">
        <v>9.5420000000000001E-3</v>
      </c>
      <c r="W9">
        <v>8.6499999999999997E-3</v>
      </c>
      <c r="X9">
        <v>7.8600000000000007E-3</v>
      </c>
      <c r="Y9">
        <v>7.1549999999999999E-3</v>
      </c>
      <c r="Z9">
        <v>6.5180000000000004E-3</v>
      </c>
      <c r="AA9">
        <v>5.94E-3</v>
      </c>
      <c r="AB9">
        <v>5.4159999999999998E-3</v>
      </c>
      <c r="AC9">
        <v>4.9399999999999999E-3</v>
      </c>
      <c r="AD9">
        <v>4.5069999999999997E-3</v>
      </c>
      <c r="AE9">
        <v>4.1149999999999997E-3</v>
      </c>
      <c r="AF9">
        <v>3.7580000000000001E-3</v>
      </c>
      <c r="AG9" s="22">
        <v>-0.12</v>
      </c>
    </row>
    <row r="10" spans="1:33">
      <c r="A10" t="s">
        <v>997</v>
      </c>
      <c r="B10" t="s">
        <v>2412</v>
      </c>
      <c r="C10" t="s">
        <v>2411</v>
      </c>
      <c r="D10" t="s">
        <v>202</v>
      </c>
      <c r="F10">
        <v>50.743999000000002</v>
      </c>
      <c r="G10">
        <v>48.977707000000002</v>
      </c>
      <c r="H10">
        <v>46.828353999999997</v>
      </c>
      <c r="I10">
        <v>44.079262</v>
      </c>
      <c r="J10">
        <v>41.533661000000002</v>
      </c>
      <c r="K10">
        <v>39.700049999999997</v>
      </c>
      <c r="L10">
        <v>38.111674999999998</v>
      </c>
      <c r="M10">
        <v>36.563484000000003</v>
      </c>
      <c r="N10">
        <v>34.739593999999997</v>
      </c>
      <c r="O10">
        <v>33.467219999999998</v>
      </c>
      <c r="P10">
        <v>32.526519999999998</v>
      </c>
      <c r="Q10">
        <v>31.349703000000002</v>
      </c>
      <c r="R10">
        <v>30.198318</v>
      </c>
      <c r="S10">
        <v>29.197967999999999</v>
      </c>
      <c r="T10">
        <v>28.358937999999998</v>
      </c>
      <c r="U10">
        <v>27.507380000000001</v>
      </c>
      <c r="V10">
        <v>26.634160999999999</v>
      </c>
      <c r="W10">
        <v>25.868141000000001</v>
      </c>
      <c r="X10">
        <v>25.201601</v>
      </c>
      <c r="Y10">
        <v>24.609349999999999</v>
      </c>
      <c r="Z10">
        <v>24.059049999999999</v>
      </c>
      <c r="AA10">
        <v>23.567532</v>
      </c>
      <c r="AB10">
        <v>23.092569000000001</v>
      </c>
      <c r="AC10">
        <v>22.638147</v>
      </c>
      <c r="AD10">
        <v>22.198208000000001</v>
      </c>
      <c r="AE10">
        <v>21.783113</v>
      </c>
      <c r="AF10">
        <v>21.426007999999999</v>
      </c>
      <c r="AG10" s="22">
        <v>-3.3000000000000002E-2</v>
      </c>
    </row>
    <row r="11" spans="1:33">
      <c r="A11" t="s">
        <v>998</v>
      </c>
    </row>
    <row r="12" spans="1:33">
      <c r="A12" t="s">
        <v>999</v>
      </c>
      <c r="B12" t="s">
        <v>2410</v>
      </c>
      <c r="C12" t="s">
        <v>2409</v>
      </c>
      <c r="D12" t="s">
        <v>202</v>
      </c>
      <c r="F12">
        <v>1.60873</v>
      </c>
      <c r="G12">
        <v>1.349367</v>
      </c>
      <c r="H12">
        <v>1.148253</v>
      </c>
      <c r="I12">
        <v>0.97852499999999998</v>
      </c>
      <c r="J12">
        <v>0.83490799999999998</v>
      </c>
      <c r="K12">
        <v>0.71350599999999997</v>
      </c>
      <c r="L12">
        <v>0.61164200000000002</v>
      </c>
      <c r="M12">
        <v>0.52731499999999998</v>
      </c>
      <c r="N12">
        <v>0.45874700000000002</v>
      </c>
      <c r="O12">
        <v>0.40613199999999999</v>
      </c>
      <c r="P12">
        <v>0.36515700000000001</v>
      </c>
      <c r="Q12">
        <v>0.33379399999999998</v>
      </c>
      <c r="R12">
        <v>0.31039299999999997</v>
      </c>
      <c r="S12">
        <v>0.29211300000000001</v>
      </c>
      <c r="T12">
        <v>0.277586</v>
      </c>
      <c r="U12">
        <v>0.26606400000000002</v>
      </c>
      <c r="V12">
        <v>0.25656099999999998</v>
      </c>
      <c r="W12">
        <v>0.24847</v>
      </c>
      <c r="X12">
        <v>0.24144099999999999</v>
      </c>
      <c r="Y12">
        <v>0.23524500000000001</v>
      </c>
      <c r="Z12">
        <v>0.22976199999999999</v>
      </c>
      <c r="AA12">
        <v>0.22478000000000001</v>
      </c>
      <c r="AB12">
        <v>0.22017800000000001</v>
      </c>
      <c r="AC12">
        <v>0.21592700000000001</v>
      </c>
      <c r="AD12">
        <v>0.21198400000000001</v>
      </c>
      <c r="AE12">
        <v>0.20832899999999999</v>
      </c>
      <c r="AF12">
        <v>0.20491699999999999</v>
      </c>
      <c r="AG12" s="22">
        <v>-7.5999999999999998E-2</v>
      </c>
    </row>
    <row r="13" spans="1:33">
      <c r="A13" t="s">
        <v>1157</v>
      </c>
      <c r="B13" t="s">
        <v>2408</v>
      </c>
      <c r="C13" t="s">
        <v>2407</v>
      </c>
      <c r="D13" t="s">
        <v>202</v>
      </c>
      <c r="F13">
        <v>9.1476000000000002E-2</v>
      </c>
      <c r="G13">
        <v>0.103355</v>
      </c>
      <c r="H13">
        <v>0.104404</v>
      </c>
      <c r="I13">
        <v>9.9453E-2</v>
      </c>
      <c r="J13">
        <v>9.2523999999999995E-2</v>
      </c>
      <c r="K13">
        <v>8.7859000000000007E-2</v>
      </c>
      <c r="L13">
        <v>8.6116999999999999E-2</v>
      </c>
      <c r="M13">
        <v>8.5204000000000002E-2</v>
      </c>
      <c r="N13">
        <v>8.4945999999999994E-2</v>
      </c>
      <c r="O13">
        <v>8.0046000000000006E-2</v>
      </c>
      <c r="P13">
        <v>7.7998999999999999E-2</v>
      </c>
      <c r="Q13">
        <v>7.7561000000000005E-2</v>
      </c>
      <c r="R13">
        <v>7.8149999999999997E-2</v>
      </c>
      <c r="S13">
        <v>7.9242000000000007E-2</v>
      </c>
      <c r="T13">
        <v>8.0854999999999996E-2</v>
      </c>
      <c r="U13">
        <v>8.2913000000000001E-2</v>
      </c>
      <c r="V13">
        <v>8.3385000000000001E-2</v>
      </c>
      <c r="W13">
        <v>8.4219000000000002E-2</v>
      </c>
      <c r="X13">
        <v>8.5323999999999997E-2</v>
      </c>
      <c r="Y13">
        <v>8.6754999999999999E-2</v>
      </c>
      <c r="Z13">
        <v>8.7946999999999997E-2</v>
      </c>
      <c r="AA13">
        <v>8.9177000000000006E-2</v>
      </c>
      <c r="AB13">
        <v>9.0092000000000005E-2</v>
      </c>
      <c r="AC13">
        <v>9.0739E-2</v>
      </c>
      <c r="AD13">
        <v>9.1296000000000002E-2</v>
      </c>
      <c r="AE13">
        <v>9.1797000000000004E-2</v>
      </c>
      <c r="AF13">
        <v>9.2785999999999993E-2</v>
      </c>
      <c r="AG13" s="22">
        <v>1E-3</v>
      </c>
    </row>
    <row r="14" spans="1:33">
      <c r="A14" t="s">
        <v>1159</v>
      </c>
      <c r="B14" t="s">
        <v>2406</v>
      </c>
      <c r="C14" t="s">
        <v>2405</v>
      </c>
      <c r="D14" t="s">
        <v>202</v>
      </c>
      <c r="F14">
        <v>0.69233999999999996</v>
      </c>
      <c r="G14">
        <v>0.907057</v>
      </c>
      <c r="H14">
        <v>1.1195539999999999</v>
      </c>
      <c r="I14">
        <v>1.357645</v>
      </c>
      <c r="J14">
        <v>1.514705</v>
      </c>
      <c r="K14">
        <v>1.616379</v>
      </c>
      <c r="L14">
        <v>1.770032</v>
      </c>
      <c r="M14">
        <v>1.928347</v>
      </c>
      <c r="N14">
        <v>2.5976219999999999</v>
      </c>
      <c r="O14">
        <v>3.198941</v>
      </c>
      <c r="P14">
        <v>3.726064</v>
      </c>
      <c r="Q14">
        <v>4.3920599999999999</v>
      </c>
      <c r="R14">
        <v>4.8904180000000004</v>
      </c>
      <c r="S14">
        <v>5.2890930000000003</v>
      </c>
      <c r="T14">
        <v>5.6434220000000002</v>
      </c>
      <c r="U14">
        <v>6.1824019999999997</v>
      </c>
      <c r="V14">
        <v>6.5860190000000003</v>
      </c>
      <c r="W14">
        <v>6.8923209999999999</v>
      </c>
      <c r="X14">
        <v>7.1280409999999996</v>
      </c>
      <c r="Y14">
        <v>7.3587980000000002</v>
      </c>
      <c r="Z14">
        <v>7.548114</v>
      </c>
      <c r="AA14">
        <v>7.7391969999999999</v>
      </c>
      <c r="AB14">
        <v>7.8809060000000004</v>
      </c>
      <c r="AC14">
        <v>7.9886850000000003</v>
      </c>
      <c r="AD14">
        <v>8.0824700000000007</v>
      </c>
      <c r="AE14">
        <v>8.163729</v>
      </c>
      <c r="AF14">
        <v>8.2948229999999992</v>
      </c>
      <c r="AG14" s="22">
        <v>0.1</v>
      </c>
    </row>
    <row r="15" spans="1:33">
      <c r="A15" t="s">
        <v>1161</v>
      </c>
      <c r="B15" t="s">
        <v>2404</v>
      </c>
      <c r="C15" t="s">
        <v>2403</v>
      </c>
      <c r="D15" t="s">
        <v>202</v>
      </c>
      <c r="F15">
        <v>2.689883</v>
      </c>
      <c r="G15">
        <v>3.5916250000000001</v>
      </c>
      <c r="H15">
        <v>5.1927519999999996</v>
      </c>
      <c r="I15">
        <v>6.8535830000000004</v>
      </c>
      <c r="J15">
        <v>8.0837140000000005</v>
      </c>
      <c r="K15">
        <v>8.8788940000000007</v>
      </c>
      <c r="L15">
        <v>9.6231860000000005</v>
      </c>
      <c r="M15">
        <v>10.23752</v>
      </c>
      <c r="N15">
        <v>10.690363</v>
      </c>
      <c r="O15">
        <v>10.662129</v>
      </c>
      <c r="P15">
        <v>10.907314</v>
      </c>
      <c r="Q15">
        <v>11.172157</v>
      </c>
      <c r="R15">
        <v>11.436102</v>
      </c>
      <c r="S15">
        <v>11.673954</v>
      </c>
      <c r="T15">
        <v>11.908784000000001</v>
      </c>
      <c r="U15">
        <v>12.099163000000001</v>
      </c>
      <c r="V15">
        <v>12.386236999999999</v>
      </c>
      <c r="W15">
        <v>12.585106</v>
      </c>
      <c r="X15">
        <v>12.720762000000001</v>
      </c>
      <c r="Y15">
        <v>12.807727</v>
      </c>
      <c r="Z15">
        <v>12.878695</v>
      </c>
      <c r="AA15">
        <v>12.938056</v>
      </c>
      <c r="AB15">
        <v>12.977658999999999</v>
      </c>
      <c r="AC15">
        <v>12.990112999999999</v>
      </c>
      <c r="AD15">
        <v>12.971123</v>
      </c>
      <c r="AE15">
        <v>12.942655</v>
      </c>
      <c r="AF15">
        <v>12.932833</v>
      </c>
      <c r="AG15" s="22">
        <v>6.2E-2</v>
      </c>
    </row>
    <row r="16" spans="1:33">
      <c r="A16" t="s">
        <v>1000</v>
      </c>
      <c r="B16" t="s">
        <v>2402</v>
      </c>
      <c r="C16" t="s">
        <v>2401</v>
      </c>
      <c r="D16" t="s">
        <v>202</v>
      </c>
      <c r="F16">
        <v>0.186914</v>
      </c>
      <c r="G16">
        <v>0.23035800000000001</v>
      </c>
      <c r="H16">
        <v>0.27477800000000002</v>
      </c>
      <c r="I16">
        <v>0.31699100000000002</v>
      </c>
      <c r="J16">
        <v>0.34990700000000002</v>
      </c>
      <c r="K16">
        <v>0.36466999999999999</v>
      </c>
      <c r="L16">
        <v>0.37565900000000002</v>
      </c>
      <c r="M16">
        <v>0.38463700000000001</v>
      </c>
      <c r="N16">
        <v>0.37951200000000002</v>
      </c>
      <c r="O16">
        <v>0.36410500000000001</v>
      </c>
      <c r="P16">
        <v>0.35984500000000003</v>
      </c>
      <c r="Q16">
        <v>0.35496499999999997</v>
      </c>
      <c r="R16">
        <v>0.35196499999999997</v>
      </c>
      <c r="S16">
        <v>0.350024</v>
      </c>
      <c r="T16">
        <v>0.34971000000000002</v>
      </c>
      <c r="U16">
        <v>0.34740900000000002</v>
      </c>
      <c r="V16">
        <v>0.34548099999999998</v>
      </c>
      <c r="W16">
        <v>0.34423500000000001</v>
      </c>
      <c r="X16">
        <v>0.34338600000000002</v>
      </c>
      <c r="Y16">
        <v>0.343194</v>
      </c>
      <c r="Z16">
        <v>0.34214499999999998</v>
      </c>
      <c r="AA16">
        <v>0.34149499999999999</v>
      </c>
      <c r="AB16">
        <v>0.33986100000000002</v>
      </c>
      <c r="AC16">
        <v>0.33780500000000002</v>
      </c>
      <c r="AD16">
        <v>0.33586100000000002</v>
      </c>
      <c r="AE16">
        <v>0.333926</v>
      </c>
      <c r="AF16">
        <v>0.33367000000000002</v>
      </c>
      <c r="AG16" s="22">
        <v>2.3E-2</v>
      </c>
    </row>
    <row r="17" spans="1:33">
      <c r="A17" t="s">
        <v>1001</v>
      </c>
      <c r="B17" t="s">
        <v>2400</v>
      </c>
      <c r="C17" t="s">
        <v>2399</v>
      </c>
      <c r="D17" t="s">
        <v>202</v>
      </c>
      <c r="F17">
        <v>0.129778</v>
      </c>
      <c r="G17">
        <v>0.16594</v>
      </c>
      <c r="H17">
        <v>0.26083299999999998</v>
      </c>
      <c r="I17">
        <v>0.34348400000000001</v>
      </c>
      <c r="J17">
        <v>0.40930299999999997</v>
      </c>
      <c r="K17">
        <v>0.44777899999999998</v>
      </c>
      <c r="L17">
        <v>0.47846499999999997</v>
      </c>
      <c r="M17">
        <v>0.50584300000000004</v>
      </c>
      <c r="N17">
        <v>0.49767099999999997</v>
      </c>
      <c r="O17">
        <v>0.46661399999999997</v>
      </c>
      <c r="P17">
        <v>0.45825100000000002</v>
      </c>
      <c r="Q17">
        <v>0.444216</v>
      </c>
      <c r="R17">
        <v>0.436475</v>
      </c>
      <c r="S17">
        <v>0.43141600000000002</v>
      </c>
      <c r="T17">
        <v>0.42926199999999998</v>
      </c>
      <c r="U17">
        <v>0.416043</v>
      </c>
      <c r="V17">
        <v>0.40549400000000002</v>
      </c>
      <c r="W17">
        <v>0.39758599999999999</v>
      </c>
      <c r="X17">
        <v>0.391592</v>
      </c>
      <c r="Y17">
        <v>0.38659700000000002</v>
      </c>
      <c r="Z17">
        <v>0.38094099999999997</v>
      </c>
      <c r="AA17">
        <v>0.37582399999999999</v>
      </c>
      <c r="AB17">
        <v>0.37006</v>
      </c>
      <c r="AC17">
        <v>0.36420000000000002</v>
      </c>
      <c r="AD17">
        <v>0.358657</v>
      </c>
      <c r="AE17">
        <v>0.35341400000000001</v>
      </c>
      <c r="AF17">
        <v>0.34999400000000003</v>
      </c>
      <c r="AG17" s="22">
        <v>3.9E-2</v>
      </c>
    </row>
    <row r="18" spans="1:33">
      <c r="A18" t="s">
        <v>1002</v>
      </c>
      <c r="B18" t="s">
        <v>2398</v>
      </c>
      <c r="C18" t="s">
        <v>2397</v>
      </c>
      <c r="D18" t="s">
        <v>202</v>
      </c>
      <c r="F18">
        <v>0</v>
      </c>
      <c r="G18">
        <v>0</v>
      </c>
      <c r="H18">
        <v>0</v>
      </c>
      <c r="I18">
        <v>0</v>
      </c>
      <c r="J18">
        <v>0</v>
      </c>
      <c r="K18">
        <v>0</v>
      </c>
      <c r="L18">
        <v>0</v>
      </c>
      <c r="M18">
        <v>0</v>
      </c>
      <c r="N18">
        <v>0</v>
      </c>
      <c r="O18">
        <v>0</v>
      </c>
      <c r="P18">
        <v>0</v>
      </c>
      <c r="Q18">
        <v>0</v>
      </c>
      <c r="R18">
        <v>0</v>
      </c>
      <c r="S18">
        <v>0</v>
      </c>
      <c r="T18">
        <v>0</v>
      </c>
      <c r="U18">
        <v>0</v>
      </c>
      <c r="V18">
        <v>0</v>
      </c>
      <c r="W18">
        <v>0</v>
      </c>
      <c r="X18">
        <v>0</v>
      </c>
      <c r="Y18">
        <v>0</v>
      </c>
      <c r="Z18">
        <v>0</v>
      </c>
      <c r="AA18">
        <v>0</v>
      </c>
      <c r="AB18">
        <v>0</v>
      </c>
      <c r="AC18">
        <v>0</v>
      </c>
      <c r="AD18">
        <v>0</v>
      </c>
      <c r="AE18">
        <v>0</v>
      </c>
      <c r="AF18">
        <v>0</v>
      </c>
      <c r="AG18" t="s">
        <v>111</v>
      </c>
    </row>
    <row r="19" spans="1:33">
      <c r="A19" t="s">
        <v>1003</v>
      </c>
      <c r="B19" t="s">
        <v>2396</v>
      </c>
      <c r="C19" t="s">
        <v>2395</v>
      </c>
      <c r="D19" t="s">
        <v>202</v>
      </c>
      <c r="F19">
        <v>2.719198</v>
      </c>
      <c r="G19">
        <v>3.198261</v>
      </c>
      <c r="H19">
        <v>3.4401540000000002</v>
      </c>
      <c r="I19">
        <v>3.633343</v>
      </c>
      <c r="J19">
        <v>3.6965560000000002</v>
      </c>
      <c r="K19">
        <v>3.777752</v>
      </c>
      <c r="L19">
        <v>3.8531740000000001</v>
      </c>
      <c r="M19">
        <v>3.9225120000000002</v>
      </c>
      <c r="N19">
        <v>3.8995739999999999</v>
      </c>
      <c r="O19">
        <v>3.9320469999999998</v>
      </c>
      <c r="P19">
        <v>4.0155849999999997</v>
      </c>
      <c r="Q19">
        <v>4.045547</v>
      </c>
      <c r="R19">
        <v>4.0633889999999999</v>
      </c>
      <c r="S19">
        <v>4.0925390000000004</v>
      </c>
      <c r="T19">
        <v>4.1382899999999996</v>
      </c>
      <c r="U19">
        <v>4.1715249999999999</v>
      </c>
      <c r="V19">
        <v>4.1756779999999996</v>
      </c>
      <c r="W19">
        <v>4.190537</v>
      </c>
      <c r="X19">
        <v>4.2157879999999999</v>
      </c>
      <c r="Y19">
        <v>4.24763</v>
      </c>
      <c r="Z19">
        <v>4.2800010000000004</v>
      </c>
      <c r="AA19">
        <v>4.3174409999999996</v>
      </c>
      <c r="AB19">
        <v>4.351369</v>
      </c>
      <c r="AC19">
        <v>4.3813610000000001</v>
      </c>
      <c r="AD19">
        <v>4.4064550000000002</v>
      </c>
      <c r="AE19">
        <v>4.4319420000000003</v>
      </c>
      <c r="AF19">
        <v>4.469773</v>
      </c>
      <c r="AG19" s="22">
        <v>1.9E-2</v>
      </c>
    </row>
    <row r="20" spans="1:33">
      <c r="A20" t="s">
        <v>1004</v>
      </c>
      <c r="B20" t="s">
        <v>2394</v>
      </c>
      <c r="C20" t="s">
        <v>2393</v>
      </c>
      <c r="D20" t="s">
        <v>202</v>
      </c>
      <c r="F20">
        <v>7.0349999999999996E-2</v>
      </c>
      <c r="G20">
        <v>6.4102999999999993E-2</v>
      </c>
      <c r="H20">
        <v>5.7872E-2</v>
      </c>
      <c r="I20">
        <v>5.1645000000000003E-2</v>
      </c>
      <c r="J20">
        <v>4.5603999999999999E-2</v>
      </c>
      <c r="K20">
        <v>3.9872999999999999E-2</v>
      </c>
      <c r="L20">
        <v>3.5135E-2</v>
      </c>
      <c r="M20">
        <v>3.0665999999999999E-2</v>
      </c>
      <c r="N20">
        <v>2.6724999999999999E-2</v>
      </c>
      <c r="O20">
        <v>2.3335999999999999E-2</v>
      </c>
      <c r="P20">
        <v>2.0537E-2</v>
      </c>
      <c r="Q20">
        <v>1.8207999999999998E-2</v>
      </c>
      <c r="R20">
        <v>1.6296000000000001E-2</v>
      </c>
      <c r="S20">
        <v>1.5039E-2</v>
      </c>
      <c r="T20">
        <v>1.3965E-2</v>
      </c>
      <c r="U20">
        <v>1.3070999999999999E-2</v>
      </c>
      <c r="V20">
        <v>1.2276E-2</v>
      </c>
      <c r="W20">
        <v>1.1528999999999999E-2</v>
      </c>
      <c r="X20">
        <v>1.0827E-2</v>
      </c>
      <c r="Y20">
        <v>1.0168999999999999E-2</v>
      </c>
      <c r="Z20">
        <v>9.5499999999999995E-3</v>
      </c>
      <c r="AA20">
        <v>8.9689999999999995E-3</v>
      </c>
      <c r="AB20">
        <v>8.4229999999999999E-3</v>
      </c>
      <c r="AC20">
        <v>7.9100000000000004E-3</v>
      </c>
      <c r="AD20">
        <v>7.4289999999999998E-3</v>
      </c>
      <c r="AE20">
        <v>6.9769999999999997E-3</v>
      </c>
      <c r="AF20">
        <v>6.5519999999999997E-3</v>
      </c>
      <c r="AG20" s="22">
        <v>-8.6999999999999994E-2</v>
      </c>
    </row>
    <row r="21" spans="1:33">
      <c r="A21" t="s">
        <v>1005</v>
      </c>
      <c r="B21" t="s">
        <v>2392</v>
      </c>
      <c r="C21" t="s">
        <v>2391</v>
      </c>
      <c r="D21" t="s">
        <v>202</v>
      </c>
      <c r="F21">
        <v>1.6720000000000001E-3</v>
      </c>
      <c r="G21">
        <v>1.57E-3</v>
      </c>
      <c r="H21">
        <v>1.475E-3</v>
      </c>
      <c r="I21">
        <v>1.3849999999999999E-3</v>
      </c>
      <c r="J21">
        <v>1.3010000000000001E-3</v>
      </c>
      <c r="K21">
        <v>1.2210000000000001E-3</v>
      </c>
      <c r="L21">
        <v>1.147E-3</v>
      </c>
      <c r="M21">
        <v>1.077E-3</v>
      </c>
      <c r="N21">
        <v>1.0120000000000001E-3</v>
      </c>
      <c r="O21">
        <v>9.5E-4</v>
      </c>
      <c r="P21">
        <v>8.92E-4</v>
      </c>
      <c r="Q21">
        <v>8.3799999999999999E-4</v>
      </c>
      <c r="R21">
        <v>7.8700000000000005E-4</v>
      </c>
      <c r="S21">
        <v>7.3899999999999997E-4</v>
      </c>
      <c r="T21">
        <v>6.9399999999999996E-4</v>
      </c>
      <c r="U21">
        <v>6.5200000000000002E-4</v>
      </c>
      <c r="V21">
        <v>6.1200000000000002E-4</v>
      </c>
      <c r="W21">
        <v>5.7499999999999999E-4</v>
      </c>
      <c r="X21">
        <v>5.4000000000000001E-4</v>
      </c>
      <c r="Y21">
        <v>5.0699999999999996E-4</v>
      </c>
      <c r="Z21">
        <v>4.7600000000000002E-4</v>
      </c>
      <c r="AA21">
        <v>4.4700000000000002E-4</v>
      </c>
      <c r="AB21">
        <v>4.2000000000000002E-4</v>
      </c>
      <c r="AC21">
        <v>3.9500000000000001E-4</v>
      </c>
      <c r="AD21">
        <v>3.7100000000000002E-4</v>
      </c>
      <c r="AE21">
        <v>3.48E-4</v>
      </c>
      <c r="AF21">
        <v>3.2699999999999998E-4</v>
      </c>
      <c r="AG21" s="22">
        <v>-6.0999999999999999E-2</v>
      </c>
    </row>
    <row r="22" spans="1:33">
      <c r="A22" t="s">
        <v>1006</v>
      </c>
      <c r="B22" t="s">
        <v>2390</v>
      </c>
      <c r="C22" t="s">
        <v>2389</v>
      </c>
      <c r="D22" t="s">
        <v>202</v>
      </c>
      <c r="F22">
        <v>1.0722000000000001E-2</v>
      </c>
      <c r="G22">
        <v>9.3189999999999992E-3</v>
      </c>
      <c r="H22">
        <v>8.4430000000000009E-3</v>
      </c>
      <c r="I22">
        <v>7.9100000000000004E-3</v>
      </c>
      <c r="J22">
        <v>7.4289999999999998E-3</v>
      </c>
      <c r="K22">
        <v>6.9769999999999997E-3</v>
      </c>
      <c r="L22">
        <v>6.5519999999999997E-3</v>
      </c>
      <c r="M22">
        <v>6.1539999999999997E-3</v>
      </c>
      <c r="N22">
        <v>5.7790000000000003E-3</v>
      </c>
      <c r="O22">
        <v>5.4279999999999997E-3</v>
      </c>
      <c r="P22">
        <v>5.097E-3</v>
      </c>
      <c r="Q22">
        <v>4.7869999999999996E-3</v>
      </c>
      <c r="R22">
        <v>4.496E-3</v>
      </c>
      <c r="S22">
        <v>4.2220000000000001E-3</v>
      </c>
      <c r="T22">
        <v>3.9649999999999998E-3</v>
      </c>
      <c r="U22">
        <v>3.7239999999999999E-3</v>
      </c>
      <c r="V22">
        <v>3.4970000000000001E-3</v>
      </c>
      <c r="W22">
        <v>3.2850000000000002E-3</v>
      </c>
      <c r="X22">
        <v>3.0850000000000001E-3</v>
      </c>
      <c r="Y22">
        <v>2.8969999999999998E-3</v>
      </c>
      <c r="Z22">
        <v>2.7209999999999999E-3</v>
      </c>
      <c r="AA22">
        <v>2.555E-3</v>
      </c>
      <c r="AB22">
        <v>2.3999999999999998E-3</v>
      </c>
      <c r="AC22">
        <v>2.2539999999999999E-3</v>
      </c>
      <c r="AD22">
        <v>2.1159999999999998E-3</v>
      </c>
      <c r="AE22">
        <v>1.9880000000000002E-3</v>
      </c>
      <c r="AF22">
        <v>1.867E-3</v>
      </c>
      <c r="AG22" s="22">
        <v>-6.5000000000000002E-2</v>
      </c>
    </row>
    <row r="23" spans="1:33">
      <c r="A23" t="s">
        <v>1007</v>
      </c>
      <c r="B23" t="s">
        <v>2388</v>
      </c>
      <c r="C23" t="s">
        <v>2387</v>
      </c>
      <c r="D23" t="s">
        <v>202</v>
      </c>
      <c r="F23">
        <v>2.1011999999999999E-2</v>
      </c>
      <c r="G23">
        <v>1.8134999999999998E-2</v>
      </c>
      <c r="H23">
        <v>1.6174000000000001E-2</v>
      </c>
      <c r="I23">
        <v>1.4973999999999999E-2</v>
      </c>
      <c r="J23">
        <v>1.3956E-2</v>
      </c>
      <c r="K23">
        <v>1.3107000000000001E-2</v>
      </c>
      <c r="L23">
        <v>1.2309E-2</v>
      </c>
      <c r="M23">
        <v>1.1560000000000001E-2</v>
      </c>
      <c r="N23">
        <v>1.0857E-2</v>
      </c>
      <c r="O23">
        <v>1.0196E-2</v>
      </c>
      <c r="P23">
        <v>9.5759999999999994E-3</v>
      </c>
      <c r="Q23">
        <v>8.9929999999999993E-3</v>
      </c>
      <c r="R23">
        <v>8.4460000000000004E-3</v>
      </c>
      <c r="S23">
        <v>7.9319999999999998E-3</v>
      </c>
      <c r="T23">
        <v>7.4489999999999999E-3</v>
      </c>
      <c r="U23">
        <v>6.9959999999999996E-3</v>
      </c>
      <c r="V23">
        <v>6.5700000000000003E-3</v>
      </c>
      <c r="W23">
        <v>6.1700000000000001E-3</v>
      </c>
      <c r="X23">
        <v>5.7949999999999998E-3</v>
      </c>
      <c r="Y23">
        <v>5.4419999999999998E-3</v>
      </c>
      <c r="Z23">
        <v>5.1110000000000001E-3</v>
      </c>
      <c r="AA23">
        <v>4.7999999999999996E-3</v>
      </c>
      <c r="AB23">
        <v>4.5079999999999999E-3</v>
      </c>
      <c r="AC23">
        <v>4.2339999999999999E-3</v>
      </c>
      <c r="AD23">
        <v>3.9760000000000004E-3</v>
      </c>
      <c r="AE23">
        <v>3.7339999999999999E-3</v>
      </c>
      <c r="AF23">
        <v>3.5070000000000001E-3</v>
      </c>
      <c r="AG23" s="22">
        <v>-6.7000000000000004E-2</v>
      </c>
    </row>
    <row r="24" spans="1:33">
      <c r="A24" t="s">
        <v>1008</v>
      </c>
      <c r="B24" t="s">
        <v>2386</v>
      </c>
      <c r="C24" t="s">
        <v>2385</v>
      </c>
      <c r="D24" t="s">
        <v>202</v>
      </c>
      <c r="F24">
        <v>0</v>
      </c>
      <c r="G24">
        <v>0</v>
      </c>
      <c r="H24">
        <v>0</v>
      </c>
      <c r="I24">
        <v>0</v>
      </c>
      <c r="J24">
        <v>0</v>
      </c>
      <c r="K24">
        <v>0</v>
      </c>
      <c r="L24">
        <v>0</v>
      </c>
      <c r="M24">
        <v>0</v>
      </c>
      <c r="N24">
        <v>0</v>
      </c>
      <c r="O24">
        <v>0</v>
      </c>
      <c r="P24">
        <v>0</v>
      </c>
      <c r="Q24">
        <v>0</v>
      </c>
      <c r="R24">
        <v>0</v>
      </c>
      <c r="S24">
        <v>0</v>
      </c>
      <c r="T24">
        <v>0</v>
      </c>
      <c r="U24">
        <v>0</v>
      </c>
      <c r="V24">
        <v>0</v>
      </c>
      <c r="W24">
        <v>0</v>
      </c>
      <c r="X24">
        <v>0</v>
      </c>
      <c r="Y24">
        <v>0</v>
      </c>
      <c r="Z24">
        <v>0</v>
      </c>
      <c r="AA24">
        <v>0</v>
      </c>
      <c r="AB24">
        <v>0</v>
      </c>
      <c r="AC24">
        <v>0</v>
      </c>
      <c r="AD24">
        <v>0</v>
      </c>
      <c r="AE24">
        <v>0</v>
      </c>
      <c r="AF24">
        <v>0</v>
      </c>
      <c r="AG24" t="s">
        <v>111</v>
      </c>
    </row>
    <row r="25" spans="1:33">
      <c r="A25" t="s">
        <v>1009</v>
      </c>
      <c r="B25" t="s">
        <v>2384</v>
      </c>
      <c r="C25" t="s">
        <v>2383</v>
      </c>
      <c r="D25" t="s">
        <v>202</v>
      </c>
      <c r="F25">
        <v>6.3569999999999998E-3</v>
      </c>
      <c r="G25">
        <v>6.2129999999999998E-3</v>
      </c>
      <c r="H25">
        <v>6.1710000000000003E-3</v>
      </c>
      <c r="I25">
        <v>6.2329999999999998E-3</v>
      </c>
      <c r="J25">
        <v>6.3090000000000004E-3</v>
      </c>
      <c r="K25">
        <v>5.8409999999999998E-3</v>
      </c>
      <c r="L25">
        <v>5.5059999999999996E-3</v>
      </c>
      <c r="M25">
        <v>5.1269999999999996E-3</v>
      </c>
      <c r="N25">
        <v>4.7260000000000002E-3</v>
      </c>
      <c r="O25">
        <v>4.261E-3</v>
      </c>
      <c r="P25">
        <v>3.8340000000000002E-3</v>
      </c>
      <c r="Q25">
        <v>3.4770000000000001E-3</v>
      </c>
      <c r="R25">
        <v>3.1380000000000002E-3</v>
      </c>
      <c r="S25">
        <v>2.8389999999999999E-3</v>
      </c>
      <c r="T25">
        <v>2.5820000000000001E-3</v>
      </c>
      <c r="U25">
        <v>2.3670000000000002E-3</v>
      </c>
      <c r="V25">
        <v>2.1940000000000002E-3</v>
      </c>
      <c r="W25">
        <v>2.0590000000000001E-3</v>
      </c>
      <c r="X25">
        <v>1.954E-3</v>
      </c>
      <c r="Y25">
        <v>1.8749999999999999E-3</v>
      </c>
      <c r="Z25">
        <v>1.81E-3</v>
      </c>
      <c r="AA25">
        <v>1.7650000000000001E-3</v>
      </c>
      <c r="AB25">
        <v>1.7329999999999999E-3</v>
      </c>
      <c r="AC25">
        <v>1.707E-3</v>
      </c>
      <c r="AD25">
        <v>1.689E-3</v>
      </c>
      <c r="AE25">
        <v>1.6789999999999999E-3</v>
      </c>
      <c r="AF25">
        <v>1.6900000000000001E-3</v>
      </c>
      <c r="AG25" s="22">
        <v>-0.05</v>
      </c>
    </row>
    <row r="26" spans="1:33">
      <c r="A26" t="s">
        <v>1010</v>
      </c>
      <c r="B26" t="s">
        <v>2382</v>
      </c>
      <c r="C26" t="s">
        <v>2381</v>
      </c>
      <c r="D26" t="s">
        <v>202</v>
      </c>
      <c r="F26">
        <v>8.2284319999999997</v>
      </c>
      <c r="G26">
        <v>9.6453039999999994</v>
      </c>
      <c r="H26">
        <v>11.630860999999999</v>
      </c>
      <c r="I26">
        <v>13.665171000000001</v>
      </c>
      <c r="J26">
        <v>15.056215</v>
      </c>
      <c r="K26">
        <v>15.953856999999999</v>
      </c>
      <c r="L26">
        <v>16.858924999999999</v>
      </c>
      <c r="M26">
        <v>17.645962000000001</v>
      </c>
      <c r="N26">
        <v>18.657536</v>
      </c>
      <c r="O26">
        <v>19.154181999999999</v>
      </c>
      <c r="P26">
        <v>19.950153</v>
      </c>
      <c r="Q26">
        <v>20.856604000000001</v>
      </c>
      <c r="R26">
        <v>21.600054</v>
      </c>
      <c r="S26">
        <v>22.239153000000002</v>
      </c>
      <c r="T26">
        <v>22.856566999999998</v>
      </c>
      <c r="U26">
        <v>23.592328999999999</v>
      </c>
      <c r="V26">
        <v>24.264004</v>
      </c>
      <c r="W26">
        <v>24.766089999999998</v>
      </c>
      <c r="X26">
        <v>25.148533</v>
      </c>
      <c r="Y26">
        <v>25.486834000000002</v>
      </c>
      <c r="Z26">
        <v>25.767271000000001</v>
      </c>
      <c r="AA26">
        <v>26.044504</v>
      </c>
      <c r="AB26">
        <v>26.247608</v>
      </c>
      <c r="AC26">
        <v>26.38533</v>
      </c>
      <c r="AD26">
        <v>26.473428999999999</v>
      </c>
      <c r="AE26">
        <v>26.540516</v>
      </c>
      <c r="AF26">
        <v>26.692737999999999</v>
      </c>
      <c r="AG26" s="22">
        <v>4.5999999999999999E-2</v>
      </c>
    </row>
    <row r="27" spans="1:33">
      <c r="A27" t="s">
        <v>1011</v>
      </c>
      <c r="B27" t="s">
        <v>2380</v>
      </c>
      <c r="C27" t="s">
        <v>2379</v>
      </c>
      <c r="D27" t="s">
        <v>202</v>
      </c>
      <c r="F27">
        <v>58.972431</v>
      </c>
      <c r="G27">
        <v>58.623009000000003</v>
      </c>
      <c r="H27">
        <v>58.459212999999998</v>
      </c>
      <c r="I27">
        <v>57.744430999999999</v>
      </c>
      <c r="J27">
        <v>56.589874000000002</v>
      </c>
      <c r="K27">
        <v>55.653908000000001</v>
      </c>
      <c r="L27">
        <v>54.970599999999997</v>
      </c>
      <c r="M27">
        <v>54.209446</v>
      </c>
      <c r="N27">
        <v>53.397129</v>
      </c>
      <c r="O27">
        <v>52.621403000000001</v>
      </c>
      <c r="P27">
        <v>52.476672999999998</v>
      </c>
      <c r="Q27">
        <v>52.206305999999998</v>
      </c>
      <c r="R27">
        <v>51.798369999999998</v>
      </c>
      <c r="S27">
        <v>51.437119000000003</v>
      </c>
      <c r="T27">
        <v>51.215508</v>
      </c>
      <c r="U27">
        <v>51.099708999999997</v>
      </c>
      <c r="V27">
        <v>50.898162999999997</v>
      </c>
      <c r="W27">
        <v>50.634231999999997</v>
      </c>
      <c r="X27">
        <v>50.350135999999999</v>
      </c>
      <c r="Y27">
        <v>50.096184000000001</v>
      </c>
      <c r="Z27">
        <v>49.826321</v>
      </c>
      <c r="AA27">
        <v>49.612037999999998</v>
      </c>
      <c r="AB27">
        <v>49.340178999999999</v>
      </c>
      <c r="AC27">
        <v>49.023476000000002</v>
      </c>
      <c r="AD27">
        <v>48.671638000000002</v>
      </c>
      <c r="AE27">
        <v>48.323630999999999</v>
      </c>
      <c r="AF27">
        <v>48.118744</v>
      </c>
      <c r="AG27" s="22">
        <v>-8.0000000000000002E-3</v>
      </c>
    </row>
    <row r="28" spans="1:33">
      <c r="A28" t="s">
        <v>162</v>
      </c>
    </row>
    <row r="29" spans="1:33">
      <c r="A29" t="s">
        <v>1012</v>
      </c>
    </row>
    <row r="30" spans="1:33">
      <c r="A30" t="s">
        <v>995</v>
      </c>
      <c r="B30" t="s">
        <v>2378</v>
      </c>
      <c r="C30" t="s">
        <v>2377</v>
      </c>
      <c r="D30" t="s">
        <v>202</v>
      </c>
      <c r="F30">
        <v>102.302567</v>
      </c>
      <c r="G30">
        <v>102.95161400000001</v>
      </c>
      <c r="H30">
        <v>104.194405</v>
      </c>
      <c r="I30">
        <v>104.787285</v>
      </c>
      <c r="J30">
        <v>104.69175</v>
      </c>
      <c r="K30">
        <v>104.503197</v>
      </c>
      <c r="L30">
        <v>103.919022</v>
      </c>
      <c r="M30">
        <v>102.892014</v>
      </c>
      <c r="N30">
        <v>101.796288</v>
      </c>
      <c r="O30">
        <v>101.479591</v>
      </c>
      <c r="P30">
        <v>100.64827</v>
      </c>
      <c r="Q30">
        <v>99.700119000000001</v>
      </c>
      <c r="R30">
        <v>98.631934999999999</v>
      </c>
      <c r="S30">
        <v>97.535667000000004</v>
      </c>
      <c r="T30">
        <v>96.443091999999993</v>
      </c>
      <c r="U30">
        <v>95.375632999999993</v>
      </c>
      <c r="V30">
        <v>94.396254999999996</v>
      </c>
      <c r="W30">
        <v>93.389617999999999</v>
      </c>
      <c r="X30">
        <v>92.375191000000001</v>
      </c>
      <c r="Y30">
        <v>91.304207000000005</v>
      </c>
      <c r="Z30">
        <v>90.293655000000001</v>
      </c>
      <c r="AA30">
        <v>89.291634000000002</v>
      </c>
      <c r="AB30">
        <v>88.319000000000003</v>
      </c>
      <c r="AC30">
        <v>87.386520000000004</v>
      </c>
      <c r="AD30">
        <v>86.393737999999999</v>
      </c>
      <c r="AE30">
        <v>85.382880999999998</v>
      </c>
      <c r="AF30">
        <v>84.28228</v>
      </c>
      <c r="AG30" s="22">
        <v>-7.0000000000000001E-3</v>
      </c>
    </row>
    <row r="31" spans="1:33">
      <c r="A31" t="s">
        <v>996</v>
      </c>
      <c r="B31" t="s">
        <v>2376</v>
      </c>
      <c r="C31" t="s">
        <v>2375</v>
      </c>
      <c r="D31" t="s">
        <v>202</v>
      </c>
      <c r="F31">
        <v>1.359491</v>
      </c>
      <c r="G31">
        <v>1.7591760000000001</v>
      </c>
      <c r="H31">
        <v>2.0902980000000002</v>
      </c>
      <c r="I31">
        <v>2.344992</v>
      </c>
      <c r="J31">
        <v>2.5653009999999998</v>
      </c>
      <c r="K31">
        <v>2.77746</v>
      </c>
      <c r="L31">
        <v>2.8368449999999998</v>
      </c>
      <c r="M31">
        <v>2.8804449999999999</v>
      </c>
      <c r="N31">
        <v>2.910164</v>
      </c>
      <c r="O31">
        <v>2.9569549999999998</v>
      </c>
      <c r="P31">
        <v>2.9819800000000001</v>
      </c>
      <c r="Q31">
        <v>2.996848</v>
      </c>
      <c r="R31">
        <v>3.0073249999999998</v>
      </c>
      <c r="S31">
        <v>3.0085500000000001</v>
      </c>
      <c r="T31">
        <v>3.0063330000000001</v>
      </c>
      <c r="U31">
        <v>3.002885</v>
      </c>
      <c r="V31">
        <v>2.9980470000000001</v>
      </c>
      <c r="W31">
        <v>2.9885489999999999</v>
      </c>
      <c r="X31">
        <v>2.9737459999999998</v>
      </c>
      <c r="Y31">
        <v>2.9533740000000002</v>
      </c>
      <c r="Z31">
        <v>2.9311419999999999</v>
      </c>
      <c r="AA31">
        <v>2.9072070000000001</v>
      </c>
      <c r="AB31">
        <v>2.8822670000000001</v>
      </c>
      <c r="AC31">
        <v>2.8579620000000001</v>
      </c>
      <c r="AD31">
        <v>2.8323399999999999</v>
      </c>
      <c r="AE31">
        <v>2.806638</v>
      </c>
      <c r="AF31">
        <v>2.7810350000000001</v>
      </c>
      <c r="AG31" s="22">
        <v>2.8000000000000001E-2</v>
      </c>
    </row>
    <row r="32" spans="1:33">
      <c r="A32" t="s">
        <v>1013</v>
      </c>
      <c r="B32" t="s">
        <v>2374</v>
      </c>
      <c r="C32" t="s">
        <v>2373</v>
      </c>
      <c r="D32" t="s">
        <v>202</v>
      </c>
      <c r="F32">
        <v>103.66205600000001</v>
      </c>
      <c r="G32">
        <v>104.710793</v>
      </c>
      <c r="H32">
        <v>106.28469800000001</v>
      </c>
      <c r="I32">
        <v>107.132278</v>
      </c>
      <c r="J32">
        <v>107.25705000000001</v>
      </c>
      <c r="K32">
        <v>107.280655</v>
      </c>
      <c r="L32">
        <v>106.75586699999999</v>
      </c>
      <c r="M32">
        <v>105.77246100000001</v>
      </c>
      <c r="N32">
        <v>104.706451</v>
      </c>
      <c r="O32">
        <v>104.43654600000001</v>
      </c>
      <c r="P32">
        <v>103.63024900000001</v>
      </c>
      <c r="Q32">
        <v>102.696968</v>
      </c>
      <c r="R32">
        <v>101.639259</v>
      </c>
      <c r="S32">
        <v>100.54422</v>
      </c>
      <c r="T32">
        <v>99.449425000000005</v>
      </c>
      <c r="U32">
        <v>98.378517000000002</v>
      </c>
      <c r="V32">
        <v>97.394301999999996</v>
      </c>
      <c r="W32">
        <v>96.378165999999993</v>
      </c>
      <c r="X32">
        <v>95.348938000000004</v>
      </c>
      <c r="Y32">
        <v>94.257583999999994</v>
      </c>
      <c r="Z32">
        <v>93.224800000000002</v>
      </c>
      <c r="AA32">
        <v>92.198836999999997</v>
      </c>
      <c r="AB32">
        <v>91.201262999999997</v>
      </c>
      <c r="AC32">
        <v>90.244484</v>
      </c>
      <c r="AD32">
        <v>89.226082000000005</v>
      </c>
      <c r="AE32">
        <v>88.189521999999997</v>
      </c>
      <c r="AF32">
        <v>87.063316</v>
      </c>
      <c r="AG32" s="22">
        <v>-7.0000000000000001E-3</v>
      </c>
    </row>
    <row r="33" spans="1:33">
      <c r="A33" t="s">
        <v>1014</v>
      </c>
    </row>
    <row r="34" spans="1:33">
      <c r="A34" t="s">
        <v>999</v>
      </c>
      <c r="B34" t="s">
        <v>2372</v>
      </c>
      <c r="C34" t="s">
        <v>2371</v>
      </c>
      <c r="D34" t="s">
        <v>202</v>
      </c>
      <c r="F34">
        <v>12.549168999999999</v>
      </c>
      <c r="G34">
        <v>11.123139999999999</v>
      </c>
      <c r="H34">
        <v>10.291789</v>
      </c>
      <c r="I34">
        <v>9.5159450000000003</v>
      </c>
      <c r="J34">
        <v>8.8311440000000001</v>
      </c>
      <c r="K34">
        <v>8.2167960000000004</v>
      </c>
      <c r="L34">
        <v>7.4919269999999996</v>
      </c>
      <c r="M34">
        <v>6.8450810000000004</v>
      </c>
      <c r="N34">
        <v>6.273898</v>
      </c>
      <c r="O34">
        <v>5.8061920000000002</v>
      </c>
      <c r="P34">
        <v>5.3933869999999997</v>
      </c>
      <c r="Q34">
        <v>5.0355230000000004</v>
      </c>
      <c r="R34">
        <v>4.7278669999999998</v>
      </c>
      <c r="S34">
        <v>4.4661549999999997</v>
      </c>
      <c r="T34">
        <v>4.2458489999999998</v>
      </c>
      <c r="U34">
        <v>4.0551969999999997</v>
      </c>
      <c r="V34">
        <v>3.8881600000000001</v>
      </c>
      <c r="W34">
        <v>3.7395999999999998</v>
      </c>
      <c r="X34">
        <v>3.6066370000000001</v>
      </c>
      <c r="Y34">
        <v>3.4864190000000002</v>
      </c>
      <c r="Z34">
        <v>3.3793380000000002</v>
      </c>
      <c r="AA34">
        <v>3.2817249999999998</v>
      </c>
      <c r="AB34">
        <v>3.193632</v>
      </c>
      <c r="AC34">
        <v>3.1148790000000002</v>
      </c>
      <c r="AD34">
        <v>3.041973</v>
      </c>
      <c r="AE34">
        <v>2.9742280000000001</v>
      </c>
      <c r="AF34">
        <v>2.907924</v>
      </c>
      <c r="AG34" s="22">
        <v>-5.5E-2</v>
      </c>
    </row>
    <row r="35" spans="1:33">
      <c r="A35" t="s">
        <v>1157</v>
      </c>
      <c r="B35" t="s">
        <v>2370</v>
      </c>
      <c r="C35" t="s">
        <v>2369</v>
      </c>
      <c r="D35" t="s">
        <v>202</v>
      </c>
      <c r="F35">
        <v>2.8639999999999998E-3</v>
      </c>
      <c r="G35">
        <v>2.5400000000000002E-3</v>
      </c>
      <c r="H35">
        <v>2.2699999999999999E-3</v>
      </c>
      <c r="I35">
        <v>2.0330000000000001E-3</v>
      </c>
      <c r="J35">
        <v>1.817E-3</v>
      </c>
      <c r="K35">
        <v>1.6230000000000001E-3</v>
      </c>
      <c r="L35">
        <v>1.449E-3</v>
      </c>
      <c r="M35">
        <v>1.2949999999999999E-3</v>
      </c>
      <c r="N35">
        <v>1.16E-3</v>
      </c>
      <c r="O35">
        <v>1.042E-3</v>
      </c>
      <c r="P35">
        <v>9.3800000000000003E-4</v>
      </c>
      <c r="Q35">
        <v>8.4900000000000004E-4</v>
      </c>
      <c r="R35">
        <v>7.7300000000000003E-4</v>
      </c>
      <c r="S35">
        <v>7.0600000000000003E-4</v>
      </c>
      <c r="T35">
        <v>6.4499999999999996E-4</v>
      </c>
      <c r="U35">
        <v>5.9000000000000003E-4</v>
      </c>
      <c r="V35">
        <v>5.4000000000000001E-4</v>
      </c>
      <c r="W35">
        <v>4.9399999999999997E-4</v>
      </c>
      <c r="X35">
        <v>4.5199999999999998E-4</v>
      </c>
      <c r="Y35">
        <v>4.1399999999999998E-4</v>
      </c>
      <c r="Z35">
        <v>3.79E-4</v>
      </c>
      <c r="AA35">
        <v>3.48E-4</v>
      </c>
      <c r="AB35">
        <v>3.19E-4</v>
      </c>
      <c r="AC35">
        <v>2.9300000000000002E-4</v>
      </c>
      <c r="AD35">
        <v>2.6899999999999998E-4</v>
      </c>
      <c r="AE35">
        <v>2.4699999999999999E-4</v>
      </c>
      <c r="AF35">
        <v>2.2699999999999999E-4</v>
      </c>
      <c r="AG35" s="22">
        <v>-9.2999999999999999E-2</v>
      </c>
    </row>
    <row r="36" spans="1:33">
      <c r="A36" t="s">
        <v>1159</v>
      </c>
      <c r="B36" t="s">
        <v>2368</v>
      </c>
      <c r="C36" t="s">
        <v>2367</v>
      </c>
      <c r="D36" t="s">
        <v>202</v>
      </c>
      <c r="F36">
        <v>0.29653000000000002</v>
      </c>
      <c r="G36">
        <v>0.50309899999999996</v>
      </c>
      <c r="H36">
        <v>0.80167200000000005</v>
      </c>
      <c r="I36">
        <v>1.1923760000000001</v>
      </c>
      <c r="J36">
        <v>1.572093</v>
      </c>
      <c r="K36">
        <v>1.8523419999999999</v>
      </c>
      <c r="L36">
        <v>1.9041239999999999</v>
      </c>
      <c r="M36">
        <v>1.9869030000000001</v>
      </c>
      <c r="N36">
        <v>2.1009099999999998</v>
      </c>
      <c r="O36">
        <v>2.1164010000000002</v>
      </c>
      <c r="P36">
        <v>2.1557840000000001</v>
      </c>
      <c r="Q36">
        <v>2.2217880000000001</v>
      </c>
      <c r="R36">
        <v>2.310524</v>
      </c>
      <c r="S36">
        <v>2.415476</v>
      </c>
      <c r="T36">
        <v>2.5384030000000002</v>
      </c>
      <c r="U36">
        <v>2.6802030000000001</v>
      </c>
      <c r="V36">
        <v>2.8318940000000001</v>
      </c>
      <c r="W36">
        <v>2.9868579999999998</v>
      </c>
      <c r="X36">
        <v>3.140987</v>
      </c>
      <c r="Y36">
        <v>3.2961130000000001</v>
      </c>
      <c r="Z36">
        <v>3.4481570000000001</v>
      </c>
      <c r="AA36">
        <v>3.60026</v>
      </c>
      <c r="AB36">
        <v>3.7473079999999999</v>
      </c>
      <c r="AC36">
        <v>3.8881770000000002</v>
      </c>
      <c r="AD36">
        <v>4.0235529999999997</v>
      </c>
      <c r="AE36">
        <v>4.154433</v>
      </c>
      <c r="AF36">
        <v>4.2916290000000004</v>
      </c>
      <c r="AG36" s="22">
        <v>0.108</v>
      </c>
    </row>
    <row r="37" spans="1:33">
      <c r="A37" t="s">
        <v>1161</v>
      </c>
      <c r="B37" t="s">
        <v>2366</v>
      </c>
      <c r="C37" t="s">
        <v>2365</v>
      </c>
      <c r="D37" t="s">
        <v>202</v>
      </c>
      <c r="F37">
        <v>0.56253200000000003</v>
      </c>
      <c r="G37">
        <v>1.146296</v>
      </c>
      <c r="H37">
        <v>1.929759</v>
      </c>
      <c r="I37">
        <v>2.8751159999999998</v>
      </c>
      <c r="J37">
        <v>3.82409</v>
      </c>
      <c r="K37">
        <v>4.6343069999999997</v>
      </c>
      <c r="L37">
        <v>5.14358</v>
      </c>
      <c r="M37">
        <v>5.6595240000000002</v>
      </c>
      <c r="N37">
        <v>6.2024869999999996</v>
      </c>
      <c r="O37">
        <v>6.4669239999999997</v>
      </c>
      <c r="P37">
        <v>6.7624469999999999</v>
      </c>
      <c r="Q37">
        <v>7.1013479999999998</v>
      </c>
      <c r="R37">
        <v>7.4724959999999996</v>
      </c>
      <c r="S37">
        <v>7.855645</v>
      </c>
      <c r="T37">
        <v>8.2521819999999995</v>
      </c>
      <c r="U37">
        <v>8.6630739999999999</v>
      </c>
      <c r="V37">
        <v>9.0715109999999992</v>
      </c>
      <c r="W37">
        <v>9.4653989999999997</v>
      </c>
      <c r="X37">
        <v>9.8370650000000008</v>
      </c>
      <c r="Y37">
        <v>10.187685</v>
      </c>
      <c r="Z37">
        <v>10.514441</v>
      </c>
      <c r="AA37">
        <v>10.822343999999999</v>
      </c>
      <c r="AB37">
        <v>11.103389999999999</v>
      </c>
      <c r="AC37">
        <v>11.358796</v>
      </c>
      <c r="AD37">
        <v>11.587569999999999</v>
      </c>
      <c r="AE37">
        <v>11.795612999999999</v>
      </c>
      <c r="AF37">
        <v>12.000555</v>
      </c>
      <c r="AG37" s="22">
        <v>0.125</v>
      </c>
    </row>
    <row r="38" spans="1:33">
      <c r="A38" t="s">
        <v>1000</v>
      </c>
      <c r="B38" t="s">
        <v>2364</v>
      </c>
      <c r="C38" t="s">
        <v>2363</v>
      </c>
      <c r="D38" t="s">
        <v>202</v>
      </c>
      <c r="F38">
        <v>1.1850689999999999</v>
      </c>
      <c r="G38">
        <v>1.638773</v>
      </c>
      <c r="H38">
        <v>2.1736179999999998</v>
      </c>
      <c r="I38">
        <v>2.6979389999999999</v>
      </c>
      <c r="J38">
        <v>3.1381260000000002</v>
      </c>
      <c r="K38">
        <v>3.370377</v>
      </c>
      <c r="L38">
        <v>3.6680039999999998</v>
      </c>
      <c r="M38">
        <v>3.9408129999999999</v>
      </c>
      <c r="N38">
        <v>4.2051660000000002</v>
      </c>
      <c r="O38">
        <v>4.3040630000000002</v>
      </c>
      <c r="P38">
        <v>4.4485570000000001</v>
      </c>
      <c r="Q38">
        <v>4.645327</v>
      </c>
      <c r="R38">
        <v>4.8150120000000003</v>
      </c>
      <c r="S38">
        <v>4.9758199999999997</v>
      </c>
      <c r="T38">
        <v>5.1337900000000003</v>
      </c>
      <c r="U38">
        <v>5.2950059999999999</v>
      </c>
      <c r="V38">
        <v>5.4441610000000003</v>
      </c>
      <c r="W38">
        <v>5.5754049999999999</v>
      </c>
      <c r="X38">
        <v>5.6888920000000001</v>
      </c>
      <c r="Y38">
        <v>5.7883180000000003</v>
      </c>
      <c r="Z38">
        <v>5.874136</v>
      </c>
      <c r="AA38">
        <v>5.9492469999999997</v>
      </c>
      <c r="AB38">
        <v>6.0113070000000004</v>
      </c>
      <c r="AC38">
        <v>6.0633590000000002</v>
      </c>
      <c r="AD38">
        <v>6.101553</v>
      </c>
      <c r="AE38">
        <v>6.1316829999999998</v>
      </c>
      <c r="AF38">
        <v>6.1589999999999998</v>
      </c>
      <c r="AG38" s="22">
        <v>6.5000000000000002E-2</v>
      </c>
    </row>
    <row r="39" spans="1:33">
      <c r="A39" t="s">
        <v>1001</v>
      </c>
      <c r="B39" t="s">
        <v>2362</v>
      </c>
      <c r="C39" t="s">
        <v>2361</v>
      </c>
      <c r="D39" t="s">
        <v>202</v>
      </c>
      <c r="F39">
        <v>0.12364600000000001</v>
      </c>
      <c r="G39">
        <v>0.60058800000000001</v>
      </c>
      <c r="H39">
        <v>0.87236199999999997</v>
      </c>
      <c r="I39">
        <v>1.4231579999999999</v>
      </c>
      <c r="J39">
        <v>1.8791610000000001</v>
      </c>
      <c r="K39">
        <v>2.13104</v>
      </c>
      <c r="L39">
        <v>2.7829130000000002</v>
      </c>
      <c r="M39">
        <v>3.344786</v>
      </c>
      <c r="N39">
        <v>3.8575400000000002</v>
      </c>
      <c r="O39">
        <v>4.1657469999999996</v>
      </c>
      <c r="P39">
        <v>4.498634</v>
      </c>
      <c r="Q39">
        <v>4.8714069999999996</v>
      </c>
      <c r="R39">
        <v>5.3828449999999997</v>
      </c>
      <c r="S39">
        <v>5.8346390000000001</v>
      </c>
      <c r="T39">
        <v>6.2449089999999998</v>
      </c>
      <c r="U39">
        <v>6.626042</v>
      </c>
      <c r="V39">
        <v>6.9799410000000002</v>
      </c>
      <c r="W39">
        <v>7.3014549999999998</v>
      </c>
      <c r="X39">
        <v>7.5906399999999996</v>
      </c>
      <c r="Y39">
        <v>7.8502799999999997</v>
      </c>
      <c r="Z39">
        <v>8.0800599999999996</v>
      </c>
      <c r="AA39">
        <v>8.2855609999999995</v>
      </c>
      <c r="AB39">
        <v>8.4643359999999994</v>
      </c>
      <c r="AC39">
        <v>8.6208120000000008</v>
      </c>
      <c r="AD39">
        <v>8.7529179999999993</v>
      </c>
      <c r="AE39">
        <v>8.8674280000000003</v>
      </c>
      <c r="AF39">
        <v>8.9730299999999996</v>
      </c>
      <c r="AG39" s="22">
        <v>0.17899999999999999</v>
      </c>
    </row>
    <row r="40" spans="1:33">
      <c r="A40" t="s">
        <v>1002</v>
      </c>
      <c r="B40" t="s">
        <v>2360</v>
      </c>
      <c r="C40" t="s">
        <v>2359</v>
      </c>
      <c r="D40" t="s">
        <v>202</v>
      </c>
      <c r="F40">
        <v>0</v>
      </c>
      <c r="G40">
        <v>0</v>
      </c>
      <c r="H40">
        <v>0</v>
      </c>
      <c r="I40">
        <v>0</v>
      </c>
      <c r="J40">
        <v>0</v>
      </c>
      <c r="K40">
        <v>0</v>
      </c>
      <c r="L40">
        <v>0</v>
      </c>
      <c r="M40">
        <v>0</v>
      </c>
      <c r="N40">
        <v>0</v>
      </c>
      <c r="O40">
        <v>0</v>
      </c>
      <c r="P40">
        <v>0</v>
      </c>
      <c r="Q40">
        <v>0</v>
      </c>
      <c r="R40">
        <v>0</v>
      </c>
      <c r="S40">
        <v>0</v>
      </c>
      <c r="T40">
        <v>0</v>
      </c>
      <c r="U40">
        <v>0</v>
      </c>
      <c r="V40">
        <v>0</v>
      </c>
      <c r="W40">
        <v>0</v>
      </c>
      <c r="X40">
        <v>0</v>
      </c>
      <c r="Y40">
        <v>0</v>
      </c>
      <c r="Z40">
        <v>0</v>
      </c>
      <c r="AA40">
        <v>0</v>
      </c>
      <c r="AB40">
        <v>0</v>
      </c>
      <c r="AC40">
        <v>0</v>
      </c>
      <c r="AD40">
        <v>0</v>
      </c>
      <c r="AE40">
        <v>0</v>
      </c>
      <c r="AF40">
        <v>0</v>
      </c>
      <c r="AG40" t="s">
        <v>111</v>
      </c>
    </row>
    <row r="41" spans="1:33">
      <c r="A41" t="s">
        <v>1003</v>
      </c>
      <c r="B41" t="s">
        <v>2358</v>
      </c>
      <c r="C41" t="s">
        <v>2357</v>
      </c>
      <c r="D41" t="s">
        <v>202</v>
      </c>
      <c r="F41">
        <v>3.90082</v>
      </c>
      <c r="G41">
        <v>5.0628010000000003</v>
      </c>
      <c r="H41">
        <v>6.1163509999999999</v>
      </c>
      <c r="I41">
        <v>6.9105600000000003</v>
      </c>
      <c r="J41">
        <v>7.5667150000000003</v>
      </c>
      <c r="K41">
        <v>8.163843</v>
      </c>
      <c r="L41">
        <v>8.8358699999999999</v>
      </c>
      <c r="M41">
        <v>9.387321</v>
      </c>
      <c r="N41">
        <v>9.8616050000000008</v>
      </c>
      <c r="O41">
        <v>10.421856</v>
      </c>
      <c r="P41">
        <v>10.881164</v>
      </c>
      <c r="Q41">
        <v>11.30842</v>
      </c>
      <c r="R41">
        <v>11.709387</v>
      </c>
      <c r="S41">
        <v>12.07926</v>
      </c>
      <c r="T41">
        <v>12.424689000000001</v>
      </c>
      <c r="U41">
        <v>12.748823</v>
      </c>
      <c r="V41">
        <v>13.065034000000001</v>
      </c>
      <c r="W41">
        <v>13.356116999999999</v>
      </c>
      <c r="X41">
        <v>13.627514</v>
      </c>
      <c r="Y41">
        <v>13.871776000000001</v>
      </c>
      <c r="Z41">
        <v>14.11332</v>
      </c>
      <c r="AA41">
        <v>14.345656999999999</v>
      </c>
      <c r="AB41">
        <v>14.574265</v>
      </c>
      <c r="AC41">
        <v>14.802521</v>
      </c>
      <c r="AD41">
        <v>15.010236000000001</v>
      </c>
      <c r="AE41">
        <v>15.208282000000001</v>
      </c>
      <c r="AF41">
        <v>15.382315999999999</v>
      </c>
      <c r="AG41" s="22">
        <v>5.3999999999999999E-2</v>
      </c>
    </row>
    <row r="42" spans="1:33">
      <c r="A42" t="s">
        <v>1004</v>
      </c>
      <c r="B42" t="s">
        <v>2356</v>
      </c>
      <c r="C42" t="s">
        <v>2355</v>
      </c>
      <c r="D42" t="s">
        <v>202</v>
      </c>
      <c r="F42">
        <v>2.3479E-2</v>
      </c>
      <c r="G42">
        <v>2.1859E-2</v>
      </c>
      <c r="H42">
        <v>2.0301E-2</v>
      </c>
      <c r="I42">
        <v>1.8825000000000001E-2</v>
      </c>
      <c r="J42">
        <v>1.7481E-2</v>
      </c>
      <c r="K42">
        <v>1.6312E-2</v>
      </c>
      <c r="L42">
        <v>1.5211000000000001E-2</v>
      </c>
      <c r="M42">
        <v>1.4148000000000001E-2</v>
      </c>
      <c r="N42">
        <v>1.3129999999999999E-2</v>
      </c>
      <c r="O42">
        <v>1.217E-2</v>
      </c>
      <c r="P42">
        <v>1.1275E-2</v>
      </c>
      <c r="Q42">
        <v>1.0444E-2</v>
      </c>
      <c r="R42">
        <v>9.6970000000000008E-3</v>
      </c>
      <c r="S42">
        <v>9.0699999999999999E-3</v>
      </c>
      <c r="T42">
        <v>8.4840000000000002E-3</v>
      </c>
      <c r="U42">
        <v>7.9609999999999993E-3</v>
      </c>
      <c r="V42">
        <v>7.4710000000000002E-3</v>
      </c>
      <c r="W42">
        <v>7.0109999999999999E-3</v>
      </c>
      <c r="X42">
        <v>6.5789999999999998E-3</v>
      </c>
      <c r="Y42">
        <v>6.1739999999999998E-3</v>
      </c>
      <c r="Z42">
        <v>5.7939999999999997E-3</v>
      </c>
      <c r="AA42">
        <v>5.437E-3</v>
      </c>
      <c r="AB42">
        <v>5.1029999999999999E-3</v>
      </c>
      <c r="AC42">
        <v>4.7889999999999999E-3</v>
      </c>
      <c r="AD42">
        <v>4.4939999999999997E-3</v>
      </c>
      <c r="AE42">
        <v>4.2180000000000004E-3</v>
      </c>
      <c r="AF42">
        <v>3.9589999999999998E-3</v>
      </c>
      <c r="AG42" s="22">
        <v>-6.6000000000000003E-2</v>
      </c>
    </row>
    <row r="43" spans="1:33">
      <c r="A43" t="s">
        <v>1005</v>
      </c>
      <c r="B43" t="s">
        <v>2354</v>
      </c>
      <c r="C43" t="s">
        <v>2353</v>
      </c>
      <c r="D43" t="s">
        <v>202</v>
      </c>
      <c r="F43">
        <v>1.7728000000000001E-2</v>
      </c>
      <c r="G43">
        <v>1.6631E-2</v>
      </c>
      <c r="H43">
        <v>1.5601E-2</v>
      </c>
      <c r="I43">
        <v>1.4636E-2</v>
      </c>
      <c r="J43">
        <v>1.3731E-2</v>
      </c>
      <c r="K43">
        <v>1.2881999999999999E-2</v>
      </c>
      <c r="L43">
        <v>1.2085E-2</v>
      </c>
      <c r="M43">
        <v>1.1338000000000001E-2</v>
      </c>
      <c r="N43">
        <v>1.0638E-2</v>
      </c>
      <c r="O43">
        <v>9.9810000000000003E-3</v>
      </c>
      <c r="P43">
        <v>9.3640000000000008E-3</v>
      </c>
      <c r="Q43">
        <v>8.7860000000000004E-3</v>
      </c>
      <c r="R43">
        <v>8.2439999999999996E-3</v>
      </c>
      <c r="S43">
        <v>7.7349999999999997E-3</v>
      </c>
      <c r="T43">
        <v>7.2579999999999997E-3</v>
      </c>
      <c r="U43">
        <v>6.8100000000000001E-3</v>
      </c>
      <c r="V43">
        <v>6.3899999999999998E-3</v>
      </c>
      <c r="W43">
        <v>5.9959999999999996E-3</v>
      </c>
      <c r="X43">
        <v>5.6259999999999999E-3</v>
      </c>
      <c r="Y43">
        <v>5.2789999999999998E-3</v>
      </c>
      <c r="Z43">
        <v>4.9540000000000001E-3</v>
      </c>
      <c r="AA43">
        <v>4.6490000000000004E-3</v>
      </c>
      <c r="AB43">
        <v>4.3629999999999997E-3</v>
      </c>
      <c r="AC43">
        <v>4.0940000000000004E-3</v>
      </c>
      <c r="AD43">
        <v>3.8419999999999999E-3</v>
      </c>
      <c r="AE43">
        <v>3.6059999999999998E-3</v>
      </c>
      <c r="AF43">
        <v>3.3839999999999999E-3</v>
      </c>
      <c r="AG43" s="22">
        <v>-6.2E-2</v>
      </c>
    </row>
    <row r="44" spans="1:33">
      <c r="A44" t="s">
        <v>1006</v>
      </c>
      <c r="B44" t="s">
        <v>2352</v>
      </c>
      <c r="C44" t="s">
        <v>2351</v>
      </c>
      <c r="D44" t="s">
        <v>202</v>
      </c>
      <c r="F44">
        <v>4.4714999999999998E-2</v>
      </c>
      <c r="G44">
        <v>4.0724999999999997E-2</v>
      </c>
      <c r="H44">
        <v>3.7668E-2</v>
      </c>
      <c r="I44">
        <v>3.5242999999999997E-2</v>
      </c>
      <c r="J44">
        <v>3.3062000000000001E-2</v>
      </c>
      <c r="K44">
        <v>3.1016999999999999E-2</v>
      </c>
      <c r="L44">
        <v>2.9099E-2</v>
      </c>
      <c r="M44">
        <v>2.7300000000000001E-2</v>
      </c>
      <c r="N44">
        <v>2.5613E-2</v>
      </c>
      <c r="O44">
        <v>2.4029999999999999E-2</v>
      </c>
      <c r="P44">
        <v>2.2544999999999999E-2</v>
      </c>
      <c r="Q44">
        <v>2.1153000000000002E-2</v>
      </c>
      <c r="R44">
        <v>1.9845999999999999E-2</v>
      </c>
      <c r="S44">
        <v>1.8620999999999999E-2</v>
      </c>
      <c r="T44">
        <v>1.7472000000000001E-2</v>
      </c>
      <c r="U44">
        <v>1.6393999999999999E-2</v>
      </c>
      <c r="V44">
        <v>1.5382E-2</v>
      </c>
      <c r="W44">
        <v>1.4434000000000001E-2</v>
      </c>
      <c r="X44">
        <v>1.3544E-2</v>
      </c>
      <c r="Y44">
        <v>1.2709E-2</v>
      </c>
      <c r="Z44">
        <v>1.1925E-2</v>
      </c>
      <c r="AA44">
        <v>1.1191E-2</v>
      </c>
      <c r="AB44">
        <v>1.0501E-2</v>
      </c>
      <c r="AC44">
        <v>9.8539999999999999E-3</v>
      </c>
      <c r="AD44">
        <v>9.2479999999999993E-3</v>
      </c>
      <c r="AE44">
        <v>8.6779999999999999E-3</v>
      </c>
      <c r="AF44">
        <v>8.1440000000000002E-3</v>
      </c>
      <c r="AG44" s="22">
        <v>-6.3E-2</v>
      </c>
    </row>
    <row r="45" spans="1:33">
      <c r="A45" t="s">
        <v>1007</v>
      </c>
      <c r="B45" t="s">
        <v>2350</v>
      </c>
      <c r="C45" t="s">
        <v>2349</v>
      </c>
      <c r="D45" t="s">
        <v>202</v>
      </c>
      <c r="F45">
        <v>4.1583000000000002E-2</v>
      </c>
      <c r="G45">
        <v>3.9009000000000002E-2</v>
      </c>
      <c r="H45">
        <v>3.6595000000000003E-2</v>
      </c>
      <c r="I45">
        <v>3.4331E-2</v>
      </c>
      <c r="J45">
        <v>3.2207E-2</v>
      </c>
      <c r="K45">
        <v>3.0214999999999999E-2</v>
      </c>
      <c r="L45">
        <v>2.8347000000000001E-2</v>
      </c>
      <c r="M45">
        <v>2.6595000000000001E-2</v>
      </c>
      <c r="N45">
        <v>2.4951999999999998E-2</v>
      </c>
      <c r="O45">
        <v>2.341E-2</v>
      </c>
      <c r="P45">
        <v>2.1964000000000001E-2</v>
      </c>
      <c r="Q45">
        <v>2.0608000000000001E-2</v>
      </c>
      <c r="R45">
        <v>1.9335999999999999E-2</v>
      </c>
      <c r="S45">
        <v>1.8141999999999998E-2</v>
      </c>
      <c r="T45">
        <v>1.7023E-2</v>
      </c>
      <c r="U45">
        <v>1.5973000000000001E-2</v>
      </c>
      <c r="V45">
        <v>1.4988E-2</v>
      </c>
      <c r="W45">
        <v>1.4064E-2</v>
      </c>
      <c r="X45">
        <v>1.3197E-2</v>
      </c>
      <c r="Y45">
        <v>1.2383E-2</v>
      </c>
      <c r="Z45">
        <v>1.162E-2</v>
      </c>
      <c r="AA45">
        <v>1.0904E-2</v>
      </c>
      <c r="AB45">
        <v>1.0233000000000001E-2</v>
      </c>
      <c r="AC45">
        <v>9.6030000000000004E-3</v>
      </c>
      <c r="AD45">
        <v>9.0119999999999992E-3</v>
      </c>
      <c r="AE45">
        <v>8.4569999999999992E-3</v>
      </c>
      <c r="AF45">
        <v>7.9369999999999996E-3</v>
      </c>
      <c r="AG45" s="22">
        <v>-6.2E-2</v>
      </c>
    </row>
    <row r="46" spans="1:33">
      <c r="A46" t="s">
        <v>1008</v>
      </c>
      <c r="B46" t="s">
        <v>2348</v>
      </c>
      <c r="C46" t="s">
        <v>2347</v>
      </c>
      <c r="D46" t="s">
        <v>202</v>
      </c>
      <c r="F46">
        <v>0</v>
      </c>
      <c r="G46">
        <v>0</v>
      </c>
      <c r="H46">
        <v>0</v>
      </c>
      <c r="I46">
        <v>0</v>
      </c>
      <c r="J46">
        <v>0</v>
      </c>
      <c r="K46">
        <v>0</v>
      </c>
      <c r="L46">
        <v>0</v>
      </c>
      <c r="M46">
        <v>0</v>
      </c>
      <c r="N46">
        <v>0</v>
      </c>
      <c r="O46">
        <v>0</v>
      </c>
      <c r="P46">
        <v>0</v>
      </c>
      <c r="Q46">
        <v>0</v>
      </c>
      <c r="R46">
        <v>0</v>
      </c>
      <c r="S46">
        <v>0</v>
      </c>
      <c r="T46">
        <v>0</v>
      </c>
      <c r="U46">
        <v>0</v>
      </c>
      <c r="V46">
        <v>0</v>
      </c>
      <c r="W46">
        <v>0</v>
      </c>
      <c r="X46">
        <v>0</v>
      </c>
      <c r="Y46">
        <v>0</v>
      </c>
      <c r="Z46">
        <v>0</v>
      </c>
      <c r="AA46">
        <v>0</v>
      </c>
      <c r="AB46">
        <v>0</v>
      </c>
      <c r="AC46">
        <v>0</v>
      </c>
      <c r="AD46">
        <v>0</v>
      </c>
      <c r="AE46">
        <v>0</v>
      </c>
      <c r="AF46">
        <v>0</v>
      </c>
      <c r="AG46" t="s">
        <v>111</v>
      </c>
    </row>
    <row r="47" spans="1:33">
      <c r="A47" t="s">
        <v>1009</v>
      </c>
      <c r="B47" t="s">
        <v>2346</v>
      </c>
      <c r="C47" t="s">
        <v>2345</v>
      </c>
      <c r="D47" t="s">
        <v>202</v>
      </c>
      <c r="F47">
        <v>0</v>
      </c>
      <c r="G47">
        <v>0</v>
      </c>
      <c r="H47">
        <v>0</v>
      </c>
      <c r="I47">
        <v>0</v>
      </c>
      <c r="J47">
        <v>0</v>
      </c>
      <c r="K47">
        <v>0</v>
      </c>
      <c r="L47">
        <v>0</v>
      </c>
      <c r="M47">
        <v>0</v>
      </c>
      <c r="N47">
        <v>0</v>
      </c>
      <c r="O47">
        <v>0</v>
      </c>
      <c r="P47">
        <v>0</v>
      </c>
      <c r="Q47">
        <v>0</v>
      </c>
      <c r="R47">
        <v>0</v>
      </c>
      <c r="S47">
        <v>0</v>
      </c>
      <c r="T47">
        <v>0</v>
      </c>
      <c r="U47">
        <v>0</v>
      </c>
      <c r="V47">
        <v>0</v>
      </c>
      <c r="W47">
        <v>0</v>
      </c>
      <c r="X47">
        <v>0</v>
      </c>
      <c r="Y47">
        <v>0</v>
      </c>
      <c r="Z47">
        <v>0</v>
      </c>
      <c r="AA47">
        <v>0</v>
      </c>
      <c r="AB47">
        <v>0</v>
      </c>
      <c r="AC47">
        <v>0</v>
      </c>
      <c r="AD47">
        <v>0</v>
      </c>
      <c r="AE47">
        <v>0</v>
      </c>
      <c r="AF47">
        <v>0</v>
      </c>
      <c r="AG47" t="s">
        <v>111</v>
      </c>
    </row>
    <row r="48" spans="1:33">
      <c r="A48" t="s">
        <v>1015</v>
      </c>
      <c r="B48" t="s">
        <v>2344</v>
      </c>
      <c r="C48" t="s">
        <v>2343</v>
      </c>
      <c r="D48" t="s">
        <v>202</v>
      </c>
      <c r="F48">
        <v>18.748137</v>
      </c>
      <c r="G48">
        <v>20.195459</v>
      </c>
      <c r="H48">
        <v>22.297986999999999</v>
      </c>
      <c r="I48">
        <v>24.720162999999999</v>
      </c>
      <c r="J48">
        <v>26.90963</v>
      </c>
      <c r="K48">
        <v>28.460754000000001</v>
      </c>
      <c r="L48">
        <v>29.912609</v>
      </c>
      <c r="M48">
        <v>31.245107999999998</v>
      </c>
      <c r="N48">
        <v>32.577095</v>
      </c>
      <c r="O48">
        <v>33.351818000000002</v>
      </c>
      <c r="P48">
        <v>34.206062000000003</v>
      </c>
      <c r="Q48">
        <v>35.245651000000002</v>
      </c>
      <c r="R48">
        <v>36.476027999999999</v>
      </c>
      <c r="S48">
        <v>37.681266999999998</v>
      </c>
      <c r="T48">
        <v>38.890701</v>
      </c>
      <c r="U48">
        <v>40.116073999999998</v>
      </c>
      <c r="V48">
        <v>41.325465999999999</v>
      </c>
      <c r="W48">
        <v>42.466835000000003</v>
      </c>
      <c r="X48">
        <v>43.531128000000002</v>
      </c>
      <c r="Y48">
        <v>44.517547999999998</v>
      </c>
      <c r="Z48">
        <v>45.444122</v>
      </c>
      <c r="AA48">
        <v>46.317329000000001</v>
      </c>
      <c r="AB48">
        <v>47.124755999999998</v>
      </c>
      <c r="AC48">
        <v>47.877170999999997</v>
      </c>
      <c r="AD48">
        <v>48.544662000000002</v>
      </c>
      <c r="AE48">
        <v>49.156872</v>
      </c>
      <c r="AF48">
        <v>49.738106000000002</v>
      </c>
      <c r="AG48" s="22">
        <v>3.7999999999999999E-2</v>
      </c>
    </row>
    <row r="49" spans="1:33">
      <c r="A49" t="s">
        <v>1016</v>
      </c>
      <c r="B49" t="s">
        <v>2342</v>
      </c>
      <c r="C49" t="s">
        <v>2341</v>
      </c>
      <c r="D49" t="s">
        <v>202</v>
      </c>
      <c r="F49">
        <v>122.410194</v>
      </c>
      <c r="G49">
        <v>124.90625</v>
      </c>
      <c r="H49">
        <v>128.58268699999999</v>
      </c>
      <c r="I49">
        <v>131.85244800000001</v>
      </c>
      <c r="J49">
        <v>134.166687</v>
      </c>
      <c r="K49">
        <v>135.741409</v>
      </c>
      <c r="L49">
        <v>136.66847200000001</v>
      </c>
      <c r="M49">
        <v>137.017563</v>
      </c>
      <c r="N49">
        <v>137.28353899999999</v>
      </c>
      <c r="O49">
        <v>137.78836100000001</v>
      </c>
      <c r="P49">
        <v>137.83630400000001</v>
      </c>
      <c r="Q49">
        <v>137.94262699999999</v>
      </c>
      <c r="R49">
        <v>138.115295</v>
      </c>
      <c r="S49">
        <v>138.225494</v>
      </c>
      <c r="T49">
        <v>138.34011799999999</v>
      </c>
      <c r="U49">
        <v>138.494598</v>
      </c>
      <c r="V49">
        <v>138.71977200000001</v>
      </c>
      <c r="W49">
        <v>138.845001</v>
      </c>
      <c r="X49">
        <v>138.880066</v>
      </c>
      <c r="Y49">
        <v>138.77513099999999</v>
      </c>
      <c r="Z49">
        <v>138.668915</v>
      </c>
      <c r="AA49">
        <v>138.51617400000001</v>
      </c>
      <c r="AB49">
        <v>138.326019</v>
      </c>
      <c r="AC49">
        <v>138.121658</v>
      </c>
      <c r="AD49">
        <v>137.77075199999999</v>
      </c>
      <c r="AE49">
        <v>137.34639000000001</v>
      </c>
      <c r="AF49">
        <v>136.801422</v>
      </c>
      <c r="AG49" s="22">
        <v>4.0000000000000001E-3</v>
      </c>
    </row>
    <row r="50" spans="1:33">
      <c r="A50" t="s">
        <v>478</v>
      </c>
      <c r="B50" t="s">
        <v>2340</v>
      </c>
      <c r="C50" t="s">
        <v>2339</v>
      </c>
      <c r="D50" t="s">
        <v>202</v>
      </c>
      <c r="F50">
        <v>181.38262900000001</v>
      </c>
      <c r="G50">
        <v>183.52926600000001</v>
      </c>
      <c r="H50">
        <v>187.041901</v>
      </c>
      <c r="I50">
        <v>189.596878</v>
      </c>
      <c r="J50">
        <v>190.756561</v>
      </c>
      <c r="K50">
        <v>191.39532500000001</v>
      </c>
      <c r="L50">
        <v>191.63906900000001</v>
      </c>
      <c r="M50">
        <v>191.22700499999999</v>
      </c>
      <c r="N50">
        <v>190.68066400000001</v>
      </c>
      <c r="O50">
        <v>190.40976000000001</v>
      </c>
      <c r="P50">
        <v>190.312973</v>
      </c>
      <c r="Q50">
        <v>190.14892599999999</v>
      </c>
      <c r="R50">
        <v>189.91366600000001</v>
      </c>
      <c r="S50">
        <v>189.66261299999999</v>
      </c>
      <c r="T50">
        <v>189.555634</v>
      </c>
      <c r="U50">
        <v>189.59429900000001</v>
      </c>
      <c r="V50">
        <v>189.61793499999999</v>
      </c>
      <c r="W50">
        <v>189.47923299999999</v>
      </c>
      <c r="X50">
        <v>189.23019400000001</v>
      </c>
      <c r="Y50">
        <v>188.871307</v>
      </c>
      <c r="Z50">
        <v>188.495239</v>
      </c>
      <c r="AA50">
        <v>188.12820400000001</v>
      </c>
      <c r="AB50">
        <v>187.66619900000001</v>
      </c>
      <c r="AC50">
        <v>187.14514199999999</v>
      </c>
      <c r="AD50">
        <v>186.44238300000001</v>
      </c>
      <c r="AE50">
        <v>185.67001300000001</v>
      </c>
      <c r="AF50">
        <v>184.92016599999999</v>
      </c>
      <c r="AG50" s="22">
        <v>1E-3</v>
      </c>
    </row>
    <row r="51" spans="1:33">
      <c r="A51" t="s">
        <v>235</v>
      </c>
      <c r="B51" t="s">
        <v>2338</v>
      </c>
      <c r="C51" t="s">
        <v>2337</v>
      </c>
      <c r="D51" t="s">
        <v>202</v>
      </c>
      <c r="F51">
        <v>48.625701999999997</v>
      </c>
      <c r="G51">
        <v>48.193686999999997</v>
      </c>
      <c r="H51">
        <v>48.078758000000001</v>
      </c>
      <c r="I51">
        <v>48.138134000000001</v>
      </c>
      <c r="J51">
        <v>48.120185999999997</v>
      </c>
      <c r="K51">
        <v>48.007373999999999</v>
      </c>
      <c r="L51">
        <v>47.782375000000002</v>
      </c>
      <c r="M51">
        <v>47.378162000000003</v>
      </c>
      <c r="N51">
        <v>46.818668000000002</v>
      </c>
      <c r="O51">
        <v>46.128166</v>
      </c>
      <c r="P51">
        <v>45.328541000000001</v>
      </c>
      <c r="Q51">
        <v>44.387264000000002</v>
      </c>
      <c r="R51">
        <v>43.341335000000001</v>
      </c>
      <c r="S51">
        <v>42.205460000000002</v>
      </c>
      <c r="T51">
        <v>40.974620999999999</v>
      </c>
      <c r="U51">
        <v>39.680934999999998</v>
      </c>
      <c r="V51">
        <v>38.330078</v>
      </c>
      <c r="W51">
        <v>36.894835999999998</v>
      </c>
      <c r="X51">
        <v>35.427394999999997</v>
      </c>
      <c r="Y51">
        <v>33.948070999999999</v>
      </c>
      <c r="Z51">
        <v>32.468719</v>
      </c>
      <c r="AA51">
        <v>30.997243999999998</v>
      </c>
      <c r="AB51">
        <v>29.535336000000001</v>
      </c>
      <c r="AC51">
        <v>28.095950999999999</v>
      </c>
      <c r="AD51">
        <v>26.691462999999999</v>
      </c>
      <c r="AE51">
        <v>25.318232999999999</v>
      </c>
      <c r="AF51">
        <v>23.955310999999998</v>
      </c>
      <c r="AG51" s="22">
        <v>-2.7E-2</v>
      </c>
    </row>
    <row r="52" spans="1:33">
      <c r="A52" t="s">
        <v>189</v>
      </c>
      <c r="B52" t="s">
        <v>2336</v>
      </c>
      <c r="C52" t="s">
        <v>2335</v>
      </c>
      <c r="D52" t="s">
        <v>202</v>
      </c>
      <c r="F52">
        <v>27.953878</v>
      </c>
      <c r="G52">
        <v>26.656334000000001</v>
      </c>
      <c r="H52">
        <v>25.340388999999998</v>
      </c>
      <c r="I52">
        <v>24.262241</v>
      </c>
      <c r="J52">
        <v>23.059394999999999</v>
      </c>
      <c r="K52">
        <v>21.850712000000001</v>
      </c>
      <c r="L52">
        <v>20.794620999999999</v>
      </c>
      <c r="M52">
        <v>19.689993000000001</v>
      </c>
      <c r="N52">
        <v>18.581824999999998</v>
      </c>
      <c r="O52">
        <v>17.529572000000002</v>
      </c>
      <c r="P52">
        <v>16.470074</v>
      </c>
      <c r="Q52">
        <v>15.438552</v>
      </c>
      <c r="R52">
        <v>14.441746</v>
      </c>
      <c r="S52">
        <v>13.511393999999999</v>
      </c>
      <c r="T52">
        <v>12.624192000000001</v>
      </c>
      <c r="U52">
        <v>11.791506999999999</v>
      </c>
      <c r="V52">
        <v>11.019337</v>
      </c>
      <c r="W52">
        <v>10.284483</v>
      </c>
      <c r="X52">
        <v>9.6188059999999993</v>
      </c>
      <c r="Y52">
        <v>8.9883190000000006</v>
      </c>
      <c r="Z52">
        <v>8.4127360000000007</v>
      </c>
      <c r="AA52">
        <v>7.8475239999999999</v>
      </c>
      <c r="AB52">
        <v>7.3246250000000002</v>
      </c>
      <c r="AC52">
        <v>6.8060299999999998</v>
      </c>
      <c r="AD52">
        <v>6.3243</v>
      </c>
      <c r="AE52">
        <v>5.8637930000000003</v>
      </c>
      <c r="AF52">
        <v>5.4058599999999997</v>
      </c>
      <c r="AG52" s="22">
        <v>-6.0999999999999999E-2</v>
      </c>
    </row>
    <row r="53" spans="1:33">
      <c r="A53" t="s">
        <v>192</v>
      </c>
      <c r="B53" t="s">
        <v>2334</v>
      </c>
      <c r="C53" t="s">
        <v>2333</v>
      </c>
      <c r="D53" t="s">
        <v>202</v>
      </c>
      <c r="F53">
        <v>9.6000000000000002E-5</v>
      </c>
      <c r="G53">
        <v>1.2799999999999999E-4</v>
      </c>
      <c r="H53">
        <v>1.64E-4</v>
      </c>
      <c r="I53">
        <v>2.05E-4</v>
      </c>
      <c r="J53">
        <v>2.4699999999999999E-4</v>
      </c>
      <c r="K53">
        <v>2.9E-4</v>
      </c>
      <c r="L53">
        <v>3.3300000000000002E-4</v>
      </c>
      <c r="M53">
        <v>3.6600000000000001E-4</v>
      </c>
      <c r="N53">
        <v>4.0000000000000002E-4</v>
      </c>
      <c r="O53">
        <v>4.2900000000000002E-4</v>
      </c>
      <c r="P53">
        <v>4.5600000000000003E-4</v>
      </c>
      <c r="Q53">
        <v>4.8099999999999998E-4</v>
      </c>
      <c r="R53">
        <v>5.0500000000000002E-4</v>
      </c>
      <c r="S53">
        <v>5.2700000000000002E-4</v>
      </c>
      <c r="T53">
        <v>5.4699999999999996E-4</v>
      </c>
      <c r="U53">
        <v>5.6499999999999996E-4</v>
      </c>
      <c r="V53">
        <v>5.8100000000000003E-4</v>
      </c>
      <c r="W53">
        <v>5.9500000000000004E-4</v>
      </c>
      <c r="X53">
        <v>6.0700000000000001E-4</v>
      </c>
      <c r="Y53">
        <v>6.1600000000000001E-4</v>
      </c>
      <c r="Z53">
        <v>6.2399999999999999E-4</v>
      </c>
      <c r="AA53">
        <v>6.3000000000000003E-4</v>
      </c>
      <c r="AB53">
        <v>6.3500000000000004E-4</v>
      </c>
      <c r="AC53">
        <v>6.3900000000000003E-4</v>
      </c>
      <c r="AD53">
        <v>6.4099999999999997E-4</v>
      </c>
      <c r="AE53">
        <v>6.4199999999999999E-4</v>
      </c>
      <c r="AF53">
        <v>6.4300000000000002E-4</v>
      </c>
      <c r="AG53" s="22">
        <v>7.5999999999999998E-2</v>
      </c>
    </row>
    <row r="54" spans="1:33">
      <c r="A54" t="s">
        <v>195</v>
      </c>
      <c r="B54" t="s">
        <v>2332</v>
      </c>
      <c r="C54" t="s">
        <v>2331</v>
      </c>
      <c r="D54" t="s">
        <v>202</v>
      </c>
      <c r="F54">
        <v>0.114205</v>
      </c>
      <c r="G54">
        <v>0.14885599999999999</v>
      </c>
      <c r="H54">
        <v>0.190802</v>
      </c>
      <c r="I54">
        <v>0.23517199999999999</v>
      </c>
      <c r="J54">
        <v>0.28444900000000001</v>
      </c>
      <c r="K54">
        <v>0.341472</v>
      </c>
      <c r="L54">
        <v>0.40223100000000001</v>
      </c>
      <c r="M54">
        <v>0.45658399999999999</v>
      </c>
      <c r="N54">
        <v>0.51463199999999998</v>
      </c>
      <c r="O54">
        <v>0.57250500000000004</v>
      </c>
      <c r="P54">
        <v>0.63237699999999997</v>
      </c>
      <c r="Q54">
        <v>0.69063600000000003</v>
      </c>
      <c r="R54">
        <v>0.74982000000000004</v>
      </c>
      <c r="S54">
        <v>0.812388</v>
      </c>
      <c r="T54">
        <v>0.88426300000000002</v>
      </c>
      <c r="U54">
        <v>0.96602200000000005</v>
      </c>
      <c r="V54">
        <v>1.0575110000000001</v>
      </c>
      <c r="W54">
        <v>1.1574739999999999</v>
      </c>
      <c r="X54">
        <v>1.260321</v>
      </c>
      <c r="Y54">
        <v>1.3653519999999999</v>
      </c>
      <c r="Z54">
        <v>1.474288</v>
      </c>
      <c r="AA54">
        <v>1.5826629999999999</v>
      </c>
      <c r="AB54">
        <v>1.6900949999999999</v>
      </c>
      <c r="AC54">
        <v>1.798157</v>
      </c>
      <c r="AD54">
        <v>1.9034610000000001</v>
      </c>
      <c r="AE54">
        <v>2.0066299999999999</v>
      </c>
      <c r="AF54">
        <v>2.1048879999999999</v>
      </c>
      <c r="AG54" s="22">
        <v>0.11899999999999999</v>
      </c>
    </row>
    <row r="55" spans="1:33">
      <c r="A55" t="s">
        <v>236</v>
      </c>
      <c r="B55" t="s">
        <v>2330</v>
      </c>
      <c r="C55" t="s">
        <v>2329</v>
      </c>
      <c r="D55" t="s">
        <v>202</v>
      </c>
      <c r="F55">
        <v>13.189996000000001</v>
      </c>
      <c r="G55">
        <v>13.193671</v>
      </c>
      <c r="H55">
        <v>13.121983</v>
      </c>
      <c r="I55">
        <v>13.173780000000001</v>
      </c>
      <c r="J55">
        <v>13.154180999999999</v>
      </c>
      <c r="K55">
        <v>13.184875999999999</v>
      </c>
      <c r="L55">
        <v>13.128769</v>
      </c>
      <c r="M55">
        <v>13.043101</v>
      </c>
      <c r="N55">
        <v>12.913555000000001</v>
      </c>
      <c r="O55">
        <v>12.779474</v>
      </c>
      <c r="P55">
        <v>12.625202</v>
      </c>
      <c r="Q55">
        <v>12.481719999999999</v>
      </c>
      <c r="R55">
        <v>12.34839</v>
      </c>
      <c r="S55">
        <v>12.232132999999999</v>
      </c>
      <c r="T55">
        <v>12.129588999999999</v>
      </c>
      <c r="U55">
        <v>12.031537</v>
      </c>
      <c r="V55">
        <v>11.944037</v>
      </c>
      <c r="W55">
        <v>11.839661</v>
      </c>
      <c r="X55">
        <v>11.745772000000001</v>
      </c>
      <c r="Y55">
        <v>11.627108</v>
      </c>
      <c r="Z55">
        <v>11.513197999999999</v>
      </c>
      <c r="AA55">
        <v>11.378852</v>
      </c>
      <c r="AB55">
        <v>11.251727000000001</v>
      </c>
      <c r="AC55">
        <v>11.107530000000001</v>
      </c>
      <c r="AD55">
        <v>10.963563000000001</v>
      </c>
      <c r="AE55">
        <v>10.807909</v>
      </c>
      <c r="AF55">
        <v>10.659618</v>
      </c>
      <c r="AG55" s="22">
        <v>-8.0000000000000002E-3</v>
      </c>
    </row>
    <row r="56" spans="1:33">
      <c r="A56" t="s">
        <v>237</v>
      </c>
      <c r="B56" t="s">
        <v>2328</v>
      </c>
      <c r="C56" t="s">
        <v>2327</v>
      </c>
      <c r="D56" t="s">
        <v>202</v>
      </c>
      <c r="F56">
        <v>0.35078199999999998</v>
      </c>
      <c r="G56">
        <v>0.50695299999999999</v>
      </c>
      <c r="H56">
        <v>0.67313500000000004</v>
      </c>
      <c r="I56">
        <v>0.84549700000000005</v>
      </c>
      <c r="J56">
        <v>1.012219</v>
      </c>
      <c r="K56">
        <v>1.159367</v>
      </c>
      <c r="L56">
        <v>1.2972900000000001</v>
      </c>
      <c r="M56">
        <v>1.4414720000000001</v>
      </c>
      <c r="N56">
        <v>1.6012660000000001</v>
      </c>
      <c r="O56">
        <v>1.7668109999999999</v>
      </c>
      <c r="P56">
        <v>1.9549240000000001</v>
      </c>
      <c r="Q56">
        <v>2.1818979999999999</v>
      </c>
      <c r="R56">
        <v>2.4460639999999998</v>
      </c>
      <c r="S56">
        <v>2.7462550000000001</v>
      </c>
      <c r="T56">
        <v>3.0776810000000001</v>
      </c>
      <c r="U56">
        <v>3.4361959999999998</v>
      </c>
      <c r="V56">
        <v>3.81223</v>
      </c>
      <c r="W56">
        <v>4.2114960000000004</v>
      </c>
      <c r="X56">
        <v>4.6245310000000002</v>
      </c>
      <c r="Y56">
        <v>5.0524800000000001</v>
      </c>
      <c r="Z56">
        <v>5.4871999999999996</v>
      </c>
      <c r="AA56">
        <v>5.9153919999999998</v>
      </c>
      <c r="AB56">
        <v>6.3353549999999998</v>
      </c>
      <c r="AC56">
        <v>6.7447650000000001</v>
      </c>
      <c r="AD56">
        <v>7.1302919999999999</v>
      </c>
      <c r="AE56">
        <v>7.4968009999999996</v>
      </c>
      <c r="AF56">
        <v>7.8447820000000004</v>
      </c>
      <c r="AG56" s="22">
        <v>0.127</v>
      </c>
    </row>
    <row r="57" spans="1:33">
      <c r="A57" t="s">
        <v>239</v>
      </c>
      <c r="B57" t="s">
        <v>2326</v>
      </c>
      <c r="C57" t="s">
        <v>2325</v>
      </c>
      <c r="D57" t="s">
        <v>202</v>
      </c>
      <c r="F57">
        <v>0</v>
      </c>
      <c r="G57">
        <v>0</v>
      </c>
      <c r="H57">
        <v>0</v>
      </c>
      <c r="I57">
        <v>0</v>
      </c>
      <c r="J57">
        <v>0</v>
      </c>
      <c r="K57">
        <v>0</v>
      </c>
      <c r="L57">
        <v>0</v>
      </c>
      <c r="M57">
        <v>0</v>
      </c>
      <c r="N57">
        <v>0</v>
      </c>
      <c r="O57">
        <v>0</v>
      </c>
      <c r="P57">
        <v>0</v>
      </c>
      <c r="Q57">
        <v>0</v>
      </c>
      <c r="R57">
        <v>0</v>
      </c>
      <c r="S57">
        <v>0</v>
      </c>
      <c r="T57">
        <v>0</v>
      </c>
      <c r="U57">
        <v>0</v>
      </c>
      <c r="V57">
        <v>0</v>
      </c>
      <c r="W57">
        <v>0</v>
      </c>
      <c r="X57">
        <v>0</v>
      </c>
      <c r="Y57">
        <v>0</v>
      </c>
      <c r="Z57">
        <v>0</v>
      </c>
      <c r="AA57">
        <v>0</v>
      </c>
      <c r="AB57">
        <v>0</v>
      </c>
      <c r="AC57">
        <v>0</v>
      </c>
      <c r="AD57">
        <v>0</v>
      </c>
      <c r="AE57">
        <v>0</v>
      </c>
      <c r="AF57">
        <v>0</v>
      </c>
      <c r="AG57" t="s">
        <v>111</v>
      </c>
    </row>
    <row r="58" spans="1:33">
      <c r="A58" t="s">
        <v>238</v>
      </c>
      <c r="B58" t="s">
        <v>2324</v>
      </c>
      <c r="C58" t="s">
        <v>2323</v>
      </c>
      <c r="D58" t="s">
        <v>202</v>
      </c>
      <c r="F58">
        <v>0</v>
      </c>
      <c r="G58">
        <v>0</v>
      </c>
      <c r="H58">
        <v>0</v>
      </c>
      <c r="I58">
        <v>0</v>
      </c>
      <c r="J58">
        <v>0</v>
      </c>
      <c r="K58">
        <v>0</v>
      </c>
      <c r="L58">
        <v>0</v>
      </c>
      <c r="M58">
        <v>0</v>
      </c>
      <c r="N58">
        <v>0</v>
      </c>
      <c r="O58">
        <v>0</v>
      </c>
      <c r="P58">
        <v>0</v>
      </c>
      <c r="Q58">
        <v>0</v>
      </c>
      <c r="R58">
        <v>0</v>
      </c>
      <c r="S58">
        <v>0</v>
      </c>
      <c r="T58">
        <v>0</v>
      </c>
      <c r="U58">
        <v>0</v>
      </c>
      <c r="V58">
        <v>0</v>
      </c>
      <c r="W58">
        <v>0</v>
      </c>
      <c r="X58">
        <v>0</v>
      </c>
      <c r="Y58">
        <v>0</v>
      </c>
      <c r="Z58">
        <v>0</v>
      </c>
      <c r="AA58">
        <v>0</v>
      </c>
      <c r="AB58">
        <v>0</v>
      </c>
      <c r="AC58">
        <v>0</v>
      </c>
      <c r="AD58">
        <v>0</v>
      </c>
      <c r="AE58">
        <v>0</v>
      </c>
      <c r="AF58">
        <v>0</v>
      </c>
      <c r="AG58" t="s">
        <v>111</v>
      </c>
    </row>
    <row r="59" spans="1:33">
      <c r="A59" t="s">
        <v>240</v>
      </c>
      <c r="B59" t="s">
        <v>2322</v>
      </c>
      <c r="C59" t="s">
        <v>2321</v>
      </c>
      <c r="D59" t="s">
        <v>202</v>
      </c>
      <c r="F59">
        <v>0</v>
      </c>
      <c r="G59">
        <v>0</v>
      </c>
      <c r="H59">
        <v>0</v>
      </c>
      <c r="I59">
        <v>0</v>
      </c>
      <c r="J59">
        <v>0</v>
      </c>
      <c r="K59">
        <v>0</v>
      </c>
      <c r="L59">
        <v>0</v>
      </c>
      <c r="M59">
        <v>0</v>
      </c>
      <c r="N59">
        <v>0</v>
      </c>
      <c r="O59">
        <v>0</v>
      </c>
      <c r="P59">
        <v>0</v>
      </c>
      <c r="Q59">
        <v>0</v>
      </c>
      <c r="R59">
        <v>0</v>
      </c>
      <c r="S59">
        <v>0</v>
      </c>
      <c r="T59">
        <v>0</v>
      </c>
      <c r="U59">
        <v>0</v>
      </c>
      <c r="V59">
        <v>0</v>
      </c>
      <c r="W59">
        <v>0</v>
      </c>
      <c r="X59">
        <v>0</v>
      </c>
      <c r="Y59">
        <v>0</v>
      </c>
      <c r="Z59">
        <v>0</v>
      </c>
      <c r="AA59">
        <v>0</v>
      </c>
      <c r="AB59">
        <v>0</v>
      </c>
      <c r="AC59">
        <v>0</v>
      </c>
      <c r="AD59">
        <v>0</v>
      </c>
      <c r="AE59">
        <v>0</v>
      </c>
      <c r="AF59">
        <v>0</v>
      </c>
      <c r="AG59" t="s">
        <v>111</v>
      </c>
    </row>
    <row r="60" spans="1:33">
      <c r="A60" t="s">
        <v>2320</v>
      </c>
      <c r="B60" t="s">
        <v>2319</v>
      </c>
      <c r="C60" t="s">
        <v>2318</v>
      </c>
      <c r="D60" t="s">
        <v>202</v>
      </c>
      <c r="F60">
        <v>0</v>
      </c>
      <c r="G60">
        <v>0</v>
      </c>
      <c r="H60">
        <v>0</v>
      </c>
      <c r="I60">
        <v>0</v>
      </c>
      <c r="J60">
        <v>0</v>
      </c>
      <c r="K60">
        <v>0</v>
      </c>
      <c r="L60">
        <v>0</v>
      </c>
      <c r="M60">
        <v>0</v>
      </c>
      <c r="N60">
        <v>0</v>
      </c>
      <c r="O60">
        <v>0</v>
      </c>
      <c r="P60">
        <v>0</v>
      </c>
      <c r="Q60">
        <v>0</v>
      </c>
      <c r="R60">
        <v>0</v>
      </c>
      <c r="S60">
        <v>0</v>
      </c>
      <c r="T60">
        <v>0</v>
      </c>
      <c r="U60">
        <v>0</v>
      </c>
      <c r="V60">
        <v>0</v>
      </c>
      <c r="W60">
        <v>0</v>
      </c>
      <c r="X60">
        <v>0</v>
      </c>
      <c r="Y60">
        <v>0</v>
      </c>
      <c r="Z60">
        <v>0</v>
      </c>
      <c r="AA60">
        <v>0</v>
      </c>
      <c r="AB60">
        <v>0</v>
      </c>
      <c r="AC60">
        <v>0</v>
      </c>
      <c r="AD60">
        <v>0</v>
      </c>
      <c r="AE60">
        <v>0</v>
      </c>
      <c r="AF60">
        <v>0</v>
      </c>
      <c r="AG60" t="s">
        <v>111</v>
      </c>
    </row>
    <row r="61" spans="1:33">
      <c r="A61" t="s">
        <v>2317</v>
      </c>
      <c r="B61" t="s">
        <v>2316</v>
      </c>
      <c r="C61" t="s">
        <v>2315</v>
      </c>
      <c r="D61" t="s">
        <v>202</v>
      </c>
      <c r="F61">
        <v>0</v>
      </c>
      <c r="G61">
        <v>4.6420000000000003E-2</v>
      </c>
      <c r="H61">
        <v>0.11969299999999999</v>
      </c>
      <c r="I61">
        <v>0.22437000000000001</v>
      </c>
      <c r="J61">
        <v>0.51544800000000002</v>
      </c>
      <c r="K61">
        <v>1.0073209999999999</v>
      </c>
      <c r="L61">
        <v>1.682852</v>
      </c>
      <c r="M61">
        <v>2.5461689999999999</v>
      </c>
      <c r="N61">
        <v>3.5828609999999999</v>
      </c>
      <c r="O61">
        <v>4.7656989999999997</v>
      </c>
      <c r="P61">
        <v>6.0314360000000002</v>
      </c>
      <c r="Q61">
        <v>7.3575619999999997</v>
      </c>
      <c r="R61">
        <v>8.6860540000000004</v>
      </c>
      <c r="S61">
        <v>9.9915140000000005</v>
      </c>
      <c r="T61">
        <v>11.285845</v>
      </c>
      <c r="U61">
        <v>12.553039999999999</v>
      </c>
      <c r="V61">
        <v>13.790806</v>
      </c>
      <c r="W61">
        <v>15.021570000000001</v>
      </c>
      <c r="X61">
        <v>16.206757</v>
      </c>
      <c r="Y61">
        <v>17.344571999999999</v>
      </c>
      <c r="Z61">
        <v>18.450102000000001</v>
      </c>
      <c r="AA61">
        <v>19.517130000000002</v>
      </c>
      <c r="AB61">
        <v>20.542418000000001</v>
      </c>
      <c r="AC61">
        <v>21.528130999999998</v>
      </c>
      <c r="AD61">
        <v>22.438058999999999</v>
      </c>
      <c r="AE61">
        <v>23.298126</v>
      </c>
      <c r="AF61">
        <v>24.146671000000001</v>
      </c>
      <c r="AG61" t="s">
        <v>111</v>
      </c>
    </row>
    <row r="62" spans="1:33">
      <c r="A62" t="s">
        <v>2314</v>
      </c>
      <c r="B62" t="s">
        <v>2313</v>
      </c>
      <c r="C62" t="s">
        <v>2312</v>
      </c>
      <c r="D62" t="s">
        <v>202</v>
      </c>
      <c r="F62">
        <v>0</v>
      </c>
      <c r="G62">
        <v>0</v>
      </c>
      <c r="H62">
        <v>0</v>
      </c>
      <c r="I62">
        <v>0</v>
      </c>
      <c r="J62">
        <v>0</v>
      </c>
      <c r="K62">
        <v>0</v>
      </c>
      <c r="L62">
        <v>0</v>
      </c>
      <c r="M62">
        <v>0</v>
      </c>
      <c r="N62">
        <v>0</v>
      </c>
      <c r="O62">
        <v>0</v>
      </c>
      <c r="P62">
        <v>0</v>
      </c>
      <c r="Q62">
        <v>0</v>
      </c>
      <c r="R62">
        <v>0</v>
      </c>
      <c r="S62">
        <v>0</v>
      </c>
      <c r="T62">
        <v>0</v>
      </c>
      <c r="U62">
        <v>0</v>
      </c>
      <c r="V62">
        <v>0</v>
      </c>
      <c r="W62">
        <v>0</v>
      </c>
      <c r="X62">
        <v>0</v>
      </c>
      <c r="Y62">
        <v>0</v>
      </c>
      <c r="Z62">
        <v>0</v>
      </c>
      <c r="AA62">
        <v>0</v>
      </c>
      <c r="AB62">
        <v>0</v>
      </c>
      <c r="AC62">
        <v>0</v>
      </c>
      <c r="AD62">
        <v>0</v>
      </c>
      <c r="AE62">
        <v>0</v>
      </c>
      <c r="AF62">
        <v>0</v>
      </c>
      <c r="AG62" t="s">
        <v>111</v>
      </c>
    </row>
    <row r="63" spans="1:33">
      <c r="A63" t="s">
        <v>1017</v>
      </c>
      <c r="B63" t="s">
        <v>2311</v>
      </c>
      <c r="C63" t="s">
        <v>2310</v>
      </c>
      <c r="D63" t="s">
        <v>202</v>
      </c>
      <c r="F63">
        <v>90.234665000000007</v>
      </c>
      <c r="G63">
        <v>88.746048000000002</v>
      </c>
      <c r="H63">
        <v>87.524910000000006</v>
      </c>
      <c r="I63">
        <v>86.879401999999999</v>
      </c>
      <c r="J63">
        <v>86.146125999999995</v>
      </c>
      <c r="K63">
        <v>85.551413999999994</v>
      </c>
      <c r="L63">
        <v>85.088470000000001</v>
      </c>
      <c r="M63">
        <v>84.555840000000003</v>
      </c>
      <c r="N63">
        <v>84.013214000000005</v>
      </c>
      <c r="O63">
        <v>83.542648</v>
      </c>
      <c r="P63">
        <v>83.043014999999997</v>
      </c>
      <c r="Q63">
        <v>82.538116000000002</v>
      </c>
      <c r="R63">
        <v>82.013915999999995</v>
      </c>
      <c r="S63">
        <v>81.499672000000004</v>
      </c>
      <c r="T63">
        <v>80.976730000000003</v>
      </c>
      <c r="U63">
        <v>80.459800999999999</v>
      </c>
      <c r="V63">
        <v>79.954575000000006</v>
      </c>
      <c r="W63">
        <v>79.410117999999997</v>
      </c>
      <c r="X63">
        <v>78.884186</v>
      </c>
      <c r="Y63">
        <v>78.326515000000001</v>
      </c>
      <c r="Z63">
        <v>77.806870000000004</v>
      </c>
      <c r="AA63">
        <v>77.239440999999999</v>
      </c>
      <c r="AB63">
        <v>76.680183</v>
      </c>
      <c r="AC63">
        <v>76.081199999999995</v>
      </c>
      <c r="AD63">
        <v>75.451774999999998</v>
      </c>
      <c r="AE63">
        <v>74.79213</v>
      </c>
      <c r="AF63">
        <v>74.117767000000001</v>
      </c>
      <c r="AG63" s="22">
        <v>-8.0000000000000002E-3</v>
      </c>
    </row>
  </sheetData>
  <pageMargins left="0.7" right="0.7" top="0.75" bottom="0.75" header="0.3" footer="0.3"/>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284794B-1BF1-4848-8471-90D9DEB9AFC0}">
  <sheetPr>
    <tabColor theme="4" tint="0.39997558519241921"/>
  </sheetPr>
  <dimension ref="A1:AG256"/>
  <sheetViews>
    <sheetView workbookViewId="0"/>
  </sheetViews>
  <sheetFormatPr defaultRowHeight="15"/>
  <sheetData>
    <row r="1" spans="1:33">
      <c r="A1" t="s">
        <v>228</v>
      </c>
    </row>
    <row r="2" spans="1:33">
      <c r="A2" t="s">
        <v>2897</v>
      </c>
    </row>
    <row r="3" spans="1:33">
      <c r="A3" t="s">
        <v>2896</v>
      </c>
    </row>
    <row r="4" spans="1:33">
      <c r="A4" t="s">
        <v>146</v>
      </c>
    </row>
    <row r="5" spans="1:33">
      <c r="B5" t="s">
        <v>198</v>
      </c>
      <c r="C5" t="s">
        <v>199</v>
      </c>
      <c r="D5" t="s">
        <v>200</v>
      </c>
      <c r="E5">
        <v>2023</v>
      </c>
      <c r="F5">
        <v>2024</v>
      </c>
      <c r="G5">
        <v>2025</v>
      </c>
      <c r="H5">
        <v>2026</v>
      </c>
      <c r="I5">
        <v>2027</v>
      </c>
      <c r="J5">
        <v>2028</v>
      </c>
      <c r="K5">
        <v>2029</v>
      </c>
      <c r="L5">
        <v>2030</v>
      </c>
      <c r="M5">
        <v>2031</v>
      </c>
      <c r="N5">
        <v>2032</v>
      </c>
      <c r="O5">
        <v>2033</v>
      </c>
      <c r="P5">
        <v>2034</v>
      </c>
      <c r="Q5">
        <v>2035</v>
      </c>
      <c r="R5">
        <v>2036</v>
      </c>
      <c r="S5">
        <v>2037</v>
      </c>
      <c r="T5">
        <v>2038</v>
      </c>
      <c r="U5">
        <v>2039</v>
      </c>
      <c r="V5">
        <v>2040</v>
      </c>
      <c r="W5">
        <v>2041</v>
      </c>
      <c r="X5">
        <v>2042</v>
      </c>
      <c r="Y5">
        <v>2043</v>
      </c>
      <c r="Z5">
        <v>2044</v>
      </c>
      <c r="AA5">
        <v>2045</v>
      </c>
      <c r="AB5">
        <v>2046</v>
      </c>
      <c r="AC5">
        <v>2047</v>
      </c>
      <c r="AD5">
        <v>2048</v>
      </c>
      <c r="AE5">
        <v>2049</v>
      </c>
      <c r="AF5">
        <v>2050</v>
      </c>
      <c r="AG5" t="s">
        <v>2417</v>
      </c>
    </row>
    <row r="6" spans="1:33">
      <c r="A6" t="s">
        <v>2895</v>
      </c>
      <c r="B6" t="s">
        <v>2894</v>
      </c>
      <c r="C6" t="s">
        <v>2893</v>
      </c>
      <c r="D6" t="s">
        <v>229</v>
      </c>
      <c r="F6">
        <v>7.4910649999999999</v>
      </c>
      <c r="G6">
        <v>6.9627840000000001</v>
      </c>
      <c r="H6">
        <v>6.8976420000000003</v>
      </c>
      <c r="I6">
        <v>7.0512800000000002</v>
      </c>
      <c r="J6">
        <v>7.2985139999999999</v>
      </c>
      <c r="K6">
        <v>7.594258</v>
      </c>
      <c r="L6">
        <v>7.8936859999999998</v>
      </c>
      <c r="M6">
        <v>8.0429499999999994</v>
      </c>
      <c r="N6">
        <v>7.9935489999999998</v>
      </c>
      <c r="O6">
        <v>8.0496719999999993</v>
      </c>
      <c r="P6">
        <v>8.2171109999999992</v>
      </c>
      <c r="Q6">
        <v>8.2853929999999991</v>
      </c>
      <c r="R6">
        <v>8.2681719999999999</v>
      </c>
      <c r="S6">
        <v>8.371435</v>
      </c>
      <c r="T6">
        <v>8.4479150000000001</v>
      </c>
      <c r="U6">
        <v>8.5338659999999997</v>
      </c>
      <c r="V6">
        <v>8.5994890000000002</v>
      </c>
      <c r="W6">
        <v>8.6396069999999998</v>
      </c>
      <c r="X6">
        <v>8.6545310000000004</v>
      </c>
      <c r="Y6">
        <v>8.7485309999999998</v>
      </c>
      <c r="Z6">
        <v>8.8131389999999996</v>
      </c>
      <c r="AA6">
        <v>8.9598329999999997</v>
      </c>
      <c r="AB6">
        <v>9.0501860000000001</v>
      </c>
      <c r="AC6">
        <v>9.0539819999999995</v>
      </c>
      <c r="AD6">
        <v>9.1013739999999999</v>
      </c>
      <c r="AE6">
        <v>9.1853750000000005</v>
      </c>
      <c r="AF6">
        <v>9.3021440000000002</v>
      </c>
      <c r="AG6" s="22">
        <v>8.0000000000000002E-3</v>
      </c>
    </row>
    <row r="7" spans="1:33">
      <c r="A7" t="s">
        <v>116</v>
      </c>
    </row>
    <row r="8" spans="1:33">
      <c r="A8" t="s">
        <v>208</v>
      </c>
      <c r="B8" t="s">
        <v>2892</v>
      </c>
      <c r="C8" t="s">
        <v>2891</v>
      </c>
      <c r="D8" t="s">
        <v>230</v>
      </c>
      <c r="F8">
        <v>0.85</v>
      </c>
      <c r="G8">
        <v>0.85897999999999997</v>
      </c>
      <c r="H8">
        <v>0.85993299999999995</v>
      </c>
      <c r="I8">
        <v>0.86078399999999999</v>
      </c>
      <c r="J8">
        <v>0.86154600000000003</v>
      </c>
      <c r="K8">
        <v>0.86222799999999999</v>
      </c>
      <c r="L8">
        <v>0.862842</v>
      </c>
      <c r="M8">
        <v>0.86339399999999999</v>
      </c>
      <c r="N8">
        <v>0.86389400000000005</v>
      </c>
      <c r="O8">
        <v>0.86434800000000001</v>
      </c>
      <c r="P8">
        <v>0.86476200000000003</v>
      </c>
      <c r="Q8">
        <v>0.86514000000000002</v>
      </c>
      <c r="R8">
        <v>0.86548800000000004</v>
      </c>
      <c r="S8">
        <v>0.86580800000000002</v>
      </c>
      <c r="T8">
        <v>0.86610299999999996</v>
      </c>
      <c r="U8">
        <v>0.86637600000000003</v>
      </c>
      <c r="V8">
        <v>0.866672</v>
      </c>
      <c r="W8">
        <v>0.86696700000000004</v>
      </c>
      <c r="X8">
        <v>0.86726300000000001</v>
      </c>
      <c r="Y8">
        <v>0.86755899999999997</v>
      </c>
      <c r="Z8">
        <v>0.86785500000000004</v>
      </c>
      <c r="AA8">
        <v>0.86815100000000001</v>
      </c>
      <c r="AB8">
        <v>0.86844699999999997</v>
      </c>
      <c r="AC8">
        <v>0.86874300000000004</v>
      </c>
      <c r="AD8">
        <v>0.86903900000000001</v>
      </c>
      <c r="AE8">
        <v>0.869336</v>
      </c>
      <c r="AF8">
        <v>0.86963199999999996</v>
      </c>
      <c r="AG8" s="22">
        <v>1E-3</v>
      </c>
    </row>
    <row r="9" spans="1:33">
      <c r="A9" t="s">
        <v>209</v>
      </c>
      <c r="B9" t="s">
        <v>2890</v>
      </c>
      <c r="C9" t="s">
        <v>2889</v>
      </c>
      <c r="D9" t="s">
        <v>230</v>
      </c>
      <c r="F9">
        <v>0.84599999999999997</v>
      </c>
      <c r="G9">
        <v>0.85931999999999997</v>
      </c>
      <c r="H9">
        <v>0.86017900000000003</v>
      </c>
      <c r="I9">
        <v>0.86104000000000003</v>
      </c>
      <c r="J9">
        <v>0.86190100000000003</v>
      </c>
      <c r="K9">
        <v>0.86276200000000003</v>
      </c>
      <c r="L9">
        <v>0.86362499999999998</v>
      </c>
      <c r="M9">
        <v>0.86448899999999995</v>
      </c>
      <c r="N9">
        <v>0.86535300000000004</v>
      </c>
      <c r="O9">
        <v>0.86621899999999996</v>
      </c>
      <c r="P9">
        <v>0.86708499999999999</v>
      </c>
      <c r="Q9">
        <v>0.86795199999999995</v>
      </c>
      <c r="R9">
        <v>0.86882000000000004</v>
      </c>
      <c r="S9">
        <v>0.86968900000000005</v>
      </c>
      <c r="T9">
        <v>0.87055800000000005</v>
      </c>
      <c r="U9">
        <v>0.87142900000000001</v>
      </c>
      <c r="V9">
        <v>0.87229999999999996</v>
      </c>
      <c r="W9">
        <v>0.87317299999999998</v>
      </c>
      <c r="X9">
        <v>0.87404599999999999</v>
      </c>
      <c r="Y9">
        <v>0.87492000000000003</v>
      </c>
      <c r="Z9">
        <v>0.87579499999999999</v>
      </c>
      <c r="AA9">
        <v>0.87667099999999998</v>
      </c>
      <c r="AB9">
        <v>0.87754699999999997</v>
      </c>
      <c r="AC9">
        <v>0.87842500000000001</v>
      </c>
      <c r="AD9">
        <v>0.87930299999999995</v>
      </c>
      <c r="AE9">
        <v>0.88018300000000005</v>
      </c>
      <c r="AF9">
        <v>0.88106300000000004</v>
      </c>
      <c r="AG9" s="22">
        <v>2E-3</v>
      </c>
    </row>
    <row r="10" spans="1:33">
      <c r="A10" t="s">
        <v>115</v>
      </c>
    </row>
    <row r="11" spans="1:33">
      <c r="A11" t="s">
        <v>210</v>
      </c>
    </row>
    <row r="12" spans="1:33">
      <c r="A12" t="s">
        <v>211</v>
      </c>
      <c r="B12" t="s">
        <v>2888</v>
      </c>
      <c r="C12" t="s">
        <v>2887</v>
      </c>
      <c r="D12" t="s">
        <v>231</v>
      </c>
      <c r="F12">
        <v>342.00198399999999</v>
      </c>
      <c r="G12">
        <v>344.85076900000001</v>
      </c>
      <c r="H12">
        <v>346.96423299999998</v>
      </c>
      <c r="I12">
        <v>348.437408</v>
      </c>
      <c r="J12">
        <v>349.87805200000003</v>
      </c>
      <c r="K12">
        <v>351.28118899999998</v>
      </c>
      <c r="L12">
        <v>352.64178500000003</v>
      </c>
      <c r="M12">
        <v>353.95739700000001</v>
      </c>
      <c r="N12">
        <v>355.23046900000003</v>
      </c>
      <c r="O12">
        <v>356.458527</v>
      </c>
      <c r="P12">
        <v>357.63406400000002</v>
      </c>
      <c r="Q12">
        <v>358.73593099999999</v>
      </c>
      <c r="R12">
        <v>359.77282700000001</v>
      </c>
      <c r="S12">
        <v>360.75125100000002</v>
      </c>
      <c r="T12">
        <v>361.67263800000001</v>
      </c>
      <c r="U12">
        <v>362.53564499999999</v>
      </c>
      <c r="V12">
        <v>363.34353599999997</v>
      </c>
      <c r="W12">
        <v>364.09573399999999</v>
      </c>
      <c r="X12">
        <v>364.79132099999998</v>
      </c>
      <c r="Y12">
        <v>365.436127</v>
      </c>
      <c r="Z12">
        <v>366.03445399999998</v>
      </c>
      <c r="AA12">
        <v>366.59066799999999</v>
      </c>
      <c r="AB12">
        <v>367.10647599999999</v>
      </c>
      <c r="AC12">
        <v>367.58792099999999</v>
      </c>
      <c r="AD12">
        <v>368.03945900000002</v>
      </c>
      <c r="AE12">
        <v>368.46582000000001</v>
      </c>
      <c r="AF12">
        <v>368.87057499999997</v>
      </c>
      <c r="AG12" s="22">
        <v>3.0000000000000001E-3</v>
      </c>
    </row>
    <row r="13" spans="1:33">
      <c r="A13" t="s">
        <v>212</v>
      </c>
      <c r="B13" t="s">
        <v>2886</v>
      </c>
      <c r="C13" t="s">
        <v>2885</v>
      </c>
      <c r="D13" t="s">
        <v>231</v>
      </c>
      <c r="F13">
        <v>41.115540000000003</v>
      </c>
      <c r="G13">
        <v>41.536887999999998</v>
      </c>
      <c r="H13">
        <v>41.874549999999999</v>
      </c>
      <c r="I13">
        <v>42.188862</v>
      </c>
      <c r="J13">
        <v>42.649399000000003</v>
      </c>
      <c r="K13">
        <v>43.106659000000001</v>
      </c>
      <c r="L13">
        <v>43.563068000000001</v>
      </c>
      <c r="M13">
        <v>44.018310999999997</v>
      </c>
      <c r="N13">
        <v>44.470509</v>
      </c>
      <c r="O13">
        <v>44.918892</v>
      </c>
      <c r="P13">
        <v>45.363788999999997</v>
      </c>
      <c r="Q13">
        <v>45.805728999999999</v>
      </c>
      <c r="R13">
        <v>46.244751000000001</v>
      </c>
      <c r="S13">
        <v>46.679371000000003</v>
      </c>
      <c r="T13">
        <v>47.1096</v>
      </c>
      <c r="U13">
        <v>47.535721000000002</v>
      </c>
      <c r="V13">
        <v>47.958038000000002</v>
      </c>
      <c r="W13">
        <v>48.377231999999999</v>
      </c>
      <c r="X13">
        <v>48.793658999999998</v>
      </c>
      <c r="Y13">
        <v>49.207779000000002</v>
      </c>
      <c r="Z13">
        <v>49.619548999999999</v>
      </c>
      <c r="AA13">
        <v>50.028412000000003</v>
      </c>
      <c r="AB13">
        <v>50.434638999999997</v>
      </c>
      <c r="AC13">
        <v>50.839610999999998</v>
      </c>
      <c r="AD13">
        <v>51.243679</v>
      </c>
      <c r="AE13">
        <v>51.646777999999998</v>
      </c>
      <c r="AF13">
        <v>52.048400999999998</v>
      </c>
      <c r="AG13" s="22">
        <v>8.9999999999999993E-3</v>
      </c>
    </row>
    <row r="14" spans="1:33">
      <c r="A14" t="s">
        <v>2459</v>
      </c>
      <c r="B14" t="s">
        <v>2884</v>
      </c>
      <c r="C14" t="s">
        <v>2883</v>
      </c>
      <c r="D14" t="s">
        <v>231</v>
      </c>
      <c r="F14">
        <v>130.86099200000001</v>
      </c>
      <c r="G14">
        <v>131.946899</v>
      </c>
      <c r="H14">
        <v>132.99769599999999</v>
      </c>
      <c r="I14">
        <v>134.01769999999999</v>
      </c>
      <c r="J14">
        <v>135.00869800000001</v>
      </c>
      <c r="K14">
        <v>135.970901</v>
      </c>
      <c r="L14">
        <v>136.90479999999999</v>
      </c>
      <c r="M14">
        <v>137.81109599999999</v>
      </c>
      <c r="N14">
        <v>138.690201</v>
      </c>
      <c r="O14">
        <v>139.54209900000001</v>
      </c>
      <c r="P14">
        <v>140.36199999999999</v>
      </c>
      <c r="Q14">
        <v>141.150803</v>
      </c>
      <c r="R14">
        <v>141.90919500000001</v>
      </c>
      <c r="S14">
        <v>142.637497</v>
      </c>
      <c r="T14">
        <v>143.33630400000001</v>
      </c>
      <c r="U14">
        <v>143.99830600000001</v>
      </c>
      <c r="V14">
        <v>144.62429800000001</v>
      </c>
      <c r="W14">
        <v>145.217804</v>
      </c>
      <c r="X14">
        <v>145.77749600000001</v>
      </c>
      <c r="Y14">
        <v>146.300003</v>
      </c>
      <c r="Z14">
        <v>146.78770399999999</v>
      </c>
      <c r="AA14">
        <v>147.24009699999999</v>
      </c>
      <c r="AB14">
        <v>147.65420499999999</v>
      </c>
      <c r="AC14">
        <v>148.03019699999999</v>
      </c>
      <c r="AD14">
        <v>148.37219200000001</v>
      </c>
      <c r="AE14">
        <v>148.67790199999999</v>
      </c>
      <c r="AF14">
        <v>148.946304</v>
      </c>
      <c r="AG14" s="22">
        <v>5.0000000000000001E-3</v>
      </c>
    </row>
    <row r="15" spans="1:33">
      <c r="A15" t="s">
        <v>2456</v>
      </c>
      <c r="B15" t="s">
        <v>2882</v>
      </c>
      <c r="C15" t="s">
        <v>2881</v>
      </c>
      <c r="D15" t="s">
        <v>231</v>
      </c>
      <c r="F15">
        <v>638.29211399999997</v>
      </c>
      <c r="G15">
        <v>638.94360400000005</v>
      </c>
      <c r="H15">
        <v>639.36071800000002</v>
      </c>
      <c r="I15">
        <v>639.66699200000005</v>
      </c>
      <c r="J15">
        <v>639.91583300000002</v>
      </c>
      <c r="K15">
        <v>640.17175299999997</v>
      </c>
      <c r="L15">
        <v>640.43731700000001</v>
      </c>
      <c r="M15">
        <v>640.70172100000002</v>
      </c>
      <c r="N15">
        <v>640.95202600000005</v>
      </c>
      <c r="O15">
        <v>641.18212900000003</v>
      </c>
      <c r="P15">
        <v>641.40844700000002</v>
      </c>
      <c r="Q15">
        <v>641.61480700000004</v>
      </c>
      <c r="R15">
        <v>641.79180899999994</v>
      </c>
      <c r="S15">
        <v>641.93884300000002</v>
      </c>
      <c r="T15">
        <v>642.04028300000004</v>
      </c>
      <c r="U15">
        <v>642.09295699999996</v>
      </c>
      <c r="V15">
        <v>642.09368900000004</v>
      </c>
      <c r="W15">
        <v>642.03826900000001</v>
      </c>
      <c r="X15">
        <v>641.92571999999996</v>
      </c>
      <c r="Y15">
        <v>641.74835199999995</v>
      </c>
      <c r="Z15">
        <v>641.50354000000004</v>
      </c>
      <c r="AA15">
        <v>641.18670699999996</v>
      </c>
      <c r="AB15">
        <v>640.79913299999998</v>
      </c>
      <c r="AC15">
        <v>640.33795199999997</v>
      </c>
      <c r="AD15">
        <v>639.78851299999997</v>
      </c>
      <c r="AE15">
        <v>639.14599599999997</v>
      </c>
      <c r="AF15">
        <v>638.40759300000002</v>
      </c>
      <c r="AG15" s="22">
        <v>0</v>
      </c>
    </row>
    <row r="16" spans="1:33">
      <c r="A16" t="s">
        <v>1262</v>
      </c>
      <c r="B16" t="s">
        <v>2880</v>
      </c>
      <c r="C16" t="s">
        <v>2879</v>
      </c>
      <c r="D16" t="s">
        <v>231</v>
      </c>
      <c r="F16">
        <v>123.75299800000001</v>
      </c>
      <c r="G16">
        <v>123.1035</v>
      </c>
      <c r="H16">
        <v>122.427803</v>
      </c>
      <c r="I16">
        <v>121.732399</v>
      </c>
      <c r="J16">
        <v>121.0243</v>
      </c>
      <c r="K16">
        <v>120.308098</v>
      </c>
      <c r="L16">
        <v>119.584198</v>
      </c>
      <c r="M16">
        <v>118.852097</v>
      </c>
      <c r="N16">
        <v>118.114098</v>
      </c>
      <c r="O16">
        <v>117.37249799999999</v>
      </c>
      <c r="P16">
        <v>116.626801</v>
      </c>
      <c r="Q16">
        <v>115.876099</v>
      </c>
      <c r="R16">
        <v>115.12550400000001</v>
      </c>
      <c r="S16">
        <v>114.377403</v>
      </c>
      <c r="T16">
        <v>113.63359800000001</v>
      </c>
      <c r="U16">
        <v>112.89450100000001</v>
      </c>
      <c r="V16">
        <v>112.15830200000001</v>
      </c>
      <c r="W16">
        <v>111.422501</v>
      </c>
      <c r="X16">
        <v>110.69229900000001</v>
      </c>
      <c r="Y16">
        <v>109.972397</v>
      </c>
      <c r="Z16">
        <v>109.25949900000001</v>
      </c>
      <c r="AA16">
        <v>108.552002</v>
      </c>
      <c r="AB16">
        <v>107.850601</v>
      </c>
      <c r="AC16">
        <v>107.15799699999999</v>
      </c>
      <c r="AD16">
        <v>106.47429700000001</v>
      </c>
      <c r="AE16">
        <v>105.796898</v>
      </c>
      <c r="AF16">
        <v>105.12309999999999</v>
      </c>
      <c r="AG16" s="22">
        <v>-6.0000000000000001E-3</v>
      </c>
    </row>
    <row r="17" spans="1:33">
      <c r="A17" t="s">
        <v>1265</v>
      </c>
      <c r="B17" t="s">
        <v>2878</v>
      </c>
      <c r="C17" t="s">
        <v>2877</v>
      </c>
      <c r="D17" t="s">
        <v>231</v>
      </c>
      <c r="F17">
        <v>32.572749999999999</v>
      </c>
      <c r="G17">
        <v>32.958987999999998</v>
      </c>
      <c r="H17">
        <v>33.324001000000003</v>
      </c>
      <c r="I17">
        <v>33.701228999999998</v>
      </c>
      <c r="J17">
        <v>34.101439999999997</v>
      </c>
      <c r="K17">
        <v>34.498111999999999</v>
      </c>
      <c r="L17">
        <v>34.888981000000001</v>
      </c>
      <c r="M17">
        <v>35.273868999999998</v>
      </c>
      <c r="N17">
        <v>35.652161</v>
      </c>
      <c r="O17">
        <v>36.023972000000001</v>
      </c>
      <c r="P17">
        <v>36.389420000000001</v>
      </c>
      <c r="Q17">
        <v>36.748821</v>
      </c>
      <c r="R17">
        <v>37.102631000000002</v>
      </c>
      <c r="S17">
        <v>37.450699</v>
      </c>
      <c r="T17">
        <v>37.793529999999997</v>
      </c>
      <c r="U17">
        <v>38.131568999999999</v>
      </c>
      <c r="V17">
        <v>38.464809000000002</v>
      </c>
      <c r="W17">
        <v>38.793441999999999</v>
      </c>
      <c r="X17">
        <v>39.117519000000001</v>
      </c>
      <c r="Y17">
        <v>39.437038000000001</v>
      </c>
      <c r="Z17">
        <v>39.751868999999999</v>
      </c>
      <c r="AA17">
        <v>40.061821000000002</v>
      </c>
      <c r="AB17">
        <v>40.366779000000001</v>
      </c>
      <c r="AC17">
        <v>40.666438999999997</v>
      </c>
      <c r="AD17">
        <v>40.960799999999999</v>
      </c>
      <c r="AE17">
        <v>41.249820999999997</v>
      </c>
      <c r="AF17">
        <v>41.533428000000001</v>
      </c>
      <c r="AG17" s="22">
        <v>8.9999999999999993E-3</v>
      </c>
    </row>
    <row r="18" spans="1:33">
      <c r="A18" t="s">
        <v>1268</v>
      </c>
      <c r="B18" t="s">
        <v>2876</v>
      </c>
      <c r="C18" t="s">
        <v>2875</v>
      </c>
      <c r="D18" t="s">
        <v>231</v>
      </c>
      <c r="F18">
        <v>51.717590000000001</v>
      </c>
      <c r="G18">
        <v>51.667029999999997</v>
      </c>
      <c r="H18">
        <v>51.600391000000002</v>
      </c>
      <c r="I18">
        <v>51.518847999999998</v>
      </c>
      <c r="J18">
        <v>51.423431000000001</v>
      </c>
      <c r="K18">
        <v>51.314017999999997</v>
      </c>
      <c r="L18">
        <v>51.188580000000002</v>
      </c>
      <c r="M18">
        <v>51.048180000000002</v>
      </c>
      <c r="N18">
        <v>50.891289</v>
      </c>
      <c r="O18">
        <v>50.714297999999999</v>
      </c>
      <c r="P18">
        <v>50.516810999999997</v>
      </c>
      <c r="Q18">
        <v>50.300732000000004</v>
      </c>
      <c r="R18">
        <v>50.066540000000003</v>
      </c>
      <c r="S18">
        <v>49.813431000000001</v>
      </c>
      <c r="T18">
        <v>49.541161000000002</v>
      </c>
      <c r="U18">
        <v>49.251888000000001</v>
      </c>
      <c r="V18">
        <v>48.948681000000001</v>
      </c>
      <c r="W18">
        <v>48.630428000000002</v>
      </c>
      <c r="X18">
        <v>48.29974</v>
      </c>
      <c r="Y18">
        <v>47.959041999999997</v>
      </c>
      <c r="Z18">
        <v>47.603371000000003</v>
      </c>
      <c r="AA18">
        <v>47.232948</v>
      </c>
      <c r="AB18">
        <v>46.850898999999998</v>
      </c>
      <c r="AC18">
        <v>46.452061</v>
      </c>
      <c r="AD18">
        <v>46.033797999999997</v>
      </c>
      <c r="AE18">
        <v>45.597301000000002</v>
      </c>
      <c r="AF18">
        <v>45.143130999999997</v>
      </c>
      <c r="AG18" s="22">
        <v>-5.0000000000000001E-3</v>
      </c>
    </row>
    <row r="19" spans="1:33">
      <c r="A19" t="s">
        <v>1271</v>
      </c>
      <c r="B19" t="s">
        <v>2874</v>
      </c>
      <c r="C19" t="s">
        <v>2873</v>
      </c>
      <c r="D19" t="s">
        <v>231</v>
      </c>
      <c r="F19">
        <v>144.820404</v>
      </c>
      <c r="G19">
        <v>143.99740600000001</v>
      </c>
      <c r="H19">
        <v>143.39439400000001</v>
      </c>
      <c r="I19">
        <v>143.04409799999999</v>
      </c>
      <c r="J19">
        <v>142.66980000000001</v>
      </c>
      <c r="K19">
        <v>142.28509500000001</v>
      </c>
      <c r="L19">
        <v>141.88940400000001</v>
      </c>
      <c r="M19">
        <v>141.475494</v>
      </c>
      <c r="N19">
        <v>141.060394</v>
      </c>
      <c r="O19">
        <v>140.66459699999999</v>
      </c>
      <c r="P19">
        <v>140.28080700000001</v>
      </c>
      <c r="Q19">
        <v>139.90969799999999</v>
      </c>
      <c r="R19">
        <v>139.55149800000001</v>
      </c>
      <c r="S19">
        <v>139.20489499999999</v>
      </c>
      <c r="T19">
        <v>138.876801</v>
      </c>
      <c r="U19">
        <v>138.567398</v>
      </c>
      <c r="V19">
        <v>138.28179900000001</v>
      </c>
      <c r="W19">
        <v>138.021805</v>
      </c>
      <c r="X19">
        <v>137.78280599999999</v>
      </c>
      <c r="Y19">
        <v>137.557907</v>
      </c>
      <c r="Z19">
        <v>137.345001</v>
      </c>
      <c r="AA19">
        <v>137.15220600000001</v>
      </c>
      <c r="AB19">
        <v>136.97369399999999</v>
      </c>
      <c r="AC19">
        <v>136.78939800000001</v>
      </c>
      <c r="AD19">
        <v>136.58599899999999</v>
      </c>
      <c r="AE19">
        <v>136.368393</v>
      </c>
      <c r="AF19">
        <v>136.13279700000001</v>
      </c>
      <c r="AG19" s="22">
        <v>-2E-3</v>
      </c>
    </row>
    <row r="20" spans="1:33">
      <c r="A20" t="s">
        <v>2445</v>
      </c>
      <c r="B20" t="s">
        <v>2872</v>
      </c>
      <c r="C20" t="s">
        <v>2871</v>
      </c>
      <c r="D20" t="s">
        <v>231</v>
      </c>
      <c r="F20">
        <v>149.552032</v>
      </c>
      <c r="G20">
        <v>151.90119899999999</v>
      </c>
      <c r="H20">
        <v>153.64238</v>
      </c>
      <c r="I20">
        <v>154.55900600000001</v>
      </c>
      <c r="J20">
        <v>155.43940699999999</v>
      </c>
      <c r="K20">
        <v>156.31045499999999</v>
      </c>
      <c r="L20">
        <v>157.196426</v>
      </c>
      <c r="M20">
        <v>158.051254</v>
      </c>
      <c r="N20">
        <v>158.90606700000001</v>
      </c>
      <c r="O20">
        <v>159.74928299999999</v>
      </c>
      <c r="P20">
        <v>160.57231100000001</v>
      </c>
      <c r="Q20">
        <v>161.38737499999999</v>
      </c>
      <c r="R20">
        <v>162.21719400000001</v>
      </c>
      <c r="S20">
        <v>163.06295800000001</v>
      </c>
      <c r="T20">
        <v>163.904617</v>
      </c>
      <c r="U20">
        <v>164.750259</v>
      </c>
      <c r="V20">
        <v>165.596237</v>
      </c>
      <c r="W20">
        <v>166.43772899999999</v>
      </c>
      <c r="X20">
        <v>167.28590399999999</v>
      </c>
      <c r="Y20">
        <v>168.131821</v>
      </c>
      <c r="Z20">
        <v>168.966736</v>
      </c>
      <c r="AA20">
        <v>169.784775</v>
      </c>
      <c r="AB20">
        <v>170.56317100000001</v>
      </c>
      <c r="AC20">
        <v>171.308044</v>
      </c>
      <c r="AD20">
        <v>172.02151499999999</v>
      </c>
      <c r="AE20">
        <v>172.71736100000001</v>
      </c>
      <c r="AF20">
        <v>173.40846300000001</v>
      </c>
      <c r="AG20" s="22">
        <v>6.0000000000000001E-3</v>
      </c>
    </row>
    <row r="21" spans="1:33">
      <c r="A21" t="s">
        <v>214</v>
      </c>
      <c r="B21" t="s">
        <v>2870</v>
      </c>
      <c r="C21" t="s">
        <v>2869</v>
      </c>
      <c r="D21" t="s">
        <v>231</v>
      </c>
      <c r="F21">
        <v>1419.3210449999999</v>
      </c>
      <c r="G21">
        <v>1416.095947</v>
      </c>
      <c r="H21">
        <v>1412.9139399999999</v>
      </c>
      <c r="I21">
        <v>1409.6789550000001</v>
      </c>
      <c r="J21">
        <v>1406.1369629999999</v>
      </c>
      <c r="K21">
        <v>1402.2829589999999</v>
      </c>
      <c r="L21">
        <v>1398.154053</v>
      </c>
      <c r="M21">
        <v>1393.7490230000001</v>
      </c>
      <c r="N21">
        <v>1389.0600589999999</v>
      </c>
      <c r="O21">
        <v>1384.0970460000001</v>
      </c>
      <c r="P21">
        <v>1378.876953</v>
      </c>
      <c r="Q21">
        <v>1373.4279790000001</v>
      </c>
      <c r="R21">
        <v>1367.7430420000001</v>
      </c>
      <c r="S21">
        <v>1361.829956</v>
      </c>
      <c r="T21">
        <v>1355.7230219999999</v>
      </c>
      <c r="U21">
        <v>1349.3950199999999</v>
      </c>
      <c r="V21">
        <v>1342.8170170000001</v>
      </c>
      <c r="W21">
        <v>1335.98999</v>
      </c>
      <c r="X21">
        <v>1328.909058</v>
      </c>
      <c r="Y21">
        <v>1321.590942</v>
      </c>
      <c r="Z21">
        <v>1314.015991</v>
      </c>
      <c r="AA21">
        <v>1306.114014</v>
      </c>
      <c r="AB21">
        <v>1297.8179929999999</v>
      </c>
      <c r="AC21">
        <v>1289.119995</v>
      </c>
      <c r="AD21">
        <v>1279.9930420000001</v>
      </c>
      <c r="AE21">
        <v>1270.380981</v>
      </c>
      <c r="AF21">
        <v>1260.2889399999999</v>
      </c>
      <c r="AG21" s="22">
        <v>-5.0000000000000001E-3</v>
      </c>
    </row>
    <row r="22" spans="1:33">
      <c r="A22" t="s">
        <v>1279</v>
      </c>
      <c r="B22" t="s">
        <v>2868</v>
      </c>
      <c r="C22" t="s">
        <v>2867</v>
      </c>
      <c r="D22" t="s">
        <v>231</v>
      </c>
      <c r="F22">
        <v>1450.9360349999999</v>
      </c>
      <c r="G22">
        <v>1463.865967</v>
      </c>
      <c r="H22">
        <v>1476.6259769999999</v>
      </c>
      <c r="I22">
        <v>1489.165039</v>
      </c>
      <c r="J22">
        <v>1501.4329829999999</v>
      </c>
      <c r="K22">
        <v>1513.4239500000001</v>
      </c>
      <c r="L22">
        <v>1525.139038</v>
      </c>
      <c r="M22">
        <v>1536.5410159999999</v>
      </c>
      <c r="N22">
        <v>1547.6070560000001</v>
      </c>
      <c r="O22">
        <v>1558.323975</v>
      </c>
      <c r="P22">
        <v>1568.6879879999999</v>
      </c>
      <c r="Q22">
        <v>1578.6949460000001</v>
      </c>
      <c r="R22">
        <v>1588.3249510000001</v>
      </c>
      <c r="S22">
        <v>1597.536987</v>
      </c>
      <c r="T22">
        <v>1606.301025</v>
      </c>
      <c r="U22">
        <v>1614.639038</v>
      </c>
      <c r="V22">
        <v>1622.579956</v>
      </c>
      <c r="W22">
        <v>1630.119019</v>
      </c>
      <c r="X22">
        <v>1637.2349850000001</v>
      </c>
      <c r="Y22">
        <v>1643.915039</v>
      </c>
      <c r="Z22">
        <v>1650.1870120000001</v>
      </c>
      <c r="AA22">
        <v>1656.0679929999999</v>
      </c>
      <c r="AB22">
        <v>1661.5479740000001</v>
      </c>
      <c r="AC22">
        <v>1666.628052</v>
      </c>
      <c r="AD22">
        <v>1671.3100589999999</v>
      </c>
      <c r="AE22">
        <v>1675.619995</v>
      </c>
      <c r="AF22">
        <v>1679.5889890000001</v>
      </c>
      <c r="AG22" s="22">
        <v>6.0000000000000001E-3</v>
      </c>
    </row>
    <row r="23" spans="1:33">
      <c r="A23" t="s">
        <v>2438</v>
      </c>
      <c r="B23" t="s">
        <v>2866</v>
      </c>
      <c r="C23" t="s">
        <v>2865</v>
      </c>
      <c r="D23" t="s">
        <v>231</v>
      </c>
      <c r="F23">
        <v>1291.4582519999999</v>
      </c>
      <c r="G23">
        <v>1304.057495</v>
      </c>
      <c r="H23">
        <v>1316.5952150000001</v>
      </c>
      <c r="I23">
        <v>1329.1712649999999</v>
      </c>
      <c r="J23">
        <v>1341.830688</v>
      </c>
      <c r="K23">
        <v>1354.47876</v>
      </c>
      <c r="L23">
        <v>1367.0858149999999</v>
      </c>
      <c r="M23">
        <v>1379.6104740000001</v>
      </c>
      <c r="N23">
        <v>1391.974487</v>
      </c>
      <c r="O23">
        <v>1404.189087</v>
      </c>
      <c r="P23">
        <v>1416.1998289999999</v>
      </c>
      <c r="Q23">
        <v>1427.9586179999999</v>
      </c>
      <c r="R23">
        <v>1439.5329589999999</v>
      </c>
      <c r="S23">
        <v>1450.9320070000001</v>
      </c>
      <c r="T23">
        <v>1462.1069339999999</v>
      </c>
      <c r="U23">
        <v>1473.0660399999999</v>
      </c>
      <c r="V23">
        <v>1483.7818600000001</v>
      </c>
      <c r="W23">
        <v>1494.213379</v>
      </c>
      <c r="X23">
        <v>1504.338135</v>
      </c>
      <c r="Y23">
        <v>1514.190552</v>
      </c>
      <c r="Z23">
        <v>1523.778198</v>
      </c>
      <c r="AA23">
        <v>1533.075562</v>
      </c>
      <c r="AB23">
        <v>1542.126953</v>
      </c>
      <c r="AC23">
        <v>1550.833374</v>
      </c>
      <c r="AD23">
        <v>1559.1789550000001</v>
      </c>
      <c r="AE23">
        <v>1567.2680660000001</v>
      </c>
      <c r="AF23">
        <v>1575.033203</v>
      </c>
      <c r="AG23" s="22">
        <v>8.0000000000000002E-3</v>
      </c>
    </row>
    <row r="24" spans="1:33">
      <c r="A24" t="s">
        <v>1285</v>
      </c>
      <c r="B24" t="s">
        <v>2864</v>
      </c>
      <c r="C24" t="s">
        <v>2863</v>
      </c>
      <c r="D24" t="s">
        <v>231</v>
      </c>
      <c r="F24">
        <v>295.15145899999999</v>
      </c>
      <c r="G24">
        <v>300.688446</v>
      </c>
      <c r="H24">
        <v>305.99115</v>
      </c>
      <c r="I24">
        <v>311.19366500000001</v>
      </c>
      <c r="J24">
        <v>316.17593399999998</v>
      </c>
      <c r="K24">
        <v>321.01004</v>
      </c>
      <c r="L24">
        <v>325.70974699999999</v>
      </c>
      <c r="M24">
        <v>330.31262199999998</v>
      </c>
      <c r="N24">
        <v>334.88299599999999</v>
      </c>
      <c r="O24">
        <v>339.41720600000002</v>
      </c>
      <c r="P24">
        <v>343.917236</v>
      </c>
      <c r="Q24">
        <v>348.38241599999998</v>
      </c>
      <c r="R24">
        <v>352.82318099999998</v>
      </c>
      <c r="S24">
        <v>357.24234000000001</v>
      </c>
      <c r="T24">
        <v>361.63189699999998</v>
      </c>
      <c r="U24">
        <v>366.00564600000001</v>
      </c>
      <c r="V24">
        <v>370.367615</v>
      </c>
      <c r="W24">
        <v>374.68313599999999</v>
      </c>
      <c r="X24">
        <v>378.94271900000001</v>
      </c>
      <c r="Y24">
        <v>383.14639299999999</v>
      </c>
      <c r="Z24">
        <v>387.300995</v>
      </c>
      <c r="AA24">
        <v>391.42379799999998</v>
      </c>
      <c r="AB24">
        <v>395.485229</v>
      </c>
      <c r="AC24">
        <v>399.48791499999999</v>
      </c>
      <c r="AD24">
        <v>403.45910600000002</v>
      </c>
      <c r="AE24">
        <v>407.399292</v>
      </c>
      <c r="AF24">
        <v>411.28701799999999</v>
      </c>
      <c r="AG24" s="22">
        <v>1.2999999999999999E-2</v>
      </c>
    </row>
    <row r="25" spans="1:33">
      <c r="A25" t="s">
        <v>213</v>
      </c>
      <c r="B25" t="s">
        <v>2862</v>
      </c>
      <c r="C25" t="s">
        <v>2861</v>
      </c>
      <c r="D25" t="s">
        <v>231</v>
      </c>
      <c r="F25">
        <v>1514.0701899999999</v>
      </c>
      <c r="G25">
        <v>1548.7773440000001</v>
      </c>
      <c r="H25">
        <v>1583.8764650000001</v>
      </c>
      <c r="I25">
        <v>1619.131836</v>
      </c>
      <c r="J25">
        <v>1654.525513</v>
      </c>
      <c r="K25">
        <v>1690.149658</v>
      </c>
      <c r="L25">
        <v>1726.0095209999999</v>
      </c>
      <c r="M25">
        <v>1762.118408</v>
      </c>
      <c r="N25">
        <v>1798.439453</v>
      </c>
      <c r="O25">
        <v>1834.9061280000001</v>
      </c>
      <c r="P25">
        <v>1871.5656739999999</v>
      </c>
      <c r="Q25">
        <v>1908.4392089999999</v>
      </c>
      <c r="R25">
        <v>1945.450073</v>
      </c>
      <c r="S25">
        <v>1982.5341800000001</v>
      </c>
      <c r="T25">
        <v>2019.6979980000001</v>
      </c>
      <c r="U25">
        <v>2056.9470209999999</v>
      </c>
      <c r="V25">
        <v>2094.264404</v>
      </c>
      <c r="W25">
        <v>2131.6120609999998</v>
      </c>
      <c r="X25">
        <v>2168.9555660000001</v>
      </c>
      <c r="Y25">
        <v>2206.2993160000001</v>
      </c>
      <c r="Z25">
        <v>2243.6000979999999</v>
      </c>
      <c r="AA25">
        <v>2280.7885740000002</v>
      </c>
      <c r="AB25">
        <v>2317.8676759999998</v>
      </c>
      <c r="AC25">
        <v>2354.8833009999998</v>
      </c>
      <c r="AD25">
        <v>2391.8115229999999</v>
      </c>
      <c r="AE25">
        <v>2428.5688479999999</v>
      </c>
      <c r="AF25">
        <v>2465.1376949999999</v>
      </c>
      <c r="AG25" s="22">
        <v>1.9E-2</v>
      </c>
    </row>
    <row r="26" spans="1:33">
      <c r="A26" t="s">
        <v>1290</v>
      </c>
      <c r="B26" t="s">
        <v>2860</v>
      </c>
      <c r="C26" t="s">
        <v>2859</v>
      </c>
      <c r="D26" t="s">
        <v>231</v>
      </c>
      <c r="F26">
        <v>211.99859599999999</v>
      </c>
      <c r="G26">
        <v>212.81239299999999</v>
      </c>
      <c r="H26">
        <v>213.56269800000001</v>
      </c>
      <c r="I26">
        <v>214.26100199999999</v>
      </c>
      <c r="J26">
        <v>214.911407</v>
      </c>
      <c r="K26">
        <v>215.515198</v>
      </c>
      <c r="L26">
        <v>216.07440199999999</v>
      </c>
      <c r="M26">
        <v>216.58729600000001</v>
      </c>
      <c r="N26">
        <v>217.05540500000001</v>
      </c>
      <c r="O26">
        <v>217.479401</v>
      </c>
      <c r="P26">
        <v>217.86090100000001</v>
      </c>
      <c r="Q26">
        <v>218.19970699999999</v>
      </c>
      <c r="R26">
        <v>218.495193</v>
      </c>
      <c r="S26">
        <v>218.74719200000001</v>
      </c>
      <c r="T26">
        <v>218.95559700000001</v>
      </c>
      <c r="U26">
        <v>219.118301</v>
      </c>
      <c r="V26">
        <v>219.23710600000001</v>
      </c>
      <c r="W26">
        <v>219.30720500000001</v>
      </c>
      <c r="X26">
        <v>219.31970200000001</v>
      </c>
      <c r="Y26">
        <v>219.27650499999999</v>
      </c>
      <c r="Z26">
        <v>219.179001</v>
      </c>
      <c r="AA26">
        <v>219.02619899999999</v>
      </c>
      <c r="AB26">
        <v>218.82110599999999</v>
      </c>
      <c r="AC26">
        <v>218.56539900000001</v>
      </c>
      <c r="AD26">
        <v>218.258194</v>
      </c>
      <c r="AE26">
        <v>217.897797</v>
      </c>
      <c r="AF26">
        <v>217.489304</v>
      </c>
      <c r="AG26" s="22">
        <v>1E-3</v>
      </c>
    </row>
    <row r="27" spans="1:33">
      <c r="A27" t="s">
        <v>2429</v>
      </c>
      <c r="B27" t="s">
        <v>2858</v>
      </c>
      <c r="C27" t="s">
        <v>2857</v>
      </c>
      <c r="D27" t="s">
        <v>231</v>
      </c>
      <c r="F27">
        <v>320.53472900000003</v>
      </c>
      <c r="G27">
        <v>323.07989500000002</v>
      </c>
      <c r="H27">
        <v>325.552795</v>
      </c>
      <c r="I27">
        <v>327.968414</v>
      </c>
      <c r="J27">
        <v>330.324005</v>
      </c>
      <c r="K27">
        <v>332.61663800000002</v>
      </c>
      <c r="L27">
        <v>334.85278299999999</v>
      </c>
      <c r="M27">
        <v>337.03164700000002</v>
      </c>
      <c r="N27">
        <v>339.14974999999998</v>
      </c>
      <c r="O27">
        <v>341.20330799999999</v>
      </c>
      <c r="P27">
        <v>343.19653299999999</v>
      </c>
      <c r="Q27">
        <v>345.12197900000001</v>
      </c>
      <c r="R27">
        <v>346.96935999999999</v>
      </c>
      <c r="S27">
        <v>348.73593099999999</v>
      </c>
      <c r="T27">
        <v>350.42746</v>
      </c>
      <c r="U27">
        <v>352.04385400000001</v>
      </c>
      <c r="V27">
        <v>353.57598899999999</v>
      </c>
      <c r="W27">
        <v>355.021545</v>
      </c>
      <c r="X27">
        <v>356.38485700000001</v>
      </c>
      <c r="Y27">
        <v>357.66561899999999</v>
      </c>
      <c r="Z27">
        <v>358.86309799999998</v>
      </c>
      <c r="AA27">
        <v>359.98111</v>
      </c>
      <c r="AB27">
        <v>361.01959199999999</v>
      </c>
      <c r="AC27">
        <v>361.98382600000002</v>
      </c>
      <c r="AD27">
        <v>362.87286399999999</v>
      </c>
      <c r="AE27">
        <v>363.681061</v>
      </c>
      <c r="AF27">
        <v>364.41592400000002</v>
      </c>
      <c r="AG27" s="22">
        <v>5.0000000000000001E-3</v>
      </c>
    </row>
    <row r="28" spans="1:33">
      <c r="A28" t="s">
        <v>114</v>
      </c>
    </row>
    <row r="29" spans="1:33">
      <c r="A29" t="s">
        <v>215</v>
      </c>
    </row>
    <row r="30" spans="1:33">
      <c r="A30" t="s">
        <v>206</v>
      </c>
    </row>
    <row r="31" spans="1:33">
      <c r="A31" t="s">
        <v>211</v>
      </c>
      <c r="B31" t="s">
        <v>2856</v>
      </c>
      <c r="C31" t="s">
        <v>2855</v>
      </c>
      <c r="D31" t="s">
        <v>202</v>
      </c>
      <c r="F31">
        <v>769.07440199999996</v>
      </c>
      <c r="G31">
        <v>784.82141100000001</v>
      </c>
      <c r="H31">
        <v>804.30224599999997</v>
      </c>
      <c r="I31">
        <v>822.31329300000004</v>
      </c>
      <c r="J31">
        <v>836.94464100000005</v>
      </c>
      <c r="K31">
        <v>852.79473900000005</v>
      </c>
      <c r="L31">
        <v>867.11852999999996</v>
      </c>
      <c r="M31">
        <v>878.67956500000003</v>
      </c>
      <c r="N31">
        <v>892.21368399999994</v>
      </c>
      <c r="O31">
        <v>906.72900400000003</v>
      </c>
      <c r="P31">
        <v>920.58386199999995</v>
      </c>
      <c r="Q31">
        <v>935.94891399999995</v>
      </c>
      <c r="R31">
        <v>951.57720900000004</v>
      </c>
      <c r="S31">
        <v>968.24322500000005</v>
      </c>
      <c r="T31">
        <v>986.23107900000002</v>
      </c>
      <c r="U31">
        <v>1004.200562</v>
      </c>
      <c r="V31">
        <v>1022.167603</v>
      </c>
      <c r="W31">
        <v>1039.7504879999999</v>
      </c>
      <c r="X31">
        <v>1058.9343260000001</v>
      </c>
      <c r="Y31">
        <v>1077.6267089999999</v>
      </c>
      <c r="Z31">
        <v>1094.8948969999999</v>
      </c>
      <c r="AA31">
        <v>1111.753052</v>
      </c>
      <c r="AB31">
        <v>1128.2475589999999</v>
      </c>
      <c r="AC31">
        <v>1147.9022219999999</v>
      </c>
      <c r="AD31">
        <v>1168.965942</v>
      </c>
      <c r="AE31">
        <v>1189.009399</v>
      </c>
      <c r="AF31">
        <v>1208.700439</v>
      </c>
      <c r="AG31" s="22">
        <v>1.7999999999999999E-2</v>
      </c>
    </row>
    <row r="32" spans="1:33">
      <c r="A32" t="s">
        <v>212</v>
      </c>
      <c r="B32" t="s">
        <v>2854</v>
      </c>
      <c r="C32" t="s">
        <v>2853</v>
      </c>
      <c r="D32" t="s">
        <v>202</v>
      </c>
      <c r="F32">
        <v>37.600501999999999</v>
      </c>
      <c r="G32">
        <v>38.178328999999998</v>
      </c>
      <c r="H32">
        <v>38.814650999999998</v>
      </c>
      <c r="I32">
        <v>39.453270000000003</v>
      </c>
      <c r="J32">
        <v>40.180599000000001</v>
      </c>
      <c r="K32">
        <v>40.914700000000003</v>
      </c>
      <c r="L32">
        <v>41.655926000000001</v>
      </c>
      <c r="M32">
        <v>42.395454000000001</v>
      </c>
      <c r="N32">
        <v>43.133369000000002</v>
      </c>
      <c r="O32">
        <v>43.880180000000003</v>
      </c>
      <c r="P32">
        <v>44.634605000000001</v>
      </c>
      <c r="Q32">
        <v>45.395569000000002</v>
      </c>
      <c r="R32">
        <v>46.160697999999996</v>
      </c>
      <c r="S32">
        <v>46.930233000000001</v>
      </c>
      <c r="T32">
        <v>47.703876000000001</v>
      </c>
      <c r="U32">
        <v>48.486117999999998</v>
      </c>
      <c r="V32">
        <v>49.276463</v>
      </c>
      <c r="W32">
        <v>50.077091000000003</v>
      </c>
      <c r="X32">
        <v>50.886642000000002</v>
      </c>
      <c r="Y32">
        <v>51.703285000000001</v>
      </c>
      <c r="Z32">
        <v>52.524177999999999</v>
      </c>
      <c r="AA32">
        <v>53.346606999999999</v>
      </c>
      <c r="AB32">
        <v>54.175564000000001</v>
      </c>
      <c r="AC32">
        <v>55.012206999999997</v>
      </c>
      <c r="AD32">
        <v>55.854134000000002</v>
      </c>
      <c r="AE32">
        <v>56.703068000000002</v>
      </c>
      <c r="AF32">
        <v>57.554737000000003</v>
      </c>
      <c r="AG32" s="22">
        <v>1.7000000000000001E-2</v>
      </c>
    </row>
    <row r="33" spans="1:33">
      <c r="A33" t="s">
        <v>2459</v>
      </c>
      <c r="B33" t="s">
        <v>2852</v>
      </c>
      <c r="C33" t="s">
        <v>2851</v>
      </c>
      <c r="D33" t="s">
        <v>202</v>
      </c>
      <c r="F33">
        <v>44.937325000000001</v>
      </c>
      <c r="G33">
        <v>46.664017000000001</v>
      </c>
      <c r="H33">
        <v>48.526760000000003</v>
      </c>
      <c r="I33">
        <v>50.424767000000003</v>
      </c>
      <c r="J33">
        <v>52.343803000000001</v>
      </c>
      <c r="K33">
        <v>54.306579999999997</v>
      </c>
      <c r="L33">
        <v>56.32291</v>
      </c>
      <c r="M33">
        <v>58.395287000000003</v>
      </c>
      <c r="N33">
        <v>60.529983999999999</v>
      </c>
      <c r="O33">
        <v>62.730732000000003</v>
      </c>
      <c r="P33">
        <v>64.997901999999996</v>
      </c>
      <c r="Q33">
        <v>67.333365999999998</v>
      </c>
      <c r="R33">
        <v>69.738975999999994</v>
      </c>
      <c r="S33">
        <v>72.216544999999996</v>
      </c>
      <c r="T33">
        <v>74.767998000000006</v>
      </c>
      <c r="U33">
        <v>77.392760999999993</v>
      </c>
      <c r="V33">
        <v>80.092697000000001</v>
      </c>
      <c r="W33">
        <v>82.870613000000006</v>
      </c>
      <c r="X33">
        <v>85.727813999999995</v>
      </c>
      <c r="Y33">
        <v>88.664771999999999</v>
      </c>
      <c r="Z33">
        <v>91.684021000000001</v>
      </c>
      <c r="AA33">
        <v>94.787086000000002</v>
      </c>
      <c r="AB33">
        <v>97.974486999999996</v>
      </c>
      <c r="AC33">
        <v>101.24791</v>
      </c>
      <c r="AD33">
        <v>104.610649</v>
      </c>
      <c r="AE33">
        <v>108.063469</v>
      </c>
      <c r="AF33">
        <v>111.60762800000001</v>
      </c>
      <c r="AG33" s="22">
        <v>3.5999999999999997E-2</v>
      </c>
    </row>
    <row r="34" spans="1:33">
      <c r="A34" t="s">
        <v>2456</v>
      </c>
      <c r="B34" t="s">
        <v>2850</v>
      </c>
      <c r="C34" t="s">
        <v>2849</v>
      </c>
      <c r="D34" t="s">
        <v>202</v>
      </c>
      <c r="F34">
        <v>695.70849599999997</v>
      </c>
      <c r="G34">
        <v>711.49200399999995</v>
      </c>
      <c r="H34">
        <v>727.84600799999998</v>
      </c>
      <c r="I34">
        <v>744.40210000000002</v>
      </c>
      <c r="J34">
        <v>761.14691200000004</v>
      </c>
      <c r="K34">
        <v>778.06951900000001</v>
      </c>
      <c r="L34">
        <v>795.17675799999995</v>
      </c>
      <c r="M34">
        <v>812.43670699999996</v>
      </c>
      <c r="N34">
        <v>829.91644299999996</v>
      </c>
      <c r="O34">
        <v>847.72448699999995</v>
      </c>
      <c r="P34">
        <v>865.89209000000005</v>
      </c>
      <c r="Q34">
        <v>884.39624000000003</v>
      </c>
      <c r="R34">
        <v>903.27612299999998</v>
      </c>
      <c r="S34">
        <v>922.48925799999995</v>
      </c>
      <c r="T34">
        <v>942.004456</v>
      </c>
      <c r="U34">
        <v>961.84661900000003</v>
      </c>
      <c r="V34">
        <v>982.01568599999996</v>
      </c>
      <c r="W34">
        <v>1002.504089</v>
      </c>
      <c r="X34">
        <v>1023.338135</v>
      </c>
      <c r="Y34">
        <v>1044.50647</v>
      </c>
      <c r="Z34">
        <v>1065.988159</v>
      </c>
      <c r="AA34">
        <v>1087.7701420000001</v>
      </c>
      <c r="AB34">
        <v>1109.876221</v>
      </c>
      <c r="AC34">
        <v>1132.304932</v>
      </c>
      <c r="AD34">
        <v>1155.0435789999999</v>
      </c>
      <c r="AE34">
        <v>1178.108643</v>
      </c>
      <c r="AF34">
        <v>1201.5139160000001</v>
      </c>
      <c r="AG34" s="22">
        <v>2.1000000000000001E-2</v>
      </c>
    </row>
    <row r="35" spans="1:33">
      <c r="A35" t="s">
        <v>1262</v>
      </c>
      <c r="B35" t="s">
        <v>2848</v>
      </c>
      <c r="C35" t="s">
        <v>2847</v>
      </c>
      <c r="D35" t="s">
        <v>202</v>
      </c>
      <c r="F35">
        <v>61.775593000000001</v>
      </c>
      <c r="G35">
        <v>62.381695000000001</v>
      </c>
      <c r="H35">
        <v>62.855656000000003</v>
      </c>
      <c r="I35">
        <v>63.321266000000001</v>
      </c>
      <c r="J35">
        <v>63.739643000000001</v>
      </c>
      <c r="K35">
        <v>64.132576</v>
      </c>
      <c r="L35">
        <v>64.504501000000005</v>
      </c>
      <c r="M35">
        <v>64.848395999999994</v>
      </c>
      <c r="N35">
        <v>65.182807999999994</v>
      </c>
      <c r="O35">
        <v>65.504845000000003</v>
      </c>
      <c r="P35">
        <v>65.807434000000001</v>
      </c>
      <c r="Q35">
        <v>66.092277999999993</v>
      </c>
      <c r="R35">
        <v>66.364036999999996</v>
      </c>
      <c r="S35">
        <v>66.631621999999993</v>
      </c>
      <c r="T35">
        <v>66.895629999999997</v>
      </c>
      <c r="U35">
        <v>67.155265999999997</v>
      </c>
      <c r="V35">
        <v>67.418846000000002</v>
      </c>
      <c r="W35">
        <v>67.688338999999999</v>
      </c>
      <c r="X35">
        <v>67.966217</v>
      </c>
      <c r="Y35">
        <v>68.255568999999994</v>
      </c>
      <c r="Z35">
        <v>68.556663999999998</v>
      </c>
      <c r="AA35">
        <v>68.875145000000003</v>
      </c>
      <c r="AB35">
        <v>69.210425999999998</v>
      </c>
      <c r="AC35">
        <v>69.559623999999999</v>
      </c>
      <c r="AD35">
        <v>69.918800000000005</v>
      </c>
      <c r="AE35">
        <v>70.284041999999999</v>
      </c>
      <c r="AF35">
        <v>70.661758000000006</v>
      </c>
      <c r="AG35" s="22">
        <v>5.0000000000000001E-3</v>
      </c>
    </row>
    <row r="36" spans="1:33">
      <c r="A36" t="s">
        <v>1265</v>
      </c>
      <c r="B36" t="s">
        <v>2846</v>
      </c>
      <c r="C36" t="s">
        <v>2845</v>
      </c>
      <c r="D36" t="s">
        <v>202</v>
      </c>
      <c r="F36">
        <v>59.104053</v>
      </c>
      <c r="G36">
        <v>60.491244999999999</v>
      </c>
      <c r="H36">
        <v>62.268039999999999</v>
      </c>
      <c r="I36">
        <v>64.084372999999999</v>
      </c>
      <c r="J36">
        <v>65.934128000000001</v>
      </c>
      <c r="K36">
        <v>67.765548999999993</v>
      </c>
      <c r="L36">
        <v>69.591826999999995</v>
      </c>
      <c r="M36">
        <v>71.438934000000003</v>
      </c>
      <c r="N36">
        <v>73.293075999999999</v>
      </c>
      <c r="O36">
        <v>75.149169999999998</v>
      </c>
      <c r="P36">
        <v>77.013267999999997</v>
      </c>
      <c r="Q36">
        <v>78.860534999999999</v>
      </c>
      <c r="R36">
        <v>80.713531000000003</v>
      </c>
      <c r="S36">
        <v>82.578789</v>
      </c>
      <c r="T36">
        <v>84.400665000000004</v>
      </c>
      <c r="U36">
        <v>86.218665999999999</v>
      </c>
      <c r="V36">
        <v>88.039467000000002</v>
      </c>
      <c r="W36">
        <v>89.874640999999997</v>
      </c>
      <c r="X36">
        <v>91.723427000000001</v>
      </c>
      <c r="Y36">
        <v>93.586189000000005</v>
      </c>
      <c r="Z36">
        <v>95.459198000000001</v>
      </c>
      <c r="AA36">
        <v>97.339409000000003</v>
      </c>
      <c r="AB36">
        <v>99.226044000000002</v>
      </c>
      <c r="AC36">
        <v>101.119347</v>
      </c>
      <c r="AD36">
        <v>103.02018</v>
      </c>
      <c r="AE36">
        <v>104.928955</v>
      </c>
      <c r="AF36">
        <v>106.846298</v>
      </c>
      <c r="AG36" s="22">
        <v>2.3E-2</v>
      </c>
    </row>
    <row r="37" spans="1:33">
      <c r="A37" t="s">
        <v>1268</v>
      </c>
      <c r="B37" t="s">
        <v>2844</v>
      </c>
      <c r="C37" t="s">
        <v>2843</v>
      </c>
      <c r="D37" t="s">
        <v>202</v>
      </c>
      <c r="F37">
        <v>8.8967510000000001</v>
      </c>
      <c r="G37">
        <v>9.059666</v>
      </c>
      <c r="H37">
        <v>9.2544029999999999</v>
      </c>
      <c r="I37">
        <v>9.4391470000000002</v>
      </c>
      <c r="J37">
        <v>9.6164670000000001</v>
      </c>
      <c r="K37">
        <v>9.7888599999999997</v>
      </c>
      <c r="L37">
        <v>9.9580110000000008</v>
      </c>
      <c r="M37">
        <v>10.118226999999999</v>
      </c>
      <c r="N37">
        <v>10.269076999999999</v>
      </c>
      <c r="O37">
        <v>10.411737</v>
      </c>
      <c r="P37">
        <v>10.545367000000001</v>
      </c>
      <c r="Q37">
        <v>10.670194</v>
      </c>
      <c r="R37">
        <v>10.79082</v>
      </c>
      <c r="S37">
        <v>10.900812999999999</v>
      </c>
      <c r="T37">
        <v>11.004025</v>
      </c>
      <c r="U37">
        <v>11.099137000000001</v>
      </c>
      <c r="V37">
        <v>11.190951999999999</v>
      </c>
      <c r="W37">
        <v>11.280606000000001</v>
      </c>
      <c r="X37">
        <v>11.364058999999999</v>
      </c>
      <c r="Y37">
        <v>11.438848</v>
      </c>
      <c r="Z37">
        <v>11.500484999999999</v>
      </c>
      <c r="AA37">
        <v>11.546016</v>
      </c>
      <c r="AB37">
        <v>11.579746999999999</v>
      </c>
      <c r="AC37">
        <v>11.604858999999999</v>
      </c>
      <c r="AD37">
        <v>11.625552000000001</v>
      </c>
      <c r="AE37">
        <v>11.645999</v>
      </c>
      <c r="AF37">
        <v>11.664306</v>
      </c>
      <c r="AG37" s="22">
        <v>0.01</v>
      </c>
    </row>
    <row r="38" spans="1:33">
      <c r="A38" t="s">
        <v>1271</v>
      </c>
      <c r="B38" t="s">
        <v>2842</v>
      </c>
      <c r="C38" t="s">
        <v>2841</v>
      </c>
      <c r="D38" t="s">
        <v>202</v>
      </c>
      <c r="F38">
        <v>79.585273999999998</v>
      </c>
      <c r="G38">
        <v>80.866996999999998</v>
      </c>
      <c r="H38">
        <v>81.715607000000006</v>
      </c>
      <c r="I38">
        <v>82.199477999999999</v>
      </c>
      <c r="J38">
        <v>83.152343999999999</v>
      </c>
      <c r="K38">
        <v>84.156509</v>
      </c>
      <c r="L38">
        <v>85.166290000000004</v>
      </c>
      <c r="M38">
        <v>86.182060000000007</v>
      </c>
      <c r="N38">
        <v>87.230773999999997</v>
      </c>
      <c r="O38">
        <v>88.321006999999994</v>
      </c>
      <c r="P38">
        <v>89.456703000000005</v>
      </c>
      <c r="Q38">
        <v>90.623169000000004</v>
      </c>
      <c r="R38">
        <v>91.766723999999996</v>
      </c>
      <c r="S38">
        <v>92.878967000000003</v>
      </c>
      <c r="T38">
        <v>93.975448999999998</v>
      </c>
      <c r="U38">
        <v>95.062118999999996</v>
      </c>
      <c r="V38">
        <v>96.155242999999999</v>
      </c>
      <c r="W38">
        <v>97.370361000000003</v>
      </c>
      <c r="X38">
        <v>98.666923999999995</v>
      </c>
      <c r="Y38">
        <v>99.982994000000005</v>
      </c>
      <c r="Z38">
        <v>101.31059999999999</v>
      </c>
      <c r="AA38">
        <v>102.642517</v>
      </c>
      <c r="AB38">
        <v>104.006531</v>
      </c>
      <c r="AC38">
        <v>105.415451</v>
      </c>
      <c r="AD38">
        <v>106.801079</v>
      </c>
      <c r="AE38">
        <v>108.164368</v>
      </c>
      <c r="AF38">
        <v>109.533089</v>
      </c>
      <c r="AG38" s="22">
        <v>1.2E-2</v>
      </c>
    </row>
    <row r="39" spans="1:33">
      <c r="A39" t="s">
        <v>2445</v>
      </c>
      <c r="B39" t="s">
        <v>2840</v>
      </c>
      <c r="C39" t="s">
        <v>2839</v>
      </c>
      <c r="D39" t="s">
        <v>202</v>
      </c>
      <c r="F39">
        <v>10.941443</v>
      </c>
      <c r="G39">
        <v>11.379101</v>
      </c>
      <c r="H39">
        <v>11.839905999999999</v>
      </c>
      <c r="I39">
        <v>12.262307</v>
      </c>
      <c r="J39">
        <v>12.709543</v>
      </c>
      <c r="K39">
        <v>13.170254</v>
      </c>
      <c r="L39">
        <v>13.621606</v>
      </c>
      <c r="M39">
        <v>14.066698000000001</v>
      </c>
      <c r="N39">
        <v>14.516427</v>
      </c>
      <c r="O39">
        <v>14.975104</v>
      </c>
      <c r="P39">
        <v>15.443626999999999</v>
      </c>
      <c r="Q39">
        <v>15.927789000000001</v>
      </c>
      <c r="R39">
        <v>16.429544</v>
      </c>
      <c r="S39">
        <v>16.944839000000002</v>
      </c>
      <c r="T39">
        <v>17.472024999999999</v>
      </c>
      <c r="U39">
        <v>18.011406000000001</v>
      </c>
      <c r="V39">
        <v>18.559581999999999</v>
      </c>
      <c r="W39">
        <v>19.116617000000002</v>
      </c>
      <c r="X39">
        <v>19.688261000000001</v>
      </c>
      <c r="Y39">
        <v>20.275386999999998</v>
      </c>
      <c r="Z39">
        <v>20.877848</v>
      </c>
      <c r="AA39">
        <v>21.496079999999999</v>
      </c>
      <c r="AB39">
        <v>22.125900000000001</v>
      </c>
      <c r="AC39">
        <v>22.769482</v>
      </c>
      <c r="AD39">
        <v>23.426698999999999</v>
      </c>
      <c r="AE39">
        <v>24.098751</v>
      </c>
      <c r="AF39">
        <v>24.786325000000001</v>
      </c>
      <c r="AG39" s="22">
        <v>3.2000000000000001E-2</v>
      </c>
    </row>
    <row r="40" spans="1:33">
      <c r="A40" t="s">
        <v>214</v>
      </c>
      <c r="B40" t="s">
        <v>2838</v>
      </c>
      <c r="C40" t="s">
        <v>2837</v>
      </c>
      <c r="D40" t="s">
        <v>202</v>
      </c>
      <c r="F40">
        <v>559.27313200000003</v>
      </c>
      <c r="G40">
        <v>594.13140899999996</v>
      </c>
      <c r="H40">
        <v>627.76330600000006</v>
      </c>
      <c r="I40">
        <v>661.17810099999997</v>
      </c>
      <c r="J40">
        <v>695.78857400000004</v>
      </c>
      <c r="K40">
        <v>731.95825200000002</v>
      </c>
      <c r="L40">
        <v>769.54247999999995</v>
      </c>
      <c r="M40">
        <v>808.29693599999996</v>
      </c>
      <c r="N40">
        <v>848.34277299999997</v>
      </c>
      <c r="O40">
        <v>889.39392099999998</v>
      </c>
      <c r="P40">
        <v>931.40570100000002</v>
      </c>
      <c r="Q40">
        <v>974.317993</v>
      </c>
      <c r="R40">
        <v>1017.733276</v>
      </c>
      <c r="S40">
        <v>1061.8748780000001</v>
      </c>
      <c r="T40">
        <v>1106.9210210000001</v>
      </c>
      <c r="U40">
        <v>1152.8358149999999</v>
      </c>
      <c r="V40">
        <v>1199.5791019999999</v>
      </c>
      <c r="W40">
        <v>1247.1011960000001</v>
      </c>
      <c r="X40">
        <v>1295.3479</v>
      </c>
      <c r="Y40">
        <v>1344.256592</v>
      </c>
      <c r="Z40">
        <v>1393.769043</v>
      </c>
      <c r="AA40">
        <v>1443.8480219999999</v>
      </c>
      <c r="AB40">
        <v>1494.452759</v>
      </c>
      <c r="AC40">
        <v>1545.523682</v>
      </c>
      <c r="AD40">
        <v>1596.999268</v>
      </c>
      <c r="AE40">
        <v>1648.838013</v>
      </c>
      <c r="AF40">
        <v>1700.9682620000001</v>
      </c>
      <c r="AG40" s="22">
        <v>4.3999999999999997E-2</v>
      </c>
    </row>
    <row r="41" spans="1:33">
      <c r="A41" t="s">
        <v>1279</v>
      </c>
      <c r="B41" t="s">
        <v>2836</v>
      </c>
      <c r="C41" t="s">
        <v>2835</v>
      </c>
      <c r="D41" t="s">
        <v>202</v>
      </c>
      <c r="F41">
        <v>92.931549000000004</v>
      </c>
      <c r="G41">
        <v>101.376099</v>
      </c>
      <c r="H41">
        <v>110.33313</v>
      </c>
      <c r="I41">
        <v>120.11642500000001</v>
      </c>
      <c r="J41">
        <v>130.41546600000001</v>
      </c>
      <c r="K41">
        <v>141.295288</v>
      </c>
      <c r="L41">
        <v>152.72457900000001</v>
      </c>
      <c r="M41">
        <v>164.62188699999999</v>
      </c>
      <c r="N41">
        <v>176.903763</v>
      </c>
      <c r="O41">
        <v>189.48220800000001</v>
      </c>
      <c r="P41">
        <v>202.315201</v>
      </c>
      <c r="Q41">
        <v>215.34852599999999</v>
      </c>
      <c r="R41">
        <v>228.498154</v>
      </c>
      <c r="S41">
        <v>241.86232000000001</v>
      </c>
      <c r="T41">
        <v>255.350876</v>
      </c>
      <c r="U41">
        <v>269.00149499999998</v>
      </c>
      <c r="V41">
        <v>282.92517099999998</v>
      </c>
      <c r="W41">
        <v>297.09121699999997</v>
      </c>
      <c r="X41">
        <v>311.47659299999998</v>
      </c>
      <c r="Y41">
        <v>326.04113799999999</v>
      </c>
      <c r="Z41">
        <v>340.754211</v>
      </c>
      <c r="AA41">
        <v>355.61544800000001</v>
      </c>
      <c r="AB41">
        <v>370.64233400000001</v>
      </c>
      <c r="AC41">
        <v>385.80407700000001</v>
      </c>
      <c r="AD41">
        <v>401.073059</v>
      </c>
      <c r="AE41">
        <v>416.421783</v>
      </c>
      <c r="AF41">
        <v>431.81970200000001</v>
      </c>
      <c r="AG41" s="22">
        <v>6.0999999999999999E-2</v>
      </c>
    </row>
    <row r="42" spans="1:33">
      <c r="A42" t="s">
        <v>2438</v>
      </c>
      <c r="B42" t="s">
        <v>2834</v>
      </c>
      <c r="C42" t="s">
        <v>2833</v>
      </c>
      <c r="D42" t="s">
        <v>202</v>
      </c>
      <c r="F42">
        <v>207.688568</v>
      </c>
      <c r="G42">
        <v>218.51014699999999</v>
      </c>
      <c r="H42">
        <v>230.73056</v>
      </c>
      <c r="I42">
        <v>243.18684400000001</v>
      </c>
      <c r="J42">
        <v>255.80749499999999</v>
      </c>
      <c r="K42">
        <v>268.62222300000002</v>
      </c>
      <c r="L42">
        <v>281.779968</v>
      </c>
      <c r="M42">
        <v>295.357147</v>
      </c>
      <c r="N42">
        <v>309.34939600000001</v>
      </c>
      <c r="O42">
        <v>323.70144699999997</v>
      </c>
      <c r="P42">
        <v>338.35299700000002</v>
      </c>
      <c r="Q42">
        <v>353.25491299999999</v>
      </c>
      <c r="R42">
        <v>368.41958599999998</v>
      </c>
      <c r="S42">
        <v>383.78338600000001</v>
      </c>
      <c r="T42">
        <v>399.58883700000001</v>
      </c>
      <c r="U42">
        <v>415.85287499999998</v>
      </c>
      <c r="V42">
        <v>432.55575599999997</v>
      </c>
      <c r="W42">
        <v>449.64736900000003</v>
      </c>
      <c r="X42">
        <v>467.163971</v>
      </c>
      <c r="Y42">
        <v>485.09390300000001</v>
      </c>
      <c r="Z42">
        <v>503.41665599999999</v>
      </c>
      <c r="AA42">
        <v>522.11938499999997</v>
      </c>
      <c r="AB42">
        <v>541.16510000000005</v>
      </c>
      <c r="AC42">
        <v>560.50476100000003</v>
      </c>
      <c r="AD42">
        <v>580.16613800000005</v>
      </c>
      <c r="AE42">
        <v>600.20391800000004</v>
      </c>
      <c r="AF42">
        <v>620.71032700000001</v>
      </c>
      <c r="AG42" s="22">
        <v>4.2999999999999997E-2</v>
      </c>
    </row>
    <row r="43" spans="1:33">
      <c r="A43" t="s">
        <v>1285</v>
      </c>
      <c r="B43" t="s">
        <v>2832</v>
      </c>
      <c r="C43" t="s">
        <v>2831</v>
      </c>
      <c r="D43" t="s">
        <v>202</v>
      </c>
      <c r="F43">
        <v>52.293925999999999</v>
      </c>
      <c r="G43">
        <v>55.527695000000001</v>
      </c>
      <c r="H43">
        <v>59.423507999999998</v>
      </c>
      <c r="I43">
        <v>62.471226000000001</v>
      </c>
      <c r="J43">
        <v>65.314445000000006</v>
      </c>
      <c r="K43">
        <v>68.112945999999994</v>
      </c>
      <c r="L43">
        <v>70.856682000000006</v>
      </c>
      <c r="M43">
        <v>73.630202999999995</v>
      </c>
      <c r="N43">
        <v>76.374008000000003</v>
      </c>
      <c r="O43">
        <v>79.105887999999993</v>
      </c>
      <c r="P43">
        <v>81.837151000000006</v>
      </c>
      <c r="Q43">
        <v>84.605216999999996</v>
      </c>
      <c r="R43">
        <v>87.417525999999995</v>
      </c>
      <c r="S43">
        <v>90.280349999999999</v>
      </c>
      <c r="T43">
        <v>93.188598999999996</v>
      </c>
      <c r="U43">
        <v>96.128867999999997</v>
      </c>
      <c r="V43">
        <v>99.122748999999999</v>
      </c>
      <c r="W43">
        <v>102.184128</v>
      </c>
      <c r="X43">
        <v>105.328018</v>
      </c>
      <c r="Y43">
        <v>108.554405</v>
      </c>
      <c r="Z43">
        <v>111.856697</v>
      </c>
      <c r="AA43">
        <v>115.229568</v>
      </c>
      <c r="AB43">
        <v>118.6726</v>
      </c>
      <c r="AC43">
        <v>122.205879</v>
      </c>
      <c r="AD43">
        <v>125.828262</v>
      </c>
      <c r="AE43">
        <v>129.54611199999999</v>
      </c>
      <c r="AF43">
        <v>133.370148</v>
      </c>
      <c r="AG43" s="22">
        <v>3.6999999999999998E-2</v>
      </c>
    </row>
    <row r="44" spans="1:33">
      <c r="A44" t="s">
        <v>213</v>
      </c>
      <c r="B44" t="s">
        <v>2830</v>
      </c>
      <c r="C44" t="s">
        <v>2829</v>
      </c>
      <c r="D44" t="s">
        <v>202</v>
      </c>
      <c r="F44">
        <v>51.401802000000004</v>
      </c>
      <c r="G44">
        <v>53.958652000000001</v>
      </c>
      <c r="H44">
        <v>56.834739999999996</v>
      </c>
      <c r="I44">
        <v>59.638817000000003</v>
      </c>
      <c r="J44">
        <v>62.509655000000002</v>
      </c>
      <c r="K44">
        <v>65.462119999999999</v>
      </c>
      <c r="L44">
        <v>68.523330999999999</v>
      </c>
      <c r="M44">
        <v>71.703643999999997</v>
      </c>
      <c r="N44">
        <v>74.980605999999995</v>
      </c>
      <c r="O44">
        <v>78.358795000000001</v>
      </c>
      <c r="P44">
        <v>81.850037</v>
      </c>
      <c r="Q44">
        <v>85.460082999999997</v>
      </c>
      <c r="R44">
        <v>89.196738999999994</v>
      </c>
      <c r="S44">
        <v>93.059334000000007</v>
      </c>
      <c r="T44">
        <v>97.047439999999995</v>
      </c>
      <c r="U44">
        <v>101.164536</v>
      </c>
      <c r="V44">
        <v>105.41378</v>
      </c>
      <c r="W44">
        <v>109.79946099999999</v>
      </c>
      <c r="X44">
        <v>114.322487</v>
      </c>
      <c r="Y44">
        <v>118.98719</v>
      </c>
      <c r="Z44">
        <v>123.798294</v>
      </c>
      <c r="AA44">
        <v>128.75836200000001</v>
      </c>
      <c r="AB44">
        <v>133.86999499999999</v>
      </c>
      <c r="AC44">
        <v>139.13587999999999</v>
      </c>
      <c r="AD44">
        <v>144.55818199999999</v>
      </c>
      <c r="AE44">
        <v>150.138229</v>
      </c>
      <c r="AF44">
        <v>155.87857099999999</v>
      </c>
      <c r="AG44" s="22">
        <v>4.3999999999999997E-2</v>
      </c>
    </row>
    <row r="45" spans="1:33">
      <c r="A45" t="s">
        <v>1290</v>
      </c>
      <c r="B45" t="s">
        <v>2828</v>
      </c>
      <c r="C45" t="s">
        <v>2827</v>
      </c>
      <c r="D45" t="s">
        <v>202</v>
      </c>
      <c r="F45">
        <v>61.339916000000002</v>
      </c>
      <c r="G45">
        <v>62.648139999999998</v>
      </c>
      <c r="H45">
        <v>63.725257999999997</v>
      </c>
      <c r="I45">
        <v>65.076667999999998</v>
      </c>
      <c r="J45">
        <v>66.536216999999994</v>
      </c>
      <c r="K45">
        <v>67.969161999999997</v>
      </c>
      <c r="L45">
        <v>69.375443000000004</v>
      </c>
      <c r="M45">
        <v>70.760773</v>
      </c>
      <c r="N45">
        <v>72.128783999999996</v>
      </c>
      <c r="O45">
        <v>73.480614000000003</v>
      </c>
      <c r="P45">
        <v>74.815453000000005</v>
      </c>
      <c r="Q45">
        <v>76.132239999999996</v>
      </c>
      <c r="R45">
        <v>77.430222000000001</v>
      </c>
      <c r="S45">
        <v>78.708809000000002</v>
      </c>
      <c r="T45">
        <v>79.966881000000001</v>
      </c>
      <c r="U45">
        <v>81.202849999999998</v>
      </c>
      <c r="V45">
        <v>82.415374999999997</v>
      </c>
      <c r="W45">
        <v>83.602806000000001</v>
      </c>
      <c r="X45">
        <v>84.763367000000002</v>
      </c>
      <c r="Y45">
        <v>85.895576000000005</v>
      </c>
      <c r="Z45">
        <v>86.997992999999994</v>
      </c>
      <c r="AA45">
        <v>88.069030999999995</v>
      </c>
      <c r="AB45">
        <v>89.107414000000006</v>
      </c>
      <c r="AC45">
        <v>90.111655999999996</v>
      </c>
      <c r="AD45">
        <v>91.080359999999999</v>
      </c>
      <c r="AE45">
        <v>92.012069999999994</v>
      </c>
      <c r="AF45">
        <v>92.905731000000003</v>
      </c>
      <c r="AG45" s="22">
        <v>1.6E-2</v>
      </c>
    </row>
    <row r="46" spans="1:33">
      <c r="A46" t="s">
        <v>2429</v>
      </c>
      <c r="B46" t="s">
        <v>2826</v>
      </c>
      <c r="C46" t="s">
        <v>2825</v>
      </c>
      <c r="D46" t="s">
        <v>202</v>
      </c>
      <c r="F46">
        <v>69.394988999999995</v>
      </c>
      <c r="G46">
        <v>71.553061999999997</v>
      </c>
      <c r="H46">
        <v>73.830887000000004</v>
      </c>
      <c r="I46">
        <v>76.054976999999994</v>
      </c>
      <c r="J46">
        <v>78.210655000000003</v>
      </c>
      <c r="K46">
        <v>80.359641999999994</v>
      </c>
      <c r="L46">
        <v>82.524390999999994</v>
      </c>
      <c r="M46">
        <v>84.710280999999995</v>
      </c>
      <c r="N46">
        <v>86.920876000000007</v>
      </c>
      <c r="O46">
        <v>89.155333999999996</v>
      </c>
      <c r="P46">
        <v>91.410995</v>
      </c>
      <c r="Q46">
        <v>93.683670000000006</v>
      </c>
      <c r="R46">
        <v>95.972763</v>
      </c>
      <c r="S46">
        <v>98.285042000000004</v>
      </c>
      <c r="T46">
        <v>100.623085</v>
      </c>
      <c r="U46">
        <v>102.989632</v>
      </c>
      <c r="V46">
        <v>105.38149300000001</v>
      </c>
      <c r="W46">
        <v>107.796898</v>
      </c>
      <c r="X46">
        <v>110.235725</v>
      </c>
      <c r="Y46">
        <v>112.699051</v>
      </c>
      <c r="Z46">
        <v>115.18602799999999</v>
      </c>
      <c r="AA46">
        <v>117.69615899999999</v>
      </c>
      <c r="AB46">
        <v>120.228554</v>
      </c>
      <c r="AC46">
        <v>122.780357</v>
      </c>
      <c r="AD46">
        <v>125.350594</v>
      </c>
      <c r="AE46">
        <v>127.940399</v>
      </c>
      <c r="AF46">
        <v>130.55209400000001</v>
      </c>
      <c r="AG46" s="22">
        <v>2.5000000000000001E-2</v>
      </c>
    </row>
    <row r="47" spans="1:33">
      <c r="A47" t="s">
        <v>1328</v>
      </c>
      <c r="B47" t="s">
        <v>2824</v>
      </c>
      <c r="C47" t="s">
        <v>2823</v>
      </c>
      <c r="D47" t="s">
        <v>202</v>
      </c>
      <c r="F47">
        <v>2861.9477539999998</v>
      </c>
      <c r="G47">
        <v>2963.040039</v>
      </c>
      <c r="H47">
        <v>3070.0646969999998</v>
      </c>
      <c r="I47">
        <v>3175.623047</v>
      </c>
      <c r="J47">
        <v>3280.3510740000002</v>
      </c>
      <c r="K47">
        <v>3388.8789059999999</v>
      </c>
      <c r="L47">
        <v>3498.4436040000001</v>
      </c>
      <c r="M47">
        <v>3607.642578</v>
      </c>
      <c r="N47">
        <v>3721.2858890000002</v>
      </c>
      <c r="O47">
        <v>3838.1044919999999</v>
      </c>
      <c r="P47">
        <v>3956.3627929999998</v>
      </c>
      <c r="Q47">
        <v>4078.0507809999999</v>
      </c>
      <c r="R47">
        <v>4201.4858400000003</v>
      </c>
      <c r="S47">
        <v>4327.6679690000001</v>
      </c>
      <c r="T47">
        <v>4457.1420900000003</v>
      </c>
      <c r="U47">
        <v>4588.6489259999998</v>
      </c>
      <c r="V47">
        <v>4722.3100590000004</v>
      </c>
      <c r="W47">
        <v>4857.7558589999999</v>
      </c>
      <c r="X47">
        <v>4996.9340819999998</v>
      </c>
      <c r="Y47">
        <v>5137.5678710000002</v>
      </c>
      <c r="Z47">
        <v>5278.5747069999998</v>
      </c>
      <c r="AA47">
        <v>5420.8920900000003</v>
      </c>
      <c r="AB47">
        <v>5564.5610349999997</v>
      </c>
      <c r="AC47">
        <v>5713.001953</v>
      </c>
      <c r="AD47">
        <v>5864.3222660000001</v>
      </c>
      <c r="AE47">
        <v>6016.1069340000004</v>
      </c>
      <c r="AF47">
        <v>6169.0722660000001</v>
      </c>
      <c r="AG47" s="22">
        <v>0.03</v>
      </c>
    </row>
    <row r="48" spans="1:33">
      <c r="A48" t="s">
        <v>207</v>
      </c>
    </row>
    <row r="49" spans="1:33">
      <c r="A49" t="s">
        <v>211</v>
      </c>
      <c r="B49" t="s">
        <v>2822</v>
      </c>
      <c r="C49" t="s">
        <v>2821</v>
      </c>
      <c r="D49" t="s">
        <v>202</v>
      </c>
      <c r="F49">
        <v>430.05841099999998</v>
      </c>
      <c r="G49">
        <v>440.68881199999998</v>
      </c>
      <c r="H49">
        <v>452.96109000000001</v>
      </c>
      <c r="I49">
        <v>464.51516700000002</v>
      </c>
      <c r="J49">
        <v>474.60986300000002</v>
      </c>
      <c r="K49">
        <v>485.356537</v>
      </c>
      <c r="L49">
        <v>495.48510700000003</v>
      </c>
      <c r="M49">
        <v>504.40972900000003</v>
      </c>
      <c r="N49">
        <v>514.33551</v>
      </c>
      <c r="O49">
        <v>524.80676300000005</v>
      </c>
      <c r="P49">
        <v>535.051514</v>
      </c>
      <c r="Q49">
        <v>546.09051499999998</v>
      </c>
      <c r="R49">
        <v>557.34069799999997</v>
      </c>
      <c r="S49">
        <v>569.17608600000005</v>
      </c>
      <c r="T49">
        <v>581.73895300000004</v>
      </c>
      <c r="U49">
        <v>594.39086899999995</v>
      </c>
      <c r="V49">
        <v>607.14080799999999</v>
      </c>
      <c r="W49">
        <v>619.80383300000005</v>
      </c>
      <c r="X49">
        <v>633.34387200000003</v>
      </c>
      <c r="Y49">
        <v>646.74987799999997</v>
      </c>
      <c r="Z49">
        <v>659.56420900000001</v>
      </c>
      <c r="AA49">
        <v>672.27984600000002</v>
      </c>
      <c r="AB49">
        <v>684.91857900000002</v>
      </c>
      <c r="AC49">
        <v>699.22735599999999</v>
      </c>
      <c r="AD49">
        <v>714.35424799999998</v>
      </c>
      <c r="AE49">
        <v>729.09729000000004</v>
      </c>
      <c r="AF49">
        <v>743.78802499999995</v>
      </c>
      <c r="AG49" s="22">
        <v>2.1000000000000001E-2</v>
      </c>
    </row>
    <row r="50" spans="1:33">
      <c r="A50" t="s">
        <v>212</v>
      </c>
      <c r="B50" t="s">
        <v>2820</v>
      </c>
      <c r="C50" t="s">
        <v>2819</v>
      </c>
      <c r="D50" t="s">
        <v>202</v>
      </c>
      <c r="F50">
        <v>91.476264999999998</v>
      </c>
      <c r="G50">
        <v>93.832831999999996</v>
      </c>
      <c r="H50">
        <v>96.111671000000001</v>
      </c>
      <c r="I50">
        <v>98.392844999999994</v>
      </c>
      <c r="J50">
        <v>101.040825</v>
      </c>
      <c r="K50">
        <v>103.740707</v>
      </c>
      <c r="L50">
        <v>106.49829099999999</v>
      </c>
      <c r="M50">
        <v>109.309555</v>
      </c>
      <c r="N50">
        <v>112.171707</v>
      </c>
      <c r="O50">
        <v>115.08934000000001</v>
      </c>
      <c r="P50">
        <v>118.063339</v>
      </c>
      <c r="Q50">
        <v>121.09517700000001</v>
      </c>
      <c r="R50">
        <v>124.184647</v>
      </c>
      <c r="S50">
        <v>127.32952899999999</v>
      </c>
      <c r="T50">
        <v>130.53048699999999</v>
      </c>
      <c r="U50">
        <v>133.79141200000001</v>
      </c>
      <c r="V50">
        <v>137.113586</v>
      </c>
      <c r="W50">
        <v>140.500778</v>
      </c>
      <c r="X50">
        <v>143.95413199999999</v>
      </c>
      <c r="Y50">
        <v>147.47479200000001</v>
      </c>
      <c r="Z50">
        <v>151.06225599999999</v>
      </c>
      <c r="AA50">
        <v>154.71464499999999</v>
      </c>
      <c r="AB50">
        <v>158.436508</v>
      </c>
      <c r="AC50">
        <v>162.23324600000001</v>
      </c>
      <c r="AD50">
        <v>166.10569799999999</v>
      </c>
      <c r="AE50">
        <v>170.056061</v>
      </c>
      <c r="AF50">
        <v>174.081863</v>
      </c>
      <c r="AG50" s="22">
        <v>2.5000000000000001E-2</v>
      </c>
    </row>
    <row r="51" spans="1:33">
      <c r="A51" t="s">
        <v>2459</v>
      </c>
      <c r="B51" t="s">
        <v>2818</v>
      </c>
      <c r="C51" t="s">
        <v>2817</v>
      </c>
      <c r="D51" t="s">
        <v>202</v>
      </c>
      <c r="F51">
        <v>53.703476000000002</v>
      </c>
      <c r="G51">
        <v>55.506596000000002</v>
      </c>
      <c r="H51">
        <v>57.397350000000003</v>
      </c>
      <c r="I51">
        <v>59.322150999999998</v>
      </c>
      <c r="J51">
        <v>61.274090000000001</v>
      </c>
      <c r="K51">
        <v>63.265579000000002</v>
      </c>
      <c r="L51">
        <v>65.302077999999995</v>
      </c>
      <c r="M51">
        <v>67.385193000000001</v>
      </c>
      <c r="N51">
        <v>69.518416999999999</v>
      </c>
      <c r="O51">
        <v>71.703734999999995</v>
      </c>
      <c r="P51">
        <v>73.940025000000006</v>
      </c>
      <c r="Q51">
        <v>76.228470000000002</v>
      </c>
      <c r="R51">
        <v>78.570160000000001</v>
      </c>
      <c r="S51">
        <v>80.966080000000005</v>
      </c>
      <c r="T51">
        <v>83.417336000000006</v>
      </c>
      <c r="U51">
        <v>85.921218999999994</v>
      </c>
      <c r="V51">
        <v>88.478690999999998</v>
      </c>
      <c r="W51">
        <v>91.092147999999995</v>
      </c>
      <c r="X51">
        <v>93.761596999999995</v>
      </c>
      <c r="Y51">
        <v>96.485855000000001</v>
      </c>
      <c r="Z51">
        <v>99.266707999999994</v>
      </c>
      <c r="AA51">
        <v>102.104439</v>
      </c>
      <c r="AB51">
        <v>104.997818</v>
      </c>
      <c r="AC51">
        <v>107.94731899999999</v>
      </c>
      <c r="AD51">
        <v>110.955742</v>
      </c>
      <c r="AE51">
        <v>114.022141</v>
      </c>
      <c r="AF51">
        <v>117.146202</v>
      </c>
      <c r="AG51" s="22">
        <v>0.03</v>
      </c>
    </row>
    <row r="52" spans="1:33">
      <c r="A52" t="s">
        <v>2456</v>
      </c>
      <c r="B52" t="s">
        <v>2816</v>
      </c>
      <c r="C52" t="s">
        <v>2815</v>
      </c>
      <c r="D52" t="s">
        <v>202</v>
      </c>
      <c r="F52">
        <v>654.94726600000001</v>
      </c>
      <c r="G52">
        <v>668.00811799999997</v>
      </c>
      <c r="H52">
        <v>681.23877000000005</v>
      </c>
      <c r="I52">
        <v>694.59606900000006</v>
      </c>
      <c r="J52">
        <v>708.11199999999997</v>
      </c>
      <c r="K52">
        <v>721.83044400000006</v>
      </c>
      <c r="L52">
        <v>735.75872800000002</v>
      </c>
      <c r="M52">
        <v>749.88165300000003</v>
      </c>
      <c r="N52">
        <v>764.21392800000001</v>
      </c>
      <c r="O52">
        <v>778.78875700000003</v>
      </c>
      <c r="P52">
        <v>793.63091999999995</v>
      </c>
      <c r="Q52">
        <v>808.722534</v>
      </c>
      <c r="R52">
        <v>824.07049600000005</v>
      </c>
      <c r="S52">
        <v>839.66180399999996</v>
      </c>
      <c r="T52">
        <v>855.47448699999995</v>
      </c>
      <c r="U52">
        <v>871.51464799999997</v>
      </c>
      <c r="V52">
        <v>887.77990699999998</v>
      </c>
      <c r="W52">
        <v>904.264771</v>
      </c>
      <c r="X52">
        <v>920.97662400000002</v>
      </c>
      <c r="Y52">
        <v>937.90460199999995</v>
      </c>
      <c r="Z52">
        <v>955.03942900000004</v>
      </c>
      <c r="AA52">
        <v>972.37188700000002</v>
      </c>
      <c r="AB52">
        <v>989.90979000000004</v>
      </c>
      <c r="AC52">
        <v>1007.649109</v>
      </c>
      <c r="AD52">
        <v>1025.569702</v>
      </c>
      <c r="AE52">
        <v>1043.6695560000001</v>
      </c>
      <c r="AF52">
        <v>1061.947388</v>
      </c>
      <c r="AG52" s="22">
        <v>1.9E-2</v>
      </c>
    </row>
    <row r="53" spans="1:33">
      <c r="A53" t="s">
        <v>1262</v>
      </c>
      <c r="B53" t="s">
        <v>2814</v>
      </c>
      <c r="C53" t="s">
        <v>2813</v>
      </c>
      <c r="D53" t="s">
        <v>202</v>
      </c>
      <c r="F53">
        <v>111.20050000000001</v>
      </c>
      <c r="G53">
        <v>113.247787</v>
      </c>
      <c r="H53">
        <v>114.312172</v>
      </c>
      <c r="I53">
        <v>115.366173</v>
      </c>
      <c r="J53">
        <v>116.07556200000001</v>
      </c>
      <c r="K53">
        <v>116.602715</v>
      </c>
      <c r="L53">
        <v>116.983994</v>
      </c>
      <c r="M53">
        <v>117.16745</v>
      </c>
      <c r="N53">
        <v>117.296249</v>
      </c>
      <c r="O53">
        <v>117.341461</v>
      </c>
      <c r="P53">
        <v>117.250839</v>
      </c>
      <c r="Q53">
        <v>117.043808</v>
      </c>
      <c r="R53">
        <v>116.742012</v>
      </c>
      <c r="S53">
        <v>116.40830200000001</v>
      </c>
      <c r="T53">
        <v>116.041786</v>
      </c>
      <c r="U53">
        <v>115.635536</v>
      </c>
      <c r="V53">
        <v>115.259636</v>
      </c>
      <c r="W53">
        <v>114.937286</v>
      </c>
      <c r="X53">
        <v>114.66767900000001</v>
      </c>
      <c r="Y53">
        <v>114.455704</v>
      </c>
      <c r="Z53">
        <v>114.31337000000001</v>
      </c>
      <c r="AA53">
        <v>114.286362</v>
      </c>
      <c r="AB53">
        <v>114.365967</v>
      </c>
      <c r="AC53">
        <v>114.519463</v>
      </c>
      <c r="AD53">
        <v>114.716476</v>
      </c>
      <c r="AE53">
        <v>114.93707999999999</v>
      </c>
      <c r="AF53">
        <v>115.23711400000001</v>
      </c>
      <c r="AG53" s="22">
        <v>1E-3</v>
      </c>
    </row>
    <row r="54" spans="1:33">
      <c r="A54" t="s">
        <v>1265</v>
      </c>
      <c r="B54" t="s">
        <v>2812</v>
      </c>
      <c r="C54" t="s">
        <v>2811</v>
      </c>
      <c r="D54" t="s">
        <v>202</v>
      </c>
      <c r="F54">
        <v>93.077072000000001</v>
      </c>
      <c r="G54">
        <v>97.347054</v>
      </c>
      <c r="H54">
        <v>100.346962</v>
      </c>
      <c r="I54">
        <v>103.454514</v>
      </c>
      <c r="J54">
        <v>106.697205</v>
      </c>
      <c r="K54">
        <v>109.99550600000001</v>
      </c>
      <c r="L54">
        <v>113.349457</v>
      </c>
      <c r="M54">
        <v>116.768585</v>
      </c>
      <c r="N54">
        <v>120.247253</v>
      </c>
      <c r="O54">
        <v>123.784676</v>
      </c>
      <c r="P54">
        <v>127.38407100000001</v>
      </c>
      <c r="Q54">
        <v>131.03810100000001</v>
      </c>
      <c r="R54">
        <v>134.756958</v>
      </c>
      <c r="S54">
        <v>138.54345699999999</v>
      </c>
      <c r="T54">
        <v>142.37951699999999</v>
      </c>
      <c r="U54">
        <v>146.28173799999999</v>
      </c>
      <c r="V54">
        <v>150.253479</v>
      </c>
      <c r="W54">
        <v>154.300659</v>
      </c>
      <c r="X54">
        <v>158.424271</v>
      </c>
      <c r="Y54">
        <v>162.625519</v>
      </c>
      <c r="Z54">
        <v>166.90373199999999</v>
      </c>
      <c r="AA54">
        <v>171.258194</v>
      </c>
      <c r="AB54">
        <v>175.689178</v>
      </c>
      <c r="AC54">
        <v>180.19679300000001</v>
      </c>
      <c r="AD54">
        <v>184.78239400000001</v>
      </c>
      <c r="AE54">
        <v>189.44686899999999</v>
      </c>
      <c r="AF54">
        <v>194.19125399999999</v>
      </c>
      <c r="AG54" s="22">
        <v>2.9000000000000001E-2</v>
      </c>
    </row>
    <row r="55" spans="1:33">
      <c r="A55" t="s">
        <v>1268</v>
      </c>
      <c r="B55" t="s">
        <v>2810</v>
      </c>
      <c r="C55" t="s">
        <v>2809</v>
      </c>
      <c r="D55" t="s">
        <v>202</v>
      </c>
      <c r="F55">
        <v>84.734618999999995</v>
      </c>
      <c r="G55">
        <v>87.851676999999995</v>
      </c>
      <c r="H55">
        <v>93.000404000000003</v>
      </c>
      <c r="I55">
        <v>98.037666000000002</v>
      </c>
      <c r="J55">
        <v>103.024979</v>
      </c>
      <c r="K55">
        <v>108.037781</v>
      </c>
      <c r="L55">
        <v>113.14192199999999</v>
      </c>
      <c r="M55">
        <v>118.117958</v>
      </c>
      <c r="N55">
        <v>122.94111599999999</v>
      </c>
      <c r="O55">
        <v>127.66269699999999</v>
      </c>
      <c r="P55">
        <v>132.24221800000001</v>
      </c>
      <c r="Q55">
        <v>136.66746499999999</v>
      </c>
      <c r="R55">
        <v>141.12051400000001</v>
      </c>
      <c r="S55">
        <v>145.33145099999999</v>
      </c>
      <c r="T55">
        <v>149.458527</v>
      </c>
      <c r="U55">
        <v>153.42553699999999</v>
      </c>
      <c r="V55">
        <v>157.42263800000001</v>
      </c>
      <c r="W55">
        <v>161.51423600000001</v>
      </c>
      <c r="X55">
        <v>165.497131</v>
      </c>
      <c r="Y55">
        <v>169.230515</v>
      </c>
      <c r="Z55">
        <v>172.52616900000001</v>
      </c>
      <c r="AA55">
        <v>175.22241199999999</v>
      </c>
      <c r="AB55">
        <v>177.489273</v>
      </c>
      <c r="AC55">
        <v>179.520782</v>
      </c>
      <c r="AD55">
        <v>181.55062899999999</v>
      </c>
      <c r="AE55">
        <v>183.78713999999999</v>
      </c>
      <c r="AF55">
        <v>186.13983200000001</v>
      </c>
      <c r="AG55" s="22">
        <v>3.1E-2</v>
      </c>
    </row>
    <row r="56" spans="1:33">
      <c r="A56" t="s">
        <v>1271</v>
      </c>
      <c r="B56" t="s">
        <v>2808</v>
      </c>
      <c r="C56" t="s">
        <v>2807</v>
      </c>
      <c r="D56" t="s">
        <v>202</v>
      </c>
      <c r="F56">
        <v>34.823203999999997</v>
      </c>
      <c r="G56">
        <v>53.199150000000003</v>
      </c>
      <c r="H56">
        <v>68.602608000000004</v>
      </c>
      <c r="I56">
        <v>77.888137999999998</v>
      </c>
      <c r="J56">
        <v>83.273750000000007</v>
      </c>
      <c r="K56">
        <v>84.848167000000004</v>
      </c>
      <c r="L56">
        <v>86.445426999999995</v>
      </c>
      <c r="M56">
        <v>88.064010999999994</v>
      </c>
      <c r="N56">
        <v>89.724434000000002</v>
      </c>
      <c r="O56">
        <v>91.438202000000004</v>
      </c>
      <c r="P56">
        <v>93.206688</v>
      </c>
      <c r="Q56">
        <v>95.022446000000002</v>
      </c>
      <c r="R56">
        <v>96.854218000000003</v>
      </c>
      <c r="S56">
        <v>98.696892000000005</v>
      </c>
      <c r="T56">
        <v>100.56231699999999</v>
      </c>
      <c r="U56">
        <v>102.454742</v>
      </c>
      <c r="V56">
        <v>104.386505</v>
      </c>
      <c r="W56">
        <v>106.431129</v>
      </c>
      <c r="X56">
        <v>108.56416299999999</v>
      </c>
      <c r="Y56">
        <v>110.746101</v>
      </c>
      <c r="Z56">
        <v>112.97219800000001</v>
      </c>
      <c r="AA56">
        <v>115.241676</v>
      </c>
      <c r="AB56">
        <v>117.571327</v>
      </c>
      <c r="AC56">
        <v>119.963142</v>
      </c>
      <c r="AD56">
        <v>122.368515</v>
      </c>
      <c r="AE56">
        <v>124.78976400000001</v>
      </c>
      <c r="AF56">
        <v>127.243607</v>
      </c>
      <c r="AG56" s="22">
        <v>5.0999999999999997E-2</v>
      </c>
    </row>
    <row r="57" spans="1:33">
      <c r="A57" t="s">
        <v>2445</v>
      </c>
      <c r="B57" t="s">
        <v>2806</v>
      </c>
      <c r="C57" t="s">
        <v>2805</v>
      </c>
      <c r="D57" t="s">
        <v>202</v>
      </c>
      <c r="F57">
        <v>38.294426000000001</v>
      </c>
      <c r="G57">
        <v>40.916958000000001</v>
      </c>
      <c r="H57">
        <v>43.039192</v>
      </c>
      <c r="I57">
        <v>44.641739000000001</v>
      </c>
      <c r="J57">
        <v>47.114615999999998</v>
      </c>
      <c r="K57">
        <v>48.803108000000002</v>
      </c>
      <c r="L57">
        <v>50.489058999999997</v>
      </c>
      <c r="M57">
        <v>52.175716000000001</v>
      </c>
      <c r="N57">
        <v>53.893760999999998</v>
      </c>
      <c r="O57">
        <v>55.653084</v>
      </c>
      <c r="P57">
        <v>57.455379000000001</v>
      </c>
      <c r="Q57">
        <v>59.316958999999997</v>
      </c>
      <c r="R57">
        <v>61.246197000000002</v>
      </c>
      <c r="S57">
        <v>63.234070000000003</v>
      </c>
      <c r="T57">
        <v>65.274733999999995</v>
      </c>
      <c r="U57">
        <v>67.370750000000001</v>
      </c>
      <c r="V57">
        <v>69.513953999999998</v>
      </c>
      <c r="W57">
        <v>71.704566999999997</v>
      </c>
      <c r="X57">
        <v>73.959311999999997</v>
      </c>
      <c r="Y57">
        <v>76.279921999999999</v>
      </c>
      <c r="Z57">
        <v>78.665512000000007</v>
      </c>
      <c r="AA57">
        <v>81.116996999999998</v>
      </c>
      <c r="AB57">
        <v>83.620841999999996</v>
      </c>
      <c r="AC57">
        <v>86.183914000000001</v>
      </c>
      <c r="AD57">
        <v>88.806725</v>
      </c>
      <c r="AE57">
        <v>91.495270000000005</v>
      </c>
      <c r="AF57">
        <v>94.254333000000003</v>
      </c>
      <c r="AG57" s="22">
        <v>3.5000000000000003E-2</v>
      </c>
    </row>
    <row r="58" spans="1:33">
      <c r="A58" t="s">
        <v>214</v>
      </c>
      <c r="B58" t="s">
        <v>2804</v>
      </c>
      <c r="C58" t="s">
        <v>2803</v>
      </c>
      <c r="D58" t="s">
        <v>202</v>
      </c>
      <c r="F58">
        <v>172.03894</v>
      </c>
      <c r="G58">
        <v>181.23951700000001</v>
      </c>
      <c r="H58">
        <v>190.71087600000001</v>
      </c>
      <c r="I58">
        <v>200.331863</v>
      </c>
      <c r="J58">
        <v>210.32255599999999</v>
      </c>
      <c r="K58">
        <v>220.74735999999999</v>
      </c>
      <c r="L58">
        <v>231.59222399999999</v>
      </c>
      <c r="M58">
        <v>242.825073</v>
      </c>
      <c r="N58">
        <v>254.47190900000001</v>
      </c>
      <c r="O58">
        <v>266.495361</v>
      </c>
      <c r="P58">
        <v>278.89770499999997</v>
      </c>
      <c r="Q58">
        <v>291.68002300000001</v>
      </c>
      <c r="R58">
        <v>304.78671300000002</v>
      </c>
      <c r="S58">
        <v>318.26238999999998</v>
      </c>
      <c r="T58">
        <v>332.14761399999998</v>
      </c>
      <c r="U58">
        <v>346.44232199999999</v>
      </c>
      <c r="V58">
        <v>361.14477499999998</v>
      </c>
      <c r="W58">
        <v>376.255157</v>
      </c>
      <c r="X58">
        <v>391.77179000000001</v>
      </c>
      <c r="Y58">
        <v>407.69442700000002</v>
      </c>
      <c r="Z58">
        <v>424.018372</v>
      </c>
      <c r="AA58">
        <v>440.73339800000002</v>
      </c>
      <c r="AB58">
        <v>457.82699600000001</v>
      </c>
      <c r="AC58">
        <v>475.29129</v>
      </c>
      <c r="AD58">
        <v>493.113831</v>
      </c>
      <c r="AE58">
        <v>511.278412</v>
      </c>
      <c r="AF58">
        <v>529.77307099999996</v>
      </c>
      <c r="AG58" s="22">
        <v>4.3999999999999997E-2</v>
      </c>
    </row>
    <row r="59" spans="1:33">
      <c r="A59" t="s">
        <v>1279</v>
      </c>
      <c r="B59" t="s">
        <v>2802</v>
      </c>
      <c r="C59" t="s">
        <v>2801</v>
      </c>
      <c r="D59" t="s">
        <v>202</v>
      </c>
      <c r="F59">
        <v>86.520072999999996</v>
      </c>
      <c r="G59">
        <v>93.157523999999995</v>
      </c>
      <c r="H59">
        <v>100.125305</v>
      </c>
      <c r="I59">
        <v>107.631851</v>
      </c>
      <c r="J59">
        <v>115.459602</v>
      </c>
      <c r="K59">
        <v>123.649925</v>
      </c>
      <c r="L59">
        <v>132.179947</v>
      </c>
      <c r="M59">
        <v>140.99498</v>
      </c>
      <c r="N59">
        <v>150.041687</v>
      </c>
      <c r="O59">
        <v>159.266006</v>
      </c>
      <c r="P59">
        <v>168.64465300000001</v>
      </c>
      <c r="Q59">
        <v>178.14730800000001</v>
      </c>
      <c r="R59">
        <v>187.72532699999999</v>
      </c>
      <c r="S59">
        <v>197.442184</v>
      </c>
      <c r="T59">
        <v>207.244553</v>
      </c>
      <c r="U59">
        <v>217.159164</v>
      </c>
      <c r="V59">
        <v>227.25672900000001</v>
      </c>
      <c r="W59">
        <v>237.520096</v>
      </c>
      <c r="X59">
        <v>247.936218</v>
      </c>
      <c r="Y59">
        <v>258.48223899999999</v>
      </c>
      <c r="Z59">
        <v>269.14267000000001</v>
      </c>
      <c r="AA59">
        <v>279.91980000000001</v>
      </c>
      <c r="AB59">
        <v>290.825287</v>
      </c>
      <c r="AC59">
        <v>301.84231599999998</v>
      </c>
      <c r="AD59">
        <v>312.956299</v>
      </c>
      <c r="AE59">
        <v>324.15368699999999</v>
      </c>
      <c r="AF59">
        <v>335.41961700000002</v>
      </c>
      <c r="AG59" s="22">
        <v>5.2999999999999999E-2</v>
      </c>
    </row>
    <row r="60" spans="1:33">
      <c r="A60" t="s">
        <v>2438</v>
      </c>
      <c r="B60" t="s">
        <v>2800</v>
      </c>
      <c r="C60" t="s">
        <v>2799</v>
      </c>
      <c r="D60" t="s">
        <v>202</v>
      </c>
      <c r="F60">
        <v>325.84808299999997</v>
      </c>
      <c r="G60">
        <v>361.85305799999998</v>
      </c>
      <c r="H60">
        <v>377.535889</v>
      </c>
      <c r="I60">
        <v>393.58837899999997</v>
      </c>
      <c r="J60">
        <v>409.98452800000001</v>
      </c>
      <c r="K60">
        <v>426.74026500000002</v>
      </c>
      <c r="L60">
        <v>443.95779399999998</v>
      </c>
      <c r="M60">
        <v>461.68679800000001</v>
      </c>
      <c r="N60">
        <v>479.91616800000003</v>
      </c>
      <c r="O60">
        <v>498.62008700000001</v>
      </c>
      <c r="P60">
        <v>517.75683600000002</v>
      </c>
      <c r="Q60">
        <v>537.29278599999998</v>
      </c>
      <c r="R60">
        <v>557.25830099999996</v>
      </c>
      <c r="S60">
        <v>577.62469499999997</v>
      </c>
      <c r="T60">
        <v>598.53753700000004</v>
      </c>
      <c r="U60">
        <v>620.01531999999997</v>
      </c>
      <c r="V60">
        <v>642.04522699999995</v>
      </c>
      <c r="W60">
        <v>664.59234600000002</v>
      </c>
      <c r="X60">
        <v>687.67797900000005</v>
      </c>
      <c r="Y60">
        <v>711.309753</v>
      </c>
      <c r="Z60">
        <v>735.48333700000001</v>
      </c>
      <c r="AA60">
        <v>760.19000200000005</v>
      </c>
      <c r="AB60">
        <v>785.42694100000006</v>
      </c>
      <c r="AC60">
        <v>811.141479</v>
      </c>
      <c r="AD60">
        <v>837.35015899999996</v>
      </c>
      <c r="AE60">
        <v>864.12316899999996</v>
      </c>
      <c r="AF60">
        <v>891.49847399999999</v>
      </c>
      <c r="AG60" s="22">
        <v>3.9E-2</v>
      </c>
    </row>
    <row r="61" spans="1:33">
      <c r="A61" t="s">
        <v>1285</v>
      </c>
      <c r="B61" t="s">
        <v>2798</v>
      </c>
      <c r="C61" t="s">
        <v>2797</v>
      </c>
      <c r="D61" t="s">
        <v>202</v>
      </c>
      <c r="F61">
        <v>287.55706800000002</v>
      </c>
      <c r="G61">
        <v>300.99618500000003</v>
      </c>
      <c r="H61">
        <v>314.738586</v>
      </c>
      <c r="I61">
        <v>328.85745200000002</v>
      </c>
      <c r="J61">
        <v>343.26168799999999</v>
      </c>
      <c r="K61">
        <v>358.037262</v>
      </c>
      <c r="L61">
        <v>373.20459</v>
      </c>
      <c r="M61">
        <v>388.817566</v>
      </c>
      <c r="N61">
        <v>404.96075400000001</v>
      </c>
      <c r="O61">
        <v>421.64666699999998</v>
      </c>
      <c r="P61">
        <v>438.89480600000002</v>
      </c>
      <c r="Q61">
        <v>456.72311400000001</v>
      </c>
      <c r="R61">
        <v>475.16336100000001</v>
      </c>
      <c r="S61">
        <v>494.23895299999998</v>
      </c>
      <c r="T61">
        <v>513.95831299999998</v>
      </c>
      <c r="U61">
        <v>534.36059599999999</v>
      </c>
      <c r="V61">
        <v>555.47491500000001</v>
      </c>
      <c r="W61">
        <v>577.27185099999997</v>
      </c>
      <c r="X61">
        <v>599.75683600000002</v>
      </c>
      <c r="Y61">
        <v>622.948669</v>
      </c>
      <c r="Z61">
        <v>646.877747</v>
      </c>
      <c r="AA61">
        <v>671.59381099999996</v>
      </c>
      <c r="AB61">
        <v>697.06860400000005</v>
      </c>
      <c r="AC61">
        <v>723.32800299999997</v>
      </c>
      <c r="AD61">
        <v>750.442993</v>
      </c>
      <c r="AE61">
        <v>778.44030799999996</v>
      </c>
      <c r="AF61">
        <v>807.30480999999997</v>
      </c>
      <c r="AG61" s="22">
        <v>4.1000000000000002E-2</v>
      </c>
    </row>
    <row r="62" spans="1:33">
      <c r="A62" t="s">
        <v>213</v>
      </c>
      <c r="B62" t="s">
        <v>2796</v>
      </c>
      <c r="C62" t="s">
        <v>2795</v>
      </c>
      <c r="D62" t="s">
        <v>202</v>
      </c>
      <c r="F62">
        <v>115.48080400000001</v>
      </c>
      <c r="G62">
        <v>120.811089</v>
      </c>
      <c r="H62">
        <v>126.92974100000001</v>
      </c>
      <c r="I62">
        <v>132.74588</v>
      </c>
      <c r="J62">
        <v>138.643936</v>
      </c>
      <c r="K62">
        <v>144.65969799999999</v>
      </c>
      <c r="L62">
        <v>150.863663</v>
      </c>
      <c r="M62">
        <v>157.27917500000001</v>
      </c>
      <c r="N62">
        <v>163.84094200000001</v>
      </c>
      <c r="O62">
        <v>170.55853300000001</v>
      </c>
      <c r="P62">
        <v>177.45858799999999</v>
      </c>
      <c r="Q62">
        <v>184.551254</v>
      </c>
      <c r="R62">
        <v>191.85424800000001</v>
      </c>
      <c r="S62">
        <v>199.36219800000001</v>
      </c>
      <c r="T62">
        <v>207.06878699999999</v>
      </c>
      <c r="U62">
        <v>214.977982</v>
      </c>
      <c r="V62">
        <v>223.09335300000001</v>
      </c>
      <c r="W62">
        <v>231.42195100000001</v>
      </c>
      <c r="X62">
        <v>239.96167</v>
      </c>
      <c r="Y62">
        <v>248.718445</v>
      </c>
      <c r="Z62">
        <v>257.70016500000003</v>
      </c>
      <c r="AA62">
        <v>266.909943</v>
      </c>
      <c r="AB62">
        <v>276.34884599999998</v>
      </c>
      <c r="AC62">
        <v>286.01666299999999</v>
      </c>
      <c r="AD62">
        <v>295.91403200000002</v>
      </c>
      <c r="AE62">
        <v>306.04107699999997</v>
      </c>
      <c r="AF62">
        <v>316.39913899999999</v>
      </c>
      <c r="AG62" s="22">
        <v>0.04</v>
      </c>
    </row>
    <row r="63" spans="1:33">
      <c r="A63" t="s">
        <v>1290</v>
      </c>
      <c r="B63" t="s">
        <v>2794</v>
      </c>
      <c r="C63" t="s">
        <v>2793</v>
      </c>
      <c r="D63" t="s">
        <v>202</v>
      </c>
      <c r="F63">
        <v>46.115017000000002</v>
      </c>
      <c r="G63">
        <v>47.310741</v>
      </c>
      <c r="H63">
        <v>48.229725000000002</v>
      </c>
      <c r="I63">
        <v>49.488112999999998</v>
      </c>
      <c r="J63">
        <v>50.884785000000001</v>
      </c>
      <c r="K63">
        <v>52.25441</v>
      </c>
      <c r="L63">
        <v>53.596169000000003</v>
      </c>
      <c r="M63">
        <v>54.917076000000002</v>
      </c>
      <c r="N63">
        <v>56.221229999999998</v>
      </c>
      <c r="O63">
        <v>57.509799999999998</v>
      </c>
      <c r="P63">
        <v>58.781368000000001</v>
      </c>
      <c r="Q63">
        <v>60.034503999999998</v>
      </c>
      <c r="R63">
        <v>61.268256999999998</v>
      </c>
      <c r="S63">
        <v>62.481833999999999</v>
      </c>
      <c r="T63">
        <v>63.673732999999999</v>
      </c>
      <c r="U63">
        <v>64.842285000000004</v>
      </c>
      <c r="V63">
        <v>65.985412999999994</v>
      </c>
      <c r="W63">
        <v>67.101867999999996</v>
      </c>
      <c r="X63">
        <v>68.191078000000005</v>
      </c>
      <c r="Y63">
        <v>69.250877000000003</v>
      </c>
      <c r="Z63">
        <v>70.279235999999997</v>
      </c>
      <c r="AA63">
        <v>71.274451999999997</v>
      </c>
      <c r="AB63">
        <v>72.234375</v>
      </c>
      <c r="AC63">
        <v>73.156852999999998</v>
      </c>
      <c r="AD63">
        <v>74.040374999999997</v>
      </c>
      <c r="AE63">
        <v>74.883574999999993</v>
      </c>
      <c r="AF63">
        <v>75.684203999999994</v>
      </c>
      <c r="AG63" s="22">
        <v>1.9E-2</v>
      </c>
    </row>
    <row r="64" spans="1:33">
      <c r="A64" t="s">
        <v>2429</v>
      </c>
      <c r="B64" t="s">
        <v>2792</v>
      </c>
      <c r="C64" t="s">
        <v>2791</v>
      </c>
      <c r="D64" t="s">
        <v>202</v>
      </c>
      <c r="F64">
        <v>111.142937</v>
      </c>
      <c r="G64">
        <v>114.97421300000001</v>
      </c>
      <c r="H64">
        <v>118.941704</v>
      </c>
      <c r="I64">
        <v>122.961449</v>
      </c>
      <c r="J64">
        <v>127.026382</v>
      </c>
      <c r="K64">
        <v>131.168915</v>
      </c>
      <c r="L64">
        <v>135.40394599999999</v>
      </c>
      <c r="M64">
        <v>139.73571799999999</v>
      </c>
      <c r="N64">
        <v>144.16679400000001</v>
      </c>
      <c r="O64">
        <v>148.69725</v>
      </c>
      <c r="P64">
        <v>153.328552</v>
      </c>
      <c r="Q64">
        <v>158.05772400000001</v>
      </c>
      <c r="R64">
        <v>162.88265999999999</v>
      </c>
      <c r="S64">
        <v>167.807312</v>
      </c>
      <c r="T64">
        <v>172.83622700000001</v>
      </c>
      <c r="U64">
        <v>177.97219799999999</v>
      </c>
      <c r="V64">
        <v>183.21159399999999</v>
      </c>
      <c r="W64">
        <v>188.55363500000001</v>
      </c>
      <c r="X64">
        <v>194.00083900000001</v>
      </c>
      <c r="Y64">
        <v>199.554733</v>
      </c>
      <c r="Z64">
        <v>205.21554599999999</v>
      </c>
      <c r="AA64">
        <v>210.98547400000001</v>
      </c>
      <c r="AB64">
        <v>216.865005</v>
      </c>
      <c r="AC64">
        <v>222.85565199999999</v>
      </c>
      <c r="AD64">
        <v>228.957581</v>
      </c>
      <c r="AE64">
        <v>235.16992200000001</v>
      </c>
      <c r="AF64">
        <v>241.498276</v>
      </c>
      <c r="AG64" s="22">
        <v>0.03</v>
      </c>
    </row>
    <row r="65" spans="1:33">
      <c r="A65" t="s">
        <v>1363</v>
      </c>
      <c r="B65" t="s">
        <v>2790</v>
      </c>
      <c r="C65" t="s">
        <v>2788</v>
      </c>
      <c r="D65" t="s">
        <v>202</v>
      </c>
      <c r="F65">
        <v>2737.0183109999998</v>
      </c>
      <c r="G65">
        <v>2870.9411620000001</v>
      </c>
      <c r="H65">
        <v>2984.2219239999999</v>
      </c>
      <c r="I65">
        <v>3091.8195799999999</v>
      </c>
      <c r="J65">
        <v>3196.8063959999999</v>
      </c>
      <c r="K65">
        <v>3299.7385250000002</v>
      </c>
      <c r="L65">
        <v>3404.2524410000001</v>
      </c>
      <c r="M65">
        <v>3509.5361330000001</v>
      </c>
      <c r="N65">
        <v>3617.9621579999998</v>
      </c>
      <c r="O65">
        <v>3729.0625</v>
      </c>
      <c r="P65">
        <v>3841.9873050000001</v>
      </c>
      <c r="Q65">
        <v>3957.7124020000001</v>
      </c>
      <c r="R65">
        <v>4075.8247070000002</v>
      </c>
      <c r="S65">
        <v>4196.5673829999996</v>
      </c>
      <c r="T65">
        <v>4320.3447269999997</v>
      </c>
      <c r="U65">
        <v>4446.5566410000001</v>
      </c>
      <c r="V65">
        <v>4575.5615230000003</v>
      </c>
      <c r="W65">
        <v>4707.2666019999997</v>
      </c>
      <c r="X65">
        <v>4842.4448240000002</v>
      </c>
      <c r="Y65">
        <v>4979.9121089999999</v>
      </c>
      <c r="Z65">
        <v>5119.0302730000003</v>
      </c>
      <c r="AA65">
        <v>5260.2036129999997</v>
      </c>
      <c r="AB65">
        <v>5403.595703</v>
      </c>
      <c r="AC65">
        <v>5551.0732420000004</v>
      </c>
      <c r="AD65">
        <v>5701.9853519999997</v>
      </c>
      <c r="AE65">
        <v>5855.3916019999997</v>
      </c>
      <c r="AF65">
        <v>6011.6069340000004</v>
      </c>
      <c r="AG65" s="22">
        <v>3.1E-2</v>
      </c>
    </row>
    <row r="66" spans="1:33">
      <c r="A66" t="s">
        <v>112</v>
      </c>
      <c r="B66" t="s">
        <v>2789</v>
      </c>
      <c r="C66" t="s">
        <v>2788</v>
      </c>
      <c r="D66" t="s">
        <v>202</v>
      </c>
      <c r="F66">
        <v>5598.9658200000003</v>
      </c>
      <c r="G66">
        <v>5833.9799800000001</v>
      </c>
      <c r="H66">
        <v>6054.2861329999996</v>
      </c>
      <c r="I66">
        <v>6267.4423829999996</v>
      </c>
      <c r="J66">
        <v>6477.1572269999997</v>
      </c>
      <c r="K66">
        <v>6688.6171880000002</v>
      </c>
      <c r="L66">
        <v>6902.6953119999998</v>
      </c>
      <c r="M66">
        <v>7117.1782229999999</v>
      </c>
      <c r="N66">
        <v>7339.248047</v>
      </c>
      <c r="O66">
        <v>7567.1660160000001</v>
      </c>
      <c r="P66">
        <v>7798.3500979999999</v>
      </c>
      <c r="Q66">
        <v>8035.7631840000004</v>
      </c>
      <c r="R66">
        <v>8277.3095699999994</v>
      </c>
      <c r="S66">
        <v>8524.2353519999997</v>
      </c>
      <c r="T66">
        <v>8777.4873050000006</v>
      </c>
      <c r="U66">
        <v>9035.2050780000009</v>
      </c>
      <c r="V66">
        <v>9297.8710940000001</v>
      </c>
      <c r="W66">
        <v>9565.0234380000002</v>
      </c>
      <c r="X66">
        <v>9839.3789059999999</v>
      </c>
      <c r="Y66">
        <v>10117.480469</v>
      </c>
      <c r="Z66">
        <v>10397.605469</v>
      </c>
      <c r="AA66">
        <v>10681.094727</v>
      </c>
      <c r="AB66">
        <v>10968.157227</v>
      </c>
      <c r="AC66">
        <v>11264.076171999999</v>
      </c>
      <c r="AD66">
        <v>11566.307617</v>
      </c>
      <c r="AE66">
        <v>11871.498046999999</v>
      </c>
      <c r="AF66">
        <v>12180.679688</v>
      </c>
      <c r="AG66" s="22">
        <v>0.03</v>
      </c>
    </row>
    <row r="67" spans="1:33">
      <c r="A67" t="s">
        <v>216</v>
      </c>
    </row>
    <row r="68" spans="1:33">
      <c r="A68" t="s">
        <v>211</v>
      </c>
      <c r="B68" t="s">
        <v>2787</v>
      </c>
      <c r="C68" t="s">
        <v>2786</v>
      </c>
      <c r="D68" t="s">
        <v>202</v>
      </c>
      <c r="F68">
        <v>51.452095</v>
      </c>
      <c r="G68">
        <v>52.590789999999998</v>
      </c>
      <c r="H68">
        <v>53.859558</v>
      </c>
      <c r="I68">
        <v>55.048133999999997</v>
      </c>
      <c r="J68">
        <v>56.123325000000001</v>
      </c>
      <c r="K68">
        <v>57.271408000000001</v>
      </c>
      <c r="L68">
        <v>58.376846</v>
      </c>
      <c r="M68">
        <v>59.385468000000003</v>
      </c>
      <c r="N68">
        <v>60.493416000000003</v>
      </c>
      <c r="O68">
        <v>61.658783</v>
      </c>
      <c r="P68">
        <v>62.810963000000001</v>
      </c>
      <c r="Q68">
        <v>64.039214999999999</v>
      </c>
      <c r="R68">
        <v>65.291115000000005</v>
      </c>
      <c r="S68">
        <v>66.600005999999993</v>
      </c>
      <c r="T68">
        <v>67.978249000000005</v>
      </c>
      <c r="U68">
        <v>69.367919999999998</v>
      </c>
      <c r="V68">
        <v>70.769645999999995</v>
      </c>
      <c r="W68">
        <v>72.166388999999995</v>
      </c>
      <c r="X68">
        <v>73.644210999999999</v>
      </c>
      <c r="Y68">
        <v>75.112540999999993</v>
      </c>
      <c r="Z68">
        <v>76.530411000000001</v>
      </c>
      <c r="AA68">
        <v>77.9422</v>
      </c>
      <c r="AB68">
        <v>79.349777000000003</v>
      </c>
      <c r="AC68">
        <v>80.910233000000005</v>
      </c>
      <c r="AD68">
        <v>82.547386000000003</v>
      </c>
      <c r="AE68">
        <v>84.153701999999996</v>
      </c>
      <c r="AF68">
        <v>85.759247000000002</v>
      </c>
      <c r="AG68" s="22">
        <v>0.02</v>
      </c>
    </row>
    <row r="69" spans="1:33">
      <c r="A69" t="s">
        <v>212</v>
      </c>
      <c r="B69" t="s">
        <v>2785</v>
      </c>
      <c r="C69" t="s">
        <v>2784</v>
      </c>
      <c r="D69" t="s">
        <v>202</v>
      </c>
      <c r="F69">
        <v>1.682606</v>
      </c>
      <c r="G69">
        <v>1.6933849999999999</v>
      </c>
      <c r="H69">
        <v>1.70486</v>
      </c>
      <c r="I69">
        <v>1.715508</v>
      </c>
      <c r="J69">
        <v>1.7250989999999999</v>
      </c>
      <c r="K69">
        <v>1.73397</v>
      </c>
      <c r="L69">
        <v>1.7422089999999999</v>
      </c>
      <c r="M69">
        <v>1.749763</v>
      </c>
      <c r="N69">
        <v>1.7567390000000001</v>
      </c>
      <c r="O69">
        <v>1.763382</v>
      </c>
      <c r="P69">
        <v>1.769722</v>
      </c>
      <c r="Q69">
        <v>1.7757849999999999</v>
      </c>
      <c r="R69">
        <v>1.7815719999999999</v>
      </c>
      <c r="S69">
        <v>1.787139</v>
      </c>
      <c r="T69">
        <v>1.79251</v>
      </c>
      <c r="U69">
        <v>1.7977749999999999</v>
      </c>
      <c r="V69">
        <v>1.802943</v>
      </c>
      <c r="W69">
        <v>1.8080540000000001</v>
      </c>
      <c r="X69">
        <v>1.813099</v>
      </c>
      <c r="Y69">
        <v>1.8180590000000001</v>
      </c>
      <c r="Z69">
        <v>1.8229059999999999</v>
      </c>
      <c r="AA69">
        <v>1.8276190000000001</v>
      </c>
      <c r="AB69">
        <v>1.832273</v>
      </c>
      <c r="AC69">
        <v>1.8368770000000001</v>
      </c>
      <c r="AD69">
        <v>1.8414010000000001</v>
      </c>
      <c r="AE69">
        <v>1.8458730000000001</v>
      </c>
      <c r="AF69">
        <v>1.850249</v>
      </c>
      <c r="AG69" s="22">
        <v>4.0000000000000001E-3</v>
      </c>
    </row>
    <row r="70" spans="1:33">
      <c r="A70" t="s">
        <v>2459</v>
      </c>
      <c r="B70" t="s">
        <v>2783</v>
      </c>
      <c r="C70" t="s">
        <v>2782</v>
      </c>
      <c r="D70" t="s">
        <v>202</v>
      </c>
      <c r="F70">
        <v>1.40537</v>
      </c>
      <c r="G70">
        <v>1.4749380000000001</v>
      </c>
      <c r="H70">
        <v>1.548783</v>
      </c>
      <c r="I70">
        <v>1.616765</v>
      </c>
      <c r="J70">
        <v>1.677943</v>
      </c>
      <c r="K70">
        <v>1.7351080000000001</v>
      </c>
      <c r="L70">
        <v>1.7895829999999999</v>
      </c>
      <c r="M70">
        <v>1.841855</v>
      </c>
      <c r="N70">
        <v>1.8927179999999999</v>
      </c>
      <c r="O70">
        <v>1.9426559999999999</v>
      </c>
      <c r="P70">
        <v>1.9919089999999999</v>
      </c>
      <c r="Q70">
        <v>2.04068</v>
      </c>
      <c r="R70">
        <v>2.089143</v>
      </c>
      <c r="S70">
        <v>2.1374460000000002</v>
      </c>
      <c r="T70">
        <v>2.1857169999999999</v>
      </c>
      <c r="U70">
        <v>2.2340610000000001</v>
      </c>
      <c r="V70">
        <v>2.2825709999999999</v>
      </c>
      <c r="W70">
        <v>2.3313269999999999</v>
      </c>
      <c r="X70">
        <v>2.380395</v>
      </c>
      <c r="Y70">
        <v>2.4298310000000001</v>
      </c>
      <c r="Z70">
        <v>2.4796860000000001</v>
      </c>
      <c r="AA70">
        <v>2.5300009999999999</v>
      </c>
      <c r="AB70">
        <v>2.58081</v>
      </c>
      <c r="AC70">
        <v>2.632145</v>
      </c>
      <c r="AD70">
        <v>2.6840310000000001</v>
      </c>
      <c r="AE70">
        <v>2.7364890000000002</v>
      </c>
      <c r="AF70">
        <v>2.7895370000000002</v>
      </c>
      <c r="AG70" s="22">
        <v>2.7E-2</v>
      </c>
    </row>
    <row r="71" spans="1:33">
      <c r="A71" t="s">
        <v>2456</v>
      </c>
      <c r="B71" t="s">
        <v>2781</v>
      </c>
      <c r="C71" t="s">
        <v>2780</v>
      </c>
      <c r="D71" t="s">
        <v>202</v>
      </c>
      <c r="F71">
        <v>37.819381999999997</v>
      </c>
      <c r="G71">
        <v>39.829979000000002</v>
      </c>
      <c r="H71">
        <v>41.962401999999997</v>
      </c>
      <c r="I71">
        <v>44.017982000000003</v>
      </c>
      <c r="J71">
        <v>45.981029999999997</v>
      </c>
      <c r="K71">
        <v>47.827193999999999</v>
      </c>
      <c r="L71">
        <v>49.563662999999998</v>
      </c>
      <c r="M71">
        <v>51.183768999999998</v>
      </c>
      <c r="N71">
        <v>52.729202000000001</v>
      </c>
      <c r="O71">
        <v>54.258862000000001</v>
      </c>
      <c r="P71">
        <v>55.782490000000003</v>
      </c>
      <c r="Q71">
        <v>57.298400999999998</v>
      </c>
      <c r="R71">
        <v>58.831843999999997</v>
      </c>
      <c r="S71">
        <v>60.363056</v>
      </c>
      <c r="T71">
        <v>61.885325999999999</v>
      </c>
      <c r="U71">
        <v>63.413066999999998</v>
      </c>
      <c r="V71">
        <v>64.948074000000005</v>
      </c>
      <c r="W71">
        <v>66.489029000000002</v>
      </c>
      <c r="X71">
        <v>68.049408</v>
      </c>
      <c r="Y71">
        <v>69.627876000000001</v>
      </c>
      <c r="Z71">
        <v>71.215384999999998</v>
      </c>
      <c r="AA71">
        <v>72.808066999999994</v>
      </c>
      <c r="AB71">
        <v>74.416756000000007</v>
      </c>
      <c r="AC71">
        <v>76.042304999999999</v>
      </c>
      <c r="AD71">
        <v>77.688286000000005</v>
      </c>
      <c r="AE71">
        <v>79.366530999999995</v>
      </c>
      <c r="AF71">
        <v>81.086922000000001</v>
      </c>
      <c r="AG71" s="22">
        <v>0.03</v>
      </c>
    </row>
    <row r="72" spans="1:33">
      <c r="A72" t="s">
        <v>1262</v>
      </c>
      <c r="B72" t="s">
        <v>2779</v>
      </c>
      <c r="C72" t="s">
        <v>2778</v>
      </c>
      <c r="D72" t="s">
        <v>202</v>
      </c>
      <c r="F72">
        <v>7.0531600000000001</v>
      </c>
      <c r="G72">
        <v>7.1328019999999999</v>
      </c>
      <c r="H72">
        <v>7.1936109999999998</v>
      </c>
      <c r="I72">
        <v>7.2466419999999996</v>
      </c>
      <c r="J72">
        <v>7.2896599999999996</v>
      </c>
      <c r="K72">
        <v>7.3252819999999996</v>
      </c>
      <c r="L72">
        <v>7.354692</v>
      </c>
      <c r="M72">
        <v>7.3780530000000004</v>
      </c>
      <c r="N72">
        <v>7.3974289999999998</v>
      </c>
      <c r="O72">
        <v>7.4130450000000003</v>
      </c>
      <c r="P72">
        <v>7.4247990000000001</v>
      </c>
      <c r="Q72">
        <v>7.4332549999999999</v>
      </c>
      <c r="R72">
        <v>7.4389779999999996</v>
      </c>
      <c r="S72">
        <v>7.4428890000000001</v>
      </c>
      <c r="T72">
        <v>7.4452150000000001</v>
      </c>
      <c r="U72">
        <v>7.4460839999999999</v>
      </c>
      <c r="V72">
        <v>7.4463499999999998</v>
      </c>
      <c r="W72">
        <v>7.4463609999999996</v>
      </c>
      <c r="X72">
        <v>7.4462549999999998</v>
      </c>
      <c r="Y72">
        <v>7.4462010000000003</v>
      </c>
      <c r="Z72">
        <v>7.4463800000000004</v>
      </c>
      <c r="AA72">
        <v>7.4472959999999997</v>
      </c>
      <c r="AB72">
        <v>7.448925</v>
      </c>
      <c r="AC72">
        <v>7.451009</v>
      </c>
      <c r="AD72">
        <v>7.4532949999999998</v>
      </c>
      <c r="AE72">
        <v>7.4556100000000001</v>
      </c>
      <c r="AF72">
        <v>7.4585160000000004</v>
      </c>
      <c r="AG72" s="22">
        <v>2E-3</v>
      </c>
    </row>
    <row r="73" spans="1:33">
      <c r="A73" t="s">
        <v>1265</v>
      </c>
      <c r="B73" t="s">
        <v>2777</v>
      </c>
      <c r="C73" t="s">
        <v>2776</v>
      </c>
      <c r="D73" t="s">
        <v>202</v>
      </c>
      <c r="F73">
        <v>2.191592</v>
      </c>
      <c r="G73">
        <v>2.2791100000000002</v>
      </c>
      <c r="H73">
        <v>2.367953</v>
      </c>
      <c r="I73">
        <v>2.4495230000000001</v>
      </c>
      <c r="J73">
        <v>2.5246960000000001</v>
      </c>
      <c r="K73">
        <v>2.5932629999999999</v>
      </c>
      <c r="L73">
        <v>2.6564390000000002</v>
      </c>
      <c r="M73">
        <v>2.7156150000000001</v>
      </c>
      <c r="N73">
        <v>2.7710360000000001</v>
      </c>
      <c r="O73">
        <v>2.823086</v>
      </c>
      <c r="P73">
        <v>2.8723580000000002</v>
      </c>
      <c r="Q73">
        <v>2.9186009999999998</v>
      </c>
      <c r="R73">
        <v>2.9627050000000001</v>
      </c>
      <c r="S73">
        <v>3.0051019999999999</v>
      </c>
      <c r="T73">
        <v>3.0446620000000002</v>
      </c>
      <c r="U73">
        <v>3.0825629999999999</v>
      </c>
      <c r="V73">
        <v>3.1191409999999999</v>
      </c>
      <c r="W73">
        <v>3.1548120000000002</v>
      </c>
      <c r="X73">
        <v>3.1896770000000001</v>
      </c>
      <c r="Y73">
        <v>3.2238449999999998</v>
      </c>
      <c r="Z73">
        <v>3.2573150000000002</v>
      </c>
      <c r="AA73">
        <v>3.290095</v>
      </c>
      <c r="AB73">
        <v>3.3222330000000002</v>
      </c>
      <c r="AC73">
        <v>3.3537949999999999</v>
      </c>
      <c r="AD73">
        <v>3.3848479999999999</v>
      </c>
      <c r="AE73">
        <v>3.4154439999999999</v>
      </c>
      <c r="AF73">
        <v>3.4456340000000001</v>
      </c>
      <c r="AG73" s="22">
        <v>1.7999999999999999E-2</v>
      </c>
    </row>
    <row r="74" spans="1:33">
      <c r="A74" t="s">
        <v>1268</v>
      </c>
      <c r="B74" t="s">
        <v>2775</v>
      </c>
      <c r="C74" t="s">
        <v>2774</v>
      </c>
      <c r="D74" t="s">
        <v>202</v>
      </c>
      <c r="F74">
        <v>8.4099559999999993</v>
      </c>
      <c r="G74">
        <v>8.6271509999999996</v>
      </c>
      <c r="H74">
        <v>8.8739120000000007</v>
      </c>
      <c r="I74">
        <v>9.1088179999999994</v>
      </c>
      <c r="J74">
        <v>9.3348060000000004</v>
      </c>
      <c r="K74">
        <v>9.5546989999999994</v>
      </c>
      <c r="L74">
        <v>9.7704109999999993</v>
      </c>
      <c r="M74">
        <v>9.9763179999999991</v>
      </c>
      <c r="N74">
        <v>10.172041999999999</v>
      </c>
      <c r="O74">
        <v>10.358764000000001</v>
      </c>
      <c r="P74">
        <v>10.535639</v>
      </c>
      <c r="Q74">
        <v>10.702966999999999</v>
      </c>
      <c r="R74">
        <v>10.865589999999999</v>
      </c>
      <c r="S74">
        <v>11.016742000000001</v>
      </c>
      <c r="T74">
        <v>11.160425</v>
      </c>
      <c r="U74">
        <v>11.295287</v>
      </c>
      <c r="V74">
        <v>11.42648</v>
      </c>
      <c r="W74">
        <v>11.555186000000001</v>
      </c>
      <c r="X74">
        <v>11.677161999999999</v>
      </c>
      <c r="Y74">
        <v>11.789802999999999</v>
      </c>
      <c r="Z74">
        <v>11.888045</v>
      </c>
      <c r="AA74">
        <v>11.968591999999999</v>
      </c>
      <c r="AB74">
        <v>12.036063</v>
      </c>
      <c r="AC74">
        <v>12.093634</v>
      </c>
      <c r="AD74">
        <v>12.145685</v>
      </c>
      <c r="AE74">
        <v>12.196770000000001</v>
      </c>
      <c r="AF74">
        <v>12.244811</v>
      </c>
      <c r="AG74" s="22">
        <v>1.4999999999999999E-2</v>
      </c>
    </row>
    <row r="75" spans="1:33">
      <c r="A75" t="s">
        <v>1271</v>
      </c>
      <c r="B75" t="s">
        <v>2773</v>
      </c>
      <c r="C75" t="s">
        <v>2772</v>
      </c>
      <c r="D75" t="s">
        <v>202</v>
      </c>
      <c r="F75">
        <v>0.60352700000000004</v>
      </c>
      <c r="G75">
        <v>0.64750799999999997</v>
      </c>
      <c r="H75">
        <v>0.67507600000000001</v>
      </c>
      <c r="I75">
        <v>0.688334</v>
      </c>
      <c r="J75">
        <v>0.70993300000000004</v>
      </c>
      <c r="K75">
        <v>0.73007599999999995</v>
      </c>
      <c r="L75">
        <v>0.74805299999999997</v>
      </c>
      <c r="M75">
        <v>0.76425100000000001</v>
      </c>
      <c r="N75">
        <v>0.77945399999999998</v>
      </c>
      <c r="O75">
        <v>0.79393400000000003</v>
      </c>
      <c r="P75">
        <v>0.80802600000000002</v>
      </c>
      <c r="Q75">
        <v>0.82153600000000004</v>
      </c>
      <c r="R75">
        <v>0.83333999999999997</v>
      </c>
      <c r="S75">
        <v>0.84337399999999996</v>
      </c>
      <c r="T75">
        <v>0.85204999999999997</v>
      </c>
      <c r="U75">
        <v>0.85959300000000005</v>
      </c>
      <c r="V75">
        <v>0.86641100000000004</v>
      </c>
      <c r="W75">
        <v>0.87519000000000002</v>
      </c>
      <c r="X75">
        <v>0.88506099999999999</v>
      </c>
      <c r="Y75">
        <v>0.89469500000000002</v>
      </c>
      <c r="Z75">
        <v>0.90395899999999996</v>
      </c>
      <c r="AA75">
        <v>0.91264400000000001</v>
      </c>
      <c r="AB75">
        <v>0.92145100000000002</v>
      </c>
      <c r="AC75">
        <v>0.93086199999999997</v>
      </c>
      <c r="AD75">
        <v>0.93947800000000004</v>
      </c>
      <c r="AE75">
        <v>0.94730300000000001</v>
      </c>
      <c r="AF75">
        <v>0.95501599999999998</v>
      </c>
      <c r="AG75" s="22">
        <v>1.7999999999999999E-2</v>
      </c>
    </row>
    <row r="76" spans="1:33">
      <c r="A76" t="s">
        <v>2445</v>
      </c>
      <c r="B76" t="s">
        <v>2771</v>
      </c>
      <c r="C76" t="s">
        <v>2770</v>
      </c>
      <c r="D76" t="s">
        <v>202</v>
      </c>
      <c r="F76">
        <v>0.53995300000000002</v>
      </c>
      <c r="G76">
        <v>0.47585699999999997</v>
      </c>
      <c r="H76">
        <v>0.42205700000000002</v>
      </c>
      <c r="I76">
        <v>0.37659399999999998</v>
      </c>
      <c r="J76">
        <v>0.338501</v>
      </c>
      <c r="K76">
        <v>0.306585</v>
      </c>
      <c r="L76">
        <v>0.27970899999999999</v>
      </c>
      <c r="M76">
        <v>0.25713900000000001</v>
      </c>
      <c r="N76">
        <v>0.23830200000000001</v>
      </c>
      <c r="O76">
        <v>0.22267799999999999</v>
      </c>
      <c r="P76">
        <v>0.20979900000000001</v>
      </c>
      <c r="Q76">
        <v>0.19930700000000001</v>
      </c>
      <c r="R76">
        <v>0.190861</v>
      </c>
      <c r="S76">
        <v>0.18412600000000001</v>
      </c>
      <c r="T76">
        <v>0.17884700000000001</v>
      </c>
      <c r="U76">
        <v>0.17480699999999999</v>
      </c>
      <c r="V76">
        <v>0.171795</v>
      </c>
      <c r="W76">
        <v>0.16966000000000001</v>
      </c>
      <c r="X76">
        <v>0.16831499999999999</v>
      </c>
      <c r="Y76">
        <v>0.167659</v>
      </c>
      <c r="Z76">
        <v>0.1676</v>
      </c>
      <c r="AA76">
        <v>0.16806199999999999</v>
      </c>
      <c r="AB76">
        <v>0.16895399999999999</v>
      </c>
      <c r="AC76">
        <v>0.17022999999999999</v>
      </c>
      <c r="AD76">
        <v>0.17183999999999999</v>
      </c>
      <c r="AE76">
        <v>0.17374100000000001</v>
      </c>
      <c r="AF76">
        <v>0.175895</v>
      </c>
      <c r="AG76" s="22">
        <v>-4.2000000000000003E-2</v>
      </c>
    </row>
    <row r="77" spans="1:33">
      <c r="A77" t="s">
        <v>214</v>
      </c>
      <c r="B77" t="s">
        <v>2769</v>
      </c>
      <c r="C77" t="s">
        <v>2768</v>
      </c>
      <c r="D77" t="s">
        <v>202</v>
      </c>
      <c r="F77">
        <v>16.529194</v>
      </c>
      <c r="G77">
        <v>17.362121999999999</v>
      </c>
      <c r="H77">
        <v>18.120519999999999</v>
      </c>
      <c r="I77">
        <v>18.829101999999999</v>
      </c>
      <c r="J77">
        <v>19.515839</v>
      </c>
      <c r="K77">
        <v>20.189909</v>
      </c>
      <c r="L77">
        <v>20.851711000000002</v>
      </c>
      <c r="M77">
        <v>21.499815000000002</v>
      </c>
      <c r="N77">
        <v>22.138054</v>
      </c>
      <c r="O77">
        <v>22.763999999999999</v>
      </c>
      <c r="P77">
        <v>23.378685000000001</v>
      </c>
      <c r="Q77">
        <v>23.982783999999999</v>
      </c>
      <c r="R77">
        <v>24.57217</v>
      </c>
      <c r="S77">
        <v>25.151173</v>
      </c>
      <c r="T77">
        <v>25.723199999999999</v>
      </c>
      <c r="U77">
        <v>26.288422000000001</v>
      </c>
      <c r="V77">
        <v>26.846848000000001</v>
      </c>
      <c r="W77">
        <v>27.398415</v>
      </c>
      <c r="X77">
        <v>27.942936</v>
      </c>
      <c r="Y77">
        <v>28.480183</v>
      </c>
      <c r="Z77">
        <v>29.009817000000002</v>
      </c>
      <c r="AA77">
        <v>29.531483000000001</v>
      </c>
      <c r="AB77">
        <v>30.044754000000001</v>
      </c>
      <c r="AC77">
        <v>30.549208</v>
      </c>
      <c r="AD77">
        <v>31.044312999999999</v>
      </c>
      <c r="AE77">
        <v>31.529593999999999</v>
      </c>
      <c r="AF77">
        <v>32.004528000000001</v>
      </c>
      <c r="AG77" s="22">
        <v>2.5999999999999999E-2</v>
      </c>
    </row>
    <row r="78" spans="1:33">
      <c r="A78" t="s">
        <v>1279</v>
      </c>
      <c r="B78" t="s">
        <v>2767</v>
      </c>
      <c r="C78" t="s">
        <v>2766</v>
      </c>
      <c r="D78" t="s">
        <v>202</v>
      </c>
      <c r="F78">
        <v>3.233301</v>
      </c>
      <c r="G78">
        <v>3.423184</v>
      </c>
      <c r="H78">
        <v>3.6107589999999998</v>
      </c>
      <c r="I78">
        <v>3.800875</v>
      </c>
      <c r="J78">
        <v>3.9895149999999999</v>
      </c>
      <c r="K78">
        <v>4.1779780000000004</v>
      </c>
      <c r="L78">
        <v>4.3662179999999999</v>
      </c>
      <c r="M78">
        <v>4.5535839999999999</v>
      </c>
      <c r="N78">
        <v>4.7394860000000003</v>
      </c>
      <c r="O78">
        <v>4.9233599999999997</v>
      </c>
      <c r="P78">
        <v>5.1051849999999996</v>
      </c>
      <c r="Q78">
        <v>5.2848030000000001</v>
      </c>
      <c r="R78">
        <v>5.4617459999999998</v>
      </c>
      <c r="S78">
        <v>5.6373300000000004</v>
      </c>
      <c r="T78">
        <v>5.8109390000000003</v>
      </c>
      <c r="U78">
        <v>5.9832280000000004</v>
      </c>
      <c r="V78">
        <v>6.1554589999999996</v>
      </c>
      <c r="W78">
        <v>6.3274910000000002</v>
      </c>
      <c r="X78">
        <v>6.499231</v>
      </c>
      <c r="Y78">
        <v>6.6704470000000002</v>
      </c>
      <c r="Z78">
        <v>6.8410330000000004</v>
      </c>
      <c r="AA78">
        <v>7.0111270000000001</v>
      </c>
      <c r="AB78">
        <v>7.1809719999999997</v>
      </c>
      <c r="AC78">
        <v>7.3504069999999997</v>
      </c>
      <c r="AD78">
        <v>7.5193079999999997</v>
      </c>
      <c r="AE78">
        <v>7.6875739999999997</v>
      </c>
      <c r="AF78">
        <v>7.8550940000000002</v>
      </c>
      <c r="AG78" s="22">
        <v>3.5000000000000003E-2</v>
      </c>
    </row>
    <row r="79" spans="1:33">
      <c r="A79" t="s">
        <v>2438</v>
      </c>
      <c r="B79" t="s">
        <v>2765</v>
      </c>
      <c r="C79" t="s">
        <v>2764</v>
      </c>
      <c r="D79" t="s">
        <v>202</v>
      </c>
      <c r="F79">
        <v>18.962054999999999</v>
      </c>
      <c r="G79">
        <v>19.803460999999999</v>
      </c>
      <c r="H79">
        <v>20.548679</v>
      </c>
      <c r="I79">
        <v>21.198917000000002</v>
      </c>
      <c r="J79">
        <v>21.767309000000001</v>
      </c>
      <c r="K79">
        <v>22.266064</v>
      </c>
      <c r="L79">
        <v>22.706779000000001</v>
      </c>
      <c r="M79">
        <v>23.098610000000001</v>
      </c>
      <c r="N79">
        <v>23.448578000000001</v>
      </c>
      <c r="O79">
        <v>23.762236000000001</v>
      </c>
      <c r="P79">
        <v>24.044249000000001</v>
      </c>
      <c r="Q79">
        <v>24.298673999999998</v>
      </c>
      <c r="R79">
        <v>24.529485999999999</v>
      </c>
      <c r="S79">
        <v>24.739484999999998</v>
      </c>
      <c r="T79">
        <v>24.933277</v>
      </c>
      <c r="U79">
        <v>25.113233999999999</v>
      </c>
      <c r="V79">
        <v>25.281115</v>
      </c>
      <c r="W79">
        <v>25.438202</v>
      </c>
      <c r="X79">
        <v>25.586137999999998</v>
      </c>
      <c r="Y79">
        <v>25.726053</v>
      </c>
      <c r="Z79">
        <v>25.858837000000001</v>
      </c>
      <c r="AA79">
        <v>25.985292000000001</v>
      </c>
      <c r="AB79">
        <v>26.105982000000001</v>
      </c>
      <c r="AC79">
        <v>26.221277000000001</v>
      </c>
      <c r="AD79">
        <v>26.331917000000001</v>
      </c>
      <c r="AE79">
        <v>26.438707000000001</v>
      </c>
      <c r="AF79">
        <v>26.542497999999998</v>
      </c>
      <c r="AG79" s="22">
        <v>1.2999999999999999E-2</v>
      </c>
    </row>
    <row r="80" spans="1:33">
      <c r="A80" t="s">
        <v>1285</v>
      </c>
      <c r="B80" t="s">
        <v>2763</v>
      </c>
      <c r="C80" t="s">
        <v>2762</v>
      </c>
      <c r="D80" t="s">
        <v>202</v>
      </c>
      <c r="F80">
        <v>9.4425450000000009</v>
      </c>
      <c r="G80">
        <v>8.8007729999999995</v>
      </c>
      <c r="H80">
        <v>8.2775940000000006</v>
      </c>
      <c r="I80">
        <v>7.8187040000000003</v>
      </c>
      <c r="J80">
        <v>7.4284780000000001</v>
      </c>
      <c r="K80">
        <v>7.099774</v>
      </c>
      <c r="L80">
        <v>6.8228790000000004</v>
      </c>
      <c r="M80">
        <v>6.5915549999999996</v>
      </c>
      <c r="N80">
        <v>6.3975970000000002</v>
      </c>
      <c r="O80">
        <v>6.2355359999999997</v>
      </c>
      <c r="P80">
        <v>6.1006159999999996</v>
      </c>
      <c r="Q80">
        <v>5.989312</v>
      </c>
      <c r="R80">
        <v>5.8981070000000004</v>
      </c>
      <c r="S80">
        <v>5.8240030000000003</v>
      </c>
      <c r="T80">
        <v>5.7642559999999996</v>
      </c>
      <c r="U80">
        <v>5.7163940000000002</v>
      </c>
      <c r="V80">
        <v>5.6788850000000002</v>
      </c>
      <c r="W80">
        <v>5.6503160000000001</v>
      </c>
      <c r="X80">
        <v>5.6295210000000004</v>
      </c>
      <c r="Y80">
        <v>5.6152870000000004</v>
      </c>
      <c r="Z80">
        <v>5.6064870000000004</v>
      </c>
      <c r="AA80">
        <v>5.602176</v>
      </c>
      <c r="AB80">
        <v>5.6016069999999996</v>
      </c>
      <c r="AC80">
        <v>5.6044340000000004</v>
      </c>
      <c r="AD80">
        <v>5.6100950000000003</v>
      </c>
      <c r="AE80">
        <v>5.6182040000000004</v>
      </c>
      <c r="AF80">
        <v>5.6284879999999999</v>
      </c>
      <c r="AG80" s="22">
        <v>-0.02</v>
      </c>
    </row>
    <row r="81" spans="1:33">
      <c r="A81" t="s">
        <v>213</v>
      </c>
      <c r="B81" t="s">
        <v>2761</v>
      </c>
      <c r="C81" t="s">
        <v>2760</v>
      </c>
      <c r="D81" t="s">
        <v>202</v>
      </c>
      <c r="F81">
        <v>4.7045709999999996</v>
      </c>
      <c r="G81">
        <v>4.9472129999999996</v>
      </c>
      <c r="H81">
        <v>5.223986</v>
      </c>
      <c r="I81">
        <v>5.4771619999999999</v>
      </c>
      <c r="J81">
        <v>5.7276360000000004</v>
      </c>
      <c r="K81">
        <v>5.9776239999999996</v>
      </c>
      <c r="L81">
        <v>6.2310739999999996</v>
      </c>
      <c r="M81">
        <v>6.4893640000000001</v>
      </c>
      <c r="N81">
        <v>6.7491490000000001</v>
      </c>
      <c r="O81">
        <v>7.0109979999999998</v>
      </c>
      <c r="P81">
        <v>7.2763289999999996</v>
      </c>
      <c r="Q81">
        <v>7.5456599999999998</v>
      </c>
      <c r="R81">
        <v>7.8198550000000004</v>
      </c>
      <c r="S81">
        <v>8.0985530000000008</v>
      </c>
      <c r="T81">
        <v>8.3813300000000002</v>
      </c>
      <c r="U81">
        <v>8.6682930000000002</v>
      </c>
      <c r="V81">
        <v>8.9594919999999991</v>
      </c>
      <c r="W81">
        <v>9.2551480000000002</v>
      </c>
      <c r="X81">
        <v>9.5549970000000002</v>
      </c>
      <c r="Y81">
        <v>9.8591770000000007</v>
      </c>
      <c r="Z81">
        <v>10.167911999999999</v>
      </c>
      <c r="AA81">
        <v>10.481163</v>
      </c>
      <c r="AB81">
        <v>10.798802</v>
      </c>
      <c r="AC81">
        <v>11.120630999999999</v>
      </c>
      <c r="AD81">
        <v>11.446486</v>
      </c>
      <c r="AE81">
        <v>11.776161999999999</v>
      </c>
      <c r="AF81">
        <v>12.109522999999999</v>
      </c>
      <c r="AG81" s="22">
        <v>3.6999999999999998E-2</v>
      </c>
    </row>
    <row r="82" spans="1:33">
      <c r="A82" t="s">
        <v>1290</v>
      </c>
      <c r="B82" t="s">
        <v>2759</v>
      </c>
      <c r="C82" t="s">
        <v>2758</v>
      </c>
      <c r="D82" t="s">
        <v>202</v>
      </c>
      <c r="F82">
        <v>2.27536</v>
      </c>
      <c r="G82">
        <v>2.285974</v>
      </c>
      <c r="H82">
        <v>2.2924950000000002</v>
      </c>
      <c r="I82">
        <v>2.3104360000000002</v>
      </c>
      <c r="J82">
        <v>2.3340070000000002</v>
      </c>
      <c r="K82">
        <v>2.3585750000000001</v>
      </c>
      <c r="L82">
        <v>2.383829</v>
      </c>
      <c r="M82">
        <v>2.409691</v>
      </c>
      <c r="N82">
        <v>2.436051</v>
      </c>
      <c r="O82">
        <v>2.4627569999999999</v>
      </c>
      <c r="P82">
        <v>2.4896259999999999</v>
      </c>
      <c r="Q82">
        <v>2.5164930000000001</v>
      </c>
      <c r="R82">
        <v>2.5432260000000002</v>
      </c>
      <c r="S82">
        <v>2.569715</v>
      </c>
      <c r="T82">
        <v>2.59585</v>
      </c>
      <c r="U82">
        <v>2.6215229999999998</v>
      </c>
      <c r="V82">
        <v>2.6466409999999998</v>
      </c>
      <c r="W82">
        <v>2.671119</v>
      </c>
      <c r="X82">
        <v>2.6948780000000001</v>
      </c>
      <c r="Y82">
        <v>2.717848</v>
      </c>
      <c r="Z82">
        <v>2.739967</v>
      </c>
      <c r="AA82">
        <v>2.7611750000000002</v>
      </c>
      <c r="AB82">
        <v>2.7814230000000002</v>
      </c>
      <c r="AC82">
        <v>2.8006600000000001</v>
      </c>
      <c r="AD82">
        <v>2.8188439999999999</v>
      </c>
      <c r="AE82">
        <v>2.8359350000000001</v>
      </c>
      <c r="AF82">
        <v>2.8519019999999999</v>
      </c>
      <c r="AG82" s="22">
        <v>8.9999999999999993E-3</v>
      </c>
    </row>
    <row r="83" spans="1:33">
      <c r="A83" t="s">
        <v>2429</v>
      </c>
      <c r="B83" t="s">
        <v>2757</v>
      </c>
      <c r="C83" t="s">
        <v>2756</v>
      </c>
      <c r="D83" t="s">
        <v>202</v>
      </c>
      <c r="F83">
        <v>4.5103299999999997</v>
      </c>
      <c r="G83">
        <v>4.7625849999999996</v>
      </c>
      <c r="H83">
        <v>5.0333829999999997</v>
      </c>
      <c r="I83">
        <v>5.2902170000000002</v>
      </c>
      <c r="J83">
        <v>5.5300209999999996</v>
      </c>
      <c r="K83">
        <v>5.7648190000000001</v>
      </c>
      <c r="L83">
        <v>5.9990959999999998</v>
      </c>
      <c r="M83">
        <v>6.2341699999999998</v>
      </c>
      <c r="N83">
        <v>6.4710650000000003</v>
      </c>
      <c r="O83">
        <v>6.7098880000000003</v>
      </c>
      <c r="P83">
        <v>6.9501379999999999</v>
      </c>
      <c r="Q83">
        <v>7.1912399999999996</v>
      </c>
      <c r="R83">
        <v>7.4334350000000002</v>
      </c>
      <c r="S83">
        <v>7.6783279999999996</v>
      </c>
      <c r="T83">
        <v>7.9264169999999998</v>
      </c>
      <c r="U83">
        <v>8.1783940000000008</v>
      </c>
      <c r="V83">
        <v>8.4339440000000003</v>
      </c>
      <c r="W83">
        <v>8.6928350000000005</v>
      </c>
      <c r="X83">
        <v>8.9549970000000005</v>
      </c>
      <c r="Y83">
        <v>9.2207469999999994</v>
      </c>
      <c r="Z83">
        <v>9.4899920000000009</v>
      </c>
      <c r="AA83">
        <v>9.7625550000000008</v>
      </c>
      <c r="AB83">
        <v>10.038292999999999</v>
      </c>
      <c r="AC83">
        <v>10.316409999999999</v>
      </c>
      <c r="AD83">
        <v>10.596745</v>
      </c>
      <c r="AE83">
        <v>10.879801</v>
      </c>
      <c r="AF83">
        <v>11.165881000000001</v>
      </c>
      <c r="AG83" s="22">
        <v>3.5000000000000003E-2</v>
      </c>
    </row>
    <row r="84" spans="1:33">
      <c r="A84" t="s">
        <v>1328</v>
      </c>
      <c r="B84" t="s">
        <v>2755</v>
      </c>
      <c r="C84" t="s">
        <v>2752</v>
      </c>
      <c r="D84" t="s">
        <v>202</v>
      </c>
      <c r="F84">
        <v>35.567261000000002</v>
      </c>
      <c r="G84">
        <v>36.249363000000002</v>
      </c>
      <c r="H84">
        <v>36.966208999999999</v>
      </c>
      <c r="I84">
        <v>37.640391999999999</v>
      </c>
      <c r="J84">
        <v>38.282325999999998</v>
      </c>
      <c r="K84">
        <v>38.943832</v>
      </c>
      <c r="L84">
        <v>39.592078999999998</v>
      </c>
      <c r="M84">
        <v>40.211585999999997</v>
      </c>
      <c r="N84">
        <v>40.857680999999999</v>
      </c>
      <c r="O84">
        <v>41.518245999999998</v>
      </c>
      <c r="P84">
        <v>42.174179000000002</v>
      </c>
      <c r="Q84">
        <v>42.849598</v>
      </c>
      <c r="R84">
        <v>43.528122000000003</v>
      </c>
      <c r="S84">
        <v>44.219456000000001</v>
      </c>
      <c r="T84">
        <v>44.927284</v>
      </c>
      <c r="U84">
        <v>45.636302999999998</v>
      </c>
      <c r="V84">
        <v>46.346553999999998</v>
      </c>
      <c r="W84">
        <v>47.054188000000003</v>
      </c>
      <c r="X84">
        <v>47.781376000000002</v>
      </c>
      <c r="Y84">
        <v>48.503410000000002</v>
      </c>
      <c r="Z84">
        <v>49.209381</v>
      </c>
      <c r="AA84">
        <v>49.910355000000003</v>
      </c>
      <c r="AB84">
        <v>50.607216000000001</v>
      </c>
      <c r="AC84">
        <v>51.339931</v>
      </c>
      <c r="AD84">
        <v>52.088051</v>
      </c>
      <c r="AE84">
        <v>52.824531999999998</v>
      </c>
      <c r="AF84">
        <v>53.556854000000001</v>
      </c>
      <c r="AG84" s="22">
        <v>1.6E-2</v>
      </c>
    </row>
    <row r="85" spans="1:33">
      <c r="A85" t="s">
        <v>1363</v>
      </c>
      <c r="B85" t="s">
        <v>2754</v>
      </c>
      <c r="C85" t="s">
        <v>2752</v>
      </c>
      <c r="D85" t="s">
        <v>202</v>
      </c>
      <c r="F85">
        <v>135.24774199999999</v>
      </c>
      <c r="G85">
        <v>139.887451</v>
      </c>
      <c r="H85">
        <v>144.74943500000001</v>
      </c>
      <c r="I85">
        <v>149.35334800000001</v>
      </c>
      <c r="J85">
        <v>153.71546900000001</v>
      </c>
      <c r="K85">
        <v>157.96852100000001</v>
      </c>
      <c r="L85">
        <v>162.051117</v>
      </c>
      <c r="M85">
        <v>165.91743500000001</v>
      </c>
      <c r="N85">
        <v>169.752655</v>
      </c>
      <c r="O85">
        <v>173.585724</v>
      </c>
      <c r="P85">
        <v>177.37635800000001</v>
      </c>
      <c r="Q85">
        <v>181.18914799999999</v>
      </c>
      <c r="R85">
        <v>185.01506000000001</v>
      </c>
      <c r="S85">
        <v>188.85900899999999</v>
      </c>
      <c r="T85">
        <v>192.730988</v>
      </c>
      <c r="U85">
        <v>196.60434000000001</v>
      </c>
      <c r="V85">
        <v>200.48928799999999</v>
      </c>
      <c r="W85">
        <v>204.37535099999999</v>
      </c>
      <c r="X85">
        <v>208.33488500000001</v>
      </c>
      <c r="Y85">
        <v>212.29684399999999</v>
      </c>
      <c r="Z85">
        <v>216.21632399999999</v>
      </c>
      <c r="AA85">
        <v>220.11917099999999</v>
      </c>
      <c r="AB85">
        <v>224.02186599999999</v>
      </c>
      <c r="AC85">
        <v>228.04422</v>
      </c>
      <c r="AD85">
        <v>232.135895</v>
      </c>
      <c r="AE85">
        <v>236.23289500000001</v>
      </c>
      <c r="AF85">
        <v>240.36685199999999</v>
      </c>
      <c r="AG85" s="22">
        <v>2.1999999999999999E-2</v>
      </c>
    </row>
    <row r="86" spans="1:33">
      <c r="A86" t="s">
        <v>112</v>
      </c>
      <c r="B86" t="s">
        <v>2753</v>
      </c>
      <c r="C86" t="s">
        <v>2752</v>
      </c>
      <c r="D86" t="s">
        <v>202</v>
      </c>
      <c r="F86">
        <v>170.81500199999999</v>
      </c>
      <c r="G86">
        <v>176.13682600000001</v>
      </c>
      <c r="H86">
        <v>181.71563699999999</v>
      </c>
      <c r="I86">
        <v>186.99374399999999</v>
      </c>
      <c r="J86">
        <v>191.997818</v>
      </c>
      <c r="K86">
        <v>196.91232299999999</v>
      </c>
      <c r="L86">
        <v>201.643204</v>
      </c>
      <c r="M86">
        <v>206.12904399999999</v>
      </c>
      <c r="N86">
        <v>210.610321</v>
      </c>
      <c r="O86">
        <v>215.103973</v>
      </c>
      <c r="P86">
        <v>219.55053699999999</v>
      </c>
      <c r="Q86">
        <v>224.038712</v>
      </c>
      <c r="R86">
        <v>228.54315199999999</v>
      </c>
      <c r="S86">
        <v>233.07843</v>
      </c>
      <c r="T86">
        <v>237.658264</v>
      </c>
      <c r="U86">
        <v>242.240646</v>
      </c>
      <c r="V86">
        <v>246.835815</v>
      </c>
      <c r="W86">
        <v>251.42955000000001</v>
      </c>
      <c r="X86">
        <v>256.11627199999998</v>
      </c>
      <c r="Y86">
        <v>260.80026199999998</v>
      </c>
      <c r="Z86">
        <v>265.42575099999999</v>
      </c>
      <c r="AA86">
        <v>270.02954099999999</v>
      </c>
      <c r="AB86">
        <v>274.62905899999998</v>
      </c>
      <c r="AC86">
        <v>279.38412499999998</v>
      </c>
      <c r="AD86">
        <v>284.22396900000001</v>
      </c>
      <c r="AE86">
        <v>289.05740400000002</v>
      </c>
      <c r="AF86">
        <v>293.92370599999998</v>
      </c>
      <c r="AG86" s="22">
        <v>2.1000000000000001E-2</v>
      </c>
    </row>
    <row r="87" spans="1:33">
      <c r="A87" t="s">
        <v>113</v>
      </c>
    </row>
    <row r="88" spans="1:33">
      <c r="A88" t="s">
        <v>211</v>
      </c>
      <c r="B88" t="s">
        <v>2751</v>
      </c>
      <c r="C88" t="s">
        <v>2750</v>
      </c>
      <c r="D88" t="s">
        <v>202</v>
      </c>
      <c r="F88">
        <v>1413.1365969999999</v>
      </c>
      <c r="G88">
        <v>1426.5014650000001</v>
      </c>
      <c r="H88">
        <v>1461.8975829999999</v>
      </c>
      <c r="I88">
        <v>1494.7885739999999</v>
      </c>
      <c r="J88">
        <v>1522.10022</v>
      </c>
      <c r="K88">
        <v>1551.6201169999999</v>
      </c>
      <c r="L88">
        <v>1578.6829829999999</v>
      </c>
      <c r="M88">
        <v>1601.181519</v>
      </c>
      <c r="N88">
        <v>1627.146362</v>
      </c>
      <c r="O88">
        <v>1654.892212</v>
      </c>
      <c r="P88">
        <v>1681.6214600000001</v>
      </c>
      <c r="Q88">
        <v>1711.017578</v>
      </c>
      <c r="R88">
        <v>1740.960693</v>
      </c>
      <c r="S88">
        <v>1772.771851</v>
      </c>
      <c r="T88">
        <v>1806.9364009999999</v>
      </c>
      <c r="U88">
        <v>1841.1685789999999</v>
      </c>
      <c r="V88">
        <v>1875.4395750000001</v>
      </c>
      <c r="W88">
        <v>1909.125366</v>
      </c>
      <c r="X88">
        <v>1945.61853</v>
      </c>
      <c r="Y88">
        <v>1981.3470460000001</v>
      </c>
      <c r="Z88">
        <v>2014.714111</v>
      </c>
      <c r="AA88">
        <v>2047.454346</v>
      </c>
      <c r="AB88">
        <v>2079.6472170000002</v>
      </c>
      <c r="AC88">
        <v>2117.3378910000001</v>
      </c>
      <c r="AD88">
        <v>2157.5336910000001</v>
      </c>
      <c r="AE88">
        <v>2196.0695799999999</v>
      </c>
      <c r="AF88">
        <v>2234.092529</v>
      </c>
      <c r="AG88" s="22">
        <v>1.7999999999999999E-2</v>
      </c>
    </row>
    <row r="89" spans="1:33">
      <c r="A89" t="s">
        <v>217</v>
      </c>
      <c r="B89" t="s">
        <v>2749</v>
      </c>
      <c r="C89" t="s">
        <v>2748</v>
      </c>
      <c r="D89" t="s">
        <v>202</v>
      </c>
      <c r="F89">
        <v>891.301331</v>
      </c>
      <c r="G89">
        <v>899.92388900000003</v>
      </c>
      <c r="H89">
        <v>921.62634300000002</v>
      </c>
      <c r="I89">
        <v>941.72473100000002</v>
      </c>
      <c r="J89">
        <v>958.128784</v>
      </c>
      <c r="K89">
        <v>975.96337900000003</v>
      </c>
      <c r="L89">
        <v>992.16058299999997</v>
      </c>
      <c r="M89">
        <v>1005.340759</v>
      </c>
      <c r="N89">
        <v>1020.7742919999999</v>
      </c>
      <c r="O89">
        <v>1037.3516850000001</v>
      </c>
      <c r="P89">
        <v>1053.238525</v>
      </c>
      <c r="Q89">
        <v>1070.848389</v>
      </c>
      <c r="R89">
        <v>1088.7901609999999</v>
      </c>
      <c r="S89">
        <v>1107.924927</v>
      </c>
      <c r="T89">
        <v>1128.56665</v>
      </c>
      <c r="U89">
        <v>1149.2211910000001</v>
      </c>
      <c r="V89">
        <v>1169.857422</v>
      </c>
      <c r="W89">
        <v>1190.073975</v>
      </c>
      <c r="X89">
        <v>1212.082764</v>
      </c>
      <c r="Y89">
        <v>1233.553101</v>
      </c>
      <c r="Z89">
        <v>1253.446533</v>
      </c>
      <c r="AA89">
        <v>1272.8930660000001</v>
      </c>
      <c r="AB89">
        <v>1291.944702</v>
      </c>
      <c r="AC89">
        <v>1314.5280760000001</v>
      </c>
      <c r="AD89">
        <v>1338.692749</v>
      </c>
      <c r="AE89">
        <v>1361.732788</v>
      </c>
      <c r="AF89">
        <v>1384.3929439999999</v>
      </c>
      <c r="AG89" s="22">
        <v>1.7000000000000001E-2</v>
      </c>
    </row>
    <row r="90" spans="1:33">
      <c r="A90" t="s">
        <v>218</v>
      </c>
      <c r="B90" t="s">
        <v>2747</v>
      </c>
      <c r="C90" t="s">
        <v>2746</v>
      </c>
      <c r="D90" t="s">
        <v>202</v>
      </c>
      <c r="F90">
        <v>436.674622</v>
      </c>
      <c r="G90">
        <v>440.58538800000002</v>
      </c>
      <c r="H90">
        <v>452.23049900000001</v>
      </c>
      <c r="I90">
        <v>463.12853999999999</v>
      </c>
      <c r="J90">
        <v>472.50158699999997</v>
      </c>
      <c r="K90">
        <v>482.51437399999998</v>
      </c>
      <c r="L90">
        <v>491.86749300000002</v>
      </c>
      <c r="M90">
        <v>499.96688799999998</v>
      </c>
      <c r="N90">
        <v>509.061218</v>
      </c>
      <c r="O90">
        <v>518.682861</v>
      </c>
      <c r="P90">
        <v>528.04632600000002</v>
      </c>
      <c r="Q90">
        <v>538.18731700000001</v>
      </c>
      <c r="R90">
        <v>548.51232900000002</v>
      </c>
      <c r="S90">
        <v>559.39764400000001</v>
      </c>
      <c r="T90">
        <v>570.98431400000004</v>
      </c>
      <c r="U90">
        <v>582.62622099999999</v>
      </c>
      <c r="V90">
        <v>594.32861300000002</v>
      </c>
      <c r="W90">
        <v>605.90722700000003</v>
      </c>
      <c r="X90">
        <v>618.32934599999999</v>
      </c>
      <c r="Y90">
        <v>630.57855199999995</v>
      </c>
      <c r="Z90">
        <v>642.19775400000003</v>
      </c>
      <c r="AA90">
        <v>653.68176300000005</v>
      </c>
      <c r="AB90">
        <v>665.05255099999999</v>
      </c>
      <c r="AC90">
        <v>678.04998799999998</v>
      </c>
      <c r="AD90">
        <v>691.81976299999997</v>
      </c>
      <c r="AE90">
        <v>705.16479500000003</v>
      </c>
      <c r="AF90">
        <v>718.41540499999996</v>
      </c>
      <c r="AG90" s="22">
        <v>1.9E-2</v>
      </c>
    </row>
    <row r="91" spans="1:33">
      <c r="A91" t="s">
        <v>219</v>
      </c>
      <c r="B91" t="s">
        <v>2745</v>
      </c>
      <c r="C91" t="s">
        <v>2744</v>
      </c>
      <c r="D91" t="s">
        <v>202</v>
      </c>
      <c r="F91">
        <v>85.160713000000001</v>
      </c>
      <c r="G91">
        <v>85.992301999999995</v>
      </c>
      <c r="H91">
        <v>88.040931999999998</v>
      </c>
      <c r="I91">
        <v>89.935371000000004</v>
      </c>
      <c r="J91">
        <v>91.46978</v>
      </c>
      <c r="K91">
        <v>93.142380000000003</v>
      </c>
      <c r="L91">
        <v>94.655028999999999</v>
      </c>
      <c r="M91">
        <v>95.873885999999999</v>
      </c>
      <c r="N91">
        <v>97.310721999999998</v>
      </c>
      <c r="O91">
        <v>98.857651000000004</v>
      </c>
      <c r="P91">
        <v>100.33663199999999</v>
      </c>
      <c r="Q91">
        <v>101.981888</v>
      </c>
      <c r="R91">
        <v>103.65834</v>
      </c>
      <c r="S91">
        <v>105.449348</v>
      </c>
      <c r="T91">
        <v>107.385284</v>
      </c>
      <c r="U91">
        <v>109.321236</v>
      </c>
      <c r="V91">
        <v>111.25369999999999</v>
      </c>
      <c r="W91">
        <v>113.144081</v>
      </c>
      <c r="X91">
        <v>115.20652</v>
      </c>
      <c r="Y91">
        <v>117.21528600000001</v>
      </c>
      <c r="Z91">
        <v>119.069862</v>
      </c>
      <c r="AA91">
        <v>120.8797</v>
      </c>
      <c r="AB91">
        <v>122.649834</v>
      </c>
      <c r="AC91">
        <v>124.759933</v>
      </c>
      <c r="AD91">
        <v>127.021179</v>
      </c>
      <c r="AE91">
        <v>129.171875</v>
      </c>
      <c r="AF91">
        <v>131.28401199999999</v>
      </c>
      <c r="AG91" s="22">
        <v>1.7000000000000001E-2</v>
      </c>
    </row>
    <row r="92" spans="1:33">
      <c r="A92" t="s">
        <v>212</v>
      </c>
      <c r="B92" t="s">
        <v>2743</v>
      </c>
      <c r="C92" t="s">
        <v>2742</v>
      </c>
      <c r="D92" t="s">
        <v>202</v>
      </c>
      <c r="F92">
        <v>152.36386100000001</v>
      </c>
      <c r="G92">
        <v>153.52302599999999</v>
      </c>
      <c r="H92">
        <v>156.75119000000001</v>
      </c>
      <c r="I92">
        <v>159.98341400000001</v>
      </c>
      <c r="J92">
        <v>163.74202</v>
      </c>
      <c r="K92">
        <v>167.56549100000001</v>
      </c>
      <c r="L92">
        <v>171.46038799999999</v>
      </c>
      <c r="M92">
        <v>175.41145299999999</v>
      </c>
      <c r="N92">
        <v>179.41497799999999</v>
      </c>
      <c r="O92">
        <v>183.48805200000001</v>
      </c>
      <c r="P92">
        <v>187.62974500000001</v>
      </c>
      <c r="Q92">
        <v>191.84019499999999</v>
      </c>
      <c r="R92">
        <v>196.116074</v>
      </c>
      <c r="S92">
        <v>200.45474200000001</v>
      </c>
      <c r="T92">
        <v>204.85635400000001</v>
      </c>
      <c r="U92">
        <v>209.33021500000001</v>
      </c>
      <c r="V92">
        <v>213.874313</v>
      </c>
      <c r="W92">
        <v>218.496567</v>
      </c>
      <c r="X92">
        <v>223.19648699999999</v>
      </c>
      <c r="Y92">
        <v>227.97311400000001</v>
      </c>
      <c r="Z92">
        <v>232.822281</v>
      </c>
      <c r="AA92">
        <v>237.738586</v>
      </c>
      <c r="AB92">
        <v>242.73268100000001</v>
      </c>
      <c r="AC92">
        <v>247.81187399999999</v>
      </c>
      <c r="AD92">
        <v>252.97404499999999</v>
      </c>
      <c r="AE92">
        <v>258.22345000000001</v>
      </c>
      <c r="AF92">
        <v>263.55206299999998</v>
      </c>
      <c r="AG92" s="22">
        <v>2.1000000000000001E-2</v>
      </c>
    </row>
    <row r="93" spans="1:33">
      <c r="A93" t="s">
        <v>217</v>
      </c>
      <c r="B93" t="s">
        <v>2741</v>
      </c>
      <c r="C93" t="s">
        <v>2740</v>
      </c>
      <c r="D93" t="s">
        <v>202</v>
      </c>
      <c r="F93">
        <v>61.368454</v>
      </c>
      <c r="G93">
        <v>61.755752999999999</v>
      </c>
      <c r="H93">
        <v>62.900623000000003</v>
      </c>
      <c r="I93">
        <v>64.050490999999994</v>
      </c>
      <c r="J93">
        <v>65.383162999999996</v>
      </c>
      <c r="K93">
        <v>66.736900000000006</v>
      </c>
      <c r="L93">
        <v>68.113144000000005</v>
      </c>
      <c r="M93">
        <v>69.501968000000005</v>
      </c>
      <c r="N93">
        <v>70.902373999999995</v>
      </c>
      <c r="O93">
        <v>72.325660999999997</v>
      </c>
      <c r="P93">
        <v>73.770522999999997</v>
      </c>
      <c r="Q93">
        <v>75.236098999999996</v>
      </c>
      <c r="R93">
        <v>76.719832999999994</v>
      </c>
      <c r="S93">
        <v>78.221237000000002</v>
      </c>
      <c r="T93">
        <v>79.740027999999995</v>
      </c>
      <c r="U93">
        <v>81.281479000000004</v>
      </c>
      <c r="V93">
        <v>82.842986999999994</v>
      </c>
      <c r="W93">
        <v>84.428764000000001</v>
      </c>
      <c r="X93">
        <v>86.037711999999999</v>
      </c>
      <c r="Y93">
        <v>87.668266000000003</v>
      </c>
      <c r="Z93">
        <v>89.317466999999994</v>
      </c>
      <c r="AA93">
        <v>90.982123999999999</v>
      </c>
      <c r="AB93">
        <v>92.668227999999999</v>
      </c>
      <c r="AC93">
        <v>94.378203999999997</v>
      </c>
      <c r="AD93">
        <v>96.109825000000001</v>
      </c>
      <c r="AE93">
        <v>97.865311000000005</v>
      </c>
      <c r="AF93">
        <v>99.639763000000002</v>
      </c>
      <c r="AG93" s="22">
        <v>1.9E-2</v>
      </c>
    </row>
    <row r="94" spans="1:33">
      <c r="A94" t="s">
        <v>218</v>
      </c>
      <c r="B94" t="s">
        <v>2739</v>
      </c>
      <c r="C94" t="s">
        <v>2738</v>
      </c>
      <c r="D94" t="s">
        <v>202</v>
      </c>
      <c r="F94">
        <v>83.427338000000006</v>
      </c>
      <c r="G94">
        <v>84.148787999999996</v>
      </c>
      <c r="H94">
        <v>86.085739000000004</v>
      </c>
      <c r="I94">
        <v>88.021248</v>
      </c>
      <c r="J94">
        <v>90.276825000000002</v>
      </c>
      <c r="K94">
        <v>92.573463000000004</v>
      </c>
      <c r="L94">
        <v>94.916022999999996</v>
      </c>
      <c r="M94">
        <v>97.300262000000004</v>
      </c>
      <c r="N94">
        <v>99.723656000000005</v>
      </c>
      <c r="O94">
        <v>102.190704</v>
      </c>
      <c r="P94">
        <v>104.701958</v>
      </c>
      <c r="Q94">
        <v>107.25846900000001</v>
      </c>
      <c r="R94">
        <v>109.859718</v>
      </c>
      <c r="S94">
        <v>112.503685</v>
      </c>
      <c r="T94">
        <v>115.19077299999999</v>
      </c>
      <c r="U94">
        <v>117.92448400000001</v>
      </c>
      <c r="V94">
        <v>120.705574</v>
      </c>
      <c r="W94">
        <v>123.53733099999999</v>
      </c>
      <c r="X94">
        <v>126.420479</v>
      </c>
      <c r="Y94">
        <v>129.355728</v>
      </c>
      <c r="Z94">
        <v>132.34225499999999</v>
      </c>
      <c r="AA94">
        <v>135.37814299999999</v>
      </c>
      <c r="AB94">
        <v>138.46743799999999</v>
      </c>
      <c r="AC94">
        <v>141.61463900000001</v>
      </c>
      <c r="AD94">
        <v>144.82011399999999</v>
      </c>
      <c r="AE94">
        <v>148.08566300000001</v>
      </c>
      <c r="AF94">
        <v>151.40867600000001</v>
      </c>
      <c r="AG94" s="22">
        <v>2.3E-2</v>
      </c>
    </row>
    <row r="95" spans="1:33">
      <c r="A95" t="s">
        <v>219</v>
      </c>
      <c r="B95" t="s">
        <v>2737</v>
      </c>
      <c r="C95" t="s">
        <v>2736</v>
      </c>
      <c r="D95" t="s">
        <v>202</v>
      </c>
      <c r="F95">
        <v>7.5680759999999996</v>
      </c>
      <c r="G95">
        <v>7.6184760000000002</v>
      </c>
      <c r="H95">
        <v>7.7648130000000002</v>
      </c>
      <c r="I95">
        <v>7.9116549999999997</v>
      </c>
      <c r="J95">
        <v>8.0820089999999993</v>
      </c>
      <c r="K95">
        <v>8.2551279999999991</v>
      </c>
      <c r="L95">
        <v>8.4312310000000004</v>
      </c>
      <c r="M95">
        <v>8.6092189999999995</v>
      </c>
      <c r="N95">
        <v>8.7889490000000006</v>
      </c>
      <c r="O95">
        <v>8.9716729999999991</v>
      </c>
      <c r="P95">
        <v>9.1572580000000006</v>
      </c>
      <c r="Q95">
        <v>9.3456290000000006</v>
      </c>
      <c r="R95">
        <v>9.5365099999999998</v>
      </c>
      <c r="S95">
        <v>9.7298229999999997</v>
      </c>
      <c r="T95">
        <v>9.9255460000000006</v>
      </c>
      <c r="U95">
        <v>10.124275000000001</v>
      </c>
      <c r="V95">
        <v>10.325751</v>
      </c>
      <c r="W95">
        <v>10.530459</v>
      </c>
      <c r="X95">
        <v>10.738293000000001</v>
      </c>
      <c r="Y95">
        <v>10.9491</v>
      </c>
      <c r="Z95">
        <v>11.162554999999999</v>
      </c>
      <c r="AA95">
        <v>11.378303000000001</v>
      </c>
      <c r="AB95">
        <v>11.597022000000001</v>
      </c>
      <c r="AC95">
        <v>11.819027</v>
      </c>
      <c r="AD95">
        <v>12.044098</v>
      </c>
      <c r="AE95">
        <v>12.27248</v>
      </c>
      <c r="AF95">
        <v>12.503633000000001</v>
      </c>
      <c r="AG95" s="22">
        <v>1.9E-2</v>
      </c>
    </row>
    <row r="96" spans="1:33">
      <c r="A96" t="s">
        <v>2459</v>
      </c>
      <c r="B96" t="s">
        <v>2735</v>
      </c>
      <c r="C96" t="s">
        <v>2734</v>
      </c>
      <c r="D96" t="s">
        <v>202</v>
      </c>
      <c r="F96">
        <v>121.859619</v>
      </c>
      <c r="G96">
        <v>125.195145</v>
      </c>
      <c r="H96">
        <v>129.65220600000001</v>
      </c>
      <c r="I96">
        <v>134.19151299999999</v>
      </c>
      <c r="J96">
        <v>138.78720100000001</v>
      </c>
      <c r="K96">
        <v>143.481537</v>
      </c>
      <c r="L96">
        <v>148.29257200000001</v>
      </c>
      <c r="M96">
        <v>153.225021</v>
      </c>
      <c r="N96">
        <v>158.290054</v>
      </c>
      <c r="O96">
        <v>163.49423200000001</v>
      </c>
      <c r="P96">
        <v>168.83616599999999</v>
      </c>
      <c r="Q96">
        <v>174.319244</v>
      </c>
      <c r="R96">
        <v>179.94657900000001</v>
      </c>
      <c r="S96">
        <v>185.72126800000001</v>
      </c>
      <c r="T96">
        <v>191.64660599999999</v>
      </c>
      <c r="U96">
        <v>197.718277</v>
      </c>
      <c r="V96">
        <v>203.93481399999999</v>
      </c>
      <c r="W96">
        <v>210.30452</v>
      </c>
      <c r="X96">
        <v>216.828598</v>
      </c>
      <c r="Y96">
        <v>223.50592</v>
      </c>
      <c r="Z96">
        <v>230.341354</v>
      </c>
      <c r="AA96">
        <v>237.33680699999999</v>
      </c>
      <c r="AB96">
        <v>244.49108899999999</v>
      </c>
      <c r="AC96">
        <v>251.80650299999999</v>
      </c>
      <c r="AD96">
        <v>259.290009</v>
      </c>
      <c r="AE96">
        <v>266.94113199999998</v>
      </c>
      <c r="AF96">
        <v>274.760559</v>
      </c>
      <c r="AG96" s="22">
        <v>3.2000000000000001E-2</v>
      </c>
    </row>
    <row r="97" spans="1:33">
      <c r="A97" t="s">
        <v>217</v>
      </c>
      <c r="B97" t="s">
        <v>2733</v>
      </c>
      <c r="C97" t="s">
        <v>2732</v>
      </c>
      <c r="D97" t="s">
        <v>202</v>
      </c>
      <c r="F97">
        <v>91.602242000000004</v>
      </c>
      <c r="G97">
        <v>94.111480999999998</v>
      </c>
      <c r="H97">
        <v>97.493561</v>
      </c>
      <c r="I97">
        <v>100.93884300000001</v>
      </c>
      <c r="J97">
        <v>104.42688800000001</v>
      </c>
      <c r="K97">
        <v>107.990891</v>
      </c>
      <c r="L97">
        <v>111.64505</v>
      </c>
      <c r="M97">
        <v>115.39299800000001</v>
      </c>
      <c r="N97">
        <v>119.24353000000001</v>
      </c>
      <c r="O97">
        <v>123.201813</v>
      </c>
      <c r="P97">
        <v>127.26692199999999</v>
      </c>
      <c r="Q97">
        <v>131.441498</v>
      </c>
      <c r="R97">
        <v>135.728027</v>
      </c>
      <c r="S97">
        <v>140.128952</v>
      </c>
      <c r="T97">
        <v>144.646851</v>
      </c>
      <c r="U97">
        <v>149.27865600000001</v>
      </c>
      <c r="V97">
        <v>154.02299500000001</v>
      </c>
      <c r="W97">
        <v>158.886414</v>
      </c>
      <c r="X97">
        <v>163.869934</v>
      </c>
      <c r="Y97">
        <v>168.97294600000001</v>
      </c>
      <c r="Z97">
        <v>174.199219</v>
      </c>
      <c r="AA97">
        <v>179.550308</v>
      </c>
      <c r="AB97">
        <v>185.025543</v>
      </c>
      <c r="AC97">
        <v>190.626801</v>
      </c>
      <c r="AD97">
        <v>196.35943599999999</v>
      </c>
      <c r="AE97">
        <v>202.223251</v>
      </c>
      <c r="AF97">
        <v>208.219009</v>
      </c>
      <c r="AG97" s="22">
        <v>3.2000000000000001E-2</v>
      </c>
    </row>
    <row r="98" spans="1:33">
      <c r="A98" t="s">
        <v>218</v>
      </c>
      <c r="B98" t="s">
        <v>2731</v>
      </c>
      <c r="C98" t="s">
        <v>2730</v>
      </c>
      <c r="D98" t="s">
        <v>202</v>
      </c>
      <c r="F98">
        <v>23.761005000000001</v>
      </c>
      <c r="G98">
        <v>24.408756</v>
      </c>
      <c r="H98">
        <v>25.234297000000002</v>
      </c>
      <c r="I98">
        <v>26.073988</v>
      </c>
      <c r="J98">
        <v>26.924144999999999</v>
      </c>
      <c r="K98">
        <v>27.791046000000001</v>
      </c>
      <c r="L98">
        <v>28.677401</v>
      </c>
      <c r="M98">
        <v>29.583922999999999</v>
      </c>
      <c r="N98">
        <v>30.512312000000001</v>
      </c>
      <c r="O98">
        <v>31.463519999999999</v>
      </c>
      <c r="P98">
        <v>32.437064999999997</v>
      </c>
      <c r="Q98">
        <v>33.433472000000002</v>
      </c>
      <c r="R98">
        <v>34.453217000000002</v>
      </c>
      <c r="S98">
        <v>35.496718999999999</v>
      </c>
      <c r="T98">
        <v>36.564480000000003</v>
      </c>
      <c r="U98">
        <v>37.655369</v>
      </c>
      <c r="V98">
        <v>38.769539000000002</v>
      </c>
      <c r="W98">
        <v>39.908172999999998</v>
      </c>
      <c r="X98">
        <v>41.071285000000003</v>
      </c>
      <c r="Y98">
        <v>42.258408000000003</v>
      </c>
      <c r="Z98">
        <v>43.470329</v>
      </c>
      <c r="AA98">
        <v>44.707180000000001</v>
      </c>
      <c r="AB98">
        <v>45.968494</v>
      </c>
      <c r="AC98">
        <v>47.254497999999998</v>
      </c>
      <c r="AD98">
        <v>48.566391000000003</v>
      </c>
      <c r="AE98">
        <v>49.903812000000002</v>
      </c>
      <c r="AF98">
        <v>51.266669999999998</v>
      </c>
      <c r="AG98" s="22">
        <v>0.03</v>
      </c>
    </row>
    <row r="99" spans="1:33">
      <c r="A99" t="s">
        <v>219</v>
      </c>
      <c r="B99" t="s">
        <v>2729</v>
      </c>
      <c r="C99" t="s">
        <v>2728</v>
      </c>
      <c r="D99" t="s">
        <v>202</v>
      </c>
      <c r="F99">
        <v>6.4963730000000002</v>
      </c>
      <c r="G99">
        <v>6.674906</v>
      </c>
      <c r="H99">
        <v>6.9243430000000004</v>
      </c>
      <c r="I99">
        <v>7.1786789999999998</v>
      </c>
      <c r="J99">
        <v>7.4361629999999996</v>
      </c>
      <c r="K99">
        <v>7.6995829999999996</v>
      </c>
      <c r="L99">
        <v>7.9701230000000001</v>
      </c>
      <c r="M99">
        <v>8.2480860000000007</v>
      </c>
      <c r="N99">
        <v>8.5342029999999998</v>
      </c>
      <c r="O99">
        <v>8.8289120000000008</v>
      </c>
      <c r="P99">
        <v>9.1321910000000006</v>
      </c>
      <c r="Q99">
        <v>9.4442579999999996</v>
      </c>
      <c r="R99">
        <v>9.7653230000000004</v>
      </c>
      <c r="S99">
        <v>10.09559</v>
      </c>
      <c r="T99">
        <v>10.435283999999999</v>
      </c>
      <c r="U99">
        <v>10.784245</v>
      </c>
      <c r="V99">
        <v>11.142282</v>
      </c>
      <c r="W99">
        <v>11.509945999999999</v>
      </c>
      <c r="X99">
        <v>11.887375</v>
      </c>
      <c r="Y99">
        <v>12.274566</v>
      </c>
      <c r="Z99">
        <v>12.671827</v>
      </c>
      <c r="AA99">
        <v>13.079319</v>
      </c>
      <c r="AB99">
        <v>13.497047999999999</v>
      </c>
      <c r="AC99">
        <v>13.925196</v>
      </c>
      <c r="AD99">
        <v>14.364179999999999</v>
      </c>
      <c r="AE99">
        <v>14.814038999999999</v>
      </c>
      <c r="AF99">
        <v>15.274884999999999</v>
      </c>
      <c r="AG99" s="22">
        <v>3.3000000000000002E-2</v>
      </c>
    </row>
    <row r="100" spans="1:33">
      <c r="A100" t="s">
        <v>2456</v>
      </c>
      <c r="B100" t="s">
        <v>2727</v>
      </c>
      <c r="C100" t="s">
        <v>2726</v>
      </c>
      <c r="D100" t="s">
        <v>202</v>
      </c>
      <c r="F100">
        <v>1702.777466</v>
      </c>
      <c r="G100">
        <v>1684.4600829999999</v>
      </c>
      <c r="H100">
        <v>1718.778198</v>
      </c>
      <c r="I100">
        <v>1753.4241939999999</v>
      </c>
      <c r="J100">
        <v>1788.4212649999999</v>
      </c>
      <c r="K100">
        <v>1823.810669</v>
      </c>
      <c r="L100">
        <v>1859.6085210000001</v>
      </c>
      <c r="M100">
        <v>1895.7563479999999</v>
      </c>
      <c r="N100">
        <v>1932.350952</v>
      </c>
      <c r="O100">
        <v>1969.5593260000001</v>
      </c>
      <c r="P100">
        <v>2007.447144</v>
      </c>
      <c r="Q100">
        <v>2045.962769</v>
      </c>
      <c r="R100">
        <v>2085.1594239999999</v>
      </c>
      <c r="S100">
        <v>2124.968018</v>
      </c>
      <c r="T100">
        <v>2165.3234859999998</v>
      </c>
      <c r="U100">
        <v>2206.2604980000001</v>
      </c>
      <c r="V100">
        <v>2247.774414</v>
      </c>
      <c r="W100">
        <v>2289.8474120000001</v>
      </c>
      <c r="X100">
        <v>2332.5178219999998</v>
      </c>
      <c r="Y100">
        <v>2375.7565920000002</v>
      </c>
      <c r="Z100">
        <v>2419.5266109999998</v>
      </c>
      <c r="AA100">
        <v>2463.798828</v>
      </c>
      <c r="AB100">
        <v>2508.6098630000001</v>
      </c>
      <c r="AC100">
        <v>2553.9504390000002</v>
      </c>
      <c r="AD100">
        <v>2599.780029</v>
      </c>
      <c r="AE100">
        <v>2646.1127929999998</v>
      </c>
      <c r="AF100">
        <v>2692.961914</v>
      </c>
      <c r="AG100" s="22">
        <v>1.7999999999999999E-2</v>
      </c>
    </row>
    <row r="101" spans="1:33">
      <c r="A101" t="s">
        <v>217</v>
      </c>
      <c r="B101" t="s">
        <v>2725</v>
      </c>
      <c r="C101" t="s">
        <v>2724</v>
      </c>
      <c r="D101" t="s">
        <v>202</v>
      </c>
      <c r="F101">
        <v>853.27618399999994</v>
      </c>
      <c r="G101">
        <v>864.38037099999997</v>
      </c>
      <c r="H101">
        <v>883.00707999999997</v>
      </c>
      <c r="I101">
        <v>901.83013900000003</v>
      </c>
      <c r="J101">
        <v>920.840149</v>
      </c>
      <c r="K101">
        <v>940.03234899999995</v>
      </c>
      <c r="L101">
        <v>959.41461200000003</v>
      </c>
      <c r="M101">
        <v>978.95013400000005</v>
      </c>
      <c r="N101">
        <v>998.71148700000003</v>
      </c>
      <c r="O101">
        <v>1018.817078</v>
      </c>
      <c r="P101">
        <v>1039.30249</v>
      </c>
      <c r="Q101">
        <v>1060.1397710000001</v>
      </c>
      <c r="R101">
        <v>1081.369751</v>
      </c>
      <c r="S101">
        <v>1102.944702</v>
      </c>
      <c r="T101">
        <v>1124.827393</v>
      </c>
      <c r="U101">
        <v>1147.043457</v>
      </c>
      <c r="V101">
        <v>1169.591919</v>
      </c>
      <c r="W101">
        <v>1192.462524</v>
      </c>
      <c r="X101">
        <v>1215.6829829999999</v>
      </c>
      <c r="Y101">
        <v>1239.238525</v>
      </c>
      <c r="Z101">
        <v>1263.104736</v>
      </c>
      <c r="AA101">
        <v>1287.2658690000001</v>
      </c>
      <c r="AB101">
        <v>1311.746582</v>
      </c>
      <c r="AC101">
        <v>1336.5437010000001</v>
      </c>
      <c r="AD101">
        <v>1361.6401370000001</v>
      </c>
      <c r="AE101">
        <v>1387.051025</v>
      </c>
      <c r="AF101">
        <v>1412.789673</v>
      </c>
      <c r="AG101" s="22">
        <v>0.02</v>
      </c>
    </row>
    <row r="102" spans="1:33">
      <c r="A102" t="s">
        <v>218</v>
      </c>
      <c r="B102" t="s">
        <v>2723</v>
      </c>
      <c r="C102" t="s">
        <v>2722</v>
      </c>
      <c r="D102" t="s">
        <v>202</v>
      </c>
      <c r="F102">
        <v>789.53143299999999</v>
      </c>
      <c r="G102">
        <v>758.97247300000004</v>
      </c>
      <c r="H102">
        <v>773.32983400000001</v>
      </c>
      <c r="I102">
        <v>787.80413799999997</v>
      </c>
      <c r="J102">
        <v>802.42926</v>
      </c>
      <c r="K102">
        <v>817.251892</v>
      </c>
      <c r="L102">
        <v>832.27978499999995</v>
      </c>
      <c r="M102">
        <v>847.49426300000005</v>
      </c>
      <c r="N102">
        <v>862.913635</v>
      </c>
      <c r="O102">
        <v>878.57763699999998</v>
      </c>
      <c r="P102">
        <v>894.513733</v>
      </c>
      <c r="Q102">
        <v>910.70086700000002</v>
      </c>
      <c r="R102">
        <v>927.14721699999996</v>
      </c>
      <c r="S102">
        <v>943.83605999999997</v>
      </c>
      <c r="T102">
        <v>960.74182099999996</v>
      </c>
      <c r="U102">
        <v>977.87133800000004</v>
      </c>
      <c r="V102">
        <v>995.22137499999997</v>
      </c>
      <c r="W102">
        <v>1012.784912</v>
      </c>
      <c r="X102">
        <v>1030.570557</v>
      </c>
      <c r="Y102">
        <v>1048.565063</v>
      </c>
      <c r="Z102">
        <v>1066.7570800000001</v>
      </c>
      <c r="AA102">
        <v>1085.1357419999999</v>
      </c>
      <c r="AB102">
        <v>1103.709717</v>
      </c>
      <c r="AC102">
        <v>1122.473999</v>
      </c>
      <c r="AD102">
        <v>1141.405884</v>
      </c>
      <c r="AE102">
        <v>1160.5032960000001</v>
      </c>
      <c r="AF102">
        <v>1179.7651370000001</v>
      </c>
      <c r="AG102" s="22">
        <v>1.6E-2</v>
      </c>
    </row>
    <row r="103" spans="1:33">
      <c r="A103" t="s">
        <v>219</v>
      </c>
      <c r="B103" t="s">
        <v>2721</v>
      </c>
      <c r="C103" t="s">
        <v>2720</v>
      </c>
      <c r="D103" t="s">
        <v>202</v>
      </c>
      <c r="F103">
        <v>59.969872000000002</v>
      </c>
      <c r="G103">
        <v>61.107044000000002</v>
      </c>
      <c r="H103">
        <v>62.441302999999998</v>
      </c>
      <c r="I103">
        <v>63.789932</v>
      </c>
      <c r="J103">
        <v>65.151886000000005</v>
      </c>
      <c r="K103">
        <v>66.526398</v>
      </c>
      <c r="L103">
        <v>67.914017000000001</v>
      </c>
      <c r="M103">
        <v>69.312019000000006</v>
      </c>
      <c r="N103">
        <v>70.725921999999997</v>
      </c>
      <c r="O103">
        <v>72.164658000000003</v>
      </c>
      <c r="P103">
        <v>73.630791000000002</v>
      </c>
      <c r="Q103">
        <v>75.122298999999998</v>
      </c>
      <c r="R103">
        <v>76.642325999999997</v>
      </c>
      <c r="S103">
        <v>78.187247999999997</v>
      </c>
      <c r="T103">
        <v>79.754401999999999</v>
      </c>
      <c r="U103">
        <v>81.345741000000004</v>
      </c>
      <c r="V103">
        <v>82.961181999999994</v>
      </c>
      <c r="W103">
        <v>84.599997999999999</v>
      </c>
      <c r="X103">
        <v>86.264313000000001</v>
      </c>
      <c r="Y103">
        <v>87.953048999999993</v>
      </c>
      <c r="Z103">
        <v>89.664421000000004</v>
      </c>
      <c r="AA103">
        <v>91.397246999999993</v>
      </c>
      <c r="AB103">
        <v>93.153435000000002</v>
      </c>
      <c r="AC103">
        <v>94.932747000000006</v>
      </c>
      <c r="AD103">
        <v>96.734047000000004</v>
      </c>
      <c r="AE103">
        <v>98.558548000000002</v>
      </c>
      <c r="AF103">
        <v>100.40728799999999</v>
      </c>
      <c r="AG103" s="22">
        <v>0.02</v>
      </c>
    </row>
    <row r="104" spans="1:33">
      <c r="A104" t="s">
        <v>1262</v>
      </c>
      <c r="B104" t="s">
        <v>2719</v>
      </c>
      <c r="C104" t="s">
        <v>2718</v>
      </c>
      <c r="D104" t="s">
        <v>202</v>
      </c>
      <c r="F104">
        <v>238.66572600000001</v>
      </c>
      <c r="G104">
        <v>223.10365300000001</v>
      </c>
      <c r="H104">
        <v>224.82252500000001</v>
      </c>
      <c r="I104">
        <v>226.523438</v>
      </c>
      <c r="J104">
        <v>227.73524499999999</v>
      </c>
      <c r="K104">
        <v>228.690414</v>
      </c>
      <c r="L104">
        <v>229.440247</v>
      </c>
      <c r="M104">
        <v>229.91059899999999</v>
      </c>
      <c r="N104">
        <v>230.30450400000001</v>
      </c>
      <c r="O104">
        <v>230.581818</v>
      </c>
      <c r="P104">
        <v>230.667923</v>
      </c>
      <c r="Q104">
        <v>230.58933999999999</v>
      </c>
      <c r="R104">
        <v>230.37927199999999</v>
      </c>
      <c r="S104">
        <v>230.12742600000001</v>
      </c>
      <c r="T104">
        <v>229.833282</v>
      </c>
      <c r="U104">
        <v>229.48713699999999</v>
      </c>
      <c r="V104">
        <v>229.18249499999999</v>
      </c>
      <c r="W104">
        <v>228.95282</v>
      </c>
      <c r="X104">
        <v>228.79997299999999</v>
      </c>
      <c r="Y104">
        <v>228.73371900000001</v>
      </c>
      <c r="Z104">
        <v>228.76908900000001</v>
      </c>
      <c r="AA104">
        <v>228.969482</v>
      </c>
      <c r="AB104">
        <v>229.32295199999999</v>
      </c>
      <c r="AC104">
        <v>229.784988</v>
      </c>
      <c r="AD104">
        <v>230.312836</v>
      </c>
      <c r="AE104">
        <v>230.87681599999999</v>
      </c>
      <c r="AF104">
        <v>231.55372600000001</v>
      </c>
      <c r="AG104" s="22">
        <v>-1E-3</v>
      </c>
    </row>
    <row r="105" spans="1:33">
      <c r="A105" t="s">
        <v>217</v>
      </c>
      <c r="B105" t="s">
        <v>2717</v>
      </c>
      <c r="C105" t="s">
        <v>2716</v>
      </c>
      <c r="D105" t="s">
        <v>202</v>
      </c>
      <c r="F105">
        <v>76.344016999999994</v>
      </c>
      <c r="G105">
        <v>75.495750000000001</v>
      </c>
      <c r="H105">
        <v>75.999092000000005</v>
      </c>
      <c r="I105">
        <v>76.499649000000005</v>
      </c>
      <c r="J105">
        <v>76.932747000000006</v>
      </c>
      <c r="K105">
        <v>77.331992999999997</v>
      </c>
      <c r="L105">
        <v>77.703902999999997</v>
      </c>
      <c r="M105">
        <v>78.037102000000004</v>
      </c>
      <c r="N105">
        <v>78.360275000000001</v>
      </c>
      <c r="O105">
        <v>78.668059999999997</v>
      </c>
      <c r="P105">
        <v>78.948966999999996</v>
      </c>
      <c r="Q105">
        <v>79.205803000000003</v>
      </c>
      <c r="R105">
        <v>79.444748000000004</v>
      </c>
      <c r="S105">
        <v>79.679276000000002</v>
      </c>
      <c r="T105">
        <v>79.909728999999999</v>
      </c>
      <c r="U105">
        <v>80.134590000000003</v>
      </c>
      <c r="V105">
        <v>80.363724000000005</v>
      </c>
      <c r="W105">
        <v>80.602538999999993</v>
      </c>
      <c r="X105">
        <v>80.853667999999999</v>
      </c>
      <c r="Y105">
        <v>81.120720000000006</v>
      </c>
      <c r="Z105">
        <v>81.404731999999996</v>
      </c>
      <c r="AA105">
        <v>81.714691000000002</v>
      </c>
      <c r="AB105">
        <v>82.049362000000002</v>
      </c>
      <c r="AC105">
        <v>82.403510999999995</v>
      </c>
      <c r="AD105">
        <v>82.770927</v>
      </c>
      <c r="AE105">
        <v>83.146118000000001</v>
      </c>
      <c r="AF105">
        <v>83.539519999999996</v>
      </c>
      <c r="AG105" s="22">
        <v>3.0000000000000001E-3</v>
      </c>
    </row>
    <row r="106" spans="1:33">
      <c r="A106" t="s">
        <v>218</v>
      </c>
      <c r="B106" t="s">
        <v>2715</v>
      </c>
      <c r="C106" t="s">
        <v>2714</v>
      </c>
      <c r="D106" t="s">
        <v>202</v>
      </c>
      <c r="F106">
        <v>155.10116600000001</v>
      </c>
      <c r="G106">
        <v>140.39276100000001</v>
      </c>
      <c r="H106">
        <v>141.56153900000001</v>
      </c>
      <c r="I106">
        <v>142.71534700000001</v>
      </c>
      <c r="J106">
        <v>143.45225500000001</v>
      </c>
      <c r="K106">
        <v>143.96871899999999</v>
      </c>
      <c r="L106">
        <v>144.30908199999999</v>
      </c>
      <c r="M106">
        <v>144.411407</v>
      </c>
      <c r="N106">
        <v>144.44798299999999</v>
      </c>
      <c r="O106">
        <v>144.38443000000001</v>
      </c>
      <c r="P106">
        <v>144.158447</v>
      </c>
      <c r="Q106">
        <v>143.79367099999999</v>
      </c>
      <c r="R106">
        <v>143.31648300000001</v>
      </c>
      <c r="S106">
        <v>142.80221599999999</v>
      </c>
      <c r="T106">
        <v>142.24996899999999</v>
      </c>
      <c r="U106">
        <v>141.65159600000001</v>
      </c>
      <c r="V106">
        <v>141.09025600000001</v>
      </c>
      <c r="W106">
        <v>140.593491</v>
      </c>
      <c r="X106">
        <v>140.16030900000001</v>
      </c>
      <c r="Y106">
        <v>139.796539</v>
      </c>
      <c r="Z106">
        <v>139.516098</v>
      </c>
      <c r="AA106">
        <v>139.372772</v>
      </c>
      <c r="AB106">
        <v>139.355896</v>
      </c>
      <c r="AC106">
        <v>139.42652899999999</v>
      </c>
      <c r="AD106">
        <v>139.54863</v>
      </c>
      <c r="AE106">
        <v>139.698395</v>
      </c>
      <c r="AF106">
        <v>139.94148300000001</v>
      </c>
      <c r="AG106" s="22">
        <v>-4.0000000000000001E-3</v>
      </c>
    </row>
    <row r="107" spans="1:33">
      <c r="A107" t="s">
        <v>219</v>
      </c>
      <c r="B107" t="s">
        <v>2713</v>
      </c>
      <c r="C107" t="s">
        <v>2712</v>
      </c>
      <c r="D107" t="s">
        <v>202</v>
      </c>
      <c r="F107">
        <v>7.2205240000000002</v>
      </c>
      <c r="G107">
        <v>7.2151449999999997</v>
      </c>
      <c r="H107">
        <v>7.2619069999999999</v>
      </c>
      <c r="I107">
        <v>7.3084600000000002</v>
      </c>
      <c r="J107">
        <v>7.3502470000000004</v>
      </c>
      <c r="K107">
        <v>7.3897050000000002</v>
      </c>
      <c r="L107">
        <v>7.4272729999999996</v>
      </c>
      <c r="M107">
        <v>7.4620990000000003</v>
      </c>
      <c r="N107">
        <v>7.496238</v>
      </c>
      <c r="O107">
        <v>7.529318</v>
      </c>
      <c r="P107">
        <v>7.5604779999999998</v>
      </c>
      <c r="Q107">
        <v>7.58988</v>
      </c>
      <c r="R107">
        <v>7.6180279999999998</v>
      </c>
      <c r="S107">
        <v>7.6459200000000003</v>
      </c>
      <c r="T107">
        <v>7.6735980000000001</v>
      </c>
      <c r="U107">
        <v>7.7009480000000003</v>
      </c>
      <c r="V107">
        <v>7.7285380000000004</v>
      </c>
      <c r="W107">
        <v>7.7567839999999997</v>
      </c>
      <c r="X107">
        <v>7.7859730000000003</v>
      </c>
      <c r="Y107">
        <v>7.8164540000000002</v>
      </c>
      <c r="Z107">
        <v>7.8482589999999997</v>
      </c>
      <c r="AA107">
        <v>7.8820300000000003</v>
      </c>
      <c r="AB107">
        <v>7.9176989999999998</v>
      </c>
      <c r="AC107">
        <v>7.9549339999999997</v>
      </c>
      <c r="AD107">
        <v>7.9932819999999998</v>
      </c>
      <c r="AE107">
        <v>8.0322990000000001</v>
      </c>
      <c r="AF107">
        <v>8.0727130000000002</v>
      </c>
      <c r="AG107" s="22">
        <v>4.0000000000000001E-3</v>
      </c>
    </row>
    <row r="108" spans="1:33">
      <c r="A108" t="s">
        <v>1265</v>
      </c>
      <c r="B108" t="s">
        <v>2711</v>
      </c>
      <c r="C108" t="s">
        <v>2710</v>
      </c>
      <c r="D108" t="s">
        <v>202</v>
      </c>
      <c r="F108">
        <v>209.76535000000001</v>
      </c>
      <c r="G108">
        <v>198.410461</v>
      </c>
      <c r="H108">
        <v>204.20455899999999</v>
      </c>
      <c r="I108">
        <v>210.181107</v>
      </c>
      <c r="J108">
        <v>216.36660800000001</v>
      </c>
      <c r="K108">
        <v>222.59574900000001</v>
      </c>
      <c r="L108">
        <v>228.884109</v>
      </c>
      <c r="M108">
        <v>235.27534499999999</v>
      </c>
      <c r="N108">
        <v>241.74443099999999</v>
      </c>
      <c r="O108">
        <v>248.28384399999999</v>
      </c>
      <c r="P108">
        <v>254.90438800000001</v>
      </c>
      <c r="Q108">
        <v>261.56607100000002</v>
      </c>
      <c r="R108">
        <v>268.30892899999998</v>
      </c>
      <c r="S108">
        <v>275.14407299999999</v>
      </c>
      <c r="T108">
        <v>281.98040800000001</v>
      </c>
      <c r="U108">
        <v>288.88665800000001</v>
      </c>
      <c r="V108">
        <v>295.86978099999999</v>
      </c>
      <c r="W108">
        <v>302.95361300000002</v>
      </c>
      <c r="X108">
        <v>310.138306</v>
      </c>
      <c r="Y108">
        <v>317.42541499999999</v>
      </c>
      <c r="Z108">
        <v>324.80920400000002</v>
      </c>
      <c r="AA108">
        <v>332.28497299999998</v>
      </c>
      <c r="AB108">
        <v>339.851654</v>
      </c>
      <c r="AC108">
        <v>347.50949100000003</v>
      </c>
      <c r="AD108">
        <v>355.26086400000003</v>
      </c>
      <c r="AE108">
        <v>363.10723899999999</v>
      </c>
      <c r="AF108">
        <v>371.05029300000001</v>
      </c>
      <c r="AG108" s="22">
        <v>2.1999999999999999E-2</v>
      </c>
    </row>
    <row r="109" spans="1:33">
      <c r="A109" t="s">
        <v>217</v>
      </c>
      <c r="B109" t="s">
        <v>2709</v>
      </c>
      <c r="C109" t="s">
        <v>2708</v>
      </c>
      <c r="D109" t="s">
        <v>202</v>
      </c>
      <c r="F109">
        <v>68.958838999999998</v>
      </c>
      <c r="G109">
        <v>69.029549000000003</v>
      </c>
      <c r="H109">
        <v>70.989502000000002</v>
      </c>
      <c r="I109">
        <v>73.001082999999994</v>
      </c>
      <c r="J109">
        <v>75.059714999999997</v>
      </c>
      <c r="K109">
        <v>77.106376999999995</v>
      </c>
      <c r="L109">
        <v>79.154151999999996</v>
      </c>
      <c r="M109">
        <v>81.230057000000002</v>
      </c>
      <c r="N109">
        <v>83.319061000000005</v>
      </c>
      <c r="O109">
        <v>85.415817000000004</v>
      </c>
      <c r="P109">
        <v>87.526343999999995</v>
      </c>
      <c r="Q109">
        <v>89.624747999999997</v>
      </c>
      <c r="R109">
        <v>91.734511999999995</v>
      </c>
      <c r="S109">
        <v>93.862258999999995</v>
      </c>
      <c r="T109">
        <v>95.950119000000001</v>
      </c>
      <c r="U109">
        <v>98.039237999999997</v>
      </c>
      <c r="V109">
        <v>100.13226299999999</v>
      </c>
      <c r="W109">
        <v>102.24350699999999</v>
      </c>
      <c r="X109">
        <v>104.372215</v>
      </c>
      <c r="Y109">
        <v>106.518837</v>
      </c>
      <c r="Z109">
        <v>108.679497</v>
      </c>
      <c r="AA109">
        <v>110.851067</v>
      </c>
      <c r="AB109">
        <v>113.03274500000001</v>
      </c>
      <c r="AC109">
        <v>115.22473100000001</v>
      </c>
      <c r="AD109">
        <v>117.428017</v>
      </c>
      <c r="AE109">
        <v>119.643028</v>
      </c>
      <c r="AF109">
        <v>121.870476</v>
      </c>
      <c r="AG109" s="22">
        <v>2.1999999999999999E-2</v>
      </c>
    </row>
    <row r="110" spans="1:33">
      <c r="A110" t="s">
        <v>218</v>
      </c>
      <c r="B110" t="s">
        <v>2707</v>
      </c>
      <c r="C110" t="s">
        <v>2706</v>
      </c>
      <c r="D110" t="s">
        <v>202</v>
      </c>
      <c r="F110">
        <v>134.86244199999999</v>
      </c>
      <c r="G110">
        <v>123.36409</v>
      </c>
      <c r="H110">
        <v>127.02831999999999</v>
      </c>
      <c r="I110">
        <v>130.81907699999999</v>
      </c>
      <c r="J110">
        <v>134.768036</v>
      </c>
      <c r="K110">
        <v>138.774124</v>
      </c>
      <c r="L110">
        <v>142.83854700000001</v>
      </c>
      <c r="M110">
        <v>146.975357</v>
      </c>
      <c r="N110">
        <v>151.176041</v>
      </c>
      <c r="O110">
        <v>155.43888899999999</v>
      </c>
      <c r="P110">
        <v>159.768158</v>
      </c>
      <c r="Q110">
        <v>164.15214499999999</v>
      </c>
      <c r="R110">
        <v>168.60528600000001</v>
      </c>
      <c r="S110">
        <v>173.131348</v>
      </c>
      <c r="T110">
        <v>177.70262099999999</v>
      </c>
      <c r="U110">
        <v>182.34288000000001</v>
      </c>
      <c r="V110">
        <v>187.05612199999999</v>
      </c>
      <c r="W110">
        <v>191.85055500000001</v>
      </c>
      <c r="X110">
        <v>196.72709699999999</v>
      </c>
      <c r="Y110">
        <v>201.686905</v>
      </c>
      <c r="Z110">
        <v>206.72851600000001</v>
      </c>
      <c r="AA110">
        <v>211.85046399999999</v>
      </c>
      <c r="AB110">
        <v>217.052795</v>
      </c>
      <c r="AC110">
        <v>222.33543399999999</v>
      </c>
      <c r="AD110">
        <v>227.69967700000001</v>
      </c>
      <c r="AE110">
        <v>233.14648399999999</v>
      </c>
      <c r="AF110">
        <v>238.67678799999999</v>
      </c>
      <c r="AG110" s="22">
        <v>2.1999999999999999E-2</v>
      </c>
    </row>
    <row r="111" spans="1:33">
      <c r="A111" t="s">
        <v>219</v>
      </c>
      <c r="B111" t="s">
        <v>2705</v>
      </c>
      <c r="C111" t="s">
        <v>2704</v>
      </c>
      <c r="D111" t="s">
        <v>202</v>
      </c>
      <c r="F111">
        <v>5.944083</v>
      </c>
      <c r="G111">
        <v>6.0168400000000002</v>
      </c>
      <c r="H111">
        <v>6.18675</v>
      </c>
      <c r="I111">
        <v>6.3609650000000002</v>
      </c>
      <c r="J111">
        <v>6.538856</v>
      </c>
      <c r="K111">
        <v>6.7152520000000004</v>
      </c>
      <c r="L111">
        <v>6.8914239999999998</v>
      </c>
      <c r="M111">
        <v>7.0699209999999999</v>
      </c>
      <c r="N111">
        <v>7.2493299999999996</v>
      </c>
      <c r="O111">
        <v>7.4291340000000003</v>
      </c>
      <c r="P111">
        <v>7.6099009999999998</v>
      </c>
      <c r="Q111">
        <v>7.789174</v>
      </c>
      <c r="R111">
        <v>7.9691559999999999</v>
      </c>
      <c r="S111">
        <v>8.1504740000000009</v>
      </c>
      <c r="T111">
        <v>8.3276439999999994</v>
      </c>
      <c r="U111">
        <v>8.5045450000000002</v>
      </c>
      <c r="V111">
        <v>8.6814079999999993</v>
      </c>
      <c r="W111">
        <v>8.8595790000000001</v>
      </c>
      <c r="X111">
        <v>9.0389820000000007</v>
      </c>
      <c r="Y111">
        <v>9.2196510000000007</v>
      </c>
      <c r="Z111">
        <v>9.4012209999999996</v>
      </c>
      <c r="AA111">
        <v>9.5833910000000007</v>
      </c>
      <c r="AB111">
        <v>9.7660859999999996</v>
      </c>
      <c r="AC111">
        <v>9.9493270000000003</v>
      </c>
      <c r="AD111">
        <v>10.1332</v>
      </c>
      <c r="AE111">
        <v>10.317741</v>
      </c>
      <c r="AF111">
        <v>10.503016000000001</v>
      </c>
      <c r="AG111" s="22">
        <v>2.1999999999999999E-2</v>
      </c>
    </row>
    <row r="112" spans="1:33">
      <c r="A112" t="s">
        <v>1268</v>
      </c>
      <c r="B112" t="s">
        <v>2703</v>
      </c>
      <c r="C112" t="s">
        <v>2702</v>
      </c>
      <c r="D112" t="s">
        <v>202</v>
      </c>
      <c r="F112">
        <v>119.327629</v>
      </c>
      <c r="G112">
        <v>118.269302</v>
      </c>
      <c r="H112">
        <v>124.674477</v>
      </c>
      <c r="I112">
        <v>130.92004399999999</v>
      </c>
      <c r="J112">
        <v>137.08445699999999</v>
      </c>
      <c r="K112">
        <v>143.26277200000001</v>
      </c>
      <c r="L112">
        <v>149.537003</v>
      </c>
      <c r="M112">
        <v>155.63314800000001</v>
      </c>
      <c r="N112">
        <v>161.52098100000001</v>
      </c>
      <c r="O112">
        <v>167.26478599999999</v>
      </c>
      <c r="P112">
        <v>172.81475800000001</v>
      </c>
      <c r="Q112">
        <v>178.15687600000001</v>
      </c>
      <c r="R112">
        <v>183.51745600000001</v>
      </c>
      <c r="S112">
        <v>188.56248500000001</v>
      </c>
      <c r="T112">
        <v>193.48852500000001</v>
      </c>
      <c r="U112">
        <v>198.202347</v>
      </c>
      <c r="V112">
        <v>202.93879699999999</v>
      </c>
      <c r="W112">
        <v>207.77690100000001</v>
      </c>
      <c r="X112">
        <v>212.46725499999999</v>
      </c>
      <c r="Y112">
        <v>216.83813499999999</v>
      </c>
      <c r="Z112">
        <v>220.65924100000001</v>
      </c>
      <c r="AA112">
        <v>223.73474100000001</v>
      </c>
      <c r="AB112">
        <v>226.27565000000001</v>
      </c>
      <c r="AC112">
        <v>228.519531</v>
      </c>
      <c r="AD112">
        <v>230.75152600000001</v>
      </c>
      <c r="AE112">
        <v>233.22546399999999</v>
      </c>
      <c r="AF112">
        <v>235.830353</v>
      </c>
      <c r="AG112" s="22">
        <v>2.7E-2</v>
      </c>
    </row>
    <row r="113" spans="1:33">
      <c r="A113" t="s">
        <v>217</v>
      </c>
      <c r="B113" t="s">
        <v>2701</v>
      </c>
      <c r="C113" t="s">
        <v>2700</v>
      </c>
      <c r="D113" t="s">
        <v>202</v>
      </c>
      <c r="F113">
        <v>23.492933000000001</v>
      </c>
      <c r="G113">
        <v>23.411591000000001</v>
      </c>
      <c r="H113">
        <v>24.417916999999999</v>
      </c>
      <c r="I113">
        <v>25.395171999999999</v>
      </c>
      <c r="J113">
        <v>26.355919</v>
      </c>
      <c r="K113">
        <v>27.314820999999998</v>
      </c>
      <c r="L113">
        <v>28.284123999999998</v>
      </c>
      <c r="M113">
        <v>29.222660000000001</v>
      </c>
      <c r="N113">
        <v>30.125996000000001</v>
      </c>
      <c r="O113">
        <v>31.003620000000002</v>
      </c>
      <c r="P113">
        <v>31.848188</v>
      </c>
      <c r="Q113">
        <v>32.658011999999999</v>
      </c>
      <c r="R113">
        <v>33.466965000000002</v>
      </c>
      <c r="S113">
        <v>34.225304000000001</v>
      </c>
      <c r="T113">
        <v>34.962333999999998</v>
      </c>
      <c r="U113">
        <v>35.664558</v>
      </c>
      <c r="V113">
        <v>36.366695</v>
      </c>
      <c r="W113">
        <v>37.080429000000002</v>
      </c>
      <c r="X113">
        <v>37.769278999999997</v>
      </c>
      <c r="Y113">
        <v>38.408423999999997</v>
      </c>
      <c r="Z113">
        <v>38.963557999999999</v>
      </c>
      <c r="AA113">
        <v>39.40625</v>
      </c>
      <c r="AB113">
        <v>39.768107999999998</v>
      </c>
      <c r="AC113">
        <v>40.083309</v>
      </c>
      <c r="AD113">
        <v>40.393191999999999</v>
      </c>
      <c r="AE113">
        <v>40.734909000000002</v>
      </c>
      <c r="AF113">
        <v>41.092162999999999</v>
      </c>
      <c r="AG113" s="22">
        <v>2.1999999999999999E-2</v>
      </c>
    </row>
    <row r="114" spans="1:33">
      <c r="A114" t="s">
        <v>218</v>
      </c>
      <c r="B114" t="s">
        <v>2699</v>
      </c>
      <c r="C114" t="s">
        <v>2698</v>
      </c>
      <c r="D114" t="s">
        <v>202</v>
      </c>
      <c r="F114">
        <v>94.252387999999996</v>
      </c>
      <c r="G114">
        <v>93.274506000000002</v>
      </c>
      <c r="H114">
        <v>98.618347</v>
      </c>
      <c r="I114">
        <v>103.833473</v>
      </c>
      <c r="J114">
        <v>108.985123</v>
      </c>
      <c r="K114">
        <v>114.15286999999999</v>
      </c>
      <c r="L114">
        <v>119.405838</v>
      </c>
      <c r="M114">
        <v>124.513351</v>
      </c>
      <c r="N114">
        <v>129.44986</v>
      </c>
      <c r="O114">
        <v>134.26960800000001</v>
      </c>
      <c r="P114">
        <v>138.93057300000001</v>
      </c>
      <c r="Q114">
        <v>143.420456</v>
      </c>
      <c r="R114">
        <v>147.929947</v>
      </c>
      <c r="S114">
        <v>152.17733799999999</v>
      </c>
      <c r="T114">
        <v>156.32839999999999</v>
      </c>
      <c r="U114">
        <v>160.30401599999999</v>
      </c>
      <c r="V114">
        <v>164.302582</v>
      </c>
      <c r="W114">
        <v>168.39086900000001</v>
      </c>
      <c r="X114">
        <v>172.35771199999999</v>
      </c>
      <c r="Y114">
        <v>176.05749499999999</v>
      </c>
      <c r="Z114">
        <v>179.295975</v>
      </c>
      <c r="AA114">
        <v>181.90711999999999</v>
      </c>
      <c r="AB114">
        <v>184.068771</v>
      </c>
      <c r="AC114">
        <v>185.98254399999999</v>
      </c>
      <c r="AD114">
        <v>187.890289</v>
      </c>
      <c r="AE114">
        <v>190.00676000000001</v>
      </c>
      <c r="AF114">
        <v>192.238159</v>
      </c>
      <c r="AG114" s="22">
        <v>2.8000000000000001E-2</v>
      </c>
    </row>
    <row r="115" spans="1:33">
      <c r="A115" t="s">
        <v>219</v>
      </c>
      <c r="B115" t="s">
        <v>2697</v>
      </c>
      <c r="C115" t="s">
        <v>2696</v>
      </c>
      <c r="D115" t="s">
        <v>202</v>
      </c>
      <c r="F115">
        <v>1.582317</v>
      </c>
      <c r="G115">
        <v>1.583207</v>
      </c>
      <c r="H115">
        <v>1.6382140000000001</v>
      </c>
      <c r="I115">
        <v>1.691381</v>
      </c>
      <c r="J115">
        <v>1.743409</v>
      </c>
      <c r="K115">
        <v>1.7950839999999999</v>
      </c>
      <c r="L115">
        <v>1.8470329999999999</v>
      </c>
      <c r="M115">
        <v>1.8971260000000001</v>
      </c>
      <c r="N115">
        <v>1.945139</v>
      </c>
      <c r="O115">
        <v>1.9915529999999999</v>
      </c>
      <c r="P115">
        <v>2.0359959999999999</v>
      </c>
      <c r="Q115">
        <v>2.0784099999999999</v>
      </c>
      <c r="R115">
        <v>2.1205379999999998</v>
      </c>
      <c r="S115">
        <v>2.1598350000000002</v>
      </c>
      <c r="T115">
        <v>2.1978019999999998</v>
      </c>
      <c r="U115">
        <v>2.2337760000000002</v>
      </c>
      <c r="V115">
        <v>2.2695159999999999</v>
      </c>
      <c r="W115">
        <v>2.3056139999999998</v>
      </c>
      <c r="X115">
        <v>2.3402479999999999</v>
      </c>
      <c r="Y115">
        <v>2.3721950000000001</v>
      </c>
      <c r="Z115">
        <v>2.399699</v>
      </c>
      <c r="AA115">
        <v>2.4213520000000002</v>
      </c>
      <c r="AB115">
        <v>2.4387840000000001</v>
      </c>
      <c r="AC115">
        <v>2.4536669999999998</v>
      </c>
      <c r="AD115">
        <v>2.4680430000000002</v>
      </c>
      <c r="AE115">
        <v>2.483771</v>
      </c>
      <c r="AF115">
        <v>2.5000309999999999</v>
      </c>
      <c r="AG115" s="22">
        <v>1.7999999999999999E-2</v>
      </c>
    </row>
    <row r="116" spans="1:33">
      <c r="A116" t="s">
        <v>1271</v>
      </c>
      <c r="B116" t="s">
        <v>2695</v>
      </c>
      <c r="C116" t="s">
        <v>2694</v>
      </c>
      <c r="D116" t="s">
        <v>202</v>
      </c>
      <c r="F116">
        <v>142.92860400000001</v>
      </c>
      <c r="G116">
        <v>161.574738</v>
      </c>
      <c r="H116">
        <v>181.70813000000001</v>
      </c>
      <c r="I116">
        <v>193.723221</v>
      </c>
      <c r="J116">
        <v>201.39308199999999</v>
      </c>
      <c r="K116">
        <v>204.35287500000001</v>
      </c>
      <c r="L116">
        <v>207.35012800000001</v>
      </c>
      <c r="M116">
        <v>210.382721</v>
      </c>
      <c r="N116">
        <v>213.506561</v>
      </c>
      <c r="O116">
        <v>216.74534600000001</v>
      </c>
      <c r="P116">
        <v>220.104523</v>
      </c>
      <c r="Q116">
        <v>223.557007</v>
      </c>
      <c r="R116">
        <v>227.00102200000001</v>
      </c>
      <c r="S116">
        <v>230.420151</v>
      </c>
      <c r="T116">
        <v>233.84686300000001</v>
      </c>
      <c r="U116">
        <v>237.29298399999999</v>
      </c>
      <c r="V116">
        <v>240.787125</v>
      </c>
      <c r="W116">
        <v>244.556793</v>
      </c>
      <c r="X116">
        <v>248.524338</v>
      </c>
      <c r="Y116">
        <v>252.56860399999999</v>
      </c>
      <c r="Z116">
        <v>256.67440800000003</v>
      </c>
      <c r="AA116">
        <v>260.83218399999998</v>
      </c>
      <c r="AB116">
        <v>265.09466600000002</v>
      </c>
      <c r="AC116">
        <v>269.47885100000002</v>
      </c>
      <c r="AD116">
        <v>273.84585600000003</v>
      </c>
      <c r="AE116">
        <v>278.19955399999998</v>
      </c>
      <c r="AF116">
        <v>282.59265099999999</v>
      </c>
      <c r="AG116" s="22">
        <v>2.7E-2</v>
      </c>
    </row>
    <row r="117" spans="1:33">
      <c r="A117" t="s">
        <v>217</v>
      </c>
      <c r="B117" t="s">
        <v>2693</v>
      </c>
      <c r="C117" t="s">
        <v>2692</v>
      </c>
      <c r="D117" t="s">
        <v>202</v>
      </c>
      <c r="F117">
        <v>107.393021</v>
      </c>
      <c r="G117">
        <v>117.987534</v>
      </c>
      <c r="H117">
        <v>129.52288799999999</v>
      </c>
      <c r="I117">
        <v>136.38978599999999</v>
      </c>
      <c r="J117">
        <v>140.984283</v>
      </c>
      <c r="K117">
        <v>142.959869</v>
      </c>
      <c r="L117">
        <v>144.96014400000001</v>
      </c>
      <c r="M117">
        <v>146.98387099999999</v>
      </c>
      <c r="N117">
        <v>149.07118199999999</v>
      </c>
      <c r="O117">
        <v>151.23812899999999</v>
      </c>
      <c r="P117">
        <v>153.488846</v>
      </c>
      <c r="Q117">
        <v>155.80313100000001</v>
      </c>
      <c r="R117">
        <v>158.10571300000001</v>
      </c>
      <c r="S117">
        <v>160.38452100000001</v>
      </c>
      <c r="T117">
        <v>162.662857</v>
      </c>
      <c r="U117">
        <v>164.949341</v>
      </c>
      <c r="V117">
        <v>167.26385500000001</v>
      </c>
      <c r="W117">
        <v>169.773529</v>
      </c>
      <c r="X117">
        <v>172.421188</v>
      </c>
      <c r="Y117">
        <v>175.118088</v>
      </c>
      <c r="Z117">
        <v>177.853027</v>
      </c>
      <c r="AA117">
        <v>180.618256</v>
      </c>
      <c r="AB117">
        <v>183.45259100000001</v>
      </c>
      <c r="AC117">
        <v>186.369888</v>
      </c>
      <c r="AD117">
        <v>189.26944</v>
      </c>
      <c r="AE117">
        <v>192.153717</v>
      </c>
      <c r="AF117">
        <v>195.06158400000001</v>
      </c>
      <c r="AG117" s="22">
        <v>2.3E-2</v>
      </c>
    </row>
    <row r="118" spans="1:33">
      <c r="A118" t="s">
        <v>218</v>
      </c>
      <c r="B118" t="s">
        <v>2691</v>
      </c>
      <c r="C118" t="s">
        <v>2690</v>
      </c>
      <c r="D118" t="s">
        <v>202</v>
      </c>
      <c r="F118">
        <v>25.993459999999999</v>
      </c>
      <c r="G118">
        <v>33.605080000000001</v>
      </c>
      <c r="H118">
        <v>41.705432999999999</v>
      </c>
      <c r="I118">
        <v>46.560657999999997</v>
      </c>
      <c r="J118">
        <v>49.399281000000002</v>
      </c>
      <c r="K118">
        <v>50.244391999999998</v>
      </c>
      <c r="L118">
        <v>51.100605000000002</v>
      </c>
      <c r="M118">
        <v>51.967072000000002</v>
      </c>
      <c r="N118">
        <v>52.856273999999999</v>
      </c>
      <c r="O118">
        <v>53.774718999999997</v>
      </c>
      <c r="P118">
        <v>54.723278000000001</v>
      </c>
      <c r="Q118">
        <v>55.696933999999999</v>
      </c>
      <c r="R118">
        <v>56.675632</v>
      </c>
      <c r="S118">
        <v>57.656089999999999</v>
      </c>
      <c r="T118">
        <v>58.645504000000003</v>
      </c>
      <c r="U118">
        <v>59.646445999999997</v>
      </c>
      <c r="V118">
        <v>60.666046000000001</v>
      </c>
      <c r="W118">
        <v>61.750442999999997</v>
      </c>
      <c r="X118">
        <v>62.884014000000001</v>
      </c>
      <c r="Y118">
        <v>64.041938999999999</v>
      </c>
      <c r="Z118">
        <v>65.221153000000001</v>
      </c>
      <c r="AA118">
        <v>66.420692000000003</v>
      </c>
      <c r="AB118">
        <v>67.651047000000005</v>
      </c>
      <c r="AC118">
        <v>68.914032000000006</v>
      </c>
      <c r="AD118">
        <v>70.179893000000007</v>
      </c>
      <c r="AE118">
        <v>71.449875000000006</v>
      </c>
      <c r="AF118">
        <v>72.734427999999994</v>
      </c>
      <c r="AG118" s="22">
        <v>0.04</v>
      </c>
    </row>
    <row r="119" spans="1:33">
      <c r="A119" t="s">
        <v>219</v>
      </c>
      <c r="B119" t="s">
        <v>2689</v>
      </c>
      <c r="C119" t="s">
        <v>2688</v>
      </c>
      <c r="D119" t="s">
        <v>202</v>
      </c>
      <c r="F119">
        <v>9.5421250000000004</v>
      </c>
      <c r="G119">
        <v>9.982132</v>
      </c>
      <c r="H119">
        <v>10.479811</v>
      </c>
      <c r="I119">
        <v>10.772781999999999</v>
      </c>
      <c r="J119">
        <v>11.009517000000001</v>
      </c>
      <c r="K119">
        <v>11.148605999999999</v>
      </c>
      <c r="L119">
        <v>11.289377</v>
      </c>
      <c r="M119">
        <v>11.431779000000001</v>
      </c>
      <c r="N119">
        <v>11.579103</v>
      </c>
      <c r="O119">
        <v>11.732507999999999</v>
      </c>
      <c r="P119">
        <v>11.892381</v>
      </c>
      <c r="Q119">
        <v>12.056938000000001</v>
      </c>
      <c r="R119">
        <v>12.219676</v>
      </c>
      <c r="S119">
        <v>12.37955</v>
      </c>
      <c r="T119">
        <v>12.538484</v>
      </c>
      <c r="U119">
        <v>12.697193</v>
      </c>
      <c r="V119">
        <v>12.857211</v>
      </c>
      <c r="W119">
        <v>13.032829</v>
      </c>
      <c r="X119">
        <v>13.219137</v>
      </c>
      <c r="Y119">
        <v>13.408585</v>
      </c>
      <c r="Z119">
        <v>13.600213</v>
      </c>
      <c r="AA119">
        <v>13.793241999999999</v>
      </c>
      <c r="AB119">
        <v>13.991013000000001</v>
      </c>
      <c r="AC119">
        <v>14.194908</v>
      </c>
      <c r="AD119">
        <v>14.396512</v>
      </c>
      <c r="AE119">
        <v>14.595986999999999</v>
      </c>
      <c r="AF119">
        <v>14.796673999999999</v>
      </c>
      <c r="AG119" s="22">
        <v>1.7000000000000001E-2</v>
      </c>
    </row>
    <row r="120" spans="1:33">
      <c r="A120" t="s">
        <v>2445</v>
      </c>
      <c r="B120" t="s">
        <v>2687</v>
      </c>
      <c r="C120" t="s">
        <v>2686</v>
      </c>
      <c r="D120" t="s">
        <v>202</v>
      </c>
      <c r="F120">
        <v>63.267685</v>
      </c>
      <c r="G120">
        <v>65.509933000000004</v>
      </c>
      <c r="H120">
        <v>68.677513000000005</v>
      </c>
      <c r="I120">
        <v>71.140906999999999</v>
      </c>
      <c r="J120">
        <v>74.722579999999994</v>
      </c>
      <c r="K120">
        <v>77.332970000000003</v>
      </c>
      <c r="L120">
        <v>79.924933999999993</v>
      </c>
      <c r="M120">
        <v>82.506439</v>
      </c>
      <c r="N120">
        <v>85.129028000000005</v>
      </c>
      <c r="O120">
        <v>87.810248999999999</v>
      </c>
      <c r="P120">
        <v>90.553070000000005</v>
      </c>
      <c r="Q120">
        <v>93.384726999999998</v>
      </c>
      <c r="R120">
        <v>96.317734000000002</v>
      </c>
      <c r="S120">
        <v>99.335678000000001</v>
      </c>
      <c r="T120">
        <v>102.42898599999999</v>
      </c>
      <c r="U120">
        <v>105.60099</v>
      </c>
      <c r="V120">
        <v>108.836128</v>
      </c>
      <c r="W120">
        <v>112.13511699999999</v>
      </c>
      <c r="X120">
        <v>115.525436</v>
      </c>
      <c r="Y120">
        <v>119.01010100000001</v>
      </c>
      <c r="Z120">
        <v>122.58757799999999</v>
      </c>
      <c r="AA120">
        <v>126.259254</v>
      </c>
      <c r="AB120">
        <v>130.003128</v>
      </c>
      <c r="AC120">
        <v>133.830063</v>
      </c>
      <c r="AD120">
        <v>137.740341</v>
      </c>
      <c r="AE120">
        <v>141.74255400000001</v>
      </c>
      <c r="AF120">
        <v>145.84314000000001</v>
      </c>
      <c r="AG120" s="22">
        <v>3.3000000000000002E-2</v>
      </c>
    </row>
    <row r="121" spans="1:33">
      <c r="A121" t="s">
        <v>217</v>
      </c>
      <c r="B121" t="s">
        <v>2685</v>
      </c>
      <c r="C121" t="s">
        <v>2684</v>
      </c>
      <c r="D121" t="s">
        <v>202</v>
      </c>
      <c r="F121">
        <v>48.335636000000001</v>
      </c>
      <c r="G121">
        <v>50.047905</v>
      </c>
      <c r="H121">
        <v>52.466721</v>
      </c>
      <c r="I121">
        <v>54.348492</v>
      </c>
      <c r="J121">
        <v>57.082709999999999</v>
      </c>
      <c r="K121">
        <v>59.076931000000002</v>
      </c>
      <c r="L121">
        <v>61.057017999999999</v>
      </c>
      <c r="M121">
        <v>63.029057000000002</v>
      </c>
      <c r="N121">
        <v>65.032471000000001</v>
      </c>
      <c r="O121">
        <v>67.080658</v>
      </c>
      <c r="P121">
        <v>69.175895999999995</v>
      </c>
      <c r="Q121">
        <v>71.339011999999997</v>
      </c>
      <c r="R121">
        <v>73.579566999999997</v>
      </c>
      <c r="S121">
        <v>75.884979000000001</v>
      </c>
      <c r="T121">
        <v>78.247962999999999</v>
      </c>
      <c r="U121">
        <v>80.671051000000006</v>
      </c>
      <c r="V121">
        <v>83.142334000000005</v>
      </c>
      <c r="W121">
        <v>85.662375999999995</v>
      </c>
      <c r="X121">
        <v>88.252173999999997</v>
      </c>
      <c r="Y121">
        <v>90.914023999999998</v>
      </c>
      <c r="Z121">
        <v>93.646766999999997</v>
      </c>
      <c r="AA121">
        <v>96.451469000000003</v>
      </c>
      <c r="AB121">
        <v>99.311301999999998</v>
      </c>
      <c r="AC121">
        <v>102.234596</v>
      </c>
      <c r="AD121">
        <v>105.221535</v>
      </c>
      <c r="AE121">
        <v>108.278679</v>
      </c>
      <c r="AF121">
        <v>111.410957</v>
      </c>
      <c r="AG121" s="22">
        <v>3.3000000000000002E-2</v>
      </c>
    </row>
    <row r="122" spans="1:33">
      <c r="A122" t="s">
        <v>218</v>
      </c>
      <c r="B122" t="s">
        <v>2683</v>
      </c>
      <c r="C122" t="s">
        <v>2682</v>
      </c>
      <c r="D122" t="s">
        <v>202</v>
      </c>
      <c r="F122">
        <v>9.9797700000000003</v>
      </c>
      <c r="G122">
        <v>10.346156000000001</v>
      </c>
      <c r="H122">
        <v>10.865069999999999</v>
      </c>
      <c r="I122">
        <v>11.25741</v>
      </c>
      <c r="J122">
        <v>11.857099</v>
      </c>
      <c r="K122">
        <v>12.270179000000001</v>
      </c>
      <c r="L122">
        <v>12.681398</v>
      </c>
      <c r="M122">
        <v>13.091692</v>
      </c>
      <c r="N122">
        <v>13.508883000000001</v>
      </c>
      <c r="O122">
        <v>13.935513</v>
      </c>
      <c r="P122">
        <v>14.371999000000001</v>
      </c>
      <c r="Q122">
        <v>14.822459</v>
      </c>
      <c r="R122">
        <v>15.288921999999999</v>
      </c>
      <c r="S122">
        <v>15.76901</v>
      </c>
      <c r="T122">
        <v>16.261216999999998</v>
      </c>
      <c r="U122">
        <v>16.766123</v>
      </c>
      <c r="V122">
        <v>17.281552999999999</v>
      </c>
      <c r="W122">
        <v>17.807554</v>
      </c>
      <c r="X122">
        <v>18.348305</v>
      </c>
      <c r="Y122">
        <v>18.904219000000001</v>
      </c>
      <c r="Z122">
        <v>19.475031000000001</v>
      </c>
      <c r="AA122">
        <v>20.060934</v>
      </c>
      <c r="AB122">
        <v>20.658508000000001</v>
      </c>
      <c r="AC122">
        <v>21.269428000000001</v>
      </c>
      <c r="AD122">
        <v>21.89377</v>
      </c>
      <c r="AE122">
        <v>22.532948999999999</v>
      </c>
      <c r="AF122">
        <v>23.188065999999999</v>
      </c>
      <c r="AG122" s="22">
        <v>3.3000000000000002E-2</v>
      </c>
    </row>
    <row r="123" spans="1:33">
      <c r="A123" t="s">
        <v>219</v>
      </c>
      <c r="B123" t="s">
        <v>2681</v>
      </c>
      <c r="C123" t="s">
        <v>2680</v>
      </c>
      <c r="D123" t="s">
        <v>202</v>
      </c>
      <c r="F123">
        <v>4.9522779999999997</v>
      </c>
      <c r="G123">
        <v>5.115869</v>
      </c>
      <c r="H123">
        <v>5.3457249999999998</v>
      </c>
      <c r="I123">
        <v>5.5350109999999999</v>
      </c>
      <c r="J123">
        <v>5.7827679999999999</v>
      </c>
      <c r="K123">
        <v>5.9858570000000002</v>
      </c>
      <c r="L123">
        <v>6.1865240000000004</v>
      </c>
      <c r="M123">
        <v>6.3856859999999998</v>
      </c>
      <c r="N123">
        <v>6.5876789999999996</v>
      </c>
      <c r="O123">
        <v>6.794079</v>
      </c>
      <c r="P123">
        <v>7.0051709999999998</v>
      </c>
      <c r="Q123">
        <v>7.2232529999999997</v>
      </c>
      <c r="R123">
        <v>7.4492560000000001</v>
      </c>
      <c r="S123">
        <v>7.6816890000000004</v>
      </c>
      <c r="T123">
        <v>7.9198069999999996</v>
      </c>
      <c r="U123">
        <v>8.1638169999999999</v>
      </c>
      <c r="V123">
        <v>8.412236</v>
      </c>
      <c r="W123">
        <v>8.665184</v>
      </c>
      <c r="X123">
        <v>8.9249620000000007</v>
      </c>
      <c r="Y123">
        <v>9.1918609999999994</v>
      </c>
      <c r="Z123">
        <v>9.4657789999999995</v>
      </c>
      <c r="AA123">
        <v>9.7468570000000003</v>
      </c>
      <c r="AB123">
        <v>10.033315999999999</v>
      </c>
      <c r="AC123">
        <v>10.326048999999999</v>
      </c>
      <c r="AD123">
        <v>10.625047</v>
      </c>
      <c r="AE123">
        <v>10.930925</v>
      </c>
      <c r="AF123">
        <v>11.244109</v>
      </c>
      <c r="AG123" s="22">
        <v>3.2000000000000001E-2</v>
      </c>
    </row>
    <row r="124" spans="1:33">
      <c r="A124" t="s">
        <v>214</v>
      </c>
      <c r="B124" t="s">
        <v>2679</v>
      </c>
      <c r="C124" t="s">
        <v>2678</v>
      </c>
      <c r="D124" t="s">
        <v>202</v>
      </c>
      <c r="F124">
        <v>907.643372</v>
      </c>
      <c r="G124">
        <v>936.21020499999997</v>
      </c>
      <c r="H124">
        <v>987.149902</v>
      </c>
      <c r="I124">
        <v>1038.0001219999999</v>
      </c>
      <c r="J124">
        <v>1090.720581</v>
      </c>
      <c r="K124">
        <v>1145.8204350000001</v>
      </c>
      <c r="L124">
        <v>1203.104736</v>
      </c>
      <c r="M124">
        <v>1262.2410890000001</v>
      </c>
      <c r="N124">
        <v>1323.399658</v>
      </c>
      <c r="O124">
        <v>1386.192139</v>
      </c>
      <c r="P124">
        <v>1450.5645750000001</v>
      </c>
      <c r="Q124">
        <v>1516.445068</v>
      </c>
      <c r="R124">
        <v>1583.2913820000001</v>
      </c>
      <c r="S124">
        <v>1651.4217530000001</v>
      </c>
      <c r="T124">
        <v>1721.0950929999999</v>
      </c>
      <c r="U124">
        <v>1792.2664789999999</v>
      </c>
      <c r="V124">
        <v>1864.8164059999999</v>
      </c>
      <c r="W124">
        <v>1938.716919</v>
      </c>
      <c r="X124">
        <v>2013.8991699999999</v>
      </c>
      <c r="Y124">
        <v>2090.2871089999999</v>
      </c>
      <c r="Z124">
        <v>2167.8032229999999</v>
      </c>
      <c r="AA124">
        <v>2246.389893</v>
      </c>
      <c r="AB124">
        <v>2325.9804690000001</v>
      </c>
      <c r="AC124">
        <v>2406.4941410000001</v>
      </c>
      <c r="AD124">
        <v>2487.8405760000001</v>
      </c>
      <c r="AE124">
        <v>2569.9492190000001</v>
      </c>
      <c r="AF124">
        <v>2652.7197270000001</v>
      </c>
      <c r="AG124" s="22">
        <v>4.2000000000000003E-2</v>
      </c>
    </row>
    <row r="125" spans="1:33">
      <c r="A125" t="s">
        <v>217</v>
      </c>
      <c r="B125" t="s">
        <v>2677</v>
      </c>
      <c r="C125" t="s">
        <v>2676</v>
      </c>
      <c r="D125" t="s">
        <v>202</v>
      </c>
      <c r="F125">
        <v>592.813354</v>
      </c>
      <c r="G125">
        <v>621.688354</v>
      </c>
      <c r="H125">
        <v>656.07244900000001</v>
      </c>
      <c r="I125">
        <v>690.25488299999995</v>
      </c>
      <c r="J125">
        <v>725.69146699999999</v>
      </c>
      <c r="K125">
        <v>762.75372300000004</v>
      </c>
      <c r="L125">
        <v>801.29119900000001</v>
      </c>
      <c r="M125">
        <v>841.05304000000001</v>
      </c>
      <c r="N125">
        <v>882.160034</v>
      </c>
      <c r="O125">
        <v>924.31909199999996</v>
      </c>
      <c r="P125">
        <v>967.48284899999999</v>
      </c>
      <c r="Q125">
        <v>1011.590515</v>
      </c>
      <c r="R125">
        <v>1056.2349850000001</v>
      </c>
      <c r="S125">
        <v>1101.645264</v>
      </c>
      <c r="T125">
        <v>1148.0040280000001</v>
      </c>
      <c r="U125">
        <v>1195.2742920000001</v>
      </c>
      <c r="V125">
        <v>1243.3572999999999</v>
      </c>
      <c r="W125">
        <v>1292.2298579999999</v>
      </c>
      <c r="X125">
        <v>1341.8366699999999</v>
      </c>
      <c r="Y125">
        <v>1392.1141359999999</v>
      </c>
      <c r="Z125">
        <v>1443.0020750000001</v>
      </c>
      <c r="AA125">
        <v>1494.462158</v>
      </c>
      <c r="AB125">
        <v>1546.4506839999999</v>
      </c>
      <c r="AC125">
        <v>1598.9068600000001</v>
      </c>
      <c r="AD125">
        <v>1651.7669679999999</v>
      </c>
      <c r="AE125">
        <v>1704.987427</v>
      </c>
      <c r="AF125">
        <v>1758.494385</v>
      </c>
      <c r="AG125" s="22">
        <v>4.2999999999999997E-2</v>
      </c>
    </row>
    <row r="126" spans="1:33">
      <c r="A126" t="s">
        <v>218</v>
      </c>
      <c r="B126" t="s">
        <v>2675</v>
      </c>
      <c r="C126" t="s">
        <v>2674</v>
      </c>
      <c r="D126" t="s">
        <v>202</v>
      </c>
      <c r="F126">
        <v>254.10467499999999</v>
      </c>
      <c r="G126">
        <v>250.68653900000001</v>
      </c>
      <c r="H126">
        <v>263.703461</v>
      </c>
      <c r="I126">
        <v>276.855255</v>
      </c>
      <c r="J126">
        <v>290.49447600000002</v>
      </c>
      <c r="K126">
        <v>304.71929899999998</v>
      </c>
      <c r="L126">
        <v>319.50177000000002</v>
      </c>
      <c r="M126">
        <v>334.78637700000002</v>
      </c>
      <c r="N126">
        <v>350.609802</v>
      </c>
      <c r="O126">
        <v>366.90774499999998</v>
      </c>
      <c r="P126">
        <v>383.67816199999999</v>
      </c>
      <c r="Q126">
        <v>400.91674799999998</v>
      </c>
      <c r="R126">
        <v>418.53076199999998</v>
      </c>
      <c r="S126">
        <v>436.58557100000002</v>
      </c>
      <c r="T126">
        <v>455.13864100000001</v>
      </c>
      <c r="U126">
        <v>474.18588299999999</v>
      </c>
      <c r="V126">
        <v>493.71713299999999</v>
      </c>
      <c r="W126">
        <v>513.72949200000005</v>
      </c>
      <c r="X126">
        <v>534.216003</v>
      </c>
      <c r="Y126">
        <v>555.17040999999995</v>
      </c>
      <c r="Z126">
        <v>576.58215299999995</v>
      </c>
      <c r="AA126">
        <v>598.43542500000001</v>
      </c>
      <c r="AB126">
        <v>620.71215800000004</v>
      </c>
      <c r="AC126">
        <v>643.39813200000003</v>
      </c>
      <c r="AD126">
        <v>666.47363299999995</v>
      </c>
      <c r="AE126">
        <v>689.91625999999997</v>
      </c>
      <c r="AF126">
        <v>713.70678699999996</v>
      </c>
      <c r="AG126" s="22">
        <v>4.1000000000000002E-2</v>
      </c>
    </row>
    <row r="127" spans="1:33">
      <c r="A127" t="s">
        <v>219</v>
      </c>
      <c r="B127" t="s">
        <v>2673</v>
      </c>
      <c r="C127" t="s">
        <v>2672</v>
      </c>
      <c r="D127" t="s">
        <v>202</v>
      </c>
      <c r="F127">
        <v>60.725364999999996</v>
      </c>
      <c r="G127">
        <v>63.835247000000003</v>
      </c>
      <c r="H127">
        <v>67.373985000000005</v>
      </c>
      <c r="I127">
        <v>70.889931000000004</v>
      </c>
      <c r="J127">
        <v>74.534820999999994</v>
      </c>
      <c r="K127">
        <v>78.347335999999999</v>
      </c>
      <c r="L127">
        <v>82.311653000000007</v>
      </c>
      <c r="M127">
        <v>86.401627000000005</v>
      </c>
      <c r="N127">
        <v>90.629761000000002</v>
      </c>
      <c r="O127">
        <v>94.965423999999999</v>
      </c>
      <c r="P127">
        <v>99.403603000000004</v>
      </c>
      <c r="Q127">
        <v>103.93787399999999</v>
      </c>
      <c r="R127">
        <v>108.52572600000001</v>
      </c>
      <c r="S127">
        <v>113.190933</v>
      </c>
      <c r="T127">
        <v>117.952415</v>
      </c>
      <c r="U127">
        <v>122.80629</v>
      </c>
      <c r="V127">
        <v>127.742088</v>
      </c>
      <c r="W127">
        <v>132.75740099999999</v>
      </c>
      <c r="X127">
        <v>137.84641999999999</v>
      </c>
      <c r="Y127">
        <v>143.002396</v>
      </c>
      <c r="Z127">
        <v>148.21902499999999</v>
      </c>
      <c r="AA127">
        <v>153.49231</v>
      </c>
      <c r="AB127">
        <v>158.81788599999999</v>
      </c>
      <c r="AC127">
        <v>164.18933100000001</v>
      </c>
      <c r="AD127">
        <v>169.60011299999999</v>
      </c>
      <c r="AE127">
        <v>175.04570000000001</v>
      </c>
      <c r="AF127">
        <v>180.518539</v>
      </c>
      <c r="AG127" s="22">
        <v>4.2999999999999997E-2</v>
      </c>
    </row>
    <row r="128" spans="1:33">
      <c r="A128" t="s">
        <v>1279</v>
      </c>
      <c r="B128" t="s">
        <v>2671</v>
      </c>
      <c r="C128" t="s">
        <v>2670</v>
      </c>
      <c r="D128" t="s">
        <v>202</v>
      </c>
      <c r="F128">
        <v>223.57252500000001</v>
      </c>
      <c r="G128">
        <v>230.97392300000001</v>
      </c>
      <c r="H128">
        <v>249.562454</v>
      </c>
      <c r="I128">
        <v>269.73525999999998</v>
      </c>
      <c r="J128">
        <v>290.86743200000001</v>
      </c>
      <c r="K128">
        <v>313.08288599999997</v>
      </c>
      <c r="L128">
        <v>336.31631499999997</v>
      </c>
      <c r="M128">
        <v>360.40683000000001</v>
      </c>
      <c r="N128">
        <v>385.19262700000002</v>
      </c>
      <c r="O128">
        <v>410.50692700000002</v>
      </c>
      <c r="P128">
        <v>436.27282700000001</v>
      </c>
      <c r="Q128">
        <v>462.39138800000001</v>
      </c>
      <c r="R128">
        <v>488.70764200000002</v>
      </c>
      <c r="S128">
        <v>515.410706</v>
      </c>
      <c r="T128">
        <v>542.33282499999996</v>
      </c>
      <c r="U128">
        <v>569.54925500000002</v>
      </c>
      <c r="V128">
        <v>597.25628700000004</v>
      </c>
      <c r="W128">
        <v>625.40460199999995</v>
      </c>
      <c r="X128">
        <v>653.95147699999995</v>
      </c>
      <c r="Y128">
        <v>682.82293700000002</v>
      </c>
      <c r="Z128">
        <v>711.96466099999998</v>
      </c>
      <c r="AA128">
        <v>741.37866199999996</v>
      </c>
      <c r="AB128">
        <v>771.09826699999996</v>
      </c>
      <c r="AC128">
        <v>801.06756600000006</v>
      </c>
      <c r="AD128">
        <v>831.23730499999999</v>
      </c>
      <c r="AE128">
        <v>861.55950900000005</v>
      </c>
      <c r="AF128">
        <v>891.98156700000004</v>
      </c>
      <c r="AG128" s="22">
        <v>5.5E-2</v>
      </c>
    </row>
    <row r="129" spans="1:33">
      <c r="A129" t="s">
        <v>217</v>
      </c>
      <c r="B129" t="s">
        <v>2669</v>
      </c>
      <c r="C129" t="s">
        <v>2668</v>
      </c>
      <c r="D129" t="s">
        <v>202</v>
      </c>
      <c r="F129">
        <v>140.80940200000001</v>
      </c>
      <c r="G129">
        <v>147.591522</v>
      </c>
      <c r="H129">
        <v>159.79884300000001</v>
      </c>
      <c r="I129">
        <v>173.07870500000001</v>
      </c>
      <c r="J129">
        <v>187.01431299999999</v>
      </c>
      <c r="K129">
        <v>201.68985000000001</v>
      </c>
      <c r="L129">
        <v>217.06231700000001</v>
      </c>
      <c r="M129">
        <v>233.023911</v>
      </c>
      <c r="N129">
        <v>249.46519499999999</v>
      </c>
      <c r="O129">
        <v>266.27285799999999</v>
      </c>
      <c r="P129">
        <v>283.393799</v>
      </c>
      <c r="Q129">
        <v>300.76001000000002</v>
      </c>
      <c r="R129">
        <v>318.26495399999999</v>
      </c>
      <c r="S129">
        <v>336.036743</v>
      </c>
      <c r="T129">
        <v>353.96051</v>
      </c>
      <c r="U129">
        <v>372.08648699999998</v>
      </c>
      <c r="V129">
        <v>390.54534899999999</v>
      </c>
      <c r="W129">
        <v>409.30426</v>
      </c>
      <c r="X129">
        <v>428.33377100000001</v>
      </c>
      <c r="Y129">
        <v>447.58297700000003</v>
      </c>
      <c r="Z129">
        <v>467.01400799999999</v>
      </c>
      <c r="AA129">
        <v>486.62734999999998</v>
      </c>
      <c r="AB129">
        <v>506.44555700000001</v>
      </c>
      <c r="AC129">
        <v>526.42999299999997</v>
      </c>
      <c r="AD129">
        <v>546.54638699999998</v>
      </c>
      <c r="AE129">
        <v>566.76086399999997</v>
      </c>
      <c r="AF129">
        <v>587.03656000000001</v>
      </c>
      <c r="AG129" s="22">
        <v>5.6000000000000001E-2</v>
      </c>
    </row>
    <row r="130" spans="1:33">
      <c r="A130" t="s">
        <v>218</v>
      </c>
      <c r="B130" t="s">
        <v>2667</v>
      </c>
      <c r="C130" t="s">
        <v>2666</v>
      </c>
      <c r="D130" t="s">
        <v>202</v>
      </c>
      <c r="F130">
        <v>73.054665</v>
      </c>
      <c r="G130">
        <v>72.903976</v>
      </c>
      <c r="H130">
        <v>78.372237999999996</v>
      </c>
      <c r="I130">
        <v>84.267600999999999</v>
      </c>
      <c r="J130">
        <v>90.414092999999994</v>
      </c>
      <c r="K130">
        <v>96.844634999999997</v>
      </c>
      <c r="L130">
        <v>103.54026</v>
      </c>
      <c r="M130">
        <v>110.45618399999999</v>
      </c>
      <c r="N130">
        <v>117.548637</v>
      </c>
      <c r="O130">
        <v>124.773186</v>
      </c>
      <c r="P130">
        <v>132.110275</v>
      </c>
      <c r="Q130">
        <v>139.53469799999999</v>
      </c>
      <c r="R130">
        <v>147.006393</v>
      </c>
      <c r="S130">
        <v>154.57637</v>
      </c>
      <c r="T130">
        <v>162.200943</v>
      </c>
      <c r="U130">
        <v>169.901184</v>
      </c>
      <c r="V130">
        <v>177.73287999999999</v>
      </c>
      <c r="W130">
        <v>185.682007</v>
      </c>
      <c r="X130">
        <v>193.73756399999999</v>
      </c>
      <c r="Y130">
        <v>201.88063</v>
      </c>
      <c r="Z130">
        <v>210.09814499999999</v>
      </c>
      <c r="AA130">
        <v>218.391403</v>
      </c>
      <c r="AB130">
        <v>226.76942399999999</v>
      </c>
      <c r="AC130">
        <v>235.21824599999999</v>
      </c>
      <c r="AD130">
        <v>243.72569300000001</v>
      </c>
      <c r="AE130">
        <v>252.28031899999999</v>
      </c>
      <c r="AF130">
        <v>260.86968999999999</v>
      </c>
      <c r="AG130" s="22">
        <v>0.05</v>
      </c>
    </row>
    <row r="131" spans="1:33">
      <c r="A131" t="s">
        <v>219</v>
      </c>
      <c r="B131" t="s">
        <v>2665</v>
      </c>
      <c r="C131" t="s">
        <v>2664</v>
      </c>
      <c r="D131" t="s">
        <v>202</v>
      </c>
      <c r="F131">
        <v>9.7084440000000001</v>
      </c>
      <c r="G131">
        <v>10.478415</v>
      </c>
      <c r="H131">
        <v>11.391368</v>
      </c>
      <c r="I131">
        <v>12.388927000000001</v>
      </c>
      <c r="J131">
        <v>13.43904</v>
      </c>
      <c r="K131">
        <v>14.548394999999999</v>
      </c>
      <c r="L131">
        <v>15.713751</v>
      </c>
      <c r="M131">
        <v>16.926762</v>
      </c>
      <c r="N131">
        <v>18.178806000000002</v>
      </c>
      <c r="O131">
        <v>19.460888000000001</v>
      </c>
      <c r="P131">
        <v>20.768695999999998</v>
      </c>
      <c r="Q131">
        <v>22.096700999999999</v>
      </c>
      <c r="R131">
        <v>23.436304</v>
      </c>
      <c r="S131">
        <v>24.797616999999999</v>
      </c>
      <c r="T131">
        <v>26.171406000000001</v>
      </c>
      <c r="U131">
        <v>27.561547999999998</v>
      </c>
      <c r="V131">
        <v>28.978034999999998</v>
      </c>
      <c r="W131">
        <v>30.418367</v>
      </c>
      <c r="X131">
        <v>31.880151999999999</v>
      </c>
      <c r="Y131">
        <v>33.359264000000003</v>
      </c>
      <c r="Z131">
        <v>34.852558000000002</v>
      </c>
      <c r="AA131">
        <v>36.359974000000001</v>
      </c>
      <c r="AB131">
        <v>37.883285999999998</v>
      </c>
      <c r="AC131">
        <v>39.419327000000003</v>
      </c>
      <c r="AD131">
        <v>40.965279000000002</v>
      </c>
      <c r="AE131">
        <v>42.518303000000003</v>
      </c>
      <c r="AF131">
        <v>44.075294</v>
      </c>
      <c r="AG131" s="22">
        <v>0.06</v>
      </c>
    </row>
    <row r="132" spans="1:33">
      <c r="A132" t="s">
        <v>2438</v>
      </c>
      <c r="B132" t="s">
        <v>2663</v>
      </c>
      <c r="C132" t="s">
        <v>2662</v>
      </c>
      <c r="D132" t="s">
        <v>202</v>
      </c>
      <c r="F132">
        <v>697.15936299999998</v>
      </c>
      <c r="G132">
        <v>738.99865699999998</v>
      </c>
      <c r="H132">
        <v>773.85076900000001</v>
      </c>
      <c r="I132">
        <v>809.40240500000004</v>
      </c>
      <c r="J132">
        <v>845.525757</v>
      </c>
      <c r="K132">
        <v>882.277466</v>
      </c>
      <c r="L132">
        <v>919.97674600000005</v>
      </c>
      <c r="M132">
        <v>958.78204300000004</v>
      </c>
      <c r="N132">
        <v>998.67016599999999</v>
      </c>
      <c r="O132">
        <v>1039.534302</v>
      </c>
      <c r="P132">
        <v>1081.241211</v>
      </c>
      <c r="Q132">
        <v>1123.682861</v>
      </c>
      <c r="R132">
        <v>1166.9107670000001</v>
      </c>
      <c r="S132">
        <v>1210.8045649999999</v>
      </c>
      <c r="T132">
        <v>1255.855225</v>
      </c>
      <c r="U132">
        <v>1302.1038820000001</v>
      </c>
      <c r="V132">
        <v>1349.5058590000001</v>
      </c>
      <c r="W132">
        <v>1397.949341</v>
      </c>
      <c r="X132">
        <v>1447.5043949999999</v>
      </c>
      <c r="Y132">
        <v>1498.161865</v>
      </c>
      <c r="Z132">
        <v>1549.8865969999999</v>
      </c>
      <c r="AA132">
        <v>1602.648193</v>
      </c>
      <c r="AB132">
        <v>1656.3923339999999</v>
      </c>
      <c r="AC132">
        <v>1710.9888920000001</v>
      </c>
      <c r="AD132">
        <v>1766.490601</v>
      </c>
      <c r="AE132">
        <v>1823.050659</v>
      </c>
      <c r="AF132">
        <v>1880.8292240000001</v>
      </c>
      <c r="AG132" s="22">
        <v>3.9E-2</v>
      </c>
    </row>
    <row r="133" spans="1:33">
      <c r="A133" t="s">
        <v>217</v>
      </c>
      <c r="B133" t="s">
        <v>2661</v>
      </c>
      <c r="C133" t="s">
        <v>2660</v>
      </c>
      <c r="D133" t="s">
        <v>202</v>
      </c>
      <c r="F133">
        <v>279.16104100000001</v>
      </c>
      <c r="G133">
        <v>288.345123</v>
      </c>
      <c r="H133">
        <v>303.40893599999998</v>
      </c>
      <c r="I133">
        <v>318.74945100000002</v>
      </c>
      <c r="J133">
        <v>334.28720099999998</v>
      </c>
      <c r="K133">
        <v>350.05493200000001</v>
      </c>
      <c r="L133">
        <v>366.22366299999999</v>
      </c>
      <c r="M133">
        <v>382.87957799999998</v>
      </c>
      <c r="N133">
        <v>400.01474000000002</v>
      </c>
      <c r="O133">
        <v>417.56631499999997</v>
      </c>
      <c r="P133">
        <v>435.46365400000002</v>
      </c>
      <c r="Q133">
        <v>453.649384</v>
      </c>
      <c r="R133">
        <v>472.14041099999997</v>
      </c>
      <c r="S133">
        <v>490.865295</v>
      </c>
      <c r="T133">
        <v>510.09726000000001</v>
      </c>
      <c r="U133">
        <v>529.85497999999995</v>
      </c>
      <c r="V133">
        <v>550.11462400000005</v>
      </c>
      <c r="W133">
        <v>570.81732199999999</v>
      </c>
      <c r="X133">
        <v>592.00238000000002</v>
      </c>
      <c r="Y133">
        <v>613.65765399999998</v>
      </c>
      <c r="Z133">
        <v>635.75982699999997</v>
      </c>
      <c r="AA133">
        <v>658.29315199999996</v>
      </c>
      <c r="AB133">
        <v>681.21777299999997</v>
      </c>
      <c r="AC133">
        <v>704.47381600000006</v>
      </c>
      <c r="AD133">
        <v>728.09136999999998</v>
      </c>
      <c r="AE133">
        <v>752.13647500000002</v>
      </c>
      <c r="AF133">
        <v>776.70764199999996</v>
      </c>
      <c r="AG133" s="22">
        <v>0.04</v>
      </c>
    </row>
    <row r="134" spans="1:33">
      <c r="A134" t="s">
        <v>218</v>
      </c>
      <c r="B134" t="s">
        <v>2659</v>
      </c>
      <c r="C134" t="s">
        <v>2658</v>
      </c>
      <c r="D134" t="s">
        <v>202</v>
      </c>
      <c r="F134">
        <v>398.59359699999999</v>
      </c>
      <c r="G134">
        <v>430.86456299999998</v>
      </c>
      <c r="H134">
        <v>449.56857300000001</v>
      </c>
      <c r="I134">
        <v>468.67623900000001</v>
      </c>
      <c r="J134">
        <v>488.14581299999998</v>
      </c>
      <c r="K134">
        <v>507.99841300000003</v>
      </c>
      <c r="L134">
        <v>528.36914100000001</v>
      </c>
      <c r="M134">
        <v>549.32318099999998</v>
      </c>
      <c r="N134">
        <v>570.84606900000006</v>
      </c>
      <c r="O134">
        <v>592.89862100000005</v>
      </c>
      <c r="P134">
        <v>615.42394999999999</v>
      </c>
      <c r="Q134">
        <v>638.37579300000004</v>
      </c>
      <c r="R134">
        <v>661.78772000000004</v>
      </c>
      <c r="S134">
        <v>685.61645499999997</v>
      </c>
      <c r="T134">
        <v>710.05835000000002</v>
      </c>
      <c r="U134">
        <v>735.13439900000003</v>
      </c>
      <c r="V134">
        <v>760.82531700000004</v>
      </c>
      <c r="W134">
        <v>787.08337400000005</v>
      </c>
      <c r="X134">
        <v>813.93566899999996</v>
      </c>
      <c r="Y134">
        <v>841.38665800000001</v>
      </c>
      <c r="Z134">
        <v>869.42614700000001</v>
      </c>
      <c r="AA134">
        <v>898.04101600000001</v>
      </c>
      <c r="AB134">
        <v>927.21984899999995</v>
      </c>
      <c r="AC134">
        <v>956.89685099999997</v>
      </c>
      <c r="AD134">
        <v>987.09271200000001</v>
      </c>
      <c r="AE134">
        <v>1017.889282</v>
      </c>
      <c r="AF134">
        <v>1049.3405760000001</v>
      </c>
      <c r="AG134" s="22">
        <v>3.7999999999999999E-2</v>
      </c>
    </row>
    <row r="135" spans="1:33">
      <c r="A135" t="s">
        <v>219</v>
      </c>
      <c r="B135" t="s">
        <v>2657</v>
      </c>
      <c r="C135" t="s">
        <v>2656</v>
      </c>
      <c r="D135" t="s">
        <v>202</v>
      </c>
      <c r="F135">
        <v>19.404713000000001</v>
      </c>
      <c r="G135">
        <v>19.788975000000001</v>
      </c>
      <c r="H135">
        <v>20.873276000000001</v>
      </c>
      <c r="I135">
        <v>21.976696</v>
      </c>
      <c r="J135">
        <v>23.092759999999998</v>
      </c>
      <c r="K135">
        <v>24.224088999999999</v>
      </c>
      <c r="L135">
        <v>25.384011999999998</v>
      </c>
      <c r="M135">
        <v>26.579287000000001</v>
      </c>
      <c r="N135">
        <v>27.809414</v>
      </c>
      <c r="O135">
        <v>29.069336</v>
      </c>
      <c r="P135">
        <v>30.353580000000001</v>
      </c>
      <c r="Q135">
        <v>31.657667</v>
      </c>
      <c r="R135">
        <v>32.982655000000001</v>
      </c>
      <c r="S135">
        <v>34.322803</v>
      </c>
      <c r="T135">
        <v>35.699669</v>
      </c>
      <c r="U135">
        <v>37.114628000000003</v>
      </c>
      <c r="V135">
        <v>38.565818999999998</v>
      </c>
      <c r="W135">
        <v>40.048682999999997</v>
      </c>
      <c r="X135">
        <v>41.566322</v>
      </c>
      <c r="Y135">
        <v>43.117618999999998</v>
      </c>
      <c r="Z135">
        <v>44.700637999999998</v>
      </c>
      <c r="AA135">
        <v>46.314148000000003</v>
      </c>
      <c r="AB135">
        <v>47.954796000000002</v>
      </c>
      <c r="AC135">
        <v>49.618160000000003</v>
      </c>
      <c r="AD135">
        <v>51.306609999999999</v>
      </c>
      <c r="AE135">
        <v>53.024906000000001</v>
      </c>
      <c r="AF135">
        <v>54.781039999999997</v>
      </c>
      <c r="AG135" s="22">
        <v>4.1000000000000002E-2</v>
      </c>
    </row>
    <row r="136" spans="1:33">
      <c r="A136" t="s">
        <v>1285</v>
      </c>
      <c r="B136" t="s">
        <v>2655</v>
      </c>
      <c r="C136" t="s">
        <v>2654</v>
      </c>
      <c r="D136" t="s">
        <v>202</v>
      </c>
      <c r="F136">
        <v>446.17581200000001</v>
      </c>
      <c r="G136">
        <v>466.72500600000001</v>
      </c>
      <c r="H136">
        <v>489.19940200000002</v>
      </c>
      <c r="I136">
        <v>511.097351</v>
      </c>
      <c r="J136">
        <v>533.08056599999998</v>
      </c>
      <c r="K136">
        <v>555.45568800000001</v>
      </c>
      <c r="L136">
        <v>578.23632799999996</v>
      </c>
      <c r="M136">
        <v>601.59436000000005</v>
      </c>
      <c r="N136">
        <v>625.56756600000006</v>
      </c>
      <c r="O136">
        <v>650.191956</v>
      </c>
      <c r="P136">
        <v>675.50469999999996</v>
      </c>
      <c r="Q136">
        <v>701.57244900000001</v>
      </c>
      <c r="R136">
        <v>728.44329800000003</v>
      </c>
      <c r="S136">
        <v>756.15301499999998</v>
      </c>
      <c r="T136">
        <v>784.70404099999996</v>
      </c>
      <c r="U136">
        <v>814.128784</v>
      </c>
      <c r="V136">
        <v>844.48840299999995</v>
      </c>
      <c r="W136">
        <v>875.75836200000003</v>
      </c>
      <c r="X136">
        <v>907.96075399999995</v>
      </c>
      <c r="Y136">
        <v>941.11724900000002</v>
      </c>
      <c r="Z136">
        <v>975.25640899999996</v>
      </c>
      <c r="AA136">
        <v>1010.43396</v>
      </c>
      <c r="AB136">
        <v>1046.6088870000001</v>
      </c>
      <c r="AC136">
        <v>1083.8360600000001</v>
      </c>
      <c r="AD136">
        <v>1122.2025149999999</v>
      </c>
      <c r="AE136">
        <v>1161.7468260000001</v>
      </c>
      <c r="AF136">
        <v>1202.4589840000001</v>
      </c>
      <c r="AG136" s="22">
        <v>3.9E-2</v>
      </c>
    </row>
    <row r="137" spans="1:33">
      <c r="A137" t="s">
        <v>217</v>
      </c>
      <c r="B137" t="s">
        <v>2653</v>
      </c>
      <c r="C137" t="s">
        <v>2652</v>
      </c>
      <c r="D137" t="s">
        <v>202</v>
      </c>
      <c r="F137">
        <v>139.67271400000001</v>
      </c>
      <c r="G137">
        <v>145.97792100000001</v>
      </c>
      <c r="H137">
        <v>153.70373499999999</v>
      </c>
      <c r="I137">
        <v>160.77865600000001</v>
      </c>
      <c r="J137">
        <v>167.74844400000001</v>
      </c>
      <c r="K137">
        <v>174.78280599999999</v>
      </c>
      <c r="L137">
        <v>181.87915000000001</v>
      </c>
      <c r="M137">
        <v>189.12948600000001</v>
      </c>
      <c r="N137">
        <v>196.50741600000001</v>
      </c>
      <c r="O137">
        <v>204.032318</v>
      </c>
      <c r="P137">
        <v>211.71987899999999</v>
      </c>
      <c r="Q137">
        <v>219.60841400000001</v>
      </c>
      <c r="R137">
        <v>227.71388200000001</v>
      </c>
      <c r="S137">
        <v>236.048553</v>
      </c>
      <c r="T137">
        <v>244.60992400000001</v>
      </c>
      <c r="U137">
        <v>253.39781199999999</v>
      </c>
      <c r="V137">
        <v>262.439728</v>
      </c>
      <c r="W137">
        <v>271.73779300000001</v>
      </c>
      <c r="X137">
        <v>281.306061</v>
      </c>
      <c r="Y137">
        <v>291.14968900000002</v>
      </c>
      <c r="Z137">
        <v>301.27151500000002</v>
      </c>
      <c r="AA137">
        <v>311.68170199999997</v>
      </c>
      <c r="AB137">
        <v>322.370026</v>
      </c>
      <c r="AC137">
        <v>333.36138899999997</v>
      </c>
      <c r="AD137">
        <v>344.675995</v>
      </c>
      <c r="AE137">
        <v>356.326752</v>
      </c>
      <c r="AF137">
        <v>368.31726099999997</v>
      </c>
      <c r="AG137" s="22">
        <v>3.7999999999999999E-2</v>
      </c>
    </row>
    <row r="138" spans="1:33">
      <c r="A138" t="s">
        <v>218</v>
      </c>
      <c r="B138" t="s">
        <v>2651</v>
      </c>
      <c r="C138" t="s">
        <v>2650</v>
      </c>
      <c r="D138" t="s">
        <v>202</v>
      </c>
      <c r="F138">
        <v>303.31839000000002</v>
      </c>
      <c r="G138">
        <v>317.42691000000002</v>
      </c>
      <c r="H138">
        <v>331.95461999999998</v>
      </c>
      <c r="I138">
        <v>346.602081</v>
      </c>
      <c r="J138">
        <v>361.45092799999998</v>
      </c>
      <c r="K138">
        <v>376.62933299999997</v>
      </c>
      <c r="L138">
        <v>392.15405299999998</v>
      </c>
      <c r="M138">
        <v>408.10046399999999</v>
      </c>
      <c r="N138">
        <v>424.535706</v>
      </c>
      <c r="O138">
        <v>441.47549400000003</v>
      </c>
      <c r="P138">
        <v>458.94073500000002</v>
      </c>
      <c r="Q138">
        <v>476.95773300000002</v>
      </c>
      <c r="R138">
        <v>495.55810500000001</v>
      </c>
      <c r="S138">
        <v>514.76513699999998</v>
      </c>
      <c r="T138">
        <v>534.58392300000003</v>
      </c>
      <c r="U138">
        <v>555.04779099999996</v>
      </c>
      <c r="V138">
        <v>576.18933100000004</v>
      </c>
      <c r="W138">
        <v>597.98101799999995</v>
      </c>
      <c r="X138">
        <v>620.430115</v>
      </c>
      <c r="Y138">
        <v>643.553223</v>
      </c>
      <c r="Z138">
        <v>667.37658699999997</v>
      </c>
      <c r="AA138">
        <v>691.94537400000002</v>
      </c>
      <c r="AB138">
        <v>717.22949200000005</v>
      </c>
      <c r="AC138">
        <v>743.25756799999999</v>
      </c>
      <c r="AD138">
        <v>770.096497</v>
      </c>
      <c r="AE138">
        <v>797.77172900000005</v>
      </c>
      <c r="AF138">
        <v>826.26873799999998</v>
      </c>
      <c r="AG138" s="22">
        <v>3.9E-2</v>
      </c>
    </row>
    <row r="139" spans="1:33">
      <c r="A139" t="s">
        <v>219</v>
      </c>
      <c r="B139" t="s">
        <v>2649</v>
      </c>
      <c r="C139" t="s">
        <v>2648</v>
      </c>
      <c r="D139" t="s">
        <v>202</v>
      </c>
      <c r="F139">
        <v>3.1846800000000002</v>
      </c>
      <c r="G139">
        <v>3.3201779999999999</v>
      </c>
      <c r="H139">
        <v>3.5410490000000001</v>
      </c>
      <c r="I139">
        <v>3.7166079999999999</v>
      </c>
      <c r="J139">
        <v>3.8812289999999998</v>
      </c>
      <c r="K139">
        <v>4.0435610000000004</v>
      </c>
      <c r="L139">
        <v>4.2031000000000001</v>
      </c>
      <c r="M139">
        <v>4.3644129999999999</v>
      </c>
      <c r="N139">
        <v>4.5244280000000003</v>
      </c>
      <c r="O139">
        <v>4.6841090000000003</v>
      </c>
      <c r="P139">
        <v>4.8440789999999998</v>
      </c>
      <c r="Q139">
        <v>5.0063389999999997</v>
      </c>
      <c r="R139">
        <v>5.1713100000000001</v>
      </c>
      <c r="S139">
        <v>5.3393459999999999</v>
      </c>
      <c r="T139">
        <v>5.5101769999999997</v>
      </c>
      <c r="U139">
        <v>5.683128</v>
      </c>
      <c r="V139">
        <v>5.8593679999999999</v>
      </c>
      <c r="W139">
        <v>6.0395810000000001</v>
      </c>
      <c r="X139">
        <v>6.2245530000000002</v>
      </c>
      <c r="Y139">
        <v>6.4142890000000001</v>
      </c>
      <c r="Z139">
        <v>6.6084639999999997</v>
      </c>
      <c r="AA139">
        <v>6.8068379999999999</v>
      </c>
      <c r="AB139">
        <v>7.0093459999999999</v>
      </c>
      <c r="AC139">
        <v>7.2170560000000004</v>
      </c>
      <c r="AD139">
        <v>7.4299720000000002</v>
      </c>
      <c r="AE139">
        <v>7.6484399999999999</v>
      </c>
      <c r="AF139">
        <v>7.872986</v>
      </c>
      <c r="AG139" s="22">
        <v>3.5000000000000003E-2</v>
      </c>
    </row>
    <row r="140" spans="1:33">
      <c r="A140" t="s">
        <v>213</v>
      </c>
      <c r="B140" t="s">
        <v>2647</v>
      </c>
      <c r="C140" t="s">
        <v>2646</v>
      </c>
      <c r="D140" t="s">
        <v>202</v>
      </c>
      <c r="F140">
        <v>225.09278900000001</v>
      </c>
      <c r="G140">
        <v>234.120102</v>
      </c>
      <c r="H140">
        <v>245.91430700000001</v>
      </c>
      <c r="I140">
        <v>257.19220000000001</v>
      </c>
      <c r="J140">
        <v>268.65457199999997</v>
      </c>
      <c r="K140">
        <v>280.36849999999998</v>
      </c>
      <c r="L140">
        <v>292.463348</v>
      </c>
      <c r="M140">
        <v>304.98327599999999</v>
      </c>
      <c r="N140">
        <v>317.80999800000001</v>
      </c>
      <c r="O140">
        <v>330.96167000000003</v>
      </c>
      <c r="P140">
        <v>344.48855600000002</v>
      </c>
      <c r="Q140">
        <v>358.41073599999999</v>
      </c>
      <c r="R140">
        <v>372.76129200000003</v>
      </c>
      <c r="S140">
        <v>387.53118899999998</v>
      </c>
      <c r="T140">
        <v>402.71044899999998</v>
      </c>
      <c r="U140">
        <v>418.30813599999999</v>
      </c>
      <c r="V140">
        <v>434.32543900000002</v>
      </c>
      <c r="W140">
        <v>450.77975500000002</v>
      </c>
      <c r="X140">
        <v>467.66839599999997</v>
      </c>
      <c r="Y140">
        <v>485.00405899999998</v>
      </c>
      <c r="Z140">
        <v>502.802277</v>
      </c>
      <c r="AA140">
        <v>521.06945800000005</v>
      </c>
      <c r="AB140">
        <v>539.80938700000002</v>
      </c>
      <c r="AC140">
        <v>559.02423099999999</v>
      </c>
      <c r="AD140">
        <v>578.71667500000001</v>
      </c>
      <c r="AE140">
        <v>598.88751200000002</v>
      </c>
      <c r="AF140">
        <v>619.54077099999995</v>
      </c>
      <c r="AG140" s="22">
        <v>0.04</v>
      </c>
    </row>
    <row r="141" spans="1:33">
      <c r="A141" t="s">
        <v>217</v>
      </c>
      <c r="B141" t="s">
        <v>2645</v>
      </c>
      <c r="C141" t="s">
        <v>2644</v>
      </c>
      <c r="D141" t="s">
        <v>202</v>
      </c>
      <c r="F141">
        <v>86.946799999999996</v>
      </c>
      <c r="G141">
        <v>90.630065999999999</v>
      </c>
      <c r="H141">
        <v>95.233283999999998</v>
      </c>
      <c r="I141">
        <v>99.655608999999998</v>
      </c>
      <c r="J141">
        <v>104.159325</v>
      </c>
      <c r="K141">
        <v>108.770065</v>
      </c>
      <c r="L141">
        <v>113.536705</v>
      </c>
      <c r="M141">
        <v>118.47635699999999</v>
      </c>
      <c r="N141">
        <v>123.545029</v>
      </c>
      <c r="O141">
        <v>128.749863</v>
      </c>
      <c r="P141">
        <v>134.11024499999999</v>
      </c>
      <c r="Q141">
        <v>139.63436899999999</v>
      </c>
      <c r="R141">
        <v>145.33505199999999</v>
      </c>
      <c r="S141">
        <v>151.20924400000001</v>
      </c>
      <c r="T141">
        <v>157.25379899999999</v>
      </c>
      <c r="U141">
        <v>163.472748</v>
      </c>
      <c r="V141">
        <v>169.86566199999999</v>
      </c>
      <c r="W141">
        <v>176.44023100000001</v>
      </c>
      <c r="X141">
        <v>183.19603000000001</v>
      </c>
      <c r="Y141">
        <v>190.13841199999999</v>
      </c>
      <c r="Z141">
        <v>197.273788</v>
      </c>
      <c r="AA141">
        <v>204.60498000000001</v>
      </c>
      <c r="AB141">
        <v>212.134109</v>
      </c>
      <c r="AC141">
        <v>219.862762</v>
      </c>
      <c r="AD141">
        <v>227.79255699999999</v>
      </c>
      <c r="AE141">
        <v>235.92416399999999</v>
      </c>
      <c r="AF141">
        <v>244.25971999999999</v>
      </c>
      <c r="AG141" s="22">
        <v>4.1000000000000002E-2</v>
      </c>
    </row>
    <row r="142" spans="1:33">
      <c r="A142" t="s">
        <v>218</v>
      </c>
      <c r="B142" t="s">
        <v>2643</v>
      </c>
      <c r="C142" t="s">
        <v>2642</v>
      </c>
      <c r="D142" t="s">
        <v>202</v>
      </c>
      <c r="F142">
        <v>131.31431599999999</v>
      </c>
      <c r="G142">
        <v>136.33462499999999</v>
      </c>
      <c r="H142">
        <v>143.155609</v>
      </c>
      <c r="I142">
        <v>149.65213</v>
      </c>
      <c r="J142">
        <v>156.243561</v>
      </c>
      <c r="K142">
        <v>162.96942100000001</v>
      </c>
      <c r="L142">
        <v>169.906509</v>
      </c>
      <c r="M142">
        <v>177.08050499999999</v>
      </c>
      <c r="N142">
        <v>184.420334</v>
      </c>
      <c r="O142">
        <v>191.936386</v>
      </c>
      <c r="P142">
        <v>199.65799000000001</v>
      </c>
      <c r="Q142">
        <v>207.59639000000001</v>
      </c>
      <c r="R142">
        <v>215.770782</v>
      </c>
      <c r="S142">
        <v>224.175308</v>
      </c>
      <c r="T142">
        <v>232.803314</v>
      </c>
      <c r="U142">
        <v>241.65943899999999</v>
      </c>
      <c r="V142">
        <v>250.745499</v>
      </c>
      <c r="W142">
        <v>260.07034299999998</v>
      </c>
      <c r="X142">
        <v>269.63171399999999</v>
      </c>
      <c r="Y142">
        <v>279.43637100000001</v>
      </c>
      <c r="Z142">
        <v>289.49298099999999</v>
      </c>
      <c r="AA142">
        <v>299.80471799999998</v>
      </c>
      <c r="AB142">
        <v>310.373108</v>
      </c>
      <c r="AC142">
        <v>321.19833399999999</v>
      </c>
      <c r="AD142">
        <v>332.28131100000002</v>
      </c>
      <c r="AE142">
        <v>343.62204000000003</v>
      </c>
      <c r="AF142">
        <v>355.22219799999999</v>
      </c>
      <c r="AG142" s="22">
        <v>3.9E-2</v>
      </c>
    </row>
    <row r="143" spans="1:33">
      <c r="A143" t="s">
        <v>219</v>
      </c>
      <c r="B143" t="s">
        <v>2641</v>
      </c>
      <c r="C143" t="s">
        <v>2640</v>
      </c>
      <c r="D143" t="s">
        <v>202</v>
      </c>
      <c r="F143">
        <v>6.8316489999999996</v>
      </c>
      <c r="G143">
        <v>7.1554260000000003</v>
      </c>
      <c r="H143">
        <v>7.5254260000000004</v>
      </c>
      <c r="I143">
        <v>7.8844609999999999</v>
      </c>
      <c r="J143">
        <v>8.2516630000000006</v>
      </c>
      <c r="K143">
        <v>8.6290010000000006</v>
      </c>
      <c r="L143">
        <v>9.0201209999999996</v>
      </c>
      <c r="M143">
        <v>9.4263840000000005</v>
      </c>
      <c r="N143">
        <v>9.8446230000000003</v>
      </c>
      <c r="O143">
        <v>10.27542</v>
      </c>
      <c r="P143">
        <v>10.720305</v>
      </c>
      <c r="Q143">
        <v>11.17999</v>
      </c>
      <c r="R143">
        <v>11.655481999999999</v>
      </c>
      <c r="S143">
        <v>12.146635</v>
      </c>
      <c r="T143">
        <v>12.653316999999999</v>
      </c>
      <c r="U143">
        <v>13.175935000000001</v>
      </c>
      <c r="V143">
        <v>13.714297999999999</v>
      </c>
      <c r="W143">
        <v>14.269194000000001</v>
      </c>
      <c r="X143">
        <v>14.840680000000001</v>
      </c>
      <c r="Y143">
        <v>15.429266</v>
      </c>
      <c r="Z143">
        <v>16.035523999999999</v>
      </c>
      <c r="AA143">
        <v>16.659738999999998</v>
      </c>
      <c r="AB143">
        <v>17.302185000000001</v>
      </c>
      <c r="AC143">
        <v>17.963128999999999</v>
      </c>
      <c r="AD143">
        <v>18.642796000000001</v>
      </c>
      <c r="AE143">
        <v>19.341294999999999</v>
      </c>
      <c r="AF143">
        <v>20.058904999999999</v>
      </c>
      <c r="AG143" s="22">
        <v>4.2000000000000003E-2</v>
      </c>
    </row>
    <row r="144" spans="1:33">
      <c r="A144" t="s">
        <v>1290</v>
      </c>
      <c r="B144" t="s">
        <v>2639</v>
      </c>
      <c r="C144" t="s">
        <v>2638</v>
      </c>
      <c r="D144" t="s">
        <v>202</v>
      </c>
      <c r="F144">
        <v>136.51760899999999</v>
      </c>
      <c r="G144">
        <v>132.90751599999999</v>
      </c>
      <c r="H144">
        <v>135.17517100000001</v>
      </c>
      <c r="I144">
        <v>138.185699</v>
      </c>
      <c r="J144">
        <v>141.49491900000001</v>
      </c>
      <c r="K144">
        <v>144.74092099999999</v>
      </c>
      <c r="L144">
        <v>147.92227199999999</v>
      </c>
      <c r="M144">
        <v>151.05413799999999</v>
      </c>
      <c r="N144">
        <v>154.14518699999999</v>
      </c>
      <c r="O144">
        <v>157.19809000000001</v>
      </c>
      <c r="P144">
        <v>160.20971700000001</v>
      </c>
      <c r="Q144">
        <v>163.177032</v>
      </c>
      <c r="R144">
        <v>166.097824</v>
      </c>
      <c r="S144">
        <v>168.97027600000001</v>
      </c>
      <c r="T144">
        <v>171.79118299999999</v>
      </c>
      <c r="U144">
        <v>174.556625</v>
      </c>
      <c r="V144">
        <v>177.25761399999999</v>
      </c>
      <c r="W144">
        <v>179.89335600000001</v>
      </c>
      <c r="X144">
        <v>182.461105</v>
      </c>
      <c r="Y144">
        <v>184.95674099999999</v>
      </c>
      <c r="Z144">
        <v>187.37617499999999</v>
      </c>
      <c r="AA144">
        <v>189.71572900000001</v>
      </c>
      <c r="AB144">
        <v>191.971497</v>
      </c>
      <c r="AC144">
        <v>194.13931299999999</v>
      </c>
      <c r="AD144">
        <v>196.21594200000001</v>
      </c>
      <c r="AE144">
        <v>198.19818100000001</v>
      </c>
      <c r="AF144">
        <v>200.082367</v>
      </c>
      <c r="AG144" s="22">
        <v>1.4999999999999999E-2</v>
      </c>
    </row>
    <row r="145" spans="1:33">
      <c r="A145" t="s">
        <v>217</v>
      </c>
      <c r="B145" t="s">
        <v>2637</v>
      </c>
      <c r="C145" t="s">
        <v>2636</v>
      </c>
      <c r="D145" t="s">
        <v>202</v>
      </c>
      <c r="F145">
        <v>73.535843</v>
      </c>
      <c r="G145">
        <v>73.544578999999999</v>
      </c>
      <c r="H145">
        <v>74.746375999999998</v>
      </c>
      <c r="I145">
        <v>76.298858999999993</v>
      </c>
      <c r="J145">
        <v>77.992378000000002</v>
      </c>
      <c r="K145">
        <v>79.656868000000003</v>
      </c>
      <c r="L145">
        <v>81.291740000000004</v>
      </c>
      <c r="M145">
        <v>82.904015000000001</v>
      </c>
      <c r="N145">
        <v>84.497619999999998</v>
      </c>
      <c r="O145">
        <v>86.073768999999999</v>
      </c>
      <c r="P145">
        <v>87.630973999999995</v>
      </c>
      <c r="Q145">
        <v>89.167770000000004</v>
      </c>
      <c r="R145">
        <v>90.682998999999995</v>
      </c>
      <c r="S145">
        <v>92.175765999999996</v>
      </c>
      <c r="T145">
        <v>93.644478000000007</v>
      </c>
      <c r="U145">
        <v>95.087112000000005</v>
      </c>
      <c r="V145">
        <v>96.497742000000002</v>
      </c>
      <c r="W145">
        <v>97.876579000000007</v>
      </c>
      <c r="X145">
        <v>99.221748000000005</v>
      </c>
      <c r="Y145">
        <v>100.53138</v>
      </c>
      <c r="Z145">
        <v>101.803673</v>
      </c>
      <c r="AA145">
        <v>103.036743</v>
      </c>
      <c r="AB145">
        <v>104.228966</v>
      </c>
      <c r="AC145">
        <v>105.378471</v>
      </c>
      <c r="AD145">
        <v>106.48362</v>
      </c>
      <c r="AE145">
        <v>107.54274700000001</v>
      </c>
      <c r="AF145">
        <v>108.554413</v>
      </c>
      <c r="AG145" s="22">
        <v>1.4999999999999999E-2</v>
      </c>
    </row>
    <row r="146" spans="1:33">
      <c r="A146" t="s">
        <v>218</v>
      </c>
      <c r="B146" t="s">
        <v>2635</v>
      </c>
      <c r="C146" t="s">
        <v>2634</v>
      </c>
      <c r="D146" t="s">
        <v>202</v>
      </c>
      <c r="F146">
        <v>56.117828000000003</v>
      </c>
      <c r="G146">
        <v>52.431319999999999</v>
      </c>
      <c r="H146">
        <v>53.385646999999999</v>
      </c>
      <c r="I146">
        <v>54.701168000000003</v>
      </c>
      <c r="J146">
        <v>56.161845999999997</v>
      </c>
      <c r="K146">
        <v>57.590857999999997</v>
      </c>
      <c r="L146">
        <v>58.987414999999999</v>
      </c>
      <c r="M146">
        <v>60.359070000000003</v>
      </c>
      <c r="N146">
        <v>61.710236000000002</v>
      </c>
      <c r="O146">
        <v>63.042191000000003</v>
      </c>
      <c r="P146">
        <v>64.353493</v>
      </c>
      <c r="Q146">
        <v>65.642677000000006</v>
      </c>
      <c r="R146">
        <v>66.908798000000004</v>
      </c>
      <c r="S146">
        <v>68.151024000000007</v>
      </c>
      <c r="T146">
        <v>69.367867000000004</v>
      </c>
      <c r="U146">
        <v>70.557602000000003</v>
      </c>
      <c r="V146">
        <v>71.717819000000006</v>
      </c>
      <c r="W146">
        <v>72.847412000000006</v>
      </c>
      <c r="X146">
        <v>73.945746999999997</v>
      </c>
      <c r="Y146">
        <v>75.010658000000006</v>
      </c>
      <c r="Z146">
        <v>76.040122999999994</v>
      </c>
      <c r="AA146">
        <v>77.032448000000002</v>
      </c>
      <c r="AB146">
        <v>77.985480999999993</v>
      </c>
      <c r="AC146">
        <v>78.897125000000003</v>
      </c>
      <c r="AD146">
        <v>79.765906999999999</v>
      </c>
      <c r="AE146">
        <v>80.590468999999999</v>
      </c>
      <c r="AF146">
        <v>81.368660000000006</v>
      </c>
      <c r="AG146" s="22">
        <v>1.4E-2</v>
      </c>
    </row>
    <row r="147" spans="1:33">
      <c r="A147" t="s">
        <v>219</v>
      </c>
      <c r="B147" t="s">
        <v>2633</v>
      </c>
      <c r="C147" t="s">
        <v>2632</v>
      </c>
      <c r="D147" t="s">
        <v>202</v>
      </c>
      <c r="F147">
        <v>6.8639380000000001</v>
      </c>
      <c r="G147">
        <v>6.9316319999999996</v>
      </c>
      <c r="H147">
        <v>7.0431350000000004</v>
      </c>
      <c r="I147">
        <v>7.1856780000000002</v>
      </c>
      <c r="J147">
        <v>7.3407049999999998</v>
      </c>
      <c r="K147">
        <v>7.4931970000000003</v>
      </c>
      <c r="L147">
        <v>7.6431019999999998</v>
      </c>
      <c r="M147">
        <v>7.7910360000000001</v>
      </c>
      <c r="N147">
        <v>7.9373389999999997</v>
      </c>
      <c r="O147">
        <v>8.0821199999999997</v>
      </c>
      <c r="P147">
        <v>8.2252460000000003</v>
      </c>
      <c r="Q147">
        <v>8.3665850000000006</v>
      </c>
      <c r="R147">
        <v>8.5060300000000009</v>
      </c>
      <c r="S147">
        <v>8.6435010000000005</v>
      </c>
      <c r="T147">
        <v>8.7788540000000008</v>
      </c>
      <c r="U147">
        <v>8.9119030000000006</v>
      </c>
      <c r="V147">
        <v>9.0420590000000001</v>
      </c>
      <c r="W147">
        <v>9.169359</v>
      </c>
      <c r="X147">
        <v>9.2936189999999996</v>
      </c>
      <c r="Y147">
        <v>9.4146780000000003</v>
      </c>
      <c r="Z147">
        <v>9.5323740000000008</v>
      </c>
      <c r="AA147">
        <v>9.6465409999999991</v>
      </c>
      <c r="AB147">
        <v>9.7570429999999995</v>
      </c>
      <c r="AC147">
        <v>9.8637160000000002</v>
      </c>
      <c r="AD147">
        <v>9.9664129999999993</v>
      </c>
      <c r="AE147">
        <v>10.064977000000001</v>
      </c>
      <c r="AF147">
        <v>10.159297</v>
      </c>
      <c r="AG147" s="22">
        <v>1.4999999999999999E-2</v>
      </c>
    </row>
    <row r="148" spans="1:33">
      <c r="A148" t="s">
        <v>2429</v>
      </c>
      <c r="B148" t="s">
        <v>2631</v>
      </c>
      <c r="C148" t="s">
        <v>2630</v>
      </c>
      <c r="D148" t="s">
        <v>202</v>
      </c>
      <c r="F148">
        <v>225.72833299999999</v>
      </c>
      <c r="G148">
        <v>225.805969</v>
      </c>
      <c r="H148">
        <v>233.132431</v>
      </c>
      <c r="I148">
        <v>240.441833</v>
      </c>
      <c r="J148">
        <v>247.70794699999999</v>
      </c>
      <c r="K148">
        <v>255.044556</v>
      </c>
      <c r="L148">
        <v>262.49648999999999</v>
      </c>
      <c r="M148">
        <v>270.07488999999998</v>
      </c>
      <c r="N148">
        <v>277.786835</v>
      </c>
      <c r="O148">
        <v>285.63098100000002</v>
      </c>
      <c r="P148">
        <v>293.60537699999998</v>
      </c>
      <c r="Q148">
        <v>301.70101899999997</v>
      </c>
      <c r="R148">
        <v>309.91436800000002</v>
      </c>
      <c r="S148">
        <v>318.25787400000002</v>
      </c>
      <c r="T148">
        <v>326.73956299999998</v>
      </c>
      <c r="U148">
        <v>335.36563100000001</v>
      </c>
      <c r="V148">
        <v>344.12753300000003</v>
      </c>
      <c r="W148">
        <v>353.02172899999999</v>
      </c>
      <c r="X148">
        <v>362.050659</v>
      </c>
      <c r="Y148">
        <v>371.21697999999998</v>
      </c>
      <c r="Z148">
        <v>380.51953099999997</v>
      </c>
      <c r="AA148">
        <v>389.95986900000003</v>
      </c>
      <c r="AB148">
        <v>399.53704800000003</v>
      </c>
      <c r="AC148">
        <v>409.24920700000001</v>
      </c>
      <c r="AD148">
        <v>419.094696</v>
      </c>
      <c r="AE148">
        <v>429.073486</v>
      </c>
      <c r="AF148">
        <v>439.19454999999999</v>
      </c>
      <c r="AG148" s="22">
        <v>2.5999999999999999E-2</v>
      </c>
    </row>
    <row r="149" spans="1:33">
      <c r="A149" t="s">
        <v>217</v>
      </c>
      <c r="B149" t="s">
        <v>2629</v>
      </c>
      <c r="C149" t="s">
        <v>2628</v>
      </c>
      <c r="D149" t="s">
        <v>202</v>
      </c>
      <c r="F149">
        <v>136.104874</v>
      </c>
      <c r="G149">
        <v>136.98419200000001</v>
      </c>
      <c r="H149">
        <v>141.36958300000001</v>
      </c>
      <c r="I149">
        <v>145.71807899999999</v>
      </c>
      <c r="J149">
        <v>150.010696</v>
      </c>
      <c r="K149">
        <v>154.32934599999999</v>
      </c>
      <c r="L149">
        <v>158.70533800000001</v>
      </c>
      <c r="M149">
        <v>163.14634699999999</v>
      </c>
      <c r="N149">
        <v>167.65725699999999</v>
      </c>
      <c r="O149">
        <v>172.23699999999999</v>
      </c>
      <c r="P149">
        <v>176.883408</v>
      </c>
      <c r="Q149">
        <v>181.59030200000001</v>
      </c>
      <c r="R149">
        <v>186.35574299999999</v>
      </c>
      <c r="S149">
        <v>191.188705</v>
      </c>
      <c r="T149">
        <v>196.09399400000001</v>
      </c>
      <c r="U149">
        <v>201.075714</v>
      </c>
      <c r="V149">
        <v>206.128433</v>
      </c>
      <c r="W149">
        <v>211.24964900000001</v>
      </c>
      <c r="X149">
        <v>216.440338</v>
      </c>
      <c r="Y149">
        <v>221.70225500000001</v>
      </c>
      <c r="Z149">
        <v>227.03434799999999</v>
      </c>
      <c r="AA149">
        <v>232.43708799999999</v>
      </c>
      <c r="AB149">
        <v>237.909561</v>
      </c>
      <c r="AC149">
        <v>243.44949299999999</v>
      </c>
      <c r="AD149">
        <v>249.05564899999999</v>
      </c>
      <c r="AE149">
        <v>254.72860700000001</v>
      </c>
      <c r="AF149">
        <v>260.47341899999998</v>
      </c>
      <c r="AG149" s="22">
        <v>2.5000000000000001E-2</v>
      </c>
    </row>
    <row r="150" spans="1:33">
      <c r="A150" t="s">
        <v>218</v>
      </c>
      <c r="B150" t="s">
        <v>2627</v>
      </c>
      <c r="C150" t="s">
        <v>2626</v>
      </c>
      <c r="D150" t="s">
        <v>202</v>
      </c>
      <c r="F150">
        <v>83.166152999999994</v>
      </c>
      <c r="G150">
        <v>82.253112999999999</v>
      </c>
      <c r="H150">
        <v>84.988822999999996</v>
      </c>
      <c r="I150">
        <v>87.748328999999998</v>
      </c>
      <c r="J150">
        <v>90.525581000000003</v>
      </c>
      <c r="K150">
        <v>93.347426999999996</v>
      </c>
      <c r="L150">
        <v>96.225555</v>
      </c>
      <c r="M150">
        <v>99.163032999999999</v>
      </c>
      <c r="N150">
        <v>102.161697</v>
      </c>
      <c r="O150">
        <v>105.221329</v>
      </c>
      <c r="P150">
        <v>108.342422</v>
      </c>
      <c r="Q150">
        <v>111.522491</v>
      </c>
      <c r="R150">
        <v>114.759911</v>
      </c>
      <c r="S150">
        <v>118.057693</v>
      </c>
      <c r="T150">
        <v>121.418846</v>
      </c>
      <c r="U150">
        <v>124.845184</v>
      </c>
      <c r="V150">
        <v>128.333923</v>
      </c>
      <c r="W150">
        <v>131.88415499999999</v>
      </c>
      <c r="X150">
        <v>135.49733000000001</v>
      </c>
      <c r="Y150">
        <v>139.174286</v>
      </c>
      <c r="Z150">
        <v>142.91493199999999</v>
      </c>
      <c r="AA150">
        <v>146.72044399999999</v>
      </c>
      <c r="AB150">
        <v>150.59080499999999</v>
      </c>
      <c r="AC150">
        <v>154.526611</v>
      </c>
      <c r="AD150">
        <v>158.52757299999999</v>
      </c>
      <c r="AE150">
        <v>162.59309400000001</v>
      </c>
      <c r="AF150">
        <v>166.72673</v>
      </c>
      <c r="AG150" s="22">
        <v>2.7E-2</v>
      </c>
    </row>
    <row r="151" spans="1:33">
      <c r="A151" t="s">
        <v>219</v>
      </c>
      <c r="B151" t="s">
        <v>2625</v>
      </c>
      <c r="C151" t="s">
        <v>2624</v>
      </c>
      <c r="D151" t="s">
        <v>202</v>
      </c>
      <c r="F151">
        <v>6.4572950000000002</v>
      </c>
      <c r="G151">
        <v>6.5686640000000001</v>
      </c>
      <c r="H151">
        <v>6.7740309999999999</v>
      </c>
      <c r="I151">
        <v>6.975422</v>
      </c>
      <c r="J151">
        <v>7.1716699999999998</v>
      </c>
      <c r="K151">
        <v>7.3677760000000001</v>
      </c>
      <c r="L151">
        <v>7.5655809999999999</v>
      </c>
      <c r="M151">
        <v>7.7655289999999999</v>
      </c>
      <c r="N151">
        <v>7.9679070000000003</v>
      </c>
      <c r="O151">
        <v>8.1726430000000008</v>
      </c>
      <c r="P151">
        <v>8.3795439999999992</v>
      </c>
      <c r="Q151">
        <v>8.58826</v>
      </c>
      <c r="R151">
        <v>8.7987169999999999</v>
      </c>
      <c r="S151">
        <v>9.0114579999999993</v>
      </c>
      <c r="T151">
        <v>9.2267130000000002</v>
      </c>
      <c r="U151">
        <v>9.4447039999999998</v>
      </c>
      <c r="V151">
        <v>9.6651509999999998</v>
      </c>
      <c r="W151">
        <v>9.8879029999999997</v>
      </c>
      <c r="X151">
        <v>10.112970000000001</v>
      </c>
      <c r="Y151">
        <v>10.340441</v>
      </c>
      <c r="Z151">
        <v>10.570240999999999</v>
      </c>
      <c r="AA151">
        <v>10.802353999999999</v>
      </c>
      <c r="AB151">
        <v>11.036707</v>
      </c>
      <c r="AC151">
        <v>11.273096000000001</v>
      </c>
      <c r="AD151">
        <v>11.511441</v>
      </c>
      <c r="AE151">
        <v>11.751815000000001</v>
      </c>
      <c r="AF151">
        <v>11.994434</v>
      </c>
      <c r="AG151" s="22">
        <v>2.4E-2</v>
      </c>
    </row>
    <row r="152" spans="1:33">
      <c r="A152" t="s">
        <v>1531</v>
      </c>
      <c r="B152" t="s">
        <v>2623</v>
      </c>
      <c r="C152" t="s">
        <v>2622</v>
      </c>
      <c r="D152" t="s">
        <v>202</v>
      </c>
      <c r="F152">
        <v>7025.9829099999997</v>
      </c>
      <c r="G152">
        <v>7122.2890619999998</v>
      </c>
      <c r="H152">
        <v>7385.1513670000004</v>
      </c>
      <c r="I152">
        <v>7638.9316410000001</v>
      </c>
      <c r="J152">
        <v>7888.4038090000004</v>
      </c>
      <c r="K152">
        <v>8139.5034180000002</v>
      </c>
      <c r="L152">
        <v>8393.6982420000004</v>
      </c>
      <c r="M152">
        <v>8648.4189449999994</v>
      </c>
      <c r="N152">
        <v>8911.9804690000001</v>
      </c>
      <c r="O152">
        <v>9182.3369139999995</v>
      </c>
      <c r="P152">
        <v>9456.4667969999991</v>
      </c>
      <c r="Q152">
        <v>9737.7744139999995</v>
      </c>
      <c r="R152">
        <v>10023.833008</v>
      </c>
      <c r="S152">
        <v>10316.053711</v>
      </c>
      <c r="T152">
        <v>10615.570312</v>
      </c>
      <c r="U152">
        <v>10920.227539</v>
      </c>
      <c r="V152">
        <v>11230.415039</v>
      </c>
      <c r="W152">
        <v>11545.672852</v>
      </c>
      <c r="X152">
        <v>11869.113281</v>
      </c>
      <c r="Y152">
        <v>12196.724609000001</v>
      </c>
      <c r="Z152">
        <v>12526.511719</v>
      </c>
      <c r="AA152">
        <v>12860.004883</v>
      </c>
      <c r="AB152">
        <v>13197.424805000001</v>
      </c>
      <c r="AC152">
        <v>13544.829102</v>
      </c>
      <c r="AD152">
        <v>13899.288086</v>
      </c>
      <c r="AE152">
        <v>14256.965819999999</v>
      </c>
      <c r="AF152">
        <v>14619.044921999999</v>
      </c>
      <c r="AG152" s="22">
        <v>2.9000000000000001E-2</v>
      </c>
    </row>
    <row r="153" spans="1:33">
      <c r="A153" t="s">
        <v>1534</v>
      </c>
      <c r="B153" t="s">
        <v>2621</v>
      </c>
      <c r="C153" t="s">
        <v>2620</v>
      </c>
      <c r="D153" t="s">
        <v>202</v>
      </c>
      <c r="F153">
        <v>3671.1164549999999</v>
      </c>
      <c r="G153">
        <v>3760.9057619999999</v>
      </c>
      <c r="H153">
        <v>3902.7570799999999</v>
      </c>
      <c r="I153">
        <v>4038.7126459999999</v>
      </c>
      <c r="J153">
        <v>4172.0981449999999</v>
      </c>
      <c r="K153">
        <v>4306.5507809999999</v>
      </c>
      <c r="L153">
        <v>4442.4833980000003</v>
      </c>
      <c r="M153">
        <v>4578.3012699999999</v>
      </c>
      <c r="N153">
        <v>4719.3881840000004</v>
      </c>
      <c r="O153">
        <v>4864.3540039999998</v>
      </c>
      <c r="P153">
        <v>5011.2514650000003</v>
      </c>
      <c r="Q153">
        <v>5162.2978519999997</v>
      </c>
      <c r="R153">
        <v>5315.6669920000004</v>
      </c>
      <c r="S153">
        <v>5472.4252930000002</v>
      </c>
      <c r="T153">
        <v>5633.1777339999999</v>
      </c>
      <c r="U153">
        <v>5796.5327150000003</v>
      </c>
      <c r="V153">
        <v>5962.5322269999997</v>
      </c>
      <c r="W153">
        <v>6130.8696289999998</v>
      </c>
      <c r="X153">
        <v>6303.6796880000002</v>
      </c>
      <c r="Y153">
        <v>6478.3891599999997</v>
      </c>
      <c r="Z153">
        <v>6653.7749020000001</v>
      </c>
      <c r="AA153">
        <v>6830.8759769999997</v>
      </c>
      <c r="AB153">
        <v>7009.7553710000002</v>
      </c>
      <c r="AC153">
        <v>7194.2563479999999</v>
      </c>
      <c r="AD153">
        <v>7382.2973629999997</v>
      </c>
      <c r="AE153">
        <v>7571.2353519999997</v>
      </c>
      <c r="AF153">
        <v>7761.859375</v>
      </c>
      <c r="AG153" s="22">
        <v>2.9000000000000001E-2</v>
      </c>
    </row>
    <row r="154" spans="1:33">
      <c r="A154" t="s">
        <v>1537</v>
      </c>
      <c r="B154" t="s">
        <v>2619</v>
      </c>
      <c r="C154" t="s">
        <v>2618</v>
      </c>
      <c r="D154" t="s">
        <v>202</v>
      </c>
      <c r="F154">
        <v>3053.2531739999999</v>
      </c>
      <c r="G154">
        <v>3051.999268</v>
      </c>
      <c r="H154">
        <v>3161.788086</v>
      </c>
      <c r="I154">
        <v>3268.7165530000002</v>
      </c>
      <c r="J154">
        <v>3374.0295409999999</v>
      </c>
      <c r="K154">
        <v>3479.6403810000002</v>
      </c>
      <c r="L154">
        <v>3586.7609859999998</v>
      </c>
      <c r="M154">
        <v>3694.5729980000001</v>
      </c>
      <c r="N154">
        <v>3805.4821780000002</v>
      </c>
      <c r="O154">
        <v>3918.9729000000002</v>
      </c>
      <c r="P154">
        <v>4034.1586910000001</v>
      </c>
      <c r="Q154">
        <v>4152.0126950000003</v>
      </c>
      <c r="R154">
        <v>4272.1108400000003</v>
      </c>
      <c r="S154">
        <v>4394.6972660000001</v>
      </c>
      <c r="T154">
        <v>4520.2421880000002</v>
      </c>
      <c r="U154">
        <v>4648.1201170000004</v>
      </c>
      <c r="V154">
        <v>4778.6835940000001</v>
      </c>
      <c r="W154">
        <v>4911.8085940000001</v>
      </c>
      <c r="X154">
        <v>5048.263672</v>
      </c>
      <c r="Y154">
        <v>5186.857422</v>
      </c>
      <c r="Z154">
        <v>5326.935547</v>
      </c>
      <c r="AA154">
        <v>5468.8862300000001</v>
      </c>
      <c r="AB154">
        <v>5612.8662109999996</v>
      </c>
      <c r="AC154">
        <v>5760.7138670000004</v>
      </c>
      <c r="AD154">
        <v>5911.7880859999996</v>
      </c>
      <c r="AE154">
        <v>6065.1552730000003</v>
      </c>
      <c r="AF154">
        <v>6221.1381840000004</v>
      </c>
      <c r="AG154" s="22">
        <v>2.8000000000000001E-2</v>
      </c>
    </row>
    <row r="155" spans="1:33">
      <c r="A155" t="s">
        <v>112</v>
      </c>
      <c r="B155" t="s">
        <v>2617</v>
      </c>
      <c r="C155" t="s">
        <v>2616</v>
      </c>
      <c r="D155" t="s">
        <v>202</v>
      </c>
      <c r="F155">
        <v>301.61242700000003</v>
      </c>
      <c r="G155">
        <v>309.38445999999999</v>
      </c>
      <c r="H155">
        <v>320.60607900000002</v>
      </c>
      <c r="I155">
        <v>331.50198399999999</v>
      </c>
      <c r="J155">
        <v>342.27648900000003</v>
      </c>
      <c r="K155">
        <v>353.31137100000001</v>
      </c>
      <c r="L155">
        <v>364.45333900000003</v>
      </c>
      <c r="M155">
        <v>375.54480000000001</v>
      </c>
      <c r="N155">
        <v>387.10955799999999</v>
      </c>
      <c r="O155">
        <v>399.00943000000001</v>
      </c>
      <c r="P155">
        <v>411.05587800000001</v>
      </c>
      <c r="Q155">
        <v>423.46508799999998</v>
      </c>
      <c r="R155">
        <v>436.05538899999999</v>
      </c>
      <c r="S155">
        <v>448.93179300000003</v>
      </c>
      <c r="T155">
        <v>462.15035999999998</v>
      </c>
      <c r="U155">
        <v>475.57394399999998</v>
      </c>
      <c r="V155">
        <v>489.19863900000001</v>
      </c>
      <c r="W155">
        <v>502.99496499999998</v>
      </c>
      <c r="X155">
        <v>517.17053199999998</v>
      </c>
      <c r="Y155">
        <v>531.47869900000001</v>
      </c>
      <c r="Z155">
        <v>545.80267300000003</v>
      </c>
      <c r="AA155">
        <v>560.24334699999997</v>
      </c>
      <c r="AB155">
        <v>574.80548099999999</v>
      </c>
      <c r="AC155">
        <v>589.85961899999995</v>
      </c>
      <c r="AD155">
        <v>605.202271</v>
      </c>
      <c r="AE155">
        <v>620.57318099999998</v>
      </c>
      <c r="AF155">
        <v>636.04693599999996</v>
      </c>
      <c r="AG155" s="22">
        <v>2.9000000000000001E-2</v>
      </c>
    </row>
    <row r="156" spans="1:33">
      <c r="A156" t="s">
        <v>637</v>
      </c>
    </row>
    <row r="157" spans="1:33">
      <c r="A157" t="s">
        <v>211</v>
      </c>
      <c r="B157" t="s">
        <v>2615</v>
      </c>
      <c r="C157" t="s">
        <v>2614</v>
      </c>
      <c r="D157" t="s">
        <v>200</v>
      </c>
      <c r="F157">
        <v>520.62988299999995</v>
      </c>
      <c r="G157">
        <v>433.98046900000003</v>
      </c>
      <c r="H157">
        <v>475.06411700000001</v>
      </c>
      <c r="I157">
        <v>468.64211999999998</v>
      </c>
      <c r="J157">
        <v>444.656677</v>
      </c>
      <c r="K157">
        <v>460.75589000000002</v>
      </c>
      <c r="L157">
        <v>445.53591899999998</v>
      </c>
      <c r="M157">
        <v>423.51995799999997</v>
      </c>
      <c r="N157">
        <v>443.403595</v>
      </c>
      <c r="O157">
        <v>453.90432700000002</v>
      </c>
      <c r="P157">
        <v>449.03823899999998</v>
      </c>
      <c r="Q157">
        <v>463.69042999999999</v>
      </c>
      <c r="R157">
        <v>467.63226300000002</v>
      </c>
      <c r="S157">
        <v>479.00531000000001</v>
      </c>
      <c r="T157">
        <v>493.70745799999997</v>
      </c>
      <c r="U157">
        <v>496.85668900000002</v>
      </c>
      <c r="V157">
        <v>500.33526599999999</v>
      </c>
      <c r="W157">
        <v>501.053406</v>
      </c>
      <c r="X157">
        <v>520.59216300000003</v>
      </c>
      <c r="Y157">
        <v>522.08398399999999</v>
      </c>
      <c r="Z157">
        <v>515.46691899999996</v>
      </c>
      <c r="AA157">
        <v>518.41473399999995</v>
      </c>
      <c r="AB157">
        <v>522.41021699999999</v>
      </c>
      <c r="AC157">
        <v>558.933716</v>
      </c>
      <c r="AD157">
        <v>580.52685499999995</v>
      </c>
      <c r="AE157">
        <v>580.38116500000001</v>
      </c>
      <c r="AF157">
        <v>586.29919400000006</v>
      </c>
      <c r="AG157" s="22">
        <v>5.0000000000000001E-3</v>
      </c>
    </row>
    <row r="158" spans="1:33">
      <c r="A158" t="s">
        <v>217</v>
      </c>
      <c r="B158" t="s">
        <v>2613</v>
      </c>
      <c r="C158" t="s">
        <v>2612</v>
      </c>
      <c r="D158" t="s">
        <v>200</v>
      </c>
      <c r="F158">
        <v>285.98443600000002</v>
      </c>
      <c r="G158">
        <v>251.453934</v>
      </c>
      <c r="H158">
        <v>277.46118200000001</v>
      </c>
      <c r="I158">
        <v>274.41711400000003</v>
      </c>
      <c r="J158">
        <v>260.57345600000002</v>
      </c>
      <c r="K158">
        <v>270.70996100000002</v>
      </c>
      <c r="L158">
        <v>262.05465700000002</v>
      </c>
      <c r="M158">
        <v>249.49954199999999</v>
      </c>
      <c r="N158">
        <v>261.97949199999999</v>
      </c>
      <c r="O158">
        <v>268.665527</v>
      </c>
      <c r="P158">
        <v>266.16894500000001</v>
      </c>
      <c r="Q158">
        <v>275.29931599999998</v>
      </c>
      <c r="R158">
        <v>277.875</v>
      </c>
      <c r="S158">
        <v>284.80175800000001</v>
      </c>
      <c r="T158">
        <v>293.578125</v>
      </c>
      <c r="U158">
        <v>295.45605499999999</v>
      </c>
      <c r="V158">
        <v>297.45410199999998</v>
      </c>
      <c r="W158">
        <v>297.81835899999999</v>
      </c>
      <c r="X158">
        <v>309.51904300000001</v>
      </c>
      <c r="Y158">
        <v>310.273438</v>
      </c>
      <c r="Z158">
        <v>306.07324199999999</v>
      </c>
      <c r="AA158">
        <v>307.55688500000002</v>
      </c>
      <c r="AB158">
        <v>309.60247800000002</v>
      </c>
      <c r="AC158">
        <v>331.03653000000003</v>
      </c>
      <c r="AD158">
        <v>343.43554699999999</v>
      </c>
      <c r="AE158">
        <v>342.80566399999998</v>
      </c>
      <c r="AF158">
        <v>345.83251999999999</v>
      </c>
      <c r="AG158" s="22">
        <v>7.0000000000000001E-3</v>
      </c>
    </row>
    <row r="159" spans="1:33">
      <c r="A159" t="s">
        <v>218</v>
      </c>
      <c r="B159" t="s">
        <v>2611</v>
      </c>
      <c r="C159" t="s">
        <v>2610</v>
      </c>
      <c r="D159" t="s">
        <v>200</v>
      </c>
      <c r="F159">
        <v>126.6567</v>
      </c>
      <c r="G159">
        <v>84.905181999999996</v>
      </c>
      <c r="H159">
        <v>89.174109999999999</v>
      </c>
      <c r="I159">
        <v>86.394919999999999</v>
      </c>
      <c r="J159">
        <v>81.657088999999999</v>
      </c>
      <c r="K159">
        <v>82.391388000000006</v>
      </c>
      <c r="L159">
        <v>78.507874000000001</v>
      </c>
      <c r="M159">
        <v>73.415672000000001</v>
      </c>
      <c r="N159">
        <v>74.235991999999996</v>
      </c>
      <c r="O159">
        <v>73.744415000000004</v>
      </c>
      <c r="P159">
        <v>71.155417999999997</v>
      </c>
      <c r="Q159">
        <v>71.585937999999999</v>
      </c>
      <c r="R159">
        <v>70.850020999999998</v>
      </c>
      <c r="S159">
        <v>71.563643999999996</v>
      </c>
      <c r="T159">
        <v>73.163773000000006</v>
      </c>
      <c r="U159">
        <v>73.350098000000003</v>
      </c>
      <c r="V159">
        <v>73.948302999999996</v>
      </c>
      <c r="W159">
        <v>74.338065999999998</v>
      </c>
      <c r="X159">
        <v>77.591919000000004</v>
      </c>
      <c r="Y159">
        <v>78.577613999999997</v>
      </c>
      <c r="Z159">
        <v>78.702545000000001</v>
      </c>
      <c r="AA159">
        <v>80.368354999999994</v>
      </c>
      <c r="AB159">
        <v>82.336044000000001</v>
      </c>
      <c r="AC159">
        <v>89.077370000000002</v>
      </c>
      <c r="AD159">
        <v>93.752646999999996</v>
      </c>
      <c r="AE159">
        <v>95.401443</v>
      </c>
      <c r="AF159">
        <v>97.927368000000001</v>
      </c>
      <c r="AG159" s="22">
        <v>-0.01</v>
      </c>
    </row>
    <row r="160" spans="1:33">
      <c r="A160" t="s">
        <v>219</v>
      </c>
      <c r="B160" t="s">
        <v>2609</v>
      </c>
      <c r="C160" t="s">
        <v>2608</v>
      </c>
      <c r="D160" t="s">
        <v>200</v>
      </c>
      <c r="F160">
        <v>107.98877</v>
      </c>
      <c r="G160">
        <v>97.621337999999994</v>
      </c>
      <c r="H160">
        <v>108.428833</v>
      </c>
      <c r="I160">
        <v>107.830078</v>
      </c>
      <c r="J160">
        <v>102.426147</v>
      </c>
      <c r="K160">
        <v>107.65454099999999</v>
      </c>
      <c r="L160">
        <v>104.973389</v>
      </c>
      <c r="M160">
        <v>100.604736</v>
      </c>
      <c r="N160">
        <v>107.18810999999999</v>
      </c>
      <c r="O160">
        <v>111.49438499999999</v>
      </c>
      <c r="P160">
        <v>111.71386699999999</v>
      </c>
      <c r="Q160">
        <v>116.805176</v>
      </c>
      <c r="R160">
        <v>118.90722700000001</v>
      </c>
      <c r="S160">
        <v>122.639893</v>
      </c>
      <c r="T160">
        <v>126.965576</v>
      </c>
      <c r="U160">
        <v>128.05053699999999</v>
      </c>
      <c r="V160">
        <v>128.932861</v>
      </c>
      <c r="W160">
        <v>128.896973</v>
      </c>
      <c r="X160">
        <v>133.481201</v>
      </c>
      <c r="Y160">
        <v>133.23291</v>
      </c>
      <c r="Z160">
        <v>130.69116199999999</v>
      </c>
      <c r="AA160">
        <v>130.48950199999999</v>
      </c>
      <c r="AB160">
        <v>130.47167999999999</v>
      </c>
      <c r="AC160">
        <v>138.81982400000001</v>
      </c>
      <c r="AD160">
        <v>143.33862300000001</v>
      </c>
      <c r="AE160">
        <v>142.174072</v>
      </c>
      <c r="AF160">
        <v>142.53930700000001</v>
      </c>
      <c r="AG160" s="22">
        <v>1.0999999999999999E-2</v>
      </c>
    </row>
    <row r="161" spans="1:33">
      <c r="A161" t="s">
        <v>212</v>
      </c>
      <c r="B161" t="s">
        <v>2607</v>
      </c>
      <c r="C161" t="s">
        <v>2606</v>
      </c>
      <c r="D161" t="s">
        <v>200</v>
      </c>
      <c r="F161">
        <v>67.953529000000003</v>
      </c>
      <c r="G161">
        <v>74.382857999999999</v>
      </c>
      <c r="H161">
        <v>52.820174999999999</v>
      </c>
      <c r="I161">
        <v>52.816794999999999</v>
      </c>
      <c r="J161">
        <v>55.772506999999997</v>
      </c>
      <c r="K161">
        <v>56.447716</v>
      </c>
      <c r="L161">
        <v>57.671889999999998</v>
      </c>
      <c r="M161">
        <v>59.054290999999999</v>
      </c>
      <c r="N161">
        <v>59.838196000000003</v>
      </c>
      <c r="O161">
        <v>60.384331000000003</v>
      </c>
      <c r="P161">
        <v>61.013137999999998</v>
      </c>
      <c r="Q161">
        <v>61.743637</v>
      </c>
      <c r="R161">
        <v>62.477950999999997</v>
      </c>
      <c r="S161">
        <v>63.304488999999997</v>
      </c>
      <c r="T161">
        <v>64.229263000000003</v>
      </c>
      <c r="U161">
        <v>65.244750999999994</v>
      </c>
      <c r="V161">
        <v>66.220534999999998</v>
      </c>
      <c r="W161">
        <v>67.311385999999999</v>
      </c>
      <c r="X161">
        <v>68.663100999999997</v>
      </c>
      <c r="Y161">
        <v>69.990250000000003</v>
      </c>
      <c r="Z161">
        <v>71.336440999999994</v>
      </c>
      <c r="AA161">
        <v>72.615875000000003</v>
      </c>
      <c r="AB161">
        <v>74.015518</v>
      </c>
      <c r="AC161">
        <v>75.506698999999998</v>
      </c>
      <c r="AD161">
        <v>76.989638999999997</v>
      </c>
      <c r="AE161">
        <v>78.547470000000004</v>
      </c>
      <c r="AF161">
        <v>80.072922000000005</v>
      </c>
      <c r="AG161" s="22">
        <v>6.0000000000000001E-3</v>
      </c>
    </row>
    <row r="162" spans="1:33">
      <c r="A162" t="s">
        <v>217</v>
      </c>
      <c r="B162" t="s">
        <v>2605</v>
      </c>
      <c r="C162" t="s">
        <v>2604</v>
      </c>
      <c r="D162" t="s">
        <v>200</v>
      </c>
      <c r="F162">
        <v>16.922930000000001</v>
      </c>
      <c r="G162">
        <v>20.367187999999999</v>
      </c>
      <c r="H162">
        <v>21.354523</v>
      </c>
      <c r="I162">
        <v>21.558502000000001</v>
      </c>
      <c r="J162">
        <v>22.923096000000001</v>
      </c>
      <c r="K162">
        <v>23.288788</v>
      </c>
      <c r="L162">
        <v>24.631499999999999</v>
      </c>
      <c r="M162">
        <v>25.035339</v>
      </c>
      <c r="N162">
        <v>25.207550000000001</v>
      </c>
      <c r="O162">
        <v>25.493957999999999</v>
      </c>
      <c r="P162">
        <v>25.808776999999999</v>
      </c>
      <c r="Q162">
        <v>26.158446999999999</v>
      </c>
      <c r="R162">
        <v>26.527312999999999</v>
      </c>
      <c r="S162">
        <v>26.928528</v>
      </c>
      <c r="T162">
        <v>27.364349000000001</v>
      </c>
      <c r="U162">
        <v>27.866302000000001</v>
      </c>
      <c r="V162">
        <v>28.379332999999999</v>
      </c>
      <c r="W162">
        <v>28.941832999999999</v>
      </c>
      <c r="X162">
        <v>29.513123</v>
      </c>
      <c r="Y162">
        <v>30.082885999999998</v>
      </c>
      <c r="Z162">
        <v>30.635131999999999</v>
      </c>
      <c r="AA162">
        <v>31.161560000000001</v>
      </c>
      <c r="AB162">
        <v>31.717345999999999</v>
      </c>
      <c r="AC162">
        <v>32.276488999999998</v>
      </c>
      <c r="AD162">
        <v>32.809142999999999</v>
      </c>
      <c r="AE162">
        <v>33.346558000000002</v>
      </c>
      <c r="AF162">
        <v>33.846252</v>
      </c>
      <c r="AG162" s="22">
        <v>2.7E-2</v>
      </c>
    </row>
    <row r="163" spans="1:33">
      <c r="A163" t="s">
        <v>218</v>
      </c>
      <c r="B163" t="s">
        <v>2603</v>
      </c>
      <c r="C163" t="s">
        <v>2602</v>
      </c>
      <c r="D163" t="s">
        <v>200</v>
      </c>
      <c r="F163">
        <v>10.306296</v>
      </c>
      <c r="G163">
        <v>7.2837740000000002</v>
      </c>
      <c r="H163">
        <v>7.3379669999999999</v>
      </c>
      <c r="I163">
        <v>7.485519</v>
      </c>
      <c r="J163">
        <v>8.1928099999999997</v>
      </c>
      <c r="K163">
        <v>8.4356840000000002</v>
      </c>
      <c r="L163">
        <v>8.5302889999999998</v>
      </c>
      <c r="M163">
        <v>9.4522399999999998</v>
      </c>
      <c r="N163">
        <v>9.9992149999999995</v>
      </c>
      <c r="O163">
        <v>10.092148</v>
      </c>
      <c r="P163">
        <v>10.204146</v>
      </c>
      <c r="Q163">
        <v>10.346161</v>
      </c>
      <c r="R163">
        <v>10.489641000000001</v>
      </c>
      <c r="S163">
        <v>10.655559999999999</v>
      </c>
      <c r="T163">
        <v>10.827715</v>
      </c>
      <c r="U163">
        <v>11.032287</v>
      </c>
      <c r="V163">
        <v>11.226307</v>
      </c>
      <c r="W163">
        <v>11.441390999999999</v>
      </c>
      <c r="X163">
        <v>11.669662000000001</v>
      </c>
      <c r="Y163">
        <v>11.912582</v>
      </c>
      <c r="Z163">
        <v>12.166611</v>
      </c>
      <c r="AA163">
        <v>12.428284</v>
      </c>
      <c r="AB163">
        <v>12.707133000000001</v>
      </c>
      <c r="AC163">
        <v>13.015809000000001</v>
      </c>
      <c r="AD163">
        <v>13.319748000000001</v>
      </c>
      <c r="AE163">
        <v>13.632034000000001</v>
      </c>
      <c r="AF163">
        <v>13.944504</v>
      </c>
      <c r="AG163" s="22">
        <v>1.2E-2</v>
      </c>
    </row>
    <row r="164" spans="1:33">
      <c r="A164" t="s">
        <v>219</v>
      </c>
      <c r="B164" t="s">
        <v>2601</v>
      </c>
      <c r="C164" t="s">
        <v>2600</v>
      </c>
      <c r="D164" t="s">
        <v>200</v>
      </c>
      <c r="F164">
        <v>40.724303999999997</v>
      </c>
      <c r="G164">
        <v>46.731895000000002</v>
      </c>
      <c r="H164">
        <v>24.127686000000001</v>
      </c>
      <c r="I164">
        <v>23.772773999999998</v>
      </c>
      <c r="J164">
        <v>24.656600999999998</v>
      </c>
      <c r="K164">
        <v>24.723246</v>
      </c>
      <c r="L164">
        <v>24.510100999999999</v>
      </c>
      <c r="M164">
        <v>24.566711000000002</v>
      </c>
      <c r="N164">
        <v>24.631430000000002</v>
      </c>
      <c r="O164">
        <v>24.798224999999999</v>
      </c>
      <c r="P164">
        <v>25.000214</v>
      </c>
      <c r="Q164">
        <v>25.239028999999999</v>
      </c>
      <c r="R164">
        <v>25.460999000000001</v>
      </c>
      <c r="S164">
        <v>25.720400000000001</v>
      </c>
      <c r="T164">
        <v>26.037201</v>
      </c>
      <c r="U164">
        <v>26.346160999999999</v>
      </c>
      <c r="V164">
        <v>26.614899000000001</v>
      </c>
      <c r="W164">
        <v>26.928162</v>
      </c>
      <c r="X164">
        <v>27.480315999999998</v>
      </c>
      <c r="Y164">
        <v>27.994781</v>
      </c>
      <c r="Z164">
        <v>28.534697999999999</v>
      </c>
      <c r="AA164">
        <v>29.026031</v>
      </c>
      <c r="AB164">
        <v>29.591034000000001</v>
      </c>
      <c r="AC164">
        <v>30.214400999999999</v>
      </c>
      <c r="AD164">
        <v>30.860745999999999</v>
      </c>
      <c r="AE164">
        <v>31.568878000000002</v>
      </c>
      <c r="AF164">
        <v>32.282165999999997</v>
      </c>
      <c r="AG164" s="22">
        <v>-8.9999999999999993E-3</v>
      </c>
    </row>
    <row r="165" spans="1:33">
      <c r="A165" t="s">
        <v>2459</v>
      </c>
      <c r="B165" t="s">
        <v>2599</v>
      </c>
      <c r="C165" t="s">
        <v>2598</v>
      </c>
      <c r="D165" t="s">
        <v>200</v>
      </c>
      <c r="F165">
        <v>26.557766000000001</v>
      </c>
      <c r="G165">
        <v>28.583897</v>
      </c>
      <c r="H165">
        <v>31.784264</v>
      </c>
      <c r="I165">
        <v>32.443469999999998</v>
      </c>
      <c r="J165">
        <v>34.015011000000001</v>
      </c>
      <c r="K165">
        <v>34.937733000000001</v>
      </c>
      <c r="L165">
        <v>35.426369000000001</v>
      </c>
      <c r="M165">
        <v>36.476565999999998</v>
      </c>
      <c r="N165">
        <v>37.715214000000003</v>
      </c>
      <c r="O165">
        <v>39.075726000000003</v>
      </c>
      <c r="P165">
        <v>40.482723</v>
      </c>
      <c r="Q165">
        <v>41.973376999999999</v>
      </c>
      <c r="R165">
        <v>43.543785</v>
      </c>
      <c r="S165">
        <v>45.188873000000001</v>
      </c>
      <c r="T165">
        <v>46.899169999999998</v>
      </c>
      <c r="U165">
        <v>48.639263</v>
      </c>
      <c r="V165">
        <v>50.4086</v>
      </c>
      <c r="W165">
        <v>52.217086999999999</v>
      </c>
      <c r="X165">
        <v>54.045105</v>
      </c>
      <c r="Y165">
        <v>55.854179000000002</v>
      </c>
      <c r="Z165">
        <v>57.687083999999999</v>
      </c>
      <c r="AA165">
        <v>59.496139999999997</v>
      </c>
      <c r="AB165">
        <v>61.27552</v>
      </c>
      <c r="AC165">
        <v>63.054760000000002</v>
      </c>
      <c r="AD165">
        <v>64.826301999999998</v>
      </c>
      <c r="AE165">
        <v>66.569182999999995</v>
      </c>
      <c r="AF165">
        <v>68.335632000000004</v>
      </c>
      <c r="AG165" s="22">
        <v>3.6999999999999998E-2</v>
      </c>
    </row>
    <row r="166" spans="1:33">
      <c r="A166" t="s">
        <v>217</v>
      </c>
      <c r="B166" t="s">
        <v>2597</v>
      </c>
      <c r="C166" t="s">
        <v>2596</v>
      </c>
      <c r="D166" t="s">
        <v>200</v>
      </c>
      <c r="F166">
        <v>17.408660999999999</v>
      </c>
      <c r="G166">
        <v>18.841857999999998</v>
      </c>
      <c r="H166">
        <v>21.553374999999999</v>
      </c>
      <c r="I166">
        <v>22.006271000000002</v>
      </c>
      <c r="J166">
        <v>22.417525999999999</v>
      </c>
      <c r="K166">
        <v>23.073270999999998</v>
      </c>
      <c r="L166">
        <v>23.476641000000001</v>
      </c>
      <c r="M166">
        <v>24.286384999999999</v>
      </c>
      <c r="N166">
        <v>25.237601999999999</v>
      </c>
      <c r="O166">
        <v>26.283124999999998</v>
      </c>
      <c r="P166">
        <v>27.387433999999999</v>
      </c>
      <c r="Q166">
        <v>28.562248</v>
      </c>
      <c r="R166">
        <v>29.802727000000001</v>
      </c>
      <c r="S166">
        <v>31.103176000000001</v>
      </c>
      <c r="T166">
        <v>32.455387000000002</v>
      </c>
      <c r="U166">
        <v>33.829388000000002</v>
      </c>
      <c r="V166">
        <v>35.214233</v>
      </c>
      <c r="W166">
        <v>36.619259</v>
      </c>
      <c r="X166">
        <v>38.031112999999998</v>
      </c>
      <c r="Y166">
        <v>39.437260000000002</v>
      </c>
      <c r="Z166">
        <v>40.847168000000003</v>
      </c>
      <c r="AA166">
        <v>42.216369999999998</v>
      </c>
      <c r="AB166">
        <v>43.546387000000003</v>
      </c>
      <c r="AC166">
        <v>44.858826000000001</v>
      </c>
      <c r="AD166">
        <v>46.145873999999999</v>
      </c>
      <c r="AE166">
        <v>47.386046999999998</v>
      </c>
      <c r="AF166">
        <v>48.606873</v>
      </c>
      <c r="AG166" s="22">
        <v>0.04</v>
      </c>
    </row>
    <row r="167" spans="1:33">
      <c r="A167" t="s">
        <v>218</v>
      </c>
      <c r="B167" t="s">
        <v>2595</v>
      </c>
      <c r="C167" t="s">
        <v>2594</v>
      </c>
      <c r="D167" t="s">
        <v>200</v>
      </c>
      <c r="F167">
        <v>1.7627900000000001</v>
      </c>
      <c r="G167">
        <v>2.2088730000000001</v>
      </c>
      <c r="H167">
        <v>2.2346509999999999</v>
      </c>
      <c r="I167">
        <v>2.1886109999999999</v>
      </c>
      <c r="J167">
        <v>2.141804</v>
      </c>
      <c r="K167">
        <v>2.1227939999999998</v>
      </c>
      <c r="L167">
        <v>2.0919050000000001</v>
      </c>
      <c r="M167">
        <v>2.1038139999999999</v>
      </c>
      <c r="N167">
        <v>2.1323669999999999</v>
      </c>
      <c r="O167">
        <v>2.175338</v>
      </c>
      <c r="P167">
        <v>2.2296420000000001</v>
      </c>
      <c r="Q167">
        <v>2.2954970000000001</v>
      </c>
      <c r="R167">
        <v>2.3717169999999999</v>
      </c>
      <c r="S167">
        <v>2.4568840000000001</v>
      </c>
      <c r="T167">
        <v>2.5495320000000001</v>
      </c>
      <c r="U167">
        <v>2.6459869999999999</v>
      </c>
      <c r="V167">
        <v>2.7454540000000001</v>
      </c>
      <c r="W167">
        <v>2.8464849999999999</v>
      </c>
      <c r="X167">
        <v>2.9394529999999999</v>
      </c>
      <c r="Y167">
        <v>3.0281389999999999</v>
      </c>
      <c r="Z167">
        <v>3.1181760000000001</v>
      </c>
      <c r="AA167">
        <v>3.2062819999999999</v>
      </c>
      <c r="AB167">
        <v>3.2882440000000002</v>
      </c>
      <c r="AC167">
        <v>3.3659780000000001</v>
      </c>
      <c r="AD167">
        <v>3.4356610000000001</v>
      </c>
      <c r="AE167">
        <v>3.5057109999999998</v>
      </c>
      <c r="AF167">
        <v>3.578697</v>
      </c>
      <c r="AG167" s="22">
        <v>2.8000000000000001E-2</v>
      </c>
    </row>
    <row r="168" spans="1:33">
      <c r="A168" t="s">
        <v>219</v>
      </c>
      <c r="B168" t="s">
        <v>2593</v>
      </c>
      <c r="C168" t="s">
        <v>2592</v>
      </c>
      <c r="D168" t="s">
        <v>200</v>
      </c>
      <c r="F168">
        <v>7.3863139999999996</v>
      </c>
      <c r="G168">
        <v>7.5331650000000003</v>
      </c>
      <c r="H168">
        <v>7.9962390000000001</v>
      </c>
      <c r="I168">
        <v>8.2485890000000008</v>
      </c>
      <c r="J168">
        <v>9.4556810000000002</v>
      </c>
      <c r="K168">
        <v>9.7416689999999999</v>
      </c>
      <c r="L168">
        <v>9.8578209999999995</v>
      </c>
      <c r="M168">
        <v>10.086368999999999</v>
      </c>
      <c r="N168">
        <v>10.345245</v>
      </c>
      <c r="O168">
        <v>10.617264</v>
      </c>
      <c r="P168">
        <v>10.865646</v>
      </c>
      <c r="Q168">
        <v>11.115631</v>
      </c>
      <c r="R168">
        <v>11.369339</v>
      </c>
      <c r="S168">
        <v>11.628814999999999</v>
      </c>
      <c r="T168">
        <v>11.894247999999999</v>
      </c>
      <c r="U168">
        <v>12.163891</v>
      </c>
      <c r="V168">
        <v>12.448914</v>
      </c>
      <c r="W168">
        <v>12.751343</v>
      </c>
      <c r="X168">
        <v>13.074539</v>
      </c>
      <c r="Y168">
        <v>13.388779</v>
      </c>
      <c r="Z168">
        <v>13.721741</v>
      </c>
      <c r="AA168">
        <v>14.073486000000001</v>
      </c>
      <c r="AB168">
        <v>14.440887</v>
      </c>
      <c r="AC168">
        <v>14.829955999999999</v>
      </c>
      <c r="AD168">
        <v>15.244766</v>
      </c>
      <c r="AE168">
        <v>15.677426000000001</v>
      </c>
      <c r="AF168">
        <v>16.150062999999999</v>
      </c>
      <c r="AG168" s="22">
        <v>3.1E-2</v>
      </c>
    </row>
    <row r="169" spans="1:33">
      <c r="A169" t="s">
        <v>2456</v>
      </c>
      <c r="B169" t="s">
        <v>2591</v>
      </c>
      <c r="C169" t="s">
        <v>2590</v>
      </c>
      <c r="D169" t="s">
        <v>200</v>
      </c>
      <c r="F169">
        <v>163.286789</v>
      </c>
      <c r="G169">
        <v>286.76901199999998</v>
      </c>
      <c r="H169">
        <v>313.17236300000002</v>
      </c>
      <c r="I169">
        <v>324.34777800000001</v>
      </c>
      <c r="J169">
        <v>335.47668499999997</v>
      </c>
      <c r="K169">
        <v>358.18756100000002</v>
      </c>
      <c r="L169">
        <v>363.81100500000002</v>
      </c>
      <c r="M169">
        <v>373.22500600000001</v>
      </c>
      <c r="N169">
        <v>382.99279799999999</v>
      </c>
      <c r="O169">
        <v>393.70156900000001</v>
      </c>
      <c r="P169">
        <v>404.52465799999999</v>
      </c>
      <c r="Q169">
        <v>414.980591</v>
      </c>
      <c r="R169">
        <v>425.74353000000002</v>
      </c>
      <c r="S169">
        <v>435.88378899999998</v>
      </c>
      <c r="T169">
        <v>447.02578699999998</v>
      </c>
      <c r="U169">
        <v>462.57043499999997</v>
      </c>
      <c r="V169">
        <v>470.948486</v>
      </c>
      <c r="W169">
        <v>479.06863399999997</v>
      </c>
      <c r="X169">
        <v>487.32806399999998</v>
      </c>
      <c r="Y169">
        <v>495.29534899999999</v>
      </c>
      <c r="Z169">
        <v>502.91668700000002</v>
      </c>
      <c r="AA169">
        <v>510.290009</v>
      </c>
      <c r="AB169">
        <v>517.75830099999996</v>
      </c>
      <c r="AC169">
        <v>525.09558100000004</v>
      </c>
      <c r="AD169">
        <v>532.26507600000002</v>
      </c>
      <c r="AE169">
        <v>539.58569299999999</v>
      </c>
      <c r="AF169">
        <v>547.16339100000005</v>
      </c>
      <c r="AG169" s="22">
        <v>4.8000000000000001E-2</v>
      </c>
    </row>
    <row r="170" spans="1:33">
      <c r="A170" t="s">
        <v>217</v>
      </c>
      <c r="B170" t="s">
        <v>2589</v>
      </c>
      <c r="C170" t="s">
        <v>2588</v>
      </c>
      <c r="D170" t="s">
        <v>200</v>
      </c>
      <c r="F170">
        <v>65.728194999999999</v>
      </c>
      <c r="G170">
        <v>182.61532600000001</v>
      </c>
      <c r="H170">
        <v>197.36596700000001</v>
      </c>
      <c r="I170">
        <v>204.98608400000001</v>
      </c>
      <c r="J170">
        <v>212.554688</v>
      </c>
      <c r="K170">
        <v>220.07763700000001</v>
      </c>
      <c r="L170">
        <v>223.25805700000001</v>
      </c>
      <c r="M170">
        <v>230.17285200000001</v>
      </c>
      <c r="N170">
        <v>237.22558599999999</v>
      </c>
      <c r="O170">
        <v>244.561035</v>
      </c>
      <c r="P170">
        <v>251.76757799999999</v>
      </c>
      <c r="Q170">
        <v>258.53125</v>
      </c>
      <c r="R170">
        <v>265.125</v>
      </c>
      <c r="S170">
        <v>271.15332000000001</v>
      </c>
      <c r="T170">
        <v>278.16162100000003</v>
      </c>
      <c r="U170">
        <v>289.459473</v>
      </c>
      <c r="V170">
        <v>293.4375</v>
      </c>
      <c r="W170">
        <v>297.20654300000001</v>
      </c>
      <c r="X170">
        <v>301.00585899999999</v>
      </c>
      <c r="Y170">
        <v>304.64892600000002</v>
      </c>
      <c r="Z170">
        <v>308.13232399999998</v>
      </c>
      <c r="AA170">
        <v>311.52880900000002</v>
      </c>
      <c r="AB170">
        <v>315.08056599999998</v>
      </c>
      <c r="AC170">
        <v>318.70800800000001</v>
      </c>
      <c r="AD170">
        <v>322.40332000000001</v>
      </c>
      <c r="AE170">
        <v>326.36621100000002</v>
      </c>
      <c r="AF170">
        <v>330.64160199999998</v>
      </c>
      <c r="AG170" s="22">
        <v>6.4000000000000001E-2</v>
      </c>
    </row>
    <row r="171" spans="1:33">
      <c r="A171" t="s">
        <v>218</v>
      </c>
      <c r="B171" t="s">
        <v>2587</v>
      </c>
      <c r="C171" t="s">
        <v>2586</v>
      </c>
      <c r="D171" t="s">
        <v>200</v>
      </c>
      <c r="F171">
        <v>20.364135999999998</v>
      </c>
      <c r="G171">
        <v>40.035888999999997</v>
      </c>
      <c r="H171">
        <v>49.242798000000001</v>
      </c>
      <c r="I171">
        <v>51.040283000000002</v>
      </c>
      <c r="J171">
        <v>52.847168000000003</v>
      </c>
      <c r="K171">
        <v>66.267769000000001</v>
      </c>
      <c r="L171">
        <v>68.413910000000001</v>
      </c>
      <c r="M171">
        <v>69.237578999999997</v>
      </c>
      <c r="N171">
        <v>70.101439999999997</v>
      </c>
      <c r="O171">
        <v>71.391884000000005</v>
      </c>
      <c r="P171">
        <v>72.837761</v>
      </c>
      <c r="Q171">
        <v>74.376114000000001</v>
      </c>
      <c r="R171">
        <v>76.300545</v>
      </c>
      <c r="S171">
        <v>78.225837999999996</v>
      </c>
      <c r="T171">
        <v>80.218665999999999</v>
      </c>
      <c r="U171">
        <v>82.265991</v>
      </c>
      <c r="V171">
        <v>84.456558000000001</v>
      </c>
      <c r="W171">
        <v>86.601226999999994</v>
      </c>
      <c r="X171">
        <v>88.797539</v>
      </c>
      <c r="Y171">
        <v>90.869452999999993</v>
      </c>
      <c r="Z171">
        <v>92.787307999999996</v>
      </c>
      <c r="AA171">
        <v>94.563568000000004</v>
      </c>
      <c r="AB171">
        <v>96.231842</v>
      </c>
      <c r="AC171">
        <v>97.697165999999996</v>
      </c>
      <c r="AD171">
        <v>98.953682000000001</v>
      </c>
      <c r="AE171">
        <v>100.075928</v>
      </c>
      <c r="AF171">
        <v>101.132637</v>
      </c>
      <c r="AG171" s="22">
        <v>6.4000000000000001E-2</v>
      </c>
    </row>
    <row r="172" spans="1:33">
      <c r="A172" t="s">
        <v>219</v>
      </c>
      <c r="B172" t="s">
        <v>2585</v>
      </c>
      <c r="C172" t="s">
        <v>2584</v>
      </c>
      <c r="D172" t="s">
        <v>200</v>
      </c>
      <c r="F172">
        <v>77.194457999999997</v>
      </c>
      <c r="G172">
        <v>64.117797999999993</v>
      </c>
      <c r="H172">
        <v>66.563598999999996</v>
      </c>
      <c r="I172">
        <v>68.321410999999998</v>
      </c>
      <c r="J172">
        <v>70.074828999999994</v>
      </c>
      <c r="K172">
        <v>71.842162999999999</v>
      </c>
      <c r="L172">
        <v>72.139037999999999</v>
      </c>
      <c r="M172">
        <v>73.814575000000005</v>
      </c>
      <c r="N172">
        <v>75.665771000000007</v>
      </c>
      <c r="O172">
        <v>77.748656999999994</v>
      </c>
      <c r="P172">
        <v>79.919312000000005</v>
      </c>
      <c r="Q172">
        <v>82.073241999999993</v>
      </c>
      <c r="R172">
        <v>84.317993000000001</v>
      </c>
      <c r="S172">
        <v>86.504638999999997</v>
      </c>
      <c r="T172">
        <v>88.645508000000007</v>
      </c>
      <c r="U172">
        <v>90.844971000000001</v>
      </c>
      <c r="V172">
        <v>93.054443000000006</v>
      </c>
      <c r="W172">
        <v>95.260863999999998</v>
      </c>
      <c r="X172">
        <v>97.524658000000002</v>
      </c>
      <c r="Y172">
        <v>99.776978</v>
      </c>
      <c r="Z172">
        <v>101.99706999999999</v>
      </c>
      <c r="AA172">
        <v>104.197632</v>
      </c>
      <c r="AB172">
        <v>106.44592299999999</v>
      </c>
      <c r="AC172">
        <v>108.69043000000001</v>
      </c>
      <c r="AD172">
        <v>110.908081</v>
      </c>
      <c r="AE172">
        <v>113.14355500000001</v>
      </c>
      <c r="AF172">
        <v>115.38916</v>
      </c>
      <c r="AG172" s="22">
        <v>1.6E-2</v>
      </c>
    </row>
    <row r="173" spans="1:33">
      <c r="A173" t="s">
        <v>1262</v>
      </c>
      <c r="B173" t="s">
        <v>2583</v>
      </c>
      <c r="C173" t="s">
        <v>2582</v>
      </c>
      <c r="D173" t="s">
        <v>200</v>
      </c>
      <c r="F173">
        <v>46.108635</v>
      </c>
      <c r="G173">
        <v>11.789963</v>
      </c>
      <c r="H173">
        <v>19.906883000000001</v>
      </c>
      <c r="I173">
        <v>20.830887000000001</v>
      </c>
      <c r="J173">
        <v>20.560486000000001</v>
      </c>
      <c r="K173">
        <v>20.976050999999998</v>
      </c>
      <c r="L173">
        <v>20.963303</v>
      </c>
      <c r="M173">
        <v>21.434813999999999</v>
      </c>
      <c r="N173">
        <v>22.488464</v>
      </c>
      <c r="O173">
        <v>23.456924000000001</v>
      </c>
      <c r="P173">
        <v>24.221976999999999</v>
      </c>
      <c r="Q173">
        <v>25.036567999999999</v>
      </c>
      <c r="R173">
        <v>25.969973</v>
      </c>
      <c r="S173">
        <v>27.035173</v>
      </c>
      <c r="T173">
        <v>28.010909999999999</v>
      </c>
      <c r="U173">
        <v>28.867180000000001</v>
      </c>
      <c r="V173">
        <v>29.844002</v>
      </c>
      <c r="W173">
        <v>30.785727999999999</v>
      </c>
      <c r="X173">
        <v>32.764313000000001</v>
      </c>
      <c r="Y173">
        <v>33.569938999999998</v>
      </c>
      <c r="Z173">
        <v>34.142349000000003</v>
      </c>
      <c r="AA173">
        <v>34.774932999999997</v>
      </c>
      <c r="AB173">
        <v>35.282639000000003</v>
      </c>
      <c r="AC173">
        <v>35.589011999999997</v>
      </c>
      <c r="AD173">
        <v>35.701515000000001</v>
      </c>
      <c r="AE173">
        <v>35.656714999999998</v>
      </c>
      <c r="AF173">
        <v>35.735756000000002</v>
      </c>
      <c r="AG173" s="22">
        <v>-0.01</v>
      </c>
    </row>
    <row r="174" spans="1:33">
      <c r="A174" t="s">
        <v>217</v>
      </c>
      <c r="B174" t="s">
        <v>2581</v>
      </c>
      <c r="C174" t="s">
        <v>2580</v>
      </c>
      <c r="D174" t="s">
        <v>200</v>
      </c>
      <c r="F174">
        <v>1.8047709999999999</v>
      </c>
      <c r="G174">
        <v>6.7129820000000002</v>
      </c>
      <c r="H174">
        <v>7.2505490000000004</v>
      </c>
      <c r="I174">
        <v>7.64621</v>
      </c>
      <c r="J174">
        <v>7.8644410000000002</v>
      </c>
      <c r="K174">
        <v>8.2343139999999995</v>
      </c>
      <c r="L174">
        <v>8.4675899999999995</v>
      </c>
      <c r="M174">
        <v>8.8986509999999992</v>
      </c>
      <c r="N174">
        <v>9.4466549999999998</v>
      </c>
      <c r="O174">
        <v>9.9853520000000007</v>
      </c>
      <c r="P174">
        <v>10.480041999999999</v>
      </c>
      <c r="Q174">
        <v>10.964935000000001</v>
      </c>
      <c r="R174">
        <v>11.501818</v>
      </c>
      <c r="S174">
        <v>11.982912000000001</v>
      </c>
      <c r="T174">
        <v>12.393134999999999</v>
      </c>
      <c r="U174">
        <v>12.732642</v>
      </c>
      <c r="V174">
        <v>13.018921000000001</v>
      </c>
      <c r="W174">
        <v>13.241272</v>
      </c>
      <c r="X174">
        <v>13.495604999999999</v>
      </c>
      <c r="Y174">
        <v>13.638855</v>
      </c>
      <c r="Z174">
        <v>13.708954</v>
      </c>
      <c r="AA174">
        <v>13.746551999999999</v>
      </c>
      <c r="AB174">
        <v>13.737152</v>
      </c>
      <c r="AC174">
        <v>13.680878</v>
      </c>
      <c r="AD174">
        <v>13.584503</v>
      </c>
      <c r="AE174">
        <v>13.458740000000001</v>
      </c>
      <c r="AF174">
        <v>13.35318</v>
      </c>
      <c r="AG174" s="22">
        <v>0.08</v>
      </c>
    </row>
    <row r="175" spans="1:33">
      <c r="A175" t="s">
        <v>218</v>
      </c>
      <c r="B175" t="s">
        <v>2579</v>
      </c>
      <c r="C175" t="s">
        <v>2578</v>
      </c>
      <c r="D175" t="s">
        <v>200</v>
      </c>
      <c r="F175">
        <v>44.303863999999997</v>
      </c>
      <c r="G175">
        <v>1.476227</v>
      </c>
      <c r="H175">
        <v>9.0852660000000007</v>
      </c>
      <c r="I175">
        <v>9.4823299999999993</v>
      </c>
      <c r="J175">
        <v>8.9247130000000006</v>
      </c>
      <c r="K175">
        <v>8.8601679999999998</v>
      </c>
      <c r="L175">
        <v>8.5756530000000009</v>
      </c>
      <c r="M175">
        <v>8.5011290000000006</v>
      </c>
      <c r="N175">
        <v>8.858765</v>
      </c>
      <c r="O175">
        <v>9.1476749999999996</v>
      </c>
      <c r="P175">
        <v>9.2944340000000008</v>
      </c>
      <c r="Q175">
        <v>9.503876</v>
      </c>
      <c r="R175">
        <v>9.7794489999999996</v>
      </c>
      <c r="S175">
        <v>10.235687</v>
      </c>
      <c r="T175">
        <v>10.682525999999999</v>
      </c>
      <c r="U175">
        <v>11.093781</v>
      </c>
      <c r="V175">
        <v>11.682494999999999</v>
      </c>
      <c r="W175">
        <v>12.306457999999999</v>
      </c>
      <c r="X175">
        <v>13.944274999999999</v>
      </c>
      <c r="Y175">
        <v>14.528136999999999</v>
      </c>
      <c r="Z175">
        <v>14.964752000000001</v>
      </c>
      <c r="AA175">
        <v>15.49649</v>
      </c>
      <c r="AB175">
        <v>15.962921</v>
      </c>
      <c r="AC175">
        <v>16.290619</v>
      </c>
      <c r="AD175">
        <v>16.480713000000002</v>
      </c>
      <c r="AE175">
        <v>16.557494999999999</v>
      </c>
      <c r="AF175">
        <v>16.732361000000001</v>
      </c>
      <c r="AG175" s="22">
        <v>-3.6999999999999998E-2</v>
      </c>
    </row>
    <row r="176" spans="1:33">
      <c r="A176" t="s">
        <v>219</v>
      </c>
      <c r="B176" t="s">
        <v>2577</v>
      </c>
      <c r="C176" t="s">
        <v>2576</v>
      </c>
      <c r="D176" t="s">
        <v>200</v>
      </c>
      <c r="F176">
        <v>0</v>
      </c>
      <c r="G176">
        <v>3.6007539999999998</v>
      </c>
      <c r="H176">
        <v>3.5710679999999999</v>
      </c>
      <c r="I176">
        <v>3.7023470000000001</v>
      </c>
      <c r="J176">
        <v>3.7713320000000001</v>
      </c>
      <c r="K176">
        <v>3.8815689999999998</v>
      </c>
      <c r="L176">
        <v>3.9200590000000002</v>
      </c>
      <c r="M176">
        <v>4.0350339999999996</v>
      </c>
      <c r="N176">
        <v>4.1830439999999998</v>
      </c>
      <c r="O176">
        <v>4.3238979999999998</v>
      </c>
      <c r="P176">
        <v>4.4475020000000001</v>
      </c>
      <c r="Q176">
        <v>4.5677570000000003</v>
      </c>
      <c r="R176">
        <v>4.6887049999999997</v>
      </c>
      <c r="S176">
        <v>4.8165740000000001</v>
      </c>
      <c r="T176">
        <v>4.9352489999999998</v>
      </c>
      <c r="U176">
        <v>5.040756</v>
      </c>
      <c r="V176">
        <v>5.1425859999999997</v>
      </c>
      <c r="W176">
        <v>5.2379990000000003</v>
      </c>
      <c r="X176">
        <v>5.3244319999999998</v>
      </c>
      <c r="Y176">
        <v>5.402946</v>
      </c>
      <c r="Z176">
        <v>5.4686430000000001</v>
      </c>
      <c r="AA176">
        <v>5.5318909999999999</v>
      </c>
      <c r="AB176">
        <v>5.5825649999999998</v>
      </c>
      <c r="AC176">
        <v>5.6175160000000002</v>
      </c>
      <c r="AD176">
        <v>5.6362990000000002</v>
      </c>
      <c r="AE176">
        <v>5.6404800000000002</v>
      </c>
      <c r="AF176">
        <v>5.6502150000000002</v>
      </c>
      <c r="AG176" t="s">
        <v>111</v>
      </c>
    </row>
    <row r="177" spans="1:33">
      <c r="A177" t="s">
        <v>1265</v>
      </c>
      <c r="B177" t="s">
        <v>2575</v>
      </c>
      <c r="C177" t="s">
        <v>2574</v>
      </c>
      <c r="D177" t="s">
        <v>200</v>
      </c>
      <c r="F177">
        <v>34.605949000000003</v>
      </c>
      <c r="G177">
        <v>33.751865000000002</v>
      </c>
      <c r="H177">
        <v>44.242972999999999</v>
      </c>
      <c r="I177">
        <v>45.734969999999997</v>
      </c>
      <c r="J177">
        <v>47.148972000000001</v>
      </c>
      <c r="K177">
        <v>47.957413000000003</v>
      </c>
      <c r="L177">
        <v>48.234031999999999</v>
      </c>
      <c r="M177">
        <v>49.347031000000001</v>
      </c>
      <c r="N177">
        <v>50.289703000000003</v>
      </c>
      <c r="O177">
        <v>51.136108</v>
      </c>
      <c r="P177">
        <v>52.259262</v>
      </c>
      <c r="Q177">
        <v>53.354019000000001</v>
      </c>
      <c r="R177">
        <v>53.972946</v>
      </c>
      <c r="S177">
        <v>54.622771999999998</v>
      </c>
      <c r="T177">
        <v>54.708632999999999</v>
      </c>
      <c r="U177">
        <v>55.149185000000003</v>
      </c>
      <c r="V177">
        <v>55.610458000000001</v>
      </c>
      <c r="W177">
        <v>56.205643000000002</v>
      </c>
      <c r="X177">
        <v>56.813643999999996</v>
      </c>
      <c r="Y177">
        <v>57.479233000000001</v>
      </c>
      <c r="Z177">
        <v>58.192352</v>
      </c>
      <c r="AA177">
        <v>59.756134000000003</v>
      </c>
      <c r="AB177">
        <v>60.521835000000003</v>
      </c>
      <c r="AC177">
        <v>61.236190999999998</v>
      </c>
      <c r="AD177">
        <v>62.051498000000002</v>
      </c>
      <c r="AE177">
        <v>62.959000000000003</v>
      </c>
      <c r="AF177">
        <v>63.950394000000003</v>
      </c>
      <c r="AG177" s="22">
        <v>2.4E-2</v>
      </c>
    </row>
    <row r="178" spans="1:33">
      <c r="A178" t="s">
        <v>217</v>
      </c>
      <c r="B178" t="s">
        <v>2573</v>
      </c>
      <c r="C178" t="s">
        <v>2572</v>
      </c>
      <c r="D178" t="s">
        <v>200</v>
      </c>
      <c r="F178">
        <v>18.321746999999998</v>
      </c>
      <c r="G178">
        <v>14.802325</v>
      </c>
      <c r="H178">
        <v>18.808655000000002</v>
      </c>
      <c r="I178">
        <v>19.718658000000001</v>
      </c>
      <c r="J178">
        <v>20.588104000000001</v>
      </c>
      <c r="K178">
        <v>21.173003999999999</v>
      </c>
      <c r="L178">
        <v>21.521056999999999</v>
      </c>
      <c r="M178">
        <v>22.240784000000001</v>
      </c>
      <c r="N178">
        <v>22.855530000000002</v>
      </c>
      <c r="O178">
        <v>23.402283000000001</v>
      </c>
      <c r="P178">
        <v>24.201599000000002</v>
      </c>
      <c r="Q178">
        <v>25.093719</v>
      </c>
      <c r="R178">
        <v>25.406524999999998</v>
      </c>
      <c r="S178">
        <v>25.720184</v>
      </c>
      <c r="T178">
        <v>25.734985000000002</v>
      </c>
      <c r="U178">
        <v>25.916138</v>
      </c>
      <c r="V178">
        <v>26.091460999999999</v>
      </c>
      <c r="W178">
        <v>26.319305</v>
      </c>
      <c r="X178">
        <v>26.537903</v>
      </c>
      <c r="Y178">
        <v>26.780425999999999</v>
      </c>
      <c r="Z178">
        <v>27.002929999999999</v>
      </c>
      <c r="AA178">
        <v>27.232513000000001</v>
      </c>
      <c r="AB178">
        <v>27.487518000000001</v>
      </c>
      <c r="AC178">
        <v>27.779357999999998</v>
      </c>
      <c r="AD178">
        <v>28.116882</v>
      </c>
      <c r="AE178">
        <v>28.499573000000002</v>
      </c>
      <c r="AF178">
        <v>28.927979000000001</v>
      </c>
      <c r="AG178" s="22">
        <v>1.7999999999999999E-2</v>
      </c>
    </row>
    <row r="179" spans="1:33">
      <c r="A179" t="s">
        <v>218</v>
      </c>
      <c r="B179" t="s">
        <v>2571</v>
      </c>
      <c r="C179" t="s">
        <v>2570</v>
      </c>
      <c r="D179" t="s">
        <v>200</v>
      </c>
      <c r="F179">
        <v>6.7281719999999998</v>
      </c>
      <c r="G179">
        <v>0.843445</v>
      </c>
      <c r="H179">
        <v>5.3548200000000001</v>
      </c>
      <c r="I179">
        <v>5.6553500000000003</v>
      </c>
      <c r="J179">
        <v>5.9956509999999996</v>
      </c>
      <c r="K179">
        <v>6.2580720000000003</v>
      </c>
      <c r="L179">
        <v>6.403435</v>
      </c>
      <c r="M179">
        <v>6.6898960000000001</v>
      </c>
      <c r="N179">
        <v>6.9726869999999996</v>
      </c>
      <c r="O179">
        <v>7.2542720000000003</v>
      </c>
      <c r="P179">
        <v>7.53688</v>
      </c>
      <c r="Q179">
        <v>7.8034520000000001</v>
      </c>
      <c r="R179">
        <v>8.0759740000000004</v>
      </c>
      <c r="S179">
        <v>8.3441159999999996</v>
      </c>
      <c r="T179">
        <v>8.579269</v>
      </c>
      <c r="U179">
        <v>8.8295440000000003</v>
      </c>
      <c r="V179">
        <v>9.0795139999999996</v>
      </c>
      <c r="W179">
        <v>9.3362879999999997</v>
      </c>
      <c r="X179">
        <v>9.597092</v>
      </c>
      <c r="Y179">
        <v>9.8659820000000007</v>
      </c>
      <c r="Z179">
        <v>10.143768</v>
      </c>
      <c r="AA179">
        <v>11.030609</v>
      </c>
      <c r="AB179">
        <v>11.366165000000001</v>
      </c>
      <c r="AC179">
        <v>11.583878</v>
      </c>
      <c r="AD179">
        <v>11.821182</v>
      </c>
      <c r="AE179">
        <v>12.070999</v>
      </c>
      <c r="AF179">
        <v>12.325974</v>
      </c>
      <c r="AG179" s="22">
        <v>2.4E-2</v>
      </c>
    </row>
    <row r="180" spans="1:33">
      <c r="A180" t="s">
        <v>219</v>
      </c>
      <c r="B180" t="s">
        <v>2569</v>
      </c>
      <c r="C180" t="s">
        <v>2568</v>
      </c>
      <c r="D180" t="s">
        <v>200</v>
      </c>
      <c r="F180">
        <v>9.5560299999999998</v>
      </c>
      <c r="G180">
        <v>18.106093999999999</v>
      </c>
      <c r="H180">
        <v>20.079498000000001</v>
      </c>
      <c r="I180">
        <v>20.360962000000001</v>
      </c>
      <c r="J180">
        <v>20.565215999999999</v>
      </c>
      <c r="K180">
        <v>20.526337000000002</v>
      </c>
      <c r="L180">
        <v>20.309539999999998</v>
      </c>
      <c r="M180">
        <v>20.416350999999999</v>
      </c>
      <c r="N180">
        <v>20.461487000000002</v>
      </c>
      <c r="O180">
        <v>20.479552999999999</v>
      </c>
      <c r="P180">
        <v>20.520782000000001</v>
      </c>
      <c r="Q180">
        <v>20.456848000000001</v>
      </c>
      <c r="R180">
        <v>20.490448000000001</v>
      </c>
      <c r="S180">
        <v>20.558471999999998</v>
      </c>
      <c r="T180">
        <v>20.394379000000001</v>
      </c>
      <c r="U180">
        <v>20.403503000000001</v>
      </c>
      <c r="V180">
        <v>20.439484</v>
      </c>
      <c r="W180">
        <v>20.550049000000001</v>
      </c>
      <c r="X180">
        <v>20.678650000000001</v>
      </c>
      <c r="Y180">
        <v>20.832825</v>
      </c>
      <c r="Z180">
        <v>21.045653999999999</v>
      </c>
      <c r="AA180">
        <v>21.493010999999999</v>
      </c>
      <c r="AB180">
        <v>21.668151999999999</v>
      </c>
      <c r="AC180">
        <v>21.872955000000001</v>
      </c>
      <c r="AD180">
        <v>22.113434000000002</v>
      </c>
      <c r="AE180">
        <v>22.388428000000001</v>
      </c>
      <c r="AF180">
        <v>22.696442000000001</v>
      </c>
      <c r="AG180" s="22">
        <v>3.4000000000000002E-2</v>
      </c>
    </row>
    <row r="181" spans="1:33">
      <c r="A181" t="s">
        <v>1268</v>
      </c>
      <c r="B181" t="s">
        <v>2567</v>
      </c>
      <c r="C181" t="s">
        <v>2566</v>
      </c>
      <c r="D181" t="s">
        <v>200</v>
      </c>
      <c r="F181">
        <v>43.084499000000001</v>
      </c>
      <c r="G181">
        <v>7.2758409999999998</v>
      </c>
      <c r="H181">
        <v>29.789082000000001</v>
      </c>
      <c r="I181">
        <v>30.198889000000001</v>
      </c>
      <c r="J181">
        <v>32.275641999999998</v>
      </c>
      <c r="K181">
        <v>33.170639000000001</v>
      </c>
      <c r="L181">
        <v>33.786278000000003</v>
      </c>
      <c r="M181">
        <v>33.964320999999998</v>
      </c>
      <c r="N181">
        <v>34.026328999999997</v>
      </c>
      <c r="O181">
        <v>34.243293999999999</v>
      </c>
      <c r="P181">
        <v>34.307651999999997</v>
      </c>
      <c r="Q181">
        <v>34.326476999999997</v>
      </c>
      <c r="R181">
        <v>35.060668999999997</v>
      </c>
      <c r="S181">
        <v>34.735382000000001</v>
      </c>
      <c r="T181">
        <v>35.008648000000001</v>
      </c>
      <c r="U181">
        <v>34.965324000000003</v>
      </c>
      <c r="V181">
        <v>35.610290999999997</v>
      </c>
      <c r="W181">
        <v>36.499405000000003</v>
      </c>
      <c r="X181">
        <v>36.582970000000003</v>
      </c>
      <c r="Y181">
        <v>36.153892999999997</v>
      </c>
      <c r="Z181">
        <v>34.946072000000001</v>
      </c>
      <c r="AA181">
        <v>33.195698</v>
      </c>
      <c r="AB181">
        <v>32.132781999999999</v>
      </c>
      <c r="AC181">
        <v>31.682784999999999</v>
      </c>
      <c r="AD181">
        <v>32.097014999999999</v>
      </c>
      <c r="AE181">
        <v>33.338768000000002</v>
      </c>
      <c r="AF181">
        <v>34.252453000000003</v>
      </c>
      <c r="AG181" s="22">
        <v>-8.9999999999999993E-3</v>
      </c>
    </row>
    <row r="182" spans="1:33">
      <c r="A182" t="s">
        <v>217</v>
      </c>
      <c r="B182" t="s">
        <v>2565</v>
      </c>
      <c r="C182" t="s">
        <v>2564</v>
      </c>
      <c r="D182" t="s">
        <v>200</v>
      </c>
      <c r="F182">
        <v>6.2283299999999997</v>
      </c>
      <c r="G182">
        <v>5.1383970000000003</v>
      </c>
      <c r="H182">
        <v>13.900726000000001</v>
      </c>
      <c r="I182">
        <v>14.182648</v>
      </c>
      <c r="J182">
        <v>14.523163</v>
      </c>
      <c r="K182">
        <v>14.986205999999999</v>
      </c>
      <c r="L182">
        <v>15.336959999999999</v>
      </c>
      <c r="M182">
        <v>15.534698000000001</v>
      </c>
      <c r="N182">
        <v>15.673569000000001</v>
      </c>
      <c r="O182">
        <v>15.86322</v>
      </c>
      <c r="P182">
        <v>15.959808000000001</v>
      </c>
      <c r="Q182">
        <v>16.004486</v>
      </c>
      <c r="R182">
        <v>16.289733999999999</v>
      </c>
      <c r="S182">
        <v>16.125183</v>
      </c>
      <c r="T182">
        <v>16.159148999999999</v>
      </c>
      <c r="U182">
        <v>16.046173</v>
      </c>
      <c r="V182">
        <v>16.187836000000001</v>
      </c>
      <c r="W182">
        <v>16.405304000000001</v>
      </c>
      <c r="X182">
        <v>16.30603</v>
      </c>
      <c r="Y182">
        <v>15.989990000000001</v>
      </c>
      <c r="Z182">
        <v>15.384857</v>
      </c>
      <c r="AA182">
        <v>14.627991</v>
      </c>
      <c r="AB182">
        <v>14.191742</v>
      </c>
      <c r="AC182">
        <v>13.924408</v>
      </c>
      <c r="AD182">
        <v>14.025359999999999</v>
      </c>
      <c r="AE182">
        <v>14.46524</v>
      </c>
      <c r="AF182">
        <v>14.799042</v>
      </c>
      <c r="AG182" s="22">
        <v>3.4000000000000002E-2</v>
      </c>
    </row>
    <row r="183" spans="1:33">
      <c r="A183" t="s">
        <v>218</v>
      </c>
      <c r="B183" t="s">
        <v>2563</v>
      </c>
      <c r="C183" t="s">
        <v>2562</v>
      </c>
      <c r="D183" t="s">
        <v>200</v>
      </c>
      <c r="F183">
        <v>36.478931000000003</v>
      </c>
      <c r="G183">
        <v>1.9480440000000001</v>
      </c>
      <c r="H183">
        <v>15.493546</v>
      </c>
      <c r="I183">
        <v>15.615738</v>
      </c>
      <c r="J183">
        <v>17.346537000000001</v>
      </c>
      <c r="K183">
        <v>17.769310000000001</v>
      </c>
      <c r="L183">
        <v>18.028687000000001</v>
      </c>
      <c r="M183">
        <v>18.006057999999999</v>
      </c>
      <c r="N183">
        <v>17.927261000000001</v>
      </c>
      <c r="O183">
        <v>17.950589999999998</v>
      </c>
      <c r="P183">
        <v>17.916086</v>
      </c>
      <c r="Q183">
        <v>17.888439000000002</v>
      </c>
      <c r="R183">
        <v>18.328140000000001</v>
      </c>
      <c r="S183">
        <v>18.169439000000001</v>
      </c>
      <c r="T183">
        <v>18.404692000000001</v>
      </c>
      <c r="U183">
        <v>18.473358000000001</v>
      </c>
      <c r="V183">
        <v>18.968222000000001</v>
      </c>
      <c r="W183">
        <v>19.628805</v>
      </c>
      <c r="X183">
        <v>19.808617000000002</v>
      </c>
      <c r="Y183">
        <v>19.698191000000001</v>
      </c>
      <c r="Z183">
        <v>19.106085</v>
      </c>
      <c r="AA183">
        <v>18.129726000000002</v>
      </c>
      <c r="AB183">
        <v>17.513407000000001</v>
      </c>
      <c r="AC183">
        <v>17.333818000000001</v>
      </c>
      <c r="AD183">
        <v>17.641199</v>
      </c>
      <c r="AE183">
        <v>18.428923000000001</v>
      </c>
      <c r="AF183">
        <v>18.99823</v>
      </c>
      <c r="AG183" s="22">
        <v>-2.5000000000000001E-2</v>
      </c>
    </row>
    <row r="184" spans="1:33">
      <c r="A184" t="s">
        <v>219</v>
      </c>
      <c r="B184" t="s">
        <v>2561</v>
      </c>
      <c r="C184" t="s">
        <v>2560</v>
      </c>
      <c r="D184" t="s">
        <v>200</v>
      </c>
      <c r="F184">
        <v>0.37724000000000002</v>
      </c>
      <c r="G184">
        <v>0.18940000000000001</v>
      </c>
      <c r="H184">
        <v>0.39480900000000002</v>
      </c>
      <c r="I184">
        <v>0.40050400000000003</v>
      </c>
      <c r="J184">
        <v>0.405943</v>
      </c>
      <c r="K184">
        <v>0.41512199999999999</v>
      </c>
      <c r="L184">
        <v>0.42063200000000001</v>
      </c>
      <c r="M184">
        <v>0.423564</v>
      </c>
      <c r="N184">
        <v>0.42550100000000002</v>
      </c>
      <c r="O184">
        <v>0.429483</v>
      </c>
      <c r="P184">
        <v>0.43175799999999998</v>
      </c>
      <c r="Q184">
        <v>0.43355199999999999</v>
      </c>
      <c r="R184">
        <v>0.44279499999999999</v>
      </c>
      <c r="S184">
        <v>0.44075900000000001</v>
      </c>
      <c r="T184">
        <v>0.44480399999999998</v>
      </c>
      <c r="U184">
        <v>0.44579099999999999</v>
      </c>
      <c r="V184">
        <v>0.454231</v>
      </c>
      <c r="W184">
        <v>0.46529599999999999</v>
      </c>
      <c r="X184">
        <v>0.46832099999999999</v>
      </c>
      <c r="Y184">
        <v>0.46571299999999999</v>
      </c>
      <c r="Z184">
        <v>0.455127</v>
      </c>
      <c r="AA184">
        <v>0.43798100000000001</v>
      </c>
      <c r="AB184">
        <v>0.42763499999999999</v>
      </c>
      <c r="AC184">
        <v>0.42455999999999999</v>
      </c>
      <c r="AD184">
        <v>0.43045800000000001</v>
      </c>
      <c r="AE184">
        <v>0.44460100000000002</v>
      </c>
      <c r="AF184">
        <v>0.45518199999999998</v>
      </c>
      <c r="AG184" s="22">
        <v>7.0000000000000001E-3</v>
      </c>
    </row>
    <row r="185" spans="1:33">
      <c r="A185" t="s">
        <v>1271</v>
      </c>
      <c r="B185" t="s">
        <v>2559</v>
      </c>
      <c r="C185" t="s">
        <v>2558</v>
      </c>
      <c r="D185" t="s">
        <v>200</v>
      </c>
      <c r="F185">
        <v>84.074707000000004</v>
      </c>
      <c r="G185">
        <v>92.996528999999995</v>
      </c>
      <c r="H185">
        <v>101.012398</v>
      </c>
      <c r="I185">
        <v>70.425826999999998</v>
      </c>
      <c r="J185">
        <v>55.522796999999997</v>
      </c>
      <c r="K185">
        <v>38.304305999999997</v>
      </c>
      <c r="L185">
        <v>39.305832000000002</v>
      </c>
      <c r="M185">
        <v>40.391463999999999</v>
      </c>
      <c r="N185">
        <v>41.731597999999998</v>
      </c>
      <c r="O185">
        <v>43.173309000000003</v>
      </c>
      <c r="P185">
        <v>44.638610999999997</v>
      </c>
      <c r="Q185">
        <v>45.968918000000002</v>
      </c>
      <c r="R185">
        <v>46.799239999999998</v>
      </c>
      <c r="S185">
        <v>47.544800000000002</v>
      </c>
      <c r="T185">
        <v>48.447876000000001</v>
      </c>
      <c r="U185">
        <v>49.416533999999999</v>
      </c>
      <c r="V185">
        <v>50.528838999999998</v>
      </c>
      <c r="W185">
        <v>52.767532000000003</v>
      </c>
      <c r="X185">
        <v>54.664093000000001</v>
      </c>
      <c r="Y185">
        <v>56.013184000000003</v>
      </c>
      <c r="Z185">
        <v>57.308562999999999</v>
      </c>
      <c r="AA185">
        <v>58.576400999999997</v>
      </c>
      <c r="AB185">
        <v>60.135178000000003</v>
      </c>
      <c r="AC185">
        <v>61.820435000000003</v>
      </c>
      <c r="AD185">
        <v>62.863663000000003</v>
      </c>
      <c r="AE185">
        <v>63.928818</v>
      </c>
      <c r="AF185">
        <v>65.247619999999998</v>
      </c>
      <c r="AG185" s="22">
        <v>-0.01</v>
      </c>
    </row>
    <row r="186" spans="1:33">
      <c r="A186" t="s">
        <v>217</v>
      </c>
      <c r="B186" t="s">
        <v>2557</v>
      </c>
      <c r="C186" t="s">
        <v>2556</v>
      </c>
      <c r="D186" t="s">
        <v>200</v>
      </c>
      <c r="F186">
        <v>58.829224000000004</v>
      </c>
      <c r="G186">
        <v>58.144043000000003</v>
      </c>
      <c r="H186">
        <v>63.434539999999998</v>
      </c>
      <c r="I186">
        <v>44.688831</v>
      </c>
      <c r="J186">
        <v>35.820435000000003</v>
      </c>
      <c r="K186">
        <v>25.378661999999998</v>
      </c>
      <c r="L186">
        <v>26.117249000000001</v>
      </c>
      <c r="M186">
        <v>26.903625000000002</v>
      </c>
      <c r="N186">
        <v>27.847899999999999</v>
      </c>
      <c r="O186">
        <v>28.850097999999999</v>
      </c>
      <c r="P186">
        <v>29.860046000000001</v>
      </c>
      <c r="Q186">
        <v>30.77478</v>
      </c>
      <c r="R186">
        <v>31.357361000000001</v>
      </c>
      <c r="S186">
        <v>31.878357000000001</v>
      </c>
      <c r="T186">
        <v>32.494385000000001</v>
      </c>
      <c r="U186">
        <v>33.145080999999998</v>
      </c>
      <c r="V186">
        <v>33.879333000000003</v>
      </c>
      <c r="W186">
        <v>35.336303999999998</v>
      </c>
      <c r="X186">
        <v>36.556519000000002</v>
      </c>
      <c r="Y186">
        <v>37.395569000000002</v>
      </c>
      <c r="Z186">
        <v>38.183044000000002</v>
      </c>
      <c r="AA186">
        <v>38.936584000000003</v>
      </c>
      <c r="AB186">
        <v>39.856749999999998</v>
      </c>
      <c r="AC186">
        <v>40.836426000000003</v>
      </c>
      <c r="AD186">
        <v>41.380004999999997</v>
      </c>
      <c r="AE186">
        <v>41.921813999999998</v>
      </c>
      <c r="AF186">
        <v>42.617736999999998</v>
      </c>
      <c r="AG186" s="22">
        <v>-1.2E-2</v>
      </c>
    </row>
    <row r="187" spans="1:33">
      <c r="A187" t="s">
        <v>218</v>
      </c>
      <c r="B187" t="s">
        <v>2555</v>
      </c>
      <c r="C187" t="s">
        <v>2554</v>
      </c>
      <c r="D187" t="s">
        <v>200</v>
      </c>
      <c r="F187">
        <v>10.70711</v>
      </c>
      <c r="G187">
        <v>22.922706999999999</v>
      </c>
      <c r="H187">
        <v>24.425834999999999</v>
      </c>
      <c r="I187">
        <v>15.890114000000001</v>
      </c>
      <c r="J187">
        <v>10.676437</v>
      </c>
      <c r="K187">
        <v>5.4167630000000004</v>
      </c>
      <c r="L187">
        <v>5.486847</v>
      </c>
      <c r="M187">
        <v>5.566147</v>
      </c>
      <c r="N187">
        <v>5.6873779999999998</v>
      </c>
      <c r="O187">
        <v>5.8340300000000003</v>
      </c>
      <c r="P187">
        <v>5.992432</v>
      </c>
      <c r="Q187">
        <v>6.1448359999999997</v>
      </c>
      <c r="R187">
        <v>6.2466280000000003</v>
      </c>
      <c r="S187">
        <v>6.3485259999999997</v>
      </c>
      <c r="T187">
        <v>6.4815519999999998</v>
      </c>
      <c r="U187">
        <v>6.6326599999999996</v>
      </c>
      <c r="V187">
        <v>6.8158719999999997</v>
      </c>
      <c r="W187">
        <v>7.1483920000000003</v>
      </c>
      <c r="X187">
        <v>7.4508669999999997</v>
      </c>
      <c r="Y187">
        <v>7.705673</v>
      </c>
      <c r="Z187">
        <v>7.9748539999999997</v>
      </c>
      <c r="AA187">
        <v>8.2664950000000008</v>
      </c>
      <c r="AB187">
        <v>8.6189420000000005</v>
      </c>
      <c r="AC187">
        <v>9.0091400000000004</v>
      </c>
      <c r="AD187">
        <v>9.3409270000000006</v>
      </c>
      <c r="AE187">
        <v>9.6980900000000005</v>
      </c>
      <c r="AF187">
        <v>10.099045</v>
      </c>
      <c r="AG187" s="22">
        <v>-2E-3</v>
      </c>
    </row>
    <row r="188" spans="1:33">
      <c r="A188" t="s">
        <v>219</v>
      </c>
      <c r="B188" t="s">
        <v>2553</v>
      </c>
      <c r="C188" t="s">
        <v>2552</v>
      </c>
      <c r="D188" t="s">
        <v>200</v>
      </c>
      <c r="F188">
        <v>14.538376</v>
      </c>
      <c r="G188">
        <v>11.929779</v>
      </c>
      <c r="H188">
        <v>13.152023</v>
      </c>
      <c r="I188">
        <v>9.8468780000000002</v>
      </c>
      <c r="J188">
        <v>9.0259250000000009</v>
      </c>
      <c r="K188">
        <v>7.5088809999999997</v>
      </c>
      <c r="L188">
        <v>7.7017360000000004</v>
      </c>
      <c r="M188">
        <v>7.9216920000000002</v>
      </c>
      <c r="N188">
        <v>8.1963200000000001</v>
      </c>
      <c r="O188">
        <v>8.4891819999999996</v>
      </c>
      <c r="P188">
        <v>8.7861329999999995</v>
      </c>
      <c r="Q188">
        <v>9.0493009999999998</v>
      </c>
      <c r="R188">
        <v>9.1952510000000007</v>
      </c>
      <c r="S188">
        <v>9.3179169999999996</v>
      </c>
      <c r="T188">
        <v>9.4719390000000008</v>
      </c>
      <c r="U188">
        <v>9.6387940000000008</v>
      </c>
      <c r="V188">
        <v>9.8336330000000007</v>
      </c>
      <c r="W188">
        <v>10.282837000000001</v>
      </c>
      <c r="X188">
        <v>10.656708</v>
      </c>
      <c r="Y188">
        <v>10.911942</v>
      </c>
      <c r="Z188">
        <v>11.150665</v>
      </c>
      <c r="AA188">
        <v>11.373322</v>
      </c>
      <c r="AB188">
        <v>11.659485</v>
      </c>
      <c r="AC188">
        <v>11.974869</v>
      </c>
      <c r="AD188">
        <v>12.142730999999999</v>
      </c>
      <c r="AE188">
        <v>12.308914</v>
      </c>
      <c r="AF188">
        <v>12.530837999999999</v>
      </c>
      <c r="AG188" s="22">
        <v>-6.0000000000000001E-3</v>
      </c>
    </row>
    <row r="189" spans="1:33">
      <c r="A189" t="s">
        <v>2445</v>
      </c>
      <c r="B189" t="s">
        <v>2551</v>
      </c>
      <c r="C189" t="s">
        <v>2550</v>
      </c>
      <c r="D189" t="s">
        <v>200</v>
      </c>
      <c r="F189">
        <v>23.461634</v>
      </c>
      <c r="G189">
        <v>19.559650000000001</v>
      </c>
      <c r="H189">
        <v>24.251434</v>
      </c>
      <c r="I189">
        <v>21.377963999999999</v>
      </c>
      <c r="J189">
        <v>26.800121000000001</v>
      </c>
      <c r="K189">
        <v>22.846088000000002</v>
      </c>
      <c r="L189">
        <v>23.071075</v>
      </c>
      <c r="M189">
        <v>23.378921999999999</v>
      </c>
      <c r="N189">
        <v>23.955441</v>
      </c>
      <c r="O189">
        <v>24.639301</v>
      </c>
      <c r="P189">
        <v>25.358253000000001</v>
      </c>
      <c r="Q189">
        <v>26.230473</v>
      </c>
      <c r="R189">
        <v>27.183727000000001</v>
      </c>
      <c r="S189">
        <v>28.075648999999999</v>
      </c>
      <c r="T189">
        <v>28.938231999999999</v>
      </c>
      <c r="U189">
        <v>29.833065000000001</v>
      </c>
      <c r="V189">
        <v>30.666575999999999</v>
      </c>
      <c r="W189">
        <v>31.521591000000001</v>
      </c>
      <c r="X189">
        <v>32.530582000000003</v>
      </c>
      <c r="Y189">
        <v>33.57835</v>
      </c>
      <c r="Z189">
        <v>34.643279999999997</v>
      </c>
      <c r="AA189">
        <v>35.740509000000003</v>
      </c>
      <c r="AB189">
        <v>36.756644999999999</v>
      </c>
      <c r="AC189">
        <v>37.84816</v>
      </c>
      <c r="AD189">
        <v>38.962218999999997</v>
      </c>
      <c r="AE189">
        <v>40.134117000000003</v>
      </c>
      <c r="AF189">
        <v>41.348571999999997</v>
      </c>
      <c r="AG189" s="22">
        <v>2.1999999999999999E-2</v>
      </c>
    </row>
    <row r="190" spans="1:33">
      <c r="A190" t="s">
        <v>217</v>
      </c>
      <c r="B190" t="s">
        <v>2549</v>
      </c>
      <c r="C190" t="s">
        <v>2548</v>
      </c>
      <c r="D190" t="s">
        <v>200</v>
      </c>
      <c r="F190">
        <v>16.051894999999998</v>
      </c>
      <c r="G190">
        <v>13.644196000000001</v>
      </c>
      <c r="H190">
        <v>16.832169</v>
      </c>
      <c r="I190">
        <v>14.818375</v>
      </c>
      <c r="J190">
        <v>18.621765</v>
      </c>
      <c r="K190">
        <v>15.761642</v>
      </c>
      <c r="L190">
        <v>15.89827</v>
      </c>
      <c r="M190">
        <v>16.080185</v>
      </c>
      <c r="N190">
        <v>16.432465000000001</v>
      </c>
      <c r="O190">
        <v>16.848327999999999</v>
      </c>
      <c r="P190">
        <v>17.281524999999998</v>
      </c>
      <c r="Q190">
        <v>17.810974000000002</v>
      </c>
      <c r="R190">
        <v>18.391113000000001</v>
      </c>
      <c r="S190">
        <v>18.930389000000002</v>
      </c>
      <c r="T190">
        <v>19.451384999999998</v>
      </c>
      <c r="U190">
        <v>19.99823</v>
      </c>
      <c r="V190">
        <v>20.512726000000001</v>
      </c>
      <c r="W190">
        <v>21.050446000000001</v>
      </c>
      <c r="X190">
        <v>21.700989</v>
      </c>
      <c r="Y190">
        <v>22.389251999999999</v>
      </c>
      <c r="Z190">
        <v>23.101807000000001</v>
      </c>
      <c r="AA190">
        <v>23.847290000000001</v>
      </c>
      <c r="AB190">
        <v>24.549225</v>
      </c>
      <c r="AC190">
        <v>25.308745999999999</v>
      </c>
      <c r="AD190">
        <v>26.088470000000001</v>
      </c>
      <c r="AE190">
        <v>26.909026999999998</v>
      </c>
      <c r="AF190">
        <v>27.758483999999999</v>
      </c>
      <c r="AG190" s="22">
        <v>2.1000000000000001E-2</v>
      </c>
    </row>
    <row r="191" spans="1:33">
      <c r="A191" t="s">
        <v>218</v>
      </c>
      <c r="B191" t="s">
        <v>2547</v>
      </c>
      <c r="C191" t="s">
        <v>2546</v>
      </c>
      <c r="D191" t="s">
        <v>200</v>
      </c>
      <c r="F191">
        <v>2.291906</v>
      </c>
      <c r="G191">
        <v>1.8775440000000001</v>
      </c>
      <c r="H191">
        <v>2.4123000000000001</v>
      </c>
      <c r="I191">
        <v>2.0186959999999998</v>
      </c>
      <c r="J191">
        <v>2.7580070000000001</v>
      </c>
      <c r="K191">
        <v>2.1816059999999999</v>
      </c>
      <c r="L191">
        <v>2.230499</v>
      </c>
      <c r="M191">
        <v>2.2915730000000001</v>
      </c>
      <c r="N191">
        <v>2.387203</v>
      </c>
      <c r="O191">
        <v>2.499409</v>
      </c>
      <c r="P191">
        <v>2.620384</v>
      </c>
      <c r="Q191">
        <v>2.761425</v>
      </c>
      <c r="R191">
        <v>2.9139370000000002</v>
      </c>
      <c r="S191">
        <v>3.0608249999999999</v>
      </c>
      <c r="T191">
        <v>3.2023160000000002</v>
      </c>
      <c r="U191">
        <v>3.3426019999999999</v>
      </c>
      <c r="V191">
        <v>3.4697300000000002</v>
      </c>
      <c r="W191">
        <v>3.5889739999999999</v>
      </c>
      <c r="X191">
        <v>3.7130010000000002</v>
      </c>
      <c r="Y191">
        <v>3.828999</v>
      </c>
      <c r="Z191">
        <v>3.935562</v>
      </c>
      <c r="AA191">
        <v>4.0360950000000004</v>
      </c>
      <c r="AB191">
        <v>4.1208270000000002</v>
      </c>
      <c r="AC191">
        <v>4.2094569999999996</v>
      </c>
      <c r="AD191">
        <v>4.2989350000000002</v>
      </c>
      <c r="AE191">
        <v>4.3956379999999999</v>
      </c>
      <c r="AF191">
        <v>4.4995729999999998</v>
      </c>
      <c r="AG191" s="22">
        <v>2.5999999999999999E-2</v>
      </c>
    </row>
    <row r="192" spans="1:33">
      <c r="A192" t="s">
        <v>219</v>
      </c>
      <c r="B192" t="s">
        <v>2545</v>
      </c>
      <c r="C192" t="s">
        <v>2544</v>
      </c>
      <c r="D192" t="s">
        <v>200</v>
      </c>
      <c r="F192">
        <v>5.1178319999999999</v>
      </c>
      <c r="G192">
        <v>4.0379100000000001</v>
      </c>
      <c r="H192">
        <v>5.0069660000000002</v>
      </c>
      <c r="I192">
        <v>4.5408939999999998</v>
      </c>
      <c r="J192">
        <v>5.4203489999999999</v>
      </c>
      <c r="K192">
        <v>4.9028400000000003</v>
      </c>
      <c r="L192">
        <v>4.9423069999999996</v>
      </c>
      <c r="M192">
        <v>5.0071640000000004</v>
      </c>
      <c r="N192">
        <v>5.1357730000000004</v>
      </c>
      <c r="O192">
        <v>5.2915650000000003</v>
      </c>
      <c r="P192">
        <v>5.4563449999999998</v>
      </c>
      <c r="Q192">
        <v>5.6580729999999999</v>
      </c>
      <c r="R192">
        <v>5.8786769999999997</v>
      </c>
      <c r="S192">
        <v>6.084435</v>
      </c>
      <c r="T192">
        <v>6.2845310000000003</v>
      </c>
      <c r="U192">
        <v>6.4922329999999997</v>
      </c>
      <c r="V192">
        <v>6.6841200000000001</v>
      </c>
      <c r="W192">
        <v>6.8821719999999997</v>
      </c>
      <c r="X192">
        <v>7.1165919999999998</v>
      </c>
      <c r="Y192">
        <v>7.3601000000000001</v>
      </c>
      <c r="Z192">
        <v>7.6059109999999999</v>
      </c>
      <c r="AA192">
        <v>7.8571239999999998</v>
      </c>
      <c r="AB192">
        <v>8.0865939999999998</v>
      </c>
      <c r="AC192">
        <v>8.3299559999999992</v>
      </c>
      <c r="AD192">
        <v>8.5748139999999999</v>
      </c>
      <c r="AE192">
        <v>8.8294530000000009</v>
      </c>
      <c r="AF192">
        <v>9.0905149999999999</v>
      </c>
      <c r="AG192" s="22">
        <v>2.1999999999999999E-2</v>
      </c>
    </row>
    <row r="193" spans="1:33">
      <c r="A193" t="s">
        <v>214</v>
      </c>
      <c r="B193" t="s">
        <v>2543</v>
      </c>
      <c r="C193" t="s">
        <v>2542</v>
      </c>
      <c r="D193" t="s">
        <v>200</v>
      </c>
      <c r="F193">
        <v>497.07781999999997</v>
      </c>
      <c r="G193">
        <v>318.32605000000001</v>
      </c>
      <c r="H193">
        <v>367.27825899999999</v>
      </c>
      <c r="I193">
        <v>377.446167</v>
      </c>
      <c r="J193">
        <v>395.63104199999998</v>
      </c>
      <c r="K193">
        <v>417.32894900000002</v>
      </c>
      <c r="L193">
        <v>434.11129799999998</v>
      </c>
      <c r="M193">
        <v>454.31488000000002</v>
      </c>
      <c r="N193">
        <v>476.09115600000001</v>
      </c>
      <c r="O193">
        <v>496.38107300000001</v>
      </c>
      <c r="P193">
        <v>516.826233</v>
      </c>
      <c r="Q193">
        <v>537.26104699999996</v>
      </c>
      <c r="R193">
        <v>555.03564500000005</v>
      </c>
      <c r="S193">
        <v>574.61749299999997</v>
      </c>
      <c r="T193">
        <v>595.536743</v>
      </c>
      <c r="U193">
        <v>616.13995399999999</v>
      </c>
      <c r="V193">
        <v>635.84057600000006</v>
      </c>
      <c r="W193">
        <v>655.05853300000001</v>
      </c>
      <c r="X193">
        <v>673.87805200000003</v>
      </c>
      <c r="Y193">
        <v>691.82336399999997</v>
      </c>
      <c r="Z193">
        <v>709.08319100000006</v>
      </c>
      <c r="AA193">
        <v>725.73223900000005</v>
      </c>
      <c r="AB193">
        <v>741.90454099999999</v>
      </c>
      <c r="AC193">
        <v>757.65637200000003</v>
      </c>
      <c r="AD193">
        <v>773.108521</v>
      </c>
      <c r="AE193">
        <v>788.60430899999994</v>
      </c>
      <c r="AF193">
        <v>804.10858199999996</v>
      </c>
      <c r="AG193" s="22">
        <v>1.9E-2</v>
      </c>
    </row>
    <row r="194" spans="1:33">
      <c r="A194" t="s">
        <v>217</v>
      </c>
      <c r="B194" t="s">
        <v>2541</v>
      </c>
      <c r="C194" t="s">
        <v>2540</v>
      </c>
      <c r="D194" t="s">
        <v>200</v>
      </c>
      <c r="F194">
        <v>276.73751800000002</v>
      </c>
      <c r="G194">
        <v>283.66018700000001</v>
      </c>
      <c r="H194">
        <v>291.55502300000001</v>
      </c>
      <c r="I194">
        <v>297.33184799999998</v>
      </c>
      <c r="J194">
        <v>311.810699</v>
      </c>
      <c r="K194">
        <v>329.10732999999999</v>
      </c>
      <c r="L194">
        <v>342.68310500000001</v>
      </c>
      <c r="M194">
        <v>358.63812300000001</v>
      </c>
      <c r="N194">
        <v>375.75903299999999</v>
      </c>
      <c r="O194">
        <v>391.509277</v>
      </c>
      <c r="P194">
        <v>407.24627700000002</v>
      </c>
      <c r="Q194">
        <v>422.78796399999999</v>
      </c>
      <c r="R194">
        <v>436.00256300000001</v>
      </c>
      <c r="S194">
        <v>450.50824</v>
      </c>
      <c r="T194">
        <v>465.95330799999999</v>
      </c>
      <c r="U194">
        <v>481.009277</v>
      </c>
      <c r="V194">
        <v>495.23046900000003</v>
      </c>
      <c r="W194">
        <v>508.99804699999999</v>
      </c>
      <c r="X194">
        <v>522.48388699999998</v>
      </c>
      <c r="Y194">
        <v>535.21142599999996</v>
      </c>
      <c r="Z194">
        <v>547.35497999999995</v>
      </c>
      <c r="AA194">
        <v>559.15429700000004</v>
      </c>
      <c r="AB194">
        <v>570.70507799999996</v>
      </c>
      <c r="AC194">
        <v>582.01367200000004</v>
      </c>
      <c r="AD194">
        <v>593.20898399999999</v>
      </c>
      <c r="AE194">
        <v>604.54394500000001</v>
      </c>
      <c r="AF194">
        <v>615.9375</v>
      </c>
      <c r="AG194" s="22">
        <v>3.1E-2</v>
      </c>
    </row>
    <row r="195" spans="1:33">
      <c r="A195" t="s">
        <v>218</v>
      </c>
      <c r="B195" t="s">
        <v>2539</v>
      </c>
      <c r="C195" t="s">
        <v>2538</v>
      </c>
      <c r="D195" t="s">
        <v>200</v>
      </c>
      <c r="F195">
        <v>202.149597</v>
      </c>
      <c r="G195">
        <v>15.989215</v>
      </c>
      <c r="H195">
        <v>57.191040000000001</v>
      </c>
      <c r="I195">
        <v>61.302352999999997</v>
      </c>
      <c r="J195">
        <v>64.141707999999994</v>
      </c>
      <c r="K195">
        <v>67.497558999999995</v>
      </c>
      <c r="L195">
        <v>69.905074999999997</v>
      </c>
      <c r="M195">
        <v>73.217170999999993</v>
      </c>
      <c r="N195">
        <v>76.865616000000003</v>
      </c>
      <c r="O195">
        <v>80.487938</v>
      </c>
      <c r="P195">
        <v>84.278000000000006</v>
      </c>
      <c r="Q195">
        <v>88.257232999999999</v>
      </c>
      <c r="R195">
        <v>92.042793000000003</v>
      </c>
      <c r="S195">
        <v>96.243454</v>
      </c>
      <c r="T195">
        <v>100.75469200000001</v>
      </c>
      <c r="U195">
        <v>105.33741000000001</v>
      </c>
      <c r="V195">
        <v>109.878197</v>
      </c>
      <c r="W195">
        <v>114.38793200000001</v>
      </c>
      <c r="X195">
        <v>118.78387499999999</v>
      </c>
      <c r="Y195">
        <v>123.085976</v>
      </c>
      <c r="Z195">
        <v>127.30275</v>
      </c>
      <c r="AA195">
        <v>131.261765</v>
      </c>
      <c r="AB195">
        <v>135.00262499999999</v>
      </c>
      <c r="AC195">
        <v>138.58386200000001</v>
      </c>
      <c r="AD195">
        <v>141.99804700000001</v>
      </c>
      <c r="AE195">
        <v>145.32865899999999</v>
      </c>
      <c r="AF195">
        <v>148.632812</v>
      </c>
      <c r="AG195" s="22">
        <v>-1.2E-2</v>
      </c>
    </row>
    <row r="196" spans="1:33">
      <c r="A196" t="s">
        <v>219</v>
      </c>
      <c r="B196" t="s">
        <v>2537</v>
      </c>
      <c r="C196" t="s">
        <v>2536</v>
      </c>
      <c r="D196" t="s">
        <v>200</v>
      </c>
      <c r="F196">
        <v>18.190688999999999</v>
      </c>
      <c r="G196">
        <v>18.676638000000001</v>
      </c>
      <c r="H196">
        <v>18.532188000000001</v>
      </c>
      <c r="I196">
        <v>18.811958000000001</v>
      </c>
      <c r="J196">
        <v>19.678659</v>
      </c>
      <c r="K196">
        <v>20.724067999999999</v>
      </c>
      <c r="L196">
        <v>21.523102000000002</v>
      </c>
      <c r="M196">
        <v>22.459595</v>
      </c>
      <c r="N196">
        <v>23.466522000000001</v>
      </c>
      <c r="O196">
        <v>24.383849999999999</v>
      </c>
      <c r="P196">
        <v>25.301940999999999</v>
      </c>
      <c r="Q196">
        <v>26.215851000000001</v>
      </c>
      <c r="R196">
        <v>26.990265000000001</v>
      </c>
      <c r="S196">
        <v>27.865784000000001</v>
      </c>
      <c r="T196">
        <v>28.828735000000002</v>
      </c>
      <c r="U196">
        <v>29.793274</v>
      </c>
      <c r="V196">
        <v>30.731933999999999</v>
      </c>
      <c r="W196">
        <v>31.672546000000001</v>
      </c>
      <c r="X196">
        <v>32.610290999999997</v>
      </c>
      <c r="Y196">
        <v>33.525908999999999</v>
      </c>
      <c r="Z196">
        <v>34.425476000000003</v>
      </c>
      <c r="AA196">
        <v>35.316161999999998</v>
      </c>
      <c r="AB196">
        <v>36.196838</v>
      </c>
      <c r="AC196">
        <v>37.058838000000002</v>
      </c>
      <c r="AD196">
        <v>37.901488999999998</v>
      </c>
      <c r="AE196">
        <v>38.731689000000003</v>
      </c>
      <c r="AF196">
        <v>39.538269</v>
      </c>
      <c r="AG196" s="22">
        <v>0.03</v>
      </c>
    </row>
    <row r="197" spans="1:33">
      <c r="A197" t="s">
        <v>1279</v>
      </c>
      <c r="B197" t="s">
        <v>2535</v>
      </c>
      <c r="C197" t="s">
        <v>2534</v>
      </c>
      <c r="D197" t="s">
        <v>200</v>
      </c>
      <c r="F197">
        <v>70.102631000000002</v>
      </c>
      <c r="G197">
        <v>86.719657999999995</v>
      </c>
      <c r="H197">
        <v>92.269042999999996</v>
      </c>
      <c r="I197">
        <v>100.55687</v>
      </c>
      <c r="J197">
        <v>106.48664100000001</v>
      </c>
      <c r="K197">
        <v>113.55687</v>
      </c>
      <c r="L197">
        <v>119.20884700000001</v>
      </c>
      <c r="M197">
        <v>125.09069100000001</v>
      </c>
      <c r="N197">
        <v>130.487503</v>
      </c>
      <c r="O197">
        <v>135.33909600000001</v>
      </c>
      <c r="P197">
        <v>140.01499899999999</v>
      </c>
      <c r="Q197">
        <v>144.42555200000001</v>
      </c>
      <c r="R197">
        <v>148.33371</v>
      </c>
      <c r="S197">
        <v>153.16871599999999</v>
      </c>
      <c r="T197">
        <v>157.453217</v>
      </c>
      <c r="U197">
        <v>162.195053</v>
      </c>
      <c r="V197">
        <v>167.88479599999999</v>
      </c>
      <c r="W197">
        <v>173.53035</v>
      </c>
      <c r="X197">
        <v>179.14297500000001</v>
      </c>
      <c r="Y197">
        <v>184.631561</v>
      </c>
      <c r="Z197">
        <v>190.02589399999999</v>
      </c>
      <c r="AA197">
        <v>195.56092799999999</v>
      </c>
      <c r="AB197">
        <v>201.38552899999999</v>
      </c>
      <c r="AC197">
        <v>207.06384299999999</v>
      </c>
      <c r="AD197">
        <v>212.61286899999999</v>
      </c>
      <c r="AE197">
        <v>218.02250699999999</v>
      </c>
      <c r="AF197">
        <v>223.287048</v>
      </c>
      <c r="AG197" s="22">
        <v>4.5999999999999999E-2</v>
      </c>
    </row>
    <row r="198" spans="1:33">
      <c r="A198" t="s">
        <v>217</v>
      </c>
      <c r="B198" t="s">
        <v>2533</v>
      </c>
      <c r="C198" t="s">
        <v>2532</v>
      </c>
      <c r="D198" t="s">
        <v>200</v>
      </c>
      <c r="F198">
        <v>53.977722</v>
      </c>
      <c r="G198">
        <v>67.948914000000002</v>
      </c>
      <c r="H198">
        <v>72.273132000000004</v>
      </c>
      <c r="I198">
        <v>78.812743999999995</v>
      </c>
      <c r="J198">
        <v>83.494018999999994</v>
      </c>
      <c r="K198">
        <v>89.171447999999998</v>
      </c>
      <c r="L198">
        <v>93.663703999999996</v>
      </c>
      <c r="M198">
        <v>98.290306000000001</v>
      </c>
      <c r="N198">
        <v>102.536209</v>
      </c>
      <c r="O198">
        <v>106.351364</v>
      </c>
      <c r="P198">
        <v>110.030762</v>
      </c>
      <c r="Q198">
        <v>113.508408</v>
      </c>
      <c r="R198">
        <v>116.603577</v>
      </c>
      <c r="S198">
        <v>120.44654800000001</v>
      </c>
      <c r="T198">
        <v>123.87623600000001</v>
      </c>
      <c r="U198">
        <v>127.694946</v>
      </c>
      <c r="V198">
        <v>132.28710899999999</v>
      </c>
      <c r="W198">
        <v>136.87207000000001</v>
      </c>
      <c r="X198">
        <v>141.45654300000001</v>
      </c>
      <c r="Y198">
        <v>145.92480499999999</v>
      </c>
      <c r="Z198">
        <v>150.32250999999999</v>
      </c>
      <c r="AA198">
        <v>154.816406</v>
      </c>
      <c r="AB198">
        <v>159.49951200000001</v>
      </c>
      <c r="AC198">
        <v>164.05590799999999</v>
      </c>
      <c r="AD198">
        <v>168.48339799999999</v>
      </c>
      <c r="AE198">
        <v>172.77856399999999</v>
      </c>
      <c r="AF198">
        <v>176.911621</v>
      </c>
      <c r="AG198" s="22">
        <v>4.7E-2</v>
      </c>
    </row>
    <row r="199" spans="1:33">
      <c r="A199" t="s">
        <v>218</v>
      </c>
      <c r="B199" t="s">
        <v>2531</v>
      </c>
      <c r="C199" t="s">
        <v>2530</v>
      </c>
      <c r="D199" t="s">
        <v>200</v>
      </c>
      <c r="F199">
        <v>5.4085460000000003</v>
      </c>
      <c r="G199">
        <v>6.7091289999999999</v>
      </c>
      <c r="H199">
        <v>7.0999280000000002</v>
      </c>
      <c r="I199">
        <v>7.6362800000000002</v>
      </c>
      <c r="J199">
        <v>8.0046879999999998</v>
      </c>
      <c r="K199">
        <v>8.4299090000000003</v>
      </c>
      <c r="L199">
        <v>8.7635349999999992</v>
      </c>
      <c r="M199">
        <v>9.1517560000000007</v>
      </c>
      <c r="N199">
        <v>9.5137479999999996</v>
      </c>
      <c r="O199">
        <v>9.8466129999999996</v>
      </c>
      <c r="P199">
        <v>10.173356999999999</v>
      </c>
      <c r="Q199">
        <v>10.483677</v>
      </c>
      <c r="R199">
        <v>10.756905</v>
      </c>
      <c r="S199">
        <v>11.082458000000001</v>
      </c>
      <c r="T199">
        <v>11.357224</v>
      </c>
      <c r="U199">
        <v>11.64439</v>
      </c>
      <c r="V199">
        <v>11.977695000000001</v>
      </c>
      <c r="W199">
        <v>12.284566</v>
      </c>
      <c r="X199">
        <v>12.570133</v>
      </c>
      <c r="Y199">
        <v>12.881073000000001</v>
      </c>
      <c r="Z199">
        <v>13.191172999999999</v>
      </c>
      <c r="AA199">
        <v>13.533829000000001</v>
      </c>
      <c r="AB199">
        <v>13.943871</v>
      </c>
      <c r="AC199">
        <v>14.356959</v>
      </c>
      <c r="AD199">
        <v>14.788988</v>
      </c>
      <c r="AE199">
        <v>15.234571000000001</v>
      </c>
      <c r="AF199">
        <v>15.720404</v>
      </c>
      <c r="AG199" s="22">
        <v>4.2000000000000003E-2</v>
      </c>
    </row>
    <row r="200" spans="1:33">
      <c r="A200" t="s">
        <v>219</v>
      </c>
      <c r="B200" t="s">
        <v>2529</v>
      </c>
      <c r="C200" t="s">
        <v>2528</v>
      </c>
      <c r="D200" t="s">
        <v>200</v>
      </c>
      <c r="F200">
        <v>10.716366000000001</v>
      </c>
      <c r="G200">
        <v>12.061617</v>
      </c>
      <c r="H200">
        <v>12.89598</v>
      </c>
      <c r="I200">
        <v>14.107851</v>
      </c>
      <c r="J200">
        <v>14.987939000000001</v>
      </c>
      <c r="K200">
        <v>15.955513</v>
      </c>
      <c r="L200">
        <v>16.781604999999999</v>
      </c>
      <c r="M200">
        <v>17.648627999999999</v>
      </c>
      <c r="N200">
        <v>18.437539999999998</v>
      </c>
      <c r="O200">
        <v>19.141114999999999</v>
      </c>
      <c r="P200">
        <v>19.810883</v>
      </c>
      <c r="Q200">
        <v>20.433471999999998</v>
      </c>
      <c r="R200">
        <v>20.973220999999999</v>
      </c>
      <c r="S200">
        <v>21.639709</v>
      </c>
      <c r="T200">
        <v>22.219757000000001</v>
      </c>
      <c r="U200">
        <v>22.855713000000002</v>
      </c>
      <c r="V200">
        <v>23.619994999999999</v>
      </c>
      <c r="W200">
        <v>24.373718</v>
      </c>
      <c r="X200">
        <v>25.116302000000001</v>
      </c>
      <c r="Y200">
        <v>25.825683999999999</v>
      </c>
      <c r="Z200">
        <v>26.512207</v>
      </c>
      <c r="AA200">
        <v>27.210692999999999</v>
      </c>
      <c r="AB200">
        <v>27.942139000000001</v>
      </c>
      <c r="AC200">
        <v>28.650970000000001</v>
      </c>
      <c r="AD200">
        <v>29.340485000000001</v>
      </c>
      <c r="AE200">
        <v>30.009369</v>
      </c>
      <c r="AF200">
        <v>30.655028999999999</v>
      </c>
      <c r="AG200" s="22">
        <v>4.1000000000000002E-2</v>
      </c>
    </row>
    <row r="201" spans="1:33">
      <c r="A201" t="s">
        <v>2438</v>
      </c>
      <c r="B201" t="s">
        <v>2527</v>
      </c>
      <c r="C201" t="s">
        <v>2526</v>
      </c>
      <c r="D201" t="s">
        <v>200</v>
      </c>
      <c r="F201">
        <v>223.02676400000001</v>
      </c>
      <c r="G201">
        <v>139.64172400000001</v>
      </c>
      <c r="H201">
        <v>164.524719</v>
      </c>
      <c r="I201">
        <v>172.92480499999999</v>
      </c>
      <c r="J201">
        <v>178.84960899999999</v>
      </c>
      <c r="K201">
        <v>185.274292</v>
      </c>
      <c r="L201">
        <v>193.89390599999999</v>
      </c>
      <c r="M201">
        <v>203.73237599999999</v>
      </c>
      <c r="N201">
        <v>212.391693</v>
      </c>
      <c r="O201">
        <v>220.996216</v>
      </c>
      <c r="P201">
        <v>228.90715</v>
      </c>
      <c r="Q201">
        <v>236.60205099999999</v>
      </c>
      <c r="R201">
        <v>244.51870700000001</v>
      </c>
      <c r="S201">
        <v>251.986786</v>
      </c>
      <c r="T201">
        <v>261.38391100000001</v>
      </c>
      <c r="U201">
        <v>270.85827599999999</v>
      </c>
      <c r="V201">
        <v>280.13531499999999</v>
      </c>
      <c r="W201">
        <v>288.81146200000001</v>
      </c>
      <c r="X201">
        <v>297.64672899999999</v>
      </c>
      <c r="Y201">
        <v>306.28137199999998</v>
      </c>
      <c r="Z201">
        <v>314.63601699999998</v>
      </c>
      <c r="AA201">
        <v>322.81048600000003</v>
      </c>
      <c r="AB201">
        <v>330.64770499999997</v>
      </c>
      <c r="AC201">
        <v>338.06677200000001</v>
      </c>
      <c r="AD201">
        <v>345.74816900000002</v>
      </c>
      <c r="AE201">
        <v>354.09704599999998</v>
      </c>
      <c r="AF201">
        <v>363.36645499999997</v>
      </c>
      <c r="AG201" s="22">
        <v>1.9E-2</v>
      </c>
    </row>
    <row r="202" spans="1:33">
      <c r="A202" t="s">
        <v>217</v>
      </c>
      <c r="B202" t="s">
        <v>2525</v>
      </c>
      <c r="C202" t="s">
        <v>2524</v>
      </c>
      <c r="D202" t="s">
        <v>200</v>
      </c>
      <c r="F202">
        <v>51.344603999999997</v>
      </c>
      <c r="G202">
        <v>61.722656000000001</v>
      </c>
      <c r="H202">
        <v>87.393921000000006</v>
      </c>
      <c r="I202">
        <v>92.195922999999993</v>
      </c>
      <c r="J202">
        <v>95.579834000000005</v>
      </c>
      <c r="K202">
        <v>99.262328999999994</v>
      </c>
      <c r="L202">
        <v>104.130859</v>
      </c>
      <c r="M202">
        <v>109.887451</v>
      </c>
      <c r="N202">
        <v>114.558052</v>
      </c>
      <c r="O202">
        <v>119.12608299999999</v>
      </c>
      <c r="P202">
        <v>123.54431200000001</v>
      </c>
      <c r="Q202">
        <v>127.77973900000001</v>
      </c>
      <c r="R202">
        <v>132.066925</v>
      </c>
      <c r="S202">
        <v>136.01127600000001</v>
      </c>
      <c r="T202">
        <v>140.97143600000001</v>
      </c>
      <c r="U202">
        <v>145.86889600000001</v>
      </c>
      <c r="V202">
        <v>150.55908199999999</v>
      </c>
      <c r="W202">
        <v>154.81762699999999</v>
      </c>
      <c r="X202">
        <v>159.084473</v>
      </c>
      <c r="Y202">
        <v>163.171875</v>
      </c>
      <c r="Z202">
        <v>167.06909200000001</v>
      </c>
      <c r="AA202">
        <v>170.849121</v>
      </c>
      <c r="AB202">
        <v>174.47241199999999</v>
      </c>
      <c r="AC202">
        <v>177.912598</v>
      </c>
      <c r="AD202">
        <v>181.589111</v>
      </c>
      <c r="AE202">
        <v>185.70336900000001</v>
      </c>
      <c r="AF202">
        <v>190.43017599999999</v>
      </c>
      <c r="AG202" s="22">
        <v>5.1999999999999998E-2</v>
      </c>
    </row>
    <row r="203" spans="1:33">
      <c r="A203" t="s">
        <v>218</v>
      </c>
      <c r="B203" t="s">
        <v>2523</v>
      </c>
      <c r="C203" t="s">
        <v>2522</v>
      </c>
      <c r="D203" t="s">
        <v>200</v>
      </c>
      <c r="F203">
        <v>105.829224</v>
      </c>
      <c r="G203">
        <v>53.742125999999999</v>
      </c>
      <c r="H203">
        <v>35.609619000000002</v>
      </c>
      <c r="I203">
        <v>37.603515999999999</v>
      </c>
      <c r="J203">
        <v>39.054321000000002</v>
      </c>
      <c r="K203">
        <v>40.623534999999997</v>
      </c>
      <c r="L203">
        <v>43.479725000000002</v>
      </c>
      <c r="M203">
        <v>45.878982999999998</v>
      </c>
      <c r="N203">
        <v>47.900711000000001</v>
      </c>
      <c r="O203">
        <v>49.964981000000002</v>
      </c>
      <c r="P203">
        <v>51.982036999999998</v>
      </c>
      <c r="Q203">
        <v>54.045219000000003</v>
      </c>
      <c r="R203">
        <v>56.210940999999998</v>
      </c>
      <c r="S203">
        <v>58.374008000000003</v>
      </c>
      <c r="T203">
        <v>60.861404</v>
      </c>
      <c r="U203">
        <v>63.388610999999997</v>
      </c>
      <c r="V203">
        <v>65.897461000000007</v>
      </c>
      <c r="W203">
        <v>68.339232999999993</v>
      </c>
      <c r="X203">
        <v>70.809448000000003</v>
      </c>
      <c r="Y203">
        <v>73.239379999999997</v>
      </c>
      <c r="Z203">
        <v>75.583648999999994</v>
      </c>
      <c r="AA203">
        <v>77.853317000000004</v>
      </c>
      <c r="AB203">
        <v>79.984511999999995</v>
      </c>
      <c r="AC203">
        <v>81.955444</v>
      </c>
      <c r="AD203">
        <v>83.854370000000003</v>
      </c>
      <c r="AE203">
        <v>85.823486000000003</v>
      </c>
      <c r="AF203">
        <v>87.857178000000005</v>
      </c>
      <c r="AG203" s="22">
        <v>-7.0000000000000001E-3</v>
      </c>
    </row>
    <row r="204" spans="1:33">
      <c r="A204" t="s">
        <v>219</v>
      </c>
      <c r="B204" t="s">
        <v>2521</v>
      </c>
      <c r="C204" t="s">
        <v>2520</v>
      </c>
      <c r="D204" t="s">
        <v>200</v>
      </c>
      <c r="F204">
        <v>65.852936</v>
      </c>
      <c r="G204">
        <v>24.176940999999999</v>
      </c>
      <c r="H204">
        <v>41.521178999999997</v>
      </c>
      <c r="I204">
        <v>43.125366</v>
      </c>
      <c r="J204">
        <v>44.215454000000001</v>
      </c>
      <c r="K204">
        <v>45.388427999999998</v>
      </c>
      <c r="L204">
        <v>46.283324999999998</v>
      </c>
      <c r="M204">
        <v>47.965941999999998</v>
      </c>
      <c r="N204">
        <v>49.932921999999998</v>
      </c>
      <c r="O204">
        <v>51.905150999999996</v>
      </c>
      <c r="P204">
        <v>53.380797999999999</v>
      </c>
      <c r="Q204">
        <v>54.777099999999997</v>
      </c>
      <c r="R204">
        <v>56.240845</v>
      </c>
      <c r="S204">
        <v>57.601500999999999</v>
      </c>
      <c r="T204">
        <v>59.551085999999998</v>
      </c>
      <c r="U204">
        <v>61.600769</v>
      </c>
      <c r="V204">
        <v>63.678772000000002</v>
      </c>
      <c r="W204">
        <v>65.654601999999997</v>
      </c>
      <c r="X204">
        <v>67.752808000000002</v>
      </c>
      <c r="Y204">
        <v>69.870116999999993</v>
      </c>
      <c r="Z204">
        <v>71.983276000000004</v>
      </c>
      <c r="AA204">
        <v>74.108031999999994</v>
      </c>
      <c r="AB204">
        <v>76.190796000000006</v>
      </c>
      <c r="AC204">
        <v>78.198729999999998</v>
      </c>
      <c r="AD204">
        <v>80.304687999999999</v>
      </c>
      <c r="AE204">
        <v>82.570189999999997</v>
      </c>
      <c r="AF204">
        <v>85.079102000000006</v>
      </c>
      <c r="AG204" s="22">
        <v>0.01</v>
      </c>
    </row>
    <row r="205" spans="1:33">
      <c r="A205" t="s">
        <v>1285</v>
      </c>
      <c r="B205" t="s">
        <v>2519</v>
      </c>
      <c r="C205" t="s">
        <v>2518</v>
      </c>
      <c r="D205" t="s">
        <v>200</v>
      </c>
      <c r="F205">
        <v>101.31321699999999</v>
      </c>
      <c r="G205">
        <v>115.492386</v>
      </c>
      <c r="H205">
        <v>122.40403000000001</v>
      </c>
      <c r="I205">
        <v>119.727859</v>
      </c>
      <c r="J205">
        <v>121.03449999999999</v>
      </c>
      <c r="K205">
        <v>124.004158</v>
      </c>
      <c r="L205">
        <v>125.271339</v>
      </c>
      <c r="M205">
        <v>129.383667</v>
      </c>
      <c r="N205">
        <v>133.73478700000001</v>
      </c>
      <c r="O205">
        <v>138.52889999999999</v>
      </c>
      <c r="P205">
        <v>143.741669</v>
      </c>
      <c r="Q205">
        <v>149.51602199999999</v>
      </c>
      <c r="R205">
        <v>155.67918399999999</v>
      </c>
      <c r="S205">
        <v>162.14257799999999</v>
      </c>
      <c r="T205">
        <v>168.718018</v>
      </c>
      <c r="U205">
        <v>175.42089799999999</v>
      </c>
      <c r="V205">
        <v>182.378433</v>
      </c>
      <c r="W205">
        <v>189.25842299999999</v>
      </c>
      <c r="X205">
        <v>196.15862999999999</v>
      </c>
      <c r="Y205">
        <v>202.99764999999999</v>
      </c>
      <c r="Z205">
        <v>209.76284799999999</v>
      </c>
      <c r="AA205">
        <v>216.53926100000001</v>
      </c>
      <c r="AB205">
        <v>223.07467700000001</v>
      </c>
      <c r="AC205">
        <v>229.76165800000001</v>
      </c>
      <c r="AD205">
        <v>236.70361299999999</v>
      </c>
      <c r="AE205">
        <v>243.84219400000001</v>
      </c>
      <c r="AF205">
        <v>251.10017400000001</v>
      </c>
      <c r="AG205" s="22">
        <v>3.5999999999999997E-2</v>
      </c>
    </row>
    <row r="206" spans="1:33">
      <c r="A206" t="s">
        <v>217</v>
      </c>
      <c r="B206" t="s">
        <v>2517</v>
      </c>
      <c r="C206" t="s">
        <v>2516</v>
      </c>
      <c r="D206" t="s">
        <v>200</v>
      </c>
      <c r="F206">
        <v>45.546813999999998</v>
      </c>
      <c r="G206">
        <v>53.642761</v>
      </c>
      <c r="H206">
        <v>57.699646000000001</v>
      </c>
      <c r="I206">
        <v>55.399231</v>
      </c>
      <c r="J206">
        <v>55.731323000000003</v>
      </c>
      <c r="K206">
        <v>56.960631999999997</v>
      </c>
      <c r="L206">
        <v>57.367370999999999</v>
      </c>
      <c r="M206">
        <v>59.105407999999997</v>
      </c>
      <c r="N206">
        <v>60.808228</v>
      </c>
      <c r="O206">
        <v>62.690429999999999</v>
      </c>
      <c r="P206">
        <v>64.733704000000003</v>
      </c>
      <c r="Q206">
        <v>67.043212999999994</v>
      </c>
      <c r="R206">
        <v>69.505736999999996</v>
      </c>
      <c r="S206">
        <v>72.092772999999994</v>
      </c>
      <c r="T206">
        <v>74.721312999999995</v>
      </c>
      <c r="U206">
        <v>77.394531000000001</v>
      </c>
      <c r="V206">
        <v>80.235229000000004</v>
      </c>
      <c r="W206">
        <v>83.116943000000006</v>
      </c>
      <c r="X206">
        <v>86.092528999999999</v>
      </c>
      <c r="Y206">
        <v>89.114990000000006</v>
      </c>
      <c r="Z206">
        <v>92.176270000000002</v>
      </c>
      <c r="AA206">
        <v>95.309082000000004</v>
      </c>
      <c r="AB206">
        <v>98.418700999999999</v>
      </c>
      <c r="AC206">
        <v>101.677002</v>
      </c>
      <c r="AD206">
        <v>105.06604</v>
      </c>
      <c r="AE206">
        <v>108.55212400000001</v>
      </c>
      <c r="AF206">
        <v>112.09045399999999</v>
      </c>
      <c r="AG206" s="22">
        <v>3.5000000000000003E-2</v>
      </c>
    </row>
    <row r="207" spans="1:33">
      <c r="A207" t="s">
        <v>218</v>
      </c>
      <c r="B207" t="s">
        <v>2515</v>
      </c>
      <c r="C207" t="s">
        <v>2514</v>
      </c>
      <c r="D207" t="s">
        <v>200</v>
      </c>
      <c r="F207">
        <v>49.528258999999998</v>
      </c>
      <c r="G207">
        <v>51.080627</v>
      </c>
      <c r="H207">
        <v>52.663330000000002</v>
      </c>
      <c r="I207">
        <v>53.584595</v>
      </c>
      <c r="J207">
        <v>54.866028</v>
      </c>
      <c r="K207">
        <v>56.642273000000003</v>
      </c>
      <c r="L207">
        <v>57.691344999999998</v>
      </c>
      <c r="M207">
        <v>60.003234999999997</v>
      </c>
      <c r="N207">
        <v>62.684508999999998</v>
      </c>
      <c r="O207">
        <v>65.604004000000003</v>
      </c>
      <c r="P207">
        <v>68.761229999999998</v>
      </c>
      <c r="Q207">
        <v>72.148560000000003</v>
      </c>
      <c r="R207">
        <v>75.752075000000005</v>
      </c>
      <c r="S207">
        <v>79.512816999999998</v>
      </c>
      <c r="T207">
        <v>83.342895999999996</v>
      </c>
      <c r="U207">
        <v>87.265502999999995</v>
      </c>
      <c r="V207">
        <v>91.226806999999994</v>
      </c>
      <c r="W207">
        <v>95.032104000000004</v>
      </c>
      <c r="X207">
        <v>98.721312999999995</v>
      </c>
      <c r="Y207">
        <v>102.283447</v>
      </c>
      <c r="Z207">
        <v>105.7229</v>
      </c>
      <c r="AA207">
        <v>109.090332</v>
      </c>
      <c r="AB207">
        <v>112.221924</v>
      </c>
      <c r="AC207">
        <v>115.303589</v>
      </c>
      <c r="AD207">
        <v>118.489136</v>
      </c>
      <c r="AE207">
        <v>121.74511699999999</v>
      </c>
      <c r="AF207">
        <v>125.034058</v>
      </c>
      <c r="AG207" s="22">
        <v>3.5999999999999997E-2</v>
      </c>
    </row>
    <row r="208" spans="1:33">
      <c r="A208" t="s">
        <v>219</v>
      </c>
      <c r="B208" t="s">
        <v>2513</v>
      </c>
      <c r="C208" t="s">
        <v>2512</v>
      </c>
      <c r="D208" t="s">
        <v>200</v>
      </c>
      <c r="F208">
        <v>6.2381440000000001</v>
      </c>
      <c r="G208">
        <v>10.768997000000001</v>
      </c>
      <c r="H208">
        <v>12.041054000000001</v>
      </c>
      <c r="I208">
        <v>10.744033999999999</v>
      </c>
      <c r="J208">
        <v>10.437149</v>
      </c>
      <c r="K208">
        <v>10.401253000000001</v>
      </c>
      <c r="L208">
        <v>10.212624</v>
      </c>
      <c r="M208">
        <v>10.275031999999999</v>
      </c>
      <c r="N208">
        <v>10.242050000000001</v>
      </c>
      <c r="O208">
        <v>10.234467</v>
      </c>
      <c r="P208">
        <v>10.246734999999999</v>
      </c>
      <c r="Q208">
        <v>10.324249</v>
      </c>
      <c r="R208">
        <v>10.421371000000001</v>
      </c>
      <c r="S208">
        <v>10.536987</v>
      </c>
      <c r="T208">
        <v>10.653809000000001</v>
      </c>
      <c r="U208">
        <v>10.760864</v>
      </c>
      <c r="V208">
        <v>10.916397</v>
      </c>
      <c r="W208">
        <v>11.109375</v>
      </c>
      <c r="X208">
        <v>11.344787999999999</v>
      </c>
      <c r="Y208">
        <v>11.599213000000001</v>
      </c>
      <c r="Z208">
        <v>11.863678</v>
      </c>
      <c r="AA208">
        <v>12.139847</v>
      </c>
      <c r="AB208">
        <v>12.434051999999999</v>
      </c>
      <c r="AC208">
        <v>12.781067</v>
      </c>
      <c r="AD208">
        <v>13.148438000000001</v>
      </c>
      <c r="AE208">
        <v>13.544952</v>
      </c>
      <c r="AF208">
        <v>13.975662</v>
      </c>
      <c r="AG208" s="22">
        <v>3.2000000000000001E-2</v>
      </c>
    </row>
    <row r="209" spans="1:33">
      <c r="A209" t="s">
        <v>213</v>
      </c>
      <c r="B209" t="s">
        <v>2511</v>
      </c>
      <c r="C209" t="s">
        <v>2510</v>
      </c>
      <c r="D209" t="s">
        <v>200</v>
      </c>
      <c r="F209">
        <v>62.043106000000002</v>
      </c>
      <c r="G209">
        <v>87.195389000000006</v>
      </c>
      <c r="H209">
        <v>102.36378499999999</v>
      </c>
      <c r="I209">
        <v>101.649719</v>
      </c>
      <c r="J209">
        <v>105.496628</v>
      </c>
      <c r="K209">
        <v>109.542343</v>
      </c>
      <c r="L209">
        <v>111.563232</v>
      </c>
      <c r="M209">
        <v>115.05587800000001</v>
      </c>
      <c r="N209">
        <v>118.04568500000001</v>
      </c>
      <c r="O209">
        <v>121.181</v>
      </c>
      <c r="P209">
        <v>125.071198</v>
      </c>
      <c r="Q209">
        <v>129.195221</v>
      </c>
      <c r="R209">
        <v>133.03971899999999</v>
      </c>
      <c r="S209">
        <v>137.371994</v>
      </c>
      <c r="T209">
        <v>141.40820299999999</v>
      </c>
      <c r="U209">
        <v>145.51799</v>
      </c>
      <c r="V209">
        <v>149.74319499999999</v>
      </c>
      <c r="W209">
        <v>154.21347</v>
      </c>
      <c r="X209">
        <v>158.87364199999999</v>
      </c>
      <c r="Y209">
        <v>163.77320900000001</v>
      </c>
      <c r="Z209">
        <v>168.93679800000001</v>
      </c>
      <c r="AA209">
        <v>174.28360000000001</v>
      </c>
      <c r="AB209">
        <v>179.850311</v>
      </c>
      <c r="AC209">
        <v>185.645599</v>
      </c>
      <c r="AD209">
        <v>191.657501</v>
      </c>
      <c r="AE209">
        <v>197.87631200000001</v>
      </c>
      <c r="AF209">
        <v>204.281555</v>
      </c>
      <c r="AG209" s="22">
        <v>4.7E-2</v>
      </c>
    </row>
    <row r="210" spans="1:33">
      <c r="A210" t="s">
        <v>217</v>
      </c>
      <c r="B210" t="s">
        <v>2509</v>
      </c>
      <c r="C210" t="s">
        <v>2508</v>
      </c>
      <c r="D210" t="s">
        <v>200</v>
      </c>
      <c r="F210">
        <v>33.070678999999998</v>
      </c>
      <c r="G210">
        <v>36.260406000000003</v>
      </c>
      <c r="H210">
        <v>42.109161</v>
      </c>
      <c r="I210">
        <v>41.781554999999997</v>
      </c>
      <c r="J210">
        <v>44.264159999999997</v>
      </c>
      <c r="K210">
        <v>46.729613999999998</v>
      </c>
      <c r="L210">
        <v>47.501648000000003</v>
      </c>
      <c r="M210">
        <v>48.921326000000001</v>
      </c>
      <c r="N210">
        <v>50.123412999999999</v>
      </c>
      <c r="O210">
        <v>51.391544000000003</v>
      </c>
      <c r="P210">
        <v>52.790157000000001</v>
      </c>
      <c r="Q210">
        <v>54.283076999999999</v>
      </c>
      <c r="R210">
        <v>55.841918999999997</v>
      </c>
      <c r="S210">
        <v>57.380215</v>
      </c>
      <c r="T210">
        <v>58.939819</v>
      </c>
      <c r="U210">
        <v>60.564770000000003</v>
      </c>
      <c r="V210">
        <v>62.239258</v>
      </c>
      <c r="W210">
        <v>63.999146000000003</v>
      </c>
      <c r="X210">
        <v>65.833800999999994</v>
      </c>
      <c r="Y210">
        <v>67.793762000000001</v>
      </c>
      <c r="Z210">
        <v>69.899840999999995</v>
      </c>
      <c r="AA210">
        <v>72.136841000000004</v>
      </c>
      <c r="AB210">
        <v>74.504517000000007</v>
      </c>
      <c r="AC210">
        <v>76.996139999999997</v>
      </c>
      <c r="AD210">
        <v>79.606453000000002</v>
      </c>
      <c r="AE210">
        <v>82.370154999999997</v>
      </c>
      <c r="AF210">
        <v>85.221335999999994</v>
      </c>
      <c r="AG210" s="22">
        <v>3.6999999999999998E-2</v>
      </c>
    </row>
    <row r="211" spans="1:33">
      <c r="A211" t="s">
        <v>218</v>
      </c>
      <c r="B211" t="s">
        <v>2507</v>
      </c>
      <c r="C211" t="s">
        <v>2506</v>
      </c>
      <c r="D211" t="s">
        <v>200</v>
      </c>
      <c r="F211">
        <v>9.7348789999999994</v>
      </c>
      <c r="G211">
        <v>11.876328000000001</v>
      </c>
      <c r="H211">
        <v>13.750809</v>
      </c>
      <c r="I211">
        <v>13.554413</v>
      </c>
      <c r="J211">
        <v>13.999283</v>
      </c>
      <c r="K211">
        <v>14.528122</v>
      </c>
      <c r="L211">
        <v>14.955078</v>
      </c>
      <c r="M211">
        <v>15.670197</v>
      </c>
      <c r="N211">
        <v>16.306183000000001</v>
      </c>
      <c r="O211">
        <v>16.984100000000002</v>
      </c>
      <c r="P211">
        <v>18.173981000000001</v>
      </c>
      <c r="Q211">
        <v>19.437477000000001</v>
      </c>
      <c r="R211">
        <v>20.264631000000001</v>
      </c>
      <c r="S211">
        <v>21.124834</v>
      </c>
      <c r="T211">
        <v>22.034115</v>
      </c>
      <c r="U211">
        <v>22.968230999999999</v>
      </c>
      <c r="V211">
        <v>23.922699000000001</v>
      </c>
      <c r="W211">
        <v>24.915610999999998</v>
      </c>
      <c r="X211">
        <v>25.944317000000002</v>
      </c>
      <c r="Y211">
        <v>26.972486</v>
      </c>
      <c r="Z211">
        <v>27.992645</v>
      </c>
      <c r="AA211">
        <v>28.954986999999999</v>
      </c>
      <c r="AB211">
        <v>29.894506</v>
      </c>
      <c r="AC211">
        <v>30.824987</v>
      </c>
      <c r="AD211">
        <v>31.741364000000001</v>
      </c>
      <c r="AE211">
        <v>32.606749999999998</v>
      </c>
      <c r="AF211">
        <v>33.457549999999998</v>
      </c>
      <c r="AG211" s="22">
        <v>4.9000000000000002E-2</v>
      </c>
    </row>
    <row r="212" spans="1:33">
      <c r="A212" t="s">
        <v>219</v>
      </c>
      <c r="B212" t="s">
        <v>2505</v>
      </c>
      <c r="C212" t="s">
        <v>2504</v>
      </c>
      <c r="D212" t="s">
        <v>200</v>
      </c>
      <c r="F212">
        <v>19.237549000000001</v>
      </c>
      <c r="G212">
        <v>39.058655000000002</v>
      </c>
      <c r="H212">
        <v>46.503815000000003</v>
      </c>
      <c r="I212">
        <v>46.313751000000003</v>
      </c>
      <c r="J212">
        <v>47.233184999999999</v>
      </c>
      <c r="K212">
        <v>48.284607000000001</v>
      </c>
      <c r="L212">
        <v>49.106506000000003</v>
      </c>
      <c r="M212">
        <v>50.464354999999998</v>
      </c>
      <c r="N212">
        <v>51.616089000000002</v>
      </c>
      <c r="O212">
        <v>52.805359000000003</v>
      </c>
      <c r="P212">
        <v>54.107056</v>
      </c>
      <c r="Q212">
        <v>55.474670000000003</v>
      </c>
      <c r="R212">
        <v>56.933166999999997</v>
      </c>
      <c r="S212">
        <v>58.866942999999999</v>
      </c>
      <c r="T212">
        <v>60.434265000000003</v>
      </c>
      <c r="U212">
        <v>61.984985000000002</v>
      </c>
      <c r="V212">
        <v>63.581237999999999</v>
      </c>
      <c r="W212">
        <v>65.298705999999996</v>
      </c>
      <c r="X212">
        <v>67.095519999999993</v>
      </c>
      <c r="Y212">
        <v>69.006957999999997</v>
      </c>
      <c r="Z212">
        <v>71.044312000000005</v>
      </c>
      <c r="AA212">
        <v>73.191772</v>
      </c>
      <c r="AB212">
        <v>75.451294000000004</v>
      </c>
      <c r="AC212">
        <v>77.824462999999994</v>
      </c>
      <c r="AD212">
        <v>80.309691999999998</v>
      </c>
      <c r="AE212">
        <v>82.899413999999993</v>
      </c>
      <c r="AF212">
        <v>85.602660999999998</v>
      </c>
      <c r="AG212" s="22">
        <v>5.8999999999999997E-2</v>
      </c>
    </row>
    <row r="213" spans="1:33">
      <c r="A213" t="s">
        <v>1290</v>
      </c>
      <c r="B213" t="s">
        <v>2503</v>
      </c>
      <c r="C213" t="s">
        <v>2502</v>
      </c>
      <c r="D213" t="s">
        <v>200</v>
      </c>
      <c r="F213">
        <v>32.956401999999997</v>
      </c>
      <c r="G213">
        <v>26.036166999999999</v>
      </c>
      <c r="H213">
        <v>24.454052000000001</v>
      </c>
      <c r="I213">
        <v>28.901641999999999</v>
      </c>
      <c r="J213">
        <v>31.115359999999999</v>
      </c>
      <c r="K213">
        <v>31.743117999999999</v>
      </c>
      <c r="L213">
        <v>31.901575000000001</v>
      </c>
      <c r="M213">
        <v>32.629249999999999</v>
      </c>
      <c r="N213">
        <v>33.38599</v>
      </c>
      <c r="O213">
        <v>34.166801</v>
      </c>
      <c r="P213">
        <v>34.920772999999997</v>
      </c>
      <c r="Q213">
        <v>35.632454000000003</v>
      </c>
      <c r="R213">
        <v>36.298442999999999</v>
      </c>
      <c r="S213">
        <v>36.916649</v>
      </c>
      <c r="T213">
        <v>37.631805</v>
      </c>
      <c r="U213">
        <v>38.191642999999999</v>
      </c>
      <c r="V213">
        <v>38.556457999999999</v>
      </c>
      <c r="W213">
        <v>38.849711999999997</v>
      </c>
      <c r="X213">
        <v>39.151932000000002</v>
      </c>
      <c r="Y213">
        <v>39.353316999999997</v>
      </c>
      <c r="Z213">
        <v>39.4771</v>
      </c>
      <c r="AA213">
        <v>39.552235000000003</v>
      </c>
      <c r="AB213">
        <v>39.590789999999998</v>
      </c>
      <c r="AC213">
        <v>39.596611000000003</v>
      </c>
      <c r="AD213">
        <v>39.579475000000002</v>
      </c>
      <c r="AE213">
        <v>39.543114000000003</v>
      </c>
      <c r="AF213">
        <v>39.483184999999999</v>
      </c>
      <c r="AG213" s="22">
        <v>7.0000000000000001E-3</v>
      </c>
    </row>
    <row r="214" spans="1:33">
      <c r="A214" t="s">
        <v>217</v>
      </c>
      <c r="B214" t="s">
        <v>2501</v>
      </c>
      <c r="C214" t="s">
        <v>2500</v>
      </c>
      <c r="D214" t="s">
        <v>200</v>
      </c>
      <c r="F214">
        <v>20.001080000000002</v>
      </c>
      <c r="G214">
        <v>14.576172</v>
      </c>
      <c r="H214">
        <v>13.739197000000001</v>
      </c>
      <c r="I214">
        <v>16.731566999999998</v>
      </c>
      <c r="J214">
        <v>18.157115999999998</v>
      </c>
      <c r="K214">
        <v>18.578281</v>
      </c>
      <c r="L214">
        <v>18.743894999999998</v>
      </c>
      <c r="M214">
        <v>19.247568000000001</v>
      </c>
      <c r="N214">
        <v>19.765395999999999</v>
      </c>
      <c r="O214">
        <v>20.305696000000001</v>
      </c>
      <c r="P214">
        <v>20.828018</v>
      </c>
      <c r="Q214">
        <v>21.318390000000001</v>
      </c>
      <c r="R214">
        <v>21.77298</v>
      </c>
      <c r="S214">
        <v>22.18927</v>
      </c>
      <c r="T214">
        <v>22.557831</v>
      </c>
      <c r="U214">
        <v>22.871863999999999</v>
      </c>
      <c r="V214">
        <v>23.120697</v>
      </c>
      <c r="W214">
        <v>23.306975999999999</v>
      </c>
      <c r="X214">
        <v>23.508789</v>
      </c>
      <c r="Y214">
        <v>23.632415999999999</v>
      </c>
      <c r="Z214">
        <v>23.690735</v>
      </c>
      <c r="AA214">
        <v>23.708801000000001</v>
      </c>
      <c r="AB214">
        <v>23.694396999999999</v>
      </c>
      <c r="AC214">
        <v>23.663605</v>
      </c>
      <c r="AD214">
        <v>23.618195</v>
      </c>
      <c r="AE214">
        <v>23.563231999999999</v>
      </c>
      <c r="AF214">
        <v>23.496825999999999</v>
      </c>
      <c r="AG214" s="22">
        <v>6.0000000000000001E-3</v>
      </c>
    </row>
    <row r="215" spans="1:33">
      <c r="A215" t="s">
        <v>218</v>
      </c>
      <c r="B215" t="s">
        <v>2499</v>
      </c>
      <c r="C215" t="s">
        <v>2498</v>
      </c>
      <c r="D215" t="s">
        <v>200</v>
      </c>
      <c r="F215">
        <v>1.8612820000000001</v>
      </c>
      <c r="G215">
        <v>2.0910839999999999</v>
      </c>
      <c r="H215">
        <v>1.8595539999999999</v>
      </c>
      <c r="I215">
        <v>2.285263</v>
      </c>
      <c r="J215">
        <v>2.5070420000000002</v>
      </c>
      <c r="K215">
        <v>2.5586660000000001</v>
      </c>
      <c r="L215">
        <v>2.5544850000000001</v>
      </c>
      <c r="M215">
        <v>2.6130789999999999</v>
      </c>
      <c r="N215">
        <v>2.6768230000000002</v>
      </c>
      <c r="O215">
        <v>2.7421760000000002</v>
      </c>
      <c r="P215">
        <v>2.806454</v>
      </c>
      <c r="Q215">
        <v>2.8697430000000002</v>
      </c>
      <c r="R215">
        <v>2.932766</v>
      </c>
      <c r="S215">
        <v>2.9957199999999999</v>
      </c>
      <c r="T215">
        <v>3.2157290000000001</v>
      </c>
      <c r="U215">
        <v>3.3497469999999998</v>
      </c>
      <c r="V215">
        <v>3.3808419999999999</v>
      </c>
      <c r="W215">
        <v>3.4131140000000002</v>
      </c>
      <c r="X215">
        <v>3.4550779999999999</v>
      </c>
      <c r="Y215">
        <v>3.4896699999999998</v>
      </c>
      <c r="Z215">
        <v>3.526402</v>
      </c>
      <c r="AA215">
        <v>3.5688059999999999</v>
      </c>
      <c r="AB215">
        <v>3.617874</v>
      </c>
      <c r="AC215">
        <v>3.6607280000000002</v>
      </c>
      <c r="AD215">
        <v>3.7028270000000001</v>
      </c>
      <c r="AE215">
        <v>3.741295</v>
      </c>
      <c r="AF215">
        <v>3.7710880000000002</v>
      </c>
      <c r="AG215" s="22">
        <v>2.8000000000000001E-2</v>
      </c>
    </row>
    <row r="216" spans="1:33">
      <c r="A216" t="s">
        <v>219</v>
      </c>
      <c r="B216" t="s">
        <v>2497</v>
      </c>
      <c r="C216" t="s">
        <v>2496</v>
      </c>
      <c r="D216" t="s">
        <v>200</v>
      </c>
      <c r="F216">
        <v>11.09404</v>
      </c>
      <c r="G216">
        <v>9.3689119999999999</v>
      </c>
      <c r="H216">
        <v>8.8553010000000008</v>
      </c>
      <c r="I216">
        <v>9.8848109999999991</v>
      </c>
      <c r="J216">
        <v>10.451202</v>
      </c>
      <c r="K216">
        <v>10.606171</v>
      </c>
      <c r="L216">
        <v>10.603194999999999</v>
      </c>
      <c r="M216">
        <v>10.768599999999999</v>
      </c>
      <c r="N216">
        <v>10.943771</v>
      </c>
      <c r="O216">
        <v>11.118926999999999</v>
      </c>
      <c r="P216">
        <v>11.286301</v>
      </c>
      <c r="Q216">
        <v>11.444321</v>
      </c>
      <c r="R216">
        <v>11.592696999999999</v>
      </c>
      <c r="S216">
        <v>11.731659000000001</v>
      </c>
      <c r="T216">
        <v>11.858245999999999</v>
      </c>
      <c r="U216">
        <v>11.970032</v>
      </c>
      <c r="V216">
        <v>12.054916</v>
      </c>
      <c r="W216">
        <v>12.129623</v>
      </c>
      <c r="X216">
        <v>12.188065</v>
      </c>
      <c r="Y216">
        <v>12.231232</v>
      </c>
      <c r="Z216">
        <v>12.259964</v>
      </c>
      <c r="AA216">
        <v>12.274628</v>
      </c>
      <c r="AB216">
        <v>12.278518999999999</v>
      </c>
      <c r="AC216">
        <v>12.272278</v>
      </c>
      <c r="AD216">
        <v>12.258452999999999</v>
      </c>
      <c r="AE216">
        <v>12.238586</v>
      </c>
      <c r="AF216">
        <v>12.215271</v>
      </c>
      <c r="AG216" s="22">
        <v>4.0000000000000001E-3</v>
      </c>
    </row>
    <row r="217" spans="1:33">
      <c r="A217" t="s">
        <v>2429</v>
      </c>
      <c r="B217" t="s">
        <v>2495</v>
      </c>
      <c r="C217" t="s">
        <v>2494</v>
      </c>
      <c r="D217" t="s">
        <v>200</v>
      </c>
      <c r="F217">
        <v>34.141190000000002</v>
      </c>
      <c r="G217">
        <v>59.041176</v>
      </c>
      <c r="H217">
        <v>61.291893000000002</v>
      </c>
      <c r="I217">
        <v>62.006638000000002</v>
      </c>
      <c r="J217">
        <v>62.645843999999997</v>
      </c>
      <c r="K217">
        <v>64.846717999999996</v>
      </c>
      <c r="L217">
        <v>65.727951000000004</v>
      </c>
      <c r="M217">
        <v>69.115532000000002</v>
      </c>
      <c r="N217">
        <v>70.739067000000006</v>
      </c>
      <c r="O217">
        <v>72.450835999999995</v>
      </c>
      <c r="P217">
        <v>74.224663000000007</v>
      </c>
      <c r="Q217">
        <v>75.996475000000004</v>
      </c>
      <c r="R217">
        <v>77.773787999999996</v>
      </c>
      <c r="S217">
        <v>79.683494999999994</v>
      </c>
      <c r="T217">
        <v>81.623565999999997</v>
      </c>
      <c r="U217">
        <v>83.565742</v>
      </c>
      <c r="V217">
        <v>85.466071999999997</v>
      </c>
      <c r="W217">
        <v>87.303566000000004</v>
      </c>
      <c r="X217">
        <v>89.127457000000007</v>
      </c>
      <c r="Y217">
        <v>90.935813999999993</v>
      </c>
      <c r="Z217">
        <v>92.743324000000001</v>
      </c>
      <c r="AA217">
        <v>94.540169000000006</v>
      </c>
      <c r="AB217">
        <v>96.326019000000002</v>
      </c>
      <c r="AC217">
        <v>98.083518999999995</v>
      </c>
      <c r="AD217">
        <v>99.863754</v>
      </c>
      <c r="AE217">
        <v>101.656342</v>
      </c>
      <c r="AF217">
        <v>103.526398</v>
      </c>
      <c r="AG217" s="22">
        <v>4.3999999999999997E-2</v>
      </c>
    </row>
    <row r="218" spans="1:33">
      <c r="A218" t="s">
        <v>217</v>
      </c>
      <c r="B218" t="s">
        <v>2493</v>
      </c>
      <c r="C218" t="s">
        <v>2492</v>
      </c>
      <c r="D218" t="s">
        <v>200</v>
      </c>
      <c r="F218">
        <v>21.934570000000001</v>
      </c>
      <c r="G218">
        <v>39.256897000000002</v>
      </c>
      <c r="H218">
        <v>40.729919000000002</v>
      </c>
      <c r="I218">
        <v>41.237183000000002</v>
      </c>
      <c r="J218">
        <v>41.728943000000001</v>
      </c>
      <c r="K218">
        <v>43.592896000000003</v>
      </c>
      <c r="L218">
        <v>44.410828000000002</v>
      </c>
      <c r="M218">
        <v>45.559325999999999</v>
      </c>
      <c r="N218">
        <v>46.810974000000002</v>
      </c>
      <c r="O218">
        <v>48.119812000000003</v>
      </c>
      <c r="P218">
        <v>49.464782999999997</v>
      </c>
      <c r="Q218">
        <v>50.811768000000001</v>
      </c>
      <c r="R218">
        <v>52.169128000000001</v>
      </c>
      <c r="S218">
        <v>53.594665999999997</v>
      </c>
      <c r="T218">
        <v>55.029907000000001</v>
      </c>
      <c r="U218">
        <v>56.465392999999999</v>
      </c>
      <c r="V218">
        <v>57.857177999999998</v>
      </c>
      <c r="W218">
        <v>59.218933</v>
      </c>
      <c r="X218">
        <v>60.569397000000002</v>
      </c>
      <c r="Y218">
        <v>61.916504000000003</v>
      </c>
      <c r="Z218">
        <v>63.252197000000002</v>
      </c>
      <c r="AA218">
        <v>64.589966000000004</v>
      </c>
      <c r="AB218">
        <v>65.927368000000001</v>
      </c>
      <c r="AC218">
        <v>67.259643999999994</v>
      </c>
      <c r="AD218">
        <v>68.594238000000004</v>
      </c>
      <c r="AE218">
        <v>69.942749000000006</v>
      </c>
      <c r="AF218">
        <v>71.325316999999998</v>
      </c>
      <c r="AG218" s="22">
        <v>4.5999999999999999E-2</v>
      </c>
    </row>
    <row r="219" spans="1:33">
      <c r="A219" t="s">
        <v>218</v>
      </c>
      <c r="B219" t="s">
        <v>2491</v>
      </c>
      <c r="C219" t="s">
        <v>2490</v>
      </c>
      <c r="D219" t="s">
        <v>200</v>
      </c>
      <c r="F219">
        <v>1.6696470000000001</v>
      </c>
      <c r="G219">
        <v>5.4057690000000003</v>
      </c>
      <c r="H219">
        <v>5.6687849999999997</v>
      </c>
      <c r="I219">
        <v>5.8528440000000002</v>
      </c>
      <c r="J219">
        <v>6.0350650000000003</v>
      </c>
      <c r="K219">
        <v>6.2568739999999998</v>
      </c>
      <c r="L219">
        <v>6.3919680000000003</v>
      </c>
      <c r="M219">
        <v>7.7470780000000001</v>
      </c>
      <c r="N219">
        <v>7.9581359999999997</v>
      </c>
      <c r="O219">
        <v>8.2157850000000003</v>
      </c>
      <c r="P219">
        <v>8.5005579999999998</v>
      </c>
      <c r="Q219">
        <v>8.7857260000000004</v>
      </c>
      <c r="R219">
        <v>9.0588519999999999</v>
      </c>
      <c r="S219">
        <v>9.3475889999999993</v>
      </c>
      <c r="T219">
        <v>9.6443189999999994</v>
      </c>
      <c r="U219">
        <v>9.9295439999999999</v>
      </c>
      <c r="V219">
        <v>10.210947000000001</v>
      </c>
      <c r="W219">
        <v>10.448923000000001</v>
      </c>
      <c r="X219">
        <v>10.669568999999999</v>
      </c>
      <c r="Y219">
        <v>10.858727</v>
      </c>
      <c r="Z219">
        <v>11.045356999999999</v>
      </c>
      <c r="AA219">
        <v>11.204383</v>
      </c>
      <c r="AB219">
        <v>11.338653000000001</v>
      </c>
      <c r="AC219">
        <v>11.441091999999999</v>
      </c>
      <c r="AD219">
        <v>11.551468</v>
      </c>
      <c r="AE219">
        <v>11.643402</v>
      </c>
      <c r="AF219">
        <v>11.759155</v>
      </c>
      <c r="AG219" s="22">
        <v>7.8E-2</v>
      </c>
    </row>
    <row r="220" spans="1:33">
      <c r="A220" t="s">
        <v>219</v>
      </c>
      <c r="B220" t="s">
        <v>2489</v>
      </c>
      <c r="C220" t="s">
        <v>2488</v>
      </c>
      <c r="D220" t="s">
        <v>200</v>
      </c>
      <c r="F220">
        <v>10.536972</v>
      </c>
      <c r="G220">
        <v>14.37851</v>
      </c>
      <c r="H220">
        <v>14.893188</v>
      </c>
      <c r="I220">
        <v>14.916611</v>
      </c>
      <c r="J220">
        <v>14.881836</v>
      </c>
      <c r="K220">
        <v>14.996948</v>
      </c>
      <c r="L220">
        <v>14.925155999999999</v>
      </c>
      <c r="M220">
        <v>15.809127999999999</v>
      </c>
      <c r="N220">
        <v>15.969955000000001</v>
      </c>
      <c r="O220">
        <v>16.115234000000001</v>
      </c>
      <c r="P220">
        <v>16.259322999999998</v>
      </c>
      <c r="Q220">
        <v>16.398987000000002</v>
      </c>
      <c r="R220">
        <v>16.545807</v>
      </c>
      <c r="S220">
        <v>16.741240999999999</v>
      </c>
      <c r="T220">
        <v>16.949341</v>
      </c>
      <c r="U220">
        <v>17.170807</v>
      </c>
      <c r="V220">
        <v>17.397949000000001</v>
      </c>
      <c r="W220">
        <v>17.635712000000002</v>
      </c>
      <c r="X220">
        <v>17.888489</v>
      </c>
      <c r="Y220">
        <v>18.160582999999999</v>
      </c>
      <c r="Z220">
        <v>18.44577</v>
      </c>
      <c r="AA220">
        <v>18.745819000000001</v>
      </c>
      <c r="AB220">
        <v>19.059998</v>
      </c>
      <c r="AC220">
        <v>19.382781999999999</v>
      </c>
      <c r="AD220">
        <v>19.718048</v>
      </c>
      <c r="AE220">
        <v>20.07019</v>
      </c>
      <c r="AF220">
        <v>20.441925000000001</v>
      </c>
      <c r="AG220" s="22">
        <v>2.5999999999999999E-2</v>
      </c>
    </row>
    <row r="221" spans="1:33">
      <c r="A221" t="s">
        <v>1531</v>
      </c>
      <c r="B221" t="s">
        <v>2487</v>
      </c>
      <c r="C221" t="s">
        <v>2486</v>
      </c>
      <c r="D221" t="s">
        <v>200</v>
      </c>
      <c r="F221">
        <v>989.89318800000001</v>
      </c>
      <c r="G221">
        <v>1128.788086</v>
      </c>
      <c r="H221">
        <v>1243.461914</v>
      </c>
      <c r="I221">
        <v>1247.5124510000001</v>
      </c>
      <c r="J221">
        <v>1266.652832</v>
      </c>
      <c r="K221">
        <v>1306.0860600000001</v>
      </c>
      <c r="L221">
        <v>1329.263672</v>
      </c>
      <c r="M221">
        <v>1358.3017580000001</v>
      </c>
      <c r="N221">
        <v>1412.267822</v>
      </c>
      <c r="O221">
        <v>1459.4470209999999</v>
      </c>
      <c r="P221">
        <v>1497.5539550000001</v>
      </c>
      <c r="Q221">
        <v>1546.7329099999999</v>
      </c>
      <c r="R221">
        <v>1586.2395019999999</v>
      </c>
      <c r="S221">
        <v>1630.8469239999999</v>
      </c>
      <c r="T221">
        <v>1679.8424070000001</v>
      </c>
      <c r="U221">
        <v>1726.319092</v>
      </c>
      <c r="V221">
        <v>1765.7045900000001</v>
      </c>
      <c r="W221">
        <v>1803.268311</v>
      </c>
      <c r="X221">
        <v>1851.695557</v>
      </c>
      <c r="Y221">
        <v>1887.402466</v>
      </c>
      <c r="Z221">
        <v>1916.8352050000001</v>
      </c>
      <c r="AA221">
        <v>1951.419067</v>
      </c>
      <c r="AB221">
        <v>1986.9913329999999</v>
      </c>
      <c r="AC221">
        <v>2041.988159</v>
      </c>
      <c r="AD221">
        <v>2088.155518</v>
      </c>
      <c r="AE221">
        <v>2122.6127929999998</v>
      </c>
      <c r="AF221">
        <v>2161.796875</v>
      </c>
      <c r="AG221" s="22">
        <v>0.03</v>
      </c>
    </row>
    <row r="222" spans="1:33">
      <c r="A222" t="s">
        <v>1534</v>
      </c>
      <c r="B222" t="s">
        <v>2485</v>
      </c>
      <c r="C222" t="s">
        <v>2484</v>
      </c>
      <c r="D222" t="s">
        <v>200</v>
      </c>
      <c r="F222">
        <v>635.78125</v>
      </c>
      <c r="G222">
        <v>310.39596599999999</v>
      </c>
      <c r="H222">
        <v>378.60433999999998</v>
      </c>
      <c r="I222">
        <v>377.59082000000001</v>
      </c>
      <c r="J222">
        <v>379.14837599999998</v>
      </c>
      <c r="K222">
        <v>396.24044800000001</v>
      </c>
      <c r="L222">
        <v>402.01034499999997</v>
      </c>
      <c r="M222">
        <v>409.545593</v>
      </c>
      <c r="N222">
        <v>422.20803799999999</v>
      </c>
      <c r="O222">
        <v>433.93536399999999</v>
      </c>
      <c r="P222">
        <v>444.46279900000002</v>
      </c>
      <c r="Q222">
        <v>458.73336799999998</v>
      </c>
      <c r="R222">
        <v>472.375</v>
      </c>
      <c r="S222">
        <v>487.74142499999999</v>
      </c>
      <c r="T222">
        <v>505.32037400000002</v>
      </c>
      <c r="U222">
        <v>521.54974400000003</v>
      </c>
      <c r="V222">
        <v>538.88708499999996</v>
      </c>
      <c r="W222">
        <v>556.05749500000002</v>
      </c>
      <c r="X222">
        <v>576.46612500000003</v>
      </c>
      <c r="Y222">
        <v>592.82550000000003</v>
      </c>
      <c r="Z222">
        <v>607.26452600000005</v>
      </c>
      <c r="AA222">
        <v>622.99328600000001</v>
      </c>
      <c r="AB222">
        <v>638.14947500000005</v>
      </c>
      <c r="AC222">
        <v>657.70989999999995</v>
      </c>
      <c r="AD222">
        <v>675.17089799999997</v>
      </c>
      <c r="AE222">
        <v>689.88952600000005</v>
      </c>
      <c r="AF222">
        <v>705.47070299999996</v>
      </c>
      <c r="AG222" s="22">
        <v>4.0000000000000001E-3</v>
      </c>
    </row>
    <row r="223" spans="1:33">
      <c r="A223" t="s">
        <v>1537</v>
      </c>
      <c r="B223" t="s">
        <v>2483</v>
      </c>
      <c r="C223" t="s">
        <v>2482</v>
      </c>
      <c r="D223" t="s">
        <v>200</v>
      </c>
      <c r="F223">
        <v>404.75006100000002</v>
      </c>
      <c r="G223">
        <v>382.358429</v>
      </c>
      <c r="H223">
        <v>404.56341600000002</v>
      </c>
      <c r="I223">
        <v>404.928833</v>
      </c>
      <c r="J223">
        <v>407.68743899999998</v>
      </c>
      <c r="K223">
        <v>417.55334499999998</v>
      </c>
      <c r="L223">
        <v>418.21014400000001</v>
      </c>
      <c r="M223">
        <v>422.26745599999998</v>
      </c>
      <c r="N223">
        <v>436.84155299999998</v>
      </c>
      <c r="O223">
        <v>449.37631199999998</v>
      </c>
      <c r="P223">
        <v>457.53460699999999</v>
      </c>
      <c r="Q223">
        <v>470.467285</v>
      </c>
      <c r="R223">
        <v>480.44882200000001</v>
      </c>
      <c r="S223">
        <v>492.69570900000002</v>
      </c>
      <c r="T223">
        <v>505.56866500000001</v>
      </c>
      <c r="U223">
        <v>515.56311000000005</v>
      </c>
      <c r="V223">
        <v>525.586365</v>
      </c>
      <c r="W223">
        <v>535.13000499999998</v>
      </c>
      <c r="X223">
        <v>549.80163600000003</v>
      </c>
      <c r="Y223">
        <v>559.58660899999995</v>
      </c>
      <c r="Z223">
        <v>567.20532200000002</v>
      </c>
      <c r="AA223">
        <v>577.46691899999996</v>
      </c>
      <c r="AB223">
        <v>587.92761199999995</v>
      </c>
      <c r="AC223">
        <v>606.94360400000005</v>
      </c>
      <c r="AD223">
        <v>622.23120100000006</v>
      </c>
      <c r="AE223">
        <v>632.24023399999999</v>
      </c>
      <c r="AF223">
        <v>644.29174799999998</v>
      </c>
      <c r="AG223" s="22">
        <v>1.7999999999999999E-2</v>
      </c>
    </row>
    <row r="224" spans="1:33">
      <c r="A224" t="s">
        <v>112</v>
      </c>
      <c r="B224" t="s">
        <v>2481</v>
      </c>
      <c r="C224" t="s">
        <v>2480</v>
      </c>
      <c r="D224" t="s">
        <v>200</v>
      </c>
      <c r="F224">
        <v>2030.424438</v>
      </c>
      <c r="G224">
        <v>1821.5426030000001</v>
      </c>
      <c r="H224">
        <v>2026.6295170000001</v>
      </c>
      <c r="I224">
        <v>2030.0322269999999</v>
      </c>
      <c r="J224">
        <v>2053.4882809999999</v>
      </c>
      <c r="K224">
        <v>2119.8803710000002</v>
      </c>
      <c r="L224">
        <v>2149.4838869999999</v>
      </c>
      <c r="M224">
        <v>2190.11499</v>
      </c>
      <c r="N224">
        <v>2271.3171390000002</v>
      </c>
      <c r="O224">
        <v>2342.7583009999998</v>
      </c>
      <c r="P224">
        <v>2399.5510250000002</v>
      </c>
      <c r="Q224">
        <v>2475.9333499999998</v>
      </c>
      <c r="R224">
        <v>2539.0634770000001</v>
      </c>
      <c r="S224">
        <v>2611.2836910000001</v>
      </c>
      <c r="T224">
        <v>2690.7314449999999</v>
      </c>
      <c r="U224">
        <v>2763.4323730000001</v>
      </c>
      <c r="V224">
        <v>2830.178711</v>
      </c>
      <c r="W224">
        <v>2894.4558109999998</v>
      </c>
      <c r="X224">
        <v>2977.9633789999998</v>
      </c>
      <c r="Y224">
        <v>3039.8142090000001</v>
      </c>
      <c r="Z224">
        <v>3091.3059079999998</v>
      </c>
      <c r="AA224">
        <v>3151.8793949999999</v>
      </c>
      <c r="AB224">
        <v>3213.0690920000002</v>
      </c>
      <c r="AC224">
        <v>3306.6416020000001</v>
      </c>
      <c r="AD224">
        <v>3385.5581050000001</v>
      </c>
      <c r="AE224">
        <v>3444.7416990000002</v>
      </c>
      <c r="AF224">
        <v>3511.5595699999999</v>
      </c>
      <c r="AG224" s="22">
        <v>2.1000000000000001E-2</v>
      </c>
    </row>
    <row r="225" spans="1:33">
      <c r="A225" t="s">
        <v>220</v>
      </c>
    </row>
    <row r="226" spans="1:33">
      <c r="A226" t="s">
        <v>221</v>
      </c>
    </row>
    <row r="227" spans="1:33">
      <c r="A227" t="s">
        <v>217</v>
      </c>
      <c r="B227" t="s">
        <v>2479</v>
      </c>
      <c r="C227" t="s">
        <v>2478</v>
      </c>
      <c r="D227" t="s">
        <v>232</v>
      </c>
      <c r="F227">
        <v>86.813323999999994</v>
      </c>
      <c r="G227">
        <v>87.472510999999997</v>
      </c>
      <c r="H227">
        <v>88.147002999999998</v>
      </c>
      <c r="I227">
        <v>88.854056999999997</v>
      </c>
      <c r="J227">
        <v>89.586692999999997</v>
      </c>
      <c r="K227">
        <v>90.334716999999998</v>
      </c>
      <c r="L227">
        <v>91.090691000000007</v>
      </c>
      <c r="M227">
        <v>91.853035000000006</v>
      </c>
      <c r="N227">
        <v>92.621421999999995</v>
      </c>
      <c r="O227">
        <v>93.395447000000004</v>
      </c>
      <c r="P227">
        <v>94.175376999999997</v>
      </c>
      <c r="Q227">
        <v>94.960808</v>
      </c>
      <c r="R227">
        <v>95.751221000000001</v>
      </c>
      <c r="S227">
        <v>96.547409000000002</v>
      </c>
      <c r="T227">
        <v>97.348785000000007</v>
      </c>
      <c r="U227">
        <v>98.155624000000003</v>
      </c>
      <c r="V227">
        <v>98.967590000000001</v>
      </c>
      <c r="W227">
        <v>99.784171999999998</v>
      </c>
      <c r="X227">
        <v>100.60524700000001</v>
      </c>
      <c r="Y227">
        <v>101.43147999999999</v>
      </c>
      <c r="Z227">
        <v>102.26335899999999</v>
      </c>
      <c r="AA227">
        <v>103.100677</v>
      </c>
      <c r="AB227">
        <v>103.94343600000001</v>
      </c>
      <c r="AC227">
        <v>104.790909</v>
      </c>
      <c r="AD227">
        <v>105.643585</v>
      </c>
      <c r="AE227">
        <v>106.501724</v>
      </c>
      <c r="AF227">
        <v>107.364891</v>
      </c>
      <c r="AG227" s="22">
        <v>8.0000000000000002E-3</v>
      </c>
    </row>
    <row r="228" spans="1:33">
      <c r="A228" t="s">
        <v>218</v>
      </c>
      <c r="B228" t="s">
        <v>2477</v>
      </c>
      <c r="C228" t="s">
        <v>2476</v>
      </c>
      <c r="D228" t="s">
        <v>232</v>
      </c>
      <c r="F228">
        <v>109.564651</v>
      </c>
      <c r="G228">
        <v>110.106865</v>
      </c>
      <c r="H228">
        <v>110.92031900000001</v>
      </c>
      <c r="I228">
        <v>111.764</v>
      </c>
      <c r="J228">
        <v>112.631927</v>
      </c>
      <c r="K228">
        <v>113.518158</v>
      </c>
      <c r="L228">
        <v>114.414749</v>
      </c>
      <c r="M228">
        <v>115.321617</v>
      </c>
      <c r="N228">
        <v>116.234444</v>
      </c>
      <c r="O228">
        <v>117.153931</v>
      </c>
      <c r="P228">
        <v>118.081596</v>
      </c>
      <c r="Q228">
        <v>119.015587</v>
      </c>
      <c r="R228">
        <v>119.956406</v>
      </c>
      <c r="S228">
        <v>120.90392300000001</v>
      </c>
      <c r="T228">
        <v>121.85755899999999</v>
      </c>
      <c r="U228">
        <v>122.818375</v>
      </c>
      <c r="V228">
        <v>123.786362</v>
      </c>
      <c r="W228">
        <v>124.761909</v>
      </c>
      <c r="X228">
        <v>125.743607</v>
      </c>
      <c r="Y228">
        <v>126.732979</v>
      </c>
      <c r="Z228">
        <v>127.73039199999999</v>
      </c>
      <c r="AA228">
        <v>128.735062</v>
      </c>
      <c r="AB228">
        <v>129.74719200000001</v>
      </c>
      <c r="AC228">
        <v>130.76473999999999</v>
      </c>
      <c r="AD228">
        <v>131.78872699999999</v>
      </c>
      <c r="AE228">
        <v>132.820526</v>
      </c>
      <c r="AF228">
        <v>133.859634</v>
      </c>
      <c r="AG228" s="22">
        <v>8.0000000000000002E-3</v>
      </c>
    </row>
    <row r="229" spans="1:33">
      <c r="A229" t="s">
        <v>219</v>
      </c>
      <c r="B229" t="s">
        <v>2475</v>
      </c>
      <c r="C229" t="s">
        <v>2474</v>
      </c>
      <c r="D229" t="s">
        <v>232</v>
      </c>
      <c r="F229">
        <v>56.717154999999998</v>
      </c>
      <c r="G229">
        <v>57.286265999999998</v>
      </c>
      <c r="H229">
        <v>57.803204000000001</v>
      </c>
      <c r="I229">
        <v>58.329791999999998</v>
      </c>
      <c r="J229">
        <v>58.876694000000001</v>
      </c>
      <c r="K229">
        <v>59.428897999999997</v>
      </c>
      <c r="L229">
        <v>59.990425000000002</v>
      </c>
      <c r="M229">
        <v>60.563065000000002</v>
      </c>
      <c r="N229">
        <v>61.135212000000003</v>
      </c>
      <c r="O229">
        <v>61.708534</v>
      </c>
      <c r="P229">
        <v>62.287376000000002</v>
      </c>
      <c r="Q229">
        <v>62.866298999999998</v>
      </c>
      <c r="R229">
        <v>63.446990999999997</v>
      </c>
      <c r="S229">
        <v>64.028892999999997</v>
      </c>
      <c r="T229">
        <v>64.611305000000002</v>
      </c>
      <c r="U229">
        <v>65.197411000000002</v>
      </c>
      <c r="V229">
        <v>65.786652000000004</v>
      </c>
      <c r="W229">
        <v>66.379669000000007</v>
      </c>
      <c r="X229">
        <v>66.971976999999995</v>
      </c>
      <c r="Y229">
        <v>67.568718000000004</v>
      </c>
      <c r="Z229">
        <v>68.172020000000003</v>
      </c>
      <c r="AA229">
        <v>68.779747</v>
      </c>
      <c r="AB229">
        <v>69.391486999999998</v>
      </c>
      <c r="AC229">
        <v>69.999465999999998</v>
      </c>
      <c r="AD229">
        <v>70.607628000000005</v>
      </c>
      <c r="AE229">
        <v>71.220978000000002</v>
      </c>
      <c r="AF229">
        <v>71.837661999999995</v>
      </c>
      <c r="AG229" s="22">
        <v>8.9999999999999993E-3</v>
      </c>
    </row>
    <row r="230" spans="1:33">
      <c r="A230" t="s">
        <v>222</v>
      </c>
      <c r="B230" t="s">
        <v>2473</v>
      </c>
      <c r="C230" t="s">
        <v>2472</v>
      </c>
      <c r="D230" t="s">
        <v>232</v>
      </c>
      <c r="F230">
        <v>93.093322999999998</v>
      </c>
      <c r="G230">
        <v>93.573386999999997</v>
      </c>
      <c r="H230">
        <v>94.286040999999997</v>
      </c>
      <c r="I230">
        <v>95.031470999999996</v>
      </c>
      <c r="J230">
        <v>95.802582000000001</v>
      </c>
      <c r="K230">
        <v>96.587104999999994</v>
      </c>
      <c r="L230">
        <v>97.381630000000001</v>
      </c>
      <c r="M230">
        <v>98.186217999999997</v>
      </c>
      <c r="N230">
        <v>98.994202000000001</v>
      </c>
      <c r="O230">
        <v>99.807013999999995</v>
      </c>
      <c r="P230">
        <v>100.627037</v>
      </c>
      <c r="Q230">
        <v>101.45137</v>
      </c>
      <c r="R230">
        <v>102.28190600000001</v>
      </c>
      <c r="S230">
        <v>103.117935</v>
      </c>
      <c r="T230">
        <v>103.95887</v>
      </c>
      <c r="U230">
        <v>104.806282</v>
      </c>
      <c r="V230">
        <v>105.6605</v>
      </c>
      <c r="W230">
        <v>106.521378</v>
      </c>
      <c r="X230">
        <v>107.38653600000001</v>
      </c>
      <c r="Y230">
        <v>108.25868199999999</v>
      </c>
      <c r="Z230">
        <v>109.138885</v>
      </c>
      <c r="AA230">
        <v>110.025887</v>
      </c>
      <c r="AB230">
        <v>110.91982299999999</v>
      </c>
      <c r="AC230">
        <v>111.81680299999999</v>
      </c>
      <c r="AD230">
        <v>112.719421</v>
      </c>
      <c r="AE230">
        <v>113.630379</v>
      </c>
      <c r="AF230">
        <v>114.548462</v>
      </c>
      <c r="AG230" s="22">
        <v>8.0000000000000002E-3</v>
      </c>
    </row>
    <row r="231" spans="1:33">
      <c r="A231" t="s">
        <v>223</v>
      </c>
    </row>
    <row r="232" spans="1:33">
      <c r="A232" t="s">
        <v>217</v>
      </c>
      <c r="B232" t="s">
        <v>2471</v>
      </c>
      <c r="C232" t="s">
        <v>2470</v>
      </c>
      <c r="D232" t="s">
        <v>232</v>
      </c>
      <c r="F232">
        <v>79.154808000000003</v>
      </c>
      <c r="G232">
        <v>79.771843000000004</v>
      </c>
      <c r="H232">
        <v>80.438293000000002</v>
      </c>
      <c r="I232">
        <v>81.112999000000002</v>
      </c>
      <c r="J232">
        <v>81.807982999999993</v>
      </c>
      <c r="K232">
        <v>82.490273000000002</v>
      </c>
      <c r="L232">
        <v>83.190674000000001</v>
      </c>
      <c r="M232">
        <v>83.891509999999997</v>
      </c>
      <c r="N232">
        <v>84.617844000000005</v>
      </c>
      <c r="O232">
        <v>85.351249999999993</v>
      </c>
      <c r="P232">
        <v>86.095093000000006</v>
      </c>
      <c r="Q232">
        <v>86.855057000000002</v>
      </c>
      <c r="R232">
        <v>87.620330999999993</v>
      </c>
      <c r="S232">
        <v>88.392882999999998</v>
      </c>
      <c r="T232">
        <v>89.173385999999994</v>
      </c>
      <c r="U232">
        <v>89.948334000000003</v>
      </c>
      <c r="V232">
        <v>90.728012000000007</v>
      </c>
      <c r="W232">
        <v>91.508797000000001</v>
      </c>
      <c r="X232">
        <v>92.295364000000006</v>
      </c>
      <c r="Y232">
        <v>93.080223000000004</v>
      </c>
      <c r="Z232">
        <v>93.865844999999993</v>
      </c>
      <c r="AA232">
        <v>94.651488999999998</v>
      </c>
      <c r="AB232">
        <v>95.432175000000001</v>
      </c>
      <c r="AC232">
        <v>96.219948000000002</v>
      </c>
      <c r="AD232">
        <v>97.005950999999996</v>
      </c>
      <c r="AE232">
        <v>97.78434</v>
      </c>
      <c r="AF232">
        <v>98.564209000000005</v>
      </c>
      <c r="AG232" s="22">
        <v>8.0000000000000002E-3</v>
      </c>
    </row>
    <row r="233" spans="1:33">
      <c r="A233" t="s">
        <v>218</v>
      </c>
      <c r="B233" t="s">
        <v>2469</v>
      </c>
      <c r="C233" t="s">
        <v>2468</v>
      </c>
      <c r="D233" t="s">
        <v>232</v>
      </c>
      <c r="F233">
        <v>100.587761</v>
      </c>
      <c r="G233">
        <v>101.02362100000001</v>
      </c>
      <c r="H233">
        <v>101.77909099999999</v>
      </c>
      <c r="I233">
        <v>102.517769</v>
      </c>
      <c r="J233">
        <v>103.25535600000001</v>
      </c>
      <c r="K233">
        <v>104.000435</v>
      </c>
      <c r="L233">
        <v>104.721962</v>
      </c>
      <c r="M233">
        <v>105.486679</v>
      </c>
      <c r="N233">
        <v>106.35189800000001</v>
      </c>
      <c r="O233">
        <v>107.231514</v>
      </c>
      <c r="P233">
        <v>108.079819</v>
      </c>
      <c r="Q233">
        <v>108.904701</v>
      </c>
      <c r="R233">
        <v>109.722588</v>
      </c>
      <c r="S233">
        <v>110.514717</v>
      </c>
      <c r="T233">
        <v>111.355476</v>
      </c>
      <c r="U233">
        <v>112.184769</v>
      </c>
      <c r="V233">
        <v>113.041389</v>
      </c>
      <c r="W233">
        <v>113.920868</v>
      </c>
      <c r="X233">
        <v>114.879181</v>
      </c>
      <c r="Y233">
        <v>115.82804899999999</v>
      </c>
      <c r="Z233">
        <v>116.770988</v>
      </c>
      <c r="AA233">
        <v>117.728554</v>
      </c>
      <c r="AB233">
        <v>118.704292</v>
      </c>
      <c r="AC233">
        <v>119.69663199999999</v>
      </c>
      <c r="AD233">
        <v>120.70504800000001</v>
      </c>
      <c r="AE233">
        <v>121.71122</v>
      </c>
      <c r="AF233">
        <v>122.70468099999999</v>
      </c>
      <c r="AG233" s="22">
        <v>8.0000000000000002E-3</v>
      </c>
    </row>
    <row r="234" spans="1:33">
      <c r="A234" t="s">
        <v>219</v>
      </c>
      <c r="B234" t="s">
        <v>2467</v>
      </c>
      <c r="C234" t="s">
        <v>2466</v>
      </c>
      <c r="D234" t="s">
        <v>232</v>
      </c>
      <c r="F234">
        <v>54.161754999999999</v>
      </c>
      <c r="G234">
        <v>54.555252000000003</v>
      </c>
      <c r="H234">
        <v>54.898482999999999</v>
      </c>
      <c r="I234">
        <v>55.251460999999999</v>
      </c>
      <c r="J234">
        <v>55.621966999999998</v>
      </c>
      <c r="K234">
        <v>55.991557999999998</v>
      </c>
      <c r="L234">
        <v>56.369307999999997</v>
      </c>
      <c r="M234">
        <v>56.760151</v>
      </c>
      <c r="N234">
        <v>57.197288999999998</v>
      </c>
      <c r="O234">
        <v>57.616149999999998</v>
      </c>
      <c r="P234">
        <v>58.040951</v>
      </c>
      <c r="Q234">
        <v>58.468879999999999</v>
      </c>
      <c r="R234">
        <v>58.898578999999998</v>
      </c>
      <c r="S234">
        <v>59.337757000000003</v>
      </c>
      <c r="T234">
        <v>59.783493</v>
      </c>
      <c r="U234">
        <v>60.228088</v>
      </c>
      <c r="V234">
        <v>60.680472999999999</v>
      </c>
      <c r="W234">
        <v>61.14217</v>
      </c>
      <c r="X234">
        <v>61.633167</v>
      </c>
      <c r="Y234">
        <v>62.113590000000002</v>
      </c>
      <c r="Z234">
        <v>62.600262000000001</v>
      </c>
      <c r="AA234">
        <v>63.093299999999999</v>
      </c>
      <c r="AB234">
        <v>63.591670999999998</v>
      </c>
      <c r="AC234">
        <v>64.088607999999994</v>
      </c>
      <c r="AD234">
        <v>64.588211000000001</v>
      </c>
      <c r="AE234">
        <v>65.090714000000006</v>
      </c>
      <c r="AF234">
        <v>65.599288999999999</v>
      </c>
      <c r="AG234" s="22">
        <v>7.0000000000000001E-3</v>
      </c>
    </row>
    <row r="235" spans="1:33">
      <c r="A235" t="s">
        <v>222</v>
      </c>
      <c r="B235" t="s">
        <v>2465</v>
      </c>
      <c r="C235" t="s">
        <v>2464</v>
      </c>
      <c r="D235" t="s">
        <v>232</v>
      </c>
      <c r="F235">
        <v>85.368492000000003</v>
      </c>
      <c r="G235">
        <v>85.782234000000003</v>
      </c>
      <c r="H235">
        <v>86.453063999999998</v>
      </c>
      <c r="I235">
        <v>87.127350000000007</v>
      </c>
      <c r="J235">
        <v>87.815926000000005</v>
      </c>
      <c r="K235">
        <v>88.497085999999996</v>
      </c>
      <c r="L235">
        <v>89.183655000000002</v>
      </c>
      <c r="M235">
        <v>89.886848000000001</v>
      </c>
      <c r="N235">
        <v>90.639893000000001</v>
      </c>
      <c r="O235">
        <v>91.399001999999996</v>
      </c>
      <c r="P235">
        <v>92.155806999999996</v>
      </c>
      <c r="Q235">
        <v>92.914574000000002</v>
      </c>
      <c r="R235">
        <v>93.675323000000006</v>
      </c>
      <c r="S235">
        <v>94.433295999999999</v>
      </c>
      <c r="T235">
        <v>95.211731</v>
      </c>
      <c r="U235">
        <v>95.983520999999996</v>
      </c>
      <c r="V235">
        <v>96.768569999999997</v>
      </c>
      <c r="W235">
        <v>97.563377000000003</v>
      </c>
      <c r="X235">
        <v>98.389313000000001</v>
      </c>
      <c r="Y235">
        <v>99.21096</v>
      </c>
      <c r="Z235">
        <v>100.03321099999999</v>
      </c>
      <c r="AA235">
        <v>100.86144299999999</v>
      </c>
      <c r="AB235">
        <v>101.69375599999999</v>
      </c>
      <c r="AC235">
        <v>102.534424</v>
      </c>
      <c r="AD235">
        <v>103.379761</v>
      </c>
      <c r="AE235">
        <v>104.22199999999999</v>
      </c>
      <c r="AF235">
        <v>105.063164</v>
      </c>
      <c r="AG235" s="22">
        <v>8.0000000000000002E-3</v>
      </c>
    </row>
    <row r="236" spans="1:33">
      <c r="A236" t="s">
        <v>110</v>
      </c>
    </row>
    <row r="237" spans="1:33">
      <c r="A237" t="s">
        <v>224</v>
      </c>
    </row>
    <row r="238" spans="1:33">
      <c r="A238" t="s">
        <v>211</v>
      </c>
      <c r="B238" t="s">
        <v>2463</v>
      </c>
      <c r="C238" t="s">
        <v>2462</v>
      </c>
      <c r="D238" t="s">
        <v>201</v>
      </c>
      <c r="F238">
        <v>3245.922607</v>
      </c>
      <c r="G238">
        <v>3239.6389159999999</v>
      </c>
      <c r="H238">
        <v>3266.3591310000002</v>
      </c>
      <c r="I238">
        <v>3301.492432</v>
      </c>
      <c r="J238">
        <v>3328.8823240000002</v>
      </c>
      <c r="K238">
        <v>3361.1733399999998</v>
      </c>
      <c r="L238">
        <v>3389.1999510000001</v>
      </c>
      <c r="M238">
        <v>3408.5810550000001</v>
      </c>
      <c r="N238">
        <v>3432.2368160000001</v>
      </c>
      <c r="O238">
        <v>3456.9389649999998</v>
      </c>
      <c r="P238">
        <v>3480.8808589999999</v>
      </c>
      <c r="Q238">
        <v>3511.6606449999999</v>
      </c>
      <c r="R238">
        <v>3545.1933589999999</v>
      </c>
      <c r="S238">
        <v>3584.7944339999999</v>
      </c>
      <c r="T238">
        <v>3627.2595209999999</v>
      </c>
      <c r="U238">
        <v>3670.78125</v>
      </c>
      <c r="V238">
        <v>3713.5908199999999</v>
      </c>
      <c r="W238">
        <v>3754.086182</v>
      </c>
      <c r="X238">
        <v>3799.3286130000001</v>
      </c>
      <c r="Y238">
        <v>3841.6186520000001</v>
      </c>
      <c r="Z238">
        <v>3878.8190920000002</v>
      </c>
      <c r="AA238">
        <v>3914.5507809999999</v>
      </c>
      <c r="AB238">
        <v>3947.8647460000002</v>
      </c>
      <c r="AC238">
        <v>3988.7727049999999</v>
      </c>
      <c r="AD238">
        <v>4032.7719729999999</v>
      </c>
      <c r="AE238">
        <v>4072.156982</v>
      </c>
      <c r="AF238">
        <v>4111.1528319999998</v>
      </c>
      <c r="AG238" s="22">
        <v>8.9999999999999993E-3</v>
      </c>
    </row>
    <row r="239" spans="1:33">
      <c r="A239" t="s">
        <v>212</v>
      </c>
      <c r="B239" t="s">
        <v>2461</v>
      </c>
      <c r="C239" t="s">
        <v>2460</v>
      </c>
      <c r="D239" t="s">
        <v>201</v>
      </c>
      <c r="F239">
        <v>301.93463100000002</v>
      </c>
      <c r="G239">
        <v>298.38326999999998</v>
      </c>
      <c r="H239">
        <v>299.271545</v>
      </c>
      <c r="I239">
        <v>301.51873799999998</v>
      </c>
      <c r="J239">
        <v>304.85089099999999</v>
      </c>
      <c r="K239">
        <v>308.55502300000001</v>
      </c>
      <c r="L239">
        <v>312.18029799999999</v>
      </c>
      <c r="M239">
        <v>315.649719</v>
      </c>
      <c r="N239">
        <v>319.09637500000002</v>
      </c>
      <c r="O239">
        <v>322.74539199999998</v>
      </c>
      <c r="P239">
        <v>326.61593599999998</v>
      </c>
      <c r="Q239">
        <v>330.41656499999999</v>
      </c>
      <c r="R239">
        <v>334.43652300000002</v>
      </c>
      <c r="S239">
        <v>338.42804000000001</v>
      </c>
      <c r="T239">
        <v>342.51989700000001</v>
      </c>
      <c r="U239">
        <v>346.55685399999999</v>
      </c>
      <c r="V239">
        <v>350.66433699999999</v>
      </c>
      <c r="W239">
        <v>354.769836</v>
      </c>
      <c r="X239">
        <v>358.72927900000002</v>
      </c>
      <c r="Y239">
        <v>362.77700800000002</v>
      </c>
      <c r="Z239">
        <v>366.86233499999997</v>
      </c>
      <c r="AA239">
        <v>370.94802900000002</v>
      </c>
      <c r="AB239">
        <v>375.197113</v>
      </c>
      <c r="AC239">
        <v>379.38452100000001</v>
      </c>
      <c r="AD239">
        <v>383.59240699999998</v>
      </c>
      <c r="AE239">
        <v>387.83801299999999</v>
      </c>
      <c r="AF239">
        <v>392.09158300000001</v>
      </c>
      <c r="AG239" s="22">
        <v>0.01</v>
      </c>
    </row>
    <row r="240" spans="1:33">
      <c r="A240" t="s">
        <v>2459</v>
      </c>
      <c r="B240" t="s">
        <v>2458</v>
      </c>
      <c r="C240" t="s">
        <v>2457</v>
      </c>
      <c r="D240" t="s">
        <v>201</v>
      </c>
      <c r="F240">
        <v>200.25547800000001</v>
      </c>
      <c r="G240">
        <v>206.31205700000001</v>
      </c>
      <c r="H240">
        <v>213.24281300000001</v>
      </c>
      <c r="I240">
        <v>219.86404400000001</v>
      </c>
      <c r="J240">
        <v>226.42073099999999</v>
      </c>
      <c r="K240">
        <v>232.913467</v>
      </c>
      <c r="L240">
        <v>239.340912</v>
      </c>
      <c r="M240">
        <v>245.88914500000001</v>
      </c>
      <c r="N240">
        <v>252.29582199999999</v>
      </c>
      <c r="O240">
        <v>258.88757299999997</v>
      </c>
      <c r="P240">
        <v>265.49383499999999</v>
      </c>
      <c r="Q240">
        <v>272.09726000000001</v>
      </c>
      <c r="R240">
        <v>278.80023199999999</v>
      </c>
      <c r="S240">
        <v>285.50851399999999</v>
      </c>
      <c r="T240">
        <v>292.22985799999998</v>
      </c>
      <c r="U240">
        <v>299.04528800000003</v>
      </c>
      <c r="V240">
        <v>305.78128099999998</v>
      </c>
      <c r="W240">
        <v>312.38360599999999</v>
      </c>
      <c r="X240">
        <v>318.94003300000003</v>
      </c>
      <c r="Y240">
        <v>325.79489100000001</v>
      </c>
      <c r="Z240">
        <v>332.66461199999998</v>
      </c>
      <c r="AA240">
        <v>339.56817599999999</v>
      </c>
      <c r="AB240">
        <v>346.563446</v>
      </c>
      <c r="AC240">
        <v>353.472015</v>
      </c>
      <c r="AD240">
        <v>360.438873</v>
      </c>
      <c r="AE240">
        <v>367.55447400000003</v>
      </c>
      <c r="AF240">
        <v>374.74963400000001</v>
      </c>
      <c r="AG240" s="22">
        <v>2.4E-2</v>
      </c>
    </row>
    <row r="241" spans="1:33">
      <c r="A241" t="s">
        <v>2456</v>
      </c>
      <c r="B241" t="s">
        <v>2455</v>
      </c>
      <c r="C241" t="s">
        <v>2454</v>
      </c>
      <c r="D241" t="s">
        <v>201</v>
      </c>
      <c r="F241">
        <v>3043.0048830000001</v>
      </c>
      <c r="G241">
        <v>3020.805664</v>
      </c>
      <c r="H241">
        <v>3057.405518</v>
      </c>
      <c r="I241">
        <v>3109.53125</v>
      </c>
      <c r="J241">
        <v>3161.561279</v>
      </c>
      <c r="K241">
        <v>3210.5981449999999</v>
      </c>
      <c r="L241">
        <v>3259.5766600000002</v>
      </c>
      <c r="M241">
        <v>3305.7126459999999</v>
      </c>
      <c r="N241">
        <v>3348.4140619999998</v>
      </c>
      <c r="O241">
        <v>3392.257568</v>
      </c>
      <c r="P241">
        <v>3434.8867190000001</v>
      </c>
      <c r="Q241">
        <v>3478.2294919999999</v>
      </c>
      <c r="R241">
        <v>3521.5908199999999</v>
      </c>
      <c r="S241">
        <v>3564.7382809999999</v>
      </c>
      <c r="T241">
        <v>3605.8786620000001</v>
      </c>
      <c r="U241">
        <v>3647.8090820000002</v>
      </c>
      <c r="V241">
        <v>3689.2788089999999</v>
      </c>
      <c r="W241">
        <v>3730.6933589999999</v>
      </c>
      <c r="X241">
        <v>3770.0378420000002</v>
      </c>
      <c r="Y241">
        <v>3811.586182</v>
      </c>
      <c r="Z241">
        <v>3852.8125</v>
      </c>
      <c r="AA241">
        <v>3893.5673830000001</v>
      </c>
      <c r="AB241">
        <v>3934.1342770000001</v>
      </c>
      <c r="AC241">
        <v>3974.3078609999998</v>
      </c>
      <c r="AD241">
        <v>4014.044922</v>
      </c>
      <c r="AE241">
        <v>4054.3715820000002</v>
      </c>
      <c r="AF241">
        <v>4094.8383789999998</v>
      </c>
      <c r="AG241" s="22">
        <v>1.0999999999999999E-2</v>
      </c>
    </row>
    <row r="242" spans="1:33">
      <c r="A242" t="s">
        <v>1262</v>
      </c>
      <c r="B242" t="s">
        <v>2453</v>
      </c>
      <c r="C242" t="s">
        <v>2452</v>
      </c>
      <c r="D242" t="s">
        <v>201</v>
      </c>
      <c r="F242">
        <v>480.13494900000001</v>
      </c>
      <c r="G242">
        <v>456.26440400000001</v>
      </c>
      <c r="H242">
        <v>453.54144300000002</v>
      </c>
      <c r="I242">
        <v>454.43240400000002</v>
      </c>
      <c r="J242">
        <v>454.86541699999998</v>
      </c>
      <c r="K242">
        <v>454.86837800000001</v>
      </c>
      <c r="L242">
        <v>454.34204099999999</v>
      </c>
      <c r="M242">
        <v>453.21655299999998</v>
      </c>
      <c r="N242">
        <v>451.301849</v>
      </c>
      <c r="O242">
        <v>449.37066700000003</v>
      </c>
      <c r="P242">
        <v>447.239441</v>
      </c>
      <c r="Q242">
        <v>444.629211</v>
      </c>
      <c r="R242">
        <v>441.69595299999997</v>
      </c>
      <c r="S242">
        <v>438.49426299999999</v>
      </c>
      <c r="T242">
        <v>435.04016100000001</v>
      </c>
      <c r="U242">
        <v>431.479401</v>
      </c>
      <c r="V242">
        <v>427.79974399999998</v>
      </c>
      <c r="W242">
        <v>424.13861100000003</v>
      </c>
      <c r="X242">
        <v>419.77838100000002</v>
      </c>
      <c r="Y242">
        <v>415.70483400000001</v>
      </c>
      <c r="Z242">
        <v>411.95562699999999</v>
      </c>
      <c r="AA242">
        <v>408.33340500000003</v>
      </c>
      <c r="AB242">
        <v>404.91198700000001</v>
      </c>
      <c r="AC242">
        <v>401.60730000000001</v>
      </c>
      <c r="AD242">
        <v>398.39456200000001</v>
      </c>
      <c r="AE242">
        <v>395.29797400000001</v>
      </c>
      <c r="AF242">
        <v>392.39202899999998</v>
      </c>
      <c r="AG242" s="22">
        <v>-8.0000000000000002E-3</v>
      </c>
    </row>
    <row r="243" spans="1:33">
      <c r="A243" t="s">
        <v>1265</v>
      </c>
      <c r="B243" t="s">
        <v>2451</v>
      </c>
      <c r="C243" t="s">
        <v>2450</v>
      </c>
      <c r="D243" t="s">
        <v>201</v>
      </c>
      <c r="F243">
        <v>382.79070999999999</v>
      </c>
      <c r="G243">
        <v>367.478973</v>
      </c>
      <c r="H243">
        <v>374.04580700000002</v>
      </c>
      <c r="I243">
        <v>382.21862800000002</v>
      </c>
      <c r="J243">
        <v>390.69689899999997</v>
      </c>
      <c r="K243">
        <v>399.03411899999998</v>
      </c>
      <c r="L243">
        <v>407.00344799999999</v>
      </c>
      <c r="M243">
        <v>415.03298999999998</v>
      </c>
      <c r="N243">
        <v>422.06829800000003</v>
      </c>
      <c r="O243">
        <v>429.66296399999999</v>
      </c>
      <c r="P243">
        <v>437.28402699999998</v>
      </c>
      <c r="Q243">
        <v>444.58117700000003</v>
      </c>
      <c r="R243">
        <v>451.76855499999999</v>
      </c>
      <c r="S243">
        <v>458.818939</v>
      </c>
      <c r="T243">
        <v>465.70883199999997</v>
      </c>
      <c r="U243">
        <v>472.61602800000003</v>
      </c>
      <c r="V243">
        <v>479.37429800000001</v>
      </c>
      <c r="W243">
        <v>486.20922899999999</v>
      </c>
      <c r="X243">
        <v>492.392426</v>
      </c>
      <c r="Y243">
        <v>499.10794099999998</v>
      </c>
      <c r="Z243">
        <v>505.92358400000001</v>
      </c>
      <c r="AA243">
        <v>512.34362799999997</v>
      </c>
      <c r="AB243">
        <v>518.73181199999999</v>
      </c>
      <c r="AC243">
        <v>525.14953600000001</v>
      </c>
      <c r="AD243">
        <v>531.59405500000003</v>
      </c>
      <c r="AE243">
        <v>538.12072799999999</v>
      </c>
      <c r="AF243">
        <v>544.63562000000002</v>
      </c>
      <c r="AG243" s="22">
        <v>1.4E-2</v>
      </c>
    </row>
    <row r="244" spans="1:33">
      <c r="A244" t="s">
        <v>1268</v>
      </c>
      <c r="B244" t="s">
        <v>2449</v>
      </c>
      <c r="C244" t="s">
        <v>2448</v>
      </c>
      <c r="D244" t="s">
        <v>201</v>
      </c>
      <c r="F244">
        <v>300.27444500000001</v>
      </c>
      <c r="G244">
        <v>301.39428700000002</v>
      </c>
      <c r="H244">
        <v>311.22268700000001</v>
      </c>
      <c r="I244">
        <v>320.54577599999999</v>
      </c>
      <c r="J244">
        <v>329.50427200000001</v>
      </c>
      <c r="K244">
        <v>338.32525600000002</v>
      </c>
      <c r="L244">
        <v>347.14086900000001</v>
      </c>
      <c r="M244">
        <v>355.41204800000003</v>
      </c>
      <c r="N244">
        <v>362.48715199999998</v>
      </c>
      <c r="O244">
        <v>369.36651599999999</v>
      </c>
      <c r="P244">
        <v>376.03573599999999</v>
      </c>
      <c r="Q244">
        <v>382.38717700000001</v>
      </c>
      <c r="R244">
        <v>388.45660400000003</v>
      </c>
      <c r="S244">
        <v>394.05862400000001</v>
      </c>
      <c r="T244">
        <v>399.26763899999997</v>
      </c>
      <c r="U244">
        <v>403.894226</v>
      </c>
      <c r="V244">
        <v>408.55993699999999</v>
      </c>
      <c r="W244">
        <v>413.01812699999999</v>
      </c>
      <c r="X244">
        <v>417.22808800000001</v>
      </c>
      <c r="Y244">
        <v>420.56918300000001</v>
      </c>
      <c r="Z244">
        <v>423.33889799999997</v>
      </c>
      <c r="AA244">
        <v>424.89868200000001</v>
      </c>
      <c r="AB244">
        <v>425.86792000000003</v>
      </c>
      <c r="AC244">
        <v>426.08840900000001</v>
      </c>
      <c r="AD244">
        <v>426.33770800000002</v>
      </c>
      <c r="AE244">
        <v>426.611786</v>
      </c>
      <c r="AF244">
        <v>427.18164100000001</v>
      </c>
      <c r="AG244" s="22">
        <v>1.4E-2</v>
      </c>
    </row>
    <row r="245" spans="1:33">
      <c r="A245" t="s">
        <v>1271</v>
      </c>
      <c r="B245" t="s">
        <v>2447</v>
      </c>
      <c r="C245" t="s">
        <v>2446</v>
      </c>
      <c r="D245" t="s">
        <v>201</v>
      </c>
      <c r="F245">
        <v>320.448395</v>
      </c>
      <c r="G245">
        <v>352.58590700000002</v>
      </c>
      <c r="H245">
        <v>385.32617199999999</v>
      </c>
      <c r="I245">
        <v>404.006775</v>
      </c>
      <c r="J245">
        <v>415.66113300000001</v>
      </c>
      <c r="K245">
        <v>419.37515300000001</v>
      </c>
      <c r="L245">
        <v>422.94793700000002</v>
      </c>
      <c r="M245">
        <v>426.56664999999998</v>
      </c>
      <c r="N245">
        <v>430.124146</v>
      </c>
      <c r="O245">
        <v>433.466095</v>
      </c>
      <c r="P245">
        <v>436.94744900000001</v>
      </c>
      <c r="Q245">
        <v>440.44592299999999</v>
      </c>
      <c r="R245">
        <v>443.85467499999999</v>
      </c>
      <c r="S245">
        <v>447.152649</v>
      </c>
      <c r="T245">
        <v>450.47842400000002</v>
      </c>
      <c r="U245">
        <v>453.73135400000001</v>
      </c>
      <c r="V245">
        <v>456.90475500000002</v>
      </c>
      <c r="W245">
        <v>460.536316</v>
      </c>
      <c r="X245">
        <v>464.31402600000001</v>
      </c>
      <c r="Y245">
        <v>467.895691</v>
      </c>
      <c r="Z245">
        <v>471.45575000000002</v>
      </c>
      <c r="AA245">
        <v>474.961884</v>
      </c>
      <c r="AB245">
        <v>478.59027099999997</v>
      </c>
      <c r="AC245">
        <v>482.36004600000001</v>
      </c>
      <c r="AD245">
        <v>486.05712899999997</v>
      </c>
      <c r="AE245">
        <v>489.58743299999998</v>
      </c>
      <c r="AF245">
        <v>493.038025</v>
      </c>
      <c r="AG245" s="22">
        <v>1.7000000000000001E-2</v>
      </c>
    </row>
    <row r="246" spans="1:33">
      <c r="A246" t="s">
        <v>2445</v>
      </c>
      <c r="B246" t="s">
        <v>2444</v>
      </c>
      <c r="C246" t="s">
        <v>2443</v>
      </c>
      <c r="D246" t="s">
        <v>201</v>
      </c>
      <c r="F246">
        <v>91.721794000000003</v>
      </c>
      <c r="G246">
        <v>90.984200000000001</v>
      </c>
      <c r="H246">
        <v>91.279724000000002</v>
      </c>
      <c r="I246">
        <v>92.775475</v>
      </c>
      <c r="J246">
        <v>95.825744999999998</v>
      </c>
      <c r="K246">
        <v>97.860725000000002</v>
      </c>
      <c r="L246">
        <v>99.909362999999999</v>
      </c>
      <c r="M246">
        <v>101.938118</v>
      </c>
      <c r="N246">
        <v>103.935738</v>
      </c>
      <c r="O246">
        <v>106.085587</v>
      </c>
      <c r="P246">
        <v>108.32914700000001</v>
      </c>
      <c r="Q246">
        <v>110.633926</v>
      </c>
      <c r="R246">
        <v>113.053543</v>
      </c>
      <c r="S246">
        <v>115.512184</v>
      </c>
      <c r="T246">
        <v>118.030922</v>
      </c>
      <c r="U246">
        <v>120.61142</v>
      </c>
      <c r="V246">
        <v>123.227142</v>
      </c>
      <c r="W246">
        <v>125.853607</v>
      </c>
      <c r="X246">
        <v>128.47302199999999</v>
      </c>
      <c r="Y246">
        <v>131.21371500000001</v>
      </c>
      <c r="Z246">
        <v>134.027512</v>
      </c>
      <c r="AA246">
        <v>136.880707</v>
      </c>
      <c r="AB246">
        <v>139.771637</v>
      </c>
      <c r="AC246">
        <v>142.684631</v>
      </c>
      <c r="AD246">
        <v>145.63426200000001</v>
      </c>
      <c r="AE246">
        <v>148.630493</v>
      </c>
      <c r="AF246">
        <v>151.67013499999999</v>
      </c>
      <c r="AG246" s="22">
        <v>0.02</v>
      </c>
    </row>
    <row r="247" spans="1:33">
      <c r="A247" t="s">
        <v>214</v>
      </c>
      <c r="B247" t="s">
        <v>2442</v>
      </c>
      <c r="C247" t="s">
        <v>2441</v>
      </c>
      <c r="D247" t="s">
        <v>201</v>
      </c>
      <c r="F247">
        <v>1633.537476</v>
      </c>
      <c r="G247">
        <v>1653.295044</v>
      </c>
      <c r="H247">
        <v>1695.7026370000001</v>
      </c>
      <c r="I247">
        <v>1760.5928960000001</v>
      </c>
      <c r="J247">
        <v>1830.229004</v>
      </c>
      <c r="K247">
        <v>1902.3043210000001</v>
      </c>
      <c r="L247">
        <v>1976.2783199999999</v>
      </c>
      <c r="M247">
        <v>2051.4311520000001</v>
      </c>
      <c r="N247">
        <v>2127.6440429999998</v>
      </c>
      <c r="O247">
        <v>2203.2097170000002</v>
      </c>
      <c r="P247">
        <v>2280.1621089999999</v>
      </c>
      <c r="Q247">
        <v>2357.2368160000001</v>
      </c>
      <c r="R247">
        <v>2433.963135</v>
      </c>
      <c r="S247">
        <v>2510.7229000000002</v>
      </c>
      <c r="T247">
        <v>2588.2177729999999</v>
      </c>
      <c r="U247">
        <v>2666.186768</v>
      </c>
      <c r="V247">
        <v>2744.304932</v>
      </c>
      <c r="W247">
        <v>2822.4135740000002</v>
      </c>
      <c r="X247">
        <v>2900.5979000000002</v>
      </c>
      <c r="Y247">
        <v>2978.2729490000002</v>
      </c>
      <c r="Z247">
        <v>3056.2229000000002</v>
      </c>
      <c r="AA247">
        <v>3133.7583009999998</v>
      </c>
      <c r="AB247">
        <v>3210.9577640000002</v>
      </c>
      <c r="AC247">
        <v>3287.7365719999998</v>
      </c>
      <c r="AD247">
        <v>3364.3264159999999</v>
      </c>
      <c r="AE247">
        <v>3440.7729490000002</v>
      </c>
      <c r="AF247">
        <v>3516.6428219999998</v>
      </c>
      <c r="AG247" s="22">
        <v>0.03</v>
      </c>
    </row>
    <row r="248" spans="1:33">
      <c r="A248" t="s">
        <v>1279</v>
      </c>
      <c r="B248" t="s">
        <v>2440</v>
      </c>
      <c r="C248" t="s">
        <v>2439</v>
      </c>
      <c r="D248" t="s">
        <v>201</v>
      </c>
      <c r="F248">
        <v>382.85974099999999</v>
      </c>
      <c r="G248">
        <v>394.98318499999999</v>
      </c>
      <c r="H248">
        <v>419.40997299999998</v>
      </c>
      <c r="I248">
        <v>448.65982100000002</v>
      </c>
      <c r="J248">
        <v>479.18173200000001</v>
      </c>
      <c r="K248">
        <v>510.86270100000002</v>
      </c>
      <c r="L248">
        <v>543.667419</v>
      </c>
      <c r="M248">
        <v>577.29711899999995</v>
      </c>
      <c r="N248">
        <v>611.03546100000005</v>
      </c>
      <c r="O248">
        <v>645.30810499999995</v>
      </c>
      <c r="P248">
        <v>679.72686799999997</v>
      </c>
      <c r="Q248">
        <v>714.11108400000001</v>
      </c>
      <c r="R248">
        <v>748.05841099999998</v>
      </c>
      <c r="S248">
        <v>781.97875999999997</v>
      </c>
      <c r="T248">
        <v>815.683716</v>
      </c>
      <c r="U248">
        <v>849.30200200000002</v>
      </c>
      <c r="V248">
        <v>883.08673099999999</v>
      </c>
      <c r="W248">
        <v>916.71710199999995</v>
      </c>
      <c r="X248">
        <v>950.02655000000004</v>
      </c>
      <c r="Y248">
        <v>983.30926499999998</v>
      </c>
      <c r="Z248">
        <v>1016.475647</v>
      </c>
      <c r="AA248">
        <v>1049.877686</v>
      </c>
      <c r="AB248">
        <v>1082.8088379999999</v>
      </c>
      <c r="AC248">
        <v>1115.4536129999999</v>
      </c>
      <c r="AD248">
        <v>1147.739014</v>
      </c>
      <c r="AE248">
        <v>1180.0836179999999</v>
      </c>
      <c r="AF248">
        <v>1212.037476</v>
      </c>
      <c r="AG248" s="22">
        <v>4.4999999999999998E-2</v>
      </c>
    </row>
    <row r="249" spans="1:33">
      <c r="A249" t="s">
        <v>2438</v>
      </c>
      <c r="B249" t="s">
        <v>2437</v>
      </c>
      <c r="C249" t="s">
        <v>2436</v>
      </c>
      <c r="D249" t="s">
        <v>201</v>
      </c>
      <c r="F249">
        <v>1534.7301030000001</v>
      </c>
      <c r="G249">
        <v>1582.5083010000001</v>
      </c>
      <c r="H249">
        <v>1624.4848629999999</v>
      </c>
      <c r="I249">
        <v>1677.3763429999999</v>
      </c>
      <c r="J249">
        <v>1732.169189</v>
      </c>
      <c r="K249">
        <v>1787.8283690000001</v>
      </c>
      <c r="L249">
        <v>1843.147095</v>
      </c>
      <c r="M249">
        <v>1898.805908</v>
      </c>
      <c r="N249">
        <v>1954.644775</v>
      </c>
      <c r="O249">
        <v>2008.8138429999999</v>
      </c>
      <c r="P249">
        <v>2063.8891600000002</v>
      </c>
      <c r="Q249">
        <v>2118.9765619999998</v>
      </c>
      <c r="R249">
        <v>2173.6796880000002</v>
      </c>
      <c r="S249">
        <v>2228.0683589999999</v>
      </c>
      <c r="T249">
        <v>2282.3820799999999</v>
      </c>
      <c r="U249">
        <v>2337.336182</v>
      </c>
      <c r="V249">
        <v>2392.6115719999998</v>
      </c>
      <c r="W249">
        <v>2448.124268</v>
      </c>
      <c r="X249">
        <v>2503.8808589999999</v>
      </c>
      <c r="Y249">
        <v>2559.142578</v>
      </c>
      <c r="Z249">
        <v>2615.7634280000002</v>
      </c>
      <c r="AA249">
        <v>2672.7446289999998</v>
      </c>
      <c r="AB249">
        <v>2730.2973630000001</v>
      </c>
      <c r="AC249">
        <v>2787.7775879999999</v>
      </c>
      <c r="AD249">
        <v>2845.5749510000001</v>
      </c>
      <c r="AE249">
        <v>2904.2067870000001</v>
      </c>
      <c r="AF249">
        <v>2963.5561520000001</v>
      </c>
      <c r="AG249" s="22">
        <v>2.5999999999999999E-2</v>
      </c>
    </row>
    <row r="250" spans="1:33">
      <c r="A250" t="s">
        <v>1285</v>
      </c>
      <c r="B250" t="s">
        <v>2435</v>
      </c>
      <c r="C250" t="s">
        <v>2434</v>
      </c>
      <c r="D250" t="s">
        <v>201</v>
      </c>
      <c r="F250">
        <v>1017.885254</v>
      </c>
      <c r="G250">
        <v>1032.709595</v>
      </c>
      <c r="H250">
        <v>1055.0009769999999</v>
      </c>
      <c r="I250">
        <v>1077.7132570000001</v>
      </c>
      <c r="J250">
        <v>1101.622803</v>
      </c>
      <c r="K250">
        <v>1127.4716800000001</v>
      </c>
      <c r="L250">
        <v>1154.7635499999999</v>
      </c>
      <c r="M250">
        <v>1183.653687</v>
      </c>
      <c r="N250">
        <v>1213.192505</v>
      </c>
      <c r="O250">
        <v>1243.857178</v>
      </c>
      <c r="P250">
        <v>1275.3701169999999</v>
      </c>
      <c r="Q250">
        <v>1307.638672</v>
      </c>
      <c r="R250">
        <v>1340.851318</v>
      </c>
      <c r="S250">
        <v>1375.0958250000001</v>
      </c>
      <c r="T250">
        <v>1410.1007079999999</v>
      </c>
      <c r="U250">
        <v>1446.1094969999999</v>
      </c>
      <c r="V250">
        <v>1482.9975589999999</v>
      </c>
      <c r="W250">
        <v>1520.5760499999999</v>
      </c>
      <c r="X250">
        <v>1558.618164</v>
      </c>
      <c r="Y250">
        <v>1597.580078</v>
      </c>
      <c r="Z250">
        <v>1637.361328</v>
      </c>
      <c r="AA250">
        <v>1678.0042719999999</v>
      </c>
      <c r="AB250">
        <v>1719.5527340000001</v>
      </c>
      <c r="AC250">
        <v>1762.1561280000001</v>
      </c>
      <c r="AD250">
        <v>1805.8258060000001</v>
      </c>
      <c r="AE250">
        <v>1850.6820070000001</v>
      </c>
      <c r="AF250">
        <v>1896.6141359999999</v>
      </c>
      <c r="AG250" s="22">
        <v>2.4E-2</v>
      </c>
    </row>
    <row r="251" spans="1:33">
      <c r="A251" t="s">
        <v>213</v>
      </c>
      <c r="B251" t="s">
        <v>2433</v>
      </c>
      <c r="C251" t="s">
        <v>2432</v>
      </c>
      <c r="D251" t="s">
        <v>201</v>
      </c>
      <c r="F251">
        <v>433.23007200000001</v>
      </c>
      <c r="G251">
        <v>442.14627100000001</v>
      </c>
      <c r="H251">
        <v>456.05169699999999</v>
      </c>
      <c r="I251">
        <v>472.374908</v>
      </c>
      <c r="J251">
        <v>488.92956500000003</v>
      </c>
      <c r="K251">
        <v>505.752319</v>
      </c>
      <c r="L251">
        <v>523.21630900000002</v>
      </c>
      <c r="M251">
        <v>541.22247300000004</v>
      </c>
      <c r="N251">
        <v>558.83667000000003</v>
      </c>
      <c r="O251">
        <v>577.11657700000001</v>
      </c>
      <c r="P251">
        <v>595.59503199999995</v>
      </c>
      <c r="Q251">
        <v>614.35790999999995</v>
      </c>
      <c r="R251">
        <v>633.45105000000001</v>
      </c>
      <c r="S251">
        <v>653.12744099999998</v>
      </c>
      <c r="T251">
        <v>672.73345900000004</v>
      </c>
      <c r="U251">
        <v>692.59851100000003</v>
      </c>
      <c r="V251">
        <v>712.77124000000003</v>
      </c>
      <c r="W251">
        <v>733.64538600000003</v>
      </c>
      <c r="X251">
        <v>754.20343000000003</v>
      </c>
      <c r="Y251">
        <v>775.41803000000004</v>
      </c>
      <c r="Z251">
        <v>796.45855700000004</v>
      </c>
      <c r="AA251">
        <v>817.77990699999998</v>
      </c>
      <c r="AB251">
        <v>839.61499000000003</v>
      </c>
      <c r="AC251">
        <v>861.89233400000001</v>
      </c>
      <c r="AD251">
        <v>884.27856399999996</v>
      </c>
      <c r="AE251">
        <v>906.96691899999996</v>
      </c>
      <c r="AF251">
        <v>929.97485400000005</v>
      </c>
      <c r="AG251" s="22">
        <v>0.03</v>
      </c>
    </row>
    <row r="252" spans="1:33">
      <c r="A252" t="s">
        <v>1290</v>
      </c>
      <c r="B252" t="s">
        <v>2431</v>
      </c>
      <c r="C252" t="s">
        <v>2430</v>
      </c>
      <c r="D252" t="s">
        <v>201</v>
      </c>
      <c r="F252">
        <v>250.28619399999999</v>
      </c>
      <c r="G252">
        <v>246.748535</v>
      </c>
      <c r="H252">
        <v>250.055679</v>
      </c>
      <c r="I252">
        <v>253.68109100000001</v>
      </c>
      <c r="J252">
        <v>257.71285999999998</v>
      </c>
      <c r="K252">
        <v>261.70233200000001</v>
      </c>
      <c r="L252">
        <v>265.49908399999998</v>
      </c>
      <c r="M252">
        <v>268.90325899999999</v>
      </c>
      <c r="N252">
        <v>271.91006499999997</v>
      </c>
      <c r="O252">
        <v>275.108093</v>
      </c>
      <c r="P252">
        <v>278.13034099999999</v>
      </c>
      <c r="Q252">
        <v>280.99514799999997</v>
      </c>
      <c r="R252">
        <v>283.61840799999999</v>
      </c>
      <c r="S252">
        <v>286.036224</v>
      </c>
      <c r="T252">
        <v>288.17871100000002</v>
      </c>
      <c r="U252">
        <v>290.283051</v>
      </c>
      <c r="V252">
        <v>292.176422</v>
      </c>
      <c r="W252">
        <v>294.00067100000001</v>
      </c>
      <c r="X252">
        <v>295.25018299999999</v>
      </c>
      <c r="Y252">
        <v>296.62072799999999</v>
      </c>
      <c r="Z252">
        <v>297.88296500000001</v>
      </c>
      <c r="AA252">
        <v>299.08548000000002</v>
      </c>
      <c r="AB252">
        <v>299.976654</v>
      </c>
      <c r="AC252">
        <v>300.69168100000002</v>
      </c>
      <c r="AD252">
        <v>301.20129400000002</v>
      </c>
      <c r="AE252">
        <v>301.60485799999998</v>
      </c>
      <c r="AF252">
        <v>301.841431</v>
      </c>
      <c r="AG252" s="22">
        <v>7.0000000000000001E-3</v>
      </c>
    </row>
    <row r="253" spans="1:33">
      <c r="A253" t="s">
        <v>2429</v>
      </c>
      <c r="B253" t="s">
        <v>2428</v>
      </c>
      <c r="C253" t="s">
        <v>2427</v>
      </c>
      <c r="D253" t="s">
        <v>201</v>
      </c>
      <c r="F253">
        <v>413.57473800000002</v>
      </c>
      <c r="G253">
        <v>412.119843</v>
      </c>
      <c r="H253">
        <v>420.148865</v>
      </c>
      <c r="I253">
        <v>430.77752700000002</v>
      </c>
      <c r="J253">
        <v>441.33071899999999</v>
      </c>
      <c r="K253">
        <v>451.65548699999999</v>
      </c>
      <c r="L253">
        <v>461.82101399999999</v>
      </c>
      <c r="M253">
        <v>471.43310500000001</v>
      </c>
      <c r="N253">
        <v>481.25732399999998</v>
      </c>
      <c r="O253">
        <v>491.61175500000002</v>
      </c>
      <c r="P253">
        <v>501.84027099999997</v>
      </c>
      <c r="Q253">
        <v>511.77435300000002</v>
      </c>
      <c r="R253">
        <v>521.77404799999999</v>
      </c>
      <c r="S253">
        <v>531.90332000000001</v>
      </c>
      <c r="T253">
        <v>541.90625</v>
      </c>
      <c r="U253">
        <v>552.23144500000001</v>
      </c>
      <c r="V253">
        <v>562.06292699999995</v>
      </c>
      <c r="W253">
        <v>571.939392</v>
      </c>
      <c r="X253">
        <v>581.38519299999996</v>
      </c>
      <c r="Y253">
        <v>591.56597899999997</v>
      </c>
      <c r="Z253">
        <v>601.65698199999997</v>
      </c>
      <c r="AA253">
        <v>611.80407700000001</v>
      </c>
      <c r="AB253">
        <v>621.759277</v>
      </c>
      <c r="AC253">
        <v>631.97729500000003</v>
      </c>
      <c r="AD253">
        <v>641.81866500000001</v>
      </c>
      <c r="AE253">
        <v>651.76568599999996</v>
      </c>
      <c r="AF253">
        <v>661.73315400000001</v>
      </c>
      <c r="AG253" s="22">
        <v>1.7999999999999999E-2</v>
      </c>
    </row>
    <row r="254" spans="1:33">
      <c r="A254" t="s">
        <v>112</v>
      </c>
      <c r="B254" t="s">
        <v>2426</v>
      </c>
      <c r="C254" t="s">
        <v>2425</v>
      </c>
      <c r="D254" t="s">
        <v>201</v>
      </c>
      <c r="F254">
        <v>14032.591796999999</v>
      </c>
      <c r="G254">
        <v>14098.357421999999</v>
      </c>
      <c r="H254">
        <v>14372.549805000001</v>
      </c>
      <c r="I254">
        <v>14707.560546999999</v>
      </c>
      <c r="J254">
        <v>15039.445312</v>
      </c>
      <c r="K254">
        <v>15370.28125</v>
      </c>
      <c r="L254">
        <v>15700.034180000001</v>
      </c>
      <c r="M254">
        <v>16020.746094</v>
      </c>
      <c r="N254">
        <v>16340.480469</v>
      </c>
      <c r="O254">
        <v>16663.804688</v>
      </c>
      <c r="P254">
        <v>16988.425781000002</v>
      </c>
      <c r="Q254">
        <v>17320.171875</v>
      </c>
      <c r="R254">
        <v>17654.246093999998</v>
      </c>
      <c r="S254">
        <v>17994.439452999999</v>
      </c>
      <c r="T254">
        <v>18335.617188</v>
      </c>
      <c r="U254">
        <v>18680.572265999999</v>
      </c>
      <c r="V254">
        <v>19025.193359000001</v>
      </c>
      <c r="W254">
        <v>19369.105468999998</v>
      </c>
      <c r="X254">
        <v>19713.183593999998</v>
      </c>
      <c r="Y254">
        <v>20058.177734000001</v>
      </c>
      <c r="Z254">
        <v>20399.681640999999</v>
      </c>
      <c r="AA254">
        <v>20739.107422000001</v>
      </c>
      <c r="AB254">
        <v>21076.601562</v>
      </c>
      <c r="AC254">
        <v>21421.511718999998</v>
      </c>
      <c r="AD254">
        <v>21769.630859000001</v>
      </c>
      <c r="AE254">
        <v>22116.25</v>
      </c>
      <c r="AF254">
        <v>22464.148438</v>
      </c>
      <c r="AG254" s="22">
        <v>1.7999999999999999E-2</v>
      </c>
    </row>
    <row r="255" spans="1:33">
      <c r="A255" t="s">
        <v>225</v>
      </c>
      <c r="B255" t="s">
        <v>2422</v>
      </c>
      <c r="C255" t="s">
        <v>2424</v>
      </c>
      <c r="D255" t="s">
        <v>2423</v>
      </c>
      <c r="E255" t="s">
        <v>201</v>
      </c>
      <c r="F255">
        <v>22.401547999999998</v>
      </c>
      <c r="G255">
        <v>22.394031999999999</v>
      </c>
      <c r="H255">
        <v>22.387812</v>
      </c>
      <c r="I255">
        <v>22.382666</v>
      </c>
      <c r="J255">
        <v>22.378406999999999</v>
      </c>
      <c r="K255">
        <v>22.374884000000002</v>
      </c>
      <c r="L255">
        <v>22.371969</v>
      </c>
      <c r="M255">
        <v>22.369558000000001</v>
      </c>
      <c r="N255">
        <v>22.367563000000001</v>
      </c>
      <c r="O255">
        <v>22.365911000000001</v>
      </c>
      <c r="P255">
        <v>22.364546000000001</v>
      </c>
      <c r="Q255">
        <v>22.363416999999998</v>
      </c>
      <c r="R255">
        <v>22.362480000000001</v>
      </c>
      <c r="S255">
        <v>22.361708</v>
      </c>
      <c r="T255">
        <v>22.361066999999998</v>
      </c>
      <c r="U255">
        <v>22.360537999999998</v>
      </c>
      <c r="V255">
        <v>22.360099999999999</v>
      </c>
      <c r="W255">
        <v>22.359736999999999</v>
      </c>
      <c r="X255">
        <v>22.359438000000001</v>
      </c>
      <c r="Y255">
        <v>22.359190000000002</v>
      </c>
      <c r="Z255">
        <v>22.358984</v>
      </c>
      <c r="AA255">
        <v>22.358813999999999</v>
      </c>
      <c r="AB255">
        <v>22.358673</v>
      </c>
      <c r="AC255">
        <v>22.358557000000001</v>
      </c>
      <c r="AD255">
        <v>22.358460999999998</v>
      </c>
      <c r="AE255">
        <v>22.358381000000001</v>
      </c>
      <c r="AF255">
        <v>22.358315000000001</v>
      </c>
      <c r="AG255" s="22">
        <v>0</v>
      </c>
    </row>
    <row r="256" spans="1:33">
      <c r="A256" t="s">
        <v>227</v>
      </c>
      <c r="B256" t="s">
        <v>2422</v>
      </c>
      <c r="C256" t="s">
        <v>2421</v>
      </c>
      <c r="D256" t="s">
        <v>2420</v>
      </c>
      <c r="E256" t="s">
        <v>201</v>
      </c>
      <c r="F256">
        <v>335.94638099999997</v>
      </c>
      <c r="G256">
        <v>339.76504499999999</v>
      </c>
      <c r="H256">
        <v>342.125092</v>
      </c>
      <c r="I256">
        <v>343.58023100000003</v>
      </c>
      <c r="J256">
        <v>344.23431399999998</v>
      </c>
      <c r="K256">
        <v>344.107056</v>
      </c>
      <c r="L256">
        <v>343.94381700000002</v>
      </c>
      <c r="M256">
        <v>344.29440299999999</v>
      </c>
      <c r="N256">
        <v>344.578217</v>
      </c>
      <c r="O256">
        <v>344.87469499999997</v>
      </c>
      <c r="P256">
        <v>345.11853000000002</v>
      </c>
      <c r="Q256">
        <v>345.30908199999999</v>
      </c>
      <c r="R256">
        <v>345.64752199999998</v>
      </c>
      <c r="S256">
        <v>346.09127799999999</v>
      </c>
      <c r="T256">
        <v>346.51937900000001</v>
      </c>
      <c r="U256">
        <v>346.93585200000001</v>
      </c>
      <c r="V256">
        <v>347.34112499999998</v>
      </c>
      <c r="W256">
        <v>347.736603</v>
      </c>
      <c r="X256">
        <v>348.12558000000001</v>
      </c>
      <c r="Y256">
        <v>348.51016199999998</v>
      </c>
      <c r="Z256">
        <v>348.89059400000002</v>
      </c>
      <c r="AA256">
        <v>349.26681500000001</v>
      </c>
      <c r="AB256">
        <v>349.64248700000002</v>
      </c>
      <c r="AC256">
        <v>350.01757800000001</v>
      </c>
      <c r="AD256">
        <v>350.39068600000002</v>
      </c>
      <c r="AE256">
        <v>350.76431300000002</v>
      </c>
      <c r="AF256">
        <v>351.13888500000002</v>
      </c>
      <c r="AG256" s="22">
        <v>2E-3</v>
      </c>
    </row>
  </sheetData>
  <pageMargins left="0.7" right="0.7" top="0.75" bottom="0.75" header="0.3" footer="0.3"/>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EE88501-9021-4E94-9889-FBB152FF3EB9}">
  <sheetPr>
    <tabColor theme="4" tint="0.39997558519241921"/>
  </sheetPr>
  <dimension ref="A1:AG309"/>
  <sheetViews>
    <sheetView workbookViewId="0"/>
  </sheetViews>
  <sheetFormatPr defaultRowHeight="15"/>
  <cols>
    <col min="1" max="1" width="25.28515625" customWidth="1"/>
  </cols>
  <sheetData>
    <row r="1" spans="1:33">
      <c r="A1" t="s">
        <v>233</v>
      </c>
    </row>
    <row r="2" spans="1:33">
      <c r="A2" t="s">
        <v>3442</v>
      </c>
    </row>
    <row r="3" spans="1:33">
      <c r="A3" t="s">
        <v>3441</v>
      </c>
    </row>
    <row r="4" spans="1:33">
      <c r="A4" t="s">
        <v>146</v>
      </c>
    </row>
    <row r="5" spans="1:33">
      <c r="B5" t="s">
        <v>198</v>
      </c>
      <c r="C5" t="s">
        <v>199</v>
      </c>
      <c r="D5" t="s">
        <v>200</v>
      </c>
      <c r="E5">
        <v>2023</v>
      </c>
      <c r="F5">
        <v>2024</v>
      </c>
      <c r="G5">
        <v>2025</v>
      </c>
      <c r="H5">
        <v>2026</v>
      </c>
      <c r="I5">
        <v>2027</v>
      </c>
      <c r="J5">
        <v>2028</v>
      </c>
      <c r="K5">
        <v>2029</v>
      </c>
      <c r="L5">
        <v>2030</v>
      </c>
      <c r="M5">
        <v>2031</v>
      </c>
      <c r="N5">
        <v>2032</v>
      </c>
      <c r="O5">
        <v>2033</v>
      </c>
      <c r="P5">
        <v>2034</v>
      </c>
      <c r="Q5">
        <v>2035</v>
      </c>
      <c r="R5">
        <v>2036</v>
      </c>
      <c r="S5">
        <v>2037</v>
      </c>
      <c r="T5">
        <v>2038</v>
      </c>
      <c r="U5">
        <v>2039</v>
      </c>
      <c r="V5">
        <v>2040</v>
      </c>
      <c r="W5">
        <v>2041</v>
      </c>
      <c r="X5">
        <v>2042</v>
      </c>
      <c r="Y5">
        <v>2043</v>
      </c>
      <c r="Z5">
        <v>2044</v>
      </c>
      <c r="AA5">
        <v>2045</v>
      </c>
      <c r="AB5">
        <v>2046</v>
      </c>
      <c r="AC5">
        <v>2047</v>
      </c>
      <c r="AD5">
        <v>2048</v>
      </c>
      <c r="AE5">
        <v>2049</v>
      </c>
      <c r="AF5">
        <v>2050</v>
      </c>
      <c r="AG5" t="s">
        <v>2417</v>
      </c>
    </row>
    <row r="6" spans="1:33">
      <c r="A6" t="s">
        <v>147</v>
      </c>
    </row>
    <row r="7" spans="1:33">
      <c r="A7" t="s">
        <v>234</v>
      </c>
    </row>
    <row r="8" spans="1:33">
      <c r="A8" t="s">
        <v>170</v>
      </c>
    </row>
    <row r="9" spans="1:33">
      <c r="A9" t="s">
        <v>189</v>
      </c>
      <c r="B9" t="s">
        <v>3440</v>
      </c>
      <c r="C9" t="s">
        <v>3439</v>
      </c>
      <c r="D9" t="s">
        <v>202</v>
      </c>
      <c r="F9">
        <v>54.137805999999998</v>
      </c>
      <c r="G9">
        <v>54.071216999999997</v>
      </c>
      <c r="H9">
        <v>53.457313999999997</v>
      </c>
      <c r="I9">
        <v>52.647182000000001</v>
      </c>
      <c r="J9">
        <v>51.595882000000003</v>
      </c>
      <c r="K9">
        <v>50.530312000000002</v>
      </c>
      <c r="L9">
        <v>49.352173000000001</v>
      </c>
      <c r="M9">
        <v>47.958195000000003</v>
      </c>
      <c r="N9">
        <v>46.364254000000003</v>
      </c>
      <c r="O9">
        <v>44.630927999999997</v>
      </c>
      <c r="P9">
        <v>42.877257999999998</v>
      </c>
      <c r="Q9">
        <v>41.088706999999999</v>
      </c>
      <c r="R9">
        <v>39.341450000000002</v>
      </c>
      <c r="S9">
        <v>37.609543000000002</v>
      </c>
      <c r="T9">
        <v>35.849299999999999</v>
      </c>
      <c r="U9">
        <v>34.028595000000003</v>
      </c>
      <c r="V9">
        <v>32.296920999999998</v>
      </c>
      <c r="W9">
        <v>30.546603999999999</v>
      </c>
      <c r="X9">
        <v>28.828039</v>
      </c>
      <c r="Y9">
        <v>27.093805</v>
      </c>
      <c r="Z9">
        <v>25.4589</v>
      </c>
      <c r="AA9">
        <v>23.970109999999998</v>
      </c>
      <c r="AB9">
        <v>22.591919000000001</v>
      </c>
      <c r="AC9">
        <v>21.348120000000002</v>
      </c>
      <c r="AD9">
        <v>20.125426999999998</v>
      </c>
      <c r="AE9">
        <v>18.939999</v>
      </c>
      <c r="AF9">
        <v>17.824724</v>
      </c>
      <c r="AG9" s="22">
        <v>-4.2000000000000003E-2</v>
      </c>
    </row>
    <row r="10" spans="1:33">
      <c r="A10" t="s">
        <v>235</v>
      </c>
      <c r="B10" t="s">
        <v>3438</v>
      </c>
      <c r="C10" t="s">
        <v>3437</v>
      </c>
      <c r="D10" t="s">
        <v>202</v>
      </c>
      <c r="F10">
        <v>24.34918</v>
      </c>
      <c r="G10">
        <v>26.157592999999999</v>
      </c>
      <c r="H10">
        <v>27.731414999999998</v>
      </c>
      <c r="I10">
        <v>29.117968000000001</v>
      </c>
      <c r="J10">
        <v>30.147932000000001</v>
      </c>
      <c r="K10">
        <v>30.947813</v>
      </c>
      <c r="L10">
        <v>31.490299</v>
      </c>
      <c r="M10">
        <v>31.687159999999999</v>
      </c>
      <c r="N10">
        <v>31.595020000000002</v>
      </c>
      <c r="O10">
        <v>31.298421999999999</v>
      </c>
      <c r="P10">
        <v>30.888570999999999</v>
      </c>
      <c r="Q10">
        <v>30.361319000000002</v>
      </c>
      <c r="R10">
        <v>29.795849</v>
      </c>
      <c r="S10">
        <v>29.181716999999999</v>
      </c>
      <c r="T10">
        <v>28.457778999999999</v>
      </c>
      <c r="U10">
        <v>27.608362</v>
      </c>
      <c r="V10">
        <v>26.763168</v>
      </c>
      <c r="W10">
        <v>25.832671999999999</v>
      </c>
      <c r="X10">
        <v>24.834416999999998</v>
      </c>
      <c r="Y10">
        <v>23.746389000000001</v>
      </c>
      <c r="Z10">
        <v>22.699881000000001</v>
      </c>
      <c r="AA10">
        <v>21.744126999999999</v>
      </c>
      <c r="AB10">
        <v>20.840295999999999</v>
      </c>
      <c r="AC10">
        <v>20.011322</v>
      </c>
      <c r="AD10">
        <v>19.174472999999999</v>
      </c>
      <c r="AE10">
        <v>18.349557999999998</v>
      </c>
      <c r="AF10">
        <v>17.565284999999999</v>
      </c>
      <c r="AG10" s="22">
        <v>-1.2E-2</v>
      </c>
    </row>
    <row r="11" spans="1:33">
      <c r="A11" t="s">
        <v>192</v>
      </c>
      <c r="B11" t="s">
        <v>3436</v>
      </c>
      <c r="C11" t="s">
        <v>3435</v>
      </c>
      <c r="D11" t="s">
        <v>202</v>
      </c>
      <c r="F11">
        <v>7.2999999999999996E-4</v>
      </c>
      <c r="G11">
        <v>7.3099999999999999E-4</v>
      </c>
      <c r="H11">
        <v>7.3200000000000001E-4</v>
      </c>
      <c r="I11">
        <v>7.3499999999999998E-4</v>
      </c>
      <c r="J11">
        <v>7.4899999999999999E-4</v>
      </c>
      <c r="K11">
        <v>7.6800000000000002E-4</v>
      </c>
      <c r="L11">
        <v>7.8799999999999996E-4</v>
      </c>
      <c r="M11">
        <v>8.0999999999999996E-4</v>
      </c>
      <c r="N11">
        <v>8.3500000000000002E-4</v>
      </c>
      <c r="O11">
        <v>8.3000000000000001E-4</v>
      </c>
      <c r="P11">
        <v>8.1499999999999997E-4</v>
      </c>
      <c r="Q11">
        <v>8.1700000000000002E-4</v>
      </c>
      <c r="R11">
        <v>8.3000000000000001E-4</v>
      </c>
      <c r="S11">
        <v>8.4999999999999995E-4</v>
      </c>
      <c r="T11">
        <v>8.7500000000000002E-4</v>
      </c>
      <c r="U11">
        <v>9.0200000000000002E-4</v>
      </c>
      <c r="V11">
        <v>9.3000000000000005E-4</v>
      </c>
      <c r="W11">
        <v>9.5799999999999998E-4</v>
      </c>
      <c r="X11">
        <v>9.8299999999999993E-4</v>
      </c>
      <c r="Y11">
        <v>1.0070000000000001E-3</v>
      </c>
      <c r="Z11">
        <v>1.0280000000000001E-3</v>
      </c>
      <c r="AA11">
        <v>1.0510000000000001E-3</v>
      </c>
      <c r="AB11">
        <v>1.073E-3</v>
      </c>
      <c r="AC11">
        <v>1.0970000000000001E-3</v>
      </c>
      <c r="AD11">
        <v>1.119E-3</v>
      </c>
      <c r="AE11">
        <v>1.139E-3</v>
      </c>
      <c r="AF11">
        <v>1.158E-3</v>
      </c>
      <c r="AG11" s="22">
        <v>1.7999999999999999E-2</v>
      </c>
    </row>
    <row r="12" spans="1:33">
      <c r="A12" t="s">
        <v>195</v>
      </c>
      <c r="B12" t="s">
        <v>3434</v>
      </c>
      <c r="C12" t="s">
        <v>3433</v>
      </c>
      <c r="D12" t="s">
        <v>202</v>
      </c>
      <c r="F12">
        <v>7.9604999999999995E-2</v>
      </c>
      <c r="G12">
        <v>0.21027499999999999</v>
      </c>
      <c r="H12">
        <v>0.35547800000000002</v>
      </c>
      <c r="I12">
        <v>0.50833300000000003</v>
      </c>
      <c r="J12">
        <v>0.60356399999999999</v>
      </c>
      <c r="K12">
        <v>0.70265</v>
      </c>
      <c r="L12">
        <v>0.77752100000000002</v>
      </c>
      <c r="M12">
        <v>0.81933999999999996</v>
      </c>
      <c r="N12">
        <v>0.84735300000000002</v>
      </c>
      <c r="O12">
        <v>0.85540499999999997</v>
      </c>
      <c r="P12">
        <v>0.87202400000000002</v>
      </c>
      <c r="Q12">
        <v>0.90455399999999997</v>
      </c>
      <c r="R12">
        <v>0.94545400000000002</v>
      </c>
      <c r="S12">
        <v>0.99856599999999995</v>
      </c>
      <c r="T12">
        <v>1.076068</v>
      </c>
      <c r="U12">
        <v>1.161184</v>
      </c>
      <c r="V12">
        <v>1.2678579999999999</v>
      </c>
      <c r="W12">
        <v>1.4032100000000001</v>
      </c>
      <c r="X12">
        <v>1.557526</v>
      </c>
      <c r="Y12">
        <v>1.728326</v>
      </c>
      <c r="Z12">
        <v>1.898649</v>
      </c>
      <c r="AA12">
        <v>2.0823230000000001</v>
      </c>
      <c r="AB12">
        <v>2.2790659999999998</v>
      </c>
      <c r="AC12">
        <v>2.5033970000000001</v>
      </c>
      <c r="AD12">
        <v>2.7353589999999999</v>
      </c>
      <c r="AE12">
        <v>2.980953</v>
      </c>
      <c r="AF12">
        <v>3.2338290000000001</v>
      </c>
      <c r="AG12" s="22">
        <v>0.153</v>
      </c>
    </row>
    <row r="13" spans="1:33">
      <c r="A13" t="s">
        <v>236</v>
      </c>
      <c r="B13" t="s">
        <v>3432</v>
      </c>
      <c r="C13" t="s">
        <v>3431</v>
      </c>
      <c r="D13" t="s">
        <v>202</v>
      </c>
      <c r="F13">
        <v>3.2588729999999999</v>
      </c>
      <c r="G13">
        <v>2.9694029999999998</v>
      </c>
      <c r="H13">
        <v>2.670283</v>
      </c>
      <c r="I13">
        <v>2.3920520000000001</v>
      </c>
      <c r="J13">
        <v>2.1450879999999999</v>
      </c>
      <c r="K13">
        <v>1.9372720000000001</v>
      </c>
      <c r="L13">
        <v>1.7542489999999999</v>
      </c>
      <c r="M13">
        <v>1.591224</v>
      </c>
      <c r="N13">
        <v>1.443881</v>
      </c>
      <c r="O13">
        <v>1.3078000000000001</v>
      </c>
      <c r="P13">
        <v>1.183535</v>
      </c>
      <c r="Q13">
        <v>1.0700609999999999</v>
      </c>
      <c r="R13">
        <v>0.96449200000000002</v>
      </c>
      <c r="S13">
        <v>0.86558299999999999</v>
      </c>
      <c r="T13">
        <v>0.77333399999999997</v>
      </c>
      <c r="U13">
        <v>0.68865200000000004</v>
      </c>
      <c r="V13">
        <v>0.61294800000000005</v>
      </c>
      <c r="W13">
        <v>0.54637000000000002</v>
      </c>
      <c r="X13">
        <v>0.48824699999999999</v>
      </c>
      <c r="Y13">
        <v>0.43711</v>
      </c>
      <c r="Z13">
        <v>0.388071</v>
      </c>
      <c r="AA13">
        <v>0.34228599999999998</v>
      </c>
      <c r="AB13">
        <v>0.29872399999999999</v>
      </c>
      <c r="AC13">
        <v>0.26012600000000002</v>
      </c>
      <c r="AD13">
        <v>0.21887200000000001</v>
      </c>
      <c r="AE13">
        <v>0.17858399999999999</v>
      </c>
      <c r="AF13">
        <v>0.14052200000000001</v>
      </c>
      <c r="AG13" s="22">
        <v>-0.114</v>
      </c>
    </row>
    <row r="14" spans="1:33">
      <c r="A14" t="s">
        <v>237</v>
      </c>
      <c r="B14" t="s">
        <v>3430</v>
      </c>
      <c r="C14" t="s">
        <v>3429</v>
      </c>
      <c r="D14" t="s">
        <v>202</v>
      </c>
      <c r="F14">
        <v>8.7280999999999997E-2</v>
      </c>
      <c r="G14">
        <v>0.119507</v>
      </c>
      <c r="H14">
        <v>0.14918300000000001</v>
      </c>
      <c r="I14">
        <v>0.17560000000000001</v>
      </c>
      <c r="J14">
        <v>0.198771</v>
      </c>
      <c r="K14">
        <v>0.22067600000000001</v>
      </c>
      <c r="L14">
        <v>0.24584900000000001</v>
      </c>
      <c r="M14">
        <v>0.31488500000000003</v>
      </c>
      <c r="N14">
        <v>0.43936399999999998</v>
      </c>
      <c r="O14">
        <v>0.55638799999999999</v>
      </c>
      <c r="P14">
        <v>0.74443599999999999</v>
      </c>
      <c r="Q14">
        <v>1.0531710000000001</v>
      </c>
      <c r="R14">
        <v>1.4948330000000001</v>
      </c>
      <c r="S14">
        <v>2.0432519999999998</v>
      </c>
      <c r="T14">
        <v>2.7092320000000001</v>
      </c>
      <c r="U14">
        <v>3.4966200000000001</v>
      </c>
      <c r="V14">
        <v>4.4216449999999998</v>
      </c>
      <c r="W14">
        <v>5.5475440000000003</v>
      </c>
      <c r="X14">
        <v>6.8312460000000002</v>
      </c>
      <c r="Y14">
        <v>8.2411890000000003</v>
      </c>
      <c r="Z14">
        <v>9.6649480000000008</v>
      </c>
      <c r="AA14">
        <v>11.152545999999999</v>
      </c>
      <c r="AB14">
        <v>12.684813</v>
      </c>
      <c r="AC14">
        <v>14.333284000000001</v>
      </c>
      <c r="AD14">
        <v>16.026073</v>
      </c>
      <c r="AE14">
        <v>17.724495000000001</v>
      </c>
      <c r="AF14">
        <v>19.422892000000001</v>
      </c>
      <c r="AG14" s="22">
        <v>0.23100000000000001</v>
      </c>
    </row>
    <row r="15" spans="1:33">
      <c r="A15" t="s">
        <v>238</v>
      </c>
      <c r="B15" t="s">
        <v>3428</v>
      </c>
      <c r="C15" t="s">
        <v>3427</v>
      </c>
      <c r="D15" t="s">
        <v>202</v>
      </c>
      <c r="F15">
        <v>0</v>
      </c>
      <c r="G15">
        <v>0</v>
      </c>
      <c r="H15">
        <v>0</v>
      </c>
      <c r="I15">
        <v>0</v>
      </c>
      <c r="J15">
        <v>0</v>
      </c>
      <c r="K15">
        <v>0</v>
      </c>
      <c r="L15">
        <v>0</v>
      </c>
      <c r="M15">
        <v>0</v>
      </c>
      <c r="N15">
        <v>0</v>
      </c>
      <c r="O15">
        <v>0</v>
      </c>
      <c r="P15">
        <v>0</v>
      </c>
      <c r="Q15">
        <v>0</v>
      </c>
      <c r="R15">
        <v>0</v>
      </c>
      <c r="S15">
        <v>0</v>
      </c>
      <c r="T15">
        <v>0</v>
      </c>
      <c r="U15">
        <v>0</v>
      </c>
      <c r="V15">
        <v>0</v>
      </c>
      <c r="W15">
        <v>0</v>
      </c>
      <c r="X15">
        <v>0</v>
      </c>
      <c r="Y15">
        <v>0</v>
      </c>
      <c r="Z15">
        <v>0</v>
      </c>
      <c r="AA15">
        <v>0</v>
      </c>
      <c r="AB15">
        <v>0</v>
      </c>
      <c r="AC15">
        <v>0</v>
      </c>
      <c r="AD15">
        <v>0</v>
      </c>
      <c r="AE15">
        <v>0</v>
      </c>
      <c r="AF15">
        <v>0</v>
      </c>
      <c r="AG15" t="s">
        <v>111</v>
      </c>
    </row>
    <row r="16" spans="1:33">
      <c r="A16" t="s">
        <v>239</v>
      </c>
      <c r="B16" t="s">
        <v>3426</v>
      </c>
      <c r="C16" t="s">
        <v>3425</v>
      </c>
      <c r="D16" t="s">
        <v>202</v>
      </c>
      <c r="F16">
        <v>0</v>
      </c>
      <c r="G16">
        <v>0</v>
      </c>
      <c r="H16">
        <v>0</v>
      </c>
      <c r="I16">
        <v>0</v>
      </c>
      <c r="J16">
        <v>0</v>
      </c>
      <c r="K16">
        <v>0</v>
      </c>
      <c r="L16">
        <v>0</v>
      </c>
      <c r="M16">
        <v>0</v>
      </c>
      <c r="N16">
        <v>0</v>
      </c>
      <c r="O16">
        <v>0</v>
      </c>
      <c r="P16">
        <v>0</v>
      </c>
      <c r="Q16">
        <v>0</v>
      </c>
      <c r="R16">
        <v>0</v>
      </c>
      <c r="S16">
        <v>0</v>
      </c>
      <c r="T16">
        <v>0</v>
      </c>
      <c r="U16">
        <v>0</v>
      </c>
      <c r="V16">
        <v>0</v>
      </c>
      <c r="W16">
        <v>0</v>
      </c>
      <c r="X16">
        <v>0</v>
      </c>
      <c r="Y16">
        <v>0</v>
      </c>
      <c r="Z16">
        <v>0</v>
      </c>
      <c r="AA16">
        <v>0</v>
      </c>
      <c r="AB16">
        <v>0</v>
      </c>
      <c r="AC16">
        <v>0</v>
      </c>
      <c r="AD16">
        <v>0</v>
      </c>
      <c r="AE16">
        <v>0</v>
      </c>
      <c r="AF16">
        <v>0</v>
      </c>
      <c r="AG16" t="s">
        <v>111</v>
      </c>
    </row>
    <row r="17" spans="1:33">
      <c r="A17" t="s">
        <v>240</v>
      </c>
      <c r="B17" t="s">
        <v>3424</v>
      </c>
      <c r="C17" t="s">
        <v>3423</v>
      </c>
      <c r="D17" t="s">
        <v>202</v>
      </c>
      <c r="F17">
        <v>0</v>
      </c>
      <c r="G17">
        <v>0</v>
      </c>
      <c r="H17">
        <v>0</v>
      </c>
      <c r="I17">
        <v>0</v>
      </c>
      <c r="J17">
        <v>0</v>
      </c>
      <c r="K17">
        <v>0</v>
      </c>
      <c r="L17">
        <v>0</v>
      </c>
      <c r="M17">
        <v>0</v>
      </c>
      <c r="N17">
        <v>0</v>
      </c>
      <c r="O17">
        <v>0</v>
      </c>
      <c r="P17">
        <v>0</v>
      </c>
      <c r="Q17">
        <v>0</v>
      </c>
      <c r="R17">
        <v>0</v>
      </c>
      <c r="S17">
        <v>0</v>
      </c>
      <c r="T17">
        <v>0</v>
      </c>
      <c r="U17">
        <v>0</v>
      </c>
      <c r="V17">
        <v>0</v>
      </c>
      <c r="W17">
        <v>0</v>
      </c>
      <c r="X17">
        <v>0</v>
      </c>
      <c r="Y17">
        <v>0</v>
      </c>
      <c r="Z17">
        <v>0</v>
      </c>
      <c r="AA17">
        <v>0</v>
      </c>
      <c r="AB17">
        <v>0</v>
      </c>
      <c r="AC17">
        <v>0</v>
      </c>
      <c r="AD17">
        <v>0</v>
      </c>
      <c r="AE17">
        <v>0</v>
      </c>
      <c r="AF17">
        <v>0</v>
      </c>
      <c r="AG17" t="s">
        <v>111</v>
      </c>
    </row>
    <row r="18" spans="1:33">
      <c r="A18" t="s">
        <v>2320</v>
      </c>
      <c r="B18" t="s">
        <v>3422</v>
      </c>
      <c r="C18" t="s">
        <v>3421</v>
      </c>
      <c r="D18" t="s">
        <v>202</v>
      </c>
      <c r="F18">
        <v>0</v>
      </c>
      <c r="G18">
        <v>0</v>
      </c>
      <c r="H18">
        <v>0</v>
      </c>
      <c r="I18">
        <v>0</v>
      </c>
      <c r="J18">
        <v>0</v>
      </c>
      <c r="K18">
        <v>0</v>
      </c>
      <c r="L18">
        <v>0</v>
      </c>
      <c r="M18">
        <v>0</v>
      </c>
      <c r="N18">
        <v>0</v>
      </c>
      <c r="O18">
        <v>0</v>
      </c>
      <c r="P18">
        <v>0</v>
      </c>
      <c r="Q18">
        <v>0</v>
      </c>
      <c r="R18">
        <v>0</v>
      </c>
      <c r="S18">
        <v>0</v>
      </c>
      <c r="T18">
        <v>0</v>
      </c>
      <c r="U18">
        <v>0</v>
      </c>
      <c r="V18">
        <v>0</v>
      </c>
      <c r="W18">
        <v>0</v>
      </c>
      <c r="X18">
        <v>0</v>
      </c>
      <c r="Y18">
        <v>0</v>
      </c>
      <c r="Z18">
        <v>0</v>
      </c>
      <c r="AA18">
        <v>0</v>
      </c>
      <c r="AB18">
        <v>0</v>
      </c>
      <c r="AC18">
        <v>0</v>
      </c>
      <c r="AD18">
        <v>0</v>
      </c>
      <c r="AE18">
        <v>0</v>
      </c>
      <c r="AF18">
        <v>0</v>
      </c>
      <c r="AG18" t="s">
        <v>111</v>
      </c>
    </row>
    <row r="19" spans="1:33">
      <c r="A19" t="s">
        <v>2317</v>
      </c>
      <c r="B19" t="s">
        <v>3420</v>
      </c>
      <c r="C19" t="s">
        <v>3419</v>
      </c>
      <c r="D19" t="s">
        <v>202</v>
      </c>
      <c r="F19">
        <v>0</v>
      </c>
      <c r="G19">
        <v>0.109322</v>
      </c>
      <c r="H19">
        <v>0.28561399999999998</v>
      </c>
      <c r="I19">
        <v>0.52429300000000001</v>
      </c>
      <c r="J19">
        <v>1.3492900000000001</v>
      </c>
      <c r="K19">
        <v>2.8503099999999999</v>
      </c>
      <c r="L19">
        <v>5.0136310000000002</v>
      </c>
      <c r="M19">
        <v>7.7647050000000002</v>
      </c>
      <c r="N19">
        <v>11.073954000000001</v>
      </c>
      <c r="O19">
        <v>14.758941</v>
      </c>
      <c r="P19">
        <v>18.660900000000002</v>
      </c>
      <c r="Q19">
        <v>22.600832</v>
      </c>
      <c r="R19">
        <v>26.474253000000001</v>
      </c>
      <c r="S19">
        <v>30.237411000000002</v>
      </c>
      <c r="T19">
        <v>34.006458000000002</v>
      </c>
      <c r="U19">
        <v>37.792834999999997</v>
      </c>
      <c r="V19">
        <v>41.462817999999999</v>
      </c>
      <c r="W19">
        <v>44.911160000000002</v>
      </c>
      <c r="X19">
        <v>48.150188</v>
      </c>
      <c r="Y19">
        <v>51.148192999999999</v>
      </c>
      <c r="Z19">
        <v>53.948368000000002</v>
      </c>
      <c r="AA19">
        <v>56.632454000000003</v>
      </c>
      <c r="AB19">
        <v>59.163367999999998</v>
      </c>
      <c r="AC19">
        <v>61.704948000000002</v>
      </c>
      <c r="AD19">
        <v>64.027450999999999</v>
      </c>
      <c r="AE19">
        <v>66.138740999999996</v>
      </c>
      <c r="AF19">
        <v>68.037430000000001</v>
      </c>
      <c r="AG19" t="s">
        <v>111</v>
      </c>
    </row>
    <row r="20" spans="1:33">
      <c r="A20" t="s">
        <v>2314</v>
      </c>
      <c r="B20" t="s">
        <v>3418</v>
      </c>
      <c r="C20" t="s">
        <v>3417</v>
      </c>
      <c r="D20" t="s">
        <v>202</v>
      </c>
      <c r="F20">
        <v>0</v>
      </c>
      <c r="G20">
        <v>0</v>
      </c>
      <c r="H20">
        <v>0</v>
      </c>
      <c r="I20">
        <v>0</v>
      </c>
      <c r="J20">
        <v>0</v>
      </c>
      <c r="K20">
        <v>0</v>
      </c>
      <c r="L20">
        <v>0</v>
      </c>
      <c r="M20">
        <v>0</v>
      </c>
      <c r="N20">
        <v>0</v>
      </c>
      <c r="O20">
        <v>0</v>
      </c>
      <c r="P20">
        <v>0</v>
      </c>
      <c r="Q20">
        <v>0</v>
      </c>
      <c r="R20">
        <v>0</v>
      </c>
      <c r="S20">
        <v>0</v>
      </c>
      <c r="T20">
        <v>0</v>
      </c>
      <c r="U20">
        <v>0</v>
      </c>
      <c r="V20">
        <v>0</v>
      </c>
      <c r="W20">
        <v>0</v>
      </c>
      <c r="X20">
        <v>0</v>
      </c>
      <c r="Y20">
        <v>0</v>
      </c>
      <c r="Z20">
        <v>0</v>
      </c>
      <c r="AA20">
        <v>0</v>
      </c>
      <c r="AB20">
        <v>0</v>
      </c>
      <c r="AC20">
        <v>0</v>
      </c>
      <c r="AD20">
        <v>0</v>
      </c>
      <c r="AE20">
        <v>0</v>
      </c>
      <c r="AF20">
        <v>0</v>
      </c>
      <c r="AG20" t="s">
        <v>111</v>
      </c>
    </row>
    <row r="21" spans="1:33" s="94" customFormat="1">
      <c r="A21" s="94" t="s">
        <v>241</v>
      </c>
      <c r="B21" s="94" t="s">
        <v>3416</v>
      </c>
      <c r="C21" s="94" t="s">
        <v>3415</v>
      </c>
      <c r="D21" s="94" t="s">
        <v>202</v>
      </c>
      <c r="F21" s="94">
        <v>81.913414000000003</v>
      </c>
      <c r="G21" s="94">
        <v>83.637932000000006</v>
      </c>
      <c r="H21" s="94">
        <v>84.649970999999994</v>
      </c>
      <c r="I21" s="94">
        <v>85.366112000000001</v>
      </c>
      <c r="J21" s="94">
        <v>86.041008000000005</v>
      </c>
      <c r="K21" s="94">
        <v>87.189673999999997</v>
      </c>
      <c r="L21" s="94">
        <v>88.634345999999994</v>
      </c>
      <c r="M21" s="94">
        <v>90.136009000000001</v>
      </c>
      <c r="N21" s="94">
        <v>91.764342999999997</v>
      </c>
      <c r="O21" s="94">
        <v>93.408591999999999</v>
      </c>
      <c r="P21" s="94">
        <v>95.227249</v>
      </c>
      <c r="Q21" s="94">
        <v>97.079216000000002</v>
      </c>
      <c r="R21" s="94">
        <v>99.016814999999994</v>
      </c>
      <c r="S21" s="94">
        <v>100.936539</v>
      </c>
      <c r="T21" s="94">
        <v>102.872658</v>
      </c>
      <c r="U21" s="94">
        <v>104.776962</v>
      </c>
      <c r="V21" s="94">
        <v>106.826088</v>
      </c>
      <c r="W21" s="94">
        <v>108.78827699999999</v>
      </c>
      <c r="X21" s="94">
        <v>110.690437</v>
      </c>
      <c r="Y21" s="94">
        <v>112.395782</v>
      </c>
      <c r="Z21" s="94">
        <v>114.059608</v>
      </c>
      <c r="AA21" s="94">
        <v>115.924751</v>
      </c>
      <c r="AB21" s="94">
        <v>117.859016</v>
      </c>
      <c r="AC21" s="94">
        <v>120.16201</v>
      </c>
      <c r="AD21" s="94">
        <v>122.30836499999999</v>
      </c>
      <c r="AE21" s="94">
        <v>124.313187</v>
      </c>
      <c r="AF21" s="94">
        <v>126.225555</v>
      </c>
      <c r="AG21" s="95">
        <v>1.7000000000000001E-2</v>
      </c>
    </row>
    <row r="22" spans="1:33">
      <c r="A22" t="s">
        <v>171</v>
      </c>
    </row>
    <row r="23" spans="1:33">
      <c r="A23" t="s">
        <v>189</v>
      </c>
      <c r="B23" t="s">
        <v>3414</v>
      </c>
      <c r="C23" t="s">
        <v>3413</v>
      </c>
      <c r="D23" t="s">
        <v>202</v>
      </c>
      <c r="F23">
        <v>37.131771000000001</v>
      </c>
      <c r="G23">
        <v>36.594059000000001</v>
      </c>
      <c r="H23">
        <v>35.836998000000001</v>
      </c>
      <c r="I23">
        <v>35.128596999999999</v>
      </c>
      <c r="J23">
        <v>34.429993000000003</v>
      </c>
      <c r="K23">
        <v>33.848514999999999</v>
      </c>
      <c r="L23">
        <v>33.334881000000003</v>
      </c>
      <c r="M23">
        <v>32.813395999999997</v>
      </c>
      <c r="N23">
        <v>32.307029999999997</v>
      </c>
      <c r="O23">
        <v>31.735132</v>
      </c>
      <c r="P23">
        <v>31.138124000000001</v>
      </c>
      <c r="Q23">
        <v>30.495702999999999</v>
      </c>
      <c r="R23">
        <v>29.854996</v>
      </c>
      <c r="S23">
        <v>29.198588999999998</v>
      </c>
      <c r="T23">
        <v>28.521305000000002</v>
      </c>
      <c r="U23">
        <v>27.823361999999999</v>
      </c>
      <c r="V23">
        <v>27.163891</v>
      </c>
      <c r="W23">
        <v>26.519552000000001</v>
      </c>
      <c r="X23">
        <v>25.929789</v>
      </c>
      <c r="Y23">
        <v>25.381256</v>
      </c>
      <c r="Z23">
        <v>24.876940000000001</v>
      </c>
      <c r="AA23">
        <v>24.434802999999999</v>
      </c>
      <c r="AB23">
        <v>24.024281999999999</v>
      </c>
      <c r="AC23">
        <v>23.739571000000002</v>
      </c>
      <c r="AD23">
        <v>23.487732000000001</v>
      </c>
      <c r="AE23">
        <v>23.243437</v>
      </c>
      <c r="AF23">
        <v>22.989767000000001</v>
      </c>
      <c r="AG23" s="22">
        <v>-1.7999999999999999E-2</v>
      </c>
    </row>
    <row r="24" spans="1:33">
      <c r="A24" t="s">
        <v>235</v>
      </c>
      <c r="B24" t="s">
        <v>3412</v>
      </c>
      <c r="C24" t="s">
        <v>3411</v>
      </c>
      <c r="D24" t="s">
        <v>202</v>
      </c>
      <c r="F24">
        <v>24.710927999999999</v>
      </c>
      <c r="G24">
        <v>24.792711000000001</v>
      </c>
      <c r="H24">
        <v>24.766380000000002</v>
      </c>
      <c r="I24">
        <v>24.778901999999999</v>
      </c>
      <c r="J24">
        <v>24.779399999999999</v>
      </c>
      <c r="K24">
        <v>24.825973999999999</v>
      </c>
      <c r="L24">
        <v>24.892790000000002</v>
      </c>
      <c r="M24">
        <v>24.93458</v>
      </c>
      <c r="N24">
        <v>24.980650000000001</v>
      </c>
      <c r="O24">
        <v>24.957380000000001</v>
      </c>
      <c r="P24">
        <v>24.906849000000001</v>
      </c>
      <c r="Q24">
        <v>24.796883000000001</v>
      </c>
      <c r="R24">
        <v>24.652761000000002</v>
      </c>
      <c r="S24">
        <v>24.494171000000001</v>
      </c>
      <c r="T24">
        <v>24.287745999999999</v>
      </c>
      <c r="U24">
        <v>24.046125</v>
      </c>
      <c r="V24">
        <v>23.807701000000002</v>
      </c>
      <c r="W24">
        <v>23.569877999999999</v>
      </c>
      <c r="X24">
        <v>23.351219</v>
      </c>
      <c r="Y24">
        <v>23.130773999999999</v>
      </c>
      <c r="Z24">
        <v>22.915935999999999</v>
      </c>
      <c r="AA24">
        <v>22.730301000000001</v>
      </c>
      <c r="AB24">
        <v>22.550166999999998</v>
      </c>
      <c r="AC24">
        <v>22.463426999999999</v>
      </c>
      <c r="AD24">
        <v>22.392613999999998</v>
      </c>
      <c r="AE24">
        <v>22.314965999999998</v>
      </c>
      <c r="AF24">
        <v>22.208449999999999</v>
      </c>
      <c r="AG24" s="22">
        <v>-4.0000000000000001E-3</v>
      </c>
    </row>
    <row r="25" spans="1:33">
      <c r="A25" t="s">
        <v>192</v>
      </c>
      <c r="B25" t="s">
        <v>3410</v>
      </c>
      <c r="C25" t="s">
        <v>3409</v>
      </c>
      <c r="D25" t="s">
        <v>202</v>
      </c>
      <c r="F25">
        <v>2.5683000000000001E-2</v>
      </c>
      <c r="G25">
        <v>2.2918999999999998E-2</v>
      </c>
      <c r="H25">
        <v>2.0313999999999999E-2</v>
      </c>
      <c r="I25">
        <v>1.7925E-2</v>
      </c>
      <c r="J25">
        <v>1.5859000000000002E-2</v>
      </c>
      <c r="K25">
        <v>1.3155999999999999E-2</v>
      </c>
      <c r="L25">
        <v>1.1735000000000001E-2</v>
      </c>
      <c r="M25">
        <v>1.0444E-2</v>
      </c>
      <c r="N25">
        <v>9.3609999999999995E-3</v>
      </c>
      <c r="O25">
        <v>8.4089999999999998E-3</v>
      </c>
      <c r="P25">
        <v>7.3990000000000002E-3</v>
      </c>
      <c r="Q25">
        <v>6.6379999999999998E-3</v>
      </c>
      <c r="R25">
        <v>6.0309999999999999E-3</v>
      </c>
      <c r="S25">
        <v>5.5360000000000001E-3</v>
      </c>
      <c r="T25">
        <v>5.097E-3</v>
      </c>
      <c r="U25">
        <v>4.7149999999999996E-3</v>
      </c>
      <c r="V25">
        <v>4.4050000000000001E-3</v>
      </c>
      <c r="W25">
        <v>4.1209999999999997E-3</v>
      </c>
      <c r="X25">
        <v>3.8730000000000001E-3</v>
      </c>
      <c r="Y25">
        <v>3.6489999999999999E-3</v>
      </c>
      <c r="Z25">
        <v>3.4320000000000002E-3</v>
      </c>
      <c r="AA25">
        <v>3.297E-3</v>
      </c>
      <c r="AB25">
        <v>3.143E-3</v>
      </c>
      <c r="AC25">
        <v>3.0079999999999998E-3</v>
      </c>
      <c r="AD25">
        <v>2.6610000000000002E-3</v>
      </c>
      <c r="AE25">
        <v>2.1099999999999999E-3</v>
      </c>
      <c r="AF25">
        <v>1.676E-3</v>
      </c>
      <c r="AG25" s="22">
        <v>-0.1</v>
      </c>
    </row>
    <row r="26" spans="1:33">
      <c r="A26" t="s">
        <v>195</v>
      </c>
      <c r="B26" t="s">
        <v>3408</v>
      </c>
      <c r="C26" t="s">
        <v>3407</v>
      </c>
      <c r="D26" t="s">
        <v>202</v>
      </c>
      <c r="F26">
        <v>0.21660399999999999</v>
      </c>
      <c r="G26">
        <v>0.29153400000000002</v>
      </c>
      <c r="H26">
        <v>0.36267500000000003</v>
      </c>
      <c r="I26">
        <v>0.42705700000000002</v>
      </c>
      <c r="J26">
        <v>0.483323</v>
      </c>
      <c r="K26">
        <v>0.533188</v>
      </c>
      <c r="L26">
        <v>0.57804699999999998</v>
      </c>
      <c r="M26">
        <v>0.61812299999999998</v>
      </c>
      <c r="N26">
        <v>0.65573599999999999</v>
      </c>
      <c r="O26">
        <v>0.691272</v>
      </c>
      <c r="P26">
        <v>0.72470299999999999</v>
      </c>
      <c r="Q26">
        <v>0.75561</v>
      </c>
      <c r="R26">
        <v>0.78383000000000003</v>
      </c>
      <c r="S26">
        <v>0.81074299999999999</v>
      </c>
      <c r="T26">
        <v>0.83725300000000002</v>
      </c>
      <c r="U26">
        <v>0.86216999999999999</v>
      </c>
      <c r="V26">
        <v>0.885768</v>
      </c>
      <c r="W26">
        <v>0.90606100000000001</v>
      </c>
      <c r="X26">
        <v>0.92689299999999997</v>
      </c>
      <c r="Y26">
        <v>0.94793899999999998</v>
      </c>
      <c r="Z26">
        <v>0.96773900000000002</v>
      </c>
      <c r="AA26">
        <v>0.98745300000000003</v>
      </c>
      <c r="AB26">
        <v>1.006273</v>
      </c>
      <c r="AC26">
        <v>1.030934</v>
      </c>
      <c r="AD26">
        <v>1.0588070000000001</v>
      </c>
      <c r="AE26">
        <v>1.0924590000000001</v>
      </c>
      <c r="AF26">
        <v>1.1249199999999999</v>
      </c>
      <c r="AG26" s="22">
        <v>6.5000000000000002E-2</v>
      </c>
    </row>
    <row r="27" spans="1:33">
      <c r="A27" t="s">
        <v>236</v>
      </c>
      <c r="B27" t="s">
        <v>3406</v>
      </c>
      <c r="C27" t="s">
        <v>3405</v>
      </c>
      <c r="D27" t="s">
        <v>202</v>
      </c>
      <c r="F27">
        <v>0.56315499999999996</v>
      </c>
      <c r="G27">
        <v>0.50854999999999995</v>
      </c>
      <c r="H27">
        <v>0.45326300000000003</v>
      </c>
      <c r="I27">
        <v>0.40201100000000001</v>
      </c>
      <c r="J27">
        <v>0.35692600000000002</v>
      </c>
      <c r="K27">
        <v>0.320183</v>
      </c>
      <c r="L27">
        <v>0.28773399999999999</v>
      </c>
      <c r="M27">
        <v>0.25882300000000003</v>
      </c>
      <c r="N27">
        <v>0.233901</v>
      </c>
      <c r="O27">
        <v>0.21024899999999999</v>
      </c>
      <c r="P27">
        <v>0.1898</v>
      </c>
      <c r="Q27">
        <v>0.17246700000000001</v>
      </c>
      <c r="R27">
        <v>0.15728500000000001</v>
      </c>
      <c r="S27">
        <v>0.144478</v>
      </c>
      <c r="T27">
        <v>0.13336400000000001</v>
      </c>
      <c r="U27">
        <v>0.12360599999999999</v>
      </c>
      <c r="V27">
        <v>0.11543100000000001</v>
      </c>
      <c r="W27">
        <v>0.10784100000000001</v>
      </c>
      <c r="X27">
        <v>0.100605</v>
      </c>
      <c r="Y27">
        <v>9.3598000000000001E-2</v>
      </c>
      <c r="Z27">
        <v>8.6728E-2</v>
      </c>
      <c r="AA27">
        <v>7.9933000000000004E-2</v>
      </c>
      <c r="AB27">
        <v>7.2932999999999998E-2</v>
      </c>
      <c r="AC27">
        <v>6.5624000000000002E-2</v>
      </c>
      <c r="AD27">
        <v>5.7986999999999997E-2</v>
      </c>
      <c r="AE27">
        <v>5.0445999999999998E-2</v>
      </c>
      <c r="AF27">
        <v>4.2520000000000002E-2</v>
      </c>
      <c r="AG27" s="22">
        <v>-9.5000000000000001E-2</v>
      </c>
    </row>
    <row r="28" spans="1:33">
      <c r="A28" t="s">
        <v>237</v>
      </c>
      <c r="B28" t="s">
        <v>3404</v>
      </c>
      <c r="C28" t="s">
        <v>3403</v>
      </c>
      <c r="D28" t="s">
        <v>202</v>
      </c>
      <c r="F28">
        <v>2.1684999999999999E-2</v>
      </c>
      <c r="G28">
        <v>2.3281E-2</v>
      </c>
      <c r="H28">
        <v>2.4604000000000001E-2</v>
      </c>
      <c r="I28">
        <v>2.5850999999999999E-2</v>
      </c>
      <c r="J28">
        <v>2.6849999999999999E-2</v>
      </c>
      <c r="K28">
        <v>2.7718E-2</v>
      </c>
      <c r="L28">
        <v>2.8584999999999999E-2</v>
      </c>
      <c r="M28">
        <v>2.93E-2</v>
      </c>
      <c r="N28">
        <v>3.0084E-2</v>
      </c>
      <c r="O28">
        <v>3.0797999999999999E-2</v>
      </c>
      <c r="P28">
        <v>3.1477999999999999E-2</v>
      </c>
      <c r="Q28">
        <v>3.2091000000000001E-2</v>
      </c>
      <c r="R28">
        <v>3.2672E-2</v>
      </c>
      <c r="S28">
        <v>3.3252999999999998E-2</v>
      </c>
      <c r="T28">
        <v>3.3787999999999999E-2</v>
      </c>
      <c r="U28">
        <v>3.4255000000000001E-2</v>
      </c>
      <c r="V28">
        <v>3.4696999999999999E-2</v>
      </c>
      <c r="W28">
        <v>3.5131999999999997E-2</v>
      </c>
      <c r="X28">
        <v>3.5562999999999997E-2</v>
      </c>
      <c r="Y28">
        <v>3.5920000000000001E-2</v>
      </c>
      <c r="Z28">
        <v>3.6223999999999999E-2</v>
      </c>
      <c r="AA28">
        <v>3.6521999999999999E-2</v>
      </c>
      <c r="AB28">
        <v>3.6776999999999997E-2</v>
      </c>
      <c r="AC28">
        <v>3.7164000000000003E-2</v>
      </c>
      <c r="AD28">
        <v>3.7578E-2</v>
      </c>
      <c r="AE28">
        <v>3.7975000000000002E-2</v>
      </c>
      <c r="AF28">
        <v>3.8295000000000003E-2</v>
      </c>
      <c r="AG28" s="22">
        <v>2.1999999999999999E-2</v>
      </c>
    </row>
    <row r="29" spans="1:33">
      <c r="A29" t="s">
        <v>238</v>
      </c>
      <c r="B29" t="s">
        <v>3402</v>
      </c>
      <c r="C29" t="s">
        <v>3401</v>
      </c>
      <c r="D29" t="s">
        <v>202</v>
      </c>
      <c r="F29">
        <v>0</v>
      </c>
      <c r="G29">
        <v>0</v>
      </c>
      <c r="H29">
        <v>1.812E-3</v>
      </c>
      <c r="I29">
        <v>4.4209999999999996E-3</v>
      </c>
      <c r="J29">
        <v>8.4100000000000008E-3</v>
      </c>
      <c r="K29">
        <v>1.3413E-2</v>
      </c>
      <c r="L29">
        <v>1.8973E-2</v>
      </c>
      <c r="M29">
        <v>2.5016E-2</v>
      </c>
      <c r="N29">
        <v>3.1123999999999999E-2</v>
      </c>
      <c r="O29">
        <v>2.8725000000000001E-2</v>
      </c>
      <c r="P29">
        <v>2.6502000000000001E-2</v>
      </c>
      <c r="Q29">
        <v>2.4417999999999999E-2</v>
      </c>
      <c r="R29">
        <v>2.2536E-2</v>
      </c>
      <c r="S29">
        <v>2.0787E-2</v>
      </c>
      <c r="T29">
        <v>1.9154999999999998E-2</v>
      </c>
      <c r="U29">
        <v>1.7624999999999998E-2</v>
      </c>
      <c r="V29">
        <v>1.6230000000000001E-2</v>
      </c>
      <c r="W29">
        <v>1.4954E-2</v>
      </c>
      <c r="X29">
        <v>1.3782000000000001E-2</v>
      </c>
      <c r="Y29">
        <v>1.2718E-2</v>
      </c>
      <c r="Z29">
        <v>1.1752E-2</v>
      </c>
      <c r="AA29">
        <v>1.0893E-2</v>
      </c>
      <c r="AB29">
        <v>1.0121E-2</v>
      </c>
      <c r="AC29">
        <v>9.3299999999999998E-3</v>
      </c>
      <c r="AD29">
        <v>8.5830000000000004E-3</v>
      </c>
      <c r="AE29">
        <v>7.9159999999999994E-3</v>
      </c>
      <c r="AF29">
        <v>7.3150000000000003E-3</v>
      </c>
      <c r="AG29" t="s">
        <v>111</v>
      </c>
    </row>
    <row r="30" spans="1:33">
      <c r="A30" t="s">
        <v>239</v>
      </c>
      <c r="B30" t="s">
        <v>3400</v>
      </c>
      <c r="C30" t="s">
        <v>3399</v>
      </c>
      <c r="D30" t="s">
        <v>202</v>
      </c>
      <c r="F30">
        <v>0</v>
      </c>
      <c r="G30">
        <v>8.5570000000000004E-3</v>
      </c>
      <c r="H30">
        <v>1.7385999999999999E-2</v>
      </c>
      <c r="I30">
        <v>2.0511000000000001E-2</v>
      </c>
      <c r="J30">
        <v>1.9573E-2</v>
      </c>
      <c r="K30">
        <v>1.7939E-2</v>
      </c>
      <c r="L30">
        <v>1.6412E-2</v>
      </c>
      <c r="M30">
        <v>1.5066E-2</v>
      </c>
      <c r="N30">
        <v>1.3932999999999999E-2</v>
      </c>
      <c r="O30">
        <v>1.2857E-2</v>
      </c>
      <c r="P30">
        <v>1.1854999999999999E-2</v>
      </c>
      <c r="Q30">
        <v>1.0898E-2</v>
      </c>
      <c r="R30">
        <v>1.0045999999999999E-2</v>
      </c>
      <c r="S30">
        <v>9.2049999999999996E-3</v>
      </c>
      <c r="T30">
        <v>8.4309999999999993E-3</v>
      </c>
      <c r="U30">
        <v>7.7409999999999996E-3</v>
      </c>
      <c r="V30">
        <v>7.1500000000000001E-3</v>
      </c>
      <c r="W30">
        <v>6.6150000000000002E-3</v>
      </c>
      <c r="X30">
        <v>6.071E-3</v>
      </c>
      <c r="Y30">
        <v>5.5319999999999996E-3</v>
      </c>
      <c r="Z30">
        <v>5.0140000000000002E-3</v>
      </c>
      <c r="AA30">
        <v>4.6039999999999996E-3</v>
      </c>
      <c r="AB30">
        <v>4.2789999999999998E-3</v>
      </c>
      <c r="AC30">
        <v>4.006E-3</v>
      </c>
      <c r="AD30">
        <v>3.7469999999999999E-3</v>
      </c>
      <c r="AE30">
        <v>3.4919999999999999E-3</v>
      </c>
      <c r="AF30">
        <v>3.2469999999999999E-3</v>
      </c>
      <c r="AG30" t="s">
        <v>111</v>
      </c>
    </row>
    <row r="31" spans="1:33">
      <c r="A31" t="s">
        <v>240</v>
      </c>
      <c r="B31" t="s">
        <v>3398</v>
      </c>
      <c r="C31" t="s">
        <v>3397</v>
      </c>
      <c r="D31" t="s">
        <v>202</v>
      </c>
      <c r="F31">
        <v>0</v>
      </c>
      <c r="G31">
        <v>0</v>
      </c>
      <c r="H31">
        <v>0</v>
      </c>
      <c r="I31">
        <v>0</v>
      </c>
      <c r="J31">
        <v>0</v>
      </c>
      <c r="K31">
        <v>0</v>
      </c>
      <c r="L31">
        <v>0</v>
      </c>
      <c r="M31">
        <v>0</v>
      </c>
      <c r="N31">
        <v>0</v>
      </c>
      <c r="O31">
        <v>0</v>
      </c>
      <c r="P31">
        <v>0</v>
      </c>
      <c r="Q31">
        <v>0</v>
      </c>
      <c r="R31">
        <v>0</v>
      </c>
      <c r="S31">
        <v>0</v>
      </c>
      <c r="T31">
        <v>0</v>
      </c>
      <c r="U31">
        <v>0</v>
      </c>
      <c r="V31">
        <v>0</v>
      </c>
      <c r="W31">
        <v>0</v>
      </c>
      <c r="X31">
        <v>0</v>
      </c>
      <c r="Y31">
        <v>0</v>
      </c>
      <c r="Z31">
        <v>0</v>
      </c>
      <c r="AA31">
        <v>0</v>
      </c>
      <c r="AB31">
        <v>0</v>
      </c>
      <c r="AC31">
        <v>0</v>
      </c>
      <c r="AD31">
        <v>0</v>
      </c>
      <c r="AE31">
        <v>0</v>
      </c>
      <c r="AF31">
        <v>0</v>
      </c>
      <c r="AG31" t="s">
        <v>111</v>
      </c>
    </row>
    <row r="32" spans="1:33">
      <c r="A32" t="s">
        <v>2320</v>
      </c>
      <c r="B32" t="s">
        <v>3396</v>
      </c>
      <c r="C32" t="s">
        <v>3395</v>
      </c>
      <c r="D32" t="s">
        <v>202</v>
      </c>
      <c r="F32">
        <v>0</v>
      </c>
      <c r="G32">
        <v>0</v>
      </c>
      <c r="H32">
        <v>0</v>
      </c>
      <c r="I32">
        <v>0</v>
      </c>
      <c r="J32">
        <v>0</v>
      </c>
      <c r="K32">
        <v>0</v>
      </c>
      <c r="L32">
        <v>0</v>
      </c>
      <c r="M32">
        <v>0</v>
      </c>
      <c r="N32">
        <v>0</v>
      </c>
      <c r="O32">
        <v>0</v>
      </c>
      <c r="P32">
        <v>0</v>
      </c>
      <c r="Q32">
        <v>0</v>
      </c>
      <c r="R32">
        <v>0</v>
      </c>
      <c r="S32">
        <v>0</v>
      </c>
      <c r="T32">
        <v>0</v>
      </c>
      <c r="U32">
        <v>0</v>
      </c>
      <c r="V32">
        <v>0</v>
      </c>
      <c r="W32">
        <v>0</v>
      </c>
      <c r="X32">
        <v>0</v>
      </c>
      <c r="Y32">
        <v>0</v>
      </c>
      <c r="Z32">
        <v>0</v>
      </c>
      <c r="AA32">
        <v>0</v>
      </c>
      <c r="AB32">
        <v>0</v>
      </c>
      <c r="AC32">
        <v>0</v>
      </c>
      <c r="AD32">
        <v>0</v>
      </c>
      <c r="AE32">
        <v>0</v>
      </c>
      <c r="AF32">
        <v>0</v>
      </c>
      <c r="AG32" t="s">
        <v>111</v>
      </c>
    </row>
    <row r="33" spans="1:33">
      <c r="A33" t="s">
        <v>2317</v>
      </c>
      <c r="B33" t="s">
        <v>3394</v>
      </c>
      <c r="C33" t="s">
        <v>3393</v>
      </c>
      <c r="D33" t="s">
        <v>202</v>
      </c>
      <c r="F33">
        <v>0</v>
      </c>
      <c r="G33">
        <v>6.4962000000000006E-2</v>
      </c>
      <c r="H33">
        <v>0.15284300000000001</v>
      </c>
      <c r="I33">
        <v>0.26397999999999999</v>
      </c>
      <c r="J33">
        <v>0.39148899999999998</v>
      </c>
      <c r="K33">
        <v>0.54012800000000005</v>
      </c>
      <c r="L33">
        <v>0.72535000000000005</v>
      </c>
      <c r="M33">
        <v>0.96550199999999997</v>
      </c>
      <c r="N33">
        <v>1.2885960000000001</v>
      </c>
      <c r="O33">
        <v>1.7231620000000001</v>
      </c>
      <c r="P33">
        <v>2.2904900000000001</v>
      </c>
      <c r="Q33">
        <v>2.9959259999999999</v>
      </c>
      <c r="R33">
        <v>3.8416109999999999</v>
      </c>
      <c r="S33">
        <v>4.8051320000000004</v>
      </c>
      <c r="T33">
        <v>5.8463799999999999</v>
      </c>
      <c r="U33">
        <v>6.9121439999999996</v>
      </c>
      <c r="V33">
        <v>7.9788759999999996</v>
      </c>
      <c r="W33">
        <v>9.0158009999999997</v>
      </c>
      <c r="X33">
        <v>10.012964</v>
      </c>
      <c r="Y33">
        <v>10.950036000000001</v>
      </c>
      <c r="Z33">
        <v>11.814178999999999</v>
      </c>
      <c r="AA33">
        <v>12.617074000000001</v>
      </c>
      <c r="AB33">
        <v>13.349224</v>
      </c>
      <c r="AC33">
        <v>14.081083</v>
      </c>
      <c r="AD33">
        <v>14.773883</v>
      </c>
      <c r="AE33">
        <v>15.412091</v>
      </c>
      <c r="AF33">
        <v>15.978241000000001</v>
      </c>
      <c r="AG33" t="s">
        <v>111</v>
      </c>
    </row>
    <row r="34" spans="1:33">
      <c r="A34" t="s">
        <v>2314</v>
      </c>
      <c r="B34" t="s">
        <v>3392</v>
      </c>
      <c r="C34" t="s">
        <v>3391</v>
      </c>
      <c r="D34" t="s">
        <v>202</v>
      </c>
      <c r="F34">
        <v>0</v>
      </c>
      <c r="G34">
        <v>0</v>
      </c>
      <c r="H34">
        <v>0</v>
      </c>
      <c r="I34">
        <v>0</v>
      </c>
      <c r="J34">
        <v>0</v>
      </c>
      <c r="K34">
        <v>0</v>
      </c>
      <c r="L34">
        <v>0</v>
      </c>
      <c r="M34">
        <v>0</v>
      </c>
      <c r="N34">
        <v>0</v>
      </c>
      <c r="O34">
        <v>0</v>
      </c>
      <c r="P34">
        <v>0</v>
      </c>
      <c r="Q34">
        <v>0</v>
      </c>
      <c r="R34">
        <v>0</v>
      </c>
      <c r="S34">
        <v>0</v>
      </c>
      <c r="T34">
        <v>0</v>
      </c>
      <c r="U34">
        <v>0</v>
      </c>
      <c r="V34">
        <v>0</v>
      </c>
      <c r="W34">
        <v>0</v>
      </c>
      <c r="X34">
        <v>0</v>
      </c>
      <c r="Y34">
        <v>0</v>
      </c>
      <c r="Z34">
        <v>0</v>
      </c>
      <c r="AA34">
        <v>0</v>
      </c>
      <c r="AB34">
        <v>0</v>
      </c>
      <c r="AC34">
        <v>0</v>
      </c>
      <c r="AD34">
        <v>0</v>
      </c>
      <c r="AE34">
        <v>0</v>
      </c>
      <c r="AF34">
        <v>0</v>
      </c>
      <c r="AG34" t="s">
        <v>111</v>
      </c>
    </row>
    <row r="35" spans="1:33" s="94" customFormat="1">
      <c r="A35" s="94" t="s">
        <v>242</v>
      </c>
      <c r="B35" s="94" t="s">
        <v>3390</v>
      </c>
      <c r="C35" s="94" t="s">
        <v>3389</v>
      </c>
      <c r="D35" s="94" t="s">
        <v>202</v>
      </c>
      <c r="F35" s="94">
        <v>62.669761999999999</v>
      </c>
      <c r="G35" s="94">
        <v>62.306469</v>
      </c>
      <c r="H35" s="94">
        <v>61.636169000000002</v>
      </c>
      <c r="I35" s="94">
        <v>61.069248000000002</v>
      </c>
      <c r="J35" s="94">
        <v>60.511715000000002</v>
      </c>
      <c r="K35" s="94">
        <v>60.140095000000002</v>
      </c>
      <c r="L35" s="94">
        <v>59.894455000000001</v>
      </c>
      <c r="M35" s="94">
        <v>59.670211999999999</v>
      </c>
      <c r="N35" s="94">
        <v>59.550327000000003</v>
      </c>
      <c r="O35" s="94">
        <v>59.398045000000003</v>
      </c>
      <c r="P35" s="94">
        <v>59.327106000000001</v>
      </c>
      <c r="Q35" s="94">
        <v>59.290576999999999</v>
      </c>
      <c r="R35" s="94">
        <v>59.361587999999998</v>
      </c>
      <c r="S35" s="94">
        <v>59.521720999999999</v>
      </c>
      <c r="T35" s="94">
        <v>59.692307</v>
      </c>
      <c r="U35" s="94">
        <v>59.831532000000003</v>
      </c>
      <c r="V35" s="94">
        <v>60.013888999999999</v>
      </c>
      <c r="W35" s="94">
        <v>60.179622999999999</v>
      </c>
      <c r="X35" s="94">
        <v>60.380524000000001</v>
      </c>
      <c r="Y35" s="94">
        <v>60.561053999999999</v>
      </c>
      <c r="Z35" s="94">
        <v>60.717669999999998</v>
      </c>
      <c r="AA35" s="94">
        <v>60.904583000000002</v>
      </c>
      <c r="AB35" s="94">
        <v>61.056731999999997</v>
      </c>
      <c r="AC35" s="94">
        <v>61.433689000000001</v>
      </c>
      <c r="AD35" s="94">
        <v>61.823250000000002</v>
      </c>
      <c r="AE35" s="94">
        <v>62.164485999999997</v>
      </c>
      <c r="AF35" s="94">
        <v>62.394100000000002</v>
      </c>
      <c r="AG35" s="95">
        <v>0</v>
      </c>
    </row>
    <row r="36" spans="1:33">
      <c r="A36" t="s">
        <v>243</v>
      </c>
    </row>
    <row r="37" spans="1:33">
      <c r="A37" t="s">
        <v>189</v>
      </c>
      <c r="B37" t="s">
        <v>3388</v>
      </c>
      <c r="C37" t="s">
        <v>3387</v>
      </c>
      <c r="D37" t="s">
        <v>202</v>
      </c>
      <c r="F37">
        <v>192.94982899999999</v>
      </c>
      <c r="G37">
        <v>197.59063699999999</v>
      </c>
      <c r="H37">
        <v>200.97595200000001</v>
      </c>
      <c r="I37">
        <v>204.19201699999999</v>
      </c>
      <c r="J37">
        <v>206.488708</v>
      </c>
      <c r="K37">
        <v>208.58886699999999</v>
      </c>
      <c r="L37">
        <v>210.49195900000001</v>
      </c>
      <c r="M37">
        <v>211.89570599999999</v>
      </c>
      <c r="N37">
        <v>213.206253</v>
      </c>
      <c r="O37">
        <v>214.241714</v>
      </c>
      <c r="P37">
        <v>215.399506</v>
      </c>
      <c r="Q37">
        <v>216.51177999999999</v>
      </c>
      <c r="R37">
        <v>217.892349</v>
      </c>
      <c r="S37">
        <v>219.42524700000001</v>
      </c>
      <c r="T37">
        <v>220.96220400000001</v>
      </c>
      <c r="U37">
        <v>222.213562</v>
      </c>
      <c r="V37">
        <v>223.48240699999999</v>
      </c>
      <c r="W37">
        <v>224.63845800000001</v>
      </c>
      <c r="X37">
        <v>225.79357899999999</v>
      </c>
      <c r="Y37">
        <v>226.73658800000001</v>
      </c>
      <c r="Z37">
        <v>227.47717299999999</v>
      </c>
      <c r="AA37">
        <v>228.256531</v>
      </c>
      <c r="AB37">
        <v>228.81037900000001</v>
      </c>
      <c r="AC37">
        <v>230.14291399999999</v>
      </c>
      <c r="AD37">
        <v>231.487762</v>
      </c>
      <c r="AE37">
        <v>232.64764400000001</v>
      </c>
      <c r="AF37">
        <v>233.4263</v>
      </c>
      <c r="AG37" s="22">
        <v>7.0000000000000001E-3</v>
      </c>
    </row>
    <row r="38" spans="1:33">
      <c r="A38" t="s">
        <v>235</v>
      </c>
      <c r="B38" t="s">
        <v>3386</v>
      </c>
      <c r="C38" t="s">
        <v>3385</v>
      </c>
      <c r="D38" t="s">
        <v>202</v>
      </c>
      <c r="F38">
        <v>0.17944199999999999</v>
      </c>
      <c r="G38">
        <v>0.15498799999999999</v>
      </c>
      <c r="H38">
        <v>0.13519600000000001</v>
      </c>
      <c r="I38">
        <v>0.119259</v>
      </c>
      <c r="J38">
        <v>0.106646</v>
      </c>
      <c r="K38">
        <v>9.7213999999999995E-2</v>
      </c>
      <c r="L38">
        <v>8.9940000000000006E-2</v>
      </c>
      <c r="M38">
        <v>8.3801E-2</v>
      </c>
      <c r="N38">
        <v>7.8592999999999996E-2</v>
      </c>
      <c r="O38">
        <v>7.3761999999999994E-2</v>
      </c>
      <c r="P38">
        <v>7.0135000000000003E-2</v>
      </c>
      <c r="Q38">
        <v>6.7147999999999999E-2</v>
      </c>
      <c r="R38">
        <v>6.4902000000000001E-2</v>
      </c>
      <c r="S38">
        <v>6.2685000000000005E-2</v>
      </c>
      <c r="T38">
        <v>6.0434000000000002E-2</v>
      </c>
      <c r="U38">
        <v>5.8535999999999998E-2</v>
      </c>
      <c r="V38">
        <v>5.7188000000000003E-2</v>
      </c>
      <c r="W38">
        <v>5.5987000000000002E-2</v>
      </c>
      <c r="X38">
        <v>5.4594999999999998E-2</v>
      </c>
      <c r="Y38">
        <v>5.3534999999999999E-2</v>
      </c>
      <c r="Z38">
        <v>5.2807E-2</v>
      </c>
      <c r="AA38">
        <v>5.2412E-2</v>
      </c>
      <c r="AB38">
        <v>5.2122000000000002E-2</v>
      </c>
      <c r="AC38">
        <v>5.2130000000000003E-2</v>
      </c>
      <c r="AD38">
        <v>5.2162E-2</v>
      </c>
      <c r="AE38">
        <v>5.2194999999999998E-2</v>
      </c>
      <c r="AF38">
        <v>5.2098999999999999E-2</v>
      </c>
      <c r="AG38" s="22">
        <v>-4.5999999999999999E-2</v>
      </c>
    </row>
    <row r="39" spans="1:33">
      <c r="A39" t="s">
        <v>192</v>
      </c>
      <c r="B39" t="s">
        <v>3384</v>
      </c>
      <c r="C39" t="s">
        <v>3383</v>
      </c>
      <c r="D39" t="s">
        <v>202</v>
      </c>
      <c r="F39">
        <v>4.7856000000000003E-2</v>
      </c>
      <c r="G39">
        <v>5.7736999999999997E-2</v>
      </c>
      <c r="H39">
        <v>6.6908999999999996E-2</v>
      </c>
      <c r="I39">
        <v>7.5483999999999996E-2</v>
      </c>
      <c r="J39">
        <v>8.2448999999999995E-2</v>
      </c>
      <c r="K39">
        <v>8.8404999999999997E-2</v>
      </c>
      <c r="L39">
        <v>9.3265000000000001E-2</v>
      </c>
      <c r="M39">
        <v>9.6863000000000005E-2</v>
      </c>
      <c r="N39">
        <v>9.9866999999999997E-2</v>
      </c>
      <c r="O39">
        <v>0.102191</v>
      </c>
      <c r="P39">
        <v>0.104356</v>
      </c>
      <c r="Q39">
        <v>0.105952</v>
      </c>
      <c r="R39">
        <v>0.10739799999999999</v>
      </c>
      <c r="S39">
        <v>0.108672</v>
      </c>
      <c r="T39">
        <v>0.109947</v>
      </c>
      <c r="U39">
        <v>0.111064</v>
      </c>
      <c r="V39">
        <v>0.11217199999999999</v>
      </c>
      <c r="W39">
        <v>0.11304699999999999</v>
      </c>
      <c r="X39">
        <v>0.113818</v>
      </c>
      <c r="Y39">
        <v>0.114437</v>
      </c>
      <c r="Z39">
        <v>0.114983</v>
      </c>
      <c r="AA39">
        <v>0.115591</v>
      </c>
      <c r="AB39">
        <v>0.11615499999999999</v>
      </c>
      <c r="AC39">
        <v>0.11715</v>
      </c>
      <c r="AD39">
        <v>0.118132</v>
      </c>
      <c r="AE39">
        <v>0.118927</v>
      </c>
      <c r="AF39">
        <v>0.119593</v>
      </c>
      <c r="AG39" s="22">
        <v>3.5999999999999997E-2</v>
      </c>
    </row>
    <row r="40" spans="1:33">
      <c r="A40" t="s">
        <v>195</v>
      </c>
      <c r="B40" t="s">
        <v>3382</v>
      </c>
      <c r="C40" t="s">
        <v>3381</v>
      </c>
      <c r="D40" t="s">
        <v>202</v>
      </c>
      <c r="F40">
        <v>2.1094580000000001</v>
      </c>
      <c r="G40">
        <v>2.214413</v>
      </c>
      <c r="H40">
        <v>2.3001610000000001</v>
      </c>
      <c r="I40">
        <v>2.3472629999999999</v>
      </c>
      <c r="J40">
        <v>2.3785280000000002</v>
      </c>
      <c r="K40">
        <v>2.4064909999999999</v>
      </c>
      <c r="L40">
        <v>2.4318550000000001</v>
      </c>
      <c r="M40">
        <v>2.4521289999999998</v>
      </c>
      <c r="N40">
        <v>2.4740410000000002</v>
      </c>
      <c r="O40">
        <v>2.4960559999999998</v>
      </c>
      <c r="P40">
        <v>2.521617</v>
      </c>
      <c r="Q40">
        <v>2.5483570000000002</v>
      </c>
      <c r="R40">
        <v>2.5778829999999999</v>
      </c>
      <c r="S40">
        <v>2.617191</v>
      </c>
      <c r="T40">
        <v>2.654404</v>
      </c>
      <c r="U40">
        <v>2.6962579999999998</v>
      </c>
      <c r="V40">
        <v>2.7533029999999998</v>
      </c>
      <c r="W40">
        <v>2.8257400000000001</v>
      </c>
      <c r="X40">
        <v>2.9015680000000001</v>
      </c>
      <c r="Y40">
        <v>2.9739230000000001</v>
      </c>
      <c r="Z40">
        <v>3.0567959999999998</v>
      </c>
      <c r="AA40">
        <v>3.1516289999999998</v>
      </c>
      <c r="AB40">
        <v>3.2652610000000002</v>
      </c>
      <c r="AC40">
        <v>3.4182450000000002</v>
      </c>
      <c r="AD40">
        <v>3.6164770000000002</v>
      </c>
      <c r="AE40">
        <v>3.8481260000000002</v>
      </c>
      <c r="AF40">
        <v>4.1315439999999999</v>
      </c>
      <c r="AG40" s="22">
        <v>2.5999999999999999E-2</v>
      </c>
    </row>
    <row r="41" spans="1:33">
      <c r="A41" t="s">
        <v>236</v>
      </c>
      <c r="B41" t="s">
        <v>3380</v>
      </c>
      <c r="C41" t="s">
        <v>3379</v>
      </c>
      <c r="D41" t="s">
        <v>202</v>
      </c>
      <c r="F41">
        <v>0</v>
      </c>
      <c r="G41">
        <v>0</v>
      </c>
      <c r="H41">
        <v>0</v>
      </c>
      <c r="I41">
        <v>0</v>
      </c>
      <c r="J41">
        <v>0</v>
      </c>
      <c r="K41">
        <v>0</v>
      </c>
      <c r="L41">
        <v>0</v>
      </c>
      <c r="M41">
        <v>0</v>
      </c>
      <c r="N41">
        <v>0</v>
      </c>
      <c r="O41">
        <v>0</v>
      </c>
      <c r="P41">
        <v>0</v>
      </c>
      <c r="Q41">
        <v>0</v>
      </c>
      <c r="R41">
        <v>0</v>
      </c>
      <c r="S41">
        <v>0</v>
      </c>
      <c r="T41">
        <v>0</v>
      </c>
      <c r="U41">
        <v>0</v>
      </c>
      <c r="V41">
        <v>0</v>
      </c>
      <c r="W41">
        <v>0</v>
      </c>
      <c r="X41">
        <v>0</v>
      </c>
      <c r="Y41">
        <v>0</v>
      </c>
      <c r="Z41">
        <v>0</v>
      </c>
      <c r="AA41">
        <v>0</v>
      </c>
      <c r="AB41">
        <v>0</v>
      </c>
      <c r="AC41">
        <v>0</v>
      </c>
      <c r="AD41">
        <v>0</v>
      </c>
      <c r="AE41">
        <v>0</v>
      </c>
      <c r="AF41">
        <v>0</v>
      </c>
      <c r="AG41" t="s">
        <v>111</v>
      </c>
    </row>
    <row r="42" spans="1:33">
      <c r="A42" t="s">
        <v>237</v>
      </c>
      <c r="B42" t="s">
        <v>3378</v>
      </c>
      <c r="C42" t="s">
        <v>3377</v>
      </c>
      <c r="D42" t="s">
        <v>202</v>
      </c>
      <c r="F42">
        <v>0.18515499999999999</v>
      </c>
      <c r="G42">
        <v>0.24551999999999999</v>
      </c>
      <c r="H42">
        <v>0.30169099999999999</v>
      </c>
      <c r="I42">
        <v>0.35297400000000001</v>
      </c>
      <c r="J42">
        <v>0.39618599999999998</v>
      </c>
      <c r="K42">
        <v>0.43319400000000002</v>
      </c>
      <c r="L42">
        <v>0.46518399999999999</v>
      </c>
      <c r="M42">
        <v>0.49213899999999999</v>
      </c>
      <c r="N42">
        <v>0.51570899999999997</v>
      </c>
      <c r="O42">
        <v>0.53597600000000001</v>
      </c>
      <c r="P42">
        <v>0.55396900000000004</v>
      </c>
      <c r="Q42">
        <v>0.56943999999999995</v>
      </c>
      <c r="R42">
        <v>0.58362599999999998</v>
      </c>
      <c r="S42">
        <v>0.596418</v>
      </c>
      <c r="T42">
        <v>0.60785299999999998</v>
      </c>
      <c r="U42">
        <v>0.61746599999999996</v>
      </c>
      <c r="V42">
        <v>0.62655300000000003</v>
      </c>
      <c r="W42">
        <v>0.63464799999999999</v>
      </c>
      <c r="X42">
        <v>0.64217500000000005</v>
      </c>
      <c r="Y42">
        <v>0.64864299999999997</v>
      </c>
      <c r="Z42">
        <v>0.65428299999999995</v>
      </c>
      <c r="AA42">
        <v>0.66003299999999998</v>
      </c>
      <c r="AB42">
        <v>0.66523100000000002</v>
      </c>
      <c r="AC42">
        <v>0.67273099999999997</v>
      </c>
      <c r="AD42">
        <v>0.68039099999999997</v>
      </c>
      <c r="AE42">
        <v>0.68770299999999995</v>
      </c>
      <c r="AF42">
        <v>0.69397600000000004</v>
      </c>
      <c r="AG42" s="22">
        <v>5.1999999999999998E-2</v>
      </c>
    </row>
    <row r="43" spans="1:33">
      <c r="A43" t="s">
        <v>238</v>
      </c>
      <c r="B43" t="s">
        <v>3376</v>
      </c>
      <c r="C43" t="s">
        <v>3375</v>
      </c>
      <c r="D43" t="s">
        <v>202</v>
      </c>
      <c r="F43">
        <v>0</v>
      </c>
      <c r="G43">
        <v>0</v>
      </c>
      <c r="H43">
        <v>1.5969999999999999E-3</v>
      </c>
      <c r="I43">
        <v>4.424E-3</v>
      </c>
      <c r="J43">
        <v>7.4520000000000003E-3</v>
      </c>
      <c r="K43">
        <v>1.0940999999999999E-2</v>
      </c>
      <c r="L43">
        <v>1.4944000000000001E-2</v>
      </c>
      <c r="M43">
        <v>1.9642E-2</v>
      </c>
      <c r="N43">
        <v>2.5437999999999999E-2</v>
      </c>
      <c r="O43">
        <v>2.3895E-2</v>
      </c>
      <c r="P43">
        <v>2.2523999999999999E-2</v>
      </c>
      <c r="Q43">
        <v>2.1420999999999999E-2</v>
      </c>
      <c r="R43">
        <v>2.0462999999999999E-2</v>
      </c>
      <c r="S43">
        <v>1.9831000000000001E-2</v>
      </c>
      <c r="T43">
        <v>1.9446999999999999E-2</v>
      </c>
      <c r="U43">
        <v>1.9268E-2</v>
      </c>
      <c r="V43">
        <v>1.9012999999999999E-2</v>
      </c>
      <c r="W43">
        <v>1.8571000000000001E-2</v>
      </c>
      <c r="X43">
        <v>1.7878000000000002E-2</v>
      </c>
      <c r="Y43">
        <v>1.6910999999999999E-2</v>
      </c>
      <c r="Z43">
        <v>1.5798E-2</v>
      </c>
      <c r="AA43">
        <v>1.456E-2</v>
      </c>
      <c r="AB43">
        <v>1.3139E-2</v>
      </c>
      <c r="AC43">
        <v>1.1603E-2</v>
      </c>
      <c r="AD43">
        <v>1.0300999999999999E-2</v>
      </c>
      <c r="AE43">
        <v>9.221E-3</v>
      </c>
      <c r="AF43">
        <v>8.345E-3</v>
      </c>
      <c r="AG43" t="s">
        <v>111</v>
      </c>
    </row>
    <row r="44" spans="1:33">
      <c r="A44" t="s">
        <v>239</v>
      </c>
      <c r="B44" t="s">
        <v>3374</v>
      </c>
      <c r="C44" t="s">
        <v>3373</v>
      </c>
      <c r="D44" t="s">
        <v>202</v>
      </c>
      <c r="F44">
        <v>0</v>
      </c>
      <c r="G44">
        <v>0</v>
      </c>
      <c r="H44">
        <v>0</v>
      </c>
      <c r="I44">
        <v>0</v>
      </c>
      <c r="J44">
        <v>0</v>
      </c>
      <c r="K44">
        <v>0</v>
      </c>
      <c r="L44">
        <v>0</v>
      </c>
      <c r="M44">
        <v>0</v>
      </c>
      <c r="N44">
        <v>0</v>
      </c>
      <c r="O44">
        <v>0</v>
      </c>
      <c r="P44">
        <v>0</v>
      </c>
      <c r="Q44">
        <v>0</v>
      </c>
      <c r="R44">
        <v>0</v>
      </c>
      <c r="S44">
        <v>0</v>
      </c>
      <c r="T44">
        <v>0</v>
      </c>
      <c r="U44">
        <v>0</v>
      </c>
      <c r="V44">
        <v>0</v>
      </c>
      <c r="W44">
        <v>0</v>
      </c>
      <c r="X44">
        <v>0</v>
      </c>
      <c r="Y44">
        <v>0</v>
      </c>
      <c r="Z44">
        <v>0</v>
      </c>
      <c r="AA44">
        <v>0</v>
      </c>
      <c r="AB44">
        <v>0</v>
      </c>
      <c r="AC44">
        <v>0</v>
      </c>
      <c r="AD44">
        <v>0</v>
      </c>
      <c r="AE44">
        <v>0</v>
      </c>
      <c r="AF44">
        <v>0</v>
      </c>
      <c r="AG44" t="s">
        <v>111</v>
      </c>
    </row>
    <row r="45" spans="1:33">
      <c r="A45" t="s">
        <v>240</v>
      </c>
      <c r="B45" t="s">
        <v>3372</v>
      </c>
      <c r="C45" t="s">
        <v>3371</v>
      </c>
      <c r="D45" t="s">
        <v>202</v>
      </c>
      <c r="F45">
        <v>0</v>
      </c>
      <c r="G45">
        <v>0</v>
      </c>
      <c r="H45">
        <v>0</v>
      </c>
      <c r="I45">
        <v>0</v>
      </c>
      <c r="J45">
        <v>0</v>
      </c>
      <c r="K45">
        <v>0</v>
      </c>
      <c r="L45">
        <v>0</v>
      </c>
      <c r="M45">
        <v>0</v>
      </c>
      <c r="N45">
        <v>0</v>
      </c>
      <c r="O45">
        <v>0</v>
      </c>
      <c r="P45">
        <v>0</v>
      </c>
      <c r="Q45">
        <v>0</v>
      </c>
      <c r="R45">
        <v>0</v>
      </c>
      <c r="S45">
        <v>0</v>
      </c>
      <c r="T45">
        <v>0</v>
      </c>
      <c r="U45">
        <v>0</v>
      </c>
      <c r="V45">
        <v>0</v>
      </c>
      <c r="W45">
        <v>0</v>
      </c>
      <c r="X45">
        <v>0</v>
      </c>
      <c r="Y45">
        <v>0</v>
      </c>
      <c r="Z45">
        <v>0</v>
      </c>
      <c r="AA45">
        <v>0</v>
      </c>
      <c r="AB45">
        <v>0</v>
      </c>
      <c r="AC45">
        <v>0</v>
      </c>
      <c r="AD45">
        <v>0</v>
      </c>
      <c r="AE45">
        <v>0</v>
      </c>
      <c r="AF45">
        <v>0</v>
      </c>
      <c r="AG45" t="s">
        <v>111</v>
      </c>
    </row>
    <row r="46" spans="1:33">
      <c r="A46" t="s">
        <v>2320</v>
      </c>
      <c r="B46" t="s">
        <v>3370</v>
      </c>
      <c r="C46" t="s">
        <v>3369</v>
      </c>
      <c r="D46" t="s">
        <v>202</v>
      </c>
      <c r="F46">
        <v>0</v>
      </c>
      <c r="G46">
        <v>0</v>
      </c>
      <c r="H46">
        <v>0</v>
      </c>
      <c r="I46">
        <v>0</v>
      </c>
      <c r="J46">
        <v>0</v>
      </c>
      <c r="K46">
        <v>0</v>
      </c>
      <c r="L46">
        <v>0</v>
      </c>
      <c r="M46">
        <v>0</v>
      </c>
      <c r="N46">
        <v>0</v>
      </c>
      <c r="O46">
        <v>0</v>
      </c>
      <c r="P46">
        <v>0</v>
      </c>
      <c r="Q46">
        <v>0</v>
      </c>
      <c r="R46">
        <v>0</v>
      </c>
      <c r="S46">
        <v>0</v>
      </c>
      <c r="T46">
        <v>0</v>
      </c>
      <c r="U46">
        <v>0</v>
      </c>
      <c r="V46">
        <v>0</v>
      </c>
      <c r="W46">
        <v>0</v>
      </c>
      <c r="X46">
        <v>0</v>
      </c>
      <c r="Y46">
        <v>0</v>
      </c>
      <c r="Z46">
        <v>0</v>
      </c>
      <c r="AA46">
        <v>0</v>
      </c>
      <c r="AB46">
        <v>0</v>
      </c>
      <c r="AC46">
        <v>0</v>
      </c>
      <c r="AD46">
        <v>0</v>
      </c>
      <c r="AE46">
        <v>0</v>
      </c>
      <c r="AF46">
        <v>0</v>
      </c>
      <c r="AG46" t="s">
        <v>111</v>
      </c>
    </row>
    <row r="47" spans="1:33">
      <c r="A47" t="s">
        <v>2317</v>
      </c>
      <c r="B47" t="s">
        <v>3368</v>
      </c>
      <c r="C47" t="s">
        <v>3367</v>
      </c>
      <c r="D47" t="s">
        <v>202</v>
      </c>
      <c r="F47">
        <v>0</v>
      </c>
      <c r="G47">
        <v>0</v>
      </c>
      <c r="H47">
        <v>0</v>
      </c>
      <c r="I47">
        <v>0</v>
      </c>
      <c r="J47">
        <v>0</v>
      </c>
      <c r="K47">
        <v>0</v>
      </c>
      <c r="L47">
        <v>0</v>
      </c>
      <c r="M47">
        <v>0</v>
      </c>
      <c r="N47">
        <v>0</v>
      </c>
      <c r="O47">
        <v>0</v>
      </c>
      <c r="P47">
        <v>0</v>
      </c>
      <c r="Q47">
        <v>0</v>
      </c>
      <c r="R47">
        <v>0</v>
      </c>
      <c r="S47">
        <v>0</v>
      </c>
      <c r="T47">
        <v>0</v>
      </c>
      <c r="U47">
        <v>0</v>
      </c>
      <c r="V47">
        <v>0</v>
      </c>
      <c r="W47">
        <v>0</v>
      </c>
      <c r="X47">
        <v>0</v>
      </c>
      <c r="Y47">
        <v>0</v>
      </c>
      <c r="Z47">
        <v>0</v>
      </c>
      <c r="AA47">
        <v>0</v>
      </c>
      <c r="AB47">
        <v>0</v>
      </c>
      <c r="AC47">
        <v>0</v>
      </c>
      <c r="AD47">
        <v>0</v>
      </c>
      <c r="AE47">
        <v>0</v>
      </c>
      <c r="AF47">
        <v>0</v>
      </c>
      <c r="AG47" t="s">
        <v>111</v>
      </c>
    </row>
    <row r="48" spans="1:33">
      <c r="A48" t="s">
        <v>2314</v>
      </c>
      <c r="B48" t="s">
        <v>3366</v>
      </c>
      <c r="C48" t="s">
        <v>3365</v>
      </c>
      <c r="D48" t="s">
        <v>202</v>
      </c>
      <c r="F48">
        <v>0</v>
      </c>
      <c r="G48">
        <v>0</v>
      </c>
      <c r="H48">
        <v>0</v>
      </c>
      <c r="I48">
        <v>0</v>
      </c>
      <c r="J48">
        <v>0</v>
      </c>
      <c r="K48">
        <v>0</v>
      </c>
      <c r="L48">
        <v>0</v>
      </c>
      <c r="M48">
        <v>0</v>
      </c>
      <c r="N48">
        <v>0</v>
      </c>
      <c r="O48">
        <v>0</v>
      </c>
      <c r="P48">
        <v>0</v>
      </c>
      <c r="Q48">
        <v>0</v>
      </c>
      <c r="R48">
        <v>0</v>
      </c>
      <c r="S48">
        <v>0</v>
      </c>
      <c r="T48">
        <v>0</v>
      </c>
      <c r="U48">
        <v>0</v>
      </c>
      <c r="V48">
        <v>0</v>
      </c>
      <c r="W48">
        <v>0</v>
      </c>
      <c r="X48">
        <v>0</v>
      </c>
      <c r="Y48">
        <v>0</v>
      </c>
      <c r="Z48">
        <v>0</v>
      </c>
      <c r="AA48">
        <v>0</v>
      </c>
      <c r="AB48">
        <v>0</v>
      </c>
      <c r="AC48">
        <v>0</v>
      </c>
      <c r="AD48">
        <v>0</v>
      </c>
      <c r="AE48">
        <v>0</v>
      </c>
      <c r="AF48">
        <v>0</v>
      </c>
      <c r="AG48" t="s">
        <v>111</v>
      </c>
    </row>
    <row r="49" spans="1:33">
      <c r="A49" t="s">
        <v>244</v>
      </c>
      <c r="B49" t="s">
        <v>3364</v>
      </c>
      <c r="C49" t="s">
        <v>3363</v>
      </c>
      <c r="D49" t="s">
        <v>202</v>
      </c>
      <c r="F49">
        <v>195.47178600000001</v>
      </c>
      <c r="G49">
        <v>200.263214</v>
      </c>
      <c r="H49">
        <v>203.781387</v>
      </c>
      <c r="I49">
        <v>207.091309</v>
      </c>
      <c r="J49">
        <v>209.459946</v>
      </c>
      <c r="K49">
        <v>211.624908</v>
      </c>
      <c r="L49">
        <v>213.58685299999999</v>
      </c>
      <c r="M49">
        <v>215.039703</v>
      </c>
      <c r="N49">
        <v>216.39988700000001</v>
      </c>
      <c r="O49">
        <v>217.47335799999999</v>
      </c>
      <c r="P49">
        <v>218.671783</v>
      </c>
      <c r="Q49">
        <v>219.823669</v>
      </c>
      <c r="R49">
        <v>221.246475</v>
      </c>
      <c r="S49">
        <v>222.829758</v>
      </c>
      <c r="T49">
        <v>224.413895</v>
      </c>
      <c r="U49">
        <v>225.715836</v>
      </c>
      <c r="V49">
        <v>227.05023199999999</v>
      </c>
      <c r="W49">
        <v>228.286179</v>
      </c>
      <c r="X49">
        <v>229.52342200000001</v>
      </c>
      <c r="Y49">
        <v>230.54377700000001</v>
      </c>
      <c r="Z49">
        <v>231.37148999999999</v>
      </c>
      <c r="AA49">
        <v>232.25056499999999</v>
      </c>
      <c r="AB49">
        <v>232.92233300000001</v>
      </c>
      <c r="AC49">
        <v>234.414322</v>
      </c>
      <c r="AD49">
        <v>235.96463</v>
      </c>
      <c r="AE49">
        <v>237.36372399999999</v>
      </c>
      <c r="AF49">
        <v>238.431488</v>
      </c>
      <c r="AG49" s="22">
        <v>8.0000000000000002E-3</v>
      </c>
    </row>
    <row r="50" spans="1:33">
      <c r="A50" t="s">
        <v>245</v>
      </c>
      <c r="B50" t="s">
        <v>3362</v>
      </c>
      <c r="C50" t="s">
        <v>3361</v>
      </c>
      <c r="D50" t="s">
        <v>202</v>
      </c>
      <c r="F50">
        <v>340.05352800000003</v>
      </c>
      <c r="G50">
        <v>346.20687900000001</v>
      </c>
      <c r="H50">
        <v>350.06643700000001</v>
      </c>
      <c r="I50">
        <v>353.524384</v>
      </c>
      <c r="J50">
        <v>356.01034499999997</v>
      </c>
      <c r="K50">
        <v>358.95349099999999</v>
      </c>
      <c r="L50">
        <v>362.113586</v>
      </c>
      <c r="M50">
        <v>364.84457400000002</v>
      </c>
      <c r="N50">
        <v>367.71246300000001</v>
      </c>
      <c r="O50">
        <v>370.27838100000002</v>
      </c>
      <c r="P50">
        <v>373.22351099999997</v>
      </c>
      <c r="Q50">
        <v>376.19232199999999</v>
      </c>
      <c r="R50">
        <v>379.62286399999999</v>
      </c>
      <c r="S50">
        <v>383.28610200000003</v>
      </c>
      <c r="T50">
        <v>386.97692899999998</v>
      </c>
      <c r="U50">
        <v>390.32254</v>
      </c>
      <c r="V50">
        <v>393.88848899999999</v>
      </c>
      <c r="W50">
        <v>397.25256300000001</v>
      </c>
      <c r="X50">
        <v>400.59161399999999</v>
      </c>
      <c r="Y50">
        <v>403.49899299999998</v>
      </c>
      <c r="Z50">
        <v>406.14782700000001</v>
      </c>
      <c r="AA50">
        <v>409.07757600000002</v>
      </c>
      <c r="AB50">
        <v>411.83511399999998</v>
      </c>
      <c r="AC50">
        <v>416.007904</v>
      </c>
      <c r="AD50">
        <v>420.09542800000003</v>
      </c>
      <c r="AE50">
        <v>423.83947799999999</v>
      </c>
      <c r="AF50">
        <v>427.049103</v>
      </c>
      <c r="AG50" s="22">
        <v>8.9999999999999993E-3</v>
      </c>
    </row>
    <row r="51" spans="1:33">
      <c r="A51" t="s">
        <v>246</v>
      </c>
    </row>
    <row r="52" spans="1:33">
      <c r="A52" t="s">
        <v>170</v>
      </c>
    </row>
    <row r="53" spans="1:33">
      <c r="A53" t="s">
        <v>189</v>
      </c>
      <c r="B53" t="s">
        <v>3360</v>
      </c>
      <c r="C53" t="s">
        <v>3359</v>
      </c>
      <c r="D53" t="s">
        <v>201</v>
      </c>
      <c r="F53">
        <v>539.32830799999999</v>
      </c>
      <c r="G53">
        <v>535.87744099999998</v>
      </c>
      <c r="H53">
        <v>526.47082499999999</v>
      </c>
      <c r="I53">
        <v>514.90979000000004</v>
      </c>
      <c r="J53">
        <v>500.66012599999999</v>
      </c>
      <c r="K53">
        <v>487.09197999999998</v>
      </c>
      <c r="L53">
        <v>472.83761600000003</v>
      </c>
      <c r="M53">
        <v>456.98330700000002</v>
      </c>
      <c r="N53">
        <v>439.54986600000001</v>
      </c>
      <c r="O53">
        <v>421.112213</v>
      </c>
      <c r="P53">
        <v>402.77359000000001</v>
      </c>
      <c r="Q53">
        <v>384.41812099999999</v>
      </c>
      <c r="R53">
        <v>366.71688799999998</v>
      </c>
      <c r="S53">
        <v>349.36556999999999</v>
      </c>
      <c r="T53">
        <v>331.83755500000001</v>
      </c>
      <c r="U53">
        <v>313.92739899999998</v>
      </c>
      <c r="V53">
        <v>297.00720200000001</v>
      </c>
      <c r="W53">
        <v>280.08450299999998</v>
      </c>
      <c r="X53">
        <v>263.625</v>
      </c>
      <c r="Y53">
        <v>247.19342</v>
      </c>
      <c r="Z53">
        <v>231.70181299999999</v>
      </c>
      <c r="AA53">
        <v>217.603363</v>
      </c>
      <c r="AB53">
        <v>204.607315</v>
      </c>
      <c r="AC53">
        <v>192.892731</v>
      </c>
      <c r="AD53">
        <v>181.41439800000001</v>
      </c>
      <c r="AE53">
        <v>170.285416</v>
      </c>
      <c r="AF53">
        <v>159.76902799999999</v>
      </c>
      <c r="AG53" s="22">
        <v>-4.5999999999999999E-2</v>
      </c>
    </row>
    <row r="54" spans="1:33">
      <c r="A54" t="s">
        <v>235</v>
      </c>
      <c r="B54" t="s">
        <v>3358</v>
      </c>
      <c r="C54" t="s">
        <v>3357</v>
      </c>
      <c r="D54" t="s">
        <v>201</v>
      </c>
      <c r="F54">
        <v>270.20654300000001</v>
      </c>
      <c r="G54">
        <v>286.74316399999998</v>
      </c>
      <c r="H54">
        <v>300.59240699999998</v>
      </c>
      <c r="I54">
        <v>312.42083700000001</v>
      </c>
      <c r="J54">
        <v>320.31881700000002</v>
      </c>
      <c r="K54">
        <v>326.26678500000003</v>
      </c>
      <c r="L54">
        <v>329.71170000000001</v>
      </c>
      <c r="M54">
        <v>329.802032</v>
      </c>
      <c r="N54">
        <v>327.10320999999999</v>
      </c>
      <c r="O54">
        <v>322.50714099999999</v>
      </c>
      <c r="P54">
        <v>316.945312</v>
      </c>
      <c r="Q54">
        <v>310.35699499999998</v>
      </c>
      <c r="R54">
        <v>303.54803500000003</v>
      </c>
      <c r="S54">
        <v>296.39196800000002</v>
      </c>
      <c r="T54">
        <v>288.21630900000002</v>
      </c>
      <c r="U54">
        <v>278.85684199999997</v>
      </c>
      <c r="V54">
        <v>269.63986199999999</v>
      </c>
      <c r="W54">
        <v>259.62844799999999</v>
      </c>
      <c r="X54">
        <v>249.007294</v>
      </c>
      <c r="Y54">
        <v>237.562637</v>
      </c>
      <c r="Z54">
        <v>226.576401</v>
      </c>
      <c r="AA54">
        <v>216.55032299999999</v>
      </c>
      <c r="AB54">
        <v>207.086716</v>
      </c>
      <c r="AC54">
        <v>198.388046</v>
      </c>
      <c r="AD54">
        <v>189.61007699999999</v>
      </c>
      <c r="AE54">
        <v>180.95361299999999</v>
      </c>
      <c r="AF54">
        <v>172.71246300000001</v>
      </c>
      <c r="AG54" s="22">
        <v>-1.7000000000000001E-2</v>
      </c>
    </row>
    <row r="55" spans="1:33">
      <c r="A55" t="s">
        <v>192</v>
      </c>
      <c r="B55" t="s">
        <v>3356</v>
      </c>
      <c r="C55" t="s">
        <v>3355</v>
      </c>
      <c r="D55" t="s">
        <v>201</v>
      </c>
      <c r="F55">
        <v>9.8759999999999994E-3</v>
      </c>
      <c r="G55">
        <v>9.6780000000000008E-3</v>
      </c>
      <c r="H55">
        <v>9.4769999999999993E-3</v>
      </c>
      <c r="I55">
        <v>9.3229999999999997E-3</v>
      </c>
      <c r="J55">
        <v>9.3380000000000008E-3</v>
      </c>
      <c r="K55">
        <v>9.4339999999999997E-3</v>
      </c>
      <c r="L55">
        <v>9.5499999999999995E-3</v>
      </c>
      <c r="M55">
        <v>9.6950000000000005E-3</v>
      </c>
      <c r="N55">
        <v>9.8689999999999993E-3</v>
      </c>
      <c r="O55">
        <v>9.639E-3</v>
      </c>
      <c r="P55">
        <v>9.2820000000000003E-3</v>
      </c>
      <c r="Q55">
        <v>9.1350000000000008E-3</v>
      </c>
      <c r="R55">
        <v>9.1500000000000001E-3</v>
      </c>
      <c r="S55">
        <v>9.2680000000000002E-3</v>
      </c>
      <c r="T55">
        <v>9.4549999999999999E-3</v>
      </c>
      <c r="U55">
        <v>9.6740000000000003E-3</v>
      </c>
      <c r="V55">
        <v>9.9190000000000007E-3</v>
      </c>
      <c r="W55">
        <v>1.0160000000000001E-2</v>
      </c>
      <c r="X55">
        <v>1.0387E-2</v>
      </c>
      <c r="Y55">
        <v>1.0591E-2</v>
      </c>
      <c r="Z55">
        <v>1.0782E-2</v>
      </c>
      <c r="AA55">
        <v>1.0982E-2</v>
      </c>
      <c r="AB55">
        <v>1.1176999999999999E-2</v>
      </c>
      <c r="AC55">
        <v>1.14E-2</v>
      </c>
      <c r="AD55">
        <v>1.1604E-2</v>
      </c>
      <c r="AE55">
        <v>1.1789000000000001E-2</v>
      </c>
      <c r="AF55">
        <v>1.1957000000000001E-2</v>
      </c>
      <c r="AG55" s="22">
        <v>7.0000000000000001E-3</v>
      </c>
    </row>
    <row r="56" spans="1:33">
      <c r="A56" t="s">
        <v>195</v>
      </c>
      <c r="B56" t="s">
        <v>3354</v>
      </c>
      <c r="C56" t="s">
        <v>3353</v>
      </c>
      <c r="D56" t="s">
        <v>201</v>
      </c>
      <c r="F56">
        <v>0.92232899999999995</v>
      </c>
      <c r="G56">
        <v>2.4081709999999998</v>
      </c>
      <c r="H56">
        <v>4.0482360000000002</v>
      </c>
      <c r="I56">
        <v>5.7588280000000003</v>
      </c>
      <c r="J56">
        <v>6.7716529999999997</v>
      </c>
      <c r="K56">
        <v>7.8335220000000003</v>
      </c>
      <c r="L56">
        <v>8.6189680000000006</v>
      </c>
      <c r="M56">
        <v>9.037191</v>
      </c>
      <c r="N56">
        <v>9.3006480000000007</v>
      </c>
      <c r="O56">
        <v>9.3489950000000004</v>
      </c>
      <c r="P56">
        <v>9.4854869999999991</v>
      </c>
      <c r="Q56">
        <v>9.7867789999999992</v>
      </c>
      <c r="R56">
        <v>10.174992</v>
      </c>
      <c r="S56">
        <v>10.690709</v>
      </c>
      <c r="T56">
        <v>11.461022</v>
      </c>
      <c r="U56">
        <v>12.313684</v>
      </c>
      <c r="V56">
        <v>13.393580999999999</v>
      </c>
      <c r="W56">
        <v>14.774547999999999</v>
      </c>
      <c r="X56">
        <v>16.355795000000001</v>
      </c>
      <c r="Y56">
        <v>18.112090999999999</v>
      </c>
      <c r="Z56">
        <v>19.866278000000001</v>
      </c>
      <c r="AA56">
        <v>21.762203</v>
      </c>
      <c r="AB56">
        <v>23.796016999999999</v>
      </c>
      <c r="AC56">
        <v>26.11871</v>
      </c>
      <c r="AD56">
        <v>28.521559</v>
      </c>
      <c r="AE56">
        <v>31.067458999999999</v>
      </c>
      <c r="AF56">
        <v>33.688952999999998</v>
      </c>
      <c r="AG56" s="22">
        <v>0.14799999999999999</v>
      </c>
    </row>
    <row r="57" spans="1:33">
      <c r="A57" t="s">
        <v>236</v>
      </c>
      <c r="B57" t="s">
        <v>3352</v>
      </c>
      <c r="C57" t="s">
        <v>3351</v>
      </c>
      <c r="D57" t="s">
        <v>201</v>
      </c>
      <c r="F57">
        <v>40.716315999999999</v>
      </c>
      <c r="G57">
        <v>37.109366999999999</v>
      </c>
      <c r="H57">
        <v>33.380229999999997</v>
      </c>
      <c r="I57">
        <v>29.907885</v>
      </c>
      <c r="J57">
        <v>26.824255000000001</v>
      </c>
      <c r="K57">
        <v>24.225940999999999</v>
      </c>
      <c r="L57">
        <v>21.93648</v>
      </c>
      <c r="M57">
        <v>19.895927</v>
      </c>
      <c r="N57">
        <v>18.051977000000001</v>
      </c>
      <c r="O57">
        <v>16.351952000000001</v>
      </c>
      <c r="P57">
        <v>14.802211</v>
      </c>
      <c r="Q57">
        <v>13.389184</v>
      </c>
      <c r="R57">
        <v>12.073988999999999</v>
      </c>
      <c r="S57">
        <v>10.838914000000001</v>
      </c>
      <c r="T57">
        <v>9.6831160000000001</v>
      </c>
      <c r="U57">
        <v>8.6211570000000002</v>
      </c>
      <c r="V57">
        <v>7.6712660000000001</v>
      </c>
      <c r="W57">
        <v>6.8364719999999997</v>
      </c>
      <c r="X57">
        <v>6.1080100000000002</v>
      </c>
      <c r="Y57">
        <v>5.4671849999999997</v>
      </c>
      <c r="Z57">
        <v>4.8528729999999998</v>
      </c>
      <c r="AA57">
        <v>4.2811690000000002</v>
      </c>
      <c r="AB57">
        <v>3.7411020000000001</v>
      </c>
      <c r="AC57">
        <v>3.2653530000000002</v>
      </c>
      <c r="AD57">
        <v>2.7555480000000001</v>
      </c>
      <c r="AE57">
        <v>2.2511809999999999</v>
      </c>
      <c r="AF57">
        <v>1.7685310000000001</v>
      </c>
      <c r="AG57" s="22">
        <v>-0.114</v>
      </c>
    </row>
    <row r="58" spans="1:33">
      <c r="A58" t="s">
        <v>237</v>
      </c>
      <c r="B58" t="s">
        <v>3350</v>
      </c>
      <c r="C58" t="s">
        <v>3349</v>
      </c>
      <c r="D58" t="s">
        <v>201</v>
      </c>
      <c r="F58">
        <v>0.29254200000000002</v>
      </c>
      <c r="G58">
        <v>0.39745999999999998</v>
      </c>
      <c r="H58">
        <v>0.494035</v>
      </c>
      <c r="I58">
        <v>0.57998000000000005</v>
      </c>
      <c r="J58">
        <v>0.65522100000000005</v>
      </c>
      <c r="K58">
        <v>0.72641299999999998</v>
      </c>
      <c r="L58">
        <v>0.80841700000000005</v>
      </c>
      <c r="M58">
        <v>1.033936</v>
      </c>
      <c r="N58">
        <v>1.440906</v>
      </c>
      <c r="O58">
        <v>1.823518</v>
      </c>
      <c r="P58">
        <v>2.43858</v>
      </c>
      <c r="Q58">
        <v>3.4486059999999998</v>
      </c>
      <c r="R58">
        <v>4.8937140000000001</v>
      </c>
      <c r="S58">
        <v>6.688231</v>
      </c>
      <c r="T58">
        <v>8.867578</v>
      </c>
      <c r="U58">
        <v>11.444328000000001</v>
      </c>
      <c r="V58">
        <v>14.47161</v>
      </c>
      <c r="W58">
        <v>18.156417999999999</v>
      </c>
      <c r="X58">
        <v>22.357728999999999</v>
      </c>
      <c r="Y58">
        <v>26.97221</v>
      </c>
      <c r="Z58">
        <v>31.631969000000002</v>
      </c>
      <c r="AA58">
        <v>36.500670999999997</v>
      </c>
      <c r="AB58">
        <v>41.514029999999998</v>
      </c>
      <c r="AC58">
        <v>46.904494999999997</v>
      </c>
      <c r="AD58">
        <v>52.434565999999997</v>
      </c>
      <c r="AE58">
        <v>57.970725999999999</v>
      </c>
      <c r="AF58">
        <v>63.491337000000001</v>
      </c>
      <c r="AG58" s="22">
        <v>0.23</v>
      </c>
    </row>
    <row r="59" spans="1:33">
      <c r="A59" t="s">
        <v>238</v>
      </c>
      <c r="B59" t="s">
        <v>3348</v>
      </c>
      <c r="C59" t="s">
        <v>3347</v>
      </c>
      <c r="D59" t="s">
        <v>201</v>
      </c>
      <c r="F59">
        <v>0</v>
      </c>
      <c r="G59">
        <v>0</v>
      </c>
      <c r="H59">
        <v>0</v>
      </c>
      <c r="I59">
        <v>0</v>
      </c>
      <c r="J59">
        <v>0</v>
      </c>
      <c r="K59">
        <v>0</v>
      </c>
      <c r="L59">
        <v>0</v>
      </c>
      <c r="M59">
        <v>0</v>
      </c>
      <c r="N59">
        <v>0</v>
      </c>
      <c r="O59">
        <v>0</v>
      </c>
      <c r="P59">
        <v>0</v>
      </c>
      <c r="Q59">
        <v>0</v>
      </c>
      <c r="R59">
        <v>0</v>
      </c>
      <c r="S59">
        <v>0</v>
      </c>
      <c r="T59">
        <v>0</v>
      </c>
      <c r="U59">
        <v>0</v>
      </c>
      <c r="V59">
        <v>0</v>
      </c>
      <c r="W59">
        <v>0</v>
      </c>
      <c r="X59">
        <v>0</v>
      </c>
      <c r="Y59">
        <v>0</v>
      </c>
      <c r="Z59">
        <v>0</v>
      </c>
      <c r="AA59">
        <v>0</v>
      </c>
      <c r="AB59">
        <v>0</v>
      </c>
      <c r="AC59">
        <v>0</v>
      </c>
      <c r="AD59">
        <v>0</v>
      </c>
      <c r="AE59">
        <v>0</v>
      </c>
      <c r="AF59">
        <v>0</v>
      </c>
      <c r="AG59" t="s">
        <v>111</v>
      </c>
    </row>
    <row r="60" spans="1:33">
      <c r="A60" t="s">
        <v>239</v>
      </c>
      <c r="B60" t="s">
        <v>3346</v>
      </c>
      <c r="C60" t="s">
        <v>3345</v>
      </c>
      <c r="D60" t="s">
        <v>201</v>
      </c>
      <c r="F60">
        <v>0</v>
      </c>
      <c r="G60">
        <v>0</v>
      </c>
      <c r="H60">
        <v>0</v>
      </c>
      <c r="I60">
        <v>0</v>
      </c>
      <c r="J60">
        <v>0</v>
      </c>
      <c r="K60">
        <v>0</v>
      </c>
      <c r="L60">
        <v>0</v>
      </c>
      <c r="M60">
        <v>0</v>
      </c>
      <c r="N60">
        <v>0</v>
      </c>
      <c r="O60">
        <v>0</v>
      </c>
      <c r="P60">
        <v>0</v>
      </c>
      <c r="Q60">
        <v>0</v>
      </c>
      <c r="R60">
        <v>0</v>
      </c>
      <c r="S60">
        <v>0</v>
      </c>
      <c r="T60">
        <v>0</v>
      </c>
      <c r="U60">
        <v>0</v>
      </c>
      <c r="V60">
        <v>0</v>
      </c>
      <c r="W60">
        <v>0</v>
      </c>
      <c r="X60">
        <v>0</v>
      </c>
      <c r="Y60">
        <v>0</v>
      </c>
      <c r="Z60">
        <v>0</v>
      </c>
      <c r="AA60">
        <v>0</v>
      </c>
      <c r="AB60">
        <v>0</v>
      </c>
      <c r="AC60">
        <v>0</v>
      </c>
      <c r="AD60">
        <v>0</v>
      </c>
      <c r="AE60">
        <v>0</v>
      </c>
      <c r="AF60">
        <v>0</v>
      </c>
      <c r="AG60" t="s">
        <v>111</v>
      </c>
    </row>
    <row r="61" spans="1:33">
      <c r="A61" t="s">
        <v>240</v>
      </c>
      <c r="B61" t="s">
        <v>3344</v>
      </c>
      <c r="C61" t="s">
        <v>3343</v>
      </c>
      <c r="D61" t="s">
        <v>201</v>
      </c>
      <c r="F61">
        <v>0</v>
      </c>
      <c r="G61">
        <v>0</v>
      </c>
      <c r="H61">
        <v>0</v>
      </c>
      <c r="I61">
        <v>0</v>
      </c>
      <c r="J61">
        <v>0</v>
      </c>
      <c r="K61">
        <v>0</v>
      </c>
      <c r="L61">
        <v>0</v>
      </c>
      <c r="M61">
        <v>0</v>
      </c>
      <c r="N61">
        <v>0</v>
      </c>
      <c r="O61">
        <v>0</v>
      </c>
      <c r="P61">
        <v>0</v>
      </c>
      <c r="Q61">
        <v>0</v>
      </c>
      <c r="R61">
        <v>0</v>
      </c>
      <c r="S61">
        <v>0</v>
      </c>
      <c r="T61">
        <v>0</v>
      </c>
      <c r="U61">
        <v>0</v>
      </c>
      <c r="V61">
        <v>0</v>
      </c>
      <c r="W61">
        <v>0</v>
      </c>
      <c r="X61">
        <v>0</v>
      </c>
      <c r="Y61">
        <v>0</v>
      </c>
      <c r="Z61">
        <v>0</v>
      </c>
      <c r="AA61">
        <v>0</v>
      </c>
      <c r="AB61">
        <v>0</v>
      </c>
      <c r="AC61">
        <v>0</v>
      </c>
      <c r="AD61">
        <v>0</v>
      </c>
      <c r="AE61">
        <v>0</v>
      </c>
      <c r="AF61">
        <v>0</v>
      </c>
      <c r="AG61" t="s">
        <v>111</v>
      </c>
    </row>
    <row r="62" spans="1:33">
      <c r="A62" t="s">
        <v>2320</v>
      </c>
      <c r="B62" t="s">
        <v>3342</v>
      </c>
      <c r="C62" t="s">
        <v>3341</v>
      </c>
      <c r="D62" t="s">
        <v>201</v>
      </c>
      <c r="F62">
        <v>0</v>
      </c>
      <c r="G62">
        <v>0</v>
      </c>
      <c r="H62">
        <v>0</v>
      </c>
      <c r="I62">
        <v>0</v>
      </c>
      <c r="J62">
        <v>0</v>
      </c>
      <c r="K62">
        <v>0</v>
      </c>
      <c r="L62">
        <v>0</v>
      </c>
      <c r="M62">
        <v>0</v>
      </c>
      <c r="N62">
        <v>0</v>
      </c>
      <c r="O62">
        <v>0</v>
      </c>
      <c r="P62">
        <v>0</v>
      </c>
      <c r="Q62">
        <v>0</v>
      </c>
      <c r="R62">
        <v>0</v>
      </c>
      <c r="S62">
        <v>0</v>
      </c>
      <c r="T62">
        <v>0</v>
      </c>
      <c r="U62">
        <v>0</v>
      </c>
      <c r="V62">
        <v>0</v>
      </c>
      <c r="W62">
        <v>0</v>
      </c>
      <c r="X62">
        <v>0</v>
      </c>
      <c r="Y62">
        <v>0</v>
      </c>
      <c r="Z62">
        <v>0</v>
      </c>
      <c r="AA62">
        <v>0</v>
      </c>
      <c r="AB62">
        <v>0</v>
      </c>
      <c r="AC62">
        <v>0</v>
      </c>
      <c r="AD62">
        <v>0</v>
      </c>
      <c r="AE62">
        <v>0</v>
      </c>
      <c r="AF62">
        <v>0</v>
      </c>
      <c r="AG62" t="s">
        <v>111</v>
      </c>
    </row>
    <row r="63" spans="1:33">
      <c r="A63" t="s">
        <v>2317</v>
      </c>
      <c r="B63" t="s">
        <v>3340</v>
      </c>
      <c r="C63" t="s">
        <v>3339</v>
      </c>
      <c r="D63" t="s">
        <v>201</v>
      </c>
      <c r="F63">
        <v>0</v>
      </c>
      <c r="G63">
        <v>0.95440199999999997</v>
      </c>
      <c r="H63">
        <v>2.4927169999999998</v>
      </c>
      <c r="I63">
        <v>4.5722139999999998</v>
      </c>
      <c r="J63">
        <v>11.711790000000001</v>
      </c>
      <c r="K63">
        <v>24.769062000000002</v>
      </c>
      <c r="L63">
        <v>43.507514999999998</v>
      </c>
      <c r="M63">
        <v>67.176765000000003</v>
      </c>
      <c r="N63">
        <v>95.398871999999997</v>
      </c>
      <c r="O63">
        <v>126.438271</v>
      </c>
      <c r="P63">
        <v>158.769058</v>
      </c>
      <c r="Q63">
        <v>191.04911799999999</v>
      </c>
      <c r="R63">
        <v>222.48751799999999</v>
      </c>
      <c r="S63">
        <v>252.82922400000001</v>
      </c>
      <c r="T63">
        <v>283.12927200000001</v>
      </c>
      <c r="U63">
        <v>313.562836</v>
      </c>
      <c r="V63">
        <v>343.07336400000003</v>
      </c>
      <c r="W63">
        <v>370.79885899999999</v>
      </c>
      <c r="X63">
        <v>396.84454299999999</v>
      </c>
      <c r="Y63">
        <v>420.95086700000002</v>
      </c>
      <c r="Z63">
        <v>443.47396900000001</v>
      </c>
      <c r="AA63">
        <v>465.08380099999999</v>
      </c>
      <c r="AB63">
        <v>485.47805799999998</v>
      </c>
      <c r="AC63">
        <v>505.99935900000003</v>
      </c>
      <c r="AD63">
        <v>524.76403800000003</v>
      </c>
      <c r="AE63">
        <v>541.83367899999996</v>
      </c>
      <c r="AF63">
        <v>557.18951400000003</v>
      </c>
      <c r="AG63" t="s">
        <v>111</v>
      </c>
    </row>
    <row r="64" spans="1:33">
      <c r="A64" t="s">
        <v>2314</v>
      </c>
      <c r="B64" t="s">
        <v>3338</v>
      </c>
      <c r="C64" t="s">
        <v>3337</v>
      </c>
      <c r="D64" t="s">
        <v>201</v>
      </c>
      <c r="F64">
        <v>0</v>
      </c>
      <c r="G64">
        <v>0</v>
      </c>
      <c r="H64">
        <v>0</v>
      </c>
      <c r="I64">
        <v>0</v>
      </c>
      <c r="J64">
        <v>0</v>
      </c>
      <c r="K64">
        <v>0</v>
      </c>
      <c r="L64">
        <v>0</v>
      </c>
      <c r="M64">
        <v>0</v>
      </c>
      <c r="N64">
        <v>0</v>
      </c>
      <c r="O64">
        <v>0</v>
      </c>
      <c r="P64">
        <v>0</v>
      </c>
      <c r="Q64">
        <v>0</v>
      </c>
      <c r="R64">
        <v>0</v>
      </c>
      <c r="S64">
        <v>0</v>
      </c>
      <c r="T64">
        <v>0</v>
      </c>
      <c r="U64">
        <v>0</v>
      </c>
      <c r="V64">
        <v>0</v>
      </c>
      <c r="W64">
        <v>0</v>
      </c>
      <c r="X64">
        <v>0</v>
      </c>
      <c r="Y64">
        <v>0</v>
      </c>
      <c r="Z64">
        <v>0</v>
      </c>
      <c r="AA64">
        <v>0</v>
      </c>
      <c r="AB64">
        <v>0</v>
      </c>
      <c r="AC64">
        <v>0</v>
      </c>
      <c r="AD64">
        <v>0</v>
      </c>
      <c r="AE64">
        <v>0</v>
      </c>
      <c r="AF64">
        <v>0</v>
      </c>
      <c r="AG64" t="s">
        <v>111</v>
      </c>
    </row>
    <row r="65" spans="1:33">
      <c r="A65" t="s">
        <v>241</v>
      </c>
      <c r="B65" t="s">
        <v>3336</v>
      </c>
      <c r="C65" t="s">
        <v>3335</v>
      </c>
      <c r="D65" t="s">
        <v>201</v>
      </c>
      <c r="F65">
        <v>851.47570800000005</v>
      </c>
      <c r="G65">
        <v>863.49969499999997</v>
      </c>
      <c r="H65">
        <v>867.48779300000001</v>
      </c>
      <c r="I65">
        <v>868.15893600000004</v>
      </c>
      <c r="J65">
        <v>866.95111099999997</v>
      </c>
      <c r="K65">
        <v>870.92315699999995</v>
      </c>
      <c r="L65">
        <v>877.43029799999999</v>
      </c>
      <c r="M65">
        <v>883.93908699999997</v>
      </c>
      <c r="N65">
        <v>890.85497999999995</v>
      </c>
      <c r="O65">
        <v>897.59155299999998</v>
      </c>
      <c r="P65">
        <v>905.22363299999995</v>
      </c>
      <c r="Q65">
        <v>912.45806900000002</v>
      </c>
      <c r="R65">
        <v>919.90423599999997</v>
      </c>
      <c r="S65">
        <v>926.81359899999995</v>
      </c>
      <c r="T65">
        <v>933.20452899999998</v>
      </c>
      <c r="U65">
        <v>938.73590100000001</v>
      </c>
      <c r="V65">
        <v>945.26709000000005</v>
      </c>
      <c r="W65">
        <v>950.28949</v>
      </c>
      <c r="X65">
        <v>954.308899</v>
      </c>
      <c r="Y65">
        <v>956.26916500000004</v>
      </c>
      <c r="Z65">
        <v>958.11425799999995</v>
      </c>
      <c r="AA65">
        <v>961.79260299999999</v>
      </c>
      <c r="AB65">
        <v>966.23419200000001</v>
      </c>
      <c r="AC65">
        <v>973.58013900000003</v>
      </c>
      <c r="AD65">
        <v>979.51165800000001</v>
      </c>
      <c r="AE65">
        <v>984.37377900000001</v>
      </c>
      <c r="AF65">
        <v>988.63177499999995</v>
      </c>
      <c r="AG65" s="22">
        <v>6.0000000000000001E-3</v>
      </c>
    </row>
    <row r="66" spans="1:33">
      <c r="A66" t="s">
        <v>171</v>
      </c>
    </row>
    <row r="67" spans="1:33">
      <c r="A67" t="s">
        <v>189</v>
      </c>
      <c r="B67" t="s">
        <v>3334</v>
      </c>
      <c r="C67" t="s">
        <v>3333</v>
      </c>
      <c r="D67" t="s">
        <v>201</v>
      </c>
      <c r="F67">
        <v>572.37652600000001</v>
      </c>
      <c r="G67">
        <v>558.80456500000003</v>
      </c>
      <c r="H67">
        <v>541.12286400000005</v>
      </c>
      <c r="I67">
        <v>523.78063999999995</v>
      </c>
      <c r="J67">
        <v>506.713165</v>
      </c>
      <c r="K67">
        <v>491.63479599999999</v>
      </c>
      <c r="L67">
        <v>477.74710099999999</v>
      </c>
      <c r="M67">
        <v>464.060181</v>
      </c>
      <c r="N67">
        <v>450.953217</v>
      </c>
      <c r="O67">
        <v>437.35858200000001</v>
      </c>
      <c r="P67">
        <v>423.99996900000002</v>
      </c>
      <c r="Q67">
        <v>410.70755000000003</v>
      </c>
      <c r="R67">
        <v>398.23928799999999</v>
      </c>
      <c r="S67">
        <v>386.23608400000001</v>
      </c>
      <c r="T67">
        <v>374.49648999999999</v>
      </c>
      <c r="U67">
        <v>362.95611600000001</v>
      </c>
      <c r="V67">
        <v>352.30072000000001</v>
      </c>
      <c r="W67">
        <v>342.16351300000002</v>
      </c>
      <c r="X67">
        <v>333.05093399999998</v>
      </c>
      <c r="Y67">
        <v>324.80343599999998</v>
      </c>
      <c r="Z67">
        <v>317.37185699999998</v>
      </c>
      <c r="AA67">
        <v>310.901184</v>
      </c>
      <c r="AB67">
        <v>304.93978900000002</v>
      </c>
      <c r="AC67">
        <v>300.66876200000002</v>
      </c>
      <c r="AD67">
        <v>296.874573</v>
      </c>
      <c r="AE67">
        <v>293.21627799999999</v>
      </c>
      <c r="AF67">
        <v>289.48172</v>
      </c>
      <c r="AG67" s="22">
        <v>-2.5999999999999999E-2</v>
      </c>
    </row>
    <row r="68" spans="1:33">
      <c r="A68" t="s">
        <v>235</v>
      </c>
      <c r="B68" t="s">
        <v>3332</v>
      </c>
      <c r="C68" t="s">
        <v>3331</v>
      </c>
      <c r="D68" t="s">
        <v>201</v>
      </c>
      <c r="F68">
        <v>359.68539399999997</v>
      </c>
      <c r="G68">
        <v>360.30960099999999</v>
      </c>
      <c r="H68">
        <v>358.48315400000001</v>
      </c>
      <c r="I68">
        <v>356.47775300000001</v>
      </c>
      <c r="J68">
        <v>353.87088</v>
      </c>
      <c r="K68">
        <v>351.62857100000002</v>
      </c>
      <c r="L68">
        <v>349.46173099999999</v>
      </c>
      <c r="M68">
        <v>346.85674999999998</v>
      </c>
      <c r="N68">
        <v>344.34634399999999</v>
      </c>
      <c r="O68">
        <v>341.01715100000001</v>
      </c>
      <c r="P68">
        <v>337.59548999999998</v>
      </c>
      <c r="Q68">
        <v>333.75140399999998</v>
      </c>
      <c r="R68">
        <v>329.916473</v>
      </c>
      <c r="S68">
        <v>326.27279700000003</v>
      </c>
      <c r="T68">
        <v>322.26357999999999</v>
      </c>
      <c r="U68">
        <v>318.03363000000002</v>
      </c>
      <c r="V68">
        <v>314.02862499999998</v>
      </c>
      <c r="W68">
        <v>310.18368500000003</v>
      </c>
      <c r="X68">
        <v>306.739441</v>
      </c>
      <c r="Y68">
        <v>303.39968900000002</v>
      </c>
      <c r="Z68">
        <v>300.22131300000001</v>
      </c>
      <c r="AA68">
        <v>297.467285</v>
      </c>
      <c r="AB68">
        <v>294.79830900000002</v>
      </c>
      <c r="AC68">
        <v>293.383667</v>
      </c>
      <c r="AD68">
        <v>292.20773300000002</v>
      </c>
      <c r="AE68">
        <v>290.96585099999999</v>
      </c>
      <c r="AF68">
        <v>289.34399400000001</v>
      </c>
      <c r="AG68" s="22">
        <v>-8.0000000000000002E-3</v>
      </c>
    </row>
    <row r="69" spans="1:33">
      <c r="A69" t="s">
        <v>192</v>
      </c>
      <c r="B69" t="s">
        <v>3330</v>
      </c>
      <c r="C69" t="s">
        <v>3329</v>
      </c>
      <c r="D69" t="s">
        <v>201</v>
      </c>
      <c r="F69">
        <v>0.47085199999999999</v>
      </c>
      <c r="G69">
        <v>0.41935099999999997</v>
      </c>
      <c r="H69">
        <v>0.37104700000000002</v>
      </c>
      <c r="I69">
        <v>0.32684800000000003</v>
      </c>
      <c r="J69">
        <v>0.28870000000000001</v>
      </c>
      <c r="K69">
        <v>0.238845</v>
      </c>
      <c r="L69">
        <v>0.21263199999999999</v>
      </c>
      <c r="M69">
        <v>0.188775</v>
      </c>
      <c r="N69">
        <v>0.168763</v>
      </c>
      <c r="O69">
        <v>0.15124199999999999</v>
      </c>
      <c r="P69">
        <v>0.13289300000000001</v>
      </c>
      <c r="Q69">
        <v>0.11908299999999999</v>
      </c>
      <c r="R69">
        <v>0.107998</v>
      </c>
      <c r="S69">
        <v>9.8922999999999997E-2</v>
      </c>
      <c r="T69">
        <v>9.0830999999999995E-2</v>
      </c>
      <c r="U69">
        <v>8.3752999999999994E-2</v>
      </c>
      <c r="V69">
        <v>7.8001000000000001E-2</v>
      </c>
      <c r="W69">
        <v>7.2731000000000004E-2</v>
      </c>
      <c r="X69">
        <v>6.8098000000000006E-2</v>
      </c>
      <c r="Y69">
        <v>6.3923999999999995E-2</v>
      </c>
      <c r="Z69">
        <v>5.9880999999999997E-2</v>
      </c>
      <c r="AA69">
        <v>5.7341000000000003E-2</v>
      </c>
      <c r="AB69">
        <v>5.4455000000000003E-2</v>
      </c>
      <c r="AC69">
        <v>5.1909999999999998E-2</v>
      </c>
      <c r="AD69">
        <v>4.5478999999999999E-2</v>
      </c>
      <c r="AE69">
        <v>3.5347999999999997E-2</v>
      </c>
      <c r="AF69">
        <v>2.7369999999999998E-2</v>
      </c>
      <c r="AG69" s="22">
        <v>-0.104</v>
      </c>
    </row>
    <row r="70" spans="1:33">
      <c r="A70" t="s">
        <v>195</v>
      </c>
      <c r="B70" t="s">
        <v>3328</v>
      </c>
      <c r="C70" t="s">
        <v>3327</v>
      </c>
      <c r="D70" t="s">
        <v>201</v>
      </c>
      <c r="F70">
        <v>3.8930639999999999</v>
      </c>
      <c r="G70">
        <v>5.1351810000000002</v>
      </c>
      <c r="H70">
        <v>6.2655669999999999</v>
      </c>
      <c r="I70">
        <v>7.246683</v>
      </c>
      <c r="J70">
        <v>8.0653629999999996</v>
      </c>
      <c r="K70">
        <v>8.758089</v>
      </c>
      <c r="L70">
        <v>9.3531890000000004</v>
      </c>
      <c r="M70">
        <v>9.8592479999999991</v>
      </c>
      <c r="N70">
        <v>10.31508</v>
      </c>
      <c r="O70">
        <v>10.730149000000001</v>
      </c>
      <c r="P70">
        <v>11.108435999999999</v>
      </c>
      <c r="Q70">
        <v>11.447547</v>
      </c>
      <c r="R70">
        <v>11.750847</v>
      </c>
      <c r="S70">
        <v>12.036473000000001</v>
      </c>
      <c r="T70">
        <v>12.319575</v>
      </c>
      <c r="U70">
        <v>12.586885000000001</v>
      </c>
      <c r="V70">
        <v>12.844605</v>
      </c>
      <c r="W70">
        <v>13.062322999999999</v>
      </c>
      <c r="X70">
        <v>13.289071</v>
      </c>
      <c r="Y70">
        <v>13.52201</v>
      </c>
      <c r="Z70">
        <v>13.743242</v>
      </c>
      <c r="AA70">
        <v>13.97</v>
      </c>
      <c r="AB70">
        <v>14.187524</v>
      </c>
      <c r="AC70">
        <v>14.488526999999999</v>
      </c>
      <c r="AD70">
        <v>14.832860999999999</v>
      </c>
      <c r="AE70">
        <v>15.254797999999999</v>
      </c>
      <c r="AF70">
        <v>15.66183</v>
      </c>
      <c r="AG70" s="22">
        <v>5.5E-2</v>
      </c>
    </row>
    <row r="71" spans="1:33">
      <c r="A71" t="s">
        <v>236</v>
      </c>
      <c r="B71" t="s">
        <v>3326</v>
      </c>
      <c r="C71" t="s">
        <v>3325</v>
      </c>
      <c r="D71" t="s">
        <v>201</v>
      </c>
      <c r="F71">
        <v>9.0335409999999996</v>
      </c>
      <c r="G71">
        <v>8.1573930000000008</v>
      </c>
      <c r="H71">
        <v>7.269139</v>
      </c>
      <c r="I71">
        <v>6.4449149999999999</v>
      </c>
      <c r="J71">
        <v>5.7201279999999999</v>
      </c>
      <c r="K71">
        <v>5.1299650000000003</v>
      </c>
      <c r="L71">
        <v>4.6090689999999999</v>
      </c>
      <c r="M71">
        <v>4.1451770000000003</v>
      </c>
      <c r="N71">
        <v>3.7455750000000001</v>
      </c>
      <c r="O71">
        <v>3.3678439999999998</v>
      </c>
      <c r="P71">
        <v>3.0418370000000001</v>
      </c>
      <c r="Q71">
        <v>2.7652130000000001</v>
      </c>
      <c r="R71">
        <v>2.5227219999999999</v>
      </c>
      <c r="S71">
        <v>2.3180540000000001</v>
      </c>
      <c r="T71">
        <v>2.140215</v>
      </c>
      <c r="U71">
        <v>1.9839070000000001</v>
      </c>
      <c r="V71">
        <v>1.8526009999999999</v>
      </c>
      <c r="W71">
        <v>1.7306029999999999</v>
      </c>
      <c r="X71">
        <v>1.61426</v>
      </c>
      <c r="Y71">
        <v>1.5015909999999999</v>
      </c>
      <c r="Z71">
        <v>1.3909229999999999</v>
      </c>
      <c r="AA71">
        <v>1.2808109999999999</v>
      </c>
      <c r="AB71">
        <v>1.1661630000000001</v>
      </c>
      <c r="AC71">
        <v>1.0466299999999999</v>
      </c>
      <c r="AD71">
        <v>0.92224600000000001</v>
      </c>
      <c r="AE71">
        <v>0.80049199999999998</v>
      </c>
      <c r="AF71">
        <v>0.67332499999999995</v>
      </c>
      <c r="AG71" s="22">
        <v>-9.5000000000000001E-2</v>
      </c>
    </row>
    <row r="72" spans="1:33">
      <c r="A72" t="s">
        <v>237</v>
      </c>
      <c r="B72" t="s">
        <v>3324</v>
      </c>
      <c r="C72" t="s">
        <v>3323</v>
      </c>
      <c r="D72" t="s">
        <v>201</v>
      </c>
      <c r="F72">
        <v>0.124458</v>
      </c>
      <c r="G72">
        <v>0.13747599999999999</v>
      </c>
      <c r="H72">
        <v>0.148559</v>
      </c>
      <c r="I72">
        <v>0.15875900000000001</v>
      </c>
      <c r="J72">
        <v>0.16692299999999999</v>
      </c>
      <c r="K72">
        <v>0.17386299999999999</v>
      </c>
      <c r="L72">
        <v>0.18042900000000001</v>
      </c>
      <c r="M72">
        <v>0.18590899999999999</v>
      </c>
      <c r="N72">
        <v>0.191583</v>
      </c>
      <c r="O72">
        <v>0.19669300000000001</v>
      </c>
      <c r="P72">
        <v>0.20150699999999999</v>
      </c>
      <c r="Q72">
        <v>0.20583699999999999</v>
      </c>
      <c r="R72">
        <v>0.20995</v>
      </c>
      <c r="S72">
        <v>0.21395600000000001</v>
      </c>
      <c r="T72">
        <v>0.21765999999999999</v>
      </c>
      <c r="U72">
        <v>0.22089800000000001</v>
      </c>
      <c r="V72">
        <v>0.22397800000000001</v>
      </c>
      <c r="W72">
        <v>0.226935</v>
      </c>
      <c r="X72">
        <v>0.22981099999999999</v>
      </c>
      <c r="Y72">
        <v>0.23222400000000001</v>
      </c>
      <c r="Z72">
        <v>0.23428499999999999</v>
      </c>
      <c r="AA72">
        <v>0.236315</v>
      </c>
      <c r="AB72">
        <v>0.23807500000000001</v>
      </c>
      <c r="AC72">
        <v>0.240677</v>
      </c>
      <c r="AD72">
        <v>0.243424</v>
      </c>
      <c r="AE72">
        <v>0.246055</v>
      </c>
      <c r="AF72">
        <v>0.2482</v>
      </c>
      <c r="AG72" s="22">
        <v>2.7E-2</v>
      </c>
    </row>
    <row r="73" spans="1:33">
      <c r="A73" t="s">
        <v>238</v>
      </c>
      <c r="B73" t="s">
        <v>3322</v>
      </c>
      <c r="C73" t="s">
        <v>3321</v>
      </c>
      <c r="D73" t="s">
        <v>201</v>
      </c>
      <c r="F73">
        <v>0</v>
      </c>
      <c r="G73">
        <v>0</v>
      </c>
      <c r="H73">
        <v>2.5073000000000002E-2</v>
      </c>
      <c r="I73">
        <v>6.0426000000000001E-2</v>
      </c>
      <c r="J73">
        <v>0.113721</v>
      </c>
      <c r="K73">
        <v>0.179671</v>
      </c>
      <c r="L73">
        <v>0.25176300000000001</v>
      </c>
      <c r="M73">
        <v>0.32860099999999998</v>
      </c>
      <c r="N73">
        <v>0.404474</v>
      </c>
      <c r="O73">
        <v>0.37326100000000001</v>
      </c>
      <c r="P73">
        <v>0.34434900000000002</v>
      </c>
      <c r="Q73">
        <v>0.31725999999999999</v>
      </c>
      <c r="R73">
        <v>0.29278799999999999</v>
      </c>
      <c r="S73">
        <v>0.27005200000000001</v>
      </c>
      <c r="T73">
        <v>0.24882099999999999</v>
      </c>
      <c r="U73">
        <v>0.22892100000000001</v>
      </c>
      <c r="V73">
        <v>0.210812</v>
      </c>
      <c r="W73">
        <v>0.19425799999999999</v>
      </c>
      <c r="X73">
        <v>0.179063</v>
      </c>
      <c r="Y73">
        <v>0.16525899999999999</v>
      </c>
      <c r="Z73">
        <v>0.152697</v>
      </c>
      <c r="AA73">
        <v>0.141516</v>
      </c>
      <c r="AB73">
        <v>0.131435</v>
      </c>
      <c r="AC73">
        <v>0.121158</v>
      </c>
      <c r="AD73">
        <v>0.11146499999999999</v>
      </c>
      <c r="AE73">
        <v>0.10281899999999999</v>
      </c>
      <c r="AF73">
        <v>9.5043000000000002E-2</v>
      </c>
      <c r="AG73" t="s">
        <v>111</v>
      </c>
    </row>
    <row r="74" spans="1:33">
      <c r="A74" t="s">
        <v>239</v>
      </c>
      <c r="B74" t="s">
        <v>3320</v>
      </c>
      <c r="C74" t="s">
        <v>3319</v>
      </c>
      <c r="D74" t="s">
        <v>201</v>
      </c>
      <c r="F74">
        <v>0</v>
      </c>
      <c r="G74">
        <v>0.115331</v>
      </c>
      <c r="H74">
        <v>0.231573</v>
      </c>
      <c r="I74">
        <v>0.27211000000000002</v>
      </c>
      <c r="J74">
        <v>0.25937199999999999</v>
      </c>
      <c r="K74">
        <v>0.23771500000000001</v>
      </c>
      <c r="L74">
        <v>0.21748300000000001</v>
      </c>
      <c r="M74">
        <v>0.19966</v>
      </c>
      <c r="N74">
        <v>0.18464700000000001</v>
      </c>
      <c r="O74">
        <v>0.17038800000000001</v>
      </c>
      <c r="P74">
        <v>0.157113</v>
      </c>
      <c r="Q74">
        <v>0.144426</v>
      </c>
      <c r="R74">
        <v>0.133132</v>
      </c>
      <c r="S74">
        <v>0.12199</v>
      </c>
      <c r="T74">
        <v>0.11172899999999999</v>
      </c>
      <c r="U74">
        <v>0.10259</v>
      </c>
      <c r="V74">
        <v>9.4766000000000003E-2</v>
      </c>
      <c r="W74">
        <v>8.7656999999999999E-2</v>
      </c>
      <c r="X74">
        <v>8.0437999999999996E-2</v>
      </c>
      <c r="Y74">
        <v>7.3296E-2</v>
      </c>
      <c r="Z74">
        <v>6.6423999999999997E-2</v>
      </c>
      <c r="AA74">
        <v>6.1006999999999999E-2</v>
      </c>
      <c r="AB74">
        <v>5.67E-2</v>
      </c>
      <c r="AC74">
        <v>5.3085E-2</v>
      </c>
      <c r="AD74">
        <v>4.9660999999999997E-2</v>
      </c>
      <c r="AE74">
        <v>4.6268999999999998E-2</v>
      </c>
      <c r="AF74">
        <v>4.3032000000000001E-2</v>
      </c>
      <c r="AG74" t="s">
        <v>111</v>
      </c>
    </row>
    <row r="75" spans="1:33">
      <c r="A75" t="s">
        <v>240</v>
      </c>
      <c r="B75" t="s">
        <v>3318</v>
      </c>
      <c r="C75" t="s">
        <v>3317</v>
      </c>
      <c r="D75" t="s">
        <v>201</v>
      </c>
      <c r="F75">
        <v>0</v>
      </c>
      <c r="G75">
        <v>0</v>
      </c>
      <c r="H75">
        <v>0</v>
      </c>
      <c r="I75">
        <v>0</v>
      </c>
      <c r="J75">
        <v>0</v>
      </c>
      <c r="K75">
        <v>0</v>
      </c>
      <c r="L75">
        <v>0</v>
      </c>
      <c r="M75">
        <v>0</v>
      </c>
      <c r="N75">
        <v>0</v>
      </c>
      <c r="O75">
        <v>0</v>
      </c>
      <c r="P75">
        <v>0</v>
      </c>
      <c r="Q75">
        <v>0</v>
      </c>
      <c r="R75">
        <v>0</v>
      </c>
      <c r="S75">
        <v>0</v>
      </c>
      <c r="T75">
        <v>0</v>
      </c>
      <c r="U75">
        <v>0</v>
      </c>
      <c r="V75">
        <v>0</v>
      </c>
      <c r="W75">
        <v>0</v>
      </c>
      <c r="X75">
        <v>0</v>
      </c>
      <c r="Y75">
        <v>0</v>
      </c>
      <c r="Z75">
        <v>0</v>
      </c>
      <c r="AA75">
        <v>0</v>
      </c>
      <c r="AB75">
        <v>0</v>
      </c>
      <c r="AC75">
        <v>0</v>
      </c>
      <c r="AD75">
        <v>0</v>
      </c>
      <c r="AE75">
        <v>0</v>
      </c>
      <c r="AF75">
        <v>0</v>
      </c>
      <c r="AG75" t="s">
        <v>111</v>
      </c>
    </row>
    <row r="76" spans="1:33">
      <c r="A76" t="s">
        <v>2320</v>
      </c>
      <c r="B76" t="s">
        <v>3316</v>
      </c>
      <c r="C76" t="s">
        <v>3315</v>
      </c>
      <c r="D76" t="s">
        <v>201</v>
      </c>
      <c r="F76">
        <v>0</v>
      </c>
      <c r="G76">
        <v>0</v>
      </c>
      <c r="H76">
        <v>0</v>
      </c>
      <c r="I76">
        <v>0</v>
      </c>
      <c r="J76">
        <v>0</v>
      </c>
      <c r="K76">
        <v>0</v>
      </c>
      <c r="L76">
        <v>0</v>
      </c>
      <c r="M76">
        <v>0</v>
      </c>
      <c r="N76">
        <v>0</v>
      </c>
      <c r="O76">
        <v>0</v>
      </c>
      <c r="P76">
        <v>0</v>
      </c>
      <c r="Q76">
        <v>0</v>
      </c>
      <c r="R76">
        <v>0</v>
      </c>
      <c r="S76">
        <v>0</v>
      </c>
      <c r="T76">
        <v>0</v>
      </c>
      <c r="U76">
        <v>0</v>
      </c>
      <c r="V76">
        <v>0</v>
      </c>
      <c r="W76">
        <v>0</v>
      </c>
      <c r="X76">
        <v>0</v>
      </c>
      <c r="Y76">
        <v>0</v>
      </c>
      <c r="Z76">
        <v>0</v>
      </c>
      <c r="AA76">
        <v>0</v>
      </c>
      <c r="AB76">
        <v>0</v>
      </c>
      <c r="AC76">
        <v>0</v>
      </c>
      <c r="AD76">
        <v>0</v>
      </c>
      <c r="AE76">
        <v>0</v>
      </c>
      <c r="AF76">
        <v>0</v>
      </c>
      <c r="AG76" t="s">
        <v>111</v>
      </c>
    </row>
    <row r="77" spans="1:33">
      <c r="A77" t="s">
        <v>2317</v>
      </c>
      <c r="B77" t="s">
        <v>3314</v>
      </c>
      <c r="C77" t="s">
        <v>3313</v>
      </c>
      <c r="D77" t="s">
        <v>201</v>
      </c>
      <c r="F77">
        <v>0</v>
      </c>
      <c r="G77">
        <v>0.82384199999999996</v>
      </c>
      <c r="H77">
        <v>1.9341729999999999</v>
      </c>
      <c r="I77">
        <v>3.335515</v>
      </c>
      <c r="J77">
        <v>4.9386640000000002</v>
      </c>
      <c r="K77">
        <v>6.8005509999999996</v>
      </c>
      <c r="L77">
        <v>9.1020889999999994</v>
      </c>
      <c r="M77">
        <v>12.05625</v>
      </c>
      <c r="N77">
        <v>16.004729999999999</v>
      </c>
      <c r="O77">
        <v>21.257300999999998</v>
      </c>
      <c r="P77">
        <v>28.049462999999999</v>
      </c>
      <c r="Q77">
        <v>36.463977999999997</v>
      </c>
      <c r="R77">
        <v>46.535229000000001</v>
      </c>
      <c r="S77">
        <v>57.997871000000004</v>
      </c>
      <c r="T77">
        <v>70.372337000000002</v>
      </c>
      <c r="U77">
        <v>83.024604999999994</v>
      </c>
      <c r="V77">
        <v>95.680374</v>
      </c>
      <c r="W77">
        <v>107.98371899999999</v>
      </c>
      <c r="X77">
        <v>119.816109</v>
      </c>
      <c r="Y77">
        <v>130.934631</v>
      </c>
      <c r="Z77">
        <v>141.18704199999999</v>
      </c>
      <c r="AA77">
        <v>150.71357699999999</v>
      </c>
      <c r="AB77">
        <v>159.40013099999999</v>
      </c>
      <c r="AC77">
        <v>168.087479</v>
      </c>
      <c r="AD77">
        <v>176.31300400000001</v>
      </c>
      <c r="AE77">
        <v>183.890884</v>
      </c>
      <c r="AF77">
        <v>190.61299099999999</v>
      </c>
      <c r="AG77" t="s">
        <v>111</v>
      </c>
    </row>
    <row r="78" spans="1:33">
      <c r="A78" t="s">
        <v>2314</v>
      </c>
      <c r="B78" t="s">
        <v>3312</v>
      </c>
      <c r="C78" t="s">
        <v>3311</v>
      </c>
      <c r="D78" t="s">
        <v>201</v>
      </c>
      <c r="F78">
        <v>0</v>
      </c>
      <c r="G78">
        <v>0</v>
      </c>
      <c r="H78">
        <v>0</v>
      </c>
      <c r="I78">
        <v>0</v>
      </c>
      <c r="J78">
        <v>0</v>
      </c>
      <c r="K78">
        <v>0</v>
      </c>
      <c r="L78">
        <v>0</v>
      </c>
      <c r="M78">
        <v>0</v>
      </c>
      <c r="N78">
        <v>0</v>
      </c>
      <c r="O78">
        <v>0</v>
      </c>
      <c r="P78">
        <v>0</v>
      </c>
      <c r="Q78">
        <v>0</v>
      </c>
      <c r="R78">
        <v>0</v>
      </c>
      <c r="S78">
        <v>0</v>
      </c>
      <c r="T78">
        <v>0</v>
      </c>
      <c r="U78">
        <v>0</v>
      </c>
      <c r="V78">
        <v>0</v>
      </c>
      <c r="W78">
        <v>0</v>
      </c>
      <c r="X78">
        <v>0</v>
      </c>
      <c r="Y78">
        <v>0</v>
      </c>
      <c r="Z78">
        <v>0</v>
      </c>
      <c r="AA78">
        <v>0</v>
      </c>
      <c r="AB78">
        <v>0</v>
      </c>
      <c r="AC78">
        <v>0</v>
      </c>
      <c r="AD78">
        <v>0</v>
      </c>
      <c r="AE78">
        <v>0</v>
      </c>
      <c r="AF78">
        <v>0</v>
      </c>
      <c r="AG78" t="s">
        <v>111</v>
      </c>
    </row>
    <row r="79" spans="1:33">
      <c r="A79" t="s">
        <v>242</v>
      </c>
      <c r="B79" t="s">
        <v>3310</v>
      </c>
      <c r="C79" t="s">
        <v>3309</v>
      </c>
      <c r="D79" t="s">
        <v>201</v>
      </c>
      <c r="F79">
        <v>945.583618</v>
      </c>
      <c r="G79">
        <v>933.902649</v>
      </c>
      <c r="H79">
        <v>915.85144000000003</v>
      </c>
      <c r="I79">
        <v>898.10369900000001</v>
      </c>
      <c r="J79">
        <v>880.13720699999999</v>
      </c>
      <c r="K79">
        <v>864.78234899999995</v>
      </c>
      <c r="L79">
        <v>851.13555899999994</v>
      </c>
      <c r="M79">
        <v>837.88061500000003</v>
      </c>
      <c r="N79">
        <v>826.31481900000006</v>
      </c>
      <c r="O79">
        <v>814.62268100000006</v>
      </c>
      <c r="P79">
        <v>804.63085899999999</v>
      </c>
      <c r="Q79">
        <v>795.92236300000002</v>
      </c>
      <c r="R79">
        <v>789.70843500000001</v>
      </c>
      <c r="S79">
        <v>785.566284</v>
      </c>
      <c r="T79">
        <v>782.26110800000004</v>
      </c>
      <c r="U79">
        <v>779.22161900000003</v>
      </c>
      <c r="V79">
        <v>777.314392</v>
      </c>
      <c r="W79">
        <v>775.70519999999999</v>
      </c>
      <c r="X79">
        <v>775.06707800000004</v>
      </c>
      <c r="Y79">
        <v>774.69598399999995</v>
      </c>
      <c r="Z79">
        <v>774.42779499999995</v>
      </c>
      <c r="AA79">
        <v>774.82928500000003</v>
      </c>
      <c r="AB79">
        <v>774.97283900000002</v>
      </c>
      <c r="AC79">
        <v>778.14209000000005</v>
      </c>
      <c r="AD79">
        <v>781.60040300000003</v>
      </c>
      <c r="AE79">
        <v>784.55853300000001</v>
      </c>
      <c r="AF79">
        <v>786.18713400000001</v>
      </c>
      <c r="AG79" s="22">
        <v>-7.0000000000000001E-3</v>
      </c>
    </row>
    <row r="80" spans="1:33">
      <c r="A80" t="s">
        <v>243</v>
      </c>
    </row>
    <row r="81" spans="1:33">
      <c r="A81" t="s">
        <v>189</v>
      </c>
      <c r="B81" t="s">
        <v>3308</v>
      </c>
      <c r="C81" t="s">
        <v>3307</v>
      </c>
      <c r="D81" t="s">
        <v>201</v>
      </c>
      <c r="F81">
        <v>4150.3491210000002</v>
      </c>
      <c r="G81">
        <v>4200.8354490000002</v>
      </c>
      <c r="H81">
        <v>4216.7382809999999</v>
      </c>
      <c r="I81">
        <v>4222.3842770000001</v>
      </c>
      <c r="J81">
        <v>4207.3222660000001</v>
      </c>
      <c r="K81">
        <v>4188.4086909999996</v>
      </c>
      <c r="L81">
        <v>4166.4912109999996</v>
      </c>
      <c r="M81">
        <v>4136.4614259999998</v>
      </c>
      <c r="N81">
        <v>4106.701172</v>
      </c>
      <c r="O81">
        <v>4073.8461910000001</v>
      </c>
      <c r="P81">
        <v>4046.6755370000001</v>
      </c>
      <c r="Q81">
        <v>4022.7158199999999</v>
      </c>
      <c r="R81">
        <v>4007.9099120000001</v>
      </c>
      <c r="S81">
        <v>3999.3498540000001</v>
      </c>
      <c r="T81">
        <v>3993.8400879999999</v>
      </c>
      <c r="U81">
        <v>3985.8237300000001</v>
      </c>
      <c r="V81">
        <v>3980.5234380000002</v>
      </c>
      <c r="W81">
        <v>3976.482422</v>
      </c>
      <c r="X81">
        <v>3975.83374</v>
      </c>
      <c r="Y81">
        <v>3974.7204590000001</v>
      </c>
      <c r="Z81">
        <v>3972.9650879999999</v>
      </c>
      <c r="AA81">
        <v>3974.0261230000001</v>
      </c>
      <c r="AB81">
        <v>3972.735596</v>
      </c>
      <c r="AC81">
        <v>3986.054443</v>
      </c>
      <c r="AD81">
        <v>4000.4877929999998</v>
      </c>
      <c r="AE81">
        <v>4012.3010250000002</v>
      </c>
      <c r="AF81">
        <v>4018.320068</v>
      </c>
      <c r="AG81" s="22">
        <v>-1E-3</v>
      </c>
    </row>
    <row r="82" spans="1:33">
      <c r="A82" t="s">
        <v>235</v>
      </c>
      <c r="B82" t="s">
        <v>3306</v>
      </c>
      <c r="C82" t="s">
        <v>3305</v>
      </c>
      <c r="D82" t="s">
        <v>201</v>
      </c>
      <c r="F82">
        <v>4.4349259999999999</v>
      </c>
      <c r="G82">
        <v>3.817758</v>
      </c>
      <c r="H82">
        <v>3.316071</v>
      </c>
      <c r="I82">
        <v>2.9103439999999998</v>
      </c>
      <c r="J82">
        <v>2.588219</v>
      </c>
      <c r="K82">
        <v>2.3451490000000002</v>
      </c>
      <c r="L82">
        <v>2.1555719999999998</v>
      </c>
      <c r="M82">
        <v>1.9943740000000001</v>
      </c>
      <c r="N82">
        <v>1.8554980000000001</v>
      </c>
      <c r="O82">
        <v>1.7244470000000001</v>
      </c>
      <c r="P82">
        <v>1.6221479999999999</v>
      </c>
      <c r="Q82">
        <v>1.5351790000000001</v>
      </c>
      <c r="R82">
        <v>1.466385</v>
      </c>
      <c r="S82">
        <v>1.398488</v>
      </c>
      <c r="T82">
        <v>1.330443</v>
      </c>
      <c r="U82">
        <v>1.2710809999999999</v>
      </c>
      <c r="V82">
        <v>1.225886</v>
      </c>
      <c r="W82">
        <v>1.1849799999999999</v>
      </c>
      <c r="X82">
        <v>1.1403030000000001</v>
      </c>
      <c r="Y82">
        <v>1.1049929999999999</v>
      </c>
      <c r="Z82">
        <v>1.0789299999999999</v>
      </c>
      <c r="AA82">
        <v>1.0615270000000001</v>
      </c>
      <c r="AB82">
        <v>1.0475140000000001</v>
      </c>
      <c r="AC82">
        <v>1.040597</v>
      </c>
      <c r="AD82">
        <v>1.034845</v>
      </c>
      <c r="AE82">
        <v>1.029752</v>
      </c>
      <c r="AF82">
        <v>1.022197</v>
      </c>
      <c r="AG82" s="22">
        <v>-5.5E-2</v>
      </c>
    </row>
    <row r="83" spans="1:33">
      <c r="A83" t="s">
        <v>192</v>
      </c>
      <c r="B83" t="s">
        <v>3304</v>
      </c>
      <c r="C83" t="s">
        <v>3303</v>
      </c>
      <c r="D83" t="s">
        <v>201</v>
      </c>
      <c r="F83">
        <v>1.1561319999999999</v>
      </c>
      <c r="G83">
        <v>1.374889</v>
      </c>
      <c r="H83">
        <v>1.574821</v>
      </c>
      <c r="I83">
        <v>1.759158</v>
      </c>
      <c r="J83">
        <v>1.904928</v>
      </c>
      <c r="K83">
        <v>2.026071</v>
      </c>
      <c r="L83">
        <v>2.1195029999999999</v>
      </c>
      <c r="M83">
        <v>2.1808689999999999</v>
      </c>
      <c r="N83">
        <v>2.2254740000000002</v>
      </c>
      <c r="O83">
        <v>2.2515000000000001</v>
      </c>
      <c r="P83">
        <v>2.2717139999999998</v>
      </c>
      <c r="Q83">
        <v>2.2773460000000001</v>
      </c>
      <c r="R83">
        <v>2.2784260000000001</v>
      </c>
      <c r="S83">
        <v>2.2754490000000001</v>
      </c>
      <c r="T83">
        <v>2.2735300000000001</v>
      </c>
      <c r="U83">
        <v>2.2699210000000001</v>
      </c>
      <c r="V83">
        <v>2.268214</v>
      </c>
      <c r="W83">
        <v>2.2635719999999999</v>
      </c>
      <c r="X83">
        <v>2.2589600000000001</v>
      </c>
      <c r="Y83">
        <v>2.2537240000000001</v>
      </c>
      <c r="Z83">
        <v>2.2496350000000001</v>
      </c>
      <c r="AA83">
        <v>2.2491400000000001</v>
      </c>
      <c r="AB83">
        <v>2.2497500000000001</v>
      </c>
      <c r="AC83">
        <v>2.2599909999999999</v>
      </c>
      <c r="AD83">
        <v>2.2705250000000001</v>
      </c>
      <c r="AE83">
        <v>2.2775180000000002</v>
      </c>
      <c r="AF83">
        <v>2.2828889999999999</v>
      </c>
      <c r="AG83" s="22">
        <v>2.7E-2</v>
      </c>
    </row>
    <row r="84" spans="1:33">
      <c r="A84" t="s">
        <v>195</v>
      </c>
      <c r="B84" t="s">
        <v>3302</v>
      </c>
      <c r="C84" t="s">
        <v>3301</v>
      </c>
      <c r="D84" t="s">
        <v>201</v>
      </c>
      <c r="F84">
        <v>50.291285999999999</v>
      </c>
      <c r="G84">
        <v>52.723258999999999</v>
      </c>
      <c r="H84">
        <v>54.526027999999997</v>
      </c>
      <c r="I84">
        <v>55.344116</v>
      </c>
      <c r="J84">
        <v>55.688533999999997</v>
      </c>
      <c r="K84">
        <v>55.878203999999997</v>
      </c>
      <c r="L84">
        <v>55.951027000000003</v>
      </c>
      <c r="M84">
        <v>55.872238000000003</v>
      </c>
      <c r="N84">
        <v>55.809218999999999</v>
      </c>
      <c r="O84">
        <v>55.741230000000002</v>
      </c>
      <c r="P84">
        <v>55.755974000000002</v>
      </c>
      <c r="Q84">
        <v>55.805816999999998</v>
      </c>
      <c r="R84">
        <v>55.951450000000001</v>
      </c>
      <c r="S84">
        <v>56.315952000000003</v>
      </c>
      <c r="T84">
        <v>56.670273000000002</v>
      </c>
      <c r="U84">
        <v>57.133186000000002</v>
      </c>
      <c r="V84">
        <v>57.910736</v>
      </c>
      <c r="W84">
        <v>59.007088000000003</v>
      </c>
      <c r="X84">
        <v>60.194412</v>
      </c>
      <c r="Y84">
        <v>61.343024999999997</v>
      </c>
      <c r="Z84">
        <v>62.705348999999998</v>
      </c>
      <c r="AA84">
        <v>64.327826999999999</v>
      </c>
      <c r="AB84">
        <v>66.300811999999993</v>
      </c>
      <c r="AC84">
        <v>69.019630000000006</v>
      </c>
      <c r="AD84">
        <v>72.545906000000002</v>
      </c>
      <c r="AE84">
        <v>76.672927999999999</v>
      </c>
      <c r="AF84">
        <v>81.713440000000006</v>
      </c>
      <c r="AG84" s="22">
        <v>1.9E-2</v>
      </c>
    </row>
    <row r="85" spans="1:33">
      <c r="A85" t="s">
        <v>236</v>
      </c>
      <c r="B85" t="s">
        <v>3300</v>
      </c>
      <c r="C85" t="s">
        <v>3299</v>
      </c>
      <c r="D85" t="s">
        <v>201</v>
      </c>
      <c r="F85">
        <v>0</v>
      </c>
      <c r="G85">
        <v>0</v>
      </c>
      <c r="H85">
        <v>0</v>
      </c>
      <c r="I85">
        <v>0</v>
      </c>
      <c r="J85">
        <v>0</v>
      </c>
      <c r="K85">
        <v>0</v>
      </c>
      <c r="L85">
        <v>0</v>
      </c>
      <c r="M85">
        <v>0</v>
      </c>
      <c r="N85">
        <v>0</v>
      </c>
      <c r="O85">
        <v>0</v>
      </c>
      <c r="P85">
        <v>0</v>
      </c>
      <c r="Q85">
        <v>0</v>
      </c>
      <c r="R85">
        <v>0</v>
      </c>
      <c r="S85">
        <v>0</v>
      </c>
      <c r="T85">
        <v>0</v>
      </c>
      <c r="U85">
        <v>0</v>
      </c>
      <c r="V85">
        <v>0</v>
      </c>
      <c r="W85">
        <v>0</v>
      </c>
      <c r="X85">
        <v>0</v>
      </c>
      <c r="Y85">
        <v>0</v>
      </c>
      <c r="Z85">
        <v>0</v>
      </c>
      <c r="AA85">
        <v>0</v>
      </c>
      <c r="AB85">
        <v>0</v>
      </c>
      <c r="AC85">
        <v>0</v>
      </c>
      <c r="AD85">
        <v>0</v>
      </c>
      <c r="AE85">
        <v>0</v>
      </c>
      <c r="AF85">
        <v>0</v>
      </c>
      <c r="AG85" t="s">
        <v>111</v>
      </c>
    </row>
    <row r="86" spans="1:33">
      <c r="A86" t="s">
        <v>237</v>
      </c>
      <c r="B86" t="s">
        <v>3298</v>
      </c>
      <c r="C86" t="s">
        <v>3297</v>
      </c>
      <c r="D86" t="s">
        <v>201</v>
      </c>
      <c r="F86">
        <v>1.835842</v>
      </c>
      <c r="G86">
        <v>2.4526810000000001</v>
      </c>
      <c r="H86">
        <v>3.0207929999999998</v>
      </c>
      <c r="I86">
        <v>3.5318879999999999</v>
      </c>
      <c r="J86">
        <v>3.9540489999999999</v>
      </c>
      <c r="K86">
        <v>4.3047269999999997</v>
      </c>
      <c r="L86">
        <v>4.5975380000000001</v>
      </c>
      <c r="M86">
        <v>4.8346179999999999</v>
      </c>
      <c r="N86">
        <v>5.0316390000000002</v>
      </c>
      <c r="O86">
        <v>5.1899280000000001</v>
      </c>
      <c r="P86">
        <v>5.3246770000000003</v>
      </c>
      <c r="Q86">
        <v>5.4344979999999996</v>
      </c>
      <c r="R86">
        <v>5.5320679999999998</v>
      </c>
      <c r="S86">
        <v>5.6165799999999999</v>
      </c>
      <c r="T86">
        <v>5.6888759999999996</v>
      </c>
      <c r="U86">
        <v>5.7453709999999996</v>
      </c>
      <c r="V86">
        <v>5.7989449999999998</v>
      </c>
      <c r="W86">
        <v>5.846025</v>
      </c>
      <c r="X86">
        <v>5.8912269999999998</v>
      </c>
      <c r="Y86">
        <v>5.930237</v>
      </c>
      <c r="Z86">
        <v>5.9651719999999999</v>
      </c>
      <c r="AA86">
        <v>6.0043030000000002</v>
      </c>
      <c r="AB86">
        <v>6.041099</v>
      </c>
      <c r="AC86">
        <v>6.100841</v>
      </c>
      <c r="AD86">
        <v>6.1635619999999998</v>
      </c>
      <c r="AE86">
        <v>6.2244010000000003</v>
      </c>
      <c r="AF86">
        <v>6.2765719999999998</v>
      </c>
      <c r="AG86" s="22">
        <v>4.8000000000000001E-2</v>
      </c>
    </row>
    <row r="87" spans="1:33">
      <c r="A87" t="s">
        <v>238</v>
      </c>
      <c r="B87" t="s">
        <v>3296</v>
      </c>
      <c r="C87" t="s">
        <v>3295</v>
      </c>
      <c r="D87" t="s">
        <v>201</v>
      </c>
      <c r="F87">
        <v>0</v>
      </c>
      <c r="G87">
        <v>0</v>
      </c>
      <c r="H87">
        <v>2.4901E-2</v>
      </c>
      <c r="I87">
        <v>6.8081000000000003E-2</v>
      </c>
      <c r="J87">
        <v>0.113634</v>
      </c>
      <c r="K87">
        <v>0.165435</v>
      </c>
      <c r="L87">
        <v>0.223909</v>
      </c>
      <c r="M87">
        <v>0.291244</v>
      </c>
      <c r="N87">
        <v>0.37263299999999999</v>
      </c>
      <c r="O87">
        <v>0.35006199999999998</v>
      </c>
      <c r="P87">
        <v>0.33010299999999998</v>
      </c>
      <c r="Q87">
        <v>0.314085</v>
      </c>
      <c r="R87">
        <v>0.30023300000000003</v>
      </c>
      <c r="S87">
        <v>0.29104400000000002</v>
      </c>
      <c r="T87">
        <v>0.28536400000000001</v>
      </c>
      <c r="U87">
        <v>0.28249800000000003</v>
      </c>
      <c r="V87">
        <v>0.278528</v>
      </c>
      <c r="W87">
        <v>0.27172800000000003</v>
      </c>
      <c r="X87">
        <v>0.261187</v>
      </c>
      <c r="Y87">
        <v>0.246643</v>
      </c>
      <c r="Z87">
        <v>0.23005400000000001</v>
      </c>
      <c r="AA87">
        <v>0.21174999999999999</v>
      </c>
      <c r="AB87">
        <v>0.19095899999999999</v>
      </c>
      <c r="AC87">
        <v>0.16870399999999999</v>
      </c>
      <c r="AD87">
        <v>0.14982000000000001</v>
      </c>
      <c r="AE87">
        <v>0.13414200000000001</v>
      </c>
      <c r="AF87">
        <v>0.121348</v>
      </c>
      <c r="AG87" t="s">
        <v>111</v>
      </c>
    </row>
    <row r="88" spans="1:33">
      <c r="A88" t="s">
        <v>239</v>
      </c>
      <c r="B88" t="s">
        <v>3294</v>
      </c>
      <c r="C88" t="s">
        <v>3293</v>
      </c>
      <c r="D88" t="s">
        <v>201</v>
      </c>
      <c r="F88">
        <v>0</v>
      </c>
      <c r="G88">
        <v>0</v>
      </c>
      <c r="H88">
        <v>0</v>
      </c>
      <c r="I88">
        <v>0</v>
      </c>
      <c r="J88">
        <v>0</v>
      </c>
      <c r="K88">
        <v>0</v>
      </c>
      <c r="L88">
        <v>0</v>
      </c>
      <c r="M88">
        <v>0</v>
      </c>
      <c r="N88">
        <v>0</v>
      </c>
      <c r="O88">
        <v>0</v>
      </c>
      <c r="P88">
        <v>0</v>
      </c>
      <c r="Q88">
        <v>0</v>
      </c>
      <c r="R88">
        <v>0</v>
      </c>
      <c r="S88">
        <v>0</v>
      </c>
      <c r="T88">
        <v>0</v>
      </c>
      <c r="U88">
        <v>0</v>
      </c>
      <c r="V88">
        <v>0</v>
      </c>
      <c r="W88">
        <v>0</v>
      </c>
      <c r="X88">
        <v>0</v>
      </c>
      <c r="Y88">
        <v>0</v>
      </c>
      <c r="Z88">
        <v>0</v>
      </c>
      <c r="AA88">
        <v>0</v>
      </c>
      <c r="AB88">
        <v>0</v>
      </c>
      <c r="AC88">
        <v>0</v>
      </c>
      <c r="AD88">
        <v>0</v>
      </c>
      <c r="AE88">
        <v>0</v>
      </c>
      <c r="AF88">
        <v>0</v>
      </c>
      <c r="AG88" t="s">
        <v>111</v>
      </c>
    </row>
    <row r="89" spans="1:33">
      <c r="A89" t="s">
        <v>240</v>
      </c>
      <c r="B89" t="s">
        <v>3292</v>
      </c>
      <c r="C89" t="s">
        <v>3291</v>
      </c>
      <c r="D89" t="s">
        <v>201</v>
      </c>
      <c r="F89">
        <v>0</v>
      </c>
      <c r="G89">
        <v>0</v>
      </c>
      <c r="H89">
        <v>0</v>
      </c>
      <c r="I89">
        <v>0</v>
      </c>
      <c r="J89">
        <v>0</v>
      </c>
      <c r="K89">
        <v>0</v>
      </c>
      <c r="L89">
        <v>0</v>
      </c>
      <c r="M89">
        <v>0</v>
      </c>
      <c r="N89">
        <v>0</v>
      </c>
      <c r="O89">
        <v>0</v>
      </c>
      <c r="P89">
        <v>0</v>
      </c>
      <c r="Q89">
        <v>0</v>
      </c>
      <c r="R89">
        <v>0</v>
      </c>
      <c r="S89">
        <v>0</v>
      </c>
      <c r="T89">
        <v>0</v>
      </c>
      <c r="U89">
        <v>0</v>
      </c>
      <c r="V89">
        <v>0</v>
      </c>
      <c r="W89">
        <v>0</v>
      </c>
      <c r="X89">
        <v>0</v>
      </c>
      <c r="Y89">
        <v>0</v>
      </c>
      <c r="Z89">
        <v>0</v>
      </c>
      <c r="AA89">
        <v>0</v>
      </c>
      <c r="AB89">
        <v>0</v>
      </c>
      <c r="AC89">
        <v>0</v>
      </c>
      <c r="AD89">
        <v>0</v>
      </c>
      <c r="AE89">
        <v>0</v>
      </c>
      <c r="AF89">
        <v>0</v>
      </c>
      <c r="AG89" t="s">
        <v>111</v>
      </c>
    </row>
    <row r="90" spans="1:33">
      <c r="A90" t="s">
        <v>2320</v>
      </c>
      <c r="B90" t="s">
        <v>3290</v>
      </c>
      <c r="C90" t="s">
        <v>3289</v>
      </c>
      <c r="D90" t="s">
        <v>201</v>
      </c>
      <c r="F90">
        <v>0</v>
      </c>
      <c r="G90">
        <v>0</v>
      </c>
      <c r="H90">
        <v>0</v>
      </c>
      <c r="I90">
        <v>0</v>
      </c>
      <c r="J90">
        <v>0</v>
      </c>
      <c r="K90">
        <v>0</v>
      </c>
      <c r="L90">
        <v>0</v>
      </c>
      <c r="M90">
        <v>0</v>
      </c>
      <c r="N90">
        <v>0</v>
      </c>
      <c r="O90">
        <v>0</v>
      </c>
      <c r="P90">
        <v>0</v>
      </c>
      <c r="Q90">
        <v>0</v>
      </c>
      <c r="R90">
        <v>0</v>
      </c>
      <c r="S90">
        <v>0</v>
      </c>
      <c r="T90">
        <v>0</v>
      </c>
      <c r="U90">
        <v>0</v>
      </c>
      <c r="V90">
        <v>0</v>
      </c>
      <c r="W90">
        <v>0</v>
      </c>
      <c r="X90">
        <v>0</v>
      </c>
      <c r="Y90">
        <v>0</v>
      </c>
      <c r="Z90">
        <v>0</v>
      </c>
      <c r="AA90">
        <v>0</v>
      </c>
      <c r="AB90">
        <v>0</v>
      </c>
      <c r="AC90">
        <v>0</v>
      </c>
      <c r="AD90">
        <v>0</v>
      </c>
      <c r="AE90">
        <v>0</v>
      </c>
      <c r="AF90">
        <v>0</v>
      </c>
      <c r="AG90" t="s">
        <v>111</v>
      </c>
    </row>
    <row r="91" spans="1:33">
      <c r="A91" t="s">
        <v>2317</v>
      </c>
      <c r="B91" t="s">
        <v>3288</v>
      </c>
      <c r="C91" t="s">
        <v>3287</v>
      </c>
      <c r="D91" t="s">
        <v>201</v>
      </c>
      <c r="F91">
        <v>0</v>
      </c>
      <c r="G91">
        <v>0</v>
      </c>
      <c r="H91">
        <v>0</v>
      </c>
      <c r="I91">
        <v>0</v>
      </c>
      <c r="J91">
        <v>0</v>
      </c>
      <c r="K91">
        <v>0</v>
      </c>
      <c r="L91">
        <v>0</v>
      </c>
      <c r="M91">
        <v>0</v>
      </c>
      <c r="N91">
        <v>0</v>
      </c>
      <c r="O91">
        <v>0</v>
      </c>
      <c r="P91">
        <v>0</v>
      </c>
      <c r="Q91">
        <v>0</v>
      </c>
      <c r="R91">
        <v>0</v>
      </c>
      <c r="S91">
        <v>0</v>
      </c>
      <c r="T91">
        <v>0</v>
      </c>
      <c r="U91">
        <v>0</v>
      </c>
      <c r="V91">
        <v>0</v>
      </c>
      <c r="W91">
        <v>0</v>
      </c>
      <c r="X91">
        <v>0</v>
      </c>
      <c r="Y91">
        <v>0</v>
      </c>
      <c r="Z91">
        <v>0</v>
      </c>
      <c r="AA91">
        <v>0</v>
      </c>
      <c r="AB91">
        <v>0</v>
      </c>
      <c r="AC91">
        <v>0</v>
      </c>
      <c r="AD91">
        <v>0</v>
      </c>
      <c r="AE91">
        <v>0</v>
      </c>
      <c r="AF91">
        <v>0</v>
      </c>
      <c r="AG91" t="s">
        <v>111</v>
      </c>
    </row>
    <row r="92" spans="1:33">
      <c r="A92" t="s">
        <v>2314</v>
      </c>
      <c r="B92" t="s">
        <v>3286</v>
      </c>
      <c r="C92" t="s">
        <v>3285</v>
      </c>
      <c r="D92" t="s">
        <v>201</v>
      </c>
      <c r="F92">
        <v>0</v>
      </c>
      <c r="G92">
        <v>0</v>
      </c>
      <c r="H92">
        <v>0</v>
      </c>
      <c r="I92">
        <v>0</v>
      </c>
      <c r="J92">
        <v>0</v>
      </c>
      <c r="K92">
        <v>0</v>
      </c>
      <c r="L92">
        <v>0</v>
      </c>
      <c r="M92">
        <v>0</v>
      </c>
      <c r="N92">
        <v>0</v>
      </c>
      <c r="O92">
        <v>0</v>
      </c>
      <c r="P92">
        <v>0</v>
      </c>
      <c r="Q92">
        <v>0</v>
      </c>
      <c r="R92">
        <v>0</v>
      </c>
      <c r="S92">
        <v>0</v>
      </c>
      <c r="T92">
        <v>0</v>
      </c>
      <c r="U92">
        <v>0</v>
      </c>
      <c r="V92">
        <v>0</v>
      </c>
      <c r="W92">
        <v>0</v>
      </c>
      <c r="X92">
        <v>0</v>
      </c>
      <c r="Y92">
        <v>0</v>
      </c>
      <c r="Z92">
        <v>0</v>
      </c>
      <c r="AA92">
        <v>0</v>
      </c>
      <c r="AB92">
        <v>0</v>
      </c>
      <c r="AC92">
        <v>0</v>
      </c>
      <c r="AD92">
        <v>0</v>
      </c>
      <c r="AE92">
        <v>0</v>
      </c>
      <c r="AF92">
        <v>0</v>
      </c>
      <c r="AG92" t="s">
        <v>111</v>
      </c>
    </row>
    <row r="93" spans="1:33">
      <c r="A93" t="s">
        <v>244</v>
      </c>
      <c r="B93" t="s">
        <v>3284</v>
      </c>
      <c r="C93" t="s">
        <v>3283</v>
      </c>
      <c r="D93" t="s">
        <v>201</v>
      </c>
      <c r="F93">
        <v>4208.0673829999996</v>
      </c>
      <c r="G93">
        <v>4261.2026370000003</v>
      </c>
      <c r="H93">
        <v>4279.1987300000001</v>
      </c>
      <c r="I93">
        <v>4285.9965819999998</v>
      </c>
      <c r="J93">
        <v>4271.5712890000004</v>
      </c>
      <c r="K93">
        <v>4253.1284180000002</v>
      </c>
      <c r="L93">
        <v>4231.5385740000002</v>
      </c>
      <c r="M93">
        <v>4201.6323240000002</v>
      </c>
      <c r="N93">
        <v>4171.9951170000004</v>
      </c>
      <c r="O93">
        <v>4139.1025390000004</v>
      </c>
      <c r="P93">
        <v>4111.9794920000004</v>
      </c>
      <c r="Q93">
        <v>4088.0834960000002</v>
      </c>
      <c r="R93">
        <v>4073.4372560000002</v>
      </c>
      <c r="S93">
        <v>4065.2475589999999</v>
      </c>
      <c r="T93">
        <v>4060.0888669999999</v>
      </c>
      <c r="U93">
        <v>4052.5258789999998</v>
      </c>
      <c r="V93">
        <v>4048.0051269999999</v>
      </c>
      <c r="W93">
        <v>4045.056885</v>
      </c>
      <c r="X93">
        <v>4045.580078</v>
      </c>
      <c r="Y93">
        <v>4045.5986330000001</v>
      </c>
      <c r="Z93">
        <v>4045.1948240000002</v>
      </c>
      <c r="AA93">
        <v>4047.8803710000002</v>
      </c>
      <c r="AB93">
        <v>4048.5656739999999</v>
      </c>
      <c r="AC93">
        <v>4064.6430660000001</v>
      </c>
      <c r="AD93">
        <v>4082.6523440000001</v>
      </c>
      <c r="AE93">
        <v>4098.6396480000003</v>
      </c>
      <c r="AF93">
        <v>4109.7368159999996</v>
      </c>
      <c r="AG93" s="22">
        <v>-1E-3</v>
      </c>
    </row>
    <row r="94" spans="1:33">
      <c r="A94" t="s">
        <v>170</v>
      </c>
      <c r="B94" t="s">
        <v>247</v>
      </c>
      <c r="C94" t="s">
        <v>266</v>
      </c>
    </row>
    <row r="95" spans="1:33">
      <c r="A95" t="s">
        <v>189</v>
      </c>
      <c r="B95" t="s">
        <v>3282</v>
      </c>
      <c r="C95" t="s">
        <v>3281</v>
      </c>
      <c r="D95" t="s">
        <v>201</v>
      </c>
      <c r="F95">
        <v>5262.0537109999996</v>
      </c>
      <c r="G95">
        <v>5295.517578</v>
      </c>
      <c r="H95">
        <v>5284.3320309999999</v>
      </c>
      <c r="I95">
        <v>5261.0747069999998</v>
      </c>
      <c r="J95">
        <v>5214.6953119999998</v>
      </c>
      <c r="K95">
        <v>5167.1357420000004</v>
      </c>
      <c r="L95">
        <v>5117.076172</v>
      </c>
      <c r="M95">
        <v>5057.5048829999996</v>
      </c>
      <c r="N95">
        <v>4997.2041019999997</v>
      </c>
      <c r="O95">
        <v>4932.3168949999999</v>
      </c>
      <c r="P95">
        <v>4873.4492190000001</v>
      </c>
      <c r="Q95">
        <v>4817.8413090000004</v>
      </c>
      <c r="R95">
        <v>4772.8662109999996</v>
      </c>
      <c r="S95">
        <v>4734.9516599999997</v>
      </c>
      <c r="T95">
        <v>4700.1743159999996</v>
      </c>
      <c r="U95">
        <v>4662.7070309999999</v>
      </c>
      <c r="V95">
        <v>4629.8315430000002</v>
      </c>
      <c r="W95">
        <v>4598.7304690000001</v>
      </c>
      <c r="X95">
        <v>4572.5097660000001</v>
      </c>
      <c r="Y95">
        <v>4546.7172849999997</v>
      </c>
      <c r="Z95">
        <v>4522.0385740000002</v>
      </c>
      <c r="AA95">
        <v>4502.5307620000003</v>
      </c>
      <c r="AB95">
        <v>4482.2827150000003</v>
      </c>
      <c r="AC95">
        <v>4479.6157229999999</v>
      </c>
      <c r="AD95">
        <v>4478.7768550000001</v>
      </c>
      <c r="AE95">
        <v>4475.8027339999999</v>
      </c>
      <c r="AF95">
        <v>4467.5708009999998</v>
      </c>
      <c r="AG95" s="22">
        <v>-6.0000000000000001E-3</v>
      </c>
    </row>
    <row r="96" spans="1:33">
      <c r="A96" t="s">
        <v>235</v>
      </c>
      <c r="B96" t="s">
        <v>3280</v>
      </c>
      <c r="C96" t="s">
        <v>3279</v>
      </c>
      <c r="D96" t="s">
        <v>201</v>
      </c>
      <c r="F96">
        <v>634.32690400000001</v>
      </c>
      <c r="G96">
        <v>650.87048300000004</v>
      </c>
      <c r="H96">
        <v>662.39166299999999</v>
      </c>
      <c r="I96">
        <v>671.808899</v>
      </c>
      <c r="J96">
        <v>676.77789299999995</v>
      </c>
      <c r="K96">
        <v>680.24054000000001</v>
      </c>
      <c r="L96">
        <v>681.32904099999996</v>
      </c>
      <c r="M96">
        <v>678.65319799999997</v>
      </c>
      <c r="N96">
        <v>673.30505400000004</v>
      </c>
      <c r="O96">
        <v>665.24871800000005</v>
      </c>
      <c r="P96">
        <v>656.16290300000003</v>
      </c>
      <c r="Q96">
        <v>645.64355499999999</v>
      </c>
      <c r="R96">
        <v>634.93084699999997</v>
      </c>
      <c r="S96">
        <v>624.06329300000004</v>
      </c>
      <c r="T96">
        <v>611.81030299999998</v>
      </c>
      <c r="U96">
        <v>598.16156000000001</v>
      </c>
      <c r="V96">
        <v>584.89434800000004</v>
      </c>
      <c r="W96">
        <v>570.99713099999997</v>
      </c>
      <c r="X96">
        <v>556.887024</v>
      </c>
      <c r="Y96">
        <v>542.06732199999999</v>
      </c>
      <c r="Z96">
        <v>527.87664800000005</v>
      </c>
      <c r="AA96">
        <v>515.07910200000003</v>
      </c>
      <c r="AB96">
        <v>502.932526</v>
      </c>
      <c r="AC96">
        <v>492.81231700000001</v>
      </c>
      <c r="AD96">
        <v>482.85266100000001</v>
      </c>
      <c r="AE96">
        <v>472.94921900000003</v>
      </c>
      <c r="AF96">
        <v>463.078644</v>
      </c>
      <c r="AG96" s="22">
        <v>-1.2E-2</v>
      </c>
    </row>
    <row r="97" spans="1:33">
      <c r="A97" t="s">
        <v>192</v>
      </c>
      <c r="B97" t="s">
        <v>3278</v>
      </c>
      <c r="C97" t="s">
        <v>3277</v>
      </c>
      <c r="D97" t="s">
        <v>201</v>
      </c>
      <c r="F97">
        <v>1.63686</v>
      </c>
      <c r="G97">
        <v>1.8039179999999999</v>
      </c>
      <c r="H97">
        <v>1.9553450000000001</v>
      </c>
      <c r="I97">
        <v>2.095329</v>
      </c>
      <c r="J97">
        <v>2.202966</v>
      </c>
      <c r="K97">
        <v>2.2743500000000001</v>
      </c>
      <c r="L97">
        <v>2.341685</v>
      </c>
      <c r="M97">
        <v>2.3793389999999999</v>
      </c>
      <c r="N97">
        <v>2.4041060000000001</v>
      </c>
      <c r="O97">
        <v>2.4123800000000002</v>
      </c>
      <c r="P97">
        <v>2.4138890000000002</v>
      </c>
      <c r="Q97">
        <v>2.405564</v>
      </c>
      <c r="R97">
        <v>2.3955739999999999</v>
      </c>
      <c r="S97">
        <v>2.3836390000000001</v>
      </c>
      <c r="T97">
        <v>2.3738160000000001</v>
      </c>
      <c r="U97">
        <v>2.3633479999999998</v>
      </c>
      <c r="V97">
        <v>2.356134</v>
      </c>
      <c r="W97">
        <v>2.346463</v>
      </c>
      <c r="X97">
        <v>2.3374450000000002</v>
      </c>
      <c r="Y97">
        <v>2.3282379999999998</v>
      </c>
      <c r="Z97">
        <v>2.3202970000000001</v>
      </c>
      <c r="AA97">
        <v>2.3174630000000001</v>
      </c>
      <c r="AB97">
        <v>2.3153820000000001</v>
      </c>
      <c r="AC97">
        <v>2.3233009999999998</v>
      </c>
      <c r="AD97">
        <v>2.327607</v>
      </c>
      <c r="AE97">
        <v>2.3246549999999999</v>
      </c>
      <c r="AF97">
        <v>2.3222160000000001</v>
      </c>
      <c r="AG97" s="22">
        <v>1.4E-2</v>
      </c>
    </row>
    <row r="98" spans="1:33">
      <c r="A98" t="s">
        <v>195</v>
      </c>
      <c r="B98" t="s">
        <v>3276</v>
      </c>
      <c r="C98" t="s">
        <v>3275</v>
      </c>
      <c r="D98" t="s">
        <v>201</v>
      </c>
      <c r="F98">
        <v>55.106678000000002</v>
      </c>
      <c r="G98">
        <v>60.266609000000003</v>
      </c>
      <c r="H98">
        <v>64.839827999999997</v>
      </c>
      <c r="I98">
        <v>68.349625000000003</v>
      </c>
      <c r="J98">
        <v>70.525550999999993</v>
      </c>
      <c r="K98">
        <v>72.469818000000004</v>
      </c>
      <c r="L98">
        <v>73.923186999999999</v>
      </c>
      <c r="M98">
        <v>74.768676999999997</v>
      </c>
      <c r="N98">
        <v>75.424942000000001</v>
      </c>
      <c r="O98">
        <v>75.820374000000001</v>
      </c>
      <c r="P98">
        <v>76.349898999999994</v>
      </c>
      <c r="Q98">
        <v>77.040145999999993</v>
      </c>
      <c r="R98">
        <v>77.877289000000005</v>
      </c>
      <c r="S98">
        <v>79.043137000000002</v>
      </c>
      <c r="T98">
        <v>80.450867000000002</v>
      </c>
      <c r="U98">
        <v>82.033752000000007</v>
      </c>
      <c r="V98">
        <v>84.148926000000003</v>
      </c>
      <c r="W98">
        <v>86.843956000000006</v>
      </c>
      <c r="X98">
        <v>89.839279000000005</v>
      </c>
      <c r="Y98">
        <v>92.977126999999996</v>
      </c>
      <c r="Z98">
        <v>96.314864999999998</v>
      </c>
      <c r="AA98">
        <v>100.060028</v>
      </c>
      <c r="AB98">
        <v>104.28434799999999</v>
      </c>
      <c r="AC98">
        <v>109.626869</v>
      </c>
      <c r="AD98">
        <v>115.90033</v>
      </c>
      <c r="AE98">
        <v>122.995186</v>
      </c>
      <c r="AF98">
        <v>131.064224</v>
      </c>
      <c r="AG98" s="22">
        <v>3.4000000000000002E-2</v>
      </c>
    </row>
    <row r="99" spans="1:33">
      <c r="A99" t="s">
        <v>236</v>
      </c>
      <c r="B99" t="s">
        <v>3274</v>
      </c>
      <c r="C99" t="s">
        <v>3273</v>
      </c>
      <c r="D99" t="s">
        <v>201</v>
      </c>
      <c r="F99">
        <v>49.749854999999997</v>
      </c>
      <c r="G99">
        <v>45.266762</v>
      </c>
      <c r="H99">
        <v>40.649368000000003</v>
      </c>
      <c r="I99">
        <v>36.352798</v>
      </c>
      <c r="J99">
        <v>32.544384000000001</v>
      </c>
      <c r="K99">
        <v>29.355906000000001</v>
      </c>
      <c r="L99">
        <v>26.545546999999999</v>
      </c>
      <c r="M99">
        <v>24.041105000000002</v>
      </c>
      <c r="N99">
        <v>21.797552</v>
      </c>
      <c r="O99">
        <v>19.719795000000001</v>
      </c>
      <c r="P99">
        <v>17.844048000000001</v>
      </c>
      <c r="Q99">
        <v>16.154398</v>
      </c>
      <c r="R99">
        <v>14.596711000000001</v>
      </c>
      <c r="S99">
        <v>13.156967</v>
      </c>
      <c r="T99">
        <v>11.823331</v>
      </c>
      <c r="U99">
        <v>10.605062999999999</v>
      </c>
      <c r="V99">
        <v>9.5238669999999992</v>
      </c>
      <c r="W99">
        <v>8.5670750000000009</v>
      </c>
      <c r="X99">
        <v>7.72227</v>
      </c>
      <c r="Y99">
        <v>6.9687770000000002</v>
      </c>
      <c r="Z99">
        <v>6.2437959999999997</v>
      </c>
      <c r="AA99">
        <v>5.5619810000000003</v>
      </c>
      <c r="AB99">
        <v>4.9072649999999998</v>
      </c>
      <c r="AC99">
        <v>4.3119829999999997</v>
      </c>
      <c r="AD99">
        <v>3.677794</v>
      </c>
      <c r="AE99">
        <v>3.0516730000000001</v>
      </c>
      <c r="AF99">
        <v>2.441856</v>
      </c>
      <c r="AG99" s="22">
        <v>-0.109</v>
      </c>
    </row>
    <row r="100" spans="1:33">
      <c r="A100" t="s">
        <v>237</v>
      </c>
      <c r="B100" t="s">
        <v>3272</v>
      </c>
      <c r="C100" t="s">
        <v>3271</v>
      </c>
      <c r="D100" t="s">
        <v>201</v>
      </c>
      <c r="F100">
        <v>2.2528419999999998</v>
      </c>
      <c r="G100">
        <v>2.9876170000000002</v>
      </c>
      <c r="H100">
        <v>3.663386</v>
      </c>
      <c r="I100">
        <v>4.270626</v>
      </c>
      <c r="J100">
        <v>4.7761940000000003</v>
      </c>
      <c r="K100">
        <v>5.2050029999999996</v>
      </c>
      <c r="L100">
        <v>5.5863839999999998</v>
      </c>
      <c r="M100">
        <v>6.0544630000000002</v>
      </c>
      <c r="N100">
        <v>6.6641269999999997</v>
      </c>
      <c r="O100">
        <v>7.2101389999999999</v>
      </c>
      <c r="P100">
        <v>7.9647639999999997</v>
      </c>
      <c r="Q100">
        <v>9.0889410000000002</v>
      </c>
      <c r="R100">
        <v>10.635733</v>
      </c>
      <c r="S100">
        <v>12.518767</v>
      </c>
      <c r="T100">
        <v>14.774114000000001</v>
      </c>
      <c r="U100">
        <v>17.410596999999999</v>
      </c>
      <c r="V100">
        <v>20.494534000000002</v>
      </c>
      <c r="W100">
        <v>24.229378000000001</v>
      </c>
      <c r="X100">
        <v>28.478767000000001</v>
      </c>
      <c r="Y100">
        <v>33.13467</v>
      </c>
      <c r="Z100">
        <v>37.831429</v>
      </c>
      <c r="AA100">
        <v>42.741287</v>
      </c>
      <c r="AB100">
        <v>47.793205</v>
      </c>
      <c r="AC100">
        <v>53.246014000000002</v>
      </c>
      <c r="AD100">
        <v>58.841552999999998</v>
      </c>
      <c r="AE100">
        <v>64.441185000000004</v>
      </c>
      <c r="AF100">
        <v>70.016105999999994</v>
      </c>
      <c r="AG100" s="22">
        <v>0.14099999999999999</v>
      </c>
    </row>
    <row r="101" spans="1:33">
      <c r="A101" t="s">
        <v>238</v>
      </c>
      <c r="B101" t="s">
        <v>3270</v>
      </c>
      <c r="C101" t="s">
        <v>3269</v>
      </c>
      <c r="D101" t="s">
        <v>201</v>
      </c>
      <c r="F101">
        <v>0</v>
      </c>
      <c r="G101">
        <v>0</v>
      </c>
      <c r="H101">
        <v>4.9972999999999997E-2</v>
      </c>
      <c r="I101">
        <v>0.12850700000000001</v>
      </c>
      <c r="J101">
        <v>0.227355</v>
      </c>
      <c r="K101">
        <v>0.34510600000000002</v>
      </c>
      <c r="L101">
        <v>0.47567100000000001</v>
      </c>
      <c r="M101">
        <v>0.61984499999999998</v>
      </c>
      <c r="N101">
        <v>0.77710699999999999</v>
      </c>
      <c r="O101">
        <v>0.72332300000000005</v>
      </c>
      <c r="P101">
        <v>0.67445299999999997</v>
      </c>
      <c r="Q101">
        <v>0.63134599999999996</v>
      </c>
      <c r="R101">
        <v>0.59302100000000002</v>
      </c>
      <c r="S101">
        <v>0.56109699999999996</v>
      </c>
      <c r="T101">
        <v>0.53418500000000002</v>
      </c>
      <c r="U101">
        <v>0.51141899999999996</v>
      </c>
      <c r="V101">
        <v>0.48934100000000003</v>
      </c>
      <c r="W101">
        <v>0.46598600000000001</v>
      </c>
      <c r="X101">
        <v>0.44024999999999997</v>
      </c>
      <c r="Y101">
        <v>0.41190199999999999</v>
      </c>
      <c r="Z101">
        <v>0.38275100000000001</v>
      </c>
      <c r="AA101">
        <v>0.35326600000000002</v>
      </c>
      <c r="AB101">
        <v>0.32239400000000001</v>
      </c>
      <c r="AC101">
        <v>0.28986200000000001</v>
      </c>
      <c r="AD101">
        <v>0.26128499999999999</v>
      </c>
      <c r="AE101">
        <v>0.236961</v>
      </c>
      <c r="AF101">
        <v>0.216391</v>
      </c>
      <c r="AG101" t="s">
        <v>111</v>
      </c>
    </row>
    <row r="102" spans="1:33">
      <c r="A102" t="s">
        <v>239</v>
      </c>
      <c r="B102" t="s">
        <v>3268</v>
      </c>
      <c r="C102" t="s">
        <v>3267</v>
      </c>
      <c r="D102" t="s">
        <v>201</v>
      </c>
      <c r="F102">
        <v>0</v>
      </c>
      <c r="G102">
        <v>0.115331</v>
      </c>
      <c r="H102">
        <v>0.231573</v>
      </c>
      <c r="I102">
        <v>0.27211000000000002</v>
      </c>
      <c r="J102">
        <v>0.25937199999999999</v>
      </c>
      <c r="K102">
        <v>0.23771500000000001</v>
      </c>
      <c r="L102">
        <v>0.21748300000000001</v>
      </c>
      <c r="M102">
        <v>0.19966</v>
      </c>
      <c r="N102">
        <v>0.18464700000000001</v>
      </c>
      <c r="O102">
        <v>0.17038800000000001</v>
      </c>
      <c r="P102">
        <v>0.157113</v>
      </c>
      <c r="Q102">
        <v>0.144426</v>
      </c>
      <c r="R102">
        <v>0.133132</v>
      </c>
      <c r="S102">
        <v>0.12199</v>
      </c>
      <c r="T102">
        <v>0.11172899999999999</v>
      </c>
      <c r="U102">
        <v>0.10259</v>
      </c>
      <c r="V102">
        <v>9.4766000000000003E-2</v>
      </c>
      <c r="W102">
        <v>8.7656999999999999E-2</v>
      </c>
      <c r="X102">
        <v>8.0437999999999996E-2</v>
      </c>
      <c r="Y102">
        <v>7.3296E-2</v>
      </c>
      <c r="Z102">
        <v>6.6423999999999997E-2</v>
      </c>
      <c r="AA102">
        <v>6.1006999999999999E-2</v>
      </c>
      <c r="AB102">
        <v>5.67E-2</v>
      </c>
      <c r="AC102">
        <v>5.3085E-2</v>
      </c>
      <c r="AD102">
        <v>4.9660999999999997E-2</v>
      </c>
      <c r="AE102">
        <v>4.6268999999999998E-2</v>
      </c>
      <c r="AF102">
        <v>4.3032000000000001E-2</v>
      </c>
      <c r="AG102" t="s">
        <v>111</v>
      </c>
    </row>
    <row r="103" spans="1:33">
      <c r="A103" t="s">
        <v>240</v>
      </c>
      <c r="B103" t="s">
        <v>3266</v>
      </c>
      <c r="C103" t="s">
        <v>3265</v>
      </c>
      <c r="D103" t="s">
        <v>201</v>
      </c>
      <c r="F103">
        <v>0</v>
      </c>
      <c r="G103">
        <v>0</v>
      </c>
      <c r="H103">
        <v>0</v>
      </c>
      <c r="I103">
        <v>0</v>
      </c>
      <c r="J103">
        <v>0</v>
      </c>
      <c r="K103">
        <v>0</v>
      </c>
      <c r="L103">
        <v>0</v>
      </c>
      <c r="M103">
        <v>0</v>
      </c>
      <c r="N103">
        <v>0</v>
      </c>
      <c r="O103">
        <v>0</v>
      </c>
      <c r="P103">
        <v>0</v>
      </c>
      <c r="Q103">
        <v>0</v>
      </c>
      <c r="R103">
        <v>0</v>
      </c>
      <c r="S103">
        <v>0</v>
      </c>
      <c r="T103">
        <v>0</v>
      </c>
      <c r="U103">
        <v>0</v>
      </c>
      <c r="V103">
        <v>0</v>
      </c>
      <c r="W103">
        <v>0</v>
      </c>
      <c r="X103">
        <v>0</v>
      </c>
      <c r="Y103">
        <v>0</v>
      </c>
      <c r="Z103">
        <v>0</v>
      </c>
      <c r="AA103">
        <v>0</v>
      </c>
      <c r="AB103">
        <v>0</v>
      </c>
      <c r="AC103">
        <v>0</v>
      </c>
      <c r="AD103">
        <v>0</v>
      </c>
      <c r="AE103">
        <v>0</v>
      </c>
      <c r="AF103">
        <v>0</v>
      </c>
      <c r="AG103" t="s">
        <v>111</v>
      </c>
    </row>
    <row r="104" spans="1:33">
      <c r="A104" t="s">
        <v>2320</v>
      </c>
      <c r="B104" t="s">
        <v>3264</v>
      </c>
      <c r="C104" t="s">
        <v>3263</v>
      </c>
      <c r="D104" t="s">
        <v>201</v>
      </c>
      <c r="F104">
        <v>0</v>
      </c>
      <c r="G104">
        <v>0</v>
      </c>
      <c r="H104">
        <v>0</v>
      </c>
      <c r="I104">
        <v>0</v>
      </c>
      <c r="J104">
        <v>0</v>
      </c>
      <c r="K104">
        <v>0</v>
      </c>
      <c r="L104">
        <v>0</v>
      </c>
      <c r="M104">
        <v>0</v>
      </c>
      <c r="N104">
        <v>0</v>
      </c>
      <c r="O104">
        <v>0</v>
      </c>
      <c r="P104">
        <v>0</v>
      </c>
      <c r="Q104">
        <v>0</v>
      </c>
      <c r="R104">
        <v>0</v>
      </c>
      <c r="S104">
        <v>0</v>
      </c>
      <c r="T104">
        <v>0</v>
      </c>
      <c r="U104">
        <v>0</v>
      </c>
      <c r="V104">
        <v>0</v>
      </c>
      <c r="W104">
        <v>0</v>
      </c>
      <c r="X104">
        <v>0</v>
      </c>
      <c r="Y104">
        <v>0</v>
      </c>
      <c r="Z104">
        <v>0</v>
      </c>
      <c r="AA104">
        <v>0</v>
      </c>
      <c r="AB104">
        <v>0</v>
      </c>
      <c r="AC104">
        <v>0</v>
      </c>
      <c r="AD104">
        <v>0</v>
      </c>
      <c r="AE104">
        <v>0</v>
      </c>
      <c r="AF104">
        <v>0</v>
      </c>
      <c r="AG104" t="s">
        <v>111</v>
      </c>
    </row>
    <row r="105" spans="1:33">
      <c r="A105" t="s">
        <v>2317</v>
      </c>
      <c r="B105" t="s">
        <v>3262</v>
      </c>
      <c r="C105" t="s">
        <v>3261</v>
      </c>
      <c r="D105" t="s">
        <v>201</v>
      </c>
      <c r="F105">
        <v>0</v>
      </c>
      <c r="G105">
        <v>1.7782450000000001</v>
      </c>
      <c r="H105">
        <v>4.4268890000000001</v>
      </c>
      <c r="I105">
        <v>7.9077299999999999</v>
      </c>
      <c r="J105">
        <v>16.650454</v>
      </c>
      <c r="K105">
        <v>31.569614000000001</v>
      </c>
      <c r="L105">
        <v>52.609603999999997</v>
      </c>
      <c r="M105">
        <v>79.233017000000004</v>
      </c>
      <c r="N105">
        <v>111.403603</v>
      </c>
      <c r="O105">
        <v>147.695572</v>
      </c>
      <c r="P105">
        <v>186.81852699999999</v>
      </c>
      <c r="Q105">
        <v>227.513092</v>
      </c>
      <c r="R105">
        <v>269.02273600000001</v>
      </c>
      <c r="S105">
        <v>310.82708700000001</v>
      </c>
      <c r="T105">
        <v>353.50161700000001</v>
      </c>
      <c r="U105">
        <v>396.58743299999998</v>
      </c>
      <c r="V105">
        <v>438.75372299999998</v>
      </c>
      <c r="W105">
        <v>478.78259300000002</v>
      </c>
      <c r="X105">
        <v>516.66064500000005</v>
      </c>
      <c r="Y105">
        <v>551.88549799999998</v>
      </c>
      <c r="Z105">
        <v>584.66101100000003</v>
      </c>
      <c r="AA105">
        <v>615.79736300000002</v>
      </c>
      <c r="AB105">
        <v>644.87817399999994</v>
      </c>
      <c r="AC105">
        <v>674.08685300000002</v>
      </c>
      <c r="AD105">
        <v>701.07702600000005</v>
      </c>
      <c r="AE105">
        <v>725.72454800000003</v>
      </c>
      <c r="AF105">
        <v>747.80249000000003</v>
      </c>
      <c r="AG105" t="s">
        <v>111</v>
      </c>
    </row>
    <row r="106" spans="1:33">
      <c r="A106" t="s">
        <v>2314</v>
      </c>
      <c r="B106" t="s">
        <v>3260</v>
      </c>
      <c r="C106" t="s">
        <v>3259</v>
      </c>
      <c r="D106" t="s">
        <v>201</v>
      </c>
      <c r="F106">
        <v>0</v>
      </c>
      <c r="G106">
        <v>0</v>
      </c>
      <c r="H106">
        <v>0</v>
      </c>
      <c r="I106">
        <v>0</v>
      </c>
      <c r="J106">
        <v>0</v>
      </c>
      <c r="K106">
        <v>0</v>
      </c>
      <c r="L106">
        <v>0</v>
      </c>
      <c r="M106">
        <v>0</v>
      </c>
      <c r="N106">
        <v>0</v>
      </c>
      <c r="O106">
        <v>0</v>
      </c>
      <c r="P106">
        <v>0</v>
      </c>
      <c r="Q106">
        <v>0</v>
      </c>
      <c r="R106">
        <v>0</v>
      </c>
      <c r="S106">
        <v>0</v>
      </c>
      <c r="T106">
        <v>0</v>
      </c>
      <c r="U106">
        <v>0</v>
      </c>
      <c r="V106">
        <v>0</v>
      </c>
      <c r="W106">
        <v>0</v>
      </c>
      <c r="X106">
        <v>0</v>
      </c>
      <c r="Y106">
        <v>0</v>
      </c>
      <c r="Z106">
        <v>0</v>
      </c>
      <c r="AA106">
        <v>0</v>
      </c>
      <c r="AB106">
        <v>0</v>
      </c>
      <c r="AC106">
        <v>0</v>
      </c>
      <c r="AD106">
        <v>0</v>
      </c>
      <c r="AE106">
        <v>0</v>
      </c>
      <c r="AF106">
        <v>0</v>
      </c>
      <c r="AG106" t="s">
        <v>111</v>
      </c>
    </row>
    <row r="107" spans="1:33">
      <c r="A107" t="s">
        <v>143</v>
      </c>
      <c r="B107" t="s">
        <v>3258</v>
      </c>
      <c r="C107" t="s">
        <v>3257</v>
      </c>
      <c r="D107" t="s">
        <v>201</v>
      </c>
      <c r="F107">
        <v>6005.1274409999996</v>
      </c>
      <c r="G107">
        <v>6058.6044920000004</v>
      </c>
      <c r="H107">
        <v>6062.5385740000002</v>
      </c>
      <c r="I107">
        <v>6052.2592770000001</v>
      </c>
      <c r="J107">
        <v>6018.6591799999997</v>
      </c>
      <c r="K107">
        <v>5988.8334960000002</v>
      </c>
      <c r="L107">
        <v>5960.1040039999998</v>
      </c>
      <c r="M107">
        <v>5923.4521480000003</v>
      </c>
      <c r="N107">
        <v>5889.1645509999998</v>
      </c>
      <c r="O107">
        <v>5851.3164059999999</v>
      </c>
      <c r="P107">
        <v>5821.8344729999999</v>
      </c>
      <c r="Q107">
        <v>5796.4619140000004</v>
      </c>
      <c r="R107">
        <v>5783.0546880000002</v>
      </c>
      <c r="S107">
        <v>5777.6264650000003</v>
      </c>
      <c r="T107">
        <v>5775.5551759999998</v>
      </c>
      <c r="U107">
        <v>5770.4799800000001</v>
      </c>
      <c r="V107">
        <v>5770.5864259999998</v>
      </c>
      <c r="W107">
        <v>5771.0493159999996</v>
      </c>
      <c r="X107">
        <v>5774.9580079999996</v>
      </c>
      <c r="Y107">
        <v>5776.5678710000002</v>
      </c>
      <c r="Z107">
        <v>5777.7348629999997</v>
      </c>
      <c r="AA107">
        <v>5784.5034180000002</v>
      </c>
      <c r="AB107">
        <v>5789.7714839999999</v>
      </c>
      <c r="AC107">
        <v>5816.3671880000002</v>
      </c>
      <c r="AD107">
        <v>5843.7641599999997</v>
      </c>
      <c r="AE107">
        <v>5867.5698240000002</v>
      </c>
      <c r="AF107">
        <v>5884.5581050000001</v>
      </c>
      <c r="AG107" s="22">
        <v>-1E-3</v>
      </c>
    </row>
    <row r="108" spans="1:33">
      <c r="A108" t="s">
        <v>248</v>
      </c>
    </row>
    <row r="109" spans="1:33">
      <c r="A109" t="s">
        <v>170</v>
      </c>
    </row>
    <row r="110" spans="1:33">
      <c r="A110" t="s">
        <v>189</v>
      </c>
      <c r="B110" t="s">
        <v>3256</v>
      </c>
      <c r="C110" t="s">
        <v>3255</v>
      </c>
      <c r="D110" t="s">
        <v>267</v>
      </c>
      <c r="F110">
        <v>13.922707000000001</v>
      </c>
      <c r="G110">
        <v>13.995139999999999</v>
      </c>
      <c r="H110">
        <v>14.083459</v>
      </c>
      <c r="I110">
        <v>14.181444000000001</v>
      </c>
      <c r="J110">
        <v>14.293834</v>
      </c>
      <c r="K110">
        <v>14.38857</v>
      </c>
      <c r="L110">
        <v>14.476728</v>
      </c>
      <c r="M110">
        <v>14.555897</v>
      </c>
      <c r="N110">
        <v>14.630239</v>
      </c>
      <c r="O110">
        <v>14.699897999999999</v>
      </c>
      <c r="P110">
        <v>14.765326</v>
      </c>
      <c r="Q110">
        <v>14.825015</v>
      </c>
      <c r="R110">
        <v>14.879754999999999</v>
      </c>
      <c r="S110">
        <v>14.931191999999999</v>
      </c>
      <c r="T110">
        <v>14.984135999999999</v>
      </c>
      <c r="U110">
        <v>15.034584000000001</v>
      </c>
      <c r="V110">
        <v>15.082407999999999</v>
      </c>
      <c r="W110">
        <v>15.126908</v>
      </c>
      <c r="X110">
        <v>15.167199</v>
      </c>
      <c r="Y110">
        <v>15.202306999999999</v>
      </c>
      <c r="Z110">
        <v>15.240062</v>
      </c>
      <c r="AA110">
        <v>15.278491000000001</v>
      </c>
      <c r="AB110">
        <v>15.314698</v>
      </c>
      <c r="AC110">
        <v>15.350427</v>
      </c>
      <c r="AD110">
        <v>15.386863</v>
      </c>
      <c r="AE110">
        <v>15.426907999999999</v>
      </c>
      <c r="AF110">
        <v>15.474148</v>
      </c>
      <c r="AG110" s="22">
        <v>4.0000000000000001E-3</v>
      </c>
    </row>
    <row r="111" spans="1:33">
      <c r="A111" t="s">
        <v>235</v>
      </c>
      <c r="B111" t="s">
        <v>3254</v>
      </c>
      <c r="C111" t="s">
        <v>3253</v>
      </c>
      <c r="D111" t="s">
        <v>268</v>
      </c>
      <c r="F111">
        <v>11.270543999999999</v>
      </c>
      <c r="G111">
        <v>11.409352999999999</v>
      </c>
      <c r="H111">
        <v>11.538529</v>
      </c>
      <c r="I111">
        <v>11.656753</v>
      </c>
      <c r="J111">
        <v>11.771490999999999</v>
      </c>
      <c r="K111">
        <v>11.863529</v>
      </c>
      <c r="L111">
        <v>11.945356</v>
      </c>
      <c r="M111">
        <v>12.01674</v>
      </c>
      <c r="N111">
        <v>12.080651</v>
      </c>
      <c r="O111">
        <v>12.137786999999999</v>
      </c>
      <c r="P111">
        <v>12.189059</v>
      </c>
      <c r="Q111">
        <v>12.235332</v>
      </c>
      <c r="R111">
        <v>12.2768</v>
      </c>
      <c r="S111">
        <v>12.314057999999999</v>
      </c>
      <c r="T111">
        <v>12.349204</v>
      </c>
      <c r="U111">
        <v>12.382721</v>
      </c>
      <c r="V111">
        <v>12.413944000000001</v>
      </c>
      <c r="W111">
        <v>12.444386</v>
      </c>
      <c r="X111">
        <v>12.473788000000001</v>
      </c>
      <c r="Y111">
        <v>12.501901</v>
      </c>
      <c r="Z111">
        <v>12.530419999999999</v>
      </c>
      <c r="AA111">
        <v>12.558555999999999</v>
      </c>
      <c r="AB111">
        <v>12.586591</v>
      </c>
      <c r="AC111">
        <v>12.615855</v>
      </c>
      <c r="AD111">
        <v>12.647904</v>
      </c>
      <c r="AE111">
        <v>12.682796</v>
      </c>
      <c r="AF111">
        <v>12.720029</v>
      </c>
      <c r="AG111" s="22">
        <v>5.0000000000000001E-3</v>
      </c>
    </row>
    <row r="112" spans="1:33">
      <c r="A112" t="s">
        <v>192</v>
      </c>
      <c r="B112" t="s">
        <v>3252</v>
      </c>
      <c r="C112" t="s">
        <v>3251</v>
      </c>
      <c r="D112" t="s">
        <v>268</v>
      </c>
      <c r="F112">
        <v>9.2423020000000005</v>
      </c>
      <c r="G112">
        <v>9.4532989999999995</v>
      </c>
      <c r="H112">
        <v>9.6632979999999993</v>
      </c>
      <c r="I112">
        <v>9.8595740000000003</v>
      </c>
      <c r="J112">
        <v>10.033324</v>
      </c>
      <c r="K112">
        <v>10.184858</v>
      </c>
      <c r="L112">
        <v>10.326045000000001</v>
      </c>
      <c r="M112">
        <v>10.45519</v>
      </c>
      <c r="N112">
        <v>10.576914</v>
      </c>
      <c r="O112">
        <v>10.765653</v>
      </c>
      <c r="P112">
        <v>10.988288000000001</v>
      </c>
      <c r="Q112">
        <v>11.18052</v>
      </c>
      <c r="R112">
        <v>11.338896</v>
      </c>
      <c r="S112">
        <v>11.467409999999999</v>
      </c>
      <c r="T112">
        <v>11.571596</v>
      </c>
      <c r="U112">
        <v>11.657355000000001</v>
      </c>
      <c r="V112">
        <v>11.728928</v>
      </c>
      <c r="W112">
        <v>11.789823999999999</v>
      </c>
      <c r="X112">
        <v>11.842496000000001</v>
      </c>
      <c r="Y112">
        <v>11.888781</v>
      </c>
      <c r="Z112">
        <v>11.930044000000001</v>
      </c>
      <c r="AA112">
        <v>11.967499</v>
      </c>
      <c r="AB112">
        <v>12.001614999999999</v>
      </c>
      <c r="AC112">
        <v>12.032393000000001</v>
      </c>
      <c r="AD112">
        <v>12.060304</v>
      </c>
      <c r="AE112">
        <v>12.085634000000001</v>
      </c>
      <c r="AF112">
        <v>12.108743</v>
      </c>
      <c r="AG112" s="22">
        <v>0.01</v>
      </c>
    </row>
    <row r="113" spans="1:33">
      <c r="A113" t="s">
        <v>195</v>
      </c>
      <c r="B113" t="s">
        <v>3250</v>
      </c>
      <c r="C113" t="s">
        <v>3249</v>
      </c>
      <c r="D113" t="s">
        <v>268</v>
      </c>
      <c r="F113">
        <v>10.79466</v>
      </c>
      <c r="G113">
        <v>10.920845</v>
      </c>
      <c r="H113">
        <v>10.982545999999999</v>
      </c>
      <c r="I113">
        <v>11.040056</v>
      </c>
      <c r="J113">
        <v>11.1477</v>
      </c>
      <c r="K113">
        <v>11.218605</v>
      </c>
      <c r="L113">
        <v>11.282717</v>
      </c>
      <c r="M113">
        <v>11.33933</v>
      </c>
      <c r="N113">
        <v>11.394833</v>
      </c>
      <c r="O113">
        <v>11.443618000000001</v>
      </c>
      <c r="P113">
        <v>11.49808</v>
      </c>
      <c r="Q113">
        <v>11.559828</v>
      </c>
      <c r="R113">
        <v>11.62152</v>
      </c>
      <c r="S113">
        <v>11.682252</v>
      </c>
      <c r="T113">
        <v>11.742834</v>
      </c>
      <c r="U113">
        <v>11.794235</v>
      </c>
      <c r="V113">
        <v>11.839415000000001</v>
      </c>
      <c r="W113">
        <v>11.878601</v>
      </c>
      <c r="X113">
        <v>11.910233</v>
      </c>
      <c r="Y113">
        <v>11.934759</v>
      </c>
      <c r="Z113">
        <v>11.953211</v>
      </c>
      <c r="AA113">
        <v>11.967457</v>
      </c>
      <c r="AB113">
        <v>11.978687000000001</v>
      </c>
      <c r="AC113">
        <v>11.987667999999999</v>
      </c>
      <c r="AD113">
        <v>11.994937999999999</v>
      </c>
      <c r="AE113">
        <v>12.000684</v>
      </c>
      <c r="AF113">
        <v>12.005663</v>
      </c>
      <c r="AG113" s="22">
        <v>4.0000000000000001E-3</v>
      </c>
    </row>
    <row r="114" spans="1:33">
      <c r="A114" t="s">
        <v>236</v>
      </c>
      <c r="B114" t="s">
        <v>3248</v>
      </c>
      <c r="C114" t="s">
        <v>3247</v>
      </c>
      <c r="D114" t="s">
        <v>268</v>
      </c>
      <c r="F114">
        <v>10.010496</v>
      </c>
      <c r="G114">
        <v>10.00788</v>
      </c>
      <c r="H114">
        <v>10.005171000000001</v>
      </c>
      <c r="I114">
        <v>10.003261999999999</v>
      </c>
      <c r="J114">
        <v>10.001704999999999</v>
      </c>
      <c r="K114">
        <v>10.001531</v>
      </c>
      <c r="L114">
        <v>10.001868999999999</v>
      </c>
      <c r="M114">
        <v>10.002848999999999</v>
      </c>
      <c r="N114">
        <v>10.00376</v>
      </c>
      <c r="O114">
        <v>10.002958</v>
      </c>
      <c r="P114">
        <v>10.000252</v>
      </c>
      <c r="Q114">
        <v>9.9956479999999992</v>
      </c>
      <c r="R114">
        <v>9.9909009999999991</v>
      </c>
      <c r="S114">
        <v>9.9880270000000007</v>
      </c>
      <c r="T114">
        <v>9.9886970000000002</v>
      </c>
      <c r="U114">
        <v>9.9905819999999999</v>
      </c>
      <c r="V114">
        <v>9.9933890000000005</v>
      </c>
      <c r="W114">
        <v>9.9956650000000007</v>
      </c>
      <c r="X114">
        <v>9.9976199999999995</v>
      </c>
      <c r="Y114">
        <v>9.9996279999999995</v>
      </c>
      <c r="Z114">
        <v>10.001576</v>
      </c>
      <c r="AA114">
        <v>9.9996310000000008</v>
      </c>
      <c r="AB114">
        <v>9.9868240000000004</v>
      </c>
      <c r="AC114">
        <v>9.9634610000000006</v>
      </c>
      <c r="AD114">
        <v>9.9343210000000006</v>
      </c>
      <c r="AE114">
        <v>9.9217340000000007</v>
      </c>
      <c r="AF114">
        <v>9.9377790000000008</v>
      </c>
      <c r="AG114" s="22">
        <v>0</v>
      </c>
    </row>
    <row r="115" spans="1:33">
      <c r="A115" t="s">
        <v>237</v>
      </c>
      <c r="B115" t="s">
        <v>3246</v>
      </c>
      <c r="C115" t="s">
        <v>3245</v>
      </c>
      <c r="D115" t="s">
        <v>267</v>
      </c>
      <c r="F115">
        <v>41.381866000000002</v>
      </c>
      <c r="G115">
        <v>41.703876000000001</v>
      </c>
      <c r="H115">
        <v>41.883159999999997</v>
      </c>
      <c r="I115">
        <v>41.993983999999998</v>
      </c>
      <c r="J115">
        <v>42.076790000000003</v>
      </c>
      <c r="K115">
        <v>42.135531999999998</v>
      </c>
      <c r="L115">
        <v>42.180328000000003</v>
      </c>
      <c r="M115">
        <v>42.241095999999999</v>
      </c>
      <c r="N115">
        <v>42.292721</v>
      </c>
      <c r="O115">
        <v>42.319889000000003</v>
      </c>
      <c r="P115">
        <v>42.341545000000004</v>
      </c>
      <c r="Q115">
        <v>42.357627999999998</v>
      </c>
      <c r="R115">
        <v>42.367283</v>
      </c>
      <c r="S115">
        <v>42.372826000000003</v>
      </c>
      <c r="T115">
        <v>42.375796999999999</v>
      </c>
      <c r="U115">
        <v>42.377429999999997</v>
      </c>
      <c r="V115">
        <v>42.378261999999999</v>
      </c>
      <c r="W115">
        <v>42.378647000000001</v>
      </c>
      <c r="X115">
        <v>42.378807000000002</v>
      </c>
      <c r="Y115">
        <v>42.378898999999997</v>
      </c>
      <c r="Z115">
        <v>42.378914000000002</v>
      </c>
      <c r="AA115">
        <v>42.378886999999999</v>
      </c>
      <c r="AB115">
        <v>42.380459000000002</v>
      </c>
      <c r="AC115">
        <v>42.38456</v>
      </c>
      <c r="AD115">
        <v>42.392181000000001</v>
      </c>
      <c r="AE115">
        <v>42.407435999999997</v>
      </c>
      <c r="AF115">
        <v>42.430264000000001</v>
      </c>
      <c r="AG115" s="22">
        <v>1E-3</v>
      </c>
    </row>
    <row r="116" spans="1:33">
      <c r="A116" t="s">
        <v>238</v>
      </c>
      <c r="B116" t="s">
        <v>3244</v>
      </c>
      <c r="C116" t="s">
        <v>3243</v>
      </c>
      <c r="D116" t="s">
        <v>267</v>
      </c>
      <c r="F116">
        <v>0</v>
      </c>
      <c r="G116">
        <v>0</v>
      </c>
      <c r="H116">
        <v>0</v>
      </c>
      <c r="I116">
        <v>0</v>
      </c>
      <c r="J116">
        <v>0</v>
      </c>
      <c r="K116">
        <v>0</v>
      </c>
      <c r="L116">
        <v>0</v>
      </c>
      <c r="M116">
        <v>0</v>
      </c>
      <c r="N116">
        <v>0</v>
      </c>
      <c r="O116">
        <v>0</v>
      </c>
      <c r="P116">
        <v>0</v>
      </c>
      <c r="Q116">
        <v>0</v>
      </c>
      <c r="R116">
        <v>0</v>
      </c>
      <c r="S116">
        <v>0</v>
      </c>
      <c r="T116">
        <v>0</v>
      </c>
      <c r="U116">
        <v>0</v>
      </c>
      <c r="V116">
        <v>0</v>
      </c>
      <c r="W116">
        <v>0</v>
      </c>
      <c r="X116">
        <v>0</v>
      </c>
      <c r="Y116">
        <v>0</v>
      </c>
      <c r="Z116">
        <v>0</v>
      </c>
      <c r="AA116">
        <v>0</v>
      </c>
      <c r="AB116">
        <v>0</v>
      </c>
      <c r="AC116">
        <v>0</v>
      </c>
      <c r="AD116">
        <v>0</v>
      </c>
      <c r="AE116">
        <v>0</v>
      </c>
      <c r="AF116">
        <v>0</v>
      </c>
      <c r="AG116" t="s">
        <v>111</v>
      </c>
    </row>
    <row r="117" spans="1:33">
      <c r="A117" t="s">
        <v>239</v>
      </c>
      <c r="B117" t="s">
        <v>3242</v>
      </c>
      <c r="C117" t="s">
        <v>3241</v>
      </c>
      <c r="D117" t="s">
        <v>268</v>
      </c>
      <c r="F117">
        <v>0</v>
      </c>
      <c r="G117">
        <v>0</v>
      </c>
      <c r="H117">
        <v>0</v>
      </c>
      <c r="I117">
        <v>0</v>
      </c>
      <c r="J117">
        <v>0</v>
      </c>
      <c r="K117">
        <v>0</v>
      </c>
      <c r="L117">
        <v>0</v>
      </c>
      <c r="M117">
        <v>0</v>
      </c>
      <c r="N117">
        <v>0</v>
      </c>
      <c r="O117">
        <v>0</v>
      </c>
      <c r="P117">
        <v>0</v>
      </c>
      <c r="Q117">
        <v>0</v>
      </c>
      <c r="R117">
        <v>0</v>
      </c>
      <c r="S117">
        <v>0</v>
      </c>
      <c r="T117">
        <v>0</v>
      </c>
      <c r="U117">
        <v>0</v>
      </c>
      <c r="V117">
        <v>0</v>
      </c>
      <c r="W117">
        <v>0</v>
      </c>
      <c r="X117">
        <v>0</v>
      </c>
      <c r="Y117">
        <v>0</v>
      </c>
      <c r="Z117">
        <v>0</v>
      </c>
      <c r="AA117">
        <v>0</v>
      </c>
      <c r="AB117">
        <v>0</v>
      </c>
      <c r="AC117">
        <v>0</v>
      </c>
      <c r="AD117">
        <v>0</v>
      </c>
      <c r="AE117">
        <v>0</v>
      </c>
      <c r="AF117">
        <v>0</v>
      </c>
      <c r="AG117" t="s">
        <v>111</v>
      </c>
    </row>
    <row r="118" spans="1:33">
      <c r="A118" t="s">
        <v>240</v>
      </c>
      <c r="B118" t="s">
        <v>3240</v>
      </c>
      <c r="C118" t="s">
        <v>3239</v>
      </c>
      <c r="D118" t="s">
        <v>267</v>
      </c>
      <c r="F118">
        <v>0</v>
      </c>
      <c r="G118">
        <v>0</v>
      </c>
      <c r="H118">
        <v>0</v>
      </c>
      <c r="I118">
        <v>0</v>
      </c>
      <c r="J118">
        <v>0</v>
      </c>
      <c r="K118">
        <v>0</v>
      </c>
      <c r="L118">
        <v>0</v>
      </c>
      <c r="M118">
        <v>0</v>
      </c>
      <c r="N118">
        <v>0</v>
      </c>
      <c r="O118">
        <v>0</v>
      </c>
      <c r="P118">
        <v>0</v>
      </c>
      <c r="Q118">
        <v>0</v>
      </c>
      <c r="R118">
        <v>0</v>
      </c>
      <c r="S118">
        <v>0</v>
      </c>
      <c r="T118">
        <v>0</v>
      </c>
      <c r="U118">
        <v>0</v>
      </c>
      <c r="V118">
        <v>0</v>
      </c>
      <c r="W118">
        <v>0</v>
      </c>
      <c r="X118">
        <v>0</v>
      </c>
      <c r="Y118">
        <v>0</v>
      </c>
      <c r="Z118">
        <v>0</v>
      </c>
      <c r="AA118">
        <v>0</v>
      </c>
      <c r="AB118">
        <v>0</v>
      </c>
      <c r="AC118">
        <v>0</v>
      </c>
      <c r="AD118">
        <v>0</v>
      </c>
      <c r="AE118">
        <v>0</v>
      </c>
      <c r="AF118">
        <v>0</v>
      </c>
      <c r="AG118" t="s">
        <v>111</v>
      </c>
    </row>
    <row r="119" spans="1:33">
      <c r="A119" t="s">
        <v>2320</v>
      </c>
      <c r="B119" t="s">
        <v>3238</v>
      </c>
      <c r="C119" t="s">
        <v>3237</v>
      </c>
      <c r="D119" t="s">
        <v>267</v>
      </c>
      <c r="F119">
        <v>0</v>
      </c>
      <c r="G119">
        <v>0</v>
      </c>
      <c r="H119">
        <v>0</v>
      </c>
      <c r="I119">
        <v>0</v>
      </c>
      <c r="J119">
        <v>0</v>
      </c>
      <c r="K119">
        <v>0</v>
      </c>
      <c r="L119">
        <v>0</v>
      </c>
      <c r="M119">
        <v>0</v>
      </c>
      <c r="N119">
        <v>0</v>
      </c>
      <c r="O119">
        <v>0</v>
      </c>
      <c r="P119">
        <v>0</v>
      </c>
      <c r="Q119">
        <v>0</v>
      </c>
      <c r="R119">
        <v>0</v>
      </c>
      <c r="S119">
        <v>0</v>
      </c>
      <c r="T119">
        <v>0</v>
      </c>
      <c r="U119">
        <v>0</v>
      </c>
      <c r="V119">
        <v>0</v>
      </c>
      <c r="W119">
        <v>0</v>
      </c>
      <c r="X119">
        <v>0</v>
      </c>
      <c r="Y119">
        <v>0</v>
      </c>
      <c r="Z119">
        <v>0</v>
      </c>
      <c r="AA119">
        <v>0</v>
      </c>
      <c r="AB119">
        <v>0</v>
      </c>
      <c r="AC119">
        <v>0</v>
      </c>
      <c r="AD119">
        <v>0</v>
      </c>
      <c r="AE119">
        <v>0</v>
      </c>
      <c r="AF119">
        <v>0</v>
      </c>
      <c r="AG119" t="s">
        <v>111</v>
      </c>
    </row>
    <row r="120" spans="1:33">
      <c r="A120" t="s">
        <v>2317</v>
      </c>
      <c r="B120" t="s">
        <v>3236</v>
      </c>
      <c r="C120" t="s">
        <v>3235</v>
      </c>
      <c r="D120" t="s">
        <v>268</v>
      </c>
      <c r="F120">
        <v>0</v>
      </c>
      <c r="G120">
        <v>14.326266</v>
      </c>
      <c r="H120">
        <v>14.330572999999999</v>
      </c>
      <c r="I120">
        <v>14.341824000000001</v>
      </c>
      <c r="J120">
        <v>14.40915</v>
      </c>
      <c r="K120">
        <v>14.392595999999999</v>
      </c>
      <c r="L120">
        <v>14.412682999999999</v>
      </c>
      <c r="M120">
        <v>14.456479</v>
      </c>
      <c r="N120">
        <v>14.518309</v>
      </c>
      <c r="O120">
        <v>14.599339000000001</v>
      </c>
      <c r="P120">
        <v>14.700199</v>
      </c>
      <c r="Q120">
        <v>14.795714</v>
      </c>
      <c r="R120">
        <v>14.882458</v>
      </c>
      <c r="S120">
        <v>14.958017999999999</v>
      </c>
      <c r="T120">
        <v>15.022192</v>
      </c>
      <c r="U120">
        <v>15.074443</v>
      </c>
      <c r="V120">
        <v>15.115707</v>
      </c>
      <c r="W120">
        <v>15.148602</v>
      </c>
      <c r="X120">
        <v>15.175196</v>
      </c>
      <c r="Y120">
        <v>15.196916</v>
      </c>
      <c r="Z120">
        <v>15.214817999999999</v>
      </c>
      <c r="AA120">
        <v>15.229673</v>
      </c>
      <c r="AB120">
        <v>15.241925</v>
      </c>
      <c r="AC120">
        <v>15.251994</v>
      </c>
      <c r="AD120">
        <v>15.260142</v>
      </c>
      <c r="AE120">
        <v>15.266747000000001</v>
      </c>
      <c r="AF120">
        <v>15.272197999999999</v>
      </c>
      <c r="AG120" t="s">
        <v>111</v>
      </c>
    </row>
    <row r="121" spans="1:33">
      <c r="A121" t="s">
        <v>2314</v>
      </c>
      <c r="B121" t="s">
        <v>3234</v>
      </c>
      <c r="C121" t="s">
        <v>3233</v>
      </c>
      <c r="D121" t="s">
        <v>267</v>
      </c>
      <c r="F121">
        <v>0</v>
      </c>
      <c r="G121">
        <v>0</v>
      </c>
      <c r="H121">
        <v>0</v>
      </c>
      <c r="I121">
        <v>0</v>
      </c>
      <c r="J121">
        <v>0</v>
      </c>
      <c r="K121">
        <v>0</v>
      </c>
      <c r="L121">
        <v>0</v>
      </c>
      <c r="M121">
        <v>0</v>
      </c>
      <c r="N121">
        <v>0</v>
      </c>
      <c r="O121">
        <v>0</v>
      </c>
      <c r="P121">
        <v>0</v>
      </c>
      <c r="Q121">
        <v>0</v>
      </c>
      <c r="R121">
        <v>0</v>
      </c>
      <c r="S121">
        <v>0</v>
      </c>
      <c r="T121">
        <v>0</v>
      </c>
      <c r="U121">
        <v>0</v>
      </c>
      <c r="V121">
        <v>0</v>
      </c>
      <c r="W121">
        <v>0</v>
      </c>
      <c r="X121">
        <v>0</v>
      </c>
      <c r="Y121">
        <v>0</v>
      </c>
      <c r="Z121">
        <v>0</v>
      </c>
      <c r="AA121">
        <v>0</v>
      </c>
      <c r="AB121">
        <v>0</v>
      </c>
      <c r="AC121">
        <v>0</v>
      </c>
      <c r="AD121">
        <v>0</v>
      </c>
      <c r="AE121">
        <v>0</v>
      </c>
      <c r="AF121">
        <v>0</v>
      </c>
      <c r="AG121" t="s">
        <v>111</v>
      </c>
    </row>
    <row r="122" spans="1:33">
      <c r="A122" t="s">
        <v>249</v>
      </c>
      <c r="B122" t="s">
        <v>3232</v>
      </c>
      <c r="C122" t="s">
        <v>3231</v>
      </c>
      <c r="F122">
        <v>12.831079000000001</v>
      </c>
      <c r="G122">
        <v>12.901629</v>
      </c>
      <c r="H122">
        <v>12.979244</v>
      </c>
      <c r="I122">
        <v>13.060256000000001</v>
      </c>
      <c r="J122">
        <v>13.160561</v>
      </c>
      <c r="K122">
        <v>13.250387</v>
      </c>
      <c r="L122">
        <v>13.341866</v>
      </c>
      <c r="M122">
        <v>13.437830999999999</v>
      </c>
      <c r="N122">
        <v>13.541937000000001</v>
      </c>
      <c r="O122">
        <v>13.647505000000001</v>
      </c>
      <c r="P122">
        <v>13.762563</v>
      </c>
      <c r="Q122">
        <v>13.886763</v>
      </c>
      <c r="R122">
        <v>14.018940000000001</v>
      </c>
      <c r="S122">
        <v>14.155526999999999</v>
      </c>
      <c r="T122">
        <v>14.300395</v>
      </c>
      <c r="U122">
        <v>14.452030000000001</v>
      </c>
      <c r="V122">
        <v>14.607469</v>
      </c>
      <c r="W122">
        <v>14.773649000000001</v>
      </c>
      <c r="X122">
        <v>14.947186</v>
      </c>
      <c r="Y122">
        <v>15.126486999999999</v>
      </c>
      <c r="Z122">
        <v>15.302503</v>
      </c>
      <c r="AA122">
        <v>15.47659</v>
      </c>
      <c r="AB122">
        <v>15.647549</v>
      </c>
      <c r="AC122">
        <v>15.819523999999999</v>
      </c>
      <c r="AD122">
        <v>15.992418000000001</v>
      </c>
      <c r="AE122">
        <v>16.163097</v>
      </c>
      <c r="AF122">
        <v>16.331121</v>
      </c>
      <c r="AG122" s="22">
        <v>8.9999999999999993E-3</v>
      </c>
    </row>
    <row r="123" spans="1:33">
      <c r="A123" t="s">
        <v>171</v>
      </c>
    </row>
    <row r="124" spans="1:33">
      <c r="A124" t="s">
        <v>189</v>
      </c>
      <c r="B124" t="s">
        <v>3230</v>
      </c>
      <c r="C124" t="s">
        <v>3229</v>
      </c>
      <c r="D124" t="s">
        <v>267</v>
      </c>
      <c r="F124">
        <v>8.9978890000000007</v>
      </c>
      <c r="G124">
        <v>9.0829520000000006</v>
      </c>
      <c r="H124">
        <v>9.1856989999999996</v>
      </c>
      <c r="I124">
        <v>9.302251</v>
      </c>
      <c r="J124">
        <v>9.4243500000000004</v>
      </c>
      <c r="K124">
        <v>9.5493419999999993</v>
      </c>
      <c r="L124">
        <v>9.6778139999999997</v>
      </c>
      <c r="M124">
        <v>9.8073920000000001</v>
      </c>
      <c r="N124">
        <v>9.9367000000000001</v>
      </c>
      <c r="O124">
        <v>10.064192</v>
      </c>
      <c r="P124">
        <v>10.185987000000001</v>
      </c>
      <c r="Q124">
        <v>10.298703</v>
      </c>
      <c r="R124">
        <v>10.397989000000001</v>
      </c>
      <c r="S124">
        <v>10.485415</v>
      </c>
      <c r="T124">
        <v>10.563262</v>
      </c>
      <c r="U124">
        <v>10.632419000000001</v>
      </c>
      <c r="V124">
        <v>10.694361000000001</v>
      </c>
      <c r="W124">
        <v>10.750007999999999</v>
      </c>
      <c r="X124">
        <v>10.79853</v>
      </c>
      <c r="Y124">
        <v>10.838488</v>
      </c>
      <c r="Z124">
        <v>10.87189</v>
      </c>
      <c r="AA124">
        <v>10.900912</v>
      </c>
      <c r="AB124">
        <v>10.927300000000001</v>
      </c>
      <c r="AC124">
        <v>10.951186</v>
      </c>
      <c r="AD124">
        <v>10.973481</v>
      </c>
      <c r="AE124">
        <v>10.994838</v>
      </c>
      <c r="AF124">
        <v>11.015133000000001</v>
      </c>
      <c r="AG124" s="22">
        <v>8.0000000000000002E-3</v>
      </c>
    </row>
    <row r="125" spans="1:33">
      <c r="A125" t="s">
        <v>235</v>
      </c>
      <c r="B125" t="s">
        <v>3228</v>
      </c>
      <c r="C125" t="s">
        <v>3227</v>
      </c>
      <c r="D125" t="s">
        <v>268</v>
      </c>
      <c r="F125">
        <v>8.592568</v>
      </c>
      <c r="G125">
        <v>8.606071</v>
      </c>
      <c r="H125">
        <v>8.6407279999999993</v>
      </c>
      <c r="I125">
        <v>8.6937289999999994</v>
      </c>
      <c r="J125">
        <v>8.7579480000000007</v>
      </c>
      <c r="K125">
        <v>8.8303630000000002</v>
      </c>
      <c r="L125">
        <v>8.9090279999999993</v>
      </c>
      <c r="M125">
        <v>8.9910139999999998</v>
      </c>
      <c r="N125">
        <v>9.0732940000000006</v>
      </c>
      <c r="O125">
        <v>9.1533490000000004</v>
      </c>
      <c r="P125">
        <v>9.2273899999999998</v>
      </c>
      <c r="Q125">
        <v>9.2924640000000007</v>
      </c>
      <c r="R125">
        <v>9.3458290000000002</v>
      </c>
      <c r="S125">
        <v>9.3894179999999992</v>
      </c>
      <c r="T125">
        <v>9.426107</v>
      </c>
      <c r="U125">
        <v>9.4564690000000002</v>
      </c>
      <c r="V125">
        <v>9.4821089999999995</v>
      </c>
      <c r="W125">
        <v>9.5037509999999994</v>
      </c>
      <c r="X125">
        <v>9.5213079999999994</v>
      </c>
      <c r="Y125">
        <v>9.5352370000000004</v>
      </c>
      <c r="Z125">
        <v>9.5466929999999994</v>
      </c>
      <c r="AA125">
        <v>9.5570179999999993</v>
      </c>
      <c r="AB125">
        <v>9.5671199999999992</v>
      </c>
      <c r="AC125">
        <v>9.5762730000000005</v>
      </c>
      <c r="AD125">
        <v>9.5845059999999993</v>
      </c>
      <c r="AE125">
        <v>9.5920339999999999</v>
      </c>
      <c r="AF125">
        <v>9.5997579999999996</v>
      </c>
      <c r="AG125" s="22">
        <v>4.0000000000000001E-3</v>
      </c>
    </row>
    <row r="126" spans="1:33">
      <c r="A126" t="s">
        <v>192</v>
      </c>
      <c r="B126" t="s">
        <v>3226</v>
      </c>
      <c r="C126" t="s">
        <v>3225</v>
      </c>
      <c r="D126" t="s">
        <v>268</v>
      </c>
      <c r="F126">
        <v>6.8220650000000003</v>
      </c>
      <c r="G126">
        <v>6.8356219999999999</v>
      </c>
      <c r="H126">
        <v>6.8474570000000003</v>
      </c>
      <c r="I126">
        <v>6.8590809999999998</v>
      </c>
      <c r="J126">
        <v>6.8706709999999998</v>
      </c>
      <c r="K126">
        <v>6.8888879999999997</v>
      </c>
      <c r="L126">
        <v>6.9028039999999997</v>
      </c>
      <c r="M126">
        <v>6.9194360000000001</v>
      </c>
      <c r="N126">
        <v>6.9374929999999999</v>
      </c>
      <c r="O126">
        <v>6.9537370000000003</v>
      </c>
      <c r="P126">
        <v>6.9632969999999998</v>
      </c>
      <c r="Q126">
        <v>6.9714309999999999</v>
      </c>
      <c r="R126">
        <v>6.9840410000000004</v>
      </c>
      <c r="S126">
        <v>6.9995570000000003</v>
      </c>
      <c r="T126">
        <v>7.0186469999999996</v>
      </c>
      <c r="U126">
        <v>7.0403880000000001</v>
      </c>
      <c r="V126">
        <v>7.0628229999999999</v>
      </c>
      <c r="W126">
        <v>7.0873840000000001</v>
      </c>
      <c r="X126">
        <v>7.1132809999999997</v>
      </c>
      <c r="Y126">
        <v>7.1400220000000001</v>
      </c>
      <c r="Z126">
        <v>7.1690750000000003</v>
      </c>
      <c r="AA126">
        <v>7.192005</v>
      </c>
      <c r="AB126">
        <v>7.2187939999999999</v>
      </c>
      <c r="AC126">
        <v>7.2469020000000004</v>
      </c>
      <c r="AD126">
        <v>7.3173399999999997</v>
      </c>
      <c r="AE126">
        <v>7.4649669999999997</v>
      </c>
      <c r="AF126">
        <v>7.6597530000000003</v>
      </c>
      <c r="AG126" s="22">
        <v>4.0000000000000001E-3</v>
      </c>
    </row>
    <row r="127" spans="1:33">
      <c r="A127" t="s">
        <v>195</v>
      </c>
      <c r="B127" t="s">
        <v>3224</v>
      </c>
      <c r="C127" t="s">
        <v>3223</v>
      </c>
      <c r="D127" t="s">
        <v>268</v>
      </c>
      <c r="F127">
        <v>6.9587450000000004</v>
      </c>
      <c r="G127">
        <v>7.1005240000000001</v>
      </c>
      <c r="H127">
        <v>7.2395759999999996</v>
      </c>
      <c r="I127">
        <v>7.3705959999999999</v>
      </c>
      <c r="J127">
        <v>7.4949719999999997</v>
      </c>
      <c r="K127">
        <v>7.6142539999999999</v>
      </c>
      <c r="L127">
        <v>7.7296529999999999</v>
      </c>
      <c r="M127">
        <v>7.8412980000000001</v>
      </c>
      <c r="N127">
        <v>7.9508369999999999</v>
      </c>
      <c r="O127">
        <v>8.0574860000000008</v>
      </c>
      <c r="P127">
        <v>8.1595089999999999</v>
      </c>
      <c r="Q127">
        <v>8.2554759999999998</v>
      </c>
      <c r="R127">
        <v>8.3427430000000005</v>
      </c>
      <c r="S127">
        <v>8.4244380000000003</v>
      </c>
      <c r="T127">
        <v>8.4999819999999993</v>
      </c>
      <c r="U127">
        <v>8.5670479999999998</v>
      </c>
      <c r="V127">
        <v>8.6249350000000007</v>
      </c>
      <c r="W127">
        <v>8.6754809999999996</v>
      </c>
      <c r="X127">
        <v>8.7235139999999998</v>
      </c>
      <c r="Y127">
        <v>8.7679089999999995</v>
      </c>
      <c r="Z127">
        <v>8.8069520000000008</v>
      </c>
      <c r="AA127">
        <v>8.8404869999999995</v>
      </c>
      <c r="AB127">
        <v>8.8708639999999992</v>
      </c>
      <c r="AC127">
        <v>8.8994520000000001</v>
      </c>
      <c r="AD127">
        <v>8.9278849999999998</v>
      </c>
      <c r="AE127">
        <v>8.9568460000000005</v>
      </c>
      <c r="AF127">
        <v>8.9833010000000009</v>
      </c>
      <c r="AG127" s="22">
        <v>0.01</v>
      </c>
    </row>
    <row r="128" spans="1:33">
      <c r="A128" t="s">
        <v>236</v>
      </c>
      <c r="B128" t="s">
        <v>3222</v>
      </c>
      <c r="C128" t="s">
        <v>3221</v>
      </c>
      <c r="D128" t="s">
        <v>269</v>
      </c>
      <c r="F128">
        <v>7.796983</v>
      </c>
      <c r="G128">
        <v>7.7971940000000002</v>
      </c>
      <c r="H128">
        <v>7.7987250000000001</v>
      </c>
      <c r="I128">
        <v>7.801488</v>
      </c>
      <c r="J128">
        <v>7.8042069999999999</v>
      </c>
      <c r="K128">
        <v>7.8062139999999998</v>
      </c>
      <c r="L128">
        <v>7.8079090000000004</v>
      </c>
      <c r="M128">
        <v>7.8093599999999999</v>
      </c>
      <c r="N128">
        <v>7.8103420000000003</v>
      </c>
      <c r="O128">
        <v>7.8079689999999999</v>
      </c>
      <c r="P128">
        <v>7.8039969999999999</v>
      </c>
      <c r="Q128">
        <v>7.8007169999999997</v>
      </c>
      <c r="R128">
        <v>7.797841</v>
      </c>
      <c r="S128">
        <v>7.7953469999999996</v>
      </c>
      <c r="T128">
        <v>7.7935889999999999</v>
      </c>
      <c r="U128">
        <v>7.7924810000000004</v>
      </c>
      <c r="V128">
        <v>7.7928889999999997</v>
      </c>
      <c r="W128">
        <v>7.7937029999999998</v>
      </c>
      <c r="X128">
        <v>7.79474</v>
      </c>
      <c r="Y128">
        <v>7.7960089999999997</v>
      </c>
      <c r="Z128">
        <v>7.7985680000000004</v>
      </c>
      <c r="AA128">
        <v>7.8054160000000001</v>
      </c>
      <c r="AB128">
        <v>7.8220879999999999</v>
      </c>
      <c r="AC128">
        <v>7.8419610000000004</v>
      </c>
      <c r="AD128">
        <v>7.8639159999999997</v>
      </c>
      <c r="AE128">
        <v>7.8818760000000001</v>
      </c>
      <c r="AF128">
        <v>7.8981960000000004</v>
      </c>
      <c r="AG128" s="22">
        <v>0</v>
      </c>
    </row>
    <row r="129" spans="1:33">
      <c r="A129" t="s">
        <v>237</v>
      </c>
      <c r="B129" t="s">
        <v>3220</v>
      </c>
      <c r="C129" t="s">
        <v>3219</v>
      </c>
      <c r="D129" t="s">
        <v>268</v>
      </c>
      <c r="F129">
        <v>24.166793999999999</v>
      </c>
      <c r="G129">
        <v>23.488609</v>
      </c>
      <c r="H129">
        <v>22.970822999999999</v>
      </c>
      <c r="I129">
        <v>22.584382999999999</v>
      </c>
      <c r="J129">
        <v>22.309833999999999</v>
      </c>
      <c r="K129">
        <v>22.112442000000001</v>
      </c>
      <c r="L129">
        <v>21.974169</v>
      </c>
      <c r="M129">
        <v>21.859919000000001</v>
      </c>
      <c r="N129">
        <v>21.779983999999999</v>
      </c>
      <c r="O129">
        <v>21.717737</v>
      </c>
      <c r="P129">
        <v>21.666831999999999</v>
      </c>
      <c r="Q129">
        <v>21.623701000000001</v>
      </c>
      <c r="R129">
        <v>21.584246</v>
      </c>
      <c r="S129">
        <v>21.556746</v>
      </c>
      <c r="T129">
        <v>21.530912000000001</v>
      </c>
      <c r="U129">
        <v>21.508230000000001</v>
      </c>
      <c r="V129">
        <v>21.486397</v>
      </c>
      <c r="W129">
        <v>21.472149000000002</v>
      </c>
      <c r="X129">
        <v>21.463833000000001</v>
      </c>
      <c r="Y129">
        <v>21.454124</v>
      </c>
      <c r="Z129">
        <v>21.444941</v>
      </c>
      <c r="AA129">
        <v>21.435572000000001</v>
      </c>
      <c r="AB129">
        <v>21.425909000000001</v>
      </c>
      <c r="AC129">
        <v>21.417406</v>
      </c>
      <c r="AD129">
        <v>21.411480000000001</v>
      </c>
      <c r="AE129">
        <v>21.406433</v>
      </c>
      <c r="AF129">
        <v>21.400034000000002</v>
      </c>
      <c r="AG129" s="22">
        <v>-5.0000000000000001E-3</v>
      </c>
    </row>
    <row r="130" spans="1:33">
      <c r="A130" t="s">
        <v>238</v>
      </c>
      <c r="B130" t="s">
        <v>3218</v>
      </c>
      <c r="C130" t="s">
        <v>3217</v>
      </c>
      <c r="D130" t="s">
        <v>268</v>
      </c>
      <c r="F130">
        <v>0</v>
      </c>
      <c r="G130">
        <v>0</v>
      </c>
      <c r="H130">
        <v>10.021416</v>
      </c>
      <c r="I130">
        <v>10.148141000000001</v>
      </c>
      <c r="J130">
        <v>10.257020000000001</v>
      </c>
      <c r="K130">
        <v>10.35416</v>
      </c>
      <c r="L130">
        <v>10.452347</v>
      </c>
      <c r="M130">
        <v>10.558968</v>
      </c>
      <c r="N130">
        <v>10.672829</v>
      </c>
      <c r="O130">
        <v>10.673995</v>
      </c>
      <c r="P130">
        <v>10.674879000000001</v>
      </c>
      <c r="Q130">
        <v>10.674975999999999</v>
      </c>
      <c r="R130">
        <v>10.675637</v>
      </c>
      <c r="S130">
        <v>10.676446</v>
      </c>
      <c r="T130">
        <v>10.677424999999999</v>
      </c>
      <c r="U130">
        <v>10.678618</v>
      </c>
      <c r="V130">
        <v>10.678158</v>
      </c>
      <c r="W130">
        <v>10.677065000000001</v>
      </c>
      <c r="X130">
        <v>10.675454999999999</v>
      </c>
      <c r="Y130">
        <v>10.674443</v>
      </c>
      <c r="Z130">
        <v>10.674431999999999</v>
      </c>
      <c r="AA130">
        <v>10.676520999999999</v>
      </c>
      <c r="AB130">
        <v>10.680699000000001</v>
      </c>
      <c r="AC130">
        <v>10.681051</v>
      </c>
      <c r="AD130">
        <v>10.679695000000001</v>
      </c>
      <c r="AE130">
        <v>10.677787</v>
      </c>
      <c r="AF130">
        <v>10.675386</v>
      </c>
      <c r="AG130" t="s">
        <v>111</v>
      </c>
    </row>
    <row r="131" spans="1:33">
      <c r="A131" t="s">
        <v>239</v>
      </c>
      <c r="B131" t="s">
        <v>3216</v>
      </c>
      <c r="C131" t="s">
        <v>3215</v>
      </c>
      <c r="D131" t="s">
        <v>268</v>
      </c>
      <c r="F131">
        <v>0</v>
      </c>
      <c r="G131">
        <v>9.2793500000000009</v>
      </c>
      <c r="H131">
        <v>9.3903090000000002</v>
      </c>
      <c r="I131">
        <v>9.4275889999999993</v>
      </c>
      <c r="J131">
        <v>9.4380749999999995</v>
      </c>
      <c r="K131">
        <v>9.4384440000000005</v>
      </c>
      <c r="L131">
        <v>9.4383389999999991</v>
      </c>
      <c r="M131">
        <v>9.4377980000000008</v>
      </c>
      <c r="N131">
        <v>9.4372070000000008</v>
      </c>
      <c r="O131">
        <v>9.4371589999999994</v>
      </c>
      <c r="P131">
        <v>9.4370309999999993</v>
      </c>
      <c r="Q131">
        <v>9.4372480000000003</v>
      </c>
      <c r="R131">
        <v>9.4374789999999997</v>
      </c>
      <c r="S131">
        <v>9.4374090000000006</v>
      </c>
      <c r="T131">
        <v>9.4373679999999993</v>
      </c>
      <c r="U131">
        <v>9.4368029999999994</v>
      </c>
      <c r="V131">
        <v>9.4368730000000003</v>
      </c>
      <c r="W131">
        <v>9.4382909999999995</v>
      </c>
      <c r="X131">
        <v>9.4389240000000001</v>
      </c>
      <c r="Y131">
        <v>9.4395220000000002</v>
      </c>
      <c r="Z131">
        <v>9.4401240000000008</v>
      </c>
      <c r="AA131">
        <v>9.4384189999999997</v>
      </c>
      <c r="AB131">
        <v>9.4378630000000001</v>
      </c>
      <c r="AC131">
        <v>9.4376599999999993</v>
      </c>
      <c r="AD131">
        <v>9.4378349999999998</v>
      </c>
      <c r="AE131">
        <v>9.4380550000000003</v>
      </c>
      <c r="AF131">
        <v>9.4382800000000007</v>
      </c>
      <c r="AG131" t="s">
        <v>111</v>
      </c>
    </row>
    <row r="132" spans="1:33">
      <c r="A132" t="s">
        <v>240</v>
      </c>
      <c r="B132" t="s">
        <v>3214</v>
      </c>
      <c r="C132" t="s">
        <v>3213</v>
      </c>
      <c r="D132" t="s">
        <v>268</v>
      </c>
      <c r="F132">
        <v>0</v>
      </c>
      <c r="G132">
        <v>0</v>
      </c>
      <c r="H132">
        <v>0</v>
      </c>
      <c r="I132">
        <v>0</v>
      </c>
      <c r="J132">
        <v>0</v>
      </c>
      <c r="K132">
        <v>0</v>
      </c>
      <c r="L132">
        <v>0</v>
      </c>
      <c r="M132">
        <v>0</v>
      </c>
      <c r="N132">
        <v>0</v>
      </c>
      <c r="O132">
        <v>0</v>
      </c>
      <c r="P132">
        <v>0</v>
      </c>
      <c r="Q132">
        <v>0</v>
      </c>
      <c r="R132">
        <v>0</v>
      </c>
      <c r="S132">
        <v>0</v>
      </c>
      <c r="T132">
        <v>0</v>
      </c>
      <c r="U132">
        <v>0</v>
      </c>
      <c r="V132">
        <v>0</v>
      </c>
      <c r="W132">
        <v>0</v>
      </c>
      <c r="X132">
        <v>0</v>
      </c>
      <c r="Y132">
        <v>0</v>
      </c>
      <c r="Z132">
        <v>0</v>
      </c>
      <c r="AA132">
        <v>0</v>
      </c>
      <c r="AB132">
        <v>0</v>
      </c>
      <c r="AC132">
        <v>0</v>
      </c>
      <c r="AD132">
        <v>0</v>
      </c>
      <c r="AE132">
        <v>0</v>
      </c>
      <c r="AF132">
        <v>0</v>
      </c>
      <c r="AG132" t="s">
        <v>111</v>
      </c>
    </row>
    <row r="133" spans="1:33">
      <c r="A133" t="s">
        <v>2320</v>
      </c>
      <c r="B133" t="s">
        <v>3212</v>
      </c>
      <c r="C133" t="s">
        <v>3211</v>
      </c>
      <c r="D133" t="s">
        <v>267</v>
      </c>
      <c r="F133">
        <v>0</v>
      </c>
      <c r="G133">
        <v>0</v>
      </c>
      <c r="H133">
        <v>0</v>
      </c>
      <c r="I133">
        <v>0</v>
      </c>
      <c r="J133">
        <v>0</v>
      </c>
      <c r="K133">
        <v>0</v>
      </c>
      <c r="L133">
        <v>0</v>
      </c>
      <c r="M133">
        <v>0</v>
      </c>
      <c r="N133">
        <v>0</v>
      </c>
      <c r="O133">
        <v>0</v>
      </c>
      <c r="P133">
        <v>0</v>
      </c>
      <c r="Q133">
        <v>0</v>
      </c>
      <c r="R133">
        <v>0</v>
      </c>
      <c r="S133">
        <v>0</v>
      </c>
      <c r="T133">
        <v>0</v>
      </c>
      <c r="U133">
        <v>0</v>
      </c>
      <c r="V133">
        <v>0</v>
      </c>
      <c r="W133">
        <v>0</v>
      </c>
      <c r="X133">
        <v>0</v>
      </c>
      <c r="Y133">
        <v>0</v>
      </c>
      <c r="Z133">
        <v>0</v>
      </c>
      <c r="AA133">
        <v>0</v>
      </c>
      <c r="AB133">
        <v>0</v>
      </c>
      <c r="AC133">
        <v>0</v>
      </c>
      <c r="AD133">
        <v>0</v>
      </c>
      <c r="AE133">
        <v>0</v>
      </c>
      <c r="AF133">
        <v>0</v>
      </c>
      <c r="AG133" t="s">
        <v>111</v>
      </c>
    </row>
    <row r="134" spans="1:33">
      <c r="A134" t="s">
        <v>2317</v>
      </c>
      <c r="B134" t="s">
        <v>3210</v>
      </c>
      <c r="C134" t="s">
        <v>3209</v>
      </c>
      <c r="D134" t="s">
        <v>268</v>
      </c>
      <c r="F134">
        <v>0</v>
      </c>
      <c r="G134">
        <v>9.8621339999999993</v>
      </c>
      <c r="H134">
        <v>9.8833859999999998</v>
      </c>
      <c r="I134">
        <v>9.8984020000000008</v>
      </c>
      <c r="J134">
        <v>9.914415</v>
      </c>
      <c r="K134">
        <v>9.9336549999999999</v>
      </c>
      <c r="L134">
        <v>9.9669659999999993</v>
      </c>
      <c r="M134">
        <v>10.016080000000001</v>
      </c>
      <c r="N134">
        <v>10.069900000000001</v>
      </c>
      <c r="O134">
        <v>10.138522999999999</v>
      </c>
      <c r="P134">
        <v>10.213169000000001</v>
      </c>
      <c r="Q134">
        <v>10.27599</v>
      </c>
      <c r="R134">
        <v>10.324953000000001</v>
      </c>
      <c r="S134">
        <v>10.362147</v>
      </c>
      <c r="T134">
        <v>10.390623</v>
      </c>
      <c r="U134">
        <v>10.412682999999999</v>
      </c>
      <c r="V134">
        <v>10.429790000000001</v>
      </c>
      <c r="W134">
        <v>10.442456999999999</v>
      </c>
      <c r="X134">
        <v>10.452116999999999</v>
      </c>
      <c r="Y134">
        <v>10.459664</v>
      </c>
      <c r="Z134">
        <v>10.465630000000001</v>
      </c>
      <c r="AA134">
        <v>10.470389000000001</v>
      </c>
      <c r="AB134">
        <v>10.474275</v>
      </c>
      <c r="AC134">
        <v>10.47749</v>
      </c>
      <c r="AD134">
        <v>10.480141</v>
      </c>
      <c r="AE134">
        <v>10.482335000000001</v>
      </c>
      <c r="AF134">
        <v>10.484144000000001</v>
      </c>
      <c r="AG134" t="s">
        <v>111</v>
      </c>
    </row>
    <row r="135" spans="1:33">
      <c r="A135" t="s">
        <v>2314</v>
      </c>
      <c r="B135" t="s">
        <v>3208</v>
      </c>
      <c r="C135" t="s">
        <v>3207</v>
      </c>
      <c r="D135" t="s">
        <v>267</v>
      </c>
      <c r="F135">
        <v>0</v>
      </c>
      <c r="G135">
        <v>0</v>
      </c>
      <c r="H135">
        <v>0</v>
      </c>
      <c r="I135">
        <v>0</v>
      </c>
      <c r="J135">
        <v>0</v>
      </c>
      <c r="K135">
        <v>0</v>
      </c>
      <c r="L135">
        <v>0</v>
      </c>
      <c r="M135">
        <v>0</v>
      </c>
      <c r="N135">
        <v>0</v>
      </c>
      <c r="O135">
        <v>0</v>
      </c>
      <c r="P135">
        <v>0</v>
      </c>
      <c r="Q135">
        <v>0</v>
      </c>
      <c r="R135">
        <v>0</v>
      </c>
      <c r="S135">
        <v>0</v>
      </c>
      <c r="T135">
        <v>0</v>
      </c>
      <c r="U135">
        <v>0</v>
      </c>
      <c r="V135">
        <v>0</v>
      </c>
      <c r="W135">
        <v>0</v>
      </c>
      <c r="X135">
        <v>0</v>
      </c>
      <c r="Y135">
        <v>0</v>
      </c>
      <c r="Z135">
        <v>0</v>
      </c>
      <c r="AA135">
        <v>0</v>
      </c>
      <c r="AB135">
        <v>0</v>
      </c>
      <c r="AC135">
        <v>0</v>
      </c>
      <c r="AD135">
        <v>0</v>
      </c>
      <c r="AE135">
        <v>0</v>
      </c>
      <c r="AF135">
        <v>0</v>
      </c>
      <c r="AG135" t="s">
        <v>111</v>
      </c>
    </row>
    <row r="136" spans="1:33">
      <c r="A136" t="s">
        <v>250</v>
      </c>
      <c r="B136" t="s">
        <v>3206</v>
      </c>
      <c r="C136" t="s">
        <v>3205</v>
      </c>
      <c r="F136">
        <v>8.8135969999999997</v>
      </c>
      <c r="G136">
        <v>8.8656690000000005</v>
      </c>
      <c r="H136">
        <v>8.9361870000000003</v>
      </c>
      <c r="I136">
        <v>9.0218129999999999</v>
      </c>
      <c r="J136">
        <v>9.1149059999999995</v>
      </c>
      <c r="K136">
        <v>9.2129379999999994</v>
      </c>
      <c r="L136">
        <v>9.3155249999999992</v>
      </c>
      <c r="M136">
        <v>9.4202680000000001</v>
      </c>
      <c r="N136">
        <v>9.5250190000000003</v>
      </c>
      <c r="O136">
        <v>9.6281189999999999</v>
      </c>
      <c r="P136">
        <v>9.7260120000000008</v>
      </c>
      <c r="Q136">
        <v>9.8152310000000007</v>
      </c>
      <c r="R136">
        <v>9.8922919999999994</v>
      </c>
      <c r="S136">
        <v>9.9582700000000006</v>
      </c>
      <c r="T136">
        <v>10.015612000000001</v>
      </c>
      <c r="U136">
        <v>10.064689</v>
      </c>
      <c r="V136">
        <v>10.107037</v>
      </c>
      <c r="W136">
        <v>10.143312</v>
      </c>
      <c r="X136">
        <v>10.173615</v>
      </c>
      <c r="Y136">
        <v>10.198003</v>
      </c>
      <c r="Z136">
        <v>10.217998</v>
      </c>
      <c r="AA136">
        <v>10.235155000000001</v>
      </c>
      <c r="AB136">
        <v>10.250697000000001</v>
      </c>
      <c r="AC136">
        <v>10.264521999999999</v>
      </c>
      <c r="AD136">
        <v>10.276980999999999</v>
      </c>
      <c r="AE136">
        <v>10.288339000000001</v>
      </c>
      <c r="AF136">
        <v>10.299118999999999</v>
      </c>
      <c r="AG136" s="22">
        <v>6.0000000000000001E-3</v>
      </c>
    </row>
    <row r="137" spans="1:33">
      <c r="A137" t="s">
        <v>243</v>
      </c>
    </row>
    <row r="138" spans="1:33">
      <c r="A138" t="s">
        <v>189</v>
      </c>
      <c r="B138" t="s">
        <v>3204</v>
      </c>
      <c r="C138" t="s">
        <v>3203</v>
      </c>
      <c r="D138" t="s">
        <v>267</v>
      </c>
      <c r="F138">
        <v>6.4481590000000004</v>
      </c>
      <c r="G138">
        <v>6.5237150000000002</v>
      </c>
      <c r="H138">
        <v>6.610277</v>
      </c>
      <c r="I138">
        <v>6.7069049999999999</v>
      </c>
      <c r="J138">
        <v>6.8064679999999997</v>
      </c>
      <c r="K138">
        <v>6.9066099999999997</v>
      </c>
      <c r="L138">
        <v>7.0061400000000003</v>
      </c>
      <c r="M138">
        <v>7.1038860000000001</v>
      </c>
      <c r="N138">
        <v>7.1993840000000002</v>
      </c>
      <c r="O138">
        <v>7.2923330000000002</v>
      </c>
      <c r="P138">
        <v>7.3804069999999999</v>
      </c>
      <c r="Q138">
        <v>7.4618279999999997</v>
      </c>
      <c r="R138">
        <v>7.5358000000000001</v>
      </c>
      <c r="S138">
        <v>7.6030470000000001</v>
      </c>
      <c r="T138">
        <v>7.664059</v>
      </c>
      <c r="U138">
        <v>7.7193630000000004</v>
      </c>
      <c r="V138">
        <v>7.769641</v>
      </c>
      <c r="W138">
        <v>7.8135589999999997</v>
      </c>
      <c r="X138">
        <v>7.8512329999999997</v>
      </c>
      <c r="Y138">
        <v>7.8831619999999996</v>
      </c>
      <c r="Z138">
        <v>7.910139</v>
      </c>
      <c r="AA138">
        <v>7.9335370000000003</v>
      </c>
      <c r="AB138">
        <v>7.9543119999999998</v>
      </c>
      <c r="AC138">
        <v>7.9732010000000004</v>
      </c>
      <c r="AD138">
        <v>7.990386</v>
      </c>
      <c r="AE138">
        <v>8.0064489999999999</v>
      </c>
      <c r="AF138">
        <v>8.0207669999999993</v>
      </c>
      <c r="AG138" s="22">
        <v>8.0000000000000002E-3</v>
      </c>
    </row>
    <row r="139" spans="1:33">
      <c r="A139" t="s">
        <v>235</v>
      </c>
      <c r="B139" t="s">
        <v>3202</v>
      </c>
      <c r="C139" t="s">
        <v>3201</v>
      </c>
      <c r="D139" t="s">
        <v>268</v>
      </c>
      <c r="F139">
        <v>5.0604979999999999</v>
      </c>
      <c r="G139">
        <v>5.0774359999999996</v>
      </c>
      <c r="H139">
        <v>5.0991439999999999</v>
      </c>
      <c r="I139">
        <v>5.1250900000000001</v>
      </c>
      <c r="J139">
        <v>5.1534420000000001</v>
      </c>
      <c r="K139">
        <v>5.1845939999999997</v>
      </c>
      <c r="L139">
        <v>5.2184819999999998</v>
      </c>
      <c r="M139">
        <v>5.2552859999999999</v>
      </c>
      <c r="N139">
        <v>5.2975779999999997</v>
      </c>
      <c r="O139">
        <v>5.3497630000000003</v>
      </c>
      <c r="P139">
        <v>5.4074600000000004</v>
      </c>
      <c r="Q139">
        <v>5.4704280000000001</v>
      </c>
      <c r="R139">
        <v>5.5354279999999996</v>
      </c>
      <c r="S139">
        <v>5.6057940000000004</v>
      </c>
      <c r="T139">
        <v>5.680758</v>
      </c>
      <c r="U139">
        <v>5.7590899999999996</v>
      </c>
      <c r="V139">
        <v>5.8335530000000002</v>
      </c>
      <c r="W139">
        <v>5.9079370000000004</v>
      </c>
      <c r="X139">
        <v>5.9863949999999999</v>
      </c>
      <c r="Y139">
        <v>6.0574680000000001</v>
      </c>
      <c r="Z139">
        <v>6.1193</v>
      </c>
      <c r="AA139">
        <v>6.1728969999999999</v>
      </c>
      <c r="AB139">
        <v>6.2207470000000002</v>
      </c>
      <c r="AC139">
        <v>6.2629130000000002</v>
      </c>
      <c r="AD139">
        <v>6.3015109999999996</v>
      </c>
      <c r="AE139">
        <v>6.3367149999999999</v>
      </c>
      <c r="AF139">
        <v>6.3716860000000004</v>
      </c>
      <c r="AG139" s="22">
        <v>8.9999999999999993E-3</v>
      </c>
    </row>
    <row r="140" spans="1:33">
      <c r="A140" t="s">
        <v>192</v>
      </c>
      <c r="B140" t="s">
        <v>3200</v>
      </c>
      <c r="C140" t="s">
        <v>3199</v>
      </c>
      <c r="D140" t="s">
        <v>268</v>
      </c>
      <c r="F140">
        <v>5.1770810000000003</v>
      </c>
      <c r="G140">
        <v>5.2519499999999999</v>
      </c>
      <c r="H140">
        <v>5.3134009999999998</v>
      </c>
      <c r="I140">
        <v>5.3660629999999996</v>
      </c>
      <c r="J140">
        <v>5.4125629999999996</v>
      </c>
      <c r="K140">
        <v>5.4564050000000002</v>
      </c>
      <c r="L140">
        <v>5.5025110000000002</v>
      </c>
      <c r="M140">
        <v>5.553839</v>
      </c>
      <c r="N140">
        <v>5.6110850000000001</v>
      </c>
      <c r="O140">
        <v>5.6749489999999998</v>
      </c>
      <c r="P140">
        <v>5.7430880000000002</v>
      </c>
      <c r="Q140">
        <v>5.815677</v>
      </c>
      <c r="R140">
        <v>5.8909649999999996</v>
      </c>
      <c r="S140">
        <v>5.9667110000000001</v>
      </c>
      <c r="T140">
        <v>6.0391219999999999</v>
      </c>
      <c r="U140">
        <v>6.1066419999999999</v>
      </c>
      <c r="V140">
        <v>6.168126</v>
      </c>
      <c r="W140">
        <v>6.2248260000000002</v>
      </c>
      <c r="X140">
        <v>6.2762650000000004</v>
      </c>
      <c r="Y140">
        <v>6.3219269999999996</v>
      </c>
      <c r="Z140">
        <v>6.3612109999999999</v>
      </c>
      <c r="AA140">
        <v>6.3945879999999997</v>
      </c>
      <c r="AB140">
        <v>6.4228620000000003</v>
      </c>
      <c r="AC140">
        <v>6.4477200000000003</v>
      </c>
      <c r="AD140">
        <v>6.471025</v>
      </c>
      <c r="AE140">
        <v>6.4940899999999999</v>
      </c>
      <c r="AF140">
        <v>6.5145</v>
      </c>
      <c r="AG140" s="22">
        <v>8.9999999999999993E-3</v>
      </c>
    </row>
    <row r="141" spans="1:33">
      <c r="A141" t="s">
        <v>195</v>
      </c>
      <c r="B141" t="s">
        <v>3198</v>
      </c>
      <c r="C141" t="s">
        <v>3197</v>
      </c>
      <c r="D141" t="s">
        <v>267</v>
      </c>
      <c r="F141">
        <v>5.8177469999999998</v>
      </c>
      <c r="G141">
        <v>5.8252810000000004</v>
      </c>
      <c r="H141">
        <v>5.8505969999999996</v>
      </c>
      <c r="I141">
        <v>5.8820009999999998</v>
      </c>
      <c r="J141">
        <v>5.923349</v>
      </c>
      <c r="K141">
        <v>5.9725099999999998</v>
      </c>
      <c r="L141">
        <v>6.0274619999999999</v>
      </c>
      <c r="M141">
        <v>6.0861039999999997</v>
      </c>
      <c r="N141">
        <v>6.1471739999999997</v>
      </c>
      <c r="O141">
        <v>6.2090630000000004</v>
      </c>
      <c r="P141">
        <v>6.2704079999999998</v>
      </c>
      <c r="Q141">
        <v>6.3303279999999997</v>
      </c>
      <c r="R141">
        <v>6.3855779999999998</v>
      </c>
      <c r="S141">
        <v>6.4388249999999996</v>
      </c>
      <c r="T141">
        <v>6.4865199999999996</v>
      </c>
      <c r="U141">
        <v>6.5314629999999996</v>
      </c>
      <c r="V141">
        <v>6.5754039999999998</v>
      </c>
      <c r="W141">
        <v>6.6179860000000001</v>
      </c>
      <c r="X141">
        <v>6.6568529999999999</v>
      </c>
      <c r="Y141">
        <v>6.6910489999999996</v>
      </c>
      <c r="Z141">
        <v>6.7246829999999997</v>
      </c>
      <c r="AA141">
        <v>6.7557660000000004</v>
      </c>
      <c r="AB141">
        <v>6.7887440000000003</v>
      </c>
      <c r="AC141">
        <v>6.8248379999999997</v>
      </c>
      <c r="AD141">
        <v>6.8676399999999997</v>
      </c>
      <c r="AE141">
        <v>6.9122810000000001</v>
      </c>
      <c r="AF141">
        <v>6.9615030000000004</v>
      </c>
      <c r="AG141" s="22">
        <v>7.0000000000000001E-3</v>
      </c>
    </row>
    <row r="142" spans="1:33">
      <c r="A142" t="s">
        <v>236</v>
      </c>
      <c r="B142" t="s">
        <v>3196</v>
      </c>
      <c r="C142" t="s">
        <v>3195</v>
      </c>
      <c r="D142" t="s">
        <v>268</v>
      </c>
      <c r="F142">
        <v>0</v>
      </c>
      <c r="G142">
        <v>0</v>
      </c>
      <c r="H142">
        <v>0</v>
      </c>
      <c r="I142">
        <v>0</v>
      </c>
      <c r="J142">
        <v>0</v>
      </c>
      <c r="K142">
        <v>0</v>
      </c>
      <c r="L142">
        <v>0</v>
      </c>
      <c r="M142">
        <v>0</v>
      </c>
      <c r="N142">
        <v>0</v>
      </c>
      <c r="O142">
        <v>0</v>
      </c>
      <c r="P142">
        <v>0</v>
      </c>
      <c r="Q142">
        <v>0</v>
      </c>
      <c r="R142">
        <v>0</v>
      </c>
      <c r="S142">
        <v>0</v>
      </c>
      <c r="T142">
        <v>0</v>
      </c>
      <c r="U142">
        <v>0</v>
      </c>
      <c r="V142">
        <v>0</v>
      </c>
      <c r="W142">
        <v>0</v>
      </c>
      <c r="X142">
        <v>0</v>
      </c>
      <c r="Y142">
        <v>0</v>
      </c>
      <c r="Z142">
        <v>0</v>
      </c>
      <c r="AA142">
        <v>0</v>
      </c>
      <c r="AB142">
        <v>0</v>
      </c>
      <c r="AC142">
        <v>0</v>
      </c>
      <c r="AD142">
        <v>0</v>
      </c>
      <c r="AE142">
        <v>0</v>
      </c>
      <c r="AF142">
        <v>0</v>
      </c>
      <c r="AG142" t="s">
        <v>111</v>
      </c>
    </row>
    <row r="143" spans="1:33">
      <c r="A143" t="s">
        <v>237</v>
      </c>
      <c r="B143" t="s">
        <v>3194</v>
      </c>
      <c r="C143" t="s">
        <v>3193</v>
      </c>
      <c r="D143" t="s">
        <v>267</v>
      </c>
      <c r="F143">
        <v>13.988659</v>
      </c>
      <c r="G143">
        <v>13.883277</v>
      </c>
      <c r="H143">
        <v>13.850619999999999</v>
      </c>
      <c r="I143">
        <v>13.859565999999999</v>
      </c>
      <c r="J143">
        <v>13.895028999999999</v>
      </c>
      <c r="K143">
        <v>13.954997000000001</v>
      </c>
      <c r="L143">
        <v>14.030798000000001</v>
      </c>
      <c r="M143">
        <v>14.115463999999999</v>
      </c>
      <c r="N143">
        <v>14.211738</v>
      </c>
      <c r="O143">
        <v>14.318835999999999</v>
      </c>
      <c r="P143">
        <v>14.423564000000001</v>
      </c>
      <c r="Q143">
        <v>14.524480000000001</v>
      </c>
      <c r="R143">
        <v>14.620310999999999</v>
      </c>
      <c r="S143">
        <v>14.710813999999999</v>
      </c>
      <c r="T143">
        <v>14.79519</v>
      </c>
      <c r="U143">
        <v>14.872324000000001</v>
      </c>
      <c r="V143">
        <v>14.941452999999999</v>
      </c>
      <c r="W143">
        <v>15.002162</v>
      </c>
      <c r="X143">
        <v>15.054307</v>
      </c>
      <c r="Y143">
        <v>15.098464999999999</v>
      </c>
      <c r="Z143">
        <v>15.13503</v>
      </c>
      <c r="AA143">
        <v>15.16474</v>
      </c>
      <c r="AB143">
        <v>15.188535</v>
      </c>
      <c r="AC143">
        <v>15.207722</v>
      </c>
      <c r="AD143">
        <v>15.223267</v>
      </c>
      <c r="AE143">
        <v>15.235799</v>
      </c>
      <c r="AF143">
        <v>15.245944</v>
      </c>
      <c r="AG143" s="22">
        <v>3.0000000000000001E-3</v>
      </c>
    </row>
    <row r="144" spans="1:33">
      <c r="A144" t="s">
        <v>238</v>
      </c>
      <c r="B144" t="s">
        <v>3192</v>
      </c>
      <c r="C144" t="s">
        <v>3191</v>
      </c>
      <c r="D144" t="s">
        <v>267</v>
      </c>
      <c r="F144">
        <v>0</v>
      </c>
      <c r="G144">
        <v>0</v>
      </c>
      <c r="H144">
        <v>8.8917629999999992</v>
      </c>
      <c r="I144">
        <v>9.0109379999999994</v>
      </c>
      <c r="J144">
        <v>9.0930579999999992</v>
      </c>
      <c r="K144">
        <v>9.1704240000000006</v>
      </c>
      <c r="L144">
        <v>9.2546510000000008</v>
      </c>
      <c r="M144">
        <v>9.3515370000000004</v>
      </c>
      <c r="N144">
        <v>9.4650669999999995</v>
      </c>
      <c r="O144">
        <v>9.4638760000000008</v>
      </c>
      <c r="P144">
        <v>9.4589940000000006</v>
      </c>
      <c r="Q144">
        <v>9.4530069999999995</v>
      </c>
      <c r="R144">
        <v>9.4444230000000005</v>
      </c>
      <c r="S144">
        <v>9.438231</v>
      </c>
      <c r="T144">
        <v>9.4353920000000002</v>
      </c>
      <c r="U144">
        <v>9.4374330000000004</v>
      </c>
      <c r="V144">
        <v>9.4385729999999999</v>
      </c>
      <c r="W144">
        <v>9.443244</v>
      </c>
      <c r="X144">
        <v>9.4517179999999996</v>
      </c>
      <c r="Y144">
        <v>9.4627800000000004</v>
      </c>
      <c r="Z144">
        <v>9.4740059999999993</v>
      </c>
      <c r="AA144">
        <v>9.4837299999999995</v>
      </c>
      <c r="AB144">
        <v>9.4882910000000003</v>
      </c>
      <c r="AC144">
        <v>9.4838109999999993</v>
      </c>
      <c r="AD144">
        <v>9.4798200000000001</v>
      </c>
      <c r="AE144">
        <v>9.4780770000000008</v>
      </c>
      <c r="AF144">
        <v>9.4804750000000002</v>
      </c>
      <c r="AG144" t="s">
        <v>111</v>
      </c>
    </row>
    <row r="145" spans="1:33">
      <c r="A145" t="s">
        <v>239</v>
      </c>
      <c r="B145" t="s">
        <v>3190</v>
      </c>
      <c r="C145" t="s">
        <v>3189</v>
      </c>
      <c r="D145" t="s">
        <v>268</v>
      </c>
      <c r="F145">
        <v>0</v>
      </c>
      <c r="G145">
        <v>0</v>
      </c>
      <c r="H145">
        <v>0</v>
      </c>
      <c r="I145">
        <v>0</v>
      </c>
      <c r="J145">
        <v>0</v>
      </c>
      <c r="K145">
        <v>0</v>
      </c>
      <c r="L145">
        <v>0</v>
      </c>
      <c r="M145">
        <v>0</v>
      </c>
      <c r="N145">
        <v>0</v>
      </c>
      <c r="O145">
        <v>0</v>
      </c>
      <c r="P145">
        <v>0</v>
      </c>
      <c r="Q145">
        <v>0</v>
      </c>
      <c r="R145">
        <v>0</v>
      </c>
      <c r="S145">
        <v>0</v>
      </c>
      <c r="T145">
        <v>0</v>
      </c>
      <c r="U145">
        <v>0</v>
      </c>
      <c r="V145">
        <v>0</v>
      </c>
      <c r="W145">
        <v>0</v>
      </c>
      <c r="X145">
        <v>0</v>
      </c>
      <c r="Y145">
        <v>0</v>
      </c>
      <c r="Z145">
        <v>0</v>
      </c>
      <c r="AA145">
        <v>0</v>
      </c>
      <c r="AB145">
        <v>0</v>
      </c>
      <c r="AC145">
        <v>0</v>
      </c>
      <c r="AD145">
        <v>0</v>
      </c>
      <c r="AE145">
        <v>0</v>
      </c>
      <c r="AF145">
        <v>0</v>
      </c>
      <c r="AG145" t="s">
        <v>111</v>
      </c>
    </row>
    <row r="146" spans="1:33">
      <c r="A146" t="s">
        <v>240</v>
      </c>
      <c r="B146" t="s">
        <v>3188</v>
      </c>
      <c r="C146" t="s">
        <v>3187</v>
      </c>
      <c r="D146" t="s">
        <v>267</v>
      </c>
      <c r="F146">
        <v>0</v>
      </c>
      <c r="G146">
        <v>0</v>
      </c>
      <c r="H146">
        <v>0</v>
      </c>
      <c r="I146">
        <v>0</v>
      </c>
      <c r="J146">
        <v>0</v>
      </c>
      <c r="K146">
        <v>0</v>
      </c>
      <c r="L146">
        <v>0</v>
      </c>
      <c r="M146">
        <v>0</v>
      </c>
      <c r="N146">
        <v>0</v>
      </c>
      <c r="O146">
        <v>0</v>
      </c>
      <c r="P146">
        <v>0</v>
      </c>
      <c r="Q146">
        <v>0</v>
      </c>
      <c r="R146">
        <v>0</v>
      </c>
      <c r="S146">
        <v>0</v>
      </c>
      <c r="T146">
        <v>0</v>
      </c>
      <c r="U146">
        <v>0</v>
      </c>
      <c r="V146">
        <v>0</v>
      </c>
      <c r="W146">
        <v>0</v>
      </c>
      <c r="X146">
        <v>0</v>
      </c>
      <c r="Y146">
        <v>0</v>
      </c>
      <c r="Z146">
        <v>0</v>
      </c>
      <c r="AA146">
        <v>0</v>
      </c>
      <c r="AB146">
        <v>0</v>
      </c>
      <c r="AC146">
        <v>0</v>
      </c>
      <c r="AD146">
        <v>0</v>
      </c>
      <c r="AE146">
        <v>0</v>
      </c>
      <c r="AF146">
        <v>0</v>
      </c>
      <c r="AG146" t="s">
        <v>111</v>
      </c>
    </row>
    <row r="147" spans="1:33">
      <c r="A147" t="s">
        <v>2320</v>
      </c>
      <c r="B147" t="s">
        <v>3186</v>
      </c>
      <c r="C147" t="s">
        <v>3185</v>
      </c>
      <c r="D147" t="s">
        <v>267</v>
      </c>
      <c r="F147">
        <v>0</v>
      </c>
      <c r="G147">
        <v>0</v>
      </c>
      <c r="H147">
        <v>0</v>
      </c>
      <c r="I147">
        <v>0</v>
      </c>
      <c r="J147">
        <v>0</v>
      </c>
      <c r="K147">
        <v>0</v>
      </c>
      <c r="L147">
        <v>0</v>
      </c>
      <c r="M147">
        <v>0</v>
      </c>
      <c r="N147">
        <v>0</v>
      </c>
      <c r="O147">
        <v>0</v>
      </c>
      <c r="P147">
        <v>0</v>
      </c>
      <c r="Q147">
        <v>0</v>
      </c>
      <c r="R147">
        <v>0</v>
      </c>
      <c r="S147">
        <v>0</v>
      </c>
      <c r="T147">
        <v>0</v>
      </c>
      <c r="U147">
        <v>0</v>
      </c>
      <c r="V147">
        <v>0</v>
      </c>
      <c r="W147">
        <v>0</v>
      </c>
      <c r="X147">
        <v>0</v>
      </c>
      <c r="Y147">
        <v>0</v>
      </c>
      <c r="Z147">
        <v>0</v>
      </c>
      <c r="AA147">
        <v>0</v>
      </c>
      <c r="AB147">
        <v>0</v>
      </c>
      <c r="AC147">
        <v>0</v>
      </c>
      <c r="AD147">
        <v>0</v>
      </c>
      <c r="AE147">
        <v>0</v>
      </c>
      <c r="AF147">
        <v>0</v>
      </c>
      <c r="AG147" t="s">
        <v>111</v>
      </c>
    </row>
    <row r="148" spans="1:33">
      <c r="A148" t="s">
        <v>2317</v>
      </c>
      <c r="B148" t="s">
        <v>3184</v>
      </c>
      <c r="C148" t="s">
        <v>3183</v>
      </c>
      <c r="D148" t="s">
        <v>268</v>
      </c>
      <c r="F148">
        <v>0</v>
      </c>
      <c r="G148">
        <v>0</v>
      </c>
      <c r="H148">
        <v>0</v>
      </c>
      <c r="I148">
        <v>0</v>
      </c>
      <c r="J148">
        <v>0</v>
      </c>
      <c r="K148">
        <v>0</v>
      </c>
      <c r="L148">
        <v>0</v>
      </c>
      <c r="M148">
        <v>0</v>
      </c>
      <c r="N148">
        <v>0</v>
      </c>
      <c r="O148">
        <v>0</v>
      </c>
      <c r="P148">
        <v>0</v>
      </c>
      <c r="Q148">
        <v>0</v>
      </c>
      <c r="R148">
        <v>0</v>
      </c>
      <c r="S148">
        <v>0</v>
      </c>
      <c r="T148">
        <v>0</v>
      </c>
      <c r="U148">
        <v>0</v>
      </c>
      <c r="V148">
        <v>0</v>
      </c>
      <c r="W148">
        <v>0</v>
      </c>
      <c r="X148">
        <v>0</v>
      </c>
      <c r="Y148">
        <v>0</v>
      </c>
      <c r="Z148">
        <v>0</v>
      </c>
      <c r="AA148">
        <v>0</v>
      </c>
      <c r="AB148">
        <v>0</v>
      </c>
      <c r="AC148">
        <v>0</v>
      </c>
      <c r="AD148">
        <v>0</v>
      </c>
      <c r="AE148">
        <v>0</v>
      </c>
      <c r="AF148">
        <v>0</v>
      </c>
      <c r="AG148" t="s">
        <v>111</v>
      </c>
    </row>
    <row r="149" spans="1:33">
      <c r="A149" t="s">
        <v>2314</v>
      </c>
      <c r="B149" t="s">
        <v>3182</v>
      </c>
      <c r="C149" t="s">
        <v>3181</v>
      </c>
      <c r="D149" t="s">
        <v>267</v>
      </c>
      <c r="F149">
        <v>0</v>
      </c>
      <c r="G149">
        <v>0</v>
      </c>
      <c r="H149">
        <v>0</v>
      </c>
      <c r="I149">
        <v>0</v>
      </c>
      <c r="J149">
        <v>0</v>
      </c>
      <c r="K149">
        <v>0</v>
      </c>
      <c r="L149">
        <v>0</v>
      </c>
      <c r="M149">
        <v>0</v>
      </c>
      <c r="N149">
        <v>0</v>
      </c>
      <c r="O149">
        <v>0</v>
      </c>
      <c r="P149">
        <v>0</v>
      </c>
      <c r="Q149">
        <v>0</v>
      </c>
      <c r="R149">
        <v>0</v>
      </c>
      <c r="S149">
        <v>0</v>
      </c>
      <c r="T149">
        <v>0</v>
      </c>
      <c r="U149">
        <v>0</v>
      </c>
      <c r="V149">
        <v>0</v>
      </c>
      <c r="W149">
        <v>0</v>
      </c>
      <c r="X149">
        <v>0</v>
      </c>
      <c r="Y149">
        <v>0</v>
      </c>
      <c r="Z149">
        <v>0</v>
      </c>
      <c r="AA149">
        <v>0</v>
      </c>
      <c r="AB149">
        <v>0</v>
      </c>
      <c r="AC149">
        <v>0</v>
      </c>
      <c r="AD149">
        <v>0</v>
      </c>
      <c r="AE149">
        <v>0</v>
      </c>
      <c r="AF149">
        <v>0</v>
      </c>
      <c r="AG149" t="s">
        <v>111</v>
      </c>
    </row>
    <row r="150" spans="1:33">
      <c r="A150" t="s">
        <v>251</v>
      </c>
      <c r="B150" t="s">
        <v>3180</v>
      </c>
      <c r="C150" t="s">
        <v>3179</v>
      </c>
      <c r="F150">
        <v>6.4419060000000004</v>
      </c>
      <c r="G150">
        <v>6.517417</v>
      </c>
      <c r="H150">
        <v>6.6038949999999996</v>
      </c>
      <c r="I150">
        <v>6.7003839999999997</v>
      </c>
      <c r="J150">
        <v>6.799779</v>
      </c>
      <c r="K150">
        <v>6.8997419999999998</v>
      </c>
      <c r="L150">
        <v>6.9991070000000004</v>
      </c>
      <c r="M150">
        <v>7.096711</v>
      </c>
      <c r="N150">
        <v>7.1920929999999998</v>
      </c>
      <c r="O150">
        <v>7.2848660000000001</v>
      </c>
      <c r="P150">
        <v>7.3727790000000004</v>
      </c>
      <c r="Q150">
        <v>7.4540790000000001</v>
      </c>
      <c r="R150">
        <v>7.527946</v>
      </c>
      <c r="S150">
        <v>7.5950939999999996</v>
      </c>
      <c r="T150">
        <v>7.6560100000000002</v>
      </c>
      <c r="U150">
        <v>7.7111929999999997</v>
      </c>
      <c r="V150">
        <v>7.761298</v>
      </c>
      <c r="W150">
        <v>7.8050090000000001</v>
      </c>
      <c r="X150">
        <v>7.8424889999999996</v>
      </c>
      <c r="Y150">
        <v>7.8742320000000001</v>
      </c>
      <c r="Z150">
        <v>7.901008</v>
      </c>
      <c r="AA150">
        <v>7.9241510000000002</v>
      </c>
      <c r="AB150">
        <v>7.9446289999999999</v>
      </c>
      <c r="AC150">
        <v>7.9631720000000001</v>
      </c>
      <c r="AD150">
        <v>7.9799680000000004</v>
      </c>
      <c r="AE150">
        <v>7.9955740000000004</v>
      </c>
      <c r="AF150">
        <v>8.0093580000000006</v>
      </c>
      <c r="AG150" s="22">
        <v>8.0000000000000002E-3</v>
      </c>
    </row>
    <row r="151" spans="1:33">
      <c r="A151" t="s">
        <v>252</v>
      </c>
      <c r="B151" t="s">
        <v>3178</v>
      </c>
      <c r="C151" t="s">
        <v>3177</v>
      </c>
      <c r="F151">
        <v>7.7570209999999999</v>
      </c>
      <c r="G151">
        <v>7.8260290000000001</v>
      </c>
      <c r="H151">
        <v>7.9062919999999997</v>
      </c>
      <c r="I151">
        <v>7.9960300000000002</v>
      </c>
      <c r="J151">
        <v>8.0947870000000002</v>
      </c>
      <c r="K151">
        <v>8.1991739999999993</v>
      </c>
      <c r="L151">
        <v>8.3074709999999996</v>
      </c>
      <c r="M151">
        <v>8.4176070000000003</v>
      </c>
      <c r="N151">
        <v>8.5283189999999998</v>
      </c>
      <c r="O151">
        <v>8.6380090000000003</v>
      </c>
      <c r="P151">
        <v>8.7450670000000006</v>
      </c>
      <c r="Q151">
        <v>8.8470680000000002</v>
      </c>
      <c r="R151">
        <v>8.9420520000000003</v>
      </c>
      <c r="S151">
        <v>9.0299519999999998</v>
      </c>
      <c r="T151">
        <v>9.1127310000000001</v>
      </c>
      <c r="U151">
        <v>9.1914829999999998</v>
      </c>
      <c r="V151">
        <v>9.2668909999999993</v>
      </c>
      <c r="W151">
        <v>9.3372069999999994</v>
      </c>
      <c r="X151">
        <v>9.4020569999999992</v>
      </c>
      <c r="Y151">
        <v>9.4613689999999995</v>
      </c>
      <c r="Z151">
        <v>9.5162099999999992</v>
      </c>
      <c r="AA151">
        <v>9.5691070000000007</v>
      </c>
      <c r="AB151">
        <v>9.6208849999999995</v>
      </c>
      <c r="AC151">
        <v>9.6705679999999994</v>
      </c>
      <c r="AD151">
        <v>9.7169779999999992</v>
      </c>
      <c r="AE151">
        <v>9.7613669999999999</v>
      </c>
      <c r="AF151">
        <v>9.8045439999999999</v>
      </c>
      <c r="AG151" s="22">
        <v>8.9999999999999993E-3</v>
      </c>
    </row>
    <row r="152" spans="1:33">
      <c r="A152" t="s">
        <v>253</v>
      </c>
    </row>
    <row r="153" spans="1:33">
      <c r="A153" t="s">
        <v>170</v>
      </c>
    </row>
    <row r="154" spans="1:33">
      <c r="A154" t="s">
        <v>189</v>
      </c>
      <c r="B154" t="s">
        <v>3176</v>
      </c>
      <c r="C154" t="s">
        <v>3175</v>
      </c>
      <c r="D154" t="s">
        <v>231</v>
      </c>
      <c r="F154">
        <v>3.3905850000000002</v>
      </c>
      <c r="G154">
        <v>3.486351</v>
      </c>
      <c r="H154">
        <v>3.5834139999999999</v>
      </c>
      <c r="I154">
        <v>3.6768480000000001</v>
      </c>
      <c r="J154">
        <v>3.7508810000000001</v>
      </c>
      <c r="K154">
        <v>3.8030469999999998</v>
      </c>
      <c r="L154">
        <v>3.834028</v>
      </c>
      <c r="M154">
        <v>3.8420770000000002</v>
      </c>
      <c r="N154">
        <v>3.8310469999999999</v>
      </c>
      <c r="O154">
        <v>3.8013629999999998</v>
      </c>
      <c r="P154">
        <v>3.7583890000000002</v>
      </c>
      <c r="Q154">
        <v>3.7012700000000001</v>
      </c>
      <c r="R154">
        <v>3.6357650000000001</v>
      </c>
      <c r="S154">
        <v>3.5635560000000002</v>
      </c>
      <c r="T154">
        <v>3.482507</v>
      </c>
      <c r="U154">
        <v>3.3883709999999998</v>
      </c>
      <c r="V154">
        <v>3.2845849999999999</v>
      </c>
      <c r="W154">
        <v>3.1761979999999999</v>
      </c>
      <c r="X154">
        <v>3.0619679999999998</v>
      </c>
      <c r="Y154">
        <v>2.9523220000000001</v>
      </c>
      <c r="Z154">
        <v>2.8473959999999998</v>
      </c>
      <c r="AA154">
        <v>2.7389570000000001</v>
      </c>
      <c r="AB154">
        <v>2.6264699999999999</v>
      </c>
      <c r="AC154">
        <v>2.51606</v>
      </c>
      <c r="AD154">
        <v>2.4064749999999999</v>
      </c>
      <c r="AE154">
        <v>2.2915329999999998</v>
      </c>
      <c r="AF154">
        <v>2.1755209999999998</v>
      </c>
      <c r="AG154" s="22">
        <v>-1.7000000000000001E-2</v>
      </c>
    </row>
    <row r="155" spans="1:33">
      <c r="A155" t="s">
        <v>235</v>
      </c>
      <c r="B155" t="s">
        <v>3174</v>
      </c>
      <c r="C155" t="s">
        <v>3173</v>
      </c>
      <c r="D155" t="s">
        <v>231</v>
      </c>
      <c r="F155">
        <v>1.4982899999999999</v>
      </c>
      <c r="G155">
        <v>1.5895760000000001</v>
      </c>
      <c r="H155">
        <v>1.693641</v>
      </c>
      <c r="I155">
        <v>1.804721</v>
      </c>
      <c r="J155">
        <v>1.9074690000000001</v>
      </c>
      <c r="K155">
        <v>1.997787</v>
      </c>
      <c r="L155">
        <v>2.0758009999999998</v>
      </c>
      <c r="M155">
        <v>2.1368490000000002</v>
      </c>
      <c r="N155">
        <v>2.1833619999999998</v>
      </c>
      <c r="O155">
        <v>2.2201759999999999</v>
      </c>
      <c r="P155">
        <v>2.2482600000000001</v>
      </c>
      <c r="Q155">
        <v>2.265781</v>
      </c>
      <c r="R155">
        <v>2.2771539999999999</v>
      </c>
      <c r="S155">
        <v>2.2832889999999999</v>
      </c>
      <c r="T155">
        <v>2.2795169999999998</v>
      </c>
      <c r="U155">
        <v>2.2650090000000001</v>
      </c>
      <c r="V155">
        <v>2.2445900000000001</v>
      </c>
      <c r="W155">
        <v>2.218207</v>
      </c>
      <c r="X155">
        <v>2.1835680000000002</v>
      </c>
      <c r="Y155">
        <v>2.143459</v>
      </c>
      <c r="Z155">
        <v>2.1011060000000001</v>
      </c>
      <c r="AA155">
        <v>2.056289</v>
      </c>
      <c r="AB155">
        <v>2.0091060000000001</v>
      </c>
      <c r="AC155">
        <v>1.960016</v>
      </c>
      <c r="AD155">
        <v>1.908291</v>
      </c>
      <c r="AE155">
        <v>1.853021</v>
      </c>
      <c r="AF155">
        <v>1.796217</v>
      </c>
      <c r="AG155" s="22">
        <v>7.0000000000000001E-3</v>
      </c>
    </row>
    <row r="156" spans="1:33">
      <c r="A156" t="s">
        <v>192</v>
      </c>
      <c r="B156" t="s">
        <v>3172</v>
      </c>
      <c r="C156" t="s">
        <v>3171</v>
      </c>
      <c r="D156" t="s">
        <v>231</v>
      </c>
      <c r="F156">
        <v>1.06E-4</v>
      </c>
      <c r="G156">
        <v>1.03E-4</v>
      </c>
      <c r="H156">
        <v>1E-4</v>
      </c>
      <c r="I156">
        <v>9.7E-5</v>
      </c>
      <c r="J156">
        <v>9.5000000000000005E-5</v>
      </c>
      <c r="K156">
        <v>9.2999999999999997E-5</v>
      </c>
      <c r="L156">
        <v>9.2E-5</v>
      </c>
      <c r="M156">
        <v>9.1000000000000003E-5</v>
      </c>
      <c r="N156">
        <v>9.0000000000000006E-5</v>
      </c>
      <c r="O156">
        <v>9.0000000000000006E-5</v>
      </c>
      <c r="P156">
        <v>8.2000000000000001E-5</v>
      </c>
      <c r="Q156">
        <v>7.1000000000000005E-5</v>
      </c>
      <c r="R156">
        <v>6.4999999999999994E-5</v>
      </c>
      <c r="S156">
        <v>6.0999999999999999E-5</v>
      </c>
      <c r="T156">
        <v>6.0000000000000002E-5</v>
      </c>
      <c r="U156">
        <v>6.0000000000000002E-5</v>
      </c>
      <c r="V156">
        <v>6.0000000000000002E-5</v>
      </c>
      <c r="W156">
        <v>6.2000000000000003E-5</v>
      </c>
      <c r="X156">
        <v>6.3999999999999997E-5</v>
      </c>
      <c r="Y156">
        <v>6.6000000000000005E-5</v>
      </c>
      <c r="Z156">
        <v>6.7999999999999999E-5</v>
      </c>
      <c r="AA156">
        <v>6.9999999999999994E-5</v>
      </c>
      <c r="AB156">
        <v>7.2000000000000002E-5</v>
      </c>
      <c r="AC156">
        <v>7.4999999999999993E-5</v>
      </c>
      <c r="AD156">
        <v>7.7000000000000001E-5</v>
      </c>
      <c r="AE156">
        <v>7.8999999999999996E-5</v>
      </c>
      <c r="AF156">
        <v>8.1000000000000004E-5</v>
      </c>
      <c r="AG156" s="22">
        <v>-1.0999999999999999E-2</v>
      </c>
    </row>
    <row r="157" spans="1:33">
      <c r="A157" t="s">
        <v>195</v>
      </c>
      <c r="B157" t="s">
        <v>3170</v>
      </c>
      <c r="C157" t="s">
        <v>3169</v>
      </c>
      <c r="D157" t="s">
        <v>231</v>
      </c>
      <c r="F157">
        <v>2.6129999999999999E-3</v>
      </c>
      <c r="G157">
        <v>5.9820000000000003E-3</v>
      </c>
      <c r="H157">
        <v>9.7140000000000004E-3</v>
      </c>
      <c r="I157">
        <v>1.3611E-2</v>
      </c>
      <c r="J157">
        <v>1.6615000000000001E-2</v>
      </c>
      <c r="K157">
        <v>1.9800000000000002E-2</v>
      </c>
      <c r="L157">
        <v>2.2692E-2</v>
      </c>
      <c r="M157">
        <v>2.5092E-2</v>
      </c>
      <c r="N157">
        <v>2.7334000000000001E-2</v>
      </c>
      <c r="O157">
        <v>2.9357000000000001E-2</v>
      </c>
      <c r="P157">
        <v>3.1753000000000003E-2</v>
      </c>
      <c r="Q157">
        <v>3.4562000000000002E-2</v>
      </c>
      <c r="R157">
        <v>3.7726999999999997E-2</v>
      </c>
      <c r="S157">
        <v>4.1474999999999998E-2</v>
      </c>
      <c r="T157">
        <v>4.6141000000000001E-2</v>
      </c>
      <c r="U157">
        <v>5.135E-2</v>
      </c>
      <c r="V157">
        <v>5.7452000000000003E-2</v>
      </c>
      <c r="W157">
        <v>6.4610000000000001E-2</v>
      </c>
      <c r="X157">
        <v>7.2647000000000003E-2</v>
      </c>
      <c r="Y157">
        <v>8.1342999999999999E-2</v>
      </c>
      <c r="Z157">
        <v>9.06E-2</v>
      </c>
      <c r="AA157">
        <v>0.10058300000000001</v>
      </c>
      <c r="AB157">
        <v>0.11129600000000001</v>
      </c>
      <c r="AC157">
        <v>0.122808</v>
      </c>
      <c r="AD157">
        <v>0.134797</v>
      </c>
      <c r="AE157">
        <v>0.14738200000000001</v>
      </c>
      <c r="AF157">
        <v>0.16040199999999999</v>
      </c>
      <c r="AG157" s="22">
        <v>0.17199999999999999</v>
      </c>
    </row>
    <row r="158" spans="1:33">
      <c r="A158" t="s">
        <v>236</v>
      </c>
      <c r="B158" t="s">
        <v>3168</v>
      </c>
      <c r="C158" t="s">
        <v>3167</v>
      </c>
      <c r="D158" t="s">
        <v>231</v>
      </c>
      <c r="F158">
        <v>0.21093400000000001</v>
      </c>
      <c r="G158">
        <v>0.20787800000000001</v>
      </c>
      <c r="H158">
        <v>0.20425199999999999</v>
      </c>
      <c r="I158">
        <v>0.199938</v>
      </c>
      <c r="J158">
        <v>0.194773</v>
      </c>
      <c r="K158">
        <v>0.18897900000000001</v>
      </c>
      <c r="L158">
        <v>0.182667</v>
      </c>
      <c r="M158">
        <v>0.17594399999999999</v>
      </c>
      <c r="N158">
        <v>0.16902500000000001</v>
      </c>
      <c r="O158">
        <v>0.161879</v>
      </c>
      <c r="P158">
        <v>0.15459100000000001</v>
      </c>
      <c r="Q158">
        <v>0.147121</v>
      </c>
      <c r="R158">
        <v>0.139652</v>
      </c>
      <c r="S158">
        <v>0.132075</v>
      </c>
      <c r="T158">
        <v>0.12452299999999999</v>
      </c>
      <c r="U158">
        <v>0.117046</v>
      </c>
      <c r="V158">
        <v>0.109762</v>
      </c>
      <c r="W158">
        <v>0.102717</v>
      </c>
      <c r="X158">
        <v>9.6032000000000006E-2</v>
      </c>
      <c r="Y158">
        <v>8.9762999999999996E-2</v>
      </c>
      <c r="Z158">
        <v>8.3586999999999995E-2</v>
      </c>
      <c r="AA158">
        <v>7.6545000000000002E-2</v>
      </c>
      <c r="AB158">
        <v>6.9138000000000005E-2</v>
      </c>
      <c r="AC158">
        <v>6.1460000000000001E-2</v>
      </c>
      <c r="AD158">
        <v>5.4272000000000001E-2</v>
      </c>
      <c r="AE158">
        <v>4.5946000000000001E-2</v>
      </c>
      <c r="AF158">
        <v>3.7659999999999999E-2</v>
      </c>
      <c r="AG158" s="22">
        <v>-6.4000000000000001E-2</v>
      </c>
    </row>
    <row r="159" spans="1:33">
      <c r="A159" t="s">
        <v>237</v>
      </c>
      <c r="B159" t="s">
        <v>3166</v>
      </c>
      <c r="C159" t="s">
        <v>3165</v>
      </c>
      <c r="D159" t="s">
        <v>231</v>
      </c>
      <c r="F159">
        <v>3.3530000000000001E-3</v>
      </c>
      <c r="G159">
        <v>4.712E-3</v>
      </c>
      <c r="H159">
        <v>6.1380000000000002E-3</v>
      </c>
      <c r="I159">
        <v>7.5929999999999999E-3</v>
      </c>
      <c r="J159">
        <v>9.0279999999999996E-3</v>
      </c>
      <c r="K159">
        <v>1.0449999999999999E-2</v>
      </c>
      <c r="L159">
        <v>1.2096000000000001E-2</v>
      </c>
      <c r="M159">
        <v>1.6115999999999998E-2</v>
      </c>
      <c r="N159">
        <v>2.3144000000000001E-2</v>
      </c>
      <c r="O159">
        <v>3.0137000000000001E-2</v>
      </c>
      <c r="P159">
        <v>4.1231999999999998E-2</v>
      </c>
      <c r="Q159">
        <v>5.9050999999999999E-2</v>
      </c>
      <c r="R159">
        <v>8.4289000000000003E-2</v>
      </c>
      <c r="S159">
        <v>0.11565400000000001</v>
      </c>
      <c r="T159">
        <v>0.153889</v>
      </c>
      <c r="U159">
        <v>0.199877</v>
      </c>
      <c r="V159">
        <v>0.25327300000000003</v>
      </c>
      <c r="W159">
        <v>0.31786300000000001</v>
      </c>
      <c r="X159">
        <v>0.39220500000000003</v>
      </c>
      <c r="Y159">
        <v>0.475219</v>
      </c>
      <c r="Z159">
        <v>0.56319900000000001</v>
      </c>
      <c r="AA159">
        <v>0.65591299999999997</v>
      </c>
      <c r="AB159">
        <v>0.75208399999999997</v>
      </c>
      <c r="AC159">
        <v>0.85373900000000003</v>
      </c>
      <c r="AD159">
        <v>0.95974700000000002</v>
      </c>
      <c r="AE159">
        <v>1.069048</v>
      </c>
      <c r="AF159">
        <v>1.181</v>
      </c>
      <c r="AG159" s="22">
        <v>0.253</v>
      </c>
    </row>
    <row r="160" spans="1:33">
      <c r="A160" t="s">
        <v>238</v>
      </c>
      <c r="B160" t="s">
        <v>3164</v>
      </c>
      <c r="C160" t="s">
        <v>3163</v>
      </c>
      <c r="D160" t="s">
        <v>231</v>
      </c>
      <c r="F160">
        <v>0</v>
      </c>
      <c r="G160">
        <v>0</v>
      </c>
      <c r="H160">
        <v>0</v>
      </c>
      <c r="I160">
        <v>0</v>
      </c>
      <c r="J160">
        <v>0</v>
      </c>
      <c r="K160">
        <v>0</v>
      </c>
      <c r="L160">
        <v>0</v>
      </c>
      <c r="M160">
        <v>0</v>
      </c>
      <c r="N160">
        <v>0</v>
      </c>
      <c r="O160">
        <v>0</v>
      </c>
      <c r="P160">
        <v>0</v>
      </c>
      <c r="Q160">
        <v>0</v>
      </c>
      <c r="R160">
        <v>0</v>
      </c>
      <c r="S160">
        <v>0</v>
      </c>
      <c r="T160">
        <v>0</v>
      </c>
      <c r="U160">
        <v>0</v>
      </c>
      <c r="V160">
        <v>0</v>
      </c>
      <c r="W160">
        <v>0</v>
      </c>
      <c r="X160">
        <v>0</v>
      </c>
      <c r="Y160">
        <v>0</v>
      </c>
      <c r="Z160">
        <v>0</v>
      </c>
      <c r="AA160">
        <v>0</v>
      </c>
      <c r="AB160">
        <v>0</v>
      </c>
      <c r="AC160">
        <v>0</v>
      </c>
      <c r="AD160">
        <v>0</v>
      </c>
      <c r="AE160">
        <v>0</v>
      </c>
      <c r="AF160">
        <v>0</v>
      </c>
      <c r="AG160" t="s">
        <v>111</v>
      </c>
    </row>
    <row r="161" spans="1:33">
      <c r="A161" t="s">
        <v>239</v>
      </c>
      <c r="B161" t="s">
        <v>3162</v>
      </c>
      <c r="C161" t="s">
        <v>3161</v>
      </c>
      <c r="D161" t="s">
        <v>231</v>
      </c>
      <c r="F161">
        <v>0</v>
      </c>
      <c r="G161">
        <v>0</v>
      </c>
      <c r="H161">
        <v>0</v>
      </c>
      <c r="I161">
        <v>0</v>
      </c>
      <c r="J161">
        <v>0</v>
      </c>
      <c r="K161">
        <v>0</v>
      </c>
      <c r="L161">
        <v>0</v>
      </c>
      <c r="M161">
        <v>0</v>
      </c>
      <c r="N161">
        <v>0</v>
      </c>
      <c r="O161">
        <v>0</v>
      </c>
      <c r="P161">
        <v>0</v>
      </c>
      <c r="Q161">
        <v>0</v>
      </c>
      <c r="R161">
        <v>0</v>
      </c>
      <c r="S161">
        <v>0</v>
      </c>
      <c r="T161">
        <v>0</v>
      </c>
      <c r="U161">
        <v>0</v>
      </c>
      <c r="V161">
        <v>0</v>
      </c>
      <c r="W161">
        <v>0</v>
      </c>
      <c r="X161">
        <v>0</v>
      </c>
      <c r="Y161">
        <v>0</v>
      </c>
      <c r="Z161">
        <v>0</v>
      </c>
      <c r="AA161">
        <v>0</v>
      </c>
      <c r="AB161">
        <v>0</v>
      </c>
      <c r="AC161">
        <v>0</v>
      </c>
      <c r="AD161">
        <v>0</v>
      </c>
      <c r="AE161">
        <v>0</v>
      </c>
      <c r="AF161">
        <v>0</v>
      </c>
      <c r="AG161" t="s">
        <v>111</v>
      </c>
    </row>
    <row r="162" spans="1:33">
      <c r="A162" t="s">
        <v>240</v>
      </c>
      <c r="B162" t="s">
        <v>3160</v>
      </c>
      <c r="C162" t="s">
        <v>3159</v>
      </c>
      <c r="D162" t="s">
        <v>231</v>
      </c>
      <c r="F162">
        <v>0</v>
      </c>
      <c r="G162">
        <v>0</v>
      </c>
      <c r="H162">
        <v>0</v>
      </c>
      <c r="I162">
        <v>0</v>
      </c>
      <c r="J162">
        <v>0</v>
      </c>
      <c r="K162">
        <v>0</v>
      </c>
      <c r="L162">
        <v>0</v>
      </c>
      <c r="M162">
        <v>0</v>
      </c>
      <c r="N162">
        <v>0</v>
      </c>
      <c r="O162">
        <v>0</v>
      </c>
      <c r="P162">
        <v>0</v>
      </c>
      <c r="Q162">
        <v>0</v>
      </c>
      <c r="R162">
        <v>0</v>
      </c>
      <c r="S162">
        <v>0</v>
      </c>
      <c r="T162">
        <v>0</v>
      </c>
      <c r="U162">
        <v>0</v>
      </c>
      <c r="V162">
        <v>0</v>
      </c>
      <c r="W162">
        <v>0</v>
      </c>
      <c r="X162">
        <v>0</v>
      </c>
      <c r="Y162">
        <v>0</v>
      </c>
      <c r="Z162">
        <v>0</v>
      </c>
      <c r="AA162">
        <v>0</v>
      </c>
      <c r="AB162">
        <v>0</v>
      </c>
      <c r="AC162">
        <v>0</v>
      </c>
      <c r="AD162">
        <v>0</v>
      </c>
      <c r="AE162">
        <v>0</v>
      </c>
      <c r="AF162">
        <v>0</v>
      </c>
      <c r="AG162" t="s">
        <v>111</v>
      </c>
    </row>
    <row r="163" spans="1:33">
      <c r="A163" t="s">
        <v>2320</v>
      </c>
      <c r="B163" t="s">
        <v>3158</v>
      </c>
      <c r="C163" t="s">
        <v>3157</v>
      </c>
      <c r="D163" t="s">
        <v>231</v>
      </c>
      <c r="F163">
        <v>0</v>
      </c>
      <c r="G163">
        <v>0</v>
      </c>
      <c r="H163">
        <v>0</v>
      </c>
      <c r="I163">
        <v>0</v>
      </c>
      <c r="J163">
        <v>0</v>
      </c>
      <c r="K163">
        <v>0</v>
      </c>
      <c r="L163">
        <v>0</v>
      </c>
      <c r="M163">
        <v>0</v>
      </c>
      <c r="N163">
        <v>0</v>
      </c>
      <c r="O163">
        <v>0</v>
      </c>
      <c r="P163">
        <v>0</v>
      </c>
      <c r="Q163">
        <v>0</v>
      </c>
      <c r="R163">
        <v>0</v>
      </c>
      <c r="S163">
        <v>0</v>
      </c>
      <c r="T163">
        <v>0</v>
      </c>
      <c r="U163">
        <v>0</v>
      </c>
      <c r="V163">
        <v>0</v>
      </c>
      <c r="W163">
        <v>0</v>
      </c>
      <c r="X163">
        <v>0</v>
      </c>
      <c r="Y163">
        <v>0</v>
      </c>
      <c r="Z163">
        <v>0</v>
      </c>
      <c r="AA163">
        <v>0</v>
      </c>
      <c r="AB163">
        <v>0</v>
      </c>
      <c r="AC163">
        <v>0</v>
      </c>
      <c r="AD163">
        <v>0</v>
      </c>
      <c r="AE163">
        <v>0</v>
      </c>
      <c r="AF163">
        <v>0</v>
      </c>
      <c r="AG163" t="s">
        <v>111</v>
      </c>
    </row>
    <row r="164" spans="1:33">
      <c r="A164" t="s">
        <v>2317</v>
      </c>
      <c r="B164" t="s">
        <v>3156</v>
      </c>
      <c r="C164" t="s">
        <v>3155</v>
      </c>
      <c r="D164" t="s">
        <v>231</v>
      </c>
      <c r="F164">
        <v>0</v>
      </c>
      <c r="G164">
        <v>2.0379999999999999E-3</v>
      </c>
      <c r="H164">
        <v>5.3639999999999998E-3</v>
      </c>
      <c r="I164">
        <v>1.0276E-2</v>
      </c>
      <c r="J164">
        <v>3.6535999999999999E-2</v>
      </c>
      <c r="K164">
        <v>9.0727000000000002E-2</v>
      </c>
      <c r="L164">
        <v>0.174703</v>
      </c>
      <c r="M164">
        <v>0.28721799999999997</v>
      </c>
      <c r="N164">
        <v>0.42857600000000001</v>
      </c>
      <c r="O164">
        <v>0.59094800000000003</v>
      </c>
      <c r="P164">
        <v>0.77014400000000005</v>
      </c>
      <c r="Q164">
        <v>0.96182400000000001</v>
      </c>
      <c r="R164">
        <v>1.160407</v>
      </c>
      <c r="S164">
        <v>1.36402</v>
      </c>
      <c r="T164">
        <v>1.5784469999999999</v>
      </c>
      <c r="U164">
        <v>1.805226</v>
      </c>
      <c r="V164">
        <v>2.0337710000000002</v>
      </c>
      <c r="W164">
        <v>2.2612679999999998</v>
      </c>
      <c r="X164">
        <v>2.488102</v>
      </c>
      <c r="Y164">
        <v>2.7142050000000002</v>
      </c>
      <c r="Z164">
        <v>2.9380959999999998</v>
      </c>
      <c r="AA164">
        <v>3.1570019999999999</v>
      </c>
      <c r="AB164">
        <v>3.3707229999999999</v>
      </c>
      <c r="AC164">
        <v>3.578576</v>
      </c>
      <c r="AD164">
        <v>3.7794880000000002</v>
      </c>
      <c r="AE164">
        <v>3.9730300000000001</v>
      </c>
      <c r="AF164">
        <v>4.1586670000000003</v>
      </c>
      <c r="AG164" t="s">
        <v>111</v>
      </c>
    </row>
    <row r="165" spans="1:33">
      <c r="A165" t="s">
        <v>2314</v>
      </c>
      <c r="B165" t="s">
        <v>3154</v>
      </c>
      <c r="C165" t="s">
        <v>3153</v>
      </c>
      <c r="D165" t="s">
        <v>231</v>
      </c>
      <c r="F165">
        <v>0</v>
      </c>
      <c r="G165">
        <v>0</v>
      </c>
      <c r="H165">
        <v>0</v>
      </c>
      <c r="I165">
        <v>0</v>
      </c>
      <c r="J165">
        <v>0</v>
      </c>
      <c r="K165">
        <v>0</v>
      </c>
      <c r="L165">
        <v>0</v>
      </c>
      <c r="M165">
        <v>0</v>
      </c>
      <c r="N165">
        <v>0</v>
      </c>
      <c r="O165">
        <v>0</v>
      </c>
      <c r="P165">
        <v>0</v>
      </c>
      <c r="Q165">
        <v>0</v>
      </c>
      <c r="R165">
        <v>0</v>
      </c>
      <c r="S165">
        <v>0</v>
      </c>
      <c r="T165">
        <v>0</v>
      </c>
      <c r="U165">
        <v>0</v>
      </c>
      <c r="V165">
        <v>0</v>
      </c>
      <c r="W165">
        <v>0</v>
      </c>
      <c r="X165">
        <v>0</v>
      </c>
      <c r="Y165">
        <v>0</v>
      </c>
      <c r="Z165">
        <v>0</v>
      </c>
      <c r="AA165">
        <v>0</v>
      </c>
      <c r="AB165">
        <v>0</v>
      </c>
      <c r="AC165">
        <v>0</v>
      </c>
      <c r="AD165">
        <v>0</v>
      </c>
      <c r="AE165">
        <v>0</v>
      </c>
      <c r="AF165">
        <v>0</v>
      </c>
      <c r="AG165" t="s">
        <v>111</v>
      </c>
    </row>
    <row r="166" spans="1:33">
      <c r="A166" t="s">
        <v>241</v>
      </c>
      <c r="B166" t="s">
        <v>3152</v>
      </c>
      <c r="C166" t="s">
        <v>3151</v>
      </c>
      <c r="D166" t="s">
        <v>231</v>
      </c>
      <c r="F166">
        <v>5.1058789999999998</v>
      </c>
      <c r="G166">
        <v>5.29664</v>
      </c>
      <c r="H166">
        <v>5.5026190000000001</v>
      </c>
      <c r="I166">
        <v>5.7130809999999999</v>
      </c>
      <c r="J166">
        <v>5.9153969999999996</v>
      </c>
      <c r="K166">
        <v>6.110881</v>
      </c>
      <c r="L166">
        <v>6.302073</v>
      </c>
      <c r="M166">
        <v>6.4833819999999998</v>
      </c>
      <c r="N166">
        <v>6.6625709999999998</v>
      </c>
      <c r="O166">
        <v>6.8339429999999997</v>
      </c>
      <c r="P166">
        <v>7.0044469999999999</v>
      </c>
      <c r="Q166">
        <v>7.1696759999999999</v>
      </c>
      <c r="R166">
        <v>7.3350530000000003</v>
      </c>
      <c r="S166">
        <v>7.500127</v>
      </c>
      <c r="T166">
        <v>7.6650790000000004</v>
      </c>
      <c r="U166">
        <v>7.8269320000000002</v>
      </c>
      <c r="V166">
        <v>7.9834909999999999</v>
      </c>
      <c r="W166">
        <v>8.1409230000000008</v>
      </c>
      <c r="X166">
        <v>8.2945799999999998</v>
      </c>
      <c r="Y166">
        <v>8.4563760000000006</v>
      </c>
      <c r="Z166">
        <v>8.6240450000000006</v>
      </c>
      <c r="AA166">
        <v>8.7853530000000006</v>
      </c>
      <c r="AB166">
        <v>8.9388819999999996</v>
      </c>
      <c r="AC166">
        <v>9.092746</v>
      </c>
      <c r="AD166">
        <v>9.24315</v>
      </c>
      <c r="AE166">
        <v>9.3800469999999994</v>
      </c>
      <c r="AF166">
        <v>9.5095489999999998</v>
      </c>
      <c r="AG166" s="22">
        <v>2.4E-2</v>
      </c>
    </row>
    <row r="167" spans="1:33">
      <c r="A167" t="s">
        <v>171</v>
      </c>
    </row>
    <row r="168" spans="1:33">
      <c r="A168" t="s">
        <v>189</v>
      </c>
      <c r="B168" t="s">
        <v>3150</v>
      </c>
      <c r="C168" t="s">
        <v>3149</v>
      </c>
      <c r="D168" t="s">
        <v>231</v>
      </c>
      <c r="F168">
        <v>2.3430569999999999</v>
      </c>
      <c r="G168">
        <v>2.3601730000000001</v>
      </c>
      <c r="H168">
        <v>2.383213</v>
      </c>
      <c r="I168">
        <v>2.4088270000000001</v>
      </c>
      <c r="J168">
        <v>2.4287920000000001</v>
      </c>
      <c r="K168">
        <v>2.438984</v>
      </c>
      <c r="L168">
        <v>2.4438149999999998</v>
      </c>
      <c r="M168">
        <v>2.4413939999999998</v>
      </c>
      <c r="N168">
        <v>2.4343599999999999</v>
      </c>
      <c r="O168">
        <v>2.418981</v>
      </c>
      <c r="P168">
        <v>2.3954230000000001</v>
      </c>
      <c r="Q168">
        <v>2.3676149999999998</v>
      </c>
      <c r="R168">
        <v>2.3380269999999999</v>
      </c>
      <c r="S168">
        <v>2.3065199999999999</v>
      </c>
      <c r="T168">
        <v>2.2718259999999999</v>
      </c>
      <c r="U168">
        <v>2.2329409999999998</v>
      </c>
      <c r="V168">
        <v>2.1898680000000001</v>
      </c>
      <c r="W168">
        <v>2.1439339999999998</v>
      </c>
      <c r="X168">
        <v>2.0985369999999999</v>
      </c>
      <c r="Y168">
        <v>2.059526</v>
      </c>
      <c r="Z168">
        <v>2.0253060000000001</v>
      </c>
      <c r="AA168">
        <v>1.9918910000000001</v>
      </c>
      <c r="AB168">
        <v>1.9569749999999999</v>
      </c>
      <c r="AC168">
        <v>1.9238310000000001</v>
      </c>
      <c r="AD168">
        <v>1.892142</v>
      </c>
      <c r="AE168">
        <v>1.859585</v>
      </c>
      <c r="AF168">
        <v>1.825566</v>
      </c>
      <c r="AG168" s="22">
        <v>-0.01</v>
      </c>
    </row>
    <row r="169" spans="1:33">
      <c r="A169" t="s">
        <v>235</v>
      </c>
      <c r="B169" t="s">
        <v>3148</v>
      </c>
      <c r="C169" t="s">
        <v>3147</v>
      </c>
      <c r="D169" t="s">
        <v>231</v>
      </c>
      <c r="F169">
        <v>1.585955</v>
      </c>
      <c r="G169">
        <v>1.6031569999999999</v>
      </c>
      <c r="H169">
        <v>1.6305590000000001</v>
      </c>
      <c r="I169">
        <v>1.665565</v>
      </c>
      <c r="J169">
        <v>1.6999679999999999</v>
      </c>
      <c r="K169">
        <v>1.7294670000000001</v>
      </c>
      <c r="L169">
        <v>1.756974</v>
      </c>
      <c r="M169">
        <v>1.779245</v>
      </c>
      <c r="N169">
        <v>1.8013349999999999</v>
      </c>
      <c r="O169">
        <v>1.81704</v>
      </c>
      <c r="P169">
        <v>1.8287150000000001</v>
      </c>
      <c r="Q169">
        <v>1.838938</v>
      </c>
      <c r="R169">
        <v>1.8455870000000001</v>
      </c>
      <c r="S169">
        <v>1.8517380000000001</v>
      </c>
      <c r="T169">
        <v>1.852997</v>
      </c>
      <c r="U169">
        <v>1.8526800000000001</v>
      </c>
      <c r="V169">
        <v>1.8467750000000001</v>
      </c>
      <c r="W169">
        <v>1.8396710000000001</v>
      </c>
      <c r="X169">
        <v>1.8324419999999999</v>
      </c>
      <c r="Y169">
        <v>1.8273280000000001</v>
      </c>
      <c r="Z169">
        <v>1.8227979999999999</v>
      </c>
      <c r="AA169">
        <v>1.815434</v>
      </c>
      <c r="AB169">
        <v>1.805024</v>
      </c>
      <c r="AC169">
        <v>1.7930740000000001</v>
      </c>
      <c r="AD169">
        <v>1.7802450000000001</v>
      </c>
      <c r="AE169">
        <v>1.7660819999999999</v>
      </c>
      <c r="AF169">
        <v>1.7487239999999999</v>
      </c>
      <c r="AG169" s="22">
        <v>4.0000000000000001E-3</v>
      </c>
    </row>
    <row r="170" spans="1:33">
      <c r="A170" t="s">
        <v>192</v>
      </c>
      <c r="B170" t="s">
        <v>3146</v>
      </c>
      <c r="C170" t="s">
        <v>3145</v>
      </c>
      <c r="D170" t="s">
        <v>231</v>
      </c>
      <c r="F170">
        <v>2.1900000000000001E-3</v>
      </c>
      <c r="G170">
        <v>2.039E-3</v>
      </c>
      <c r="H170">
        <v>1.923E-3</v>
      </c>
      <c r="I170">
        <v>1.818E-3</v>
      </c>
      <c r="J170">
        <v>1.725E-3</v>
      </c>
      <c r="K170">
        <v>1.531E-3</v>
      </c>
      <c r="L170">
        <v>1.441E-3</v>
      </c>
      <c r="M170">
        <v>1.346E-3</v>
      </c>
      <c r="N170">
        <v>1.2639999999999999E-3</v>
      </c>
      <c r="O170">
        <v>1.2030000000000001E-3</v>
      </c>
      <c r="P170">
        <v>1.1180000000000001E-3</v>
      </c>
      <c r="Q170">
        <v>1.0169999999999999E-3</v>
      </c>
      <c r="R170">
        <v>9.3400000000000004E-4</v>
      </c>
      <c r="S170">
        <v>8.6700000000000004E-4</v>
      </c>
      <c r="T170">
        <v>8.0699999999999999E-4</v>
      </c>
      <c r="U170">
        <v>7.5299999999999998E-4</v>
      </c>
      <c r="V170">
        <v>7.0799999999999997E-4</v>
      </c>
      <c r="W170">
        <v>6.6399999999999999E-4</v>
      </c>
      <c r="X170">
        <v>6.2299999999999996E-4</v>
      </c>
      <c r="Y170">
        <v>5.8500000000000002E-4</v>
      </c>
      <c r="Z170">
        <v>5.4699999999999996E-4</v>
      </c>
      <c r="AA170">
        <v>5.2099999999999998E-4</v>
      </c>
      <c r="AB170">
        <v>4.9200000000000003E-4</v>
      </c>
      <c r="AC170">
        <v>4.6500000000000003E-4</v>
      </c>
      <c r="AD170">
        <v>4.4000000000000002E-4</v>
      </c>
      <c r="AE170">
        <v>3.3799999999999998E-4</v>
      </c>
      <c r="AF170">
        <v>2.5099999999999998E-4</v>
      </c>
      <c r="AG170" s="22">
        <v>-0.08</v>
      </c>
    </row>
    <row r="171" spans="1:33">
      <c r="A171" t="s">
        <v>195</v>
      </c>
      <c r="B171" t="s">
        <v>3144</v>
      </c>
      <c r="C171" t="s">
        <v>3143</v>
      </c>
      <c r="D171" t="s">
        <v>231</v>
      </c>
      <c r="F171">
        <v>8.0219999999999996E-3</v>
      </c>
      <c r="G171">
        <v>1.0805E-2</v>
      </c>
      <c r="H171">
        <v>1.3792E-2</v>
      </c>
      <c r="I171">
        <v>1.6891E-2</v>
      </c>
      <c r="J171">
        <v>1.9911999999999999E-2</v>
      </c>
      <c r="K171">
        <v>2.2794999999999999E-2</v>
      </c>
      <c r="L171">
        <v>2.5595E-2</v>
      </c>
      <c r="M171">
        <v>2.8303999999999999E-2</v>
      </c>
      <c r="N171">
        <v>3.0956000000000001E-2</v>
      </c>
      <c r="O171">
        <v>3.3620999999999998E-2</v>
      </c>
      <c r="P171">
        <v>3.6246E-2</v>
      </c>
      <c r="Q171">
        <v>3.8836000000000002E-2</v>
      </c>
      <c r="R171">
        <v>4.1377999999999998E-2</v>
      </c>
      <c r="S171">
        <v>4.3868999999999998E-2</v>
      </c>
      <c r="T171">
        <v>4.6358000000000003E-2</v>
      </c>
      <c r="U171">
        <v>4.8814999999999997E-2</v>
      </c>
      <c r="V171">
        <v>5.1213000000000002E-2</v>
      </c>
      <c r="W171">
        <v>5.3511000000000003E-2</v>
      </c>
      <c r="X171">
        <v>5.5780999999999997E-2</v>
      </c>
      <c r="Y171">
        <v>5.7986000000000003E-2</v>
      </c>
      <c r="Z171">
        <v>6.0061999999999997E-2</v>
      </c>
      <c r="AA171">
        <v>6.2019999999999999E-2</v>
      </c>
      <c r="AB171">
        <v>6.3844999999999999E-2</v>
      </c>
      <c r="AC171">
        <v>6.5603999999999996E-2</v>
      </c>
      <c r="AD171">
        <v>6.7313999999999999E-2</v>
      </c>
      <c r="AE171">
        <v>6.9006999999999999E-2</v>
      </c>
      <c r="AF171">
        <v>7.059E-2</v>
      </c>
      <c r="AG171" s="22">
        <v>8.6999999999999994E-2</v>
      </c>
    </row>
    <row r="172" spans="1:33">
      <c r="A172" t="s">
        <v>236</v>
      </c>
      <c r="B172" t="s">
        <v>3142</v>
      </c>
      <c r="C172" t="s">
        <v>3141</v>
      </c>
      <c r="D172" t="s">
        <v>231</v>
      </c>
      <c r="F172">
        <v>3.0175E-2</v>
      </c>
      <c r="G172">
        <v>2.9818000000000001E-2</v>
      </c>
      <c r="H172">
        <v>2.9425E-2</v>
      </c>
      <c r="I172">
        <v>2.8955999999999999E-2</v>
      </c>
      <c r="J172">
        <v>2.8405E-2</v>
      </c>
      <c r="K172">
        <v>2.7910999999999998E-2</v>
      </c>
      <c r="L172">
        <v>2.7310000000000001E-2</v>
      </c>
      <c r="M172">
        <v>2.6641000000000001E-2</v>
      </c>
      <c r="N172">
        <v>2.5982000000000002E-2</v>
      </c>
      <c r="O172">
        <v>2.5176E-2</v>
      </c>
      <c r="P172">
        <v>2.4344999999999999E-2</v>
      </c>
      <c r="Q172">
        <v>2.3564000000000002E-2</v>
      </c>
      <c r="R172">
        <v>2.2744E-2</v>
      </c>
      <c r="S172">
        <v>2.1894E-2</v>
      </c>
      <c r="T172">
        <v>2.1017999999999998E-2</v>
      </c>
      <c r="U172">
        <v>2.0091999999999999E-2</v>
      </c>
      <c r="V172">
        <v>1.9136E-2</v>
      </c>
      <c r="W172">
        <v>1.8169999999999999E-2</v>
      </c>
      <c r="X172">
        <v>1.7172E-2</v>
      </c>
      <c r="Y172">
        <v>1.6177E-2</v>
      </c>
      <c r="Z172">
        <v>1.5131E-2</v>
      </c>
      <c r="AA172">
        <v>1.4052E-2</v>
      </c>
      <c r="AB172">
        <v>1.2877E-2</v>
      </c>
      <c r="AC172">
        <v>1.1648E-2</v>
      </c>
      <c r="AD172">
        <v>1.0281E-2</v>
      </c>
      <c r="AE172">
        <v>8.9499999999999996E-3</v>
      </c>
      <c r="AF172">
        <v>7.6639999999999998E-3</v>
      </c>
      <c r="AG172" s="22">
        <v>-5.0999999999999997E-2</v>
      </c>
    </row>
    <row r="173" spans="1:33">
      <c r="A173" t="s">
        <v>237</v>
      </c>
      <c r="B173" t="s">
        <v>3140</v>
      </c>
      <c r="C173" t="s">
        <v>3139</v>
      </c>
      <c r="D173" t="s">
        <v>231</v>
      </c>
      <c r="F173">
        <v>8.1800000000000004E-4</v>
      </c>
      <c r="G173">
        <v>9.2199999999999997E-4</v>
      </c>
      <c r="H173">
        <v>1.0300000000000001E-3</v>
      </c>
      <c r="I173">
        <v>1.145E-3</v>
      </c>
      <c r="J173">
        <v>1.2539999999999999E-3</v>
      </c>
      <c r="K173">
        <v>1.353E-3</v>
      </c>
      <c r="L173">
        <v>1.4519999999999999E-3</v>
      </c>
      <c r="M173">
        <v>1.5399999999999999E-3</v>
      </c>
      <c r="N173">
        <v>1.6329999999999999E-3</v>
      </c>
      <c r="O173">
        <v>1.725E-3</v>
      </c>
      <c r="P173">
        <v>1.815E-3</v>
      </c>
      <c r="Q173">
        <v>1.9009999999999999E-3</v>
      </c>
      <c r="R173">
        <v>1.9840000000000001E-3</v>
      </c>
      <c r="S173">
        <v>2.0669999999999998E-3</v>
      </c>
      <c r="T173">
        <v>2.1459999999999999E-3</v>
      </c>
      <c r="U173">
        <v>2.2209999999999999E-3</v>
      </c>
      <c r="V173">
        <v>2.2910000000000001E-3</v>
      </c>
      <c r="W173">
        <v>2.3570000000000002E-3</v>
      </c>
      <c r="X173">
        <v>2.4199999999999998E-3</v>
      </c>
      <c r="Y173">
        <v>2.4789999999999999E-3</v>
      </c>
      <c r="Z173">
        <v>2.5300000000000001E-3</v>
      </c>
      <c r="AA173">
        <v>2.5769999999999999E-3</v>
      </c>
      <c r="AB173">
        <v>2.6159999999999998E-3</v>
      </c>
      <c r="AC173">
        <v>2.6519999999999998E-3</v>
      </c>
      <c r="AD173">
        <v>2.6909999999999998E-3</v>
      </c>
      <c r="AE173">
        <v>2.7290000000000001E-3</v>
      </c>
      <c r="AF173">
        <v>2.761E-3</v>
      </c>
      <c r="AG173" s="22">
        <v>4.8000000000000001E-2</v>
      </c>
    </row>
    <row r="174" spans="1:33">
      <c r="A174" t="s">
        <v>238</v>
      </c>
      <c r="B174" t="s">
        <v>3138</v>
      </c>
      <c r="C174" t="s">
        <v>3137</v>
      </c>
      <c r="D174" t="s">
        <v>231</v>
      </c>
      <c r="F174">
        <v>0</v>
      </c>
      <c r="G174">
        <v>0</v>
      </c>
      <c r="H174">
        <v>1.22E-4</v>
      </c>
      <c r="I174">
        <v>3.1500000000000001E-4</v>
      </c>
      <c r="J174">
        <v>6.2699999999999995E-4</v>
      </c>
      <c r="K174">
        <v>1.0369999999999999E-3</v>
      </c>
      <c r="L174">
        <v>1.516E-3</v>
      </c>
      <c r="M174">
        <v>2.0600000000000002E-3</v>
      </c>
      <c r="N174">
        <v>2.637E-3</v>
      </c>
      <c r="O174">
        <v>2.6210000000000001E-3</v>
      </c>
      <c r="P174">
        <v>2.601E-3</v>
      </c>
      <c r="Q174">
        <v>2.578E-3</v>
      </c>
      <c r="R174">
        <v>2.5579999999999999E-3</v>
      </c>
      <c r="S174">
        <v>2.5379999999999999E-3</v>
      </c>
      <c r="T174">
        <v>2.5170000000000001E-3</v>
      </c>
      <c r="U174">
        <v>2.4940000000000001E-3</v>
      </c>
      <c r="V174">
        <v>2.4729999999999999E-3</v>
      </c>
      <c r="W174">
        <v>2.4559999999999998E-3</v>
      </c>
      <c r="X174">
        <v>2.441E-3</v>
      </c>
      <c r="Y174">
        <v>2.4320000000000001E-3</v>
      </c>
      <c r="Z174">
        <v>2.4260000000000002E-3</v>
      </c>
      <c r="AA174">
        <v>2.421E-3</v>
      </c>
      <c r="AB174">
        <v>2.4139999999999999E-3</v>
      </c>
      <c r="AC174">
        <v>2.3779999999999999E-3</v>
      </c>
      <c r="AD174">
        <v>2.3280000000000002E-3</v>
      </c>
      <c r="AE174">
        <v>2.2699999999999999E-3</v>
      </c>
      <c r="AF174">
        <v>2.2000000000000001E-3</v>
      </c>
      <c r="AG174" t="s">
        <v>111</v>
      </c>
    </row>
    <row r="175" spans="1:33">
      <c r="A175" t="s">
        <v>239</v>
      </c>
      <c r="B175" t="s">
        <v>3136</v>
      </c>
      <c r="C175" t="s">
        <v>3135</v>
      </c>
      <c r="D175" t="s">
        <v>231</v>
      </c>
      <c r="F175">
        <v>0</v>
      </c>
      <c r="G175">
        <v>5.62E-4</v>
      </c>
      <c r="H175">
        <v>1.2110000000000001E-3</v>
      </c>
      <c r="I175">
        <v>1.542E-3</v>
      </c>
      <c r="J175">
        <v>1.609E-3</v>
      </c>
      <c r="K175">
        <v>1.609E-3</v>
      </c>
      <c r="L175">
        <v>1.598E-3</v>
      </c>
      <c r="M175">
        <v>1.588E-3</v>
      </c>
      <c r="N175">
        <v>1.586E-3</v>
      </c>
      <c r="O175">
        <v>1.5809999999999999E-3</v>
      </c>
      <c r="P175">
        <v>1.572E-3</v>
      </c>
      <c r="Q175">
        <v>1.5590000000000001E-3</v>
      </c>
      <c r="R175">
        <v>1.5499999999999999E-3</v>
      </c>
      <c r="S175">
        <v>1.5319999999999999E-3</v>
      </c>
      <c r="T175">
        <v>1.5139999999999999E-3</v>
      </c>
      <c r="U175">
        <v>1.5020000000000001E-3</v>
      </c>
      <c r="V175">
        <v>1.4970000000000001E-3</v>
      </c>
      <c r="W175">
        <v>1.493E-3</v>
      </c>
      <c r="X175">
        <v>1.477E-3</v>
      </c>
      <c r="Y175">
        <v>1.454E-3</v>
      </c>
      <c r="Z175">
        <v>1.4220000000000001E-3</v>
      </c>
      <c r="AA175">
        <v>1.387E-3</v>
      </c>
      <c r="AB175">
        <v>1.3420000000000001E-3</v>
      </c>
      <c r="AC175">
        <v>1.289E-3</v>
      </c>
      <c r="AD175">
        <v>1.232E-3</v>
      </c>
      <c r="AE175">
        <v>1.17E-3</v>
      </c>
      <c r="AF175">
        <v>1.1050000000000001E-3</v>
      </c>
      <c r="AG175" t="s">
        <v>111</v>
      </c>
    </row>
    <row r="176" spans="1:33">
      <c r="A176" t="s">
        <v>240</v>
      </c>
      <c r="B176" t="s">
        <v>3134</v>
      </c>
      <c r="C176" t="s">
        <v>3133</v>
      </c>
      <c r="D176" t="s">
        <v>231</v>
      </c>
      <c r="F176">
        <v>0</v>
      </c>
      <c r="G176">
        <v>0</v>
      </c>
      <c r="H176">
        <v>0</v>
      </c>
      <c r="I176">
        <v>0</v>
      </c>
      <c r="J176">
        <v>0</v>
      </c>
      <c r="K176">
        <v>0</v>
      </c>
      <c r="L176">
        <v>0</v>
      </c>
      <c r="M176">
        <v>0</v>
      </c>
      <c r="N176">
        <v>0</v>
      </c>
      <c r="O176">
        <v>0</v>
      </c>
      <c r="P176">
        <v>0</v>
      </c>
      <c r="Q176">
        <v>0</v>
      </c>
      <c r="R176">
        <v>0</v>
      </c>
      <c r="S176">
        <v>0</v>
      </c>
      <c r="T176">
        <v>0</v>
      </c>
      <c r="U176">
        <v>0</v>
      </c>
      <c r="V176">
        <v>0</v>
      </c>
      <c r="W176">
        <v>0</v>
      </c>
      <c r="X176">
        <v>0</v>
      </c>
      <c r="Y176">
        <v>0</v>
      </c>
      <c r="Z176">
        <v>0</v>
      </c>
      <c r="AA176">
        <v>0</v>
      </c>
      <c r="AB176">
        <v>0</v>
      </c>
      <c r="AC176">
        <v>0</v>
      </c>
      <c r="AD176">
        <v>0</v>
      </c>
      <c r="AE176">
        <v>0</v>
      </c>
      <c r="AF176">
        <v>0</v>
      </c>
      <c r="AG176" t="s">
        <v>111</v>
      </c>
    </row>
    <row r="177" spans="1:33">
      <c r="A177" t="s">
        <v>2320</v>
      </c>
      <c r="B177" t="s">
        <v>3132</v>
      </c>
      <c r="C177" t="s">
        <v>3131</v>
      </c>
      <c r="D177" t="s">
        <v>231</v>
      </c>
      <c r="F177">
        <v>0</v>
      </c>
      <c r="G177">
        <v>0</v>
      </c>
      <c r="H177">
        <v>0</v>
      </c>
      <c r="I177">
        <v>0</v>
      </c>
      <c r="J177">
        <v>0</v>
      </c>
      <c r="K177">
        <v>0</v>
      </c>
      <c r="L177">
        <v>0</v>
      </c>
      <c r="M177">
        <v>0</v>
      </c>
      <c r="N177">
        <v>0</v>
      </c>
      <c r="O177">
        <v>0</v>
      </c>
      <c r="P177">
        <v>0</v>
      </c>
      <c r="Q177">
        <v>0</v>
      </c>
      <c r="R177">
        <v>0</v>
      </c>
      <c r="S177">
        <v>0</v>
      </c>
      <c r="T177">
        <v>0</v>
      </c>
      <c r="U177">
        <v>0</v>
      </c>
      <c r="V177">
        <v>0</v>
      </c>
      <c r="W177">
        <v>0</v>
      </c>
      <c r="X177">
        <v>0</v>
      </c>
      <c r="Y177">
        <v>0</v>
      </c>
      <c r="Z177">
        <v>0</v>
      </c>
      <c r="AA177">
        <v>0</v>
      </c>
      <c r="AB177">
        <v>0</v>
      </c>
      <c r="AC177">
        <v>0</v>
      </c>
      <c r="AD177">
        <v>0</v>
      </c>
      <c r="AE177">
        <v>0</v>
      </c>
      <c r="AF177">
        <v>0</v>
      </c>
      <c r="AG177" t="s">
        <v>111</v>
      </c>
    </row>
    <row r="178" spans="1:33">
      <c r="A178" t="s">
        <v>2317</v>
      </c>
      <c r="B178" t="s">
        <v>3130</v>
      </c>
      <c r="C178" t="s">
        <v>3129</v>
      </c>
      <c r="D178" t="s">
        <v>231</v>
      </c>
      <c r="F178">
        <v>0</v>
      </c>
      <c r="G178">
        <v>1.714E-3</v>
      </c>
      <c r="H178">
        <v>4.0610000000000004E-3</v>
      </c>
      <c r="I178">
        <v>7.2750000000000002E-3</v>
      </c>
      <c r="J178">
        <v>1.1434E-2</v>
      </c>
      <c r="K178">
        <v>1.6846E-2</v>
      </c>
      <c r="L178">
        <v>2.4177000000000001E-2</v>
      </c>
      <c r="M178">
        <v>3.4250000000000003E-2</v>
      </c>
      <c r="N178">
        <v>4.8252999999999997E-2</v>
      </c>
      <c r="O178">
        <v>6.7613000000000006E-2</v>
      </c>
      <c r="P178">
        <v>9.3364000000000003E-2</v>
      </c>
      <c r="Q178">
        <v>0.12609000000000001</v>
      </c>
      <c r="R178">
        <v>0.16609399999999999</v>
      </c>
      <c r="S178">
        <v>0.212897</v>
      </c>
      <c r="T178">
        <v>0.26521899999999998</v>
      </c>
      <c r="U178">
        <v>0.32117800000000002</v>
      </c>
      <c r="V178">
        <v>0.37935200000000002</v>
      </c>
      <c r="W178">
        <v>0.43880200000000003</v>
      </c>
      <c r="X178">
        <v>0.49908999999999998</v>
      </c>
      <c r="Y178">
        <v>0.55974599999999997</v>
      </c>
      <c r="Z178">
        <v>0.61965000000000003</v>
      </c>
      <c r="AA178">
        <v>0.67806999999999995</v>
      </c>
      <c r="AB178">
        <v>0.73476300000000005</v>
      </c>
      <c r="AC178">
        <v>0.79071899999999995</v>
      </c>
      <c r="AD178">
        <v>0.84615200000000002</v>
      </c>
      <c r="AE178">
        <v>0.90025699999999997</v>
      </c>
      <c r="AF178">
        <v>0.95221999999999996</v>
      </c>
      <c r="AG178" t="s">
        <v>111</v>
      </c>
    </row>
    <row r="179" spans="1:33">
      <c r="A179" t="s">
        <v>2314</v>
      </c>
      <c r="B179" t="s">
        <v>3128</v>
      </c>
      <c r="C179" t="s">
        <v>3127</v>
      </c>
      <c r="D179" t="s">
        <v>231</v>
      </c>
      <c r="F179">
        <v>0</v>
      </c>
      <c r="G179">
        <v>0</v>
      </c>
      <c r="H179">
        <v>0</v>
      </c>
      <c r="I179">
        <v>0</v>
      </c>
      <c r="J179">
        <v>0</v>
      </c>
      <c r="K179">
        <v>0</v>
      </c>
      <c r="L179">
        <v>0</v>
      </c>
      <c r="M179">
        <v>0</v>
      </c>
      <c r="N179">
        <v>0</v>
      </c>
      <c r="O179">
        <v>0</v>
      </c>
      <c r="P179">
        <v>0</v>
      </c>
      <c r="Q179">
        <v>0</v>
      </c>
      <c r="R179">
        <v>0</v>
      </c>
      <c r="S179">
        <v>0</v>
      </c>
      <c r="T179">
        <v>0</v>
      </c>
      <c r="U179">
        <v>0</v>
      </c>
      <c r="V179">
        <v>0</v>
      </c>
      <c r="W179">
        <v>0</v>
      </c>
      <c r="X179">
        <v>0</v>
      </c>
      <c r="Y179">
        <v>0</v>
      </c>
      <c r="Z179">
        <v>0</v>
      </c>
      <c r="AA179">
        <v>0</v>
      </c>
      <c r="AB179">
        <v>0</v>
      </c>
      <c r="AC179">
        <v>0</v>
      </c>
      <c r="AD179">
        <v>0</v>
      </c>
      <c r="AE179">
        <v>0</v>
      </c>
      <c r="AF179">
        <v>0</v>
      </c>
      <c r="AG179" t="s">
        <v>111</v>
      </c>
    </row>
    <row r="180" spans="1:33">
      <c r="A180" t="s">
        <v>242</v>
      </c>
      <c r="B180" t="s">
        <v>3126</v>
      </c>
      <c r="C180" t="s">
        <v>3125</v>
      </c>
      <c r="D180" t="s">
        <v>231</v>
      </c>
      <c r="F180">
        <v>3.970215</v>
      </c>
      <c r="G180">
        <v>4.0091910000000004</v>
      </c>
      <c r="H180">
        <v>4.0653360000000003</v>
      </c>
      <c r="I180">
        <v>4.1323340000000002</v>
      </c>
      <c r="J180">
        <v>4.1937249999999997</v>
      </c>
      <c r="K180">
        <v>4.2415349999999998</v>
      </c>
      <c r="L180">
        <v>4.2838779999999996</v>
      </c>
      <c r="M180">
        <v>4.3163669999999996</v>
      </c>
      <c r="N180">
        <v>4.348007</v>
      </c>
      <c r="O180">
        <v>4.369561</v>
      </c>
      <c r="P180">
        <v>4.3852000000000002</v>
      </c>
      <c r="Q180">
        <v>4.4020970000000004</v>
      </c>
      <c r="R180">
        <v>4.4208569999999998</v>
      </c>
      <c r="S180">
        <v>4.4439219999999997</v>
      </c>
      <c r="T180">
        <v>4.4644000000000004</v>
      </c>
      <c r="U180">
        <v>4.4826800000000002</v>
      </c>
      <c r="V180">
        <v>4.4933120000000004</v>
      </c>
      <c r="W180">
        <v>4.5010579999999996</v>
      </c>
      <c r="X180">
        <v>4.5099869999999997</v>
      </c>
      <c r="Y180">
        <v>4.527717</v>
      </c>
      <c r="Z180">
        <v>4.5498729999999998</v>
      </c>
      <c r="AA180">
        <v>4.5683740000000004</v>
      </c>
      <c r="AB180">
        <v>4.5803440000000002</v>
      </c>
      <c r="AC180">
        <v>4.5916600000000001</v>
      </c>
      <c r="AD180">
        <v>4.6028260000000003</v>
      </c>
      <c r="AE180">
        <v>4.6103870000000002</v>
      </c>
      <c r="AF180">
        <v>4.6110850000000001</v>
      </c>
      <c r="AG180" s="22">
        <v>6.0000000000000001E-3</v>
      </c>
    </row>
    <row r="181" spans="1:33">
      <c r="A181" t="s">
        <v>243</v>
      </c>
    </row>
    <row r="182" spans="1:33">
      <c r="A182" t="s">
        <v>189</v>
      </c>
      <c r="B182" t="s">
        <v>3124</v>
      </c>
      <c r="C182" t="s">
        <v>3123</v>
      </c>
      <c r="D182" t="s">
        <v>231</v>
      </c>
      <c r="F182">
        <v>5.4532230000000004</v>
      </c>
      <c r="G182">
        <v>5.54474</v>
      </c>
      <c r="H182">
        <v>5.6681350000000004</v>
      </c>
      <c r="I182">
        <v>5.8111879999999996</v>
      </c>
      <c r="J182">
        <v>5.9438380000000004</v>
      </c>
      <c r="K182">
        <v>6.0549759999999999</v>
      </c>
      <c r="L182">
        <v>6.1551280000000004</v>
      </c>
      <c r="M182">
        <v>6.2453989999999999</v>
      </c>
      <c r="N182">
        <v>6.3268560000000003</v>
      </c>
      <c r="O182">
        <v>6.4006259999999999</v>
      </c>
      <c r="P182">
        <v>6.4616090000000002</v>
      </c>
      <c r="Q182">
        <v>6.5220029999999998</v>
      </c>
      <c r="R182">
        <v>6.5889709999999999</v>
      </c>
      <c r="S182">
        <v>6.6581659999999996</v>
      </c>
      <c r="T182">
        <v>6.7268949999999998</v>
      </c>
      <c r="U182">
        <v>6.785615</v>
      </c>
      <c r="V182">
        <v>6.8349149999999996</v>
      </c>
      <c r="W182">
        <v>6.8703469999999998</v>
      </c>
      <c r="X182">
        <v>6.9170680000000004</v>
      </c>
      <c r="Y182">
        <v>6.9704490000000003</v>
      </c>
      <c r="Z182">
        <v>7.0275299999999996</v>
      </c>
      <c r="AA182">
        <v>7.0818209999999997</v>
      </c>
      <c r="AB182">
        <v>7.1251420000000003</v>
      </c>
      <c r="AC182">
        <v>7.1636379999999997</v>
      </c>
      <c r="AD182">
        <v>7.1999880000000003</v>
      </c>
      <c r="AE182">
        <v>7.227563</v>
      </c>
      <c r="AF182">
        <v>7.2418500000000003</v>
      </c>
      <c r="AG182" s="22">
        <v>1.0999999999999999E-2</v>
      </c>
    </row>
    <row r="183" spans="1:33">
      <c r="A183" t="s">
        <v>235</v>
      </c>
      <c r="B183" t="s">
        <v>3122</v>
      </c>
      <c r="C183" t="s">
        <v>3121</v>
      </c>
      <c r="D183" t="s">
        <v>231</v>
      </c>
      <c r="F183">
        <v>3.8136000000000003E-2</v>
      </c>
      <c r="G183">
        <v>3.1983999999999999E-2</v>
      </c>
      <c r="H183">
        <v>2.7276000000000002E-2</v>
      </c>
      <c r="I183">
        <v>2.3623000000000002E-2</v>
      </c>
      <c r="J183">
        <v>2.0743000000000001E-2</v>
      </c>
      <c r="K183">
        <v>1.8360999999999999E-2</v>
      </c>
      <c r="L183">
        <v>1.6451E-2</v>
      </c>
      <c r="M183">
        <v>1.4766E-2</v>
      </c>
      <c r="N183">
        <v>1.3356E-2</v>
      </c>
      <c r="O183">
        <v>1.2163999999999999E-2</v>
      </c>
      <c r="P183">
        <v>1.123E-2</v>
      </c>
      <c r="Q183">
        <v>1.0534E-2</v>
      </c>
      <c r="R183">
        <v>9.9780000000000008E-3</v>
      </c>
      <c r="S183">
        <v>9.5230000000000002E-3</v>
      </c>
      <c r="T183">
        <v>9.1430000000000001E-3</v>
      </c>
      <c r="U183">
        <v>8.8090000000000009E-3</v>
      </c>
      <c r="V183">
        <v>8.4720000000000004E-3</v>
      </c>
      <c r="W183">
        <v>8.2249999999999997E-3</v>
      </c>
      <c r="X183">
        <v>7.9209999999999992E-3</v>
      </c>
      <c r="Y183">
        <v>7.6280000000000002E-3</v>
      </c>
      <c r="Z183">
        <v>7.4219999999999998E-3</v>
      </c>
      <c r="AA183">
        <v>7.2960000000000004E-3</v>
      </c>
      <c r="AB183">
        <v>7.2110000000000004E-3</v>
      </c>
      <c r="AC183">
        <v>7.1520000000000004E-3</v>
      </c>
      <c r="AD183">
        <v>7.1180000000000002E-3</v>
      </c>
      <c r="AE183">
        <v>7.0850000000000002E-3</v>
      </c>
      <c r="AF183">
        <v>7.051E-3</v>
      </c>
      <c r="AG183" s="22">
        <v>-6.3E-2</v>
      </c>
    </row>
    <row r="184" spans="1:33">
      <c r="A184" t="s">
        <v>192</v>
      </c>
      <c r="B184" t="s">
        <v>3120</v>
      </c>
      <c r="C184" t="s">
        <v>3119</v>
      </c>
      <c r="D184" t="s">
        <v>231</v>
      </c>
      <c r="F184">
        <v>3.0569999999999998E-3</v>
      </c>
      <c r="G184">
        <v>3.0070000000000001E-3</v>
      </c>
      <c r="H184">
        <v>3.0309999999999998E-3</v>
      </c>
      <c r="I184">
        <v>3.107E-3</v>
      </c>
      <c r="J184">
        <v>3.1909999999999998E-3</v>
      </c>
      <c r="K184">
        <v>3.241E-3</v>
      </c>
      <c r="L184">
        <v>3.297E-3</v>
      </c>
      <c r="M184">
        <v>3.3300000000000001E-3</v>
      </c>
      <c r="N184">
        <v>3.346E-3</v>
      </c>
      <c r="O184">
        <v>3.3730000000000001E-3</v>
      </c>
      <c r="P184">
        <v>3.4280000000000001E-3</v>
      </c>
      <c r="Q184">
        <v>3.4710000000000001E-3</v>
      </c>
      <c r="R184">
        <v>3.5140000000000002E-3</v>
      </c>
      <c r="S184">
        <v>3.5530000000000002E-3</v>
      </c>
      <c r="T184">
        <v>3.6020000000000002E-3</v>
      </c>
      <c r="U184">
        <v>3.6579999999999998E-3</v>
      </c>
      <c r="V184">
        <v>3.715E-3</v>
      </c>
      <c r="W184">
        <v>3.7629999999999999E-3</v>
      </c>
      <c r="X184">
        <v>3.8070000000000001E-3</v>
      </c>
      <c r="Y184">
        <v>3.8449999999999999E-3</v>
      </c>
      <c r="Z184">
        <v>3.8839999999999999E-3</v>
      </c>
      <c r="AA184">
        <v>3.9179999999999996E-3</v>
      </c>
      <c r="AB184">
        <v>3.9500000000000004E-3</v>
      </c>
      <c r="AC184">
        <v>3.98E-3</v>
      </c>
      <c r="AD184">
        <v>4.0140000000000002E-3</v>
      </c>
      <c r="AE184">
        <v>4.0249999999999999E-3</v>
      </c>
      <c r="AF184">
        <v>4.0070000000000001E-3</v>
      </c>
      <c r="AG184" s="22">
        <v>0.01</v>
      </c>
    </row>
    <row r="185" spans="1:33">
      <c r="A185" t="s">
        <v>195</v>
      </c>
      <c r="B185" t="s">
        <v>3118</v>
      </c>
      <c r="C185" t="s">
        <v>3117</v>
      </c>
      <c r="D185" t="s">
        <v>231</v>
      </c>
      <c r="F185">
        <v>5.7391999999999999E-2</v>
      </c>
      <c r="G185">
        <v>6.1581999999999998E-2</v>
      </c>
      <c r="H185">
        <v>6.6053000000000001E-2</v>
      </c>
      <c r="I185">
        <v>7.0393999999999998E-2</v>
      </c>
      <c r="J185">
        <v>7.4439000000000005E-2</v>
      </c>
      <c r="K185">
        <v>7.8131999999999993E-2</v>
      </c>
      <c r="L185">
        <v>8.1558000000000005E-2</v>
      </c>
      <c r="M185">
        <v>8.4717000000000001E-2</v>
      </c>
      <c r="N185">
        <v>8.7696999999999997E-2</v>
      </c>
      <c r="O185">
        <v>9.0575000000000003E-2</v>
      </c>
      <c r="P185">
        <v>9.3313999999999994E-2</v>
      </c>
      <c r="Q185">
        <v>9.5942E-2</v>
      </c>
      <c r="R185">
        <v>9.8466999999999999E-2</v>
      </c>
      <c r="S185">
        <v>0.10101300000000001</v>
      </c>
      <c r="T185">
        <v>0.103474</v>
      </c>
      <c r="U185">
        <v>0.10592500000000001</v>
      </c>
      <c r="V185">
        <v>0.108441</v>
      </c>
      <c r="W185">
        <v>0.11104899999999999</v>
      </c>
      <c r="X185">
        <v>0.11365</v>
      </c>
      <c r="Y185">
        <v>0.11616600000000001</v>
      </c>
      <c r="Z185">
        <v>0.118715</v>
      </c>
      <c r="AA185">
        <v>0.12114999999999999</v>
      </c>
      <c r="AB185">
        <v>0.12349</v>
      </c>
      <c r="AC185">
        <v>0.12600500000000001</v>
      </c>
      <c r="AD185">
        <v>0.12883</v>
      </c>
      <c r="AE185">
        <v>0.13184399999999999</v>
      </c>
      <c r="AF185">
        <v>0.13523499999999999</v>
      </c>
      <c r="AG185" s="22">
        <v>3.4000000000000002E-2</v>
      </c>
    </row>
    <row r="186" spans="1:33">
      <c r="A186" t="s">
        <v>236</v>
      </c>
      <c r="B186" t="s">
        <v>3116</v>
      </c>
      <c r="C186" t="s">
        <v>3115</v>
      </c>
      <c r="D186" t="s">
        <v>231</v>
      </c>
      <c r="F186">
        <v>0</v>
      </c>
      <c r="G186">
        <v>0</v>
      </c>
      <c r="H186">
        <v>0</v>
      </c>
      <c r="I186">
        <v>0</v>
      </c>
      <c r="J186">
        <v>0</v>
      </c>
      <c r="K186">
        <v>0</v>
      </c>
      <c r="L186">
        <v>0</v>
      </c>
      <c r="M186">
        <v>0</v>
      </c>
      <c r="N186">
        <v>0</v>
      </c>
      <c r="O186">
        <v>0</v>
      </c>
      <c r="P186">
        <v>0</v>
      </c>
      <c r="Q186">
        <v>0</v>
      </c>
      <c r="R186">
        <v>0</v>
      </c>
      <c r="S186">
        <v>0</v>
      </c>
      <c r="T186">
        <v>0</v>
      </c>
      <c r="U186">
        <v>0</v>
      </c>
      <c r="V186">
        <v>0</v>
      </c>
      <c r="W186">
        <v>0</v>
      </c>
      <c r="X186">
        <v>0</v>
      </c>
      <c r="Y186">
        <v>0</v>
      </c>
      <c r="Z186">
        <v>0</v>
      </c>
      <c r="AA186">
        <v>0</v>
      </c>
      <c r="AB186">
        <v>0</v>
      </c>
      <c r="AC186">
        <v>0</v>
      </c>
      <c r="AD186">
        <v>0</v>
      </c>
      <c r="AE186">
        <v>0</v>
      </c>
      <c r="AF186">
        <v>0</v>
      </c>
      <c r="AG186" t="s">
        <v>111</v>
      </c>
    </row>
    <row r="187" spans="1:33">
      <c r="A187" t="s">
        <v>237</v>
      </c>
      <c r="B187" t="s">
        <v>3114</v>
      </c>
      <c r="C187" t="s">
        <v>3113</v>
      </c>
      <c r="D187" t="s">
        <v>231</v>
      </c>
      <c r="F187">
        <v>2.114E-3</v>
      </c>
      <c r="G187">
        <v>2.921E-3</v>
      </c>
      <c r="H187">
        <v>3.8010000000000001E-3</v>
      </c>
      <c r="I187">
        <v>4.7330000000000002E-3</v>
      </c>
      <c r="J187">
        <v>5.6499999999999996E-3</v>
      </c>
      <c r="K187">
        <v>6.5319999999999996E-3</v>
      </c>
      <c r="L187">
        <v>7.3819999999999997E-3</v>
      </c>
      <c r="M187">
        <v>8.1930000000000006E-3</v>
      </c>
      <c r="N187">
        <v>8.9680000000000003E-3</v>
      </c>
      <c r="O187">
        <v>9.7109999999999991E-3</v>
      </c>
      <c r="P187">
        <v>1.0414E-2</v>
      </c>
      <c r="Q187">
        <v>1.1073E-2</v>
      </c>
      <c r="R187">
        <v>1.1696E-2</v>
      </c>
      <c r="S187">
        <v>1.2281E-2</v>
      </c>
      <c r="T187">
        <v>1.2834E-2</v>
      </c>
      <c r="U187">
        <v>1.3354E-2</v>
      </c>
      <c r="V187">
        <v>1.3842E-2</v>
      </c>
      <c r="W187">
        <v>1.4302E-2</v>
      </c>
      <c r="X187">
        <v>1.4742E-2</v>
      </c>
      <c r="Y187">
        <v>1.5167E-2</v>
      </c>
      <c r="Z187">
        <v>1.5570000000000001E-2</v>
      </c>
      <c r="AA187">
        <v>1.5951E-2</v>
      </c>
      <c r="AB187">
        <v>1.6309000000000001E-2</v>
      </c>
      <c r="AC187">
        <v>1.6659E-2</v>
      </c>
      <c r="AD187">
        <v>1.7006E-2</v>
      </c>
      <c r="AE187">
        <v>1.7343000000000001E-2</v>
      </c>
      <c r="AF187">
        <v>1.7661E-2</v>
      </c>
      <c r="AG187" s="22">
        <v>8.5000000000000006E-2</v>
      </c>
    </row>
    <row r="188" spans="1:33">
      <c r="A188" t="s">
        <v>238</v>
      </c>
      <c r="B188" t="s">
        <v>3112</v>
      </c>
      <c r="C188" t="s">
        <v>3111</v>
      </c>
      <c r="D188" t="s">
        <v>231</v>
      </c>
      <c r="F188">
        <v>0</v>
      </c>
      <c r="G188">
        <v>0</v>
      </c>
      <c r="H188">
        <v>1.22E-4</v>
      </c>
      <c r="I188">
        <v>3.5199999999999999E-4</v>
      </c>
      <c r="J188">
        <v>6.2E-4</v>
      </c>
      <c r="K188">
        <v>9.41E-4</v>
      </c>
      <c r="L188">
        <v>1.3209999999999999E-3</v>
      </c>
      <c r="M188">
        <v>1.7750000000000001E-3</v>
      </c>
      <c r="N188">
        <v>2.336E-3</v>
      </c>
      <c r="O188">
        <v>2.3189999999999999E-3</v>
      </c>
      <c r="P188">
        <v>2.313E-3</v>
      </c>
      <c r="Q188">
        <v>2.33E-3</v>
      </c>
      <c r="R188">
        <v>2.3609999999999998E-3</v>
      </c>
      <c r="S188">
        <v>2.4290000000000002E-3</v>
      </c>
      <c r="T188">
        <v>2.5279999999999999E-3</v>
      </c>
      <c r="U188">
        <v>2.6589999999999999E-3</v>
      </c>
      <c r="V188">
        <v>2.7859999999999998E-3</v>
      </c>
      <c r="W188">
        <v>2.8890000000000001E-3</v>
      </c>
      <c r="X188">
        <v>2.9499999999999999E-3</v>
      </c>
      <c r="Y188">
        <v>2.9640000000000001E-3</v>
      </c>
      <c r="Z188">
        <v>2.9450000000000001E-3</v>
      </c>
      <c r="AA188">
        <v>2.8879999999999999E-3</v>
      </c>
      <c r="AB188">
        <v>2.7810000000000001E-3</v>
      </c>
      <c r="AC188">
        <v>2.6259999999999999E-3</v>
      </c>
      <c r="AD188">
        <v>2.4940000000000001E-3</v>
      </c>
      <c r="AE188">
        <v>2.3879999999999999E-3</v>
      </c>
      <c r="AF188">
        <v>2.3059999999999999E-3</v>
      </c>
      <c r="AG188" t="s">
        <v>111</v>
      </c>
    </row>
    <row r="189" spans="1:33">
      <c r="A189" t="s">
        <v>239</v>
      </c>
      <c r="B189" t="s">
        <v>3110</v>
      </c>
      <c r="C189" t="s">
        <v>3109</v>
      </c>
      <c r="D189" t="s">
        <v>231</v>
      </c>
      <c r="F189">
        <v>0</v>
      </c>
      <c r="G189">
        <v>0</v>
      </c>
      <c r="H189">
        <v>0</v>
      </c>
      <c r="I189">
        <v>0</v>
      </c>
      <c r="J189">
        <v>0</v>
      </c>
      <c r="K189">
        <v>0</v>
      </c>
      <c r="L189">
        <v>0</v>
      </c>
      <c r="M189">
        <v>0</v>
      </c>
      <c r="N189">
        <v>0</v>
      </c>
      <c r="O189">
        <v>0</v>
      </c>
      <c r="P189">
        <v>0</v>
      </c>
      <c r="Q189">
        <v>0</v>
      </c>
      <c r="R189">
        <v>0</v>
      </c>
      <c r="S189">
        <v>0</v>
      </c>
      <c r="T189">
        <v>0</v>
      </c>
      <c r="U189">
        <v>0</v>
      </c>
      <c r="V189">
        <v>0</v>
      </c>
      <c r="W189">
        <v>0</v>
      </c>
      <c r="X189">
        <v>0</v>
      </c>
      <c r="Y189">
        <v>0</v>
      </c>
      <c r="Z189">
        <v>0</v>
      </c>
      <c r="AA189">
        <v>0</v>
      </c>
      <c r="AB189">
        <v>0</v>
      </c>
      <c r="AC189">
        <v>0</v>
      </c>
      <c r="AD189">
        <v>0</v>
      </c>
      <c r="AE189">
        <v>0</v>
      </c>
      <c r="AF189">
        <v>0</v>
      </c>
      <c r="AG189" t="s">
        <v>111</v>
      </c>
    </row>
    <row r="190" spans="1:33">
      <c r="A190" t="s">
        <v>240</v>
      </c>
      <c r="B190" t="s">
        <v>3108</v>
      </c>
      <c r="C190" t="s">
        <v>3107</v>
      </c>
      <c r="D190" t="s">
        <v>231</v>
      </c>
      <c r="F190">
        <v>0</v>
      </c>
      <c r="G190">
        <v>0</v>
      </c>
      <c r="H190">
        <v>0</v>
      </c>
      <c r="I190">
        <v>0</v>
      </c>
      <c r="J190">
        <v>0</v>
      </c>
      <c r="K190">
        <v>0</v>
      </c>
      <c r="L190">
        <v>0</v>
      </c>
      <c r="M190">
        <v>0</v>
      </c>
      <c r="N190">
        <v>0</v>
      </c>
      <c r="O190">
        <v>0</v>
      </c>
      <c r="P190">
        <v>0</v>
      </c>
      <c r="Q190">
        <v>0</v>
      </c>
      <c r="R190">
        <v>0</v>
      </c>
      <c r="S190">
        <v>0</v>
      </c>
      <c r="T190">
        <v>0</v>
      </c>
      <c r="U190">
        <v>0</v>
      </c>
      <c r="V190">
        <v>0</v>
      </c>
      <c r="W190">
        <v>0</v>
      </c>
      <c r="X190">
        <v>0</v>
      </c>
      <c r="Y190">
        <v>0</v>
      </c>
      <c r="Z190">
        <v>0</v>
      </c>
      <c r="AA190">
        <v>0</v>
      </c>
      <c r="AB190">
        <v>0</v>
      </c>
      <c r="AC190">
        <v>0</v>
      </c>
      <c r="AD190">
        <v>0</v>
      </c>
      <c r="AE190">
        <v>0</v>
      </c>
      <c r="AF190">
        <v>0</v>
      </c>
      <c r="AG190" t="s">
        <v>111</v>
      </c>
    </row>
    <row r="191" spans="1:33">
      <c r="A191" t="s">
        <v>2320</v>
      </c>
      <c r="B191" t="s">
        <v>3106</v>
      </c>
      <c r="C191" t="s">
        <v>3105</v>
      </c>
      <c r="D191" t="s">
        <v>231</v>
      </c>
      <c r="F191">
        <v>0</v>
      </c>
      <c r="G191">
        <v>0</v>
      </c>
      <c r="H191">
        <v>0</v>
      </c>
      <c r="I191">
        <v>0</v>
      </c>
      <c r="J191">
        <v>0</v>
      </c>
      <c r="K191">
        <v>0</v>
      </c>
      <c r="L191">
        <v>0</v>
      </c>
      <c r="M191">
        <v>0</v>
      </c>
      <c r="N191">
        <v>0</v>
      </c>
      <c r="O191">
        <v>0</v>
      </c>
      <c r="P191">
        <v>0</v>
      </c>
      <c r="Q191">
        <v>0</v>
      </c>
      <c r="R191">
        <v>0</v>
      </c>
      <c r="S191">
        <v>0</v>
      </c>
      <c r="T191">
        <v>0</v>
      </c>
      <c r="U191">
        <v>0</v>
      </c>
      <c r="V191">
        <v>0</v>
      </c>
      <c r="W191">
        <v>0</v>
      </c>
      <c r="X191">
        <v>0</v>
      </c>
      <c r="Y191">
        <v>0</v>
      </c>
      <c r="Z191">
        <v>0</v>
      </c>
      <c r="AA191">
        <v>0</v>
      </c>
      <c r="AB191">
        <v>0</v>
      </c>
      <c r="AC191">
        <v>0</v>
      </c>
      <c r="AD191">
        <v>0</v>
      </c>
      <c r="AE191">
        <v>0</v>
      </c>
      <c r="AF191">
        <v>0</v>
      </c>
      <c r="AG191" t="s">
        <v>111</v>
      </c>
    </row>
    <row r="192" spans="1:33">
      <c r="A192" t="s">
        <v>2317</v>
      </c>
      <c r="B192" t="s">
        <v>3104</v>
      </c>
      <c r="C192" t="s">
        <v>3103</v>
      </c>
      <c r="D192" t="s">
        <v>231</v>
      </c>
      <c r="F192">
        <v>0</v>
      </c>
      <c r="G192">
        <v>0</v>
      </c>
      <c r="H192">
        <v>0</v>
      </c>
      <c r="I192">
        <v>0</v>
      </c>
      <c r="J192">
        <v>0</v>
      </c>
      <c r="K192">
        <v>0</v>
      </c>
      <c r="L192">
        <v>0</v>
      </c>
      <c r="M192">
        <v>0</v>
      </c>
      <c r="N192">
        <v>0</v>
      </c>
      <c r="O192">
        <v>0</v>
      </c>
      <c r="P192">
        <v>0</v>
      </c>
      <c r="Q192">
        <v>0</v>
      </c>
      <c r="R192">
        <v>0</v>
      </c>
      <c r="S192">
        <v>0</v>
      </c>
      <c r="T192">
        <v>0</v>
      </c>
      <c r="U192">
        <v>0</v>
      </c>
      <c r="V192">
        <v>0</v>
      </c>
      <c r="W192">
        <v>0</v>
      </c>
      <c r="X192">
        <v>0</v>
      </c>
      <c r="Y192">
        <v>0</v>
      </c>
      <c r="Z192">
        <v>0</v>
      </c>
      <c r="AA192">
        <v>0</v>
      </c>
      <c r="AB192">
        <v>0</v>
      </c>
      <c r="AC192">
        <v>0</v>
      </c>
      <c r="AD192">
        <v>0</v>
      </c>
      <c r="AE192">
        <v>0</v>
      </c>
      <c r="AF192">
        <v>0</v>
      </c>
      <c r="AG192" t="s">
        <v>111</v>
      </c>
    </row>
    <row r="193" spans="1:33">
      <c r="A193" t="s">
        <v>2314</v>
      </c>
      <c r="B193" t="s">
        <v>3102</v>
      </c>
      <c r="C193" t="s">
        <v>3101</v>
      </c>
      <c r="D193" t="s">
        <v>231</v>
      </c>
      <c r="F193">
        <v>0</v>
      </c>
      <c r="G193">
        <v>0</v>
      </c>
      <c r="H193">
        <v>0</v>
      </c>
      <c r="I193">
        <v>0</v>
      </c>
      <c r="J193">
        <v>0</v>
      </c>
      <c r="K193">
        <v>0</v>
      </c>
      <c r="L193">
        <v>0</v>
      </c>
      <c r="M193">
        <v>0</v>
      </c>
      <c r="N193">
        <v>0</v>
      </c>
      <c r="O193">
        <v>0</v>
      </c>
      <c r="P193">
        <v>0</v>
      </c>
      <c r="Q193">
        <v>0</v>
      </c>
      <c r="R193">
        <v>0</v>
      </c>
      <c r="S193">
        <v>0</v>
      </c>
      <c r="T193">
        <v>0</v>
      </c>
      <c r="U193">
        <v>0</v>
      </c>
      <c r="V193">
        <v>0</v>
      </c>
      <c r="W193">
        <v>0</v>
      </c>
      <c r="X193">
        <v>0</v>
      </c>
      <c r="Y193">
        <v>0</v>
      </c>
      <c r="Z193">
        <v>0</v>
      </c>
      <c r="AA193">
        <v>0</v>
      </c>
      <c r="AB193">
        <v>0</v>
      </c>
      <c r="AC193">
        <v>0</v>
      </c>
      <c r="AD193">
        <v>0</v>
      </c>
      <c r="AE193">
        <v>0</v>
      </c>
      <c r="AF193">
        <v>0</v>
      </c>
      <c r="AG193" t="s">
        <v>111</v>
      </c>
    </row>
    <row r="194" spans="1:33">
      <c r="A194" t="s">
        <v>244</v>
      </c>
      <c r="B194" t="s">
        <v>3100</v>
      </c>
      <c r="C194" t="s">
        <v>3099</v>
      </c>
      <c r="D194" t="s">
        <v>231</v>
      </c>
      <c r="F194">
        <v>5.5539240000000003</v>
      </c>
      <c r="G194">
        <v>5.6442329999999998</v>
      </c>
      <c r="H194">
        <v>5.7684139999999999</v>
      </c>
      <c r="I194">
        <v>5.9133979999999999</v>
      </c>
      <c r="J194">
        <v>6.0484790000000004</v>
      </c>
      <c r="K194">
        <v>6.1621829999999997</v>
      </c>
      <c r="L194">
        <v>6.2651370000000002</v>
      </c>
      <c r="M194">
        <v>6.3581779999999997</v>
      </c>
      <c r="N194">
        <v>6.4425569999999999</v>
      </c>
      <c r="O194">
        <v>6.5187679999999997</v>
      </c>
      <c r="P194">
        <v>6.5823070000000001</v>
      </c>
      <c r="Q194">
        <v>6.6453530000000001</v>
      </c>
      <c r="R194">
        <v>6.7149859999999997</v>
      </c>
      <c r="S194">
        <v>6.7869659999999996</v>
      </c>
      <c r="T194">
        <v>6.8584779999999999</v>
      </c>
      <c r="U194">
        <v>6.9200189999999999</v>
      </c>
      <c r="V194">
        <v>6.9721710000000003</v>
      </c>
      <c r="W194">
        <v>7.01058</v>
      </c>
      <c r="X194">
        <v>7.0601390000000004</v>
      </c>
      <c r="Y194">
        <v>7.1162190000000001</v>
      </c>
      <c r="Z194">
        <v>7.1760700000000002</v>
      </c>
      <c r="AA194">
        <v>7.2330199999999998</v>
      </c>
      <c r="AB194">
        <v>7.2788839999999997</v>
      </c>
      <c r="AC194">
        <v>7.3200570000000003</v>
      </c>
      <c r="AD194">
        <v>7.3594530000000002</v>
      </c>
      <c r="AE194">
        <v>7.390244</v>
      </c>
      <c r="AF194">
        <v>7.408112</v>
      </c>
      <c r="AG194" s="22">
        <v>1.0999999999999999E-2</v>
      </c>
    </row>
    <row r="195" spans="1:33">
      <c r="A195" t="s">
        <v>254</v>
      </c>
      <c r="B195" t="s">
        <v>3098</v>
      </c>
      <c r="C195" t="s">
        <v>3097</v>
      </c>
      <c r="D195" t="s">
        <v>231</v>
      </c>
      <c r="F195">
        <v>14.630017</v>
      </c>
      <c r="G195">
        <v>14.950063999999999</v>
      </c>
      <c r="H195">
        <v>15.336373999999999</v>
      </c>
      <c r="I195">
        <v>15.758817000000001</v>
      </c>
      <c r="J195">
        <v>16.157616000000001</v>
      </c>
      <c r="K195">
        <v>16.514610000000001</v>
      </c>
      <c r="L195">
        <v>16.851102999999998</v>
      </c>
      <c r="M195">
        <v>17.157919</v>
      </c>
      <c r="N195">
        <v>17.453142</v>
      </c>
      <c r="O195">
        <v>17.722261</v>
      </c>
      <c r="P195">
        <v>17.971948999999999</v>
      </c>
      <c r="Q195">
        <v>18.217116999999998</v>
      </c>
      <c r="R195">
        <v>18.470904999999998</v>
      </c>
      <c r="S195">
        <v>18.730982000000001</v>
      </c>
      <c r="T195">
        <v>18.987928</v>
      </c>
      <c r="U195">
        <v>19.229583999999999</v>
      </c>
      <c r="V195">
        <v>19.448927000000001</v>
      </c>
      <c r="W195">
        <v>19.6525</v>
      </c>
      <c r="X195">
        <v>19.864656</v>
      </c>
      <c r="Y195">
        <v>20.100263999999999</v>
      </c>
      <c r="Z195">
        <v>20.349910999999999</v>
      </c>
      <c r="AA195">
        <v>20.586701999999999</v>
      </c>
      <c r="AB195">
        <v>20.79805</v>
      </c>
      <c r="AC195">
        <v>21.004408000000002</v>
      </c>
      <c r="AD195">
        <v>21.205359999999999</v>
      </c>
      <c r="AE195">
        <v>21.380649999999999</v>
      </c>
      <c r="AF195">
        <v>21.528708000000002</v>
      </c>
      <c r="AG195" s="22">
        <v>1.4999999999999999E-2</v>
      </c>
    </row>
    <row r="196" spans="1:33">
      <c r="A196" t="s">
        <v>148</v>
      </c>
    </row>
    <row r="197" spans="1:33">
      <c r="A197" t="s">
        <v>248</v>
      </c>
    </row>
    <row r="198" spans="1:33">
      <c r="A198" t="s">
        <v>170</v>
      </c>
    </row>
    <row r="199" spans="1:33">
      <c r="A199" t="s">
        <v>189</v>
      </c>
      <c r="B199" t="s">
        <v>3096</v>
      </c>
      <c r="C199" t="s">
        <v>3095</v>
      </c>
      <c r="D199" t="s">
        <v>267</v>
      </c>
      <c r="F199">
        <v>14.400703999999999</v>
      </c>
      <c r="G199">
        <v>14.660596</v>
      </c>
      <c r="H199">
        <v>14.909394000000001</v>
      </c>
      <c r="I199">
        <v>15.148808000000001</v>
      </c>
      <c r="J199">
        <v>15.587316</v>
      </c>
      <c r="K199">
        <v>15.569564</v>
      </c>
      <c r="L199">
        <v>15.706894999999999</v>
      </c>
      <c r="M199">
        <v>15.808894</v>
      </c>
      <c r="N199">
        <v>15.874243</v>
      </c>
      <c r="O199">
        <v>15.908842999999999</v>
      </c>
      <c r="P199">
        <v>15.928421</v>
      </c>
      <c r="Q199">
        <v>15.940676</v>
      </c>
      <c r="R199">
        <v>15.931882999999999</v>
      </c>
      <c r="S199">
        <v>15.918108999999999</v>
      </c>
      <c r="T199">
        <v>15.923935</v>
      </c>
      <c r="U199">
        <v>15.946382</v>
      </c>
      <c r="V199">
        <v>15.949452000000001</v>
      </c>
      <c r="W199">
        <v>15.974583000000001</v>
      </c>
      <c r="X199">
        <v>16.011904000000001</v>
      </c>
      <c r="Y199">
        <v>16.067564000000001</v>
      </c>
      <c r="Z199">
        <v>16.092542999999999</v>
      </c>
      <c r="AA199">
        <v>16.10285</v>
      </c>
      <c r="AB199">
        <v>16.070187000000001</v>
      </c>
      <c r="AC199">
        <v>16.117353000000001</v>
      </c>
      <c r="AD199">
        <v>16.17164</v>
      </c>
      <c r="AE199">
        <v>16.204170000000001</v>
      </c>
      <c r="AF199">
        <v>16.214468</v>
      </c>
      <c r="AG199" s="22">
        <v>5.0000000000000001E-3</v>
      </c>
    </row>
    <row r="200" spans="1:33">
      <c r="A200" t="s">
        <v>235</v>
      </c>
      <c r="B200" t="s">
        <v>3094</v>
      </c>
      <c r="C200" t="s">
        <v>3093</v>
      </c>
      <c r="D200" t="s">
        <v>268</v>
      </c>
      <c r="F200">
        <v>12.031425</v>
      </c>
      <c r="G200">
        <v>12.120165999999999</v>
      </c>
      <c r="H200">
        <v>12.218216999999999</v>
      </c>
      <c r="I200">
        <v>12.314306</v>
      </c>
      <c r="J200">
        <v>12.519958000000001</v>
      </c>
      <c r="K200">
        <v>12.526904</v>
      </c>
      <c r="L200">
        <v>12.614868</v>
      </c>
      <c r="M200">
        <v>12.696854999999999</v>
      </c>
      <c r="N200">
        <v>12.776363</v>
      </c>
      <c r="O200">
        <v>12.810620999999999</v>
      </c>
      <c r="P200">
        <v>12.829993999999999</v>
      </c>
      <c r="Q200">
        <v>12.839169999999999</v>
      </c>
      <c r="R200">
        <v>12.820976</v>
      </c>
      <c r="S200">
        <v>12.785634999999999</v>
      </c>
      <c r="T200">
        <v>12.802814</v>
      </c>
      <c r="U200">
        <v>12.846814</v>
      </c>
      <c r="V200">
        <v>12.852778000000001</v>
      </c>
      <c r="W200">
        <v>12.900325</v>
      </c>
      <c r="X200">
        <v>12.970843</v>
      </c>
      <c r="Y200">
        <v>13.073732</v>
      </c>
      <c r="Z200">
        <v>13.11858</v>
      </c>
      <c r="AA200">
        <v>13.137976999999999</v>
      </c>
      <c r="AB200">
        <v>13.165692999999999</v>
      </c>
      <c r="AC200">
        <v>13.248922</v>
      </c>
      <c r="AD200">
        <v>13.34107</v>
      </c>
      <c r="AE200">
        <v>13.395440000000001</v>
      </c>
      <c r="AF200">
        <v>13.397116</v>
      </c>
      <c r="AG200" s="22">
        <v>4.0000000000000001E-3</v>
      </c>
    </row>
    <row r="201" spans="1:33">
      <c r="A201" t="s">
        <v>192</v>
      </c>
      <c r="B201" t="s">
        <v>3092</v>
      </c>
      <c r="C201" t="s">
        <v>3091</v>
      </c>
      <c r="D201" t="s">
        <v>268</v>
      </c>
      <c r="F201">
        <v>11.1304</v>
      </c>
      <c r="G201">
        <v>11.18446</v>
      </c>
      <c r="H201">
        <v>11.218819999999999</v>
      </c>
      <c r="I201">
        <v>11.255887</v>
      </c>
      <c r="J201">
        <v>11.412219</v>
      </c>
      <c r="K201">
        <v>11.400475999999999</v>
      </c>
      <c r="L201">
        <v>11.479112000000001</v>
      </c>
      <c r="M201">
        <v>11.570024</v>
      </c>
      <c r="N201">
        <v>11.661617</v>
      </c>
      <c r="O201">
        <v>11.750628000000001</v>
      </c>
      <c r="P201">
        <v>11.847393</v>
      </c>
      <c r="Q201">
        <v>11.933859</v>
      </c>
      <c r="R201">
        <v>12.002807000000001</v>
      </c>
      <c r="S201">
        <v>12.054949000000001</v>
      </c>
      <c r="T201">
        <v>12.095764000000001</v>
      </c>
      <c r="U201">
        <v>12.138782000000001</v>
      </c>
      <c r="V201">
        <v>12.178782</v>
      </c>
      <c r="W201">
        <v>12.217374</v>
      </c>
      <c r="X201">
        <v>12.250284000000001</v>
      </c>
      <c r="Y201">
        <v>12.276258</v>
      </c>
      <c r="Z201">
        <v>12.298315000000001</v>
      </c>
      <c r="AA201">
        <v>12.314526000000001</v>
      </c>
      <c r="AB201">
        <v>12.324564000000001</v>
      </c>
      <c r="AC201">
        <v>12.324909</v>
      </c>
      <c r="AD201">
        <v>12.324966999999999</v>
      </c>
      <c r="AE201">
        <v>12.326323</v>
      </c>
      <c r="AF201">
        <v>12.328670000000001</v>
      </c>
      <c r="AG201" s="22">
        <v>4.0000000000000001E-3</v>
      </c>
    </row>
    <row r="202" spans="1:33">
      <c r="A202" t="s">
        <v>195</v>
      </c>
      <c r="B202" t="s">
        <v>3090</v>
      </c>
      <c r="C202" t="s">
        <v>3089</v>
      </c>
      <c r="D202" t="s">
        <v>268</v>
      </c>
      <c r="F202">
        <v>10.947818</v>
      </c>
      <c r="G202">
        <v>10.990493000000001</v>
      </c>
      <c r="H202">
        <v>11.056637</v>
      </c>
      <c r="I202">
        <v>11.142770000000001</v>
      </c>
      <c r="J202">
        <v>11.533828</v>
      </c>
      <c r="K202">
        <v>11.485296999999999</v>
      </c>
      <c r="L202">
        <v>11.616588999999999</v>
      </c>
      <c r="M202">
        <v>11.763449</v>
      </c>
      <c r="N202">
        <v>11.902488999999999</v>
      </c>
      <c r="O202">
        <v>12.032113000000001</v>
      </c>
      <c r="P202">
        <v>12.096603999999999</v>
      </c>
      <c r="Q202">
        <v>12.130247000000001</v>
      </c>
      <c r="R202">
        <v>12.148973</v>
      </c>
      <c r="S202">
        <v>12.149476</v>
      </c>
      <c r="T202">
        <v>12.133198999999999</v>
      </c>
      <c r="U202">
        <v>12.114938</v>
      </c>
      <c r="V202">
        <v>12.096787000000001</v>
      </c>
      <c r="W202">
        <v>12.080774999999999</v>
      </c>
      <c r="X202">
        <v>12.068275999999999</v>
      </c>
      <c r="Y202">
        <v>12.056754</v>
      </c>
      <c r="Z202">
        <v>12.050371</v>
      </c>
      <c r="AA202">
        <v>12.042301</v>
      </c>
      <c r="AB202">
        <v>12.03565</v>
      </c>
      <c r="AC202">
        <v>12.029597000000001</v>
      </c>
      <c r="AD202">
        <v>12.026527</v>
      </c>
      <c r="AE202">
        <v>12.023883</v>
      </c>
      <c r="AF202">
        <v>12.026020000000001</v>
      </c>
      <c r="AG202" s="22">
        <v>4.0000000000000001E-3</v>
      </c>
    </row>
    <row r="203" spans="1:33">
      <c r="A203" t="s">
        <v>236</v>
      </c>
      <c r="B203" t="s">
        <v>3088</v>
      </c>
      <c r="C203" t="s">
        <v>3087</v>
      </c>
      <c r="D203" t="s">
        <v>268</v>
      </c>
      <c r="F203">
        <v>11.410875000000001</v>
      </c>
      <c r="G203">
        <v>11.497379</v>
      </c>
      <c r="H203">
        <v>11.591085</v>
      </c>
      <c r="I203">
        <v>11.68336</v>
      </c>
      <c r="J203">
        <v>11.866866999999999</v>
      </c>
      <c r="K203">
        <v>11.851042</v>
      </c>
      <c r="L203">
        <v>11.905309000000001</v>
      </c>
      <c r="M203">
        <v>11.944247000000001</v>
      </c>
      <c r="N203">
        <v>11.971857</v>
      </c>
      <c r="O203">
        <v>11.984635000000001</v>
      </c>
      <c r="P203">
        <v>11.987278</v>
      </c>
      <c r="Q203">
        <v>11.987494</v>
      </c>
      <c r="R203">
        <v>11.984787000000001</v>
      </c>
      <c r="S203">
        <v>11.975884000000001</v>
      </c>
      <c r="T203">
        <v>11.981134000000001</v>
      </c>
      <c r="U203">
        <v>11.985151</v>
      </c>
      <c r="V203">
        <v>11.989549</v>
      </c>
      <c r="W203">
        <v>11.995281</v>
      </c>
      <c r="X203">
        <v>12.000392</v>
      </c>
      <c r="Y203">
        <v>12.00244</v>
      </c>
      <c r="Z203">
        <v>12.002852000000001</v>
      </c>
      <c r="AA203">
        <v>12.003465</v>
      </c>
      <c r="AB203">
        <v>12.005936</v>
      </c>
      <c r="AC203">
        <v>12.007431</v>
      </c>
      <c r="AD203">
        <v>12.006736999999999</v>
      </c>
      <c r="AE203">
        <v>12.007421000000001</v>
      </c>
      <c r="AF203">
        <v>12.009321</v>
      </c>
      <c r="AG203" s="22">
        <v>2E-3</v>
      </c>
    </row>
    <row r="204" spans="1:33">
      <c r="A204" t="s">
        <v>237</v>
      </c>
      <c r="B204" t="s">
        <v>3086</v>
      </c>
      <c r="C204" t="s">
        <v>3085</v>
      </c>
      <c r="D204" t="s">
        <v>267</v>
      </c>
      <c r="F204">
        <v>42.360385999999998</v>
      </c>
      <c r="G204">
        <v>42.360390000000002</v>
      </c>
      <c r="H204">
        <v>42.360385999999998</v>
      </c>
      <c r="I204">
        <v>42.360385999999998</v>
      </c>
      <c r="J204">
        <v>42.416671999999998</v>
      </c>
      <c r="K204">
        <v>42.410789000000001</v>
      </c>
      <c r="L204">
        <v>42.405189999999997</v>
      </c>
      <c r="M204">
        <v>42.400252999999999</v>
      </c>
      <c r="N204">
        <v>42.396197999999998</v>
      </c>
      <c r="O204">
        <v>42.392837999999998</v>
      </c>
      <c r="P204">
        <v>42.389648000000001</v>
      </c>
      <c r="Q204">
        <v>42.387165000000003</v>
      </c>
      <c r="R204">
        <v>42.385235000000002</v>
      </c>
      <c r="S204">
        <v>42.383716999999997</v>
      </c>
      <c r="T204">
        <v>42.382415999999999</v>
      </c>
      <c r="U204">
        <v>42.381301999999998</v>
      </c>
      <c r="V204">
        <v>42.380360000000003</v>
      </c>
      <c r="W204">
        <v>42.379612000000002</v>
      </c>
      <c r="X204">
        <v>42.379097000000002</v>
      </c>
      <c r="Y204">
        <v>42.378754000000001</v>
      </c>
      <c r="Z204">
        <v>42.378543999999998</v>
      </c>
      <c r="AA204">
        <v>42.378436999999998</v>
      </c>
      <c r="AB204">
        <v>42.387768000000001</v>
      </c>
      <c r="AC204">
        <v>42.405109000000003</v>
      </c>
      <c r="AD204">
        <v>42.432685999999997</v>
      </c>
      <c r="AE204">
        <v>42.494225</v>
      </c>
      <c r="AF204">
        <v>42.567383</v>
      </c>
      <c r="AG204" s="22">
        <v>0</v>
      </c>
    </row>
    <row r="205" spans="1:33">
      <c r="A205" t="s">
        <v>238</v>
      </c>
      <c r="B205" t="s">
        <v>3084</v>
      </c>
      <c r="C205" t="s">
        <v>3083</v>
      </c>
      <c r="D205" t="s">
        <v>267</v>
      </c>
      <c r="F205">
        <v>0</v>
      </c>
      <c r="G205">
        <v>0</v>
      </c>
      <c r="H205">
        <v>0</v>
      </c>
      <c r="I205">
        <v>0</v>
      </c>
      <c r="J205">
        <v>0</v>
      </c>
      <c r="K205">
        <v>0</v>
      </c>
      <c r="L205">
        <v>0</v>
      </c>
      <c r="M205">
        <v>0</v>
      </c>
      <c r="N205">
        <v>0</v>
      </c>
      <c r="O205">
        <v>0</v>
      </c>
      <c r="P205">
        <v>0</v>
      </c>
      <c r="Q205">
        <v>0</v>
      </c>
      <c r="R205">
        <v>0</v>
      </c>
      <c r="S205">
        <v>0</v>
      </c>
      <c r="T205">
        <v>0</v>
      </c>
      <c r="U205">
        <v>0</v>
      </c>
      <c r="V205">
        <v>0</v>
      </c>
      <c r="W205">
        <v>0</v>
      </c>
      <c r="X205">
        <v>0</v>
      </c>
      <c r="Y205">
        <v>0</v>
      </c>
      <c r="Z205">
        <v>0</v>
      </c>
      <c r="AA205">
        <v>0</v>
      </c>
      <c r="AB205">
        <v>0</v>
      </c>
      <c r="AC205">
        <v>0</v>
      </c>
      <c r="AD205">
        <v>0</v>
      </c>
      <c r="AE205">
        <v>0</v>
      </c>
      <c r="AF205">
        <v>0</v>
      </c>
      <c r="AG205" t="s">
        <v>111</v>
      </c>
    </row>
    <row r="206" spans="1:33">
      <c r="A206" t="s">
        <v>239</v>
      </c>
      <c r="B206" t="s">
        <v>3082</v>
      </c>
      <c r="C206" t="s">
        <v>3081</v>
      </c>
      <c r="D206" t="s">
        <v>268</v>
      </c>
      <c r="F206">
        <v>0</v>
      </c>
      <c r="G206">
        <v>0</v>
      </c>
      <c r="H206">
        <v>0</v>
      </c>
      <c r="I206">
        <v>0</v>
      </c>
      <c r="J206">
        <v>0</v>
      </c>
      <c r="K206">
        <v>0</v>
      </c>
      <c r="L206">
        <v>0</v>
      </c>
      <c r="M206">
        <v>0</v>
      </c>
      <c r="N206">
        <v>0</v>
      </c>
      <c r="O206">
        <v>0</v>
      </c>
      <c r="P206">
        <v>0</v>
      </c>
      <c r="Q206">
        <v>0</v>
      </c>
      <c r="R206">
        <v>0</v>
      </c>
      <c r="S206">
        <v>0</v>
      </c>
      <c r="T206">
        <v>0</v>
      </c>
      <c r="U206">
        <v>0</v>
      </c>
      <c r="V206">
        <v>0</v>
      </c>
      <c r="W206">
        <v>0</v>
      </c>
      <c r="X206">
        <v>0</v>
      </c>
      <c r="Y206">
        <v>0</v>
      </c>
      <c r="Z206">
        <v>0</v>
      </c>
      <c r="AA206">
        <v>0</v>
      </c>
      <c r="AB206">
        <v>0</v>
      </c>
      <c r="AC206">
        <v>0</v>
      </c>
      <c r="AD206">
        <v>0</v>
      </c>
      <c r="AE206">
        <v>0</v>
      </c>
      <c r="AF206">
        <v>0</v>
      </c>
      <c r="AG206" t="s">
        <v>111</v>
      </c>
    </row>
    <row r="207" spans="1:33">
      <c r="A207" t="s">
        <v>240</v>
      </c>
      <c r="B207" t="s">
        <v>3080</v>
      </c>
      <c r="C207" t="s">
        <v>3079</v>
      </c>
      <c r="D207" t="s">
        <v>267</v>
      </c>
      <c r="F207">
        <v>0</v>
      </c>
      <c r="G207">
        <v>0</v>
      </c>
      <c r="H207">
        <v>0</v>
      </c>
      <c r="I207">
        <v>0</v>
      </c>
      <c r="J207">
        <v>0</v>
      </c>
      <c r="K207">
        <v>0</v>
      </c>
      <c r="L207">
        <v>0</v>
      </c>
      <c r="M207">
        <v>0</v>
      </c>
      <c r="N207">
        <v>0</v>
      </c>
      <c r="O207">
        <v>0</v>
      </c>
      <c r="P207">
        <v>0</v>
      </c>
      <c r="Q207">
        <v>0</v>
      </c>
      <c r="R207">
        <v>0</v>
      </c>
      <c r="S207">
        <v>0</v>
      </c>
      <c r="T207">
        <v>0</v>
      </c>
      <c r="U207">
        <v>0</v>
      </c>
      <c r="V207">
        <v>0</v>
      </c>
      <c r="W207">
        <v>0</v>
      </c>
      <c r="X207">
        <v>0</v>
      </c>
      <c r="Y207">
        <v>0</v>
      </c>
      <c r="Z207">
        <v>0</v>
      </c>
      <c r="AA207">
        <v>0</v>
      </c>
      <c r="AB207">
        <v>0</v>
      </c>
      <c r="AC207">
        <v>0</v>
      </c>
      <c r="AD207">
        <v>0</v>
      </c>
      <c r="AE207">
        <v>0</v>
      </c>
      <c r="AF207">
        <v>0</v>
      </c>
      <c r="AG207" t="s">
        <v>111</v>
      </c>
    </row>
    <row r="208" spans="1:33">
      <c r="A208" t="s">
        <v>2320</v>
      </c>
      <c r="B208" t="s">
        <v>3078</v>
      </c>
      <c r="C208" t="s">
        <v>3077</v>
      </c>
      <c r="D208" t="s">
        <v>267</v>
      </c>
      <c r="F208">
        <v>0</v>
      </c>
      <c r="G208">
        <v>0</v>
      </c>
      <c r="H208">
        <v>0</v>
      </c>
      <c r="I208">
        <v>0</v>
      </c>
      <c r="J208">
        <v>0</v>
      </c>
      <c r="K208">
        <v>0</v>
      </c>
      <c r="L208">
        <v>0</v>
      </c>
      <c r="M208">
        <v>0</v>
      </c>
      <c r="N208">
        <v>0</v>
      </c>
      <c r="O208">
        <v>0</v>
      </c>
      <c r="P208">
        <v>0</v>
      </c>
      <c r="Q208">
        <v>0</v>
      </c>
      <c r="R208">
        <v>0</v>
      </c>
      <c r="S208">
        <v>0</v>
      </c>
      <c r="T208">
        <v>0</v>
      </c>
      <c r="U208">
        <v>0</v>
      </c>
      <c r="V208">
        <v>0</v>
      </c>
      <c r="W208">
        <v>0</v>
      </c>
      <c r="X208">
        <v>0</v>
      </c>
      <c r="Y208">
        <v>0</v>
      </c>
      <c r="Z208">
        <v>0</v>
      </c>
      <c r="AA208">
        <v>0</v>
      </c>
      <c r="AB208">
        <v>0</v>
      </c>
      <c r="AC208">
        <v>0</v>
      </c>
      <c r="AD208">
        <v>0</v>
      </c>
      <c r="AE208">
        <v>0</v>
      </c>
      <c r="AF208">
        <v>0</v>
      </c>
      <c r="AG208" t="s">
        <v>111</v>
      </c>
    </row>
    <row r="209" spans="1:33">
      <c r="A209" t="s">
        <v>2317</v>
      </c>
      <c r="B209" t="s">
        <v>3076</v>
      </c>
      <c r="C209" t="s">
        <v>3075</v>
      </c>
      <c r="D209" t="s">
        <v>268</v>
      </c>
      <c r="F209">
        <v>0</v>
      </c>
      <c r="G209">
        <v>14.326266</v>
      </c>
      <c r="H209">
        <v>14.333030000000001</v>
      </c>
      <c r="I209">
        <v>14.353346999999999</v>
      </c>
      <c r="J209">
        <v>14.447293999999999</v>
      </c>
      <c r="K209">
        <v>14.378346000000001</v>
      </c>
      <c r="L209">
        <v>14.436540000000001</v>
      </c>
      <c r="M209">
        <v>14.524727</v>
      </c>
      <c r="N209">
        <v>14.638783</v>
      </c>
      <c r="O209">
        <v>14.794591</v>
      </c>
      <c r="P209">
        <v>14.996159</v>
      </c>
      <c r="Q209">
        <v>15.127234</v>
      </c>
      <c r="R209">
        <v>15.234635000000001</v>
      </c>
      <c r="S209">
        <v>15.307149000000001</v>
      </c>
      <c r="T209">
        <v>15.344830999999999</v>
      </c>
      <c r="U209">
        <v>15.355515</v>
      </c>
      <c r="V209">
        <v>15.359513</v>
      </c>
      <c r="W209">
        <v>15.360636</v>
      </c>
      <c r="X209">
        <v>15.358568</v>
      </c>
      <c r="Y209">
        <v>15.354512</v>
      </c>
      <c r="Z209">
        <v>15.350286000000001</v>
      </c>
      <c r="AA209">
        <v>15.346555</v>
      </c>
      <c r="AB209">
        <v>15.341411000000001</v>
      </c>
      <c r="AC209">
        <v>15.336034</v>
      </c>
      <c r="AD209">
        <v>15.330036</v>
      </c>
      <c r="AE209">
        <v>15.324598</v>
      </c>
      <c r="AF209">
        <v>15.319876000000001</v>
      </c>
      <c r="AG209" t="s">
        <v>111</v>
      </c>
    </row>
    <row r="210" spans="1:33">
      <c r="A210" t="s">
        <v>2314</v>
      </c>
      <c r="B210" t="s">
        <v>3074</v>
      </c>
      <c r="C210" t="s">
        <v>3073</v>
      </c>
      <c r="D210" t="s">
        <v>267</v>
      </c>
      <c r="F210">
        <v>0</v>
      </c>
      <c r="G210">
        <v>0</v>
      </c>
      <c r="H210">
        <v>0</v>
      </c>
      <c r="I210">
        <v>0</v>
      </c>
      <c r="J210">
        <v>0</v>
      </c>
      <c r="K210">
        <v>0</v>
      </c>
      <c r="L210">
        <v>0</v>
      </c>
      <c r="M210">
        <v>0</v>
      </c>
      <c r="N210">
        <v>0</v>
      </c>
      <c r="O210">
        <v>0</v>
      </c>
      <c r="P210">
        <v>0</v>
      </c>
      <c r="Q210">
        <v>0</v>
      </c>
      <c r="R210">
        <v>0</v>
      </c>
      <c r="S210">
        <v>0</v>
      </c>
      <c r="T210">
        <v>0</v>
      </c>
      <c r="U210">
        <v>0</v>
      </c>
      <c r="V210">
        <v>0</v>
      </c>
      <c r="W210">
        <v>0</v>
      </c>
      <c r="X210">
        <v>0</v>
      </c>
      <c r="Y210">
        <v>0</v>
      </c>
      <c r="Z210">
        <v>0</v>
      </c>
      <c r="AA210">
        <v>0</v>
      </c>
      <c r="AB210">
        <v>0</v>
      </c>
      <c r="AC210">
        <v>0</v>
      </c>
      <c r="AD210">
        <v>0</v>
      </c>
      <c r="AE210">
        <v>0</v>
      </c>
      <c r="AF210">
        <v>0</v>
      </c>
      <c r="AG210" t="s">
        <v>111</v>
      </c>
    </row>
    <row r="211" spans="1:33">
      <c r="A211" t="s">
        <v>249</v>
      </c>
      <c r="B211" t="s">
        <v>3072</v>
      </c>
      <c r="C211" t="s">
        <v>3071</v>
      </c>
      <c r="F211">
        <v>13.24691</v>
      </c>
      <c r="G211">
        <v>13.387729</v>
      </c>
      <c r="H211">
        <v>13.526486</v>
      </c>
      <c r="I211">
        <v>13.658398</v>
      </c>
      <c r="J211">
        <v>13.988308</v>
      </c>
      <c r="K211">
        <v>13.992438999999999</v>
      </c>
      <c r="L211">
        <v>14.126111999999999</v>
      </c>
      <c r="M211">
        <v>14.305666</v>
      </c>
      <c r="N211">
        <v>14.499096</v>
      </c>
      <c r="O211">
        <v>14.622809999999999</v>
      </c>
      <c r="P211">
        <v>14.85224</v>
      </c>
      <c r="Q211">
        <v>15.099515999999999</v>
      </c>
      <c r="R211">
        <v>15.341229999999999</v>
      </c>
      <c r="S211">
        <v>15.5327</v>
      </c>
      <c r="T211">
        <v>15.755352999999999</v>
      </c>
      <c r="U211">
        <v>15.990437</v>
      </c>
      <c r="V211">
        <v>16.206022000000001</v>
      </c>
      <c r="W211">
        <v>16.530912000000001</v>
      </c>
      <c r="X211">
        <v>16.825386000000002</v>
      </c>
      <c r="Y211">
        <v>17.108689999999999</v>
      </c>
      <c r="Z211">
        <v>17.222024999999999</v>
      </c>
      <c r="AA211">
        <v>17.366146000000001</v>
      </c>
      <c r="AB211">
        <v>17.496670000000002</v>
      </c>
      <c r="AC211">
        <v>17.688658</v>
      </c>
      <c r="AD211">
        <v>17.867958000000002</v>
      </c>
      <c r="AE211">
        <v>17.986695999999998</v>
      </c>
      <c r="AF211">
        <v>18.089565</v>
      </c>
      <c r="AG211" s="22">
        <v>1.2E-2</v>
      </c>
    </row>
    <row r="212" spans="1:33">
      <c r="A212" t="s">
        <v>171</v>
      </c>
    </row>
    <row r="213" spans="1:33">
      <c r="A213" t="s">
        <v>189</v>
      </c>
      <c r="B213" t="s">
        <v>3070</v>
      </c>
      <c r="C213" t="s">
        <v>3069</v>
      </c>
      <c r="D213" t="s">
        <v>267</v>
      </c>
      <c r="F213">
        <v>9.7849989999999991</v>
      </c>
      <c r="G213">
        <v>10.026484999999999</v>
      </c>
      <c r="H213">
        <v>10.297043</v>
      </c>
      <c r="I213">
        <v>10.544124</v>
      </c>
      <c r="J213">
        <v>10.791912999999999</v>
      </c>
      <c r="K213">
        <v>11.033872000000001</v>
      </c>
      <c r="L213">
        <v>11.261635</v>
      </c>
      <c r="M213">
        <v>11.455491</v>
      </c>
      <c r="N213">
        <v>11.601601</v>
      </c>
      <c r="O213">
        <v>11.682551</v>
      </c>
      <c r="P213">
        <v>11.723087</v>
      </c>
      <c r="Q213">
        <v>11.713308</v>
      </c>
      <c r="R213">
        <v>11.615100999999999</v>
      </c>
      <c r="S213">
        <v>11.513228</v>
      </c>
      <c r="T213">
        <v>11.43233</v>
      </c>
      <c r="U213">
        <v>11.366671999999999</v>
      </c>
      <c r="V213">
        <v>11.317329000000001</v>
      </c>
      <c r="W213">
        <v>11.281013</v>
      </c>
      <c r="X213">
        <v>11.255193999999999</v>
      </c>
      <c r="Y213">
        <v>11.238102</v>
      </c>
      <c r="Z213">
        <v>11.227041</v>
      </c>
      <c r="AA213">
        <v>11.220007000000001</v>
      </c>
      <c r="AB213">
        <v>11.215096000000001</v>
      </c>
      <c r="AC213">
        <v>11.211975000000001</v>
      </c>
      <c r="AD213">
        <v>11.209434999999999</v>
      </c>
      <c r="AE213">
        <v>11.207504</v>
      </c>
      <c r="AF213">
        <v>11.206441999999999</v>
      </c>
      <c r="AG213" s="22">
        <v>5.0000000000000001E-3</v>
      </c>
    </row>
    <row r="214" spans="1:33">
      <c r="A214" t="s">
        <v>235</v>
      </c>
      <c r="B214" t="s">
        <v>3068</v>
      </c>
      <c r="C214" t="s">
        <v>3067</v>
      </c>
      <c r="D214" t="s">
        <v>268</v>
      </c>
      <c r="F214">
        <v>8.4680619999999998</v>
      </c>
      <c r="G214">
        <v>8.6707540000000005</v>
      </c>
      <c r="H214">
        <v>8.8990670000000005</v>
      </c>
      <c r="I214">
        <v>9.1109399999999994</v>
      </c>
      <c r="J214">
        <v>9.3181930000000008</v>
      </c>
      <c r="K214">
        <v>9.5216189999999994</v>
      </c>
      <c r="L214">
        <v>9.7092709999999993</v>
      </c>
      <c r="M214">
        <v>9.8688789999999997</v>
      </c>
      <c r="N214">
        <v>9.989236</v>
      </c>
      <c r="O214">
        <v>10.056124000000001</v>
      </c>
      <c r="P214">
        <v>10.090163</v>
      </c>
      <c r="Q214">
        <v>10.084135</v>
      </c>
      <c r="R214">
        <v>10.00173</v>
      </c>
      <c r="S214">
        <v>9.9210449999999994</v>
      </c>
      <c r="T214">
        <v>9.849278</v>
      </c>
      <c r="U214">
        <v>9.7908279999999994</v>
      </c>
      <c r="V214">
        <v>9.7466910000000002</v>
      </c>
      <c r="W214">
        <v>9.7147670000000002</v>
      </c>
      <c r="X214">
        <v>9.6919889999999995</v>
      </c>
      <c r="Y214">
        <v>9.6765349999999994</v>
      </c>
      <c r="Z214">
        <v>9.6673709999999993</v>
      </c>
      <c r="AA214">
        <v>9.6616359999999997</v>
      </c>
      <c r="AB214">
        <v>9.6577310000000001</v>
      </c>
      <c r="AC214">
        <v>9.6552410000000002</v>
      </c>
      <c r="AD214">
        <v>9.653378</v>
      </c>
      <c r="AE214">
        <v>9.6519560000000002</v>
      </c>
      <c r="AF214">
        <v>9.6513120000000008</v>
      </c>
      <c r="AG214" s="22">
        <v>5.0000000000000001E-3</v>
      </c>
    </row>
    <row r="215" spans="1:33">
      <c r="A215" t="s">
        <v>192</v>
      </c>
      <c r="B215" t="s">
        <v>3066</v>
      </c>
      <c r="C215" t="s">
        <v>3065</v>
      </c>
      <c r="D215" t="s">
        <v>268</v>
      </c>
      <c r="F215">
        <v>7.468928</v>
      </c>
      <c r="G215">
        <v>7.6975340000000001</v>
      </c>
      <c r="H215">
        <v>7.835801</v>
      </c>
      <c r="I215">
        <v>7.9895449999999997</v>
      </c>
      <c r="J215">
        <v>8.1724920000000001</v>
      </c>
      <c r="K215">
        <v>8.3751320000000007</v>
      </c>
      <c r="L215">
        <v>8.5944050000000001</v>
      </c>
      <c r="M215">
        <v>8.8283649999999998</v>
      </c>
      <c r="N215">
        <v>9.0630760000000006</v>
      </c>
      <c r="O215">
        <v>9.2916950000000007</v>
      </c>
      <c r="P215">
        <v>9.4915249999999993</v>
      </c>
      <c r="Q215">
        <v>9.6633849999999999</v>
      </c>
      <c r="R215">
        <v>9.8078500000000002</v>
      </c>
      <c r="S215">
        <v>9.9150539999999996</v>
      </c>
      <c r="T215">
        <v>9.9733809999999998</v>
      </c>
      <c r="U215">
        <v>10.013802</v>
      </c>
      <c r="V215">
        <v>10.013801000000001</v>
      </c>
      <c r="W215">
        <v>10.013802</v>
      </c>
      <c r="X215">
        <v>10.013802</v>
      </c>
      <c r="Y215">
        <v>10.013801000000001</v>
      </c>
      <c r="Z215">
        <v>10.013802</v>
      </c>
      <c r="AA215">
        <v>10.013802</v>
      </c>
      <c r="AB215">
        <v>10.013802</v>
      </c>
      <c r="AC215">
        <v>10.013802</v>
      </c>
      <c r="AD215">
        <v>10.017586</v>
      </c>
      <c r="AE215">
        <v>10.022081</v>
      </c>
      <c r="AF215">
        <v>10.025565</v>
      </c>
      <c r="AG215" s="22">
        <v>1.0999999999999999E-2</v>
      </c>
    </row>
    <row r="216" spans="1:33">
      <c r="A216" t="s">
        <v>195</v>
      </c>
      <c r="B216" t="s">
        <v>3064</v>
      </c>
      <c r="C216" t="s">
        <v>3063</v>
      </c>
      <c r="D216" t="s">
        <v>268</v>
      </c>
      <c r="F216">
        <v>7.2163789999999999</v>
      </c>
      <c r="G216">
        <v>7.416461</v>
      </c>
      <c r="H216">
        <v>7.6319780000000002</v>
      </c>
      <c r="I216">
        <v>7.825393</v>
      </c>
      <c r="J216">
        <v>8.0266669999999998</v>
      </c>
      <c r="K216">
        <v>8.235671</v>
      </c>
      <c r="L216">
        <v>8.4316169999999993</v>
      </c>
      <c r="M216">
        <v>8.6047229999999999</v>
      </c>
      <c r="N216">
        <v>8.7581489999999995</v>
      </c>
      <c r="O216">
        <v>8.8879529999999995</v>
      </c>
      <c r="P216">
        <v>8.9932660000000002</v>
      </c>
      <c r="Q216">
        <v>9.0730699999999995</v>
      </c>
      <c r="R216">
        <v>9.1100340000000006</v>
      </c>
      <c r="S216">
        <v>9.1353430000000007</v>
      </c>
      <c r="T216">
        <v>9.155996</v>
      </c>
      <c r="U216">
        <v>9.1489290000000008</v>
      </c>
      <c r="V216">
        <v>9.1335929999999994</v>
      </c>
      <c r="W216">
        <v>9.1254559999999998</v>
      </c>
      <c r="X216">
        <v>9.1447719999999997</v>
      </c>
      <c r="Y216">
        <v>9.1544419999999995</v>
      </c>
      <c r="Z216">
        <v>9.1553930000000001</v>
      </c>
      <c r="AA216">
        <v>9.1520589999999995</v>
      </c>
      <c r="AB216">
        <v>9.1620259999999991</v>
      </c>
      <c r="AC216">
        <v>9.1698070000000005</v>
      </c>
      <c r="AD216">
        <v>9.1916449999999994</v>
      </c>
      <c r="AE216">
        <v>9.2168109999999999</v>
      </c>
      <c r="AF216">
        <v>9.2265280000000001</v>
      </c>
      <c r="AG216" s="22">
        <v>8.9999999999999993E-3</v>
      </c>
    </row>
    <row r="217" spans="1:33">
      <c r="A217" t="s">
        <v>236</v>
      </c>
      <c r="B217" t="s">
        <v>3062</v>
      </c>
      <c r="C217" t="s">
        <v>3061</v>
      </c>
      <c r="D217" t="s">
        <v>269</v>
      </c>
      <c r="F217">
        <v>8.0342880000000001</v>
      </c>
      <c r="G217">
        <v>8.2322190000000006</v>
      </c>
      <c r="H217">
        <v>8.4505730000000003</v>
      </c>
      <c r="I217">
        <v>8.6575150000000001</v>
      </c>
      <c r="J217">
        <v>8.8608019999999996</v>
      </c>
      <c r="K217">
        <v>9.0625509999999991</v>
      </c>
      <c r="L217">
        <v>9.2542179999999998</v>
      </c>
      <c r="M217">
        <v>9.4266679999999994</v>
      </c>
      <c r="N217">
        <v>9.5723140000000004</v>
      </c>
      <c r="O217">
        <v>9.6850860000000001</v>
      </c>
      <c r="P217">
        <v>9.7758880000000001</v>
      </c>
      <c r="Q217">
        <v>9.8407579999999992</v>
      </c>
      <c r="R217">
        <v>9.8381159999999994</v>
      </c>
      <c r="S217">
        <v>9.8358609999999995</v>
      </c>
      <c r="T217">
        <v>9.8339459999999992</v>
      </c>
      <c r="U217">
        <v>9.8322900000000004</v>
      </c>
      <c r="V217">
        <v>9.8308420000000005</v>
      </c>
      <c r="W217">
        <v>9.8295639999999995</v>
      </c>
      <c r="X217">
        <v>9.8284210000000005</v>
      </c>
      <c r="Y217">
        <v>9.8273869999999999</v>
      </c>
      <c r="Z217">
        <v>9.8272980000000008</v>
      </c>
      <c r="AA217">
        <v>9.8272980000000008</v>
      </c>
      <c r="AB217">
        <v>9.8272980000000008</v>
      </c>
      <c r="AC217">
        <v>9.8272980000000008</v>
      </c>
      <c r="AD217">
        <v>9.8272980000000008</v>
      </c>
      <c r="AE217">
        <v>9.827299</v>
      </c>
      <c r="AF217">
        <v>9.8272980000000008</v>
      </c>
      <c r="AG217" s="22">
        <v>8.0000000000000002E-3</v>
      </c>
    </row>
    <row r="218" spans="1:33">
      <c r="A218" t="s">
        <v>237</v>
      </c>
      <c r="B218" t="s">
        <v>3060</v>
      </c>
      <c r="C218" t="s">
        <v>3059</v>
      </c>
      <c r="D218" t="s">
        <v>268</v>
      </c>
      <c r="F218">
        <v>20.468603000000002</v>
      </c>
      <c r="G218">
        <v>20.532591</v>
      </c>
      <c r="H218">
        <v>20.616028</v>
      </c>
      <c r="I218">
        <v>20.719861999999999</v>
      </c>
      <c r="J218">
        <v>20.841422999999999</v>
      </c>
      <c r="K218">
        <v>20.971781</v>
      </c>
      <c r="L218">
        <v>21.093063000000001</v>
      </c>
      <c r="M218">
        <v>21.147656999999999</v>
      </c>
      <c r="N218">
        <v>21.195461000000002</v>
      </c>
      <c r="O218">
        <v>21.235396999999999</v>
      </c>
      <c r="P218">
        <v>21.265718</v>
      </c>
      <c r="Q218">
        <v>21.284417999999999</v>
      </c>
      <c r="R218">
        <v>21.296794999999999</v>
      </c>
      <c r="S218">
        <v>21.296386999999999</v>
      </c>
      <c r="T218">
        <v>21.296099000000002</v>
      </c>
      <c r="U218">
        <v>21.295897</v>
      </c>
      <c r="V218">
        <v>21.295755</v>
      </c>
      <c r="W218">
        <v>21.295658</v>
      </c>
      <c r="X218">
        <v>21.295591000000002</v>
      </c>
      <c r="Y218">
        <v>21.295546000000002</v>
      </c>
      <c r="Z218">
        <v>21.295513</v>
      </c>
      <c r="AA218">
        <v>21.295490000000001</v>
      </c>
      <c r="AB218">
        <v>21.295477000000002</v>
      </c>
      <c r="AC218">
        <v>21.295466999999999</v>
      </c>
      <c r="AD218">
        <v>21.295462000000001</v>
      </c>
      <c r="AE218">
        <v>21.295456000000001</v>
      </c>
      <c r="AF218">
        <v>21.295452000000001</v>
      </c>
      <c r="AG218" s="22">
        <v>2E-3</v>
      </c>
    </row>
    <row r="219" spans="1:33">
      <c r="A219" t="s">
        <v>238</v>
      </c>
      <c r="B219" t="s">
        <v>3058</v>
      </c>
      <c r="C219" t="s">
        <v>3057</v>
      </c>
      <c r="D219" t="s">
        <v>268</v>
      </c>
      <c r="F219">
        <v>0</v>
      </c>
      <c r="G219">
        <v>0</v>
      </c>
      <c r="H219">
        <v>10.021416</v>
      </c>
      <c r="I219">
        <v>10.224057</v>
      </c>
      <c r="J219">
        <v>10.358897000000001</v>
      </c>
      <c r="K219">
        <v>10.486587999999999</v>
      </c>
      <c r="L219">
        <v>10.638026</v>
      </c>
      <c r="M219">
        <v>10.812464</v>
      </c>
      <c r="N219">
        <v>11.011009</v>
      </c>
      <c r="O219">
        <v>11.011009</v>
      </c>
      <c r="P219">
        <v>11.011009</v>
      </c>
      <c r="Q219">
        <v>11.011009</v>
      </c>
      <c r="R219">
        <v>11.011009</v>
      </c>
      <c r="S219">
        <v>11.011009</v>
      </c>
      <c r="T219">
        <v>11.011009</v>
      </c>
      <c r="U219">
        <v>11.011009</v>
      </c>
      <c r="V219">
        <v>11.011009</v>
      </c>
      <c r="W219">
        <v>11.011009</v>
      </c>
      <c r="X219">
        <v>11.011009</v>
      </c>
      <c r="Y219">
        <v>11.011009</v>
      </c>
      <c r="Z219">
        <v>11.011009</v>
      </c>
      <c r="AA219">
        <v>11.011009</v>
      </c>
      <c r="AB219">
        <v>11.011009</v>
      </c>
      <c r="AC219">
        <v>11.011009</v>
      </c>
      <c r="AD219">
        <v>11.011009</v>
      </c>
      <c r="AE219">
        <v>11.011009</v>
      </c>
      <c r="AF219">
        <v>11.011009</v>
      </c>
      <c r="AG219" t="s">
        <v>111</v>
      </c>
    </row>
    <row r="220" spans="1:33">
      <c r="A220" t="s">
        <v>239</v>
      </c>
      <c r="B220" t="s">
        <v>3056</v>
      </c>
      <c r="C220" t="s">
        <v>3055</v>
      </c>
      <c r="D220" t="s">
        <v>268</v>
      </c>
      <c r="F220">
        <v>0</v>
      </c>
      <c r="G220">
        <v>9.2793500000000009</v>
      </c>
      <c r="H220">
        <v>9.4812709999999996</v>
      </c>
      <c r="I220">
        <v>9.5533289999999997</v>
      </c>
      <c r="J220">
        <v>9.6466309999999993</v>
      </c>
      <c r="K220">
        <v>9.6466309999999993</v>
      </c>
      <c r="L220">
        <v>9.6466309999999993</v>
      </c>
      <c r="M220">
        <v>9.6466309999999993</v>
      </c>
      <c r="N220">
        <v>9.6466309999999993</v>
      </c>
      <c r="O220">
        <v>9.6466309999999993</v>
      </c>
      <c r="P220">
        <v>9.6466309999999993</v>
      </c>
      <c r="Q220">
        <v>9.6466309999999993</v>
      </c>
      <c r="R220">
        <v>9.6466309999999993</v>
      </c>
      <c r="S220">
        <v>9.6466309999999993</v>
      </c>
      <c r="T220">
        <v>9.6466309999999993</v>
      </c>
      <c r="U220">
        <v>9.6466309999999993</v>
      </c>
      <c r="V220">
        <v>9.6466309999999993</v>
      </c>
      <c r="W220">
        <v>9.6466309999999993</v>
      </c>
      <c r="X220">
        <v>9.6466309999999993</v>
      </c>
      <c r="Y220">
        <v>9.6466309999999993</v>
      </c>
      <c r="Z220">
        <v>9.6466309999999993</v>
      </c>
      <c r="AA220">
        <v>9.6466309999999993</v>
      </c>
      <c r="AB220">
        <v>9.6466309999999993</v>
      </c>
      <c r="AC220">
        <v>9.6466309999999993</v>
      </c>
      <c r="AD220">
        <v>9.6466309999999993</v>
      </c>
      <c r="AE220">
        <v>9.6466309999999993</v>
      </c>
      <c r="AF220">
        <v>9.6466309999999993</v>
      </c>
      <c r="AG220" t="s">
        <v>111</v>
      </c>
    </row>
    <row r="221" spans="1:33">
      <c r="A221" t="s">
        <v>240</v>
      </c>
      <c r="B221" t="s">
        <v>3054</v>
      </c>
      <c r="C221" t="s">
        <v>3053</v>
      </c>
      <c r="D221" t="s">
        <v>268</v>
      </c>
      <c r="F221">
        <v>0</v>
      </c>
      <c r="G221">
        <v>0</v>
      </c>
      <c r="H221">
        <v>0</v>
      </c>
      <c r="I221">
        <v>0</v>
      </c>
      <c r="J221">
        <v>0</v>
      </c>
      <c r="K221">
        <v>0</v>
      </c>
      <c r="L221">
        <v>0</v>
      </c>
      <c r="M221">
        <v>0</v>
      </c>
      <c r="N221">
        <v>0</v>
      </c>
      <c r="O221">
        <v>0</v>
      </c>
      <c r="P221">
        <v>0</v>
      </c>
      <c r="Q221">
        <v>0</v>
      </c>
      <c r="R221">
        <v>0</v>
      </c>
      <c r="S221">
        <v>0</v>
      </c>
      <c r="T221">
        <v>0</v>
      </c>
      <c r="U221">
        <v>0</v>
      </c>
      <c r="V221">
        <v>0</v>
      </c>
      <c r="W221">
        <v>0</v>
      </c>
      <c r="X221">
        <v>0</v>
      </c>
      <c r="Y221">
        <v>0</v>
      </c>
      <c r="Z221">
        <v>0</v>
      </c>
      <c r="AA221">
        <v>0</v>
      </c>
      <c r="AB221">
        <v>0</v>
      </c>
      <c r="AC221">
        <v>0</v>
      </c>
      <c r="AD221">
        <v>0</v>
      </c>
      <c r="AE221">
        <v>0</v>
      </c>
      <c r="AF221">
        <v>0</v>
      </c>
      <c r="AG221" t="s">
        <v>111</v>
      </c>
    </row>
    <row r="222" spans="1:33">
      <c r="A222" t="s">
        <v>2320</v>
      </c>
      <c r="B222" t="s">
        <v>3052</v>
      </c>
      <c r="C222" t="s">
        <v>3051</v>
      </c>
      <c r="D222" t="s">
        <v>267</v>
      </c>
      <c r="F222">
        <v>0</v>
      </c>
      <c r="G222">
        <v>0</v>
      </c>
      <c r="H222">
        <v>0</v>
      </c>
      <c r="I222">
        <v>0</v>
      </c>
      <c r="J222">
        <v>0</v>
      </c>
      <c r="K222">
        <v>0</v>
      </c>
      <c r="L222">
        <v>0</v>
      </c>
      <c r="M222">
        <v>0</v>
      </c>
      <c r="N222">
        <v>0</v>
      </c>
      <c r="O222">
        <v>0</v>
      </c>
      <c r="P222">
        <v>0</v>
      </c>
      <c r="Q222">
        <v>0</v>
      </c>
      <c r="R222">
        <v>0</v>
      </c>
      <c r="S222">
        <v>0</v>
      </c>
      <c r="T222">
        <v>0</v>
      </c>
      <c r="U222">
        <v>0</v>
      </c>
      <c r="V222">
        <v>0</v>
      </c>
      <c r="W222">
        <v>0</v>
      </c>
      <c r="X222">
        <v>0</v>
      </c>
      <c r="Y222">
        <v>0</v>
      </c>
      <c r="Z222">
        <v>0</v>
      </c>
      <c r="AA222">
        <v>0</v>
      </c>
      <c r="AB222">
        <v>0</v>
      </c>
      <c r="AC222">
        <v>0</v>
      </c>
      <c r="AD222">
        <v>0</v>
      </c>
      <c r="AE222">
        <v>0</v>
      </c>
      <c r="AF222">
        <v>0</v>
      </c>
      <c r="AG222" t="s">
        <v>111</v>
      </c>
    </row>
    <row r="223" spans="1:33">
      <c r="A223" t="s">
        <v>2317</v>
      </c>
      <c r="B223" t="s">
        <v>3050</v>
      </c>
      <c r="C223" t="s">
        <v>3049</v>
      </c>
      <c r="D223" t="s">
        <v>268</v>
      </c>
      <c r="F223">
        <v>0</v>
      </c>
      <c r="G223">
        <v>9.8621339999999993</v>
      </c>
      <c r="H223">
        <v>9.8967150000000004</v>
      </c>
      <c r="I223">
        <v>9.9150019999999994</v>
      </c>
      <c r="J223">
        <v>9.9396450000000005</v>
      </c>
      <c r="K223">
        <v>9.9715810000000005</v>
      </c>
      <c r="L223">
        <v>10.039865000000001</v>
      </c>
      <c r="M223">
        <v>10.128325</v>
      </c>
      <c r="N223">
        <v>10.193020000000001</v>
      </c>
      <c r="O223">
        <v>10.295206</v>
      </c>
      <c r="P223">
        <v>10.388249999999999</v>
      </c>
      <c r="Q223">
        <v>10.430880999999999</v>
      </c>
      <c r="R223">
        <v>10.45384</v>
      </c>
      <c r="S223">
        <v>10.468995</v>
      </c>
      <c r="T223">
        <v>10.481465999999999</v>
      </c>
      <c r="U223">
        <v>10.491256999999999</v>
      </c>
      <c r="V223">
        <v>10.497921</v>
      </c>
      <c r="W223">
        <v>10.497920000000001</v>
      </c>
      <c r="X223">
        <v>10.497921</v>
      </c>
      <c r="Y223">
        <v>10.497921</v>
      </c>
      <c r="Z223">
        <v>10.497921</v>
      </c>
      <c r="AA223">
        <v>10.497921</v>
      </c>
      <c r="AB223">
        <v>10.497921</v>
      </c>
      <c r="AC223">
        <v>10.497921</v>
      </c>
      <c r="AD223">
        <v>10.497921</v>
      </c>
      <c r="AE223">
        <v>10.497921</v>
      </c>
      <c r="AF223">
        <v>10.497921</v>
      </c>
      <c r="AG223" t="s">
        <v>111</v>
      </c>
    </row>
    <row r="224" spans="1:33">
      <c r="A224" t="s">
        <v>2314</v>
      </c>
      <c r="B224" t="s">
        <v>3048</v>
      </c>
      <c r="C224" t="s">
        <v>3047</v>
      </c>
      <c r="D224" t="s">
        <v>267</v>
      </c>
      <c r="F224">
        <v>0</v>
      </c>
      <c r="G224">
        <v>0</v>
      </c>
      <c r="H224">
        <v>0</v>
      </c>
      <c r="I224">
        <v>0</v>
      </c>
      <c r="J224">
        <v>0</v>
      </c>
      <c r="K224">
        <v>0</v>
      </c>
      <c r="L224">
        <v>0</v>
      </c>
      <c r="M224">
        <v>0</v>
      </c>
      <c r="N224">
        <v>0</v>
      </c>
      <c r="O224">
        <v>0</v>
      </c>
      <c r="P224">
        <v>0</v>
      </c>
      <c r="Q224">
        <v>0</v>
      </c>
      <c r="R224">
        <v>0</v>
      </c>
      <c r="S224">
        <v>0</v>
      </c>
      <c r="T224">
        <v>0</v>
      </c>
      <c r="U224">
        <v>0</v>
      </c>
      <c r="V224">
        <v>0</v>
      </c>
      <c r="W224">
        <v>0</v>
      </c>
      <c r="X224">
        <v>0</v>
      </c>
      <c r="Y224">
        <v>0</v>
      </c>
      <c r="Z224">
        <v>0</v>
      </c>
      <c r="AA224">
        <v>0</v>
      </c>
      <c r="AB224">
        <v>0</v>
      </c>
      <c r="AC224">
        <v>0</v>
      </c>
      <c r="AD224">
        <v>0</v>
      </c>
      <c r="AE224">
        <v>0</v>
      </c>
      <c r="AF224">
        <v>0</v>
      </c>
      <c r="AG224" t="s">
        <v>111</v>
      </c>
    </row>
    <row r="225" spans="1:33">
      <c r="A225" t="s">
        <v>250</v>
      </c>
      <c r="B225" t="s">
        <v>3046</v>
      </c>
      <c r="C225" t="s">
        <v>3045</v>
      </c>
      <c r="F225">
        <v>9.1279810000000001</v>
      </c>
      <c r="G225">
        <v>9.3468029999999995</v>
      </c>
      <c r="H225">
        <v>9.5876459999999994</v>
      </c>
      <c r="I225">
        <v>9.8079889999999992</v>
      </c>
      <c r="J225">
        <v>10.023955000000001</v>
      </c>
      <c r="K225">
        <v>10.233446000000001</v>
      </c>
      <c r="L225">
        <v>10.426334000000001</v>
      </c>
      <c r="M225">
        <v>10.585993999999999</v>
      </c>
      <c r="N225">
        <v>10.698321999999999</v>
      </c>
      <c r="O225">
        <v>10.756053</v>
      </c>
      <c r="P225">
        <v>10.781209</v>
      </c>
      <c r="Q225">
        <v>10.763572999999999</v>
      </c>
      <c r="R225">
        <v>10.683064</v>
      </c>
      <c r="S225">
        <v>10.608274</v>
      </c>
      <c r="T225">
        <v>10.550203</v>
      </c>
      <c r="U225">
        <v>10.505644999999999</v>
      </c>
      <c r="V225">
        <v>10.473542999999999</v>
      </c>
      <c r="W225">
        <v>10.449609000000001</v>
      </c>
      <c r="X225">
        <v>10.432373</v>
      </c>
      <c r="Y225">
        <v>10.420355000000001</v>
      </c>
      <c r="Z225">
        <v>10.412753</v>
      </c>
      <c r="AA225">
        <v>10.407598</v>
      </c>
      <c r="AB225">
        <v>10.404016</v>
      </c>
      <c r="AC225">
        <v>10.400836</v>
      </c>
      <c r="AD225">
        <v>10.39828</v>
      </c>
      <c r="AE225">
        <v>10.395341999999999</v>
      </c>
      <c r="AF225">
        <v>10.393948</v>
      </c>
      <c r="AG225" s="22">
        <v>5.0000000000000001E-3</v>
      </c>
    </row>
    <row r="226" spans="1:33">
      <c r="A226" t="s">
        <v>243</v>
      </c>
    </row>
    <row r="227" spans="1:33">
      <c r="A227" t="s">
        <v>189</v>
      </c>
      <c r="B227" t="s">
        <v>3044</v>
      </c>
      <c r="C227" t="s">
        <v>3043</v>
      </c>
      <c r="D227" t="s">
        <v>267</v>
      </c>
      <c r="F227">
        <v>6.8624530000000004</v>
      </c>
      <c r="G227">
        <v>7.0176189999999998</v>
      </c>
      <c r="H227">
        <v>7.1843830000000004</v>
      </c>
      <c r="I227">
        <v>7.3522480000000003</v>
      </c>
      <c r="J227">
        <v>7.5117200000000004</v>
      </c>
      <c r="K227">
        <v>7.6655379999999997</v>
      </c>
      <c r="L227">
        <v>7.7929139999999997</v>
      </c>
      <c r="M227">
        <v>7.9047320000000001</v>
      </c>
      <c r="N227">
        <v>7.9926409999999999</v>
      </c>
      <c r="O227">
        <v>8.0601009999999995</v>
      </c>
      <c r="P227">
        <v>8.1108750000000001</v>
      </c>
      <c r="Q227">
        <v>8.1426850000000002</v>
      </c>
      <c r="R227">
        <v>8.1450519999999997</v>
      </c>
      <c r="S227">
        <v>8.1467080000000003</v>
      </c>
      <c r="T227">
        <v>8.1442990000000002</v>
      </c>
      <c r="U227">
        <v>8.1463560000000008</v>
      </c>
      <c r="V227">
        <v>8.1463929999999998</v>
      </c>
      <c r="W227">
        <v>8.1463429999999999</v>
      </c>
      <c r="X227">
        <v>8.1464379999999998</v>
      </c>
      <c r="Y227">
        <v>8.1440920000000006</v>
      </c>
      <c r="Z227">
        <v>8.1438550000000003</v>
      </c>
      <c r="AA227">
        <v>8.1438740000000003</v>
      </c>
      <c r="AB227">
        <v>8.1432500000000001</v>
      </c>
      <c r="AC227">
        <v>8.1429019999999994</v>
      </c>
      <c r="AD227">
        <v>8.1380999999999997</v>
      </c>
      <c r="AE227">
        <v>8.1375489999999999</v>
      </c>
      <c r="AF227">
        <v>8.1374619999999993</v>
      </c>
      <c r="AG227" s="22">
        <v>7.0000000000000001E-3</v>
      </c>
    </row>
    <row r="228" spans="1:33">
      <c r="A228" t="s">
        <v>235</v>
      </c>
      <c r="B228" t="s">
        <v>3042</v>
      </c>
      <c r="C228" t="s">
        <v>3041</v>
      </c>
      <c r="D228" t="s">
        <v>268</v>
      </c>
      <c r="F228">
        <v>5.5283899999999999</v>
      </c>
      <c r="G228">
        <v>5.6677540000000004</v>
      </c>
      <c r="H228">
        <v>5.8193339999999996</v>
      </c>
      <c r="I228">
        <v>5.9614390000000004</v>
      </c>
      <c r="J228">
        <v>6.0965199999999999</v>
      </c>
      <c r="K228">
        <v>6.2297969999999996</v>
      </c>
      <c r="L228">
        <v>6.3555460000000004</v>
      </c>
      <c r="M228">
        <v>6.4679209999999996</v>
      </c>
      <c r="N228">
        <v>6.5620820000000002</v>
      </c>
      <c r="O228">
        <v>6.6345039999999997</v>
      </c>
      <c r="P228">
        <v>6.6923459999999997</v>
      </c>
      <c r="Q228">
        <v>6.7331079999999996</v>
      </c>
      <c r="R228">
        <v>6.7294159999999996</v>
      </c>
      <c r="S228">
        <v>6.7262579999999996</v>
      </c>
      <c r="T228">
        <v>6.723573</v>
      </c>
      <c r="U228">
        <v>6.7212490000000003</v>
      </c>
      <c r="V228">
        <v>6.7192170000000004</v>
      </c>
      <c r="W228">
        <v>6.7174230000000001</v>
      </c>
      <c r="X228">
        <v>6.7158129999999998</v>
      </c>
      <c r="Y228">
        <v>6.7143459999999999</v>
      </c>
      <c r="Z228">
        <v>6.7129890000000003</v>
      </c>
      <c r="AA228">
        <v>6.7117690000000003</v>
      </c>
      <c r="AB228">
        <v>6.7106870000000001</v>
      </c>
      <c r="AC228">
        <v>6.7097610000000003</v>
      </c>
      <c r="AD228">
        <v>6.7089619999999996</v>
      </c>
      <c r="AE228">
        <v>6.7082750000000004</v>
      </c>
      <c r="AF228">
        <v>6.7077359999999997</v>
      </c>
      <c r="AG228" s="22">
        <v>7.0000000000000001E-3</v>
      </c>
    </row>
    <row r="229" spans="1:33">
      <c r="A229" t="s">
        <v>192</v>
      </c>
      <c r="B229" t="s">
        <v>3040</v>
      </c>
      <c r="C229" t="s">
        <v>3039</v>
      </c>
      <c r="D229" t="s">
        <v>268</v>
      </c>
      <c r="F229">
        <v>5.4372439999999997</v>
      </c>
      <c r="G229">
        <v>5.5245800000000003</v>
      </c>
      <c r="H229">
        <v>5.5677580000000004</v>
      </c>
      <c r="I229">
        <v>5.6220689999999998</v>
      </c>
      <c r="J229">
        <v>5.6845129999999999</v>
      </c>
      <c r="K229">
        <v>5.7616360000000002</v>
      </c>
      <c r="L229">
        <v>5.8562839999999996</v>
      </c>
      <c r="M229">
        <v>5.9682110000000002</v>
      </c>
      <c r="N229">
        <v>6.0886110000000002</v>
      </c>
      <c r="O229">
        <v>6.2060690000000003</v>
      </c>
      <c r="P229">
        <v>6.3273029999999997</v>
      </c>
      <c r="Q229">
        <v>6.4255699999999996</v>
      </c>
      <c r="R229">
        <v>6.5132250000000003</v>
      </c>
      <c r="S229">
        <v>6.5731999999999999</v>
      </c>
      <c r="T229">
        <v>6.6169479999999998</v>
      </c>
      <c r="U229">
        <v>6.6467029999999996</v>
      </c>
      <c r="V229">
        <v>6.659745</v>
      </c>
      <c r="W229">
        <v>6.6698519999999997</v>
      </c>
      <c r="X229">
        <v>6.6757249999999999</v>
      </c>
      <c r="Y229">
        <v>6.675643</v>
      </c>
      <c r="Z229">
        <v>6.6756099999999998</v>
      </c>
      <c r="AA229">
        <v>6.6746559999999997</v>
      </c>
      <c r="AB229">
        <v>6.6771929999999999</v>
      </c>
      <c r="AC229">
        <v>6.6810499999999999</v>
      </c>
      <c r="AD229">
        <v>6.6854810000000002</v>
      </c>
      <c r="AE229">
        <v>6.6909190000000001</v>
      </c>
      <c r="AF229">
        <v>6.6984519999999996</v>
      </c>
      <c r="AG229" s="22">
        <v>8.0000000000000002E-3</v>
      </c>
    </row>
    <row r="230" spans="1:33">
      <c r="A230" t="s">
        <v>195</v>
      </c>
      <c r="B230" t="s">
        <v>3038</v>
      </c>
      <c r="C230" t="s">
        <v>3037</v>
      </c>
      <c r="D230" t="s">
        <v>267</v>
      </c>
      <c r="F230">
        <v>5.6899410000000001</v>
      </c>
      <c r="G230">
        <v>5.8690319999999998</v>
      </c>
      <c r="H230">
        <v>6.0111840000000001</v>
      </c>
      <c r="I230">
        <v>6.1010439999999999</v>
      </c>
      <c r="J230">
        <v>6.2319899999999997</v>
      </c>
      <c r="K230">
        <v>6.36381</v>
      </c>
      <c r="L230">
        <v>6.480442</v>
      </c>
      <c r="M230">
        <v>6.5830200000000003</v>
      </c>
      <c r="N230">
        <v>6.6688960000000002</v>
      </c>
      <c r="O230">
        <v>6.7348330000000001</v>
      </c>
      <c r="P230">
        <v>6.7896280000000004</v>
      </c>
      <c r="Q230">
        <v>6.8331369999999998</v>
      </c>
      <c r="R230">
        <v>6.8360130000000003</v>
      </c>
      <c r="S230">
        <v>6.8514400000000002</v>
      </c>
      <c r="T230">
        <v>6.8495600000000003</v>
      </c>
      <c r="U230">
        <v>6.8668829999999996</v>
      </c>
      <c r="V230">
        <v>6.8978650000000004</v>
      </c>
      <c r="W230">
        <v>6.922809</v>
      </c>
      <c r="X230">
        <v>6.9350180000000003</v>
      </c>
      <c r="Y230">
        <v>6.9377930000000001</v>
      </c>
      <c r="Z230">
        <v>6.9690779999999997</v>
      </c>
      <c r="AA230">
        <v>6.9773649999999998</v>
      </c>
      <c r="AB230">
        <v>7.0204279999999999</v>
      </c>
      <c r="AC230">
        <v>7.0619449999999997</v>
      </c>
      <c r="AD230">
        <v>7.1275449999999996</v>
      </c>
      <c r="AE230">
        <v>7.1666280000000002</v>
      </c>
      <c r="AF230">
        <v>7.2303740000000003</v>
      </c>
      <c r="AG230" s="22">
        <v>8.9999999999999993E-3</v>
      </c>
    </row>
    <row r="231" spans="1:33">
      <c r="A231" t="s">
        <v>236</v>
      </c>
      <c r="B231" t="s">
        <v>3036</v>
      </c>
      <c r="C231" t="s">
        <v>3035</v>
      </c>
      <c r="D231" t="s">
        <v>268</v>
      </c>
      <c r="F231">
        <v>0</v>
      </c>
      <c r="G231">
        <v>0</v>
      </c>
      <c r="H231">
        <v>0</v>
      </c>
      <c r="I231">
        <v>0</v>
      </c>
      <c r="J231">
        <v>0</v>
      </c>
      <c r="K231">
        <v>0</v>
      </c>
      <c r="L231">
        <v>0</v>
      </c>
      <c r="M231">
        <v>0</v>
      </c>
      <c r="N231">
        <v>0</v>
      </c>
      <c r="O231">
        <v>0</v>
      </c>
      <c r="P231">
        <v>0</v>
      </c>
      <c r="Q231">
        <v>0</v>
      </c>
      <c r="R231">
        <v>0</v>
      </c>
      <c r="S231">
        <v>0</v>
      </c>
      <c r="T231">
        <v>0</v>
      </c>
      <c r="U231">
        <v>0</v>
      </c>
      <c r="V231">
        <v>0</v>
      </c>
      <c r="W231">
        <v>0</v>
      </c>
      <c r="X231">
        <v>0</v>
      </c>
      <c r="Y231">
        <v>0</v>
      </c>
      <c r="Z231">
        <v>0</v>
      </c>
      <c r="AA231">
        <v>0</v>
      </c>
      <c r="AB231">
        <v>0</v>
      </c>
      <c r="AC231">
        <v>0</v>
      </c>
      <c r="AD231">
        <v>0</v>
      </c>
      <c r="AE231">
        <v>0</v>
      </c>
      <c r="AF231">
        <v>0</v>
      </c>
      <c r="AG231" t="s">
        <v>111</v>
      </c>
    </row>
    <row r="232" spans="1:33">
      <c r="A232" t="s">
        <v>237</v>
      </c>
      <c r="B232" t="s">
        <v>3034</v>
      </c>
      <c r="C232" t="s">
        <v>3033</v>
      </c>
      <c r="D232" t="s">
        <v>267</v>
      </c>
      <c r="F232">
        <v>13.553058</v>
      </c>
      <c r="G232">
        <v>13.654142999999999</v>
      </c>
      <c r="H232">
        <v>13.78584</v>
      </c>
      <c r="I232">
        <v>13.926949</v>
      </c>
      <c r="J232">
        <v>14.084097</v>
      </c>
      <c r="K232">
        <v>14.299403999999999</v>
      </c>
      <c r="L232">
        <v>14.499537999999999</v>
      </c>
      <c r="M232">
        <v>14.670741</v>
      </c>
      <c r="N232">
        <v>14.874043</v>
      </c>
      <c r="O232">
        <v>15.077652</v>
      </c>
      <c r="P232">
        <v>15.165792</v>
      </c>
      <c r="Q232">
        <v>15.2387</v>
      </c>
      <c r="R232">
        <v>15.287716</v>
      </c>
      <c r="S232">
        <v>15.326226999999999</v>
      </c>
      <c r="T232">
        <v>15.354395</v>
      </c>
      <c r="U232">
        <v>15.370070999999999</v>
      </c>
      <c r="V232">
        <v>15.375595000000001</v>
      </c>
      <c r="W232">
        <v>15.377668999999999</v>
      </c>
      <c r="X232">
        <v>15.379139</v>
      </c>
      <c r="Y232">
        <v>15.380027</v>
      </c>
      <c r="Z232">
        <v>15.380454</v>
      </c>
      <c r="AA232">
        <v>15.380836</v>
      </c>
      <c r="AB232">
        <v>15.380919</v>
      </c>
      <c r="AC232">
        <v>15.380917</v>
      </c>
      <c r="AD232">
        <v>15.380915</v>
      </c>
      <c r="AE232">
        <v>15.380915</v>
      </c>
      <c r="AF232">
        <v>15.380915999999999</v>
      </c>
      <c r="AG232" s="22">
        <v>5.0000000000000001E-3</v>
      </c>
    </row>
    <row r="233" spans="1:33">
      <c r="A233" t="s">
        <v>238</v>
      </c>
      <c r="B233" t="s">
        <v>3032</v>
      </c>
      <c r="C233" t="s">
        <v>3031</v>
      </c>
      <c r="D233" t="s">
        <v>267</v>
      </c>
      <c r="F233">
        <v>0</v>
      </c>
      <c r="G233">
        <v>0</v>
      </c>
      <c r="H233">
        <v>8.8917629999999992</v>
      </c>
      <c r="I233">
        <v>9.0715620000000001</v>
      </c>
      <c r="J233">
        <v>9.1912020000000005</v>
      </c>
      <c r="K233">
        <v>9.3044989999999999</v>
      </c>
      <c r="L233">
        <v>9.4388670000000001</v>
      </c>
      <c r="M233">
        <v>9.5936409999999999</v>
      </c>
      <c r="N233">
        <v>9.7698049999999999</v>
      </c>
      <c r="O233">
        <v>9.7698049999999999</v>
      </c>
      <c r="P233">
        <v>9.7698049999999999</v>
      </c>
      <c r="Q233">
        <v>9.7698049999999999</v>
      </c>
      <c r="R233">
        <v>9.7698049999999999</v>
      </c>
      <c r="S233">
        <v>9.7698049999999999</v>
      </c>
      <c r="T233">
        <v>9.7698049999999999</v>
      </c>
      <c r="U233">
        <v>9.7698049999999999</v>
      </c>
      <c r="V233">
        <v>9.7698049999999999</v>
      </c>
      <c r="W233">
        <v>9.7698049999999999</v>
      </c>
      <c r="X233">
        <v>9.7698049999999999</v>
      </c>
      <c r="Y233">
        <v>9.7698049999999999</v>
      </c>
      <c r="Z233">
        <v>9.7698049999999999</v>
      </c>
      <c r="AA233">
        <v>9.7698049999999999</v>
      </c>
      <c r="AB233">
        <v>9.7698049999999999</v>
      </c>
      <c r="AC233">
        <v>9.7698049999999999</v>
      </c>
      <c r="AD233">
        <v>9.7698049999999999</v>
      </c>
      <c r="AE233">
        <v>9.7698049999999999</v>
      </c>
      <c r="AF233">
        <v>9.7698049999999999</v>
      </c>
      <c r="AG233" t="s">
        <v>111</v>
      </c>
    </row>
    <row r="234" spans="1:33">
      <c r="A234" t="s">
        <v>239</v>
      </c>
      <c r="B234" t="s">
        <v>3030</v>
      </c>
      <c r="C234" t="s">
        <v>3029</v>
      </c>
      <c r="D234" t="s">
        <v>268</v>
      </c>
      <c r="F234">
        <v>0</v>
      </c>
      <c r="G234">
        <v>0</v>
      </c>
      <c r="H234">
        <v>0</v>
      </c>
      <c r="I234">
        <v>0</v>
      </c>
      <c r="J234">
        <v>0</v>
      </c>
      <c r="K234">
        <v>0</v>
      </c>
      <c r="L234">
        <v>0</v>
      </c>
      <c r="M234">
        <v>0</v>
      </c>
      <c r="N234">
        <v>0</v>
      </c>
      <c r="O234">
        <v>0</v>
      </c>
      <c r="P234">
        <v>0</v>
      </c>
      <c r="Q234">
        <v>0</v>
      </c>
      <c r="R234">
        <v>0</v>
      </c>
      <c r="S234">
        <v>0</v>
      </c>
      <c r="T234">
        <v>0</v>
      </c>
      <c r="U234">
        <v>0</v>
      </c>
      <c r="V234">
        <v>0</v>
      </c>
      <c r="W234">
        <v>0</v>
      </c>
      <c r="X234">
        <v>0</v>
      </c>
      <c r="Y234">
        <v>0</v>
      </c>
      <c r="Z234">
        <v>0</v>
      </c>
      <c r="AA234">
        <v>0</v>
      </c>
      <c r="AB234">
        <v>0</v>
      </c>
      <c r="AC234">
        <v>0</v>
      </c>
      <c r="AD234">
        <v>0</v>
      </c>
      <c r="AE234">
        <v>0</v>
      </c>
      <c r="AF234">
        <v>0</v>
      </c>
      <c r="AG234" t="s">
        <v>111</v>
      </c>
    </row>
    <row r="235" spans="1:33">
      <c r="A235" t="s">
        <v>240</v>
      </c>
      <c r="B235" t="s">
        <v>3028</v>
      </c>
      <c r="C235" t="s">
        <v>3027</v>
      </c>
      <c r="D235" t="s">
        <v>267</v>
      </c>
      <c r="F235">
        <v>0</v>
      </c>
      <c r="G235">
        <v>0</v>
      </c>
      <c r="H235">
        <v>0</v>
      </c>
      <c r="I235">
        <v>0</v>
      </c>
      <c r="J235">
        <v>0</v>
      </c>
      <c r="K235">
        <v>0</v>
      </c>
      <c r="L235">
        <v>0</v>
      </c>
      <c r="M235">
        <v>0</v>
      </c>
      <c r="N235">
        <v>0</v>
      </c>
      <c r="O235">
        <v>0</v>
      </c>
      <c r="P235">
        <v>0</v>
      </c>
      <c r="Q235">
        <v>0</v>
      </c>
      <c r="R235">
        <v>0</v>
      </c>
      <c r="S235">
        <v>0</v>
      </c>
      <c r="T235">
        <v>0</v>
      </c>
      <c r="U235">
        <v>0</v>
      </c>
      <c r="V235">
        <v>0</v>
      </c>
      <c r="W235">
        <v>0</v>
      </c>
      <c r="X235">
        <v>0</v>
      </c>
      <c r="Y235">
        <v>0</v>
      </c>
      <c r="Z235">
        <v>0</v>
      </c>
      <c r="AA235">
        <v>0</v>
      </c>
      <c r="AB235">
        <v>0</v>
      </c>
      <c r="AC235">
        <v>0</v>
      </c>
      <c r="AD235">
        <v>0</v>
      </c>
      <c r="AE235">
        <v>0</v>
      </c>
      <c r="AF235">
        <v>0</v>
      </c>
      <c r="AG235" t="s">
        <v>111</v>
      </c>
    </row>
    <row r="236" spans="1:33">
      <c r="A236" t="s">
        <v>2320</v>
      </c>
      <c r="B236" t="s">
        <v>3026</v>
      </c>
      <c r="C236" t="s">
        <v>3025</v>
      </c>
      <c r="D236" t="s">
        <v>267</v>
      </c>
      <c r="F236">
        <v>0</v>
      </c>
      <c r="G236">
        <v>0</v>
      </c>
      <c r="H236">
        <v>0</v>
      </c>
      <c r="I236">
        <v>0</v>
      </c>
      <c r="J236">
        <v>0</v>
      </c>
      <c r="K236">
        <v>0</v>
      </c>
      <c r="L236">
        <v>0</v>
      </c>
      <c r="M236">
        <v>0</v>
      </c>
      <c r="N236">
        <v>0</v>
      </c>
      <c r="O236">
        <v>0</v>
      </c>
      <c r="P236">
        <v>0</v>
      </c>
      <c r="Q236">
        <v>0</v>
      </c>
      <c r="R236">
        <v>0</v>
      </c>
      <c r="S236">
        <v>0</v>
      </c>
      <c r="T236">
        <v>0</v>
      </c>
      <c r="U236">
        <v>0</v>
      </c>
      <c r="V236">
        <v>0</v>
      </c>
      <c r="W236">
        <v>0</v>
      </c>
      <c r="X236">
        <v>0</v>
      </c>
      <c r="Y236">
        <v>0</v>
      </c>
      <c r="Z236">
        <v>0</v>
      </c>
      <c r="AA236">
        <v>0</v>
      </c>
      <c r="AB236">
        <v>0</v>
      </c>
      <c r="AC236">
        <v>0</v>
      </c>
      <c r="AD236">
        <v>0</v>
      </c>
      <c r="AE236">
        <v>0</v>
      </c>
      <c r="AF236">
        <v>0</v>
      </c>
      <c r="AG236" t="s">
        <v>111</v>
      </c>
    </row>
    <row r="237" spans="1:33">
      <c r="A237" t="s">
        <v>2317</v>
      </c>
      <c r="B237" t="s">
        <v>3024</v>
      </c>
      <c r="C237" t="s">
        <v>3023</v>
      </c>
      <c r="D237" t="s">
        <v>268</v>
      </c>
      <c r="F237">
        <v>0</v>
      </c>
      <c r="G237">
        <v>0</v>
      </c>
      <c r="H237">
        <v>0</v>
      </c>
      <c r="I237">
        <v>0</v>
      </c>
      <c r="J237">
        <v>0</v>
      </c>
      <c r="K237">
        <v>0</v>
      </c>
      <c r="L237">
        <v>0</v>
      </c>
      <c r="M237">
        <v>0</v>
      </c>
      <c r="N237">
        <v>0</v>
      </c>
      <c r="O237">
        <v>0</v>
      </c>
      <c r="P237">
        <v>0</v>
      </c>
      <c r="Q237">
        <v>0</v>
      </c>
      <c r="R237">
        <v>0</v>
      </c>
      <c r="S237">
        <v>0</v>
      </c>
      <c r="T237">
        <v>0</v>
      </c>
      <c r="U237">
        <v>0</v>
      </c>
      <c r="V237">
        <v>0</v>
      </c>
      <c r="W237">
        <v>0</v>
      </c>
      <c r="X237">
        <v>0</v>
      </c>
      <c r="Y237">
        <v>0</v>
      </c>
      <c r="Z237">
        <v>0</v>
      </c>
      <c r="AA237">
        <v>0</v>
      </c>
      <c r="AB237">
        <v>0</v>
      </c>
      <c r="AC237">
        <v>0</v>
      </c>
      <c r="AD237">
        <v>0</v>
      </c>
      <c r="AE237">
        <v>0</v>
      </c>
      <c r="AF237">
        <v>0</v>
      </c>
      <c r="AG237" t="s">
        <v>111</v>
      </c>
    </row>
    <row r="238" spans="1:33">
      <c r="A238" t="s">
        <v>2314</v>
      </c>
      <c r="B238" t="s">
        <v>3022</v>
      </c>
      <c r="C238" t="s">
        <v>3021</v>
      </c>
      <c r="D238" t="s">
        <v>267</v>
      </c>
      <c r="F238">
        <v>0</v>
      </c>
      <c r="G238">
        <v>0</v>
      </c>
      <c r="H238">
        <v>0</v>
      </c>
      <c r="I238">
        <v>0</v>
      </c>
      <c r="J238">
        <v>0</v>
      </c>
      <c r="K238">
        <v>0</v>
      </c>
      <c r="L238">
        <v>0</v>
      </c>
      <c r="M238">
        <v>0</v>
      </c>
      <c r="N238">
        <v>0</v>
      </c>
      <c r="O238">
        <v>0</v>
      </c>
      <c r="P238">
        <v>0</v>
      </c>
      <c r="Q238">
        <v>0</v>
      </c>
      <c r="R238">
        <v>0</v>
      </c>
      <c r="S238">
        <v>0</v>
      </c>
      <c r="T238">
        <v>0</v>
      </c>
      <c r="U238">
        <v>0</v>
      </c>
      <c r="V238">
        <v>0</v>
      </c>
      <c r="W238">
        <v>0</v>
      </c>
      <c r="X238">
        <v>0</v>
      </c>
      <c r="Y238">
        <v>0</v>
      </c>
      <c r="Z238">
        <v>0</v>
      </c>
      <c r="AA238">
        <v>0</v>
      </c>
      <c r="AB238">
        <v>0</v>
      </c>
      <c r="AC238">
        <v>0</v>
      </c>
      <c r="AD238">
        <v>0</v>
      </c>
      <c r="AE238">
        <v>0</v>
      </c>
      <c r="AF238">
        <v>0</v>
      </c>
      <c r="AG238" t="s">
        <v>111</v>
      </c>
    </row>
    <row r="239" spans="1:33">
      <c r="A239" t="s">
        <v>251</v>
      </c>
      <c r="B239" t="s">
        <v>3020</v>
      </c>
      <c r="C239" t="s">
        <v>3019</v>
      </c>
      <c r="F239">
        <v>6.8548869999999997</v>
      </c>
      <c r="G239">
        <v>7.008928</v>
      </c>
      <c r="H239">
        <v>7.1755069999999996</v>
      </c>
      <c r="I239">
        <v>7.3440310000000002</v>
      </c>
      <c r="J239">
        <v>7.5033560000000001</v>
      </c>
      <c r="K239">
        <v>7.6570200000000002</v>
      </c>
      <c r="L239">
        <v>7.7844319999999998</v>
      </c>
      <c r="M239">
        <v>7.8963190000000001</v>
      </c>
      <c r="N239">
        <v>7.9844039999999996</v>
      </c>
      <c r="O239">
        <v>8.0514679999999998</v>
      </c>
      <c r="P239">
        <v>8.1022870000000005</v>
      </c>
      <c r="Q239">
        <v>8.1342009999999991</v>
      </c>
      <c r="R239">
        <v>8.1366180000000004</v>
      </c>
      <c r="S239">
        <v>8.1379459999999995</v>
      </c>
      <c r="T239">
        <v>8.1357149999999994</v>
      </c>
      <c r="U239">
        <v>8.1375189999999993</v>
      </c>
      <c r="V239">
        <v>8.1371649999999995</v>
      </c>
      <c r="W239">
        <v>8.1364129999999992</v>
      </c>
      <c r="X239">
        <v>8.1363679999999992</v>
      </c>
      <c r="Y239">
        <v>8.1339330000000007</v>
      </c>
      <c r="Z239">
        <v>8.1331659999999992</v>
      </c>
      <c r="AA239">
        <v>8.1322799999999997</v>
      </c>
      <c r="AB239">
        <v>8.1308959999999999</v>
      </c>
      <c r="AC239">
        <v>8.1295079999999995</v>
      </c>
      <c r="AD239">
        <v>8.123742</v>
      </c>
      <c r="AE239">
        <v>8.1220119999999998</v>
      </c>
      <c r="AF239">
        <v>8.1205160000000003</v>
      </c>
      <c r="AG239" s="22">
        <v>7.0000000000000001E-3</v>
      </c>
    </row>
    <row r="240" spans="1:33">
      <c r="A240" t="s">
        <v>252</v>
      </c>
      <c r="B240" t="s">
        <v>3018</v>
      </c>
      <c r="C240" t="s">
        <v>3017</v>
      </c>
      <c r="F240">
        <v>7.7845329999999997</v>
      </c>
      <c r="G240">
        <v>8.1700400000000002</v>
      </c>
      <c r="H240">
        <v>8.3375160000000008</v>
      </c>
      <c r="I240">
        <v>8.4989089999999994</v>
      </c>
      <c r="J240">
        <v>8.694566</v>
      </c>
      <c r="K240">
        <v>8.8765870000000007</v>
      </c>
      <c r="L240">
        <v>9.0367379999999997</v>
      </c>
      <c r="M240">
        <v>9.1778119999999994</v>
      </c>
      <c r="N240">
        <v>9.2946340000000003</v>
      </c>
      <c r="O240">
        <v>9.3798370000000002</v>
      </c>
      <c r="P240">
        <v>9.462923</v>
      </c>
      <c r="Q240">
        <v>9.5250459999999997</v>
      </c>
      <c r="R240">
        <v>9.545712</v>
      </c>
      <c r="S240">
        <v>9.5580890000000007</v>
      </c>
      <c r="T240">
        <v>9.5769409999999997</v>
      </c>
      <c r="U240">
        <v>9.6088719999999999</v>
      </c>
      <c r="V240">
        <v>9.6380960000000009</v>
      </c>
      <c r="W240">
        <v>9.6714420000000008</v>
      </c>
      <c r="X240">
        <v>9.6972349999999992</v>
      </c>
      <c r="Y240">
        <v>9.7202509999999993</v>
      </c>
      <c r="Z240">
        <v>9.7451000000000008</v>
      </c>
      <c r="AA240">
        <v>9.7827490000000008</v>
      </c>
      <c r="AB240">
        <v>9.8186359999999997</v>
      </c>
      <c r="AC240">
        <v>9.8371399999999998</v>
      </c>
      <c r="AD240">
        <v>9.8385599999999993</v>
      </c>
      <c r="AE240">
        <v>9.8505929999999999</v>
      </c>
      <c r="AF240">
        <v>9.8773979999999995</v>
      </c>
      <c r="AG240" s="22">
        <v>8.9999999999999993E-3</v>
      </c>
    </row>
    <row r="241" spans="1:33">
      <c r="A241" t="s">
        <v>255</v>
      </c>
    </row>
    <row r="242" spans="1:33">
      <c r="A242" t="s">
        <v>170</v>
      </c>
    </row>
    <row r="243" spans="1:33">
      <c r="A243" t="s">
        <v>189</v>
      </c>
      <c r="B243" t="s">
        <v>3016</v>
      </c>
      <c r="C243" t="s">
        <v>3015</v>
      </c>
      <c r="D243" t="s">
        <v>270</v>
      </c>
      <c r="F243">
        <v>119.36211400000001</v>
      </c>
      <c r="G243">
        <v>168.04504399999999</v>
      </c>
      <c r="H243">
        <v>172.93017599999999</v>
      </c>
      <c r="I243">
        <v>173.02984599999999</v>
      </c>
      <c r="J243">
        <v>157.32209800000001</v>
      </c>
      <c r="K243">
        <v>139.67721599999999</v>
      </c>
      <c r="L243">
        <v>122.53037999999999</v>
      </c>
      <c r="M243">
        <v>104.252419</v>
      </c>
      <c r="N243">
        <v>88.038826</v>
      </c>
      <c r="O243">
        <v>79.593902999999997</v>
      </c>
      <c r="P243">
        <v>71.125832000000003</v>
      </c>
      <c r="Q243">
        <v>62.814281000000001</v>
      </c>
      <c r="R243">
        <v>56.953330999999999</v>
      </c>
      <c r="S243">
        <v>52.718108999999998</v>
      </c>
      <c r="T243">
        <v>45.731597999999998</v>
      </c>
      <c r="U243">
        <v>38.088886000000002</v>
      </c>
      <c r="V243">
        <v>34.851616</v>
      </c>
      <c r="W243">
        <v>30.140041</v>
      </c>
      <c r="X243">
        <v>25.780429999999999</v>
      </c>
      <c r="Y243">
        <v>21.591252999999998</v>
      </c>
      <c r="Z243">
        <v>19.974440000000001</v>
      </c>
      <c r="AA243">
        <v>19.347550999999999</v>
      </c>
      <c r="AB243">
        <v>18.670155999999999</v>
      </c>
      <c r="AC243">
        <v>16.993980000000001</v>
      </c>
      <c r="AD243">
        <v>15.383893</v>
      </c>
      <c r="AE243">
        <v>14.574971</v>
      </c>
      <c r="AF243">
        <v>14.517200000000001</v>
      </c>
      <c r="AG243" s="22">
        <v>-7.8E-2</v>
      </c>
    </row>
    <row r="244" spans="1:33">
      <c r="A244" t="s">
        <v>235</v>
      </c>
      <c r="B244" t="s">
        <v>3014</v>
      </c>
      <c r="C244" t="s">
        <v>3013</v>
      </c>
      <c r="D244" t="s">
        <v>270</v>
      </c>
      <c r="F244">
        <v>96.207825</v>
      </c>
      <c r="G244">
        <v>140.926468</v>
      </c>
      <c r="H244">
        <v>150.30540500000001</v>
      </c>
      <c r="I244">
        <v>155.36149599999999</v>
      </c>
      <c r="J244">
        <v>145.78999300000001</v>
      </c>
      <c r="K244">
        <v>133.32659899999999</v>
      </c>
      <c r="L244">
        <v>120.12693</v>
      </c>
      <c r="M244">
        <v>104.729378</v>
      </c>
      <c r="N244">
        <v>90.536331000000004</v>
      </c>
      <c r="O244">
        <v>83.471191000000005</v>
      </c>
      <c r="P244">
        <v>75.916870000000003</v>
      </c>
      <c r="Q244">
        <v>68.160194000000004</v>
      </c>
      <c r="R244">
        <v>62.740749000000001</v>
      </c>
      <c r="S244">
        <v>58.886211000000003</v>
      </c>
      <c r="T244">
        <v>51.738425999999997</v>
      </c>
      <c r="U244">
        <v>43.728943000000001</v>
      </c>
      <c r="V244">
        <v>40.399540000000002</v>
      </c>
      <c r="W244">
        <v>35.366146000000001</v>
      </c>
      <c r="X244">
        <v>30.567242</v>
      </c>
      <c r="Y244">
        <v>25.960905</v>
      </c>
      <c r="Z244">
        <v>24.193511999999998</v>
      </c>
      <c r="AA244">
        <v>23.534416</v>
      </c>
      <c r="AB244">
        <v>22.799233999999998</v>
      </c>
      <c r="AC244">
        <v>20.943881999999999</v>
      </c>
      <c r="AD244">
        <v>19.132334</v>
      </c>
      <c r="AE244">
        <v>18.236712000000001</v>
      </c>
      <c r="AF244">
        <v>18.209972</v>
      </c>
      <c r="AG244" s="22">
        <v>-6.2E-2</v>
      </c>
    </row>
    <row r="245" spans="1:33">
      <c r="A245" t="s">
        <v>192</v>
      </c>
      <c r="B245" t="s">
        <v>3012</v>
      </c>
      <c r="C245" t="s">
        <v>3011</v>
      </c>
      <c r="D245" t="s">
        <v>270</v>
      </c>
      <c r="F245">
        <v>2.1840000000000002E-3</v>
      </c>
      <c r="G245">
        <v>3.1580000000000002E-3</v>
      </c>
      <c r="H245">
        <v>3.3180000000000002E-3</v>
      </c>
      <c r="I245">
        <v>3.3869999999999998E-3</v>
      </c>
      <c r="J245">
        <v>3.339E-3</v>
      </c>
      <c r="K245">
        <v>3.3189999999999999E-3</v>
      </c>
      <c r="L245">
        <v>3.3140000000000001E-3</v>
      </c>
      <c r="M245">
        <v>3.2829999999999999E-3</v>
      </c>
      <c r="N245">
        <v>3.297E-3</v>
      </c>
      <c r="O245">
        <v>3.3509999999999998E-3</v>
      </c>
      <c r="P245">
        <v>3.4060000000000002E-3</v>
      </c>
      <c r="Q245">
        <v>3.4459999999999998E-3</v>
      </c>
      <c r="R245">
        <v>3.4849999999999998E-3</v>
      </c>
      <c r="S245">
        <v>3.5249999999999999E-3</v>
      </c>
      <c r="T245">
        <v>3.5739999999999999E-3</v>
      </c>
      <c r="U245">
        <v>3.5969999999999999E-3</v>
      </c>
      <c r="V245">
        <v>3.5799999999999998E-3</v>
      </c>
      <c r="W245">
        <v>3.5400000000000002E-3</v>
      </c>
      <c r="X245">
        <v>3.49E-3</v>
      </c>
      <c r="Y245">
        <v>3.4650000000000002E-3</v>
      </c>
      <c r="Z245">
        <v>3.4420000000000002E-3</v>
      </c>
      <c r="AA245">
        <v>3.4429999999999999E-3</v>
      </c>
      <c r="AB245">
        <v>3.444E-3</v>
      </c>
      <c r="AC245">
        <v>3.46E-3</v>
      </c>
      <c r="AD245">
        <v>3.4650000000000002E-3</v>
      </c>
      <c r="AE245">
        <v>3.46E-3</v>
      </c>
      <c r="AF245">
        <v>3.4520000000000002E-3</v>
      </c>
      <c r="AG245" s="22">
        <v>1.7999999999999999E-2</v>
      </c>
    </row>
    <row r="246" spans="1:33">
      <c r="A246" t="s">
        <v>195</v>
      </c>
      <c r="B246" t="s">
        <v>3010</v>
      </c>
      <c r="C246" t="s">
        <v>3009</v>
      </c>
      <c r="D246" t="s">
        <v>270</v>
      </c>
      <c r="F246">
        <v>1.8444510000000001</v>
      </c>
      <c r="G246">
        <v>3.3833199999999999</v>
      </c>
      <c r="H246">
        <v>3.7551990000000002</v>
      </c>
      <c r="I246">
        <v>3.9225240000000001</v>
      </c>
      <c r="J246">
        <v>3.0337079999999998</v>
      </c>
      <c r="K246">
        <v>3.2252130000000001</v>
      </c>
      <c r="L246">
        <v>2.9592960000000001</v>
      </c>
      <c r="M246">
        <v>2.4964080000000002</v>
      </c>
      <c r="N246">
        <v>2.3470780000000002</v>
      </c>
      <c r="O246">
        <v>2.1422949999999998</v>
      </c>
      <c r="P246">
        <v>2.5325519999999999</v>
      </c>
      <c r="Q246">
        <v>2.9827849999999998</v>
      </c>
      <c r="R246">
        <v>3.393907</v>
      </c>
      <c r="S246">
        <v>4.0493690000000004</v>
      </c>
      <c r="T246">
        <v>5.0462020000000001</v>
      </c>
      <c r="U246">
        <v>5.6631039999999997</v>
      </c>
      <c r="V246">
        <v>6.637721</v>
      </c>
      <c r="W246">
        <v>7.7824429999999998</v>
      </c>
      <c r="X246">
        <v>8.7570530000000009</v>
      </c>
      <c r="Y246">
        <v>9.5117189999999994</v>
      </c>
      <c r="Z246">
        <v>10.158861999999999</v>
      </c>
      <c r="AA246">
        <v>10.974225000000001</v>
      </c>
      <c r="AB246">
        <v>11.79744</v>
      </c>
      <c r="AC246">
        <v>12.722552</v>
      </c>
      <c r="AD246">
        <v>13.328785</v>
      </c>
      <c r="AE246">
        <v>14.058415999999999</v>
      </c>
      <c r="AF246">
        <v>14.624667000000001</v>
      </c>
      <c r="AG246" s="22">
        <v>8.3000000000000004E-2</v>
      </c>
    </row>
    <row r="247" spans="1:33">
      <c r="A247" t="s">
        <v>236</v>
      </c>
      <c r="B247" t="s">
        <v>3008</v>
      </c>
      <c r="C247" t="s">
        <v>3007</v>
      </c>
      <c r="D247" t="s">
        <v>270</v>
      </c>
      <c r="F247">
        <v>2.1840000000000002E-3</v>
      </c>
      <c r="G247">
        <v>3.1580000000000002E-3</v>
      </c>
      <c r="H247">
        <v>3.3180000000000002E-3</v>
      </c>
      <c r="I247">
        <v>3.3869999999999998E-3</v>
      </c>
      <c r="J247">
        <v>3.339E-3</v>
      </c>
      <c r="K247">
        <v>3.3189999999999999E-3</v>
      </c>
      <c r="L247">
        <v>3.3140000000000001E-3</v>
      </c>
      <c r="M247">
        <v>3.2829999999999999E-3</v>
      </c>
      <c r="N247">
        <v>3.297E-3</v>
      </c>
      <c r="O247">
        <v>3.3509999999999998E-3</v>
      </c>
      <c r="P247">
        <v>3.4060000000000002E-3</v>
      </c>
      <c r="Q247">
        <v>3.4459999999999998E-3</v>
      </c>
      <c r="R247">
        <v>3.4849999999999998E-3</v>
      </c>
      <c r="S247">
        <v>3.5249999999999999E-3</v>
      </c>
      <c r="T247">
        <v>3.5739999999999999E-3</v>
      </c>
      <c r="U247">
        <v>3.5969999999999999E-3</v>
      </c>
      <c r="V247">
        <v>3.5799999999999998E-3</v>
      </c>
      <c r="W247">
        <v>3.5400000000000002E-3</v>
      </c>
      <c r="X247">
        <v>3.49E-3</v>
      </c>
      <c r="Y247">
        <v>3.4650000000000002E-3</v>
      </c>
      <c r="Z247">
        <v>3.4420000000000002E-3</v>
      </c>
      <c r="AA247">
        <v>3.4429999999999999E-3</v>
      </c>
      <c r="AB247">
        <v>3.444E-3</v>
      </c>
      <c r="AC247">
        <v>3.46E-3</v>
      </c>
      <c r="AD247">
        <v>3.4650000000000002E-3</v>
      </c>
      <c r="AE247">
        <v>3.46E-3</v>
      </c>
      <c r="AF247">
        <v>3.4520000000000002E-3</v>
      </c>
      <c r="AG247" s="22">
        <v>1.7999999999999999E-2</v>
      </c>
    </row>
    <row r="248" spans="1:33">
      <c r="A248" t="s">
        <v>237</v>
      </c>
      <c r="B248" t="s">
        <v>3006</v>
      </c>
      <c r="C248" t="s">
        <v>3005</v>
      </c>
      <c r="D248" t="s">
        <v>270</v>
      </c>
      <c r="F248">
        <v>0.94423100000000004</v>
      </c>
      <c r="G248">
        <v>1.365408</v>
      </c>
      <c r="H248">
        <v>1.4345939999999999</v>
      </c>
      <c r="I248">
        <v>1.464623</v>
      </c>
      <c r="J248">
        <v>1.4437329999999999</v>
      </c>
      <c r="K248">
        <v>1.4353499999999999</v>
      </c>
      <c r="L248">
        <v>1.650101</v>
      </c>
      <c r="M248">
        <v>4.0234750000000004</v>
      </c>
      <c r="N248">
        <v>7.0397679999999996</v>
      </c>
      <c r="O248">
        <v>7.0255640000000001</v>
      </c>
      <c r="P248">
        <v>11.163259999999999</v>
      </c>
      <c r="Q248">
        <v>17.926338000000001</v>
      </c>
      <c r="R248">
        <v>25.431442000000001</v>
      </c>
      <c r="S248">
        <v>31.65118</v>
      </c>
      <c r="T248">
        <v>38.719349000000001</v>
      </c>
      <c r="U248">
        <v>46.610855000000001</v>
      </c>
      <c r="V248">
        <v>54.171871000000003</v>
      </c>
      <c r="W248">
        <v>65.451530000000005</v>
      </c>
      <c r="X248">
        <v>75.256614999999996</v>
      </c>
      <c r="Y248">
        <v>83.868813000000003</v>
      </c>
      <c r="Z248">
        <v>88.847701999999998</v>
      </c>
      <c r="AA248">
        <v>93.758324000000002</v>
      </c>
      <c r="AB248">
        <v>97.673721</v>
      </c>
      <c r="AC248">
        <v>103.783997</v>
      </c>
      <c r="AD248">
        <v>109.08074999999999</v>
      </c>
      <c r="AE248">
        <v>113.297623</v>
      </c>
      <c r="AF248">
        <v>116.983017</v>
      </c>
      <c r="AG248" s="22">
        <v>0.20399999999999999</v>
      </c>
    </row>
    <row r="249" spans="1:33">
      <c r="A249" t="s">
        <v>238</v>
      </c>
      <c r="B249" t="s">
        <v>3004</v>
      </c>
      <c r="C249" t="s">
        <v>3003</v>
      </c>
      <c r="D249" t="s">
        <v>270</v>
      </c>
      <c r="F249">
        <v>0</v>
      </c>
      <c r="G249">
        <v>0</v>
      </c>
      <c r="H249">
        <v>0</v>
      </c>
      <c r="I249">
        <v>0</v>
      </c>
      <c r="J249">
        <v>0</v>
      </c>
      <c r="K249">
        <v>0</v>
      </c>
      <c r="L249">
        <v>0</v>
      </c>
      <c r="M249">
        <v>0</v>
      </c>
      <c r="N249">
        <v>0</v>
      </c>
      <c r="O249">
        <v>0</v>
      </c>
      <c r="P249">
        <v>0</v>
      </c>
      <c r="Q249">
        <v>0</v>
      </c>
      <c r="R249">
        <v>0</v>
      </c>
      <c r="S249">
        <v>0</v>
      </c>
      <c r="T249">
        <v>0</v>
      </c>
      <c r="U249">
        <v>0</v>
      </c>
      <c r="V249">
        <v>0</v>
      </c>
      <c r="W249">
        <v>0</v>
      </c>
      <c r="X249">
        <v>0</v>
      </c>
      <c r="Y249">
        <v>0</v>
      </c>
      <c r="Z249">
        <v>0</v>
      </c>
      <c r="AA249">
        <v>0</v>
      </c>
      <c r="AB249">
        <v>0</v>
      </c>
      <c r="AC249">
        <v>0</v>
      </c>
      <c r="AD249">
        <v>0</v>
      </c>
      <c r="AE249">
        <v>0</v>
      </c>
      <c r="AF249">
        <v>0</v>
      </c>
      <c r="AG249" t="s">
        <v>111</v>
      </c>
    </row>
    <row r="250" spans="1:33">
      <c r="A250" t="s">
        <v>239</v>
      </c>
      <c r="B250" t="s">
        <v>3002</v>
      </c>
      <c r="C250" t="s">
        <v>3001</v>
      </c>
      <c r="D250" t="s">
        <v>270</v>
      </c>
      <c r="F250">
        <v>0</v>
      </c>
      <c r="G250">
        <v>0</v>
      </c>
      <c r="H250">
        <v>0</v>
      </c>
      <c r="I250">
        <v>0</v>
      </c>
      <c r="J250">
        <v>0</v>
      </c>
      <c r="K250">
        <v>0</v>
      </c>
      <c r="L250">
        <v>0</v>
      </c>
      <c r="M250">
        <v>0</v>
      </c>
      <c r="N250">
        <v>0</v>
      </c>
      <c r="O250">
        <v>0</v>
      </c>
      <c r="P250">
        <v>0</v>
      </c>
      <c r="Q250">
        <v>0</v>
      </c>
      <c r="R250">
        <v>0</v>
      </c>
      <c r="S250">
        <v>0</v>
      </c>
      <c r="T250">
        <v>0</v>
      </c>
      <c r="U250">
        <v>0</v>
      </c>
      <c r="V250">
        <v>0</v>
      </c>
      <c r="W250">
        <v>0</v>
      </c>
      <c r="X250">
        <v>0</v>
      </c>
      <c r="Y250">
        <v>0</v>
      </c>
      <c r="Z250">
        <v>0</v>
      </c>
      <c r="AA250">
        <v>0</v>
      </c>
      <c r="AB250">
        <v>0</v>
      </c>
      <c r="AC250">
        <v>0</v>
      </c>
      <c r="AD250">
        <v>0</v>
      </c>
      <c r="AE250">
        <v>0</v>
      </c>
      <c r="AF250">
        <v>0</v>
      </c>
      <c r="AG250" t="s">
        <v>111</v>
      </c>
    </row>
    <row r="251" spans="1:33">
      <c r="A251" t="s">
        <v>240</v>
      </c>
      <c r="B251" t="s">
        <v>3000</v>
      </c>
      <c r="C251" t="s">
        <v>2999</v>
      </c>
      <c r="D251" t="s">
        <v>270</v>
      </c>
      <c r="F251">
        <v>0</v>
      </c>
      <c r="G251">
        <v>0</v>
      </c>
      <c r="H251">
        <v>0</v>
      </c>
      <c r="I251">
        <v>0</v>
      </c>
      <c r="J251">
        <v>0</v>
      </c>
      <c r="K251">
        <v>0</v>
      </c>
      <c r="L251">
        <v>0</v>
      </c>
      <c r="M251">
        <v>0</v>
      </c>
      <c r="N251">
        <v>0</v>
      </c>
      <c r="O251">
        <v>0</v>
      </c>
      <c r="P251">
        <v>0</v>
      </c>
      <c r="Q251">
        <v>0</v>
      </c>
      <c r="R251">
        <v>0</v>
      </c>
      <c r="S251">
        <v>0</v>
      </c>
      <c r="T251">
        <v>0</v>
      </c>
      <c r="U251">
        <v>0</v>
      </c>
      <c r="V251">
        <v>0</v>
      </c>
      <c r="W251">
        <v>0</v>
      </c>
      <c r="X251">
        <v>0</v>
      </c>
      <c r="Y251">
        <v>0</v>
      </c>
      <c r="Z251">
        <v>0</v>
      </c>
      <c r="AA251">
        <v>0</v>
      </c>
      <c r="AB251">
        <v>0</v>
      </c>
      <c r="AC251">
        <v>0</v>
      </c>
      <c r="AD251">
        <v>0</v>
      </c>
      <c r="AE251">
        <v>0</v>
      </c>
      <c r="AF251">
        <v>0</v>
      </c>
      <c r="AG251" t="s">
        <v>111</v>
      </c>
    </row>
    <row r="252" spans="1:33">
      <c r="A252" t="s">
        <v>2320</v>
      </c>
      <c r="B252" t="s">
        <v>2998</v>
      </c>
      <c r="C252" t="s">
        <v>2997</v>
      </c>
      <c r="D252" t="s">
        <v>270</v>
      </c>
      <c r="F252">
        <v>0</v>
      </c>
      <c r="G252">
        <v>0</v>
      </c>
      <c r="H252">
        <v>0</v>
      </c>
      <c r="I252">
        <v>0</v>
      </c>
      <c r="J252">
        <v>0</v>
      </c>
      <c r="K252">
        <v>0</v>
      </c>
      <c r="L252">
        <v>0</v>
      </c>
      <c r="M252">
        <v>0</v>
      </c>
      <c r="N252">
        <v>0</v>
      </c>
      <c r="O252">
        <v>0</v>
      </c>
      <c r="P252">
        <v>0</v>
      </c>
      <c r="Q252">
        <v>0</v>
      </c>
      <c r="R252">
        <v>0</v>
      </c>
      <c r="S252">
        <v>0</v>
      </c>
      <c r="T252">
        <v>0</v>
      </c>
      <c r="U252">
        <v>0</v>
      </c>
      <c r="V252">
        <v>0</v>
      </c>
      <c r="W252">
        <v>0</v>
      </c>
      <c r="X252">
        <v>0</v>
      </c>
      <c r="Y252">
        <v>0</v>
      </c>
      <c r="Z252">
        <v>0</v>
      </c>
      <c r="AA252">
        <v>0</v>
      </c>
      <c r="AB252">
        <v>0</v>
      </c>
      <c r="AC252">
        <v>0</v>
      </c>
      <c r="AD252">
        <v>0</v>
      </c>
      <c r="AE252">
        <v>0</v>
      </c>
      <c r="AF252">
        <v>0</v>
      </c>
      <c r="AG252" t="s">
        <v>111</v>
      </c>
    </row>
    <row r="253" spans="1:33">
      <c r="A253" t="s">
        <v>2317</v>
      </c>
      <c r="B253" t="s">
        <v>2996</v>
      </c>
      <c r="C253" t="s">
        <v>2995</v>
      </c>
      <c r="D253" t="s">
        <v>270</v>
      </c>
      <c r="F253">
        <v>0</v>
      </c>
      <c r="G253">
        <v>2.0379999999999998</v>
      </c>
      <c r="H253">
        <v>3.3325499999999999</v>
      </c>
      <c r="I253">
        <v>4.9237310000000001</v>
      </c>
      <c r="J253">
        <v>26.281714999999998</v>
      </c>
      <c r="K253">
        <v>54.287185999999998</v>
      </c>
      <c r="L253">
        <v>84.201340000000002</v>
      </c>
      <c r="M253">
        <v>112.861259</v>
      </c>
      <c r="N253">
        <v>141.79293799999999</v>
      </c>
      <c r="O253">
        <v>162.911743</v>
      </c>
      <c r="P253">
        <v>179.93774400000001</v>
      </c>
      <c r="Q253">
        <v>192.76023900000001</v>
      </c>
      <c r="R253">
        <v>199.99612400000001</v>
      </c>
      <c r="S253">
        <v>205.27304100000001</v>
      </c>
      <c r="T253">
        <v>216.36737099999999</v>
      </c>
      <c r="U253">
        <v>229.177155</v>
      </c>
      <c r="V253">
        <v>231.776825</v>
      </c>
      <c r="W253">
        <v>232.09574900000001</v>
      </c>
      <c r="X253">
        <v>233.31234699999999</v>
      </c>
      <c r="Y253">
        <v>235.00767500000001</v>
      </c>
      <c r="Z253">
        <v>235.77676400000001</v>
      </c>
      <c r="AA253">
        <v>234.52491800000001</v>
      </c>
      <c r="AB253">
        <v>233.47456399999999</v>
      </c>
      <c r="AC253">
        <v>232.177063</v>
      </c>
      <c r="AD253">
        <v>230.277771</v>
      </c>
      <c r="AE253">
        <v>228.13374300000001</v>
      </c>
      <c r="AF253">
        <v>225.89794900000001</v>
      </c>
      <c r="AG253" t="s">
        <v>111</v>
      </c>
    </row>
    <row r="254" spans="1:33">
      <c r="A254" t="s">
        <v>2314</v>
      </c>
      <c r="B254" t="s">
        <v>2994</v>
      </c>
      <c r="C254" t="s">
        <v>2993</v>
      </c>
      <c r="D254" t="s">
        <v>270</v>
      </c>
      <c r="F254">
        <v>0</v>
      </c>
      <c r="G254">
        <v>0</v>
      </c>
      <c r="H254">
        <v>0</v>
      </c>
      <c r="I254">
        <v>0</v>
      </c>
      <c r="J254">
        <v>0</v>
      </c>
      <c r="K254">
        <v>0</v>
      </c>
      <c r="L254">
        <v>0</v>
      </c>
      <c r="M254">
        <v>0</v>
      </c>
      <c r="N254">
        <v>0</v>
      </c>
      <c r="O254">
        <v>0</v>
      </c>
      <c r="P254">
        <v>0</v>
      </c>
      <c r="Q254">
        <v>0</v>
      </c>
      <c r="R254">
        <v>0</v>
      </c>
      <c r="S254">
        <v>0</v>
      </c>
      <c r="T254">
        <v>0</v>
      </c>
      <c r="U254">
        <v>0</v>
      </c>
      <c r="V254">
        <v>0</v>
      </c>
      <c r="W254">
        <v>0</v>
      </c>
      <c r="X254">
        <v>0</v>
      </c>
      <c r="Y254">
        <v>0</v>
      </c>
      <c r="Z254">
        <v>0</v>
      </c>
      <c r="AA254">
        <v>0</v>
      </c>
      <c r="AB254">
        <v>0</v>
      </c>
      <c r="AC254">
        <v>0</v>
      </c>
      <c r="AD254">
        <v>0</v>
      </c>
      <c r="AE254">
        <v>0</v>
      </c>
      <c r="AF254">
        <v>0</v>
      </c>
      <c r="AG254" t="s">
        <v>111</v>
      </c>
    </row>
    <row r="255" spans="1:33">
      <c r="A255" t="s">
        <v>241</v>
      </c>
      <c r="B255" t="s">
        <v>2992</v>
      </c>
      <c r="C255" t="s">
        <v>2991</v>
      </c>
      <c r="D255" t="s">
        <v>270</v>
      </c>
      <c r="F255">
        <v>218.36299099999999</v>
      </c>
      <c r="G255">
        <v>315.76449600000001</v>
      </c>
      <c r="H255">
        <v>331.76449600000001</v>
      </c>
      <c r="I255">
        <v>338.70901500000002</v>
      </c>
      <c r="J255">
        <v>333.87792999999999</v>
      </c>
      <c r="K255">
        <v>331.958191</v>
      </c>
      <c r="L255">
        <v>331.47467</v>
      </c>
      <c r="M255">
        <v>328.36953699999998</v>
      </c>
      <c r="N255">
        <v>329.76156600000002</v>
      </c>
      <c r="O255">
        <v>335.15133700000001</v>
      </c>
      <c r="P255">
        <v>340.68307499999997</v>
      </c>
      <c r="Q255">
        <v>344.650757</v>
      </c>
      <c r="R255">
        <v>348.52252199999998</v>
      </c>
      <c r="S255">
        <v>352.58496100000002</v>
      </c>
      <c r="T255">
        <v>357.61010700000003</v>
      </c>
      <c r="U255">
        <v>363.27615400000002</v>
      </c>
      <c r="V255">
        <v>367.84466600000002</v>
      </c>
      <c r="W255">
        <v>370.84301799999997</v>
      </c>
      <c r="X255">
        <v>373.680725</v>
      </c>
      <c r="Y255">
        <v>375.94732699999997</v>
      </c>
      <c r="Z255">
        <v>378.958191</v>
      </c>
      <c r="AA255">
        <v>382.14627100000001</v>
      </c>
      <c r="AB255">
        <v>384.421967</v>
      </c>
      <c r="AC255">
        <v>386.62838699999998</v>
      </c>
      <c r="AD255">
        <v>387.21048000000002</v>
      </c>
      <c r="AE255">
        <v>388.30838</v>
      </c>
      <c r="AF255">
        <v>390.23971599999999</v>
      </c>
      <c r="AG255" s="22">
        <v>2.3E-2</v>
      </c>
    </row>
    <row r="256" spans="1:33">
      <c r="A256" t="s">
        <v>171</v>
      </c>
    </row>
    <row r="257" spans="1:33">
      <c r="A257" t="s">
        <v>189</v>
      </c>
      <c r="B257" t="s">
        <v>2990</v>
      </c>
      <c r="C257" t="s">
        <v>2989</v>
      </c>
      <c r="D257" t="s">
        <v>270</v>
      </c>
      <c r="F257">
        <v>98.313300999999996</v>
      </c>
      <c r="G257">
        <v>97.836608999999996</v>
      </c>
      <c r="H257">
        <v>103.452797</v>
      </c>
      <c r="I257">
        <v>107.243362</v>
      </c>
      <c r="J257">
        <v>103.19278</v>
      </c>
      <c r="K257">
        <v>97.216232000000005</v>
      </c>
      <c r="L257">
        <v>92.846428000000003</v>
      </c>
      <c r="M257">
        <v>88.334923000000003</v>
      </c>
      <c r="N257">
        <v>84.694091999999998</v>
      </c>
      <c r="O257">
        <v>82.005225999999993</v>
      </c>
      <c r="P257">
        <v>78.010101000000006</v>
      </c>
      <c r="Q257">
        <v>73.601714999999999</v>
      </c>
      <c r="R257">
        <v>69.995048999999995</v>
      </c>
      <c r="S257">
        <v>66.991837000000004</v>
      </c>
      <c r="T257">
        <v>64.365700000000004</v>
      </c>
      <c r="U257">
        <v>61.897514000000001</v>
      </c>
      <c r="V257">
        <v>59.811084999999999</v>
      </c>
      <c r="W257">
        <v>58.321438000000001</v>
      </c>
      <c r="X257">
        <v>57.454478999999999</v>
      </c>
      <c r="Y257">
        <v>56.892189000000002</v>
      </c>
      <c r="Z257">
        <v>55.89143</v>
      </c>
      <c r="AA257">
        <v>54.660702000000001</v>
      </c>
      <c r="AB257">
        <v>53.547351999999997</v>
      </c>
      <c r="AC257">
        <v>53.545704000000001</v>
      </c>
      <c r="AD257">
        <v>53.922440000000002</v>
      </c>
      <c r="AE257">
        <v>53.735672000000001</v>
      </c>
      <c r="AF257">
        <v>53.022548999999998</v>
      </c>
      <c r="AG257" s="22">
        <v>-2.3E-2</v>
      </c>
    </row>
    <row r="258" spans="1:33">
      <c r="A258" t="s">
        <v>235</v>
      </c>
      <c r="B258" t="s">
        <v>2988</v>
      </c>
      <c r="C258" t="s">
        <v>2987</v>
      </c>
      <c r="D258" t="s">
        <v>270</v>
      </c>
      <c r="F258">
        <v>76.054267999999993</v>
      </c>
      <c r="G258">
        <v>77.454300000000003</v>
      </c>
      <c r="H258">
        <v>83.635658000000006</v>
      </c>
      <c r="I258">
        <v>88.378853000000007</v>
      </c>
      <c r="J258">
        <v>86.513474000000002</v>
      </c>
      <c r="K258">
        <v>82.790276000000006</v>
      </c>
      <c r="L258">
        <v>80.210464000000002</v>
      </c>
      <c r="M258">
        <v>77.315155000000004</v>
      </c>
      <c r="N258">
        <v>75.013228999999995</v>
      </c>
      <c r="O258">
        <v>73.405411000000001</v>
      </c>
      <c r="P258">
        <v>70.518044000000003</v>
      </c>
      <c r="Q258">
        <v>67.130249000000006</v>
      </c>
      <c r="R258">
        <v>64.362808000000001</v>
      </c>
      <c r="S258">
        <v>62.059382999999997</v>
      </c>
      <c r="T258">
        <v>60.030147999999997</v>
      </c>
      <c r="U258">
        <v>58.084083999999997</v>
      </c>
      <c r="V258">
        <v>56.441662000000001</v>
      </c>
      <c r="W258">
        <v>55.317905000000003</v>
      </c>
      <c r="X258">
        <v>54.749245000000002</v>
      </c>
      <c r="Y258">
        <v>54.443297999999999</v>
      </c>
      <c r="Z258">
        <v>53.692692000000001</v>
      </c>
      <c r="AA258">
        <v>52.695610000000002</v>
      </c>
      <c r="AB258">
        <v>51.788212000000001</v>
      </c>
      <c r="AC258">
        <v>51.938023000000001</v>
      </c>
      <c r="AD258">
        <v>52.443145999999999</v>
      </c>
      <c r="AE258">
        <v>52.388401000000002</v>
      </c>
      <c r="AF258">
        <v>51.808399000000001</v>
      </c>
      <c r="AG258" s="22">
        <v>-1.4999999999999999E-2</v>
      </c>
    </row>
    <row r="259" spans="1:33">
      <c r="A259" t="s">
        <v>192</v>
      </c>
      <c r="B259" t="s">
        <v>2986</v>
      </c>
      <c r="C259" t="s">
        <v>2985</v>
      </c>
      <c r="D259" t="s">
        <v>270</v>
      </c>
      <c r="F259">
        <v>1.7719999999999999E-3</v>
      </c>
      <c r="G259">
        <v>1.805E-3</v>
      </c>
      <c r="H259">
        <v>1.934E-3</v>
      </c>
      <c r="I259">
        <v>2.0270000000000002E-3</v>
      </c>
      <c r="J259">
        <v>1.9750000000000002E-3</v>
      </c>
      <c r="K259">
        <v>1.89E-3</v>
      </c>
      <c r="L259">
        <v>1.8389999999999999E-3</v>
      </c>
      <c r="M259">
        <v>1.7930000000000001E-3</v>
      </c>
      <c r="N259">
        <v>1.7730000000000001E-3</v>
      </c>
      <c r="O259">
        <v>1.779E-3</v>
      </c>
      <c r="P259">
        <v>1.774E-3</v>
      </c>
      <c r="Q259">
        <v>1.7669999999999999E-3</v>
      </c>
      <c r="R259">
        <v>1.7769999999999999E-3</v>
      </c>
      <c r="S259">
        <v>1.794E-3</v>
      </c>
      <c r="T259">
        <v>1.805E-3</v>
      </c>
      <c r="U259">
        <v>1.802E-3</v>
      </c>
      <c r="V259">
        <v>1.7899999999999999E-3</v>
      </c>
      <c r="W259">
        <v>1.7799999999999999E-3</v>
      </c>
      <c r="X259">
        <v>1.7799999999999999E-3</v>
      </c>
      <c r="Y259">
        <v>1.7799999999999999E-3</v>
      </c>
      <c r="Z259">
        <v>1.761E-3</v>
      </c>
      <c r="AA259">
        <v>1.7309999999999999E-3</v>
      </c>
      <c r="AB259">
        <v>1.7030000000000001E-3</v>
      </c>
      <c r="AC259">
        <v>1.7080000000000001E-3</v>
      </c>
      <c r="AD259">
        <v>1.7240000000000001E-3</v>
      </c>
      <c r="AE259">
        <v>1.7229999999999999E-3</v>
      </c>
      <c r="AF259">
        <v>1.7030000000000001E-3</v>
      </c>
      <c r="AG259" s="22">
        <v>-2E-3</v>
      </c>
    </row>
    <row r="260" spans="1:33">
      <c r="A260" t="s">
        <v>195</v>
      </c>
      <c r="B260" t="s">
        <v>2984</v>
      </c>
      <c r="C260" t="s">
        <v>2983</v>
      </c>
      <c r="D260" t="s">
        <v>270</v>
      </c>
      <c r="F260">
        <v>2.734982</v>
      </c>
      <c r="G260">
        <v>2.8151139999999999</v>
      </c>
      <c r="H260">
        <v>3.0271919999999999</v>
      </c>
      <c r="I260">
        <v>3.1629010000000002</v>
      </c>
      <c r="J260">
        <v>3.1006689999999999</v>
      </c>
      <c r="K260">
        <v>2.9745460000000001</v>
      </c>
      <c r="L260">
        <v>2.8916620000000002</v>
      </c>
      <c r="M260">
        <v>2.818619</v>
      </c>
      <c r="N260">
        <v>2.7908780000000002</v>
      </c>
      <c r="O260">
        <v>2.8054260000000002</v>
      </c>
      <c r="P260">
        <v>2.799328</v>
      </c>
      <c r="Q260">
        <v>2.78904</v>
      </c>
      <c r="R260">
        <v>2.7893089999999998</v>
      </c>
      <c r="S260">
        <v>2.8199649999999998</v>
      </c>
      <c r="T260">
        <v>2.852411</v>
      </c>
      <c r="U260">
        <v>2.859318</v>
      </c>
      <c r="V260">
        <v>2.8380749999999999</v>
      </c>
      <c r="W260">
        <v>2.8099569999999998</v>
      </c>
      <c r="X260">
        <v>2.8388279999999999</v>
      </c>
      <c r="Y260">
        <v>2.87378</v>
      </c>
      <c r="Z260">
        <v>2.8516379999999999</v>
      </c>
      <c r="AA260">
        <v>2.8105190000000002</v>
      </c>
      <c r="AB260">
        <v>2.7745690000000001</v>
      </c>
      <c r="AC260">
        <v>2.8271250000000001</v>
      </c>
      <c r="AD260">
        <v>2.8986519999999998</v>
      </c>
      <c r="AE260">
        <v>2.9838719999999999</v>
      </c>
      <c r="AF260">
        <v>2.9742109999999999</v>
      </c>
      <c r="AG260" s="22">
        <v>3.0000000000000001E-3</v>
      </c>
    </row>
    <row r="261" spans="1:33">
      <c r="A261" t="s">
        <v>236</v>
      </c>
      <c r="B261" t="s">
        <v>2982</v>
      </c>
      <c r="C261" t="s">
        <v>2981</v>
      </c>
      <c r="D261" t="s">
        <v>270</v>
      </c>
      <c r="F261">
        <v>1.7719999999999999E-3</v>
      </c>
      <c r="G261">
        <v>1.805E-3</v>
      </c>
      <c r="H261">
        <v>1.934E-3</v>
      </c>
      <c r="I261">
        <v>2.0270000000000002E-3</v>
      </c>
      <c r="J261">
        <v>1.9750000000000002E-3</v>
      </c>
      <c r="K261">
        <v>1.89E-3</v>
      </c>
      <c r="L261">
        <v>1.8389999999999999E-3</v>
      </c>
      <c r="M261">
        <v>1.7930000000000001E-3</v>
      </c>
      <c r="N261">
        <v>1.7730000000000001E-3</v>
      </c>
      <c r="O261">
        <v>1.779E-3</v>
      </c>
      <c r="P261">
        <v>1.774E-3</v>
      </c>
      <c r="Q261">
        <v>1.7669999999999999E-3</v>
      </c>
      <c r="R261">
        <v>1.7769999999999999E-3</v>
      </c>
      <c r="S261">
        <v>1.794E-3</v>
      </c>
      <c r="T261">
        <v>1.805E-3</v>
      </c>
      <c r="U261">
        <v>1.802E-3</v>
      </c>
      <c r="V261">
        <v>1.7899999999999999E-3</v>
      </c>
      <c r="W261">
        <v>1.7799999999999999E-3</v>
      </c>
      <c r="X261">
        <v>1.7799999999999999E-3</v>
      </c>
      <c r="Y261">
        <v>1.7799999999999999E-3</v>
      </c>
      <c r="Z261">
        <v>1.761E-3</v>
      </c>
      <c r="AA261">
        <v>1.7309999999999999E-3</v>
      </c>
      <c r="AB261">
        <v>1.7030000000000001E-3</v>
      </c>
      <c r="AC261">
        <v>1.7080000000000001E-3</v>
      </c>
      <c r="AD261">
        <v>1.7240000000000001E-3</v>
      </c>
      <c r="AE261">
        <v>1.7229999999999999E-3</v>
      </c>
      <c r="AF261">
        <v>1.7030000000000001E-3</v>
      </c>
      <c r="AG261" s="22">
        <v>-2E-3</v>
      </c>
    </row>
    <row r="262" spans="1:33">
      <c r="A262" t="s">
        <v>237</v>
      </c>
      <c r="B262" t="s">
        <v>2980</v>
      </c>
      <c r="C262" t="s">
        <v>2979</v>
      </c>
      <c r="D262" t="s">
        <v>270</v>
      </c>
      <c r="F262">
        <v>0.113667</v>
      </c>
      <c r="G262">
        <v>0.115771</v>
      </c>
      <c r="H262">
        <v>0.12402299999999999</v>
      </c>
      <c r="I262">
        <v>0.12998299999999999</v>
      </c>
      <c r="J262">
        <v>0.126668</v>
      </c>
      <c r="K262">
        <v>0.121198</v>
      </c>
      <c r="L262">
        <v>0.117975</v>
      </c>
      <c r="M262">
        <v>0.114995</v>
      </c>
      <c r="N262">
        <v>0.113729</v>
      </c>
      <c r="O262">
        <v>0.11407299999999999</v>
      </c>
      <c r="P262">
        <v>0.113798</v>
      </c>
      <c r="Q262">
        <v>0.113326</v>
      </c>
      <c r="R262">
        <v>0.113995</v>
      </c>
      <c r="S262">
        <v>0.115079</v>
      </c>
      <c r="T262">
        <v>0.115797</v>
      </c>
      <c r="U262">
        <v>0.115552</v>
      </c>
      <c r="V262">
        <v>0.1148</v>
      </c>
      <c r="W262">
        <v>0.11419799999999999</v>
      </c>
      <c r="X262">
        <v>0.114139</v>
      </c>
      <c r="Y262">
        <v>0.114187</v>
      </c>
      <c r="Z262">
        <v>0.11297699999999999</v>
      </c>
      <c r="AA262">
        <v>0.111053</v>
      </c>
      <c r="AB262">
        <v>0.10920299999999999</v>
      </c>
      <c r="AC262">
        <v>0.10954899999999999</v>
      </c>
      <c r="AD262">
        <v>0.11060499999999999</v>
      </c>
      <c r="AE262">
        <v>0.110504</v>
      </c>
      <c r="AF262">
        <v>0.109221</v>
      </c>
      <c r="AG262" s="22">
        <v>-2E-3</v>
      </c>
    </row>
    <row r="263" spans="1:33">
      <c r="A263" t="s">
        <v>238</v>
      </c>
      <c r="B263" t="s">
        <v>2978</v>
      </c>
      <c r="C263" t="s">
        <v>2977</v>
      </c>
      <c r="D263" t="s">
        <v>270</v>
      </c>
      <c r="F263">
        <v>0</v>
      </c>
      <c r="G263">
        <v>0</v>
      </c>
      <c r="H263">
        <v>0.122118</v>
      </c>
      <c r="I263">
        <v>0.193159</v>
      </c>
      <c r="J263">
        <v>0.31195200000000001</v>
      </c>
      <c r="K263">
        <v>0.412692</v>
      </c>
      <c r="L263">
        <v>0.48345900000000003</v>
      </c>
      <c r="M263">
        <v>0.55136799999999997</v>
      </c>
      <c r="N263">
        <v>0.58849499999999999</v>
      </c>
      <c r="O263">
        <v>0</v>
      </c>
      <c r="P263">
        <v>0</v>
      </c>
      <c r="Q263">
        <v>0</v>
      </c>
      <c r="R263">
        <v>0</v>
      </c>
      <c r="S263">
        <v>0</v>
      </c>
      <c r="T263">
        <v>0</v>
      </c>
      <c r="U263">
        <v>0</v>
      </c>
      <c r="V263">
        <v>0</v>
      </c>
      <c r="W263">
        <v>0</v>
      </c>
      <c r="X263">
        <v>0</v>
      </c>
      <c r="Y263">
        <v>0</v>
      </c>
      <c r="Z263">
        <v>0</v>
      </c>
      <c r="AA263">
        <v>0</v>
      </c>
      <c r="AB263">
        <v>0</v>
      </c>
      <c r="AC263">
        <v>0</v>
      </c>
      <c r="AD263">
        <v>0</v>
      </c>
      <c r="AE263">
        <v>0</v>
      </c>
      <c r="AF263">
        <v>0</v>
      </c>
      <c r="AG263" t="s">
        <v>111</v>
      </c>
    </row>
    <row r="264" spans="1:33">
      <c r="A264" t="s">
        <v>239</v>
      </c>
      <c r="B264" t="s">
        <v>2976</v>
      </c>
      <c r="C264" t="s">
        <v>2975</v>
      </c>
      <c r="D264" t="s">
        <v>270</v>
      </c>
      <c r="F264">
        <v>0</v>
      </c>
      <c r="G264">
        <v>0.56174199999999996</v>
      </c>
      <c r="H264">
        <v>0.65029199999999998</v>
      </c>
      <c r="I264">
        <v>0.331312</v>
      </c>
      <c r="J264">
        <v>6.5602999999999995E-2</v>
      </c>
      <c r="K264">
        <v>0</v>
      </c>
      <c r="L264">
        <v>0</v>
      </c>
      <c r="M264">
        <v>0</v>
      </c>
      <c r="N264">
        <v>0</v>
      </c>
      <c r="O264">
        <v>0</v>
      </c>
      <c r="P264">
        <v>0</v>
      </c>
      <c r="Q264">
        <v>0</v>
      </c>
      <c r="R264">
        <v>0</v>
      </c>
      <c r="S264">
        <v>0</v>
      </c>
      <c r="T264">
        <v>0</v>
      </c>
      <c r="U264">
        <v>0</v>
      </c>
      <c r="V264">
        <v>0</v>
      </c>
      <c r="W264">
        <v>0</v>
      </c>
      <c r="X264">
        <v>0</v>
      </c>
      <c r="Y264">
        <v>0</v>
      </c>
      <c r="Z264">
        <v>0</v>
      </c>
      <c r="AA264">
        <v>0</v>
      </c>
      <c r="AB264">
        <v>0</v>
      </c>
      <c r="AC264">
        <v>0</v>
      </c>
      <c r="AD264">
        <v>0</v>
      </c>
      <c r="AE264">
        <v>0</v>
      </c>
      <c r="AF264">
        <v>0</v>
      </c>
      <c r="AG264" t="s">
        <v>111</v>
      </c>
    </row>
    <row r="265" spans="1:33">
      <c r="A265" t="s">
        <v>240</v>
      </c>
      <c r="B265" t="s">
        <v>2974</v>
      </c>
      <c r="C265" t="s">
        <v>2973</v>
      </c>
      <c r="D265" t="s">
        <v>270</v>
      </c>
      <c r="F265">
        <v>0</v>
      </c>
      <c r="G265">
        <v>0</v>
      </c>
      <c r="H265">
        <v>0</v>
      </c>
      <c r="I265">
        <v>0</v>
      </c>
      <c r="J265">
        <v>0</v>
      </c>
      <c r="K265">
        <v>0</v>
      </c>
      <c r="L265">
        <v>0</v>
      </c>
      <c r="M265">
        <v>0</v>
      </c>
      <c r="N265">
        <v>0</v>
      </c>
      <c r="O265">
        <v>0</v>
      </c>
      <c r="P265">
        <v>0</v>
      </c>
      <c r="Q265">
        <v>0</v>
      </c>
      <c r="R265">
        <v>0</v>
      </c>
      <c r="S265">
        <v>0</v>
      </c>
      <c r="T265">
        <v>0</v>
      </c>
      <c r="U265">
        <v>0</v>
      </c>
      <c r="V265">
        <v>0</v>
      </c>
      <c r="W265">
        <v>0</v>
      </c>
      <c r="X265">
        <v>0</v>
      </c>
      <c r="Y265">
        <v>0</v>
      </c>
      <c r="Z265">
        <v>0</v>
      </c>
      <c r="AA265">
        <v>0</v>
      </c>
      <c r="AB265">
        <v>0</v>
      </c>
      <c r="AC265">
        <v>0</v>
      </c>
      <c r="AD265">
        <v>0</v>
      </c>
      <c r="AE265">
        <v>0</v>
      </c>
      <c r="AF265">
        <v>0</v>
      </c>
      <c r="AG265" t="s">
        <v>111</v>
      </c>
    </row>
    <row r="266" spans="1:33">
      <c r="A266" t="s">
        <v>2320</v>
      </c>
      <c r="B266" t="s">
        <v>2972</v>
      </c>
      <c r="C266" t="s">
        <v>2971</v>
      </c>
      <c r="D266" t="s">
        <v>270</v>
      </c>
      <c r="F266">
        <v>0</v>
      </c>
      <c r="G266">
        <v>0</v>
      </c>
      <c r="H266">
        <v>0</v>
      </c>
      <c r="I266">
        <v>0</v>
      </c>
      <c r="J266">
        <v>0</v>
      </c>
      <c r="K266">
        <v>0</v>
      </c>
      <c r="L266">
        <v>0</v>
      </c>
      <c r="M266">
        <v>0</v>
      </c>
      <c r="N266">
        <v>0</v>
      </c>
      <c r="O266">
        <v>0</v>
      </c>
      <c r="P266">
        <v>0</v>
      </c>
      <c r="Q266">
        <v>0</v>
      </c>
      <c r="R266">
        <v>0</v>
      </c>
      <c r="S266">
        <v>0</v>
      </c>
      <c r="T266">
        <v>0</v>
      </c>
      <c r="U266">
        <v>0</v>
      </c>
      <c r="V266">
        <v>0</v>
      </c>
      <c r="W266">
        <v>0</v>
      </c>
      <c r="X266">
        <v>0</v>
      </c>
      <c r="Y266">
        <v>0</v>
      </c>
      <c r="Z266">
        <v>0</v>
      </c>
      <c r="AA266">
        <v>0</v>
      </c>
      <c r="AB266">
        <v>0</v>
      </c>
      <c r="AC266">
        <v>0</v>
      </c>
      <c r="AD266">
        <v>0</v>
      </c>
      <c r="AE266">
        <v>0</v>
      </c>
      <c r="AF266">
        <v>0</v>
      </c>
      <c r="AG266" t="s">
        <v>111</v>
      </c>
    </row>
    <row r="267" spans="1:33">
      <c r="A267" t="s">
        <v>2317</v>
      </c>
      <c r="B267" t="s">
        <v>2970</v>
      </c>
      <c r="C267" t="s">
        <v>2969</v>
      </c>
      <c r="D267" t="s">
        <v>270</v>
      </c>
      <c r="F267">
        <v>0</v>
      </c>
      <c r="G267">
        <v>1.7135560000000001</v>
      </c>
      <c r="H267">
        <v>2.350819</v>
      </c>
      <c r="I267">
        <v>3.2148279999999998</v>
      </c>
      <c r="J267">
        <v>4.1746100000000004</v>
      </c>
      <c r="K267">
        <v>5.4425470000000002</v>
      </c>
      <c r="L267">
        <v>7.3824759999999996</v>
      </c>
      <c r="M267">
        <v>10.151320999999999</v>
      </c>
      <c r="N267">
        <v>14.112121999999999</v>
      </c>
      <c r="O267">
        <v>19.519396</v>
      </c>
      <c r="P267">
        <v>25.979019000000001</v>
      </c>
      <c r="Q267">
        <v>33.050400000000003</v>
      </c>
      <c r="R267">
        <v>40.467086999999999</v>
      </c>
      <c r="S267">
        <v>47.431865999999999</v>
      </c>
      <c r="T267">
        <v>53.173378</v>
      </c>
      <c r="U267">
        <v>57.198608</v>
      </c>
      <c r="V267">
        <v>59.776516000000001</v>
      </c>
      <c r="W267">
        <v>61.481461000000003</v>
      </c>
      <c r="X267">
        <v>62.795741999999997</v>
      </c>
      <c r="Y267">
        <v>63.703178000000001</v>
      </c>
      <c r="Z267">
        <v>63.591166999999999</v>
      </c>
      <c r="AA267">
        <v>62.862864999999999</v>
      </c>
      <c r="AB267">
        <v>62.037998000000002</v>
      </c>
      <c r="AC267">
        <v>62.375670999999997</v>
      </c>
      <c r="AD267">
        <v>63.0672</v>
      </c>
      <c r="AE267">
        <v>63.067070000000001</v>
      </c>
      <c r="AF267">
        <v>62.370319000000002</v>
      </c>
      <c r="AG267" t="s">
        <v>111</v>
      </c>
    </row>
    <row r="268" spans="1:33">
      <c r="A268" t="s">
        <v>2314</v>
      </c>
      <c r="B268" t="s">
        <v>2968</v>
      </c>
      <c r="C268" t="s">
        <v>2967</v>
      </c>
      <c r="D268" t="s">
        <v>270</v>
      </c>
      <c r="F268">
        <v>0</v>
      </c>
      <c r="G268">
        <v>0</v>
      </c>
      <c r="H268">
        <v>0</v>
      </c>
      <c r="I268">
        <v>0</v>
      </c>
      <c r="J268">
        <v>0</v>
      </c>
      <c r="K268">
        <v>0</v>
      </c>
      <c r="L268">
        <v>0</v>
      </c>
      <c r="M268">
        <v>0</v>
      </c>
      <c r="N268">
        <v>0</v>
      </c>
      <c r="O268">
        <v>0</v>
      </c>
      <c r="P268">
        <v>0</v>
      </c>
      <c r="Q268">
        <v>0</v>
      </c>
      <c r="R268">
        <v>0</v>
      </c>
      <c r="S268">
        <v>0</v>
      </c>
      <c r="T268">
        <v>0</v>
      </c>
      <c r="U268">
        <v>0</v>
      </c>
      <c r="V268">
        <v>0</v>
      </c>
      <c r="W268">
        <v>0</v>
      </c>
      <c r="X268">
        <v>0</v>
      </c>
      <c r="Y268">
        <v>0</v>
      </c>
      <c r="Z268">
        <v>0</v>
      </c>
      <c r="AA268">
        <v>0</v>
      </c>
      <c r="AB268">
        <v>0</v>
      </c>
      <c r="AC268">
        <v>0</v>
      </c>
      <c r="AD268">
        <v>0</v>
      </c>
      <c r="AE268">
        <v>0</v>
      </c>
      <c r="AF268">
        <v>0</v>
      </c>
      <c r="AG268" t="s">
        <v>111</v>
      </c>
    </row>
    <row r="269" spans="1:33">
      <c r="A269" t="s">
        <v>242</v>
      </c>
      <c r="B269" t="s">
        <v>2966</v>
      </c>
      <c r="C269" t="s">
        <v>2965</v>
      </c>
      <c r="D269" t="s">
        <v>270</v>
      </c>
      <c r="F269">
        <v>177.219742</v>
      </c>
      <c r="G269">
        <v>180.500732</v>
      </c>
      <c r="H269">
        <v>193.36677599999999</v>
      </c>
      <c r="I269">
        <v>202.658447</v>
      </c>
      <c r="J269">
        <v>197.48968500000001</v>
      </c>
      <c r="K269">
        <v>188.96127300000001</v>
      </c>
      <c r="L269">
        <v>183.93614199999999</v>
      </c>
      <c r="M269">
        <v>179.28994800000001</v>
      </c>
      <c r="N269">
        <v>177.31608600000001</v>
      </c>
      <c r="O269">
        <v>177.85307299999999</v>
      </c>
      <c r="P269">
        <v>177.42384300000001</v>
      </c>
      <c r="Q269">
        <v>176.68826300000001</v>
      </c>
      <c r="R269">
        <v>177.73182700000001</v>
      </c>
      <c r="S269">
        <v>179.42169200000001</v>
      </c>
      <c r="T269">
        <v>180.54106100000001</v>
      </c>
      <c r="U269">
        <v>180.158661</v>
      </c>
      <c r="V269">
        <v>178.98571799999999</v>
      </c>
      <c r="W269">
        <v>178.04853800000001</v>
      </c>
      <c r="X269">
        <v>177.955994</v>
      </c>
      <c r="Y269">
        <v>178.03021200000001</v>
      </c>
      <c r="Z269">
        <v>176.14343299999999</v>
      </c>
      <c r="AA269">
        <v>173.144226</v>
      </c>
      <c r="AB269">
        <v>170.26071200000001</v>
      </c>
      <c r="AC269">
        <v>170.79948400000001</v>
      </c>
      <c r="AD269">
        <v>172.44551100000001</v>
      </c>
      <c r="AE269">
        <v>172.288971</v>
      </c>
      <c r="AF269">
        <v>170.28810100000001</v>
      </c>
      <c r="AG269" s="22">
        <v>-2E-3</v>
      </c>
    </row>
    <row r="270" spans="1:33">
      <c r="A270" t="s">
        <v>243</v>
      </c>
    </row>
    <row r="271" spans="1:33">
      <c r="A271" t="s">
        <v>189</v>
      </c>
      <c r="B271" t="s">
        <v>2964</v>
      </c>
      <c r="C271" t="s">
        <v>2963</v>
      </c>
      <c r="D271" t="s">
        <v>270</v>
      </c>
      <c r="F271">
        <v>307.59622200000001</v>
      </c>
      <c r="G271">
        <v>313.02185100000003</v>
      </c>
      <c r="H271">
        <v>335.22216800000001</v>
      </c>
      <c r="I271">
        <v>351.56460600000003</v>
      </c>
      <c r="J271">
        <v>342.586029</v>
      </c>
      <c r="K271">
        <v>327.72351099999997</v>
      </c>
      <c r="L271">
        <v>318.936554</v>
      </c>
      <c r="M271">
        <v>310.78518700000001</v>
      </c>
      <c r="N271">
        <v>307.22323599999999</v>
      </c>
      <c r="O271">
        <v>308.72027600000001</v>
      </c>
      <c r="P271">
        <v>307.94979899999998</v>
      </c>
      <c r="Q271">
        <v>306.63226300000002</v>
      </c>
      <c r="R271">
        <v>308.43292200000002</v>
      </c>
      <c r="S271">
        <v>311.27868699999999</v>
      </c>
      <c r="T271">
        <v>313.22674599999999</v>
      </c>
      <c r="U271">
        <v>312.47369400000002</v>
      </c>
      <c r="V271">
        <v>310.26293900000002</v>
      </c>
      <c r="W271">
        <v>308.45281999999997</v>
      </c>
      <c r="X271">
        <v>308.23263500000002</v>
      </c>
      <c r="Y271">
        <v>308.30825800000002</v>
      </c>
      <c r="Z271">
        <v>304.84274299999998</v>
      </c>
      <c r="AA271">
        <v>299.50528000000003</v>
      </c>
      <c r="AB271">
        <v>294.25860599999999</v>
      </c>
      <c r="AC271">
        <v>294.85919200000001</v>
      </c>
      <c r="AD271">
        <v>297.13476600000001</v>
      </c>
      <c r="AE271">
        <v>296.41198700000001</v>
      </c>
      <c r="AF271">
        <v>292.27603099999999</v>
      </c>
      <c r="AG271" s="22">
        <v>-2E-3</v>
      </c>
    </row>
    <row r="272" spans="1:33">
      <c r="A272" t="s">
        <v>235</v>
      </c>
      <c r="B272" t="s">
        <v>2962</v>
      </c>
      <c r="C272" t="s">
        <v>2961</v>
      </c>
      <c r="D272" t="s">
        <v>270</v>
      </c>
      <c r="F272">
        <v>0.164275</v>
      </c>
      <c r="G272">
        <v>0.16734399999999999</v>
      </c>
      <c r="H272">
        <v>0.17882999999999999</v>
      </c>
      <c r="I272">
        <v>0.18709799999999999</v>
      </c>
      <c r="J272">
        <v>0.18209800000000001</v>
      </c>
      <c r="K272">
        <v>0.173901</v>
      </c>
      <c r="L272">
        <v>0.16891500000000001</v>
      </c>
      <c r="M272">
        <v>0.16417200000000001</v>
      </c>
      <c r="N272">
        <v>0.16173799999999999</v>
      </c>
      <c r="O272">
        <v>0.16499900000000001</v>
      </c>
      <c r="P272">
        <v>0.164607</v>
      </c>
      <c r="Q272">
        <v>0.16392899999999999</v>
      </c>
      <c r="R272">
        <v>0.16490099999999999</v>
      </c>
      <c r="S272">
        <v>0.16647300000000001</v>
      </c>
      <c r="T272">
        <v>0.167514</v>
      </c>
      <c r="U272">
        <v>0.16716200000000001</v>
      </c>
      <c r="V272">
        <v>0.166076</v>
      </c>
      <c r="W272">
        <v>0.16520799999999999</v>
      </c>
      <c r="X272">
        <v>0.16512299999999999</v>
      </c>
      <c r="Y272">
        <v>0.16519300000000001</v>
      </c>
      <c r="Z272">
        <v>0.16344400000000001</v>
      </c>
      <c r="AA272">
        <v>0.160662</v>
      </c>
      <c r="AB272">
        <v>0.15798699999999999</v>
      </c>
      <c r="AC272">
        <v>0.15848699999999999</v>
      </c>
      <c r="AD272">
        <v>0.16001499999999999</v>
      </c>
      <c r="AE272">
        <v>0.15987000000000001</v>
      </c>
      <c r="AF272">
        <v>0.15801000000000001</v>
      </c>
      <c r="AG272" s="22">
        <v>-1E-3</v>
      </c>
    </row>
    <row r="273" spans="1:33">
      <c r="A273" t="s">
        <v>192</v>
      </c>
      <c r="B273" t="s">
        <v>2960</v>
      </c>
      <c r="C273" t="s">
        <v>2959</v>
      </c>
      <c r="D273" t="s">
        <v>270</v>
      </c>
      <c r="F273">
        <v>0.15823000000000001</v>
      </c>
      <c r="G273">
        <v>0.161159</v>
      </c>
      <c r="H273">
        <v>0.17264699999999999</v>
      </c>
      <c r="I273">
        <v>0.18094299999999999</v>
      </c>
      <c r="J273">
        <v>0.17632800000000001</v>
      </c>
      <c r="K273">
        <v>0.168714</v>
      </c>
      <c r="L273">
        <v>0.16422700000000001</v>
      </c>
      <c r="M273">
        <v>0.160079</v>
      </c>
      <c r="N273">
        <v>0.15831600000000001</v>
      </c>
      <c r="O273">
        <v>0.15879699999999999</v>
      </c>
      <c r="P273">
        <v>0.158414</v>
      </c>
      <c r="Q273">
        <v>0.15775800000000001</v>
      </c>
      <c r="R273">
        <v>0.158689</v>
      </c>
      <c r="S273">
        <v>0.16019800000000001</v>
      </c>
      <c r="T273">
        <v>0.16119800000000001</v>
      </c>
      <c r="U273">
        <v>0.160856</v>
      </c>
      <c r="V273">
        <v>0.15980900000000001</v>
      </c>
      <c r="W273">
        <v>0.158972</v>
      </c>
      <c r="X273">
        <v>0.158889</v>
      </c>
      <c r="Y273">
        <v>0.15895599999999999</v>
      </c>
      <c r="Z273">
        <v>0.15727099999999999</v>
      </c>
      <c r="AA273">
        <v>0.15459300000000001</v>
      </c>
      <c r="AB273">
        <v>0.15201799999999999</v>
      </c>
      <c r="AC273">
        <v>0.152499</v>
      </c>
      <c r="AD273">
        <v>0.15396799999999999</v>
      </c>
      <c r="AE273">
        <v>0.15382799999999999</v>
      </c>
      <c r="AF273">
        <v>0.15203900000000001</v>
      </c>
      <c r="AG273" s="22">
        <v>-2E-3</v>
      </c>
    </row>
    <row r="274" spans="1:33">
      <c r="A274" t="s">
        <v>195</v>
      </c>
      <c r="B274" t="s">
        <v>2958</v>
      </c>
      <c r="C274" t="s">
        <v>2957</v>
      </c>
      <c r="D274" t="s">
        <v>270</v>
      </c>
      <c r="F274">
        <v>4.9517290000000003</v>
      </c>
      <c r="G274">
        <v>5.312443</v>
      </c>
      <c r="H274">
        <v>5.6818520000000001</v>
      </c>
      <c r="I274">
        <v>5.6170330000000002</v>
      </c>
      <c r="J274">
        <v>5.4386429999999999</v>
      </c>
      <c r="K274">
        <v>5.203786</v>
      </c>
      <c r="L274">
        <v>5.0673890000000004</v>
      </c>
      <c r="M274">
        <v>4.9440660000000003</v>
      </c>
      <c r="N274">
        <v>4.9118769999999996</v>
      </c>
      <c r="O274">
        <v>4.9445069999999998</v>
      </c>
      <c r="P274">
        <v>4.9579420000000001</v>
      </c>
      <c r="Q274">
        <v>4.9781510000000004</v>
      </c>
      <c r="R274">
        <v>5.0178739999999999</v>
      </c>
      <c r="S274">
        <v>5.1524660000000004</v>
      </c>
      <c r="T274">
        <v>5.1785119999999996</v>
      </c>
      <c r="U274">
        <v>5.2572320000000001</v>
      </c>
      <c r="V274">
        <v>5.3993229999999999</v>
      </c>
      <c r="W274">
        <v>5.556578</v>
      </c>
      <c r="X274">
        <v>5.6135780000000004</v>
      </c>
      <c r="Y274">
        <v>5.6688020000000003</v>
      </c>
      <c r="Z274">
        <v>5.8067770000000003</v>
      </c>
      <c r="AA274">
        <v>5.8547640000000003</v>
      </c>
      <c r="AB274">
        <v>6.0161300000000004</v>
      </c>
      <c r="AC274">
        <v>6.3656329999999999</v>
      </c>
      <c r="AD274">
        <v>6.993036</v>
      </c>
      <c r="AE274">
        <v>7.4397250000000001</v>
      </c>
      <c r="AF274">
        <v>8.0469609999999996</v>
      </c>
      <c r="AG274" s="22">
        <v>1.9E-2</v>
      </c>
    </row>
    <row r="275" spans="1:33">
      <c r="A275" t="s">
        <v>236</v>
      </c>
      <c r="B275" t="s">
        <v>2956</v>
      </c>
      <c r="C275" t="s">
        <v>2955</v>
      </c>
      <c r="D275" t="s">
        <v>270</v>
      </c>
      <c r="F275">
        <v>0</v>
      </c>
      <c r="G275">
        <v>0</v>
      </c>
      <c r="H275">
        <v>0</v>
      </c>
      <c r="I275">
        <v>0</v>
      </c>
      <c r="J275">
        <v>0</v>
      </c>
      <c r="K275">
        <v>0</v>
      </c>
      <c r="L275">
        <v>0</v>
      </c>
      <c r="M275">
        <v>0</v>
      </c>
      <c r="N275">
        <v>0</v>
      </c>
      <c r="O275">
        <v>0</v>
      </c>
      <c r="P275">
        <v>0</v>
      </c>
      <c r="Q275">
        <v>0</v>
      </c>
      <c r="R275">
        <v>0</v>
      </c>
      <c r="S275">
        <v>0</v>
      </c>
      <c r="T275">
        <v>0</v>
      </c>
      <c r="U275">
        <v>0</v>
      </c>
      <c r="V275">
        <v>0</v>
      </c>
      <c r="W275">
        <v>0</v>
      </c>
      <c r="X275">
        <v>0</v>
      </c>
      <c r="Y275">
        <v>0</v>
      </c>
      <c r="Z275">
        <v>0</v>
      </c>
      <c r="AA275">
        <v>0</v>
      </c>
      <c r="AB275">
        <v>0</v>
      </c>
      <c r="AC275">
        <v>0</v>
      </c>
      <c r="AD275">
        <v>0</v>
      </c>
      <c r="AE275">
        <v>0</v>
      </c>
      <c r="AF275">
        <v>0</v>
      </c>
      <c r="AG275" t="s">
        <v>111</v>
      </c>
    </row>
    <row r="276" spans="1:33">
      <c r="A276" t="s">
        <v>237</v>
      </c>
      <c r="B276" t="s">
        <v>2954</v>
      </c>
      <c r="C276" t="s">
        <v>2953</v>
      </c>
      <c r="D276" t="s">
        <v>270</v>
      </c>
      <c r="F276">
        <v>0.73615900000000001</v>
      </c>
      <c r="G276">
        <v>0.74978900000000004</v>
      </c>
      <c r="H276">
        <v>0.80323500000000003</v>
      </c>
      <c r="I276">
        <v>0.84183300000000005</v>
      </c>
      <c r="J276">
        <v>0.82036399999999998</v>
      </c>
      <c r="K276">
        <v>0.78493800000000002</v>
      </c>
      <c r="L276">
        <v>0.76406399999999997</v>
      </c>
      <c r="M276">
        <v>0.74476500000000001</v>
      </c>
      <c r="N276">
        <v>0.73656500000000003</v>
      </c>
      <c r="O276">
        <v>0.73880100000000004</v>
      </c>
      <c r="P276">
        <v>0.73701899999999998</v>
      </c>
      <c r="Q276">
        <v>0.73396300000000003</v>
      </c>
      <c r="R276">
        <v>0.73829800000000001</v>
      </c>
      <c r="S276">
        <v>0.74531800000000004</v>
      </c>
      <c r="T276">
        <v>0.74996799999999997</v>
      </c>
      <c r="U276">
        <v>0.74838000000000005</v>
      </c>
      <c r="V276">
        <v>0.74350700000000003</v>
      </c>
      <c r="W276">
        <v>0.73961399999999999</v>
      </c>
      <c r="X276">
        <v>0.73922500000000002</v>
      </c>
      <c r="Y276">
        <v>0.73953599999999997</v>
      </c>
      <c r="Z276">
        <v>0.73169799999999996</v>
      </c>
      <c r="AA276">
        <v>0.71923599999999999</v>
      </c>
      <c r="AB276">
        <v>0.70725899999999997</v>
      </c>
      <c r="AC276">
        <v>0.70949399999999996</v>
      </c>
      <c r="AD276">
        <v>0.71632700000000005</v>
      </c>
      <c r="AE276">
        <v>0.71567499999999995</v>
      </c>
      <c r="AF276">
        <v>0.70735400000000004</v>
      </c>
      <c r="AG276" s="22">
        <v>-2E-3</v>
      </c>
    </row>
    <row r="277" spans="1:33">
      <c r="A277" t="s">
        <v>238</v>
      </c>
      <c r="B277" t="s">
        <v>2952</v>
      </c>
      <c r="C277" t="s">
        <v>2951</v>
      </c>
      <c r="D277" t="s">
        <v>270</v>
      </c>
      <c r="F277">
        <v>0</v>
      </c>
      <c r="G277">
        <v>0</v>
      </c>
      <c r="H277">
        <v>0.121547</v>
      </c>
      <c r="I277">
        <v>0.23117199999999999</v>
      </c>
      <c r="J277">
        <v>0.2727</v>
      </c>
      <c r="K277">
        <v>0.32945400000000002</v>
      </c>
      <c r="L277">
        <v>0.39071099999999997</v>
      </c>
      <c r="M277">
        <v>0.47172500000000001</v>
      </c>
      <c r="N277">
        <v>0.58538199999999996</v>
      </c>
      <c r="O277">
        <v>0</v>
      </c>
      <c r="P277">
        <v>0</v>
      </c>
      <c r="Q277">
        <v>0</v>
      </c>
      <c r="R277">
        <v>0</v>
      </c>
      <c r="S277">
        <v>0</v>
      </c>
      <c r="T277">
        <v>0</v>
      </c>
      <c r="U277">
        <v>0</v>
      </c>
      <c r="V277">
        <v>0</v>
      </c>
      <c r="W277">
        <v>0</v>
      </c>
      <c r="X277">
        <v>0</v>
      </c>
      <c r="Y277">
        <v>0</v>
      </c>
      <c r="Z277">
        <v>0</v>
      </c>
      <c r="AA277">
        <v>0</v>
      </c>
      <c r="AB277">
        <v>0</v>
      </c>
      <c r="AC277">
        <v>0</v>
      </c>
      <c r="AD277">
        <v>0</v>
      </c>
      <c r="AE277">
        <v>0</v>
      </c>
      <c r="AF277">
        <v>0</v>
      </c>
      <c r="AG277" t="s">
        <v>111</v>
      </c>
    </row>
    <row r="278" spans="1:33">
      <c r="A278" t="s">
        <v>239</v>
      </c>
      <c r="B278" t="s">
        <v>2950</v>
      </c>
      <c r="C278" t="s">
        <v>2949</v>
      </c>
      <c r="D278" t="s">
        <v>270</v>
      </c>
      <c r="F278">
        <v>0</v>
      </c>
      <c r="G278">
        <v>0</v>
      </c>
      <c r="H278">
        <v>0</v>
      </c>
      <c r="I278">
        <v>0</v>
      </c>
      <c r="J278">
        <v>0</v>
      </c>
      <c r="K278">
        <v>0</v>
      </c>
      <c r="L278">
        <v>0</v>
      </c>
      <c r="M278">
        <v>0</v>
      </c>
      <c r="N278">
        <v>0</v>
      </c>
      <c r="O278">
        <v>0</v>
      </c>
      <c r="P278">
        <v>0</v>
      </c>
      <c r="Q278">
        <v>0</v>
      </c>
      <c r="R278">
        <v>0</v>
      </c>
      <c r="S278">
        <v>0</v>
      </c>
      <c r="T278">
        <v>0</v>
      </c>
      <c r="U278">
        <v>0</v>
      </c>
      <c r="V278">
        <v>0</v>
      </c>
      <c r="W278">
        <v>0</v>
      </c>
      <c r="X278">
        <v>0</v>
      </c>
      <c r="Y278">
        <v>0</v>
      </c>
      <c r="Z278">
        <v>0</v>
      </c>
      <c r="AA278">
        <v>0</v>
      </c>
      <c r="AB278">
        <v>0</v>
      </c>
      <c r="AC278">
        <v>0</v>
      </c>
      <c r="AD278">
        <v>0</v>
      </c>
      <c r="AE278">
        <v>0</v>
      </c>
      <c r="AF278">
        <v>0</v>
      </c>
      <c r="AG278" t="s">
        <v>111</v>
      </c>
    </row>
    <row r="279" spans="1:33">
      <c r="A279" t="s">
        <v>240</v>
      </c>
      <c r="B279" t="s">
        <v>2948</v>
      </c>
      <c r="C279" t="s">
        <v>2947</v>
      </c>
      <c r="D279" t="s">
        <v>270</v>
      </c>
      <c r="F279">
        <v>0</v>
      </c>
      <c r="G279">
        <v>0</v>
      </c>
      <c r="H279">
        <v>0</v>
      </c>
      <c r="I279">
        <v>0</v>
      </c>
      <c r="J279">
        <v>0</v>
      </c>
      <c r="K279">
        <v>0</v>
      </c>
      <c r="L279">
        <v>0</v>
      </c>
      <c r="M279">
        <v>0</v>
      </c>
      <c r="N279">
        <v>0</v>
      </c>
      <c r="O279">
        <v>0</v>
      </c>
      <c r="P279">
        <v>0</v>
      </c>
      <c r="Q279">
        <v>0</v>
      </c>
      <c r="R279">
        <v>0</v>
      </c>
      <c r="S279">
        <v>0</v>
      </c>
      <c r="T279">
        <v>0</v>
      </c>
      <c r="U279">
        <v>0</v>
      </c>
      <c r="V279">
        <v>0</v>
      </c>
      <c r="W279">
        <v>0</v>
      </c>
      <c r="X279">
        <v>0</v>
      </c>
      <c r="Y279">
        <v>0</v>
      </c>
      <c r="Z279">
        <v>0</v>
      </c>
      <c r="AA279">
        <v>0</v>
      </c>
      <c r="AB279">
        <v>0</v>
      </c>
      <c r="AC279">
        <v>0</v>
      </c>
      <c r="AD279">
        <v>0</v>
      </c>
      <c r="AE279">
        <v>0</v>
      </c>
      <c r="AF279">
        <v>0</v>
      </c>
      <c r="AG279" t="s">
        <v>111</v>
      </c>
    </row>
    <row r="280" spans="1:33">
      <c r="A280" t="s">
        <v>2320</v>
      </c>
      <c r="B280" t="s">
        <v>2946</v>
      </c>
      <c r="C280" t="s">
        <v>2945</v>
      </c>
      <c r="D280" t="s">
        <v>270</v>
      </c>
      <c r="F280">
        <v>0</v>
      </c>
      <c r="G280">
        <v>0</v>
      </c>
      <c r="H280">
        <v>0</v>
      </c>
      <c r="I280">
        <v>0</v>
      </c>
      <c r="J280">
        <v>0</v>
      </c>
      <c r="K280">
        <v>0</v>
      </c>
      <c r="L280">
        <v>0</v>
      </c>
      <c r="M280">
        <v>0</v>
      </c>
      <c r="N280">
        <v>0</v>
      </c>
      <c r="O280">
        <v>0</v>
      </c>
      <c r="P280">
        <v>0</v>
      </c>
      <c r="Q280">
        <v>0</v>
      </c>
      <c r="R280">
        <v>0</v>
      </c>
      <c r="S280">
        <v>0</v>
      </c>
      <c r="T280">
        <v>0</v>
      </c>
      <c r="U280">
        <v>0</v>
      </c>
      <c r="V280">
        <v>0</v>
      </c>
      <c r="W280">
        <v>0</v>
      </c>
      <c r="X280">
        <v>0</v>
      </c>
      <c r="Y280">
        <v>0</v>
      </c>
      <c r="Z280">
        <v>0</v>
      </c>
      <c r="AA280">
        <v>0</v>
      </c>
      <c r="AB280">
        <v>0</v>
      </c>
      <c r="AC280">
        <v>0</v>
      </c>
      <c r="AD280">
        <v>0</v>
      </c>
      <c r="AE280">
        <v>0</v>
      </c>
      <c r="AF280">
        <v>0</v>
      </c>
      <c r="AG280" t="s">
        <v>111</v>
      </c>
    </row>
    <row r="281" spans="1:33">
      <c r="A281" t="s">
        <v>2317</v>
      </c>
      <c r="B281" t="s">
        <v>2944</v>
      </c>
      <c r="C281" t="s">
        <v>2943</v>
      </c>
      <c r="D281" t="s">
        <v>270</v>
      </c>
      <c r="F281">
        <v>0</v>
      </c>
      <c r="G281">
        <v>0</v>
      </c>
      <c r="H281">
        <v>0</v>
      </c>
      <c r="I281">
        <v>0</v>
      </c>
      <c r="J281">
        <v>0</v>
      </c>
      <c r="K281">
        <v>0</v>
      </c>
      <c r="L281">
        <v>0</v>
      </c>
      <c r="M281">
        <v>0</v>
      </c>
      <c r="N281">
        <v>0</v>
      </c>
      <c r="O281">
        <v>0</v>
      </c>
      <c r="P281">
        <v>0</v>
      </c>
      <c r="Q281">
        <v>0</v>
      </c>
      <c r="R281">
        <v>0</v>
      </c>
      <c r="S281">
        <v>0</v>
      </c>
      <c r="T281">
        <v>0</v>
      </c>
      <c r="U281">
        <v>0</v>
      </c>
      <c r="V281">
        <v>0</v>
      </c>
      <c r="W281">
        <v>0</v>
      </c>
      <c r="X281">
        <v>0</v>
      </c>
      <c r="Y281">
        <v>0</v>
      </c>
      <c r="Z281">
        <v>0</v>
      </c>
      <c r="AA281">
        <v>0</v>
      </c>
      <c r="AB281">
        <v>0</v>
      </c>
      <c r="AC281">
        <v>0</v>
      </c>
      <c r="AD281">
        <v>0</v>
      </c>
      <c r="AE281">
        <v>0</v>
      </c>
      <c r="AF281">
        <v>0</v>
      </c>
      <c r="AG281" t="s">
        <v>111</v>
      </c>
    </row>
    <row r="282" spans="1:33">
      <c r="A282" t="s">
        <v>2314</v>
      </c>
      <c r="B282" t="s">
        <v>2942</v>
      </c>
      <c r="C282" t="s">
        <v>2941</v>
      </c>
      <c r="D282" t="s">
        <v>270</v>
      </c>
      <c r="F282">
        <v>0</v>
      </c>
      <c r="G282">
        <v>0</v>
      </c>
      <c r="H282">
        <v>0</v>
      </c>
      <c r="I282">
        <v>0</v>
      </c>
      <c r="J282">
        <v>0</v>
      </c>
      <c r="K282">
        <v>0</v>
      </c>
      <c r="L282">
        <v>0</v>
      </c>
      <c r="M282">
        <v>0</v>
      </c>
      <c r="N282">
        <v>0</v>
      </c>
      <c r="O282">
        <v>0</v>
      </c>
      <c r="P282">
        <v>0</v>
      </c>
      <c r="Q282">
        <v>0</v>
      </c>
      <c r="R282">
        <v>0</v>
      </c>
      <c r="S282">
        <v>0</v>
      </c>
      <c r="T282">
        <v>0</v>
      </c>
      <c r="U282">
        <v>0</v>
      </c>
      <c r="V282">
        <v>0</v>
      </c>
      <c r="W282">
        <v>0</v>
      </c>
      <c r="X282">
        <v>0</v>
      </c>
      <c r="Y282">
        <v>0</v>
      </c>
      <c r="Z282">
        <v>0</v>
      </c>
      <c r="AA282">
        <v>0</v>
      </c>
      <c r="AB282">
        <v>0</v>
      </c>
      <c r="AC282">
        <v>0</v>
      </c>
      <c r="AD282">
        <v>0</v>
      </c>
      <c r="AE282">
        <v>0</v>
      </c>
      <c r="AF282">
        <v>0</v>
      </c>
      <c r="AG282" t="s">
        <v>111</v>
      </c>
    </row>
    <row r="283" spans="1:33">
      <c r="A283" t="s">
        <v>244</v>
      </c>
      <c r="B283" t="s">
        <v>2940</v>
      </c>
      <c r="C283" t="s">
        <v>2939</v>
      </c>
      <c r="D283" t="s">
        <v>270</v>
      </c>
      <c r="F283">
        <v>313.60665899999998</v>
      </c>
      <c r="G283">
        <v>319.41256700000002</v>
      </c>
      <c r="H283">
        <v>342.18023699999998</v>
      </c>
      <c r="I283">
        <v>358.62271099999998</v>
      </c>
      <c r="J283">
        <v>349.476135</v>
      </c>
      <c r="K283">
        <v>334.38430799999998</v>
      </c>
      <c r="L283">
        <v>325.49188199999998</v>
      </c>
      <c r="M283">
        <v>317.27001999999999</v>
      </c>
      <c r="N283">
        <v>313.77713</v>
      </c>
      <c r="O283">
        <v>314.72732500000001</v>
      </c>
      <c r="P283">
        <v>313.967804</v>
      </c>
      <c r="Q283">
        <v>312.66604599999999</v>
      </c>
      <c r="R283">
        <v>314.51275600000002</v>
      </c>
      <c r="S283">
        <v>317.50311299999998</v>
      </c>
      <c r="T283">
        <v>319.483948</v>
      </c>
      <c r="U283">
        <v>318.80731200000002</v>
      </c>
      <c r="V283">
        <v>316.731628</v>
      </c>
      <c r="W283">
        <v>315.07318099999998</v>
      </c>
      <c r="X283">
        <v>314.909424</v>
      </c>
      <c r="Y283">
        <v>315.04077100000001</v>
      </c>
      <c r="Z283">
        <v>311.70193499999999</v>
      </c>
      <c r="AA283">
        <v>306.39459199999999</v>
      </c>
      <c r="AB283">
        <v>301.29199199999999</v>
      </c>
      <c r="AC283">
        <v>302.245361</v>
      </c>
      <c r="AD283">
        <v>305.15811200000002</v>
      </c>
      <c r="AE283">
        <v>304.88110399999999</v>
      </c>
      <c r="AF283">
        <v>301.34033199999999</v>
      </c>
      <c r="AG283" s="22">
        <v>-2E-3</v>
      </c>
    </row>
    <row r="284" spans="1:33">
      <c r="A284" t="s">
        <v>256</v>
      </c>
      <c r="B284" t="s">
        <v>2938</v>
      </c>
      <c r="C284" t="s">
        <v>2937</v>
      </c>
      <c r="D284" t="s">
        <v>270</v>
      </c>
      <c r="F284">
        <v>709.18963599999995</v>
      </c>
      <c r="G284">
        <v>815.67779499999995</v>
      </c>
      <c r="H284">
        <v>867.31158400000004</v>
      </c>
      <c r="I284">
        <v>899.99011199999995</v>
      </c>
      <c r="J284">
        <v>880.84381099999996</v>
      </c>
      <c r="K284">
        <v>855.30389400000001</v>
      </c>
      <c r="L284">
        <v>840.902649</v>
      </c>
      <c r="M284">
        <v>824.92938200000003</v>
      </c>
      <c r="N284">
        <v>820.85467500000004</v>
      </c>
      <c r="O284">
        <v>827.73187299999995</v>
      </c>
      <c r="P284">
        <v>832.07470699999999</v>
      </c>
      <c r="Q284">
        <v>834.00494400000002</v>
      </c>
      <c r="R284">
        <v>840.76702899999998</v>
      </c>
      <c r="S284">
        <v>849.50982699999997</v>
      </c>
      <c r="T284">
        <v>857.63500999999997</v>
      </c>
      <c r="U284">
        <v>862.24194299999999</v>
      </c>
      <c r="V284">
        <v>863.56207300000005</v>
      </c>
      <c r="W284">
        <v>863.96466099999998</v>
      </c>
      <c r="X284">
        <v>866.54614300000003</v>
      </c>
      <c r="Y284">
        <v>869.01824999999997</v>
      </c>
      <c r="Z284">
        <v>866.80364999999995</v>
      </c>
      <c r="AA284">
        <v>861.68536400000005</v>
      </c>
      <c r="AB284">
        <v>855.97473100000002</v>
      </c>
      <c r="AC284">
        <v>859.67327899999998</v>
      </c>
      <c r="AD284">
        <v>864.81408699999997</v>
      </c>
      <c r="AE284">
        <v>865.47839399999998</v>
      </c>
      <c r="AF284">
        <v>861.86840800000004</v>
      </c>
      <c r="AG284" s="22">
        <v>8.0000000000000002E-3</v>
      </c>
    </row>
    <row r="285" spans="1:33">
      <c r="A285" t="s">
        <v>149</v>
      </c>
    </row>
    <row r="286" spans="1:33">
      <c r="A286" t="s">
        <v>257</v>
      </c>
      <c r="B286" t="s">
        <v>2936</v>
      </c>
      <c r="C286" t="s">
        <v>2935</v>
      </c>
      <c r="D286" t="s">
        <v>271</v>
      </c>
      <c r="F286">
        <v>1464.855225</v>
      </c>
      <c r="G286">
        <v>1498.5776370000001</v>
      </c>
      <c r="H286">
        <v>1462.373169</v>
      </c>
      <c r="I286">
        <v>1413.733154</v>
      </c>
      <c r="J286">
        <v>1414.115112</v>
      </c>
      <c r="K286">
        <v>1410.565186</v>
      </c>
      <c r="L286">
        <v>1369.7414550000001</v>
      </c>
      <c r="M286">
        <v>1370.1805420000001</v>
      </c>
      <c r="N286">
        <v>1305.8111570000001</v>
      </c>
      <c r="O286">
        <v>1312.2113039999999</v>
      </c>
      <c r="P286">
        <v>1299.8524170000001</v>
      </c>
      <c r="Q286">
        <v>1300.4210210000001</v>
      </c>
      <c r="R286">
        <v>1305.7510990000001</v>
      </c>
      <c r="S286">
        <v>1312.3923339999999</v>
      </c>
      <c r="T286">
        <v>1330.286621</v>
      </c>
      <c r="U286">
        <v>1321.974976</v>
      </c>
      <c r="V286">
        <v>1328.3294679999999</v>
      </c>
      <c r="W286">
        <v>1330.294678</v>
      </c>
      <c r="X286">
        <v>1337.347534</v>
      </c>
      <c r="Y286">
        <v>1345.204712</v>
      </c>
      <c r="Z286">
        <v>1349.7685550000001</v>
      </c>
      <c r="AA286">
        <v>1354.558716</v>
      </c>
      <c r="AB286">
        <v>1355.6860349999999</v>
      </c>
      <c r="AC286">
        <v>1370.355591</v>
      </c>
      <c r="AD286">
        <v>1382.527466</v>
      </c>
      <c r="AE286">
        <v>1392.701904</v>
      </c>
      <c r="AF286">
        <v>1397.21228</v>
      </c>
      <c r="AG286" s="22">
        <v>-2E-3</v>
      </c>
    </row>
    <row r="287" spans="1:33">
      <c r="A287" t="s">
        <v>258</v>
      </c>
      <c r="B287" t="s">
        <v>2934</v>
      </c>
      <c r="C287" t="s">
        <v>2933</v>
      </c>
      <c r="D287" t="s">
        <v>2920</v>
      </c>
      <c r="F287">
        <v>3.3734500000000001</v>
      </c>
      <c r="G287">
        <v>3.3770099999999998</v>
      </c>
      <c r="H287">
        <v>3.3805740000000002</v>
      </c>
      <c r="I287">
        <v>3.3841420000000002</v>
      </c>
      <c r="J287">
        <v>3.3877130000000002</v>
      </c>
      <c r="K287">
        <v>3.391289</v>
      </c>
      <c r="L287">
        <v>3.3948680000000002</v>
      </c>
      <c r="M287">
        <v>3.3984510000000001</v>
      </c>
      <c r="N287">
        <v>3.402037</v>
      </c>
      <c r="O287">
        <v>3.4056280000000001</v>
      </c>
      <c r="P287">
        <v>3.4092220000000002</v>
      </c>
      <c r="Q287">
        <v>3.41282</v>
      </c>
      <c r="R287">
        <v>3.4164219999999998</v>
      </c>
      <c r="S287">
        <v>3.4200270000000002</v>
      </c>
      <c r="T287">
        <v>3.4236369999999998</v>
      </c>
      <c r="U287">
        <v>3.4272499999999999</v>
      </c>
      <c r="V287">
        <v>3.4308670000000001</v>
      </c>
      <c r="W287">
        <v>3.434488</v>
      </c>
      <c r="X287">
        <v>3.438113</v>
      </c>
      <c r="Y287">
        <v>3.4417409999999999</v>
      </c>
      <c r="Z287">
        <v>3.445373</v>
      </c>
      <c r="AA287">
        <v>3.4490099999999999</v>
      </c>
      <c r="AB287">
        <v>3.4526490000000001</v>
      </c>
      <c r="AC287">
        <v>3.4562930000000001</v>
      </c>
      <c r="AD287">
        <v>3.4599410000000002</v>
      </c>
      <c r="AE287">
        <v>3.4635929999999999</v>
      </c>
      <c r="AF287">
        <v>3.4672480000000001</v>
      </c>
      <c r="AG287" s="22">
        <v>1E-3</v>
      </c>
    </row>
    <row r="288" spans="1:33">
      <c r="A288" t="s">
        <v>110</v>
      </c>
    </row>
    <row r="289" spans="1:33">
      <c r="A289" t="s">
        <v>259</v>
      </c>
      <c r="B289" t="s">
        <v>2932</v>
      </c>
      <c r="C289" t="s">
        <v>2931</v>
      </c>
      <c r="D289" t="s">
        <v>201</v>
      </c>
      <c r="F289">
        <v>434.230682</v>
      </c>
      <c r="G289">
        <v>443.75869799999998</v>
      </c>
      <c r="H289">
        <v>432.581299</v>
      </c>
      <c r="I289">
        <v>417.75234999999998</v>
      </c>
      <c r="J289">
        <v>417.42465199999998</v>
      </c>
      <c r="K289">
        <v>415.93777499999999</v>
      </c>
      <c r="L289">
        <v>403.47412100000003</v>
      </c>
      <c r="M289">
        <v>403.17804000000001</v>
      </c>
      <c r="N289">
        <v>383.83212300000002</v>
      </c>
      <c r="O289">
        <v>385.30667099999999</v>
      </c>
      <c r="P289">
        <v>381.27539100000001</v>
      </c>
      <c r="Q289">
        <v>381.04003899999998</v>
      </c>
      <c r="R289">
        <v>382.19842499999999</v>
      </c>
      <c r="S289">
        <v>383.73739599999999</v>
      </c>
      <c r="T289">
        <v>388.55950899999999</v>
      </c>
      <c r="U289">
        <v>385.72473100000002</v>
      </c>
      <c r="V289">
        <v>387.17019699999997</v>
      </c>
      <c r="W289">
        <v>387.33422899999999</v>
      </c>
      <c r="X289">
        <v>388.97726399999999</v>
      </c>
      <c r="Y289">
        <v>390.85006700000002</v>
      </c>
      <c r="Z289">
        <v>391.76263399999999</v>
      </c>
      <c r="AA289">
        <v>392.73843399999998</v>
      </c>
      <c r="AB289">
        <v>392.65093999999999</v>
      </c>
      <c r="AC289">
        <v>396.48129299999999</v>
      </c>
      <c r="AD289">
        <v>399.58117700000003</v>
      </c>
      <c r="AE289">
        <v>402.097534</v>
      </c>
      <c r="AF289">
        <v>402.97448700000001</v>
      </c>
      <c r="AG289" s="22">
        <v>-3.0000000000000001E-3</v>
      </c>
    </row>
    <row r="290" spans="1:33">
      <c r="A290" t="s">
        <v>185</v>
      </c>
      <c r="B290" t="s">
        <v>2930</v>
      </c>
      <c r="C290" t="s">
        <v>2929</v>
      </c>
      <c r="D290" t="s">
        <v>201</v>
      </c>
      <c r="F290">
        <v>0</v>
      </c>
      <c r="G290">
        <v>0</v>
      </c>
      <c r="H290">
        <v>0</v>
      </c>
      <c r="I290">
        <v>0</v>
      </c>
      <c r="J290">
        <v>0</v>
      </c>
      <c r="K290">
        <v>0</v>
      </c>
      <c r="L290">
        <v>0</v>
      </c>
      <c r="M290">
        <v>0</v>
      </c>
      <c r="N290">
        <v>0</v>
      </c>
      <c r="O290">
        <v>0</v>
      </c>
      <c r="P290">
        <v>0</v>
      </c>
      <c r="Q290">
        <v>0</v>
      </c>
      <c r="R290">
        <v>0</v>
      </c>
      <c r="S290">
        <v>0</v>
      </c>
      <c r="T290">
        <v>0</v>
      </c>
      <c r="U290">
        <v>0</v>
      </c>
      <c r="V290">
        <v>0</v>
      </c>
      <c r="W290">
        <v>0</v>
      </c>
      <c r="X290">
        <v>0</v>
      </c>
      <c r="Y290">
        <v>0</v>
      </c>
      <c r="Z290">
        <v>0</v>
      </c>
      <c r="AA290">
        <v>0</v>
      </c>
      <c r="AB290">
        <v>0</v>
      </c>
      <c r="AC290">
        <v>0</v>
      </c>
      <c r="AD290">
        <v>0</v>
      </c>
      <c r="AE290">
        <v>0</v>
      </c>
      <c r="AF290">
        <v>0</v>
      </c>
      <c r="AG290" t="s">
        <v>111</v>
      </c>
    </row>
    <row r="291" spans="1:33">
      <c r="A291" t="s">
        <v>260</v>
      </c>
      <c r="B291" t="s">
        <v>2928</v>
      </c>
      <c r="C291" t="s">
        <v>2927</v>
      </c>
      <c r="D291" t="s">
        <v>201</v>
      </c>
      <c r="F291">
        <v>0</v>
      </c>
      <c r="G291">
        <v>0</v>
      </c>
      <c r="H291">
        <v>0</v>
      </c>
      <c r="I291">
        <v>0</v>
      </c>
      <c r="J291">
        <v>0</v>
      </c>
      <c r="K291">
        <v>0</v>
      </c>
      <c r="L291">
        <v>0</v>
      </c>
      <c r="M291">
        <v>0</v>
      </c>
      <c r="N291">
        <v>0</v>
      </c>
      <c r="O291">
        <v>0</v>
      </c>
      <c r="P291">
        <v>0</v>
      </c>
      <c r="Q291">
        <v>0</v>
      </c>
      <c r="R291">
        <v>0</v>
      </c>
      <c r="S291">
        <v>0</v>
      </c>
      <c r="T291">
        <v>0</v>
      </c>
      <c r="U291">
        <v>0</v>
      </c>
      <c r="V291">
        <v>0</v>
      </c>
      <c r="W291">
        <v>0</v>
      </c>
      <c r="X291">
        <v>0</v>
      </c>
      <c r="Y291">
        <v>0</v>
      </c>
      <c r="Z291">
        <v>0</v>
      </c>
      <c r="AA291">
        <v>0</v>
      </c>
      <c r="AB291">
        <v>0</v>
      </c>
      <c r="AC291">
        <v>0</v>
      </c>
      <c r="AD291">
        <v>0</v>
      </c>
      <c r="AE291">
        <v>0</v>
      </c>
      <c r="AF291">
        <v>0</v>
      </c>
      <c r="AG291" t="s">
        <v>111</v>
      </c>
    </row>
    <row r="292" spans="1:33">
      <c r="A292" t="s">
        <v>261</v>
      </c>
      <c r="B292" t="s">
        <v>2926</v>
      </c>
      <c r="C292" t="s">
        <v>2925</v>
      </c>
      <c r="D292" t="s">
        <v>201</v>
      </c>
      <c r="F292">
        <v>0</v>
      </c>
      <c r="G292">
        <v>0</v>
      </c>
      <c r="H292">
        <v>0</v>
      </c>
      <c r="I292">
        <v>0</v>
      </c>
      <c r="J292">
        <v>0</v>
      </c>
      <c r="K292">
        <v>0</v>
      </c>
      <c r="L292">
        <v>0</v>
      </c>
      <c r="M292">
        <v>0</v>
      </c>
      <c r="N292">
        <v>0</v>
      </c>
      <c r="O292">
        <v>0</v>
      </c>
      <c r="P292">
        <v>0</v>
      </c>
      <c r="Q292">
        <v>0</v>
      </c>
      <c r="R292">
        <v>0</v>
      </c>
      <c r="S292">
        <v>0</v>
      </c>
      <c r="T292">
        <v>0</v>
      </c>
      <c r="U292">
        <v>0</v>
      </c>
      <c r="V292">
        <v>0</v>
      </c>
      <c r="W292">
        <v>0</v>
      </c>
      <c r="X292">
        <v>0</v>
      </c>
      <c r="Y292">
        <v>0</v>
      </c>
      <c r="Z292">
        <v>0</v>
      </c>
      <c r="AA292">
        <v>0</v>
      </c>
      <c r="AB292">
        <v>0</v>
      </c>
      <c r="AC292">
        <v>0</v>
      </c>
      <c r="AD292">
        <v>0</v>
      </c>
      <c r="AE292">
        <v>0</v>
      </c>
      <c r="AF292">
        <v>0</v>
      </c>
      <c r="AG292" t="s">
        <v>111</v>
      </c>
    </row>
    <row r="293" spans="1:33">
      <c r="A293" t="s">
        <v>150</v>
      </c>
    </row>
    <row r="294" spans="1:33">
      <c r="A294" t="s">
        <v>262</v>
      </c>
      <c r="B294" t="s">
        <v>2924</v>
      </c>
      <c r="C294" t="s">
        <v>2923</v>
      </c>
      <c r="D294" t="s">
        <v>271</v>
      </c>
      <c r="F294">
        <v>458.773346</v>
      </c>
      <c r="G294">
        <v>464.892853</v>
      </c>
      <c r="H294">
        <v>462.96167000000003</v>
      </c>
      <c r="I294">
        <v>460.98571800000002</v>
      </c>
      <c r="J294">
        <v>459.37042200000002</v>
      </c>
      <c r="K294">
        <v>457.35058600000002</v>
      </c>
      <c r="L294">
        <v>454.85974099999999</v>
      </c>
      <c r="M294">
        <v>451.94982900000002</v>
      </c>
      <c r="N294">
        <v>448.29049700000002</v>
      </c>
      <c r="O294">
        <v>446.236603</v>
      </c>
      <c r="P294">
        <v>444.57028200000002</v>
      </c>
      <c r="Q294">
        <v>442.67672700000003</v>
      </c>
      <c r="R294">
        <v>440.63128699999999</v>
      </c>
      <c r="S294">
        <v>439.09964000000002</v>
      </c>
      <c r="T294">
        <v>437.71414199999998</v>
      </c>
      <c r="U294">
        <v>435.98474099999999</v>
      </c>
      <c r="V294">
        <v>434.76898199999999</v>
      </c>
      <c r="W294">
        <v>433.49096700000001</v>
      </c>
      <c r="X294">
        <v>432.22720299999997</v>
      </c>
      <c r="Y294">
        <v>430.67340100000001</v>
      </c>
      <c r="Z294">
        <v>428.801331</v>
      </c>
      <c r="AA294">
        <v>427.06716899999998</v>
      </c>
      <c r="AB294">
        <v>425.27600100000001</v>
      </c>
      <c r="AC294">
        <v>424.65441900000002</v>
      </c>
      <c r="AD294">
        <v>423.51385499999998</v>
      </c>
      <c r="AE294">
        <v>422.14224200000001</v>
      </c>
      <c r="AF294">
        <v>420.62109400000003</v>
      </c>
      <c r="AG294" s="22">
        <v>-3.0000000000000001E-3</v>
      </c>
    </row>
    <row r="295" spans="1:33">
      <c r="A295" t="s">
        <v>258</v>
      </c>
      <c r="B295" t="s">
        <v>2922</v>
      </c>
      <c r="C295" t="s">
        <v>2921</v>
      </c>
      <c r="D295" t="s">
        <v>2920</v>
      </c>
      <c r="F295">
        <v>4.8577789999999998</v>
      </c>
      <c r="G295">
        <v>4.876665</v>
      </c>
      <c r="H295">
        <v>4.8956239999999998</v>
      </c>
      <c r="I295">
        <v>4.9146570000000001</v>
      </c>
      <c r="J295">
        <v>4.933764</v>
      </c>
      <c r="K295">
        <v>4.9529449999999997</v>
      </c>
      <c r="L295">
        <v>4.9722</v>
      </c>
      <c r="M295">
        <v>4.9915310000000002</v>
      </c>
      <c r="N295">
        <v>5.0109370000000002</v>
      </c>
      <c r="O295">
        <v>5.0304180000000001</v>
      </c>
      <c r="P295">
        <v>5.0499749999999999</v>
      </c>
      <c r="Q295">
        <v>5.0696079999999997</v>
      </c>
      <c r="R295">
        <v>5.0893170000000003</v>
      </c>
      <c r="S295">
        <v>5.1091030000000002</v>
      </c>
      <c r="T295">
        <v>5.1289660000000001</v>
      </c>
      <c r="U295">
        <v>5.1489060000000002</v>
      </c>
      <c r="V295">
        <v>5.1689230000000004</v>
      </c>
      <c r="W295">
        <v>5.189019</v>
      </c>
      <c r="X295">
        <v>5.2091919999999998</v>
      </c>
      <c r="Y295">
        <v>5.2294450000000001</v>
      </c>
      <c r="Z295">
        <v>5.2497749999999996</v>
      </c>
      <c r="AA295">
        <v>5.2701849999999997</v>
      </c>
      <c r="AB295">
        <v>5.2906740000000001</v>
      </c>
      <c r="AC295">
        <v>5.3112430000000002</v>
      </c>
      <c r="AD295">
        <v>5.3318919999999999</v>
      </c>
      <c r="AE295">
        <v>5.3526210000000001</v>
      </c>
      <c r="AF295">
        <v>5.3734299999999999</v>
      </c>
      <c r="AG295" s="22">
        <v>4.0000000000000001E-3</v>
      </c>
    </row>
    <row r="296" spans="1:33">
      <c r="A296" t="s">
        <v>110</v>
      </c>
    </row>
    <row r="297" spans="1:33">
      <c r="A297" t="s">
        <v>259</v>
      </c>
      <c r="B297" t="s">
        <v>2919</v>
      </c>
      <c r="C297" t="s">
        <v>2918</v>
      </c>
      <c r="D297" t="s">
        <v>201</v>
      </c>
      <c r="F297">
        <v>92.332252999999994</v>
      </c>
      <c r="G297">
        <v>93.278983999999994</v>
      </c>
      <c r="H297">
        <v>92.539314000000005</v>
      </c>
      <c r="I297">
        <v>91.795044000000004</v>
      </c>
      <c r="J297">
        <v>91.125641000000002</v>
      </c>
      <c r="K297">
        <v>90.379990000000006</v>
      </c>
      <c r="L297">
        <v>89.546463000000003</v>
      </c>
      <c r="M297">
        <v>88.635925</v>
      </c>
      <c r="N297">
        <v>87.584746999999993</v>
      </c>
      <c r="O297">
        <v>86.852417000000003</v>
      </c>
      <c r="P297">
        <v>86.199318000000005</v>
      </c>
      <c r="Q297">
        <v>85.505904999999998</v>
      </c>
      <c r="R297">
        <v>84.786452999999995</v>
      </c>
      <c r="S297">
        <v>84.170158000000001</v>
      </c>
      <c r="T297">
        <v>83.586044000000001</v>
      </c>
      <c r="U297">
        <v>82.940169999999995</v>
      </c>
      <c r="V297">
        <v>82.351212000000004</v>
      </c>
      <c r="W297">
        <v>81.693588000000005</v>
      </c>
      <c r="X297">
        <v>81.036438000000004</v>
      </c>
      <c r="Y297">
        <v>80.322616999999994</v>
      </c>
      <c r="Z297">
        <v>79.547393999999997</v>
      </c>
      <c r="AA297">
        <v>78.795531999999994</v>
      </c>
      <c r="AB297">
        <v>78.030472000000003</v>
      </c>
      <c r="AC297">
        <v>77.475707999999997</v>
      </c>
      <c r="AD297">
        <v>76.820853999999997</v>
      </c>
      <c r="AE297">
        <v>76.119011</v>
      </c>
      <c r="AF297">
        <v>75.385009999999994</v>
      </c>
      <c r="AG297" s="22">
        <v>-8.0000000000000002E-3</v>
      </c>
    </row>
    <row r="298" spans="1:33">
      <c r="A298" t="s">
        <v>185</v>
      </c>
      <c r="B298" t="s">
        <v>2917</v>
      </c>
      <c r="C298" t="s">
        <v>2916</v>
      </c>
      <c r="D298" t="s">
        <v>201</v>
      </c>
      <c r="F298">
        <v>1.3822049999999999</v>
      </c>
      <c r="G298">
        <v>1.2632559999999999</v>
      </c>
      <c r="H298">
        <v>1.198018</v>
      </c>
      <c r="I298">
        <v>1.1309709999999999</v>
      </c>
      <c r="J298">
        <v>1.0674129999999999</v>
      </c>
      <c r="K298">
        <v>1.0042279999999999</v>
      </c>
      <c r="L298">
        <v>0.937581</v>
      </c>
      <c r="M298">
        <v>0.868587</v>
      </c>
      <c r="N298">
        <v>0.80069400000000002</v>
      </c>
      <c r="O298">
        <v>0.73563800000000001</v>
      </c>
      <c r="P298">
        <v>0.673956</v>
      </c>
      <c r="Q298">
        <v>0.61449699999999996</v>
      </c>
      <c r="R298">
        <v>0.56326799999999999</v>
      </c>
      <c r="S298">
        <v>0.50884700000000005</v>
      </c>
      <c r="T298">
        <v>0.44785000000000003</v>
      </c>
      <c r="U298">
        <v>0.38284099999999999</v>
      </c>
      <c r="V298">
        <v>0.32558700000000002</v>
      </c>
      <c r="W298">
        <v>0.32329599999999997</v>
      </c>
      <c r="X298">
        <v>0.321021</v>
      </c>
      <c r="Y298">
        <v>0.31855600000000001</v>
      </c>
      <c r="Z298">
        <v>0.31585600000000003</v>
      </c>
      <c r="AA298">
        <v>0.31325799999999998</v>
      </c>
      <c r="AB298">
        <v>0.310612</v>
      </c>
      <c r="AC298">
        <v>0.30888199999999999</v>
      </c>
      <c r="AD298">
        <v>0.306782</v>
      </c>
      <c r="AE298">
        <v>0.30452499999999999</v>
      </c>
      <c r="AF298">
        <v>0.302176</v>
      </c>
      <c r="AG298" s="22">
        <v>-5.7000000000000002E-2</v>
      </c>
    </row>
    <row r="299" spans="1:33">
      <c r="A299" t="s">
        <v>260</v>
      </c>
      <c r="B299" t="s">
        <v>2915</v>
      </c>
      <c r="C299" t="s">
        <v>2914</v>
      </c>
      <c r="D299" t="s">
        <v>201</v>
      </c>
      <c r="F299">
        <v>0</v>
      </c>
      <c r="G299">
        <v>0</v>
      </c>
      <c r="H299">
        <v>0</v>
      </c>
      <c r="I299">
        <v>0</v>
      </c>
      <c r="J299">
        <v>0</v>
      </c>
      <c r="K299">
        <v>0</v>
      </c>
      <c r="L299">
        <v>0</v>
      </c>
      <c r="M299">
        <v>0</v>
      </c>
      <c r="N299">
        <v>0</v>
      </c>
      <c r="O299">
        <v>0</v>
      </c>
      <c r="P299">
        <v>0</v>
      </c>
      <c r="Q299">
        <v>0</v>
      </c>
      <c r="R299">
        <v>0</v>
      </c>
      <c r="S299">
        <v>0</v>
      </c>
      <c r="T299">
        <v>0</v>
      </c>
      <c r="U299">
        <v>0</v>
      </c>
      <c r="V299">
        <v>0</v>
      </c>
      <c r="W299">
        <v>0</v>
      </c>
      <c r="X299">
        <v>0</v>
      </c>
      <c r="Y299">
        <v>0</v>
      </c>
      <c r="Z299">
        <v>0</v>
      </c>
      <c r="AA299">
        <v>0</v>
      </c>
      <c r="AB299">
        <v>0</v>
      </c>
      <c r="AC299">
        <v>0</v>
      </c>
      <c r="AD299">
        <v>0</v>
      </c>
      <c r="AE299">
        <v>0</v>
      </c>
      <c r="AF299">
        <v>0</v>
      </c>
      <c r="AG299" t="s">
        <v>111</v>
      </c>
    </row>
    <row r="300" spans="1:33">
      <c r="A300" t="s">
        <v>261</v>
      </c>
      <c r="B300" t="s">
        <v>2913</v>
      </c>
      <c r="C300" t="s">
        <v>2912</v>
      </c>
      <c r="D300" t="s">
        <v>201</v>
      </c>
      <c r="F300">
        <v>0.72651399999999999</v>
      </c>
      <c r="G300">
        <v>0.78784500000000002</v>
      </c>
      <c r="H300">
        <v>0.82910799999999996</v>
      </c>
      <c r="I300">
        <v>0.87214700000000001</v>
      </c>
      <c r="J300">
        <v>0.91445100000000001</v>
      </c>
      <c r="K300">
        <v>0.95491099999999995</v>
      </c>
      <c r="L300">
        <v>0.99653099999999994</v>
      </c>
      <c r="M300">
        <v>1.038818</v>
      </c>
      <c r="N300">
        <v>1.0769789999999999</v>
      </c>
      <c r="O300">
        <v>1.119599</v>
      </c>
      <c r="P300">
        <v>1.1608780000000001</v>
      </c>
      <c r="Q300">
        <v>1.199308</v>
      </c>
      <c r="R300">
        <v>1.229924</v>
      </c>
      <c r="S300">
        <v>1.2655670000000001</v>
      </c>
      <c r="T300">
        <v>1.3077129999999999</v>
      </c>
      <c r="U300">
        <v>1.352198</v>
      </c>
      <c r="V300">
        <v>1.4353050000000001</v>
      </c>
      <c r="W300">
        <v>1.5231779999999999</v>
      </c>
      <c r="X300">
        <v>1.616471</v>
      </c>
      <c r="Y300">
        <v>1.7143079999999999</v>
      </c>
      <c r="Z300">
        <v>1.8166960000000001</v>
      </c>
      <c r="AA300">
        <v>1.9257839999999999</v>
      </c>
      <c r="AB300">
        <v>2.0411160000000002</v>
      </c>
      <c r="AC300">
        <v>2.1692900000000002</v>
      </c>
      <c r="AD300">
        <v>2.3026849999999999</v>
      </c>
      <c r="AE300">
        <v>2.44293</v>
      </c>
      <c r="AF300">
        <v>2.590767</v>
      </c>
      <c r="AG300" s="22">
        <v>0.05</v>
      </c>
    </row>
    <row r="301" spans="1:33">
      <c r="A301" t="s">
        <v>151</v>
      </c>
    </row>
    <row r="302" spans="1:33">
      <c r="A302" t="s">
        <v>263</v>
      </c>
      <c r="B302" t="s">
        <v>2911</v>
      </c>
      <c r="C302" t="s">
        <v>2910</v>
      </c>
      <c r="D302" t="s">
        <v>273</v>
      </c>
      <c r="F302">
        <v>6023.5166019999997</v>
      </c>
      <c r="G302">
        <v>6248.9067379999997</v>
      </c>
      <c r="H302">
        <v>6421.529297</v>
      </c>
      <c r="I302">
        <v>6659.548828</v>
      </c>
      <c r="J302">
        <v>6864.0795900000003</v>
      </c>
      <c r="K302">
        <v>7079.498047</v>
      </c>
      <c r="L302">
        <v>7297.4252930000002</v>
      </c>
      <c r="M302">
        <v>7503.923828</v>
      </c>
      <c r="N302">
        <v>7740.4560549999997</v>
      </c>
      <c r="O302">
        <v>7974.0815430000002</v>
      </c>
      <c r="P302">
        <v>8222.6484380000002</v>
      </c>
      <c r="Q302">
        <v>8411.9707030000009</v>
      </c>
      <c r="R302">
        <v>8574.0878909999992</v>
      </c>
      <c r="S302">
        <v>8726.2421880000002</v>
      </c>
      <c r="T302">
        <v>8864.3476559999999</v>
      </c>
      <c r="U302">
        <v>9003.0683590000008</v>
      </c>
      <c r="V302">
        <v>9128.03125</v>
      </c>
      <c r="W302">
        <v>9252.5576170000004</v>
      </c>
      <c r="X302">
        <v>9379.8408199999994</v>
      </c>
      <c r="Y302">
        <v>9504.1064449999994</v>
      </c>
      <c r="Z302">
        <v>9625.9179690000001</v>
      </c>
      <c r="AA302">
        <v>9740.8447269999997</v>
      </c>
      <c r="AB302">
        <v>9833.2382809999999</v>
      </c>
      <c r="AC302">
        <v>9964.6669920000004</v>
      </c>
      <c r="AD302">
        <v>10123.741211</v>
      </c>
      <c r="AE302">
        <v>10282.939453000001</v>
      </c>
      <c r="AF302">
        <v>10434.558594</v>
      </c>
      <c r="AG302" s="22">
        <v>2.1000000000000001E-2</v>
      </c>
    </row>
    <row r="303" spans="1:33">
      <c r="A303" t="s">
        <v>264</v>
      </c>
      <c r="B303" t="s">
        <v>2909</v>
      </c>
      <c r="C303" t="s">
        <v>2908</v>
      </c>
      <c r="D303" t="s">
        <v>273</v>
      </c>
      <c r="F303">
        <v>1938.3862300000001</v>
      </c>
      <c r="G303">
        <v>2014.6479489999999</v>
      </c>
      <c r="H303">
        <v>2075.9914549999999</v>
      </c>
      <c r="I303">
        <v>2166.7897950000001</v>
      </c>
      <c r="J303">
        <v>2249.5659179999998</v>
      </c>
      <c r="K303">
        <v>2329.5798340000001</v>
      </c>
      <c r="L303">
        <v>2404.4145509999998</v>
      </c>
      <c r="M303">
        <v>2470.181885</v>
      </c>
      <c r="N303">
        <v>2540.5629880000001</v>
      </c>
      <c r="O303">
        <v>2603.9204100000002</v>
      </c>
      <c r="P303">
        <v>2673.7998050000001</v>
      </c>
      <c r="Q303">
        <v>2730.7907709999999</v>
      </c>
      <c r="R303">
        <v>2779.3188479999999</v>
      </c>
      <c r="S303">
        <v>2825.1267090000001</v>
      </c>
      <c r="T303">
        <v>2876.078857</v>
      </c>
      <c r="U303">
        <v>2928.6367190000001</v>
      </c>
      <c r="V303">
        <v>2981.3789059999999</v>
      </c>
      <c r="W303">
        <v>3039.28125</v>
      </c>
      <c r="X303">
        <v>3096.5607909999999</v>
      </c>
      <c r="Y303">
        <v>3154.7770999999998</v>
      </c>
      <c r="Z303">
        <v>3209.8603520000001</v>
      </c>
      <c r="AA303">
        <v>3262.2211910000001</v>
      </c>
      <c r="AB303">
        <v>3305.1987300000001</v>
      </c>
      <c r="AC303">
        <v>3359.7014159999999</v>
      </c>
      <c r="AD303">
        <v>3411.3432619999999</v>
      </c>
      <c r="AE303">
        <v>3458.4096679999998</v>
      </c>
      <c r="AF303">
        <v>3501.953857</v>
      </c>
      <c r="AG303" s="22">
        <v>2.3E-2</v>
      </c>
    </row>
    <row r="304" spans="1:33">
      <c r="A304" t="s">
        <v>265</v>
      </c>
      <c r="B304" t="s">
        <v>2907</v>
      </c>
      <c r="C304" t="s">
        <v>2906</v>
      </c>
      <c r="D304" t="s">
        <v>273</v>
      </c>
      <c r="F304">
        <v>4085.1303710000002</v>
      </c>
      <c r="G304">
        <v>4234.2587890000004</v>
      </c>
      <c r="H304">
        <v>4345.5380859999996</v>
      </c>
      <c r="I304">
        <v>4492.7587890000004</v>
      </c>
      <c r="J304">
        <v>4614.513672</v>
      </c>
      <c r="K304">
        <v>4749.9179690000001</v>
      </c>
      <c r="L304">
        <v>4893.0107420000004</v>
      </c>
      <c r="M304">
        <v>5033.7421880000002</v>
      </c>
      <c r="N304">
        <v>5199.8930659999996</v>
      </c>
      <c r="O304">
        <v>5370.1611329999996</v>
      </c>
      <c r="P304">
        <v>5548.8481449999999</v>
      </c>
      <c r="Q304">
        <v>5681.1801759999998</v>
      </c>
      <c r="R304">
        <v>5794.7695309999999</v>
      </c>
      <c r="S304">
        <v>5901.1157229999999</v>
      </c>
      <c r="T304">
        <v>5988.2690430000002</v>
      </c>
      <c r="U304">
        <v>6074.4321289999998</v>
      </c>
      <c r="V304">
        <v>6146.6523440000001</v>
      </c>
      <c r="W304">
        <v>6213.2763670000004</v>
      </c>
      <c r="X304">
        <v>6283.2802730000003</v>
      </c>
      <c r="Y304">
        <v>6349.3295900000003</v>
      </c>
      <c r="Z304">
        <v>6416.0571289999998</v>
      </c>
      <c r="AA304">
        <v>6478.6235349999997</v>
      </c>
      <c r="AB304">
        <v>6528.0390619999998</v>
      </c>
      <c r="AC304">
        <v>6604.9653319999998</v>
      </c>
      <c r="AD304">
        <v>6712.3979490000002</v>
      </c>
      <c r="AE304">
        <v>6824.5302730000003</v>
      </c>
      <c r="AF304">
        <v>6932.6049800000001</v>
      </c>
      <c r="AG304" s="22">
        <v>2.1000000000000001E-2</v>
      </c>
    </row>
    <row r="305" spans="1:33">
      <c r="A305" t="s">
        <v>110</v>
      </c>
    </row>
    <row r="306" spans="1:33">
      <c r="A306" t="s">
        <v>259</v>
      </c>
      <c r="B306" t="s">
        <v>2905</v>
      </c>
      <c r="C306" t="s">
        <v>2904</v>
      </c>
      <c r="D306" t="s">
        <v>201</v>
      </c>
      <c r="F306">
        <v>195.74534600000001</v>
      </c>
      <c r="G306">
        <v>212.661835</v>
      </c>
      <c r="H306">
        <v>224.314606</v>
      </c>
      <c r="I306">
        <v>228.064087</v>
      </c>
      <c r="J306">
        <v>233.18679800000001</v>
      </c>
      <c r="K306">
        <v>235.61990399999999</v>
      </c>
      <c r="L306">
        <v>238.52423099999999</v>
      </c>
      <c r="M306">
        <v>242.35704000000001</v>
      </c>
      <c r="N306">
        <v>248.63774100000001</v>
      </c>
      <c r="O306">
        <v>254.948486</v>
      </c>
      <c r="P306">
        <v>261.07586700000002</v>
      </c>
      <c r="Q306">
        <v>263.98260499999998</v>
      </c>
      <c r="R306">
        <v>266.61132800000001</v>
      </c>
      <c r="S306">
        <v>268.03750600000001</v>
      </c>
      <c r="T306">
        <v>270.21701000000002</v>
      </c>
      <c r="U306">
        <v>272.002228</v>
      </c>
      <c r="V306">
        <v>273.95889299999999</v>
      </c>
      <c r="W306">
        <v>276.39965799999999</v>
      </c>
      <c r="X306">
        <v>278.885986</v>
      </c>
      <c r="Y306">
        <v>280.99075299999998</v>
      </c>
      <c r="Z306">
        <v>283.009094</v>
      </c>
      <c r="AA306">
        <v>284.52014200000002</v>
      </c>
      <c r="AB306">
        <v>284.75753800000001</v>
      </c>
      <c r="AC306">
        <v>286.24276700000001</v>
      </c>
      <c r="AD306">
        <v>288.10394300000002</v>
      </c>
      <c r="AE306">
        <v>290.23345899999998</v>
      </c>
      <c r="AF306">
        <v>292.11120599999998</v>
      </c>
      <c r="AG306" s="22">
        <v>1.6E-2</v>
      </c>
    </row>
    <row r="307" spans="1:33">
      <c r="A307" t="s">
        <v>185</v>
      </c>
      <c r="B307" t="s">
        <v>2903</v>
      </c>
      <c r="C307" t="s">
        <v>2902</v>
      </c>
      <c r="D307" t="s">
        <v>201</v>
      </c>
      <c r="F307">
        <v>550.43896500000005</v>
      </c>
      <c r="G307">
        <v>514.18347200000005</v>
      </c>
      <c r="H307">
        <v>510.80633499999999</v>
      </c>
      <c r="I307">
        <v>520.583618</v>
      </c>
      <c r="J307">
        <v>526.08252000000005</v>
      </c>
      <c r="K307">
        <v>535.16064500000005</v>
      </c>
      <c r="L307">
        <v>543.52642800000001</v>
      </c>
      <c r="M307">
        <v>549.77069100000006</v>
      </c>
      <c r="N307">
        <v>554.768372</v>
      </c>
      <c r="O307">
        <v>559.316101</v>
      </c>
      <c r="P307">
        <v>564.45159899999999</v>
      </c>
      <c r="Q307">
        <v>570.71923800000002</v>
      </c>
      <c r="R307">
        <v>575.59594700000002</v>
      </c>
      <c r="S307">
        <v>581.43194600000004</v>
      </c>
      <c r="T307">
        <v>585.571777</v>
      </c>
      <c r="U307">
        <v>590.16540499999996</v>
      </c>
      <c r="V307">
        <v>593.91705300000001</v>
      </c>
      <c r="W307">
        <v>597.12823500000002</v>
      </c>
      <c r="X307">
        <v>600.45532200000002</v>
      </c>
      <c r="Y307">
        <v>603.99230999999997</v>
      </c>
      <c r="Z307">
        <v>607.38354500000003</v>
      </c>
      <c r="AA307">
        <v>610.92431599999998</v>
      </c>
      <c r="AB307">
        <v>615.06170699999996</v>
      </c>
      <c r="AC307">
        <v>619.51269500000001</v>
      </c>
      <c r="AD307">
        <v>624.67334000000005</v>
      </c>
      <c r="AE307">
        <v>629.26171899999997</v>
      </c>
      <c r="AF307">
        <v>633.68322799999999</v>
      </c>
      <c r="AG307" s="22">
        <v>5.0000000000000001E-3</v>
      </c>
    </row>
    <row r="308" spans="1:33">
      <c r="A308" t="s">
        <v>260</v>
      </c>
      <c r="B308" t="s">
        <v>2901</v>
      </c>
      <c r="C308" t="s">
        <v>2900</v>
      </c>
      <c r="D308" t="s">
        <v>201</v>
      </c>
      <c r="F308">
        <v>0</v>
      </c>
      <c r="G308">
        <v>0</v>
      </c>
      <c r="H308">
        <v>0</v>
      </c>
      <c r="I308">
        <v>0</v>
      </c>
      <c r="J308">
        <v>0</v>
      </c>
      <c r="K308">
        <v>0</v>
      </c>
      <c r="L308">
        <v>0</v>
      </c>
      <c r="M308">
        <v>0</v>
      </c>
      <c r="N308">
        <v>0</v>
      </c>
      <c r="O308">
        <v>0</v>
      </c>
      <c r="P308">
        <v>0</v>
      </c>
      <c r="Q308">
        <v>0</v>
      </c>
      <c r="R308">
        <v>0</v>
      </c>
      <c r="S308">
        <v>0</v>
      </c>
      <c r="T308">
        <v>0</v>
      </c>
      <c r="U308">
        <v>0</v>
      </c>
      <c r="V308">
        <v>0</v>
      </c>
      <c r="W308">
        <v>0</v>
      </c>
      <c r="X308">
        <v>0</v>
      </c>
      <c r="Y308">
        <v>0</v>
      </c>
      <c r="Z308">
        <v>0</v>
      </c>
      <c r="AA308">
        <v>0</v>
      </c>
      <c r="AB308">
        <v>0</v>
      </c>
      <c r="AC308">
        <v>0</v>
      </c>
      <c r="AD308">
        <v>0</v>
      </c>
      <c r="AE308">
        <v>0</v>
      </c>
      <c r="AF308">
        <v>0</v>
      </c>
      <c r="AG308" t="s">
        <v>111</v>
      </c>
    </row>
    <row r="309" spans="1:33">
      <c r="A309" t="s">
        <v>261</v>
      </c>
      <c r="B309" t="s">
        <v>2899</v>
      </c>
      <c r="C309" t="s">
        <v>2898</v>
      </c>
      <c r="D309" t="s">
        <v>201</v>
      </c>
      <c r="F309">
        <v>5.9348320000000001</v>
      </c>
      <c r="G309">
        <v>6.5364779999999998</v>
      </c>
      <c r="H309">
        <v>6.6340339999999998</v>
      </c>
      <c r="I309">
        <v>6.6726179999999999</v>
      </c>
      <c r="J309">
        <v>7.0259280000000004</v>
      </c>
      <c r="K309">
        <v>7.4154460000000002</v>
      </c>
      <c r="L309">
        <v>7.8749640000000003</v>
      </c>
      <c r="M309">
        <v>8.4281520000000008</v>
      </c>
      <c r="N309">
        <v>8.7182600000000008</v>
      </c>
      <c r="O309">
        <v>9.0221319999999992</v>
      </c>
      <c r="P309">
        <v>9.4022459999999999</v>
      </c>
      <c r="Q309">
        <v>9.4618070000000003</v>
      </c>
      <c r="R309">
        <v>9.6343019999999999</v>
      </c>
      <c r="S309">
        <v>9.8146550000000001</v>
      </c>
      <c r="T309">
        <v>10.029487</v>
      </c>
      <c r="U309">
        <v>10.238963999999999</v>
      </c>
      <c r="V309">
        <v>10.386210999999999</v>
      </c>
      <c r="W309">
        <v>10.461117</v>
      </c>
      <c r="X309">
        <v>10.493995</v>
      </c>
      <c r="Y309">
        <v>10.588778</v>
      </c>
      <c r="Z309">
        <v>10.700267999999999</v>
      </c>
      <c r="AA309">
        <v>10.871041999999999</v>
      </c>
      <c r="AB309">
        <v>10.939361999999999</v>
      </c>
      <c r="AC309">
        <v>11.028162999999999</v>
      </c>
      <c r="AD309">
        <v>11.141788</v>
      </c>
      <c r="AE309">
        <v>11.308977000000001</v>
      </c>
      <c r="AF309">
        <v>11.478370999999999</v>
      </c>
      <c r="AG309" s="22">
        <v>2.5999999999999999E-2</v>
      </c>
    </row>
  </sheetData>
  <pageMargins left="0.7" right="0.7" top="0.75" bottom="0.75" header="0.3" footer="0.3"/>
</worksheet>
</file>

<file path=xl/worksheets/sheet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BFDB91C-9646-4B68-ADE4-562625F53658}">
  <sheetPr>
    <tabColor theme="9"/>
  </sheetPr>
  <dimension ref="A1"/>
  <sheetViews>
    <sheetView workbookViewId="0"/>
  </sheetViews>
  <sheetFormatPr defaultRowHeight="15"/>
  <sheetData/>
  <pageMargins left="0.7" right="0.7" top="0.75" bottom="0.75" header="0.3" footer="0.3"/>
</worksheet>
</file>

<file path=xl/worksheets/sheet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F595F9F-C5EE-46CD-8663-7D8ABE925C55}">
  <dimension ref="A1:AF296"/>
  <sheetViews>
    <sheetView workbookViewId="0"/>
  </sheetViews>
  <sheetFormatPr defaultRowHeight="15"/>
  <cols>
    <col min="1" max="1" width="45.7109375" customWidth="1"/>
  </cols>
  <sheetData>
    <row r="1" spans="1:32">
      <c r="A1" s="57" t="s">
        <v>3775</v>
      </c>
    </row>
    <row r="2" spans="1:32">
      <c r="D2" t="s">
        <v>2096</v>
      </c>
    </row>
    <row r="3" spans="1:32">
      <c r="B3" t="s">
        <v>2094</v>
      </c>
      <c r="C3" t="s">
        <v>119</v>
      </c>
      <c r="D3" s="56">
        <v>1</v>
      </c>
      <c r="E3" s="56">
        <v>1</v>
      </c>
    </row>
    <row r="4" spans="1:32">
      <c r="B4" t="s">
        <v>2094</v>
      </c>
      <c r="C4" t="s">
        <v>2309</v>
      </c>
      <c r="D4" s="56">
        <v>1</v>
      </c>
      <c r="E4" s="56">
        <v>1</v>
      </c>
    </row>
    <row r="5" spans="1:32">
      <c r="B5" t="s">
        <v>2095</v>
      </c>
      <c r="C5" t="s">
        <v>119</v>
      </c>
      <c r="D5" s="56">
        <v>1</v>
      </c>
      <c r="E5" s="56">
        <v>1</v>
      </c>
    </row>
    <row r="6" spans="1:32">
      <c r="B6" t="s">
        <v>2095</v>
      </c>
      <c r="C6" t="s">
        <v>125</v>
      </c>
      <c r="D6" s="56">
        <v>1</v>
      </c>
      <c r="E6" s="56">
        <v>1</v>
      </c>
    </row>
    <row r="7" spans="1:32">
      <c r="B7" t="s">
        <v>2095</v>
      </c>
      <c r="C7" t="s">
        <v>2308</v>
      </c>
      <c r="D7" s="56">
        <v>1</v>
      </c>
      <c r="E7" s="56">
        <v>1</v>
      </c>
    </row>
    <row r="8" spans="1:32">
      <c r="B8" s="57"/>
    </row>
    <row r="9" spans="1:32">
      <c r="M9" s="57"/>
      <c r="N9" s="57"/>
      <c r="O9" s="57"/>
      <c r="P9" s="57"/>
      <c r="Q9" s="57"/>
      <c r="R9" s="57"/>
      <c r="S9" s="57"/>
      <c r="T9" s="57"/>
      <c r="U9" s="57"/>
      <c r="V9" s="57"/>
      <c r="W9" s="57"/>
      <c r="X9" s="57"/>
      <c r="Y9" s="57"/>
      <c r="Z9" s="57"/>
      <c r="AA9" s="57"/>
      <c r="AB9" s="57"/>
      <c r="AC9" s="57"/>
      <c r="AD9" s="57"/>
      <c r="AE9" s="57"/>
      <c r="AF9" s="57"/>
    </row>
    <row r="10" spans="1:32">
      <c r="A10" t="s">
        <v>2306</v>
      </c>
      <c r="B10" s="29">
        <f>SUM('GHG Inventory'!AL3)</f>
        <v>5127</v>
      </c>
      <c r="C10" s="29"/>
      <c r="D10" s="29"/>
      <c r="E10" s="61"/>
      <c r="M10" s="58"/>
      <c r="N10" s="58"/>
      <c r="O10" s="58"/>
      <c r="P10" s="58"/>
      <c r="Q10" s="58"/>
      <c r="R10" s="58"/>
      <c r="S10" s="58"/>
      <c r="T10" s="58"/>
      <c r="U10" s="58"/>
      <c r="V10" s="58"/>
      <c r="W10" s="58"/>
      <c r="X10" s="58"/>
      <c r="Y10" s="58"/>
      <c r="Z10" s="58"/>
      <c r="AA10" s="58"/>
      <c r="AB10" s="58"/>
      <c r="AC10" s="58"/>
      <c r="AD10" s="58"/>
      <c r="AE10" s="58"/>
      <c r="AF10" s="58"/>
    </row>
    <row r="11" spans="1:32">
      <c r="A11" t="s">
        <v>2307</v>
      </c>
      <c r="B11" s="29">
        <f>SUM('AEO 2022 Table 36'!C27,'AEO 2022 Table 36'!C35)</f>
        <v>5245.3319700000002</v>
      </c>
      <c r="C11" s="29"/>
      <c r="D11" s="29"/>
      <c r="E11" s="61"/>
    </row>
    <row r="12" spans="1:32">
      <c r="A12" t="s">
        <v>2305</v>
      </c>
      <c r="B12" s="61">
        <v>1.07</v>
      </c>
      <c r="C12" s="29"/>
      <c r="D12" s="29"/>
      <c r="E12" s="61"/>
    </row>
    <row r="14" spans="1:32">
      <c r="A14" s="15"/>
    </row>
    <row r="17" spans="2:31">
      <c r="B17" s="29"/>
      <c r="C17" s="29"/>
      <c r="D17" s="29"/>
      <c r="E17" s="29"/>
      <c r="F17" s="29"/>
      <c r="G17" s="29"/>
      <c r="H17" s="29"/>
      <c r="I17" s="29"/>
      <c r="J17" s="29"/>
      <c r="K17" s="29"/>
      <c r="L17" s="29"/>
      <c r="M17" s="29"/>
      <c r="N17" s="29"/>
      <c r="O17" s="29"/>
      <c r="P17" s="29"/>
      <c r="Q17" s="29"/>
      <c r="R17" s="29"/>
      <c r="S17" s="29"/>
      <c r="T17" s="29"/>
      <c r="U17" s="29"/>
      <c r="V17" s="29"/>
      <c r="W17" s="29"/>
      <c r="X17" s="29"/>
      <c r="Y17" s="29"/>
      <c r="Z17" s="29"/>
      <c r="AA17" s="29"/>
      <c r="AB17" s="29"/>
      <c r="AC17" s="29"/>
      <c r="AD17" s="29"/>
      <c r="AE17" s="29"/>
    </row>
    <row r="28" spans="2:31">
      <c r="B28" s="29"/>
      <c r="C28" s="29"/>
      <c r="D28" s="29"/>
      <c r="E28" s="29"/>
      <c r="F28" s="29"/>
      <c r="G28" s="29"/>
      <c r="H28" s="29"/>
      <c r="I28" s="29"/>
      <c r="J28" s="29"/>
      <c r="K28" s="29"/>
      <c r="L28" s="29"/>
      <c r="M28" s="29"/>
      <c r="N28" s="29"/>
      <c r="O28" s="29"/>
      <c r="P28" s="29"/>
      <c r="Q28" s="29"/>
      <c r="R28" s="29"/>
      <c r="S28" s="29"/>
      <c r="T28" s="29"/>
      <c r="U28" s="29"/>
      <c r="V28" s="29"/>
      <c r="W28" s="29"/>
      <c r="X28" s="29"/>
      <c r="Y28" s="29"/>
      <c r="Z28" s="29"/>
      <c r="AA28" s="29"/>
      <c r="AB28" s="29"/>
      <c r="AC28" s="29"/>
      <c r="AD28" s="29"/>
      <c r="AE28" s="29"/>
    </row>
    <row r="39" spans="2:31">
      <c r="B39" s="29"/>
      <c r="C39" s="29"/>
      <c r="D39" s="29"/>
      <c r="E39" s="29"/>
      <c r="F39" s="29"/>
      <c r="G39" s="29"/>
      <c r="H39" s="29"/>
      <c r="I39" s="29"/>
      <c r="J39" s="29"/>
      <c r="K39" s="29"/>
      <c r="L39" s="29"/>
      <c r="M39" s="29"/>
      <c r="N39" s="29"/>
      <c r="O39" s="29"/>
      <c r="P39" s="29"/>
      <c r="Q39" s="29"/>
      <c r="R39" s="29"/>
      <c r="S39" s="29"/>
      <c r="T39" s="29"/>
      <c r="U39" s="29"/>
      <c r="V39" s="29"/>
      <c r="W39" s="29"/>
      <c r="X39" s="29"/>
      <c r="Y39" s="29"/>
      <c r="Z39" s="29"/>
      <c r="AA39" s="29"/>
      <c r="AB39" s="29"/>
      <c r="AC39" s="29"/>
      <c r="AD39" s="29"/>
      <c r="AE39" s="29"/>
    </row>
    <row r="41" spans="2:31">
      <c r="B41" s="29"/>
      <c r="C41" s="29"/>
      <c r="D41" s="29"/>
      <c r="E41" s="29"/>
      <c r="F41" s="29"/>
      <c r="G41" s="29"/>
      <c r="H41" s="29"/>
      <c r="I41" s="29"/>
      <c r="J41" s="29"/>
      <c r="K41" s="29"/>
      <c r="L41" s="29"/>
      <c r="M41" s="29"/>
      <c r="N41" s="29"/>
      <c r="O41" s="29"/>
      <c r="P41" s="29"/>
      <c r="Q41" s="29"/>
      <c r="R41" s="29"/>
      <c r="S41" s="29"/>
      <c r="T41" s="29"/>
      <c r="U41" s="29"/>
      <c r="V41" s="29"/>
      <c r="W41" s="29"/>
      <c r="X41" s="29"/>
      <c r="Y41" s="29"/>
      <c r="Z41" s="29"/>
      <c r="AA41" s="29"/>
      <c r="AB41" s="29"/>
      <c r="AC41" s="29"/>
      <c r="AD41" s="29"/>
      <c r="AE41" s="29"/>
    </row>
    <row r="50" spans="2:31">
      <c r="B50" s="29"/>
      <c r="C50" s="29"/>
      <c r="D50" s="29"/>
      <c r="E50" s="29"/>
      <c r="F50" s="29"/>
      <c r="G50" s="29"/>
      <c r="H50" s="29"/>
      <c r="I50" s="29"/>
      <c r="J50" s="29"/>
      <c r="K50" s="29"/>
      <c r="L50" s="29"/>
      <c r="M50" s="29"/>
      <c r="N50" s="29"/>
      <c r="O50" s="29"/>
      <c r="P50" s="29"/>
      <c r="Q50" s="29"/>
      <c r="R50" s="29"/>
      <c r="S50" s="29"/>
      <c r="T50" s="29"/>
      <c r="U50" s="29"/>
      <c r="V50" s="29"/>
      <c r="W50" s="29"/>
      <c r="X50" s="29"/>
      <c r="Y50" s="29"/>
      <c r="Z50" s="29"/>
      <c r="AA50" s="29"/>
      <c r="AB50" s="29"/>
      <c r="AC50" s="29"/>
      <c r="AD50" s="29"/>
      <c r="AE50" s="29"/>
    </row>
    <row r="52" spans="2:31">
      <c r="B52" s="29"/>
      <c r="C52" s="29"/>
      <c r="D52" s="29"/>
      <c r="E52" s="29"/>
      <c r="F52" s="29"/>
      <c r="G52" s="29"/>
      <c r="H52" s="29"/>
      <c r="I52" s="29"/>
      <c r="J52" s="29"/>
      <c r="K52" s="29"/>
      <c r="L52" s="29"/>
      <c r="M52" s="29"/>
      <c r="N52" s="29"/>
      <c r="O52" s="29"/>
      <c r="P52" s="29"/>
      <c r="Q52" s="29"/>
      <c r="R52" s="29"/>
      <c r="S52" s="29"/>
      <c r="T52" s="29"/>
      <c r="U52" s="29"/>
      <c r="V52" s="29"/>
      <c r="W52" s="29"/>
      <c r="X52" s="29"/>
      <c r="Y52" s="29"/>
      <c r="Z52" s="29"/>
      <c r="AA52" s="29"/>
      <c r="AB52" s="29"/>
      <c r="AC52" s="29"/>
      <c r="AD52" s="29"/>
      <c r="AE52" s="29"/>
    </row>
    <row r="57" spans="2:31">
      <c r="B57" s="29"/>
      <c r="C57" s="29"/>
      <c r="D57" s="29"/>
      <c r="E57" s="29"/>
      <c r="F57" s="29"/>
      <c r="G57" s="29"/>
      <c r="H57" s="29"/>
      <c r="I57" s="29"/>
      <c r="J57" s="29"/>
      <c r="K57" s="29"/>
      <c r="L57" s="29"/>
      <c r="M57" s="29"/>
      <c r="N57" s="29"/>
      <c r="O57" s="29"/>
      <c r="P57" s="29"/>
      <c r="Q57" s="29"/>
      <c r="R57" s="29"/>
      <c r="S57" s="29"/>
      <c r="T57" s="29"/>
      <c r="U57" s="29"/>
      <c r="V57" s="29"/>
      <c r="W57" s="29"/>
      <c r="X57" s="29"/>
      <c r="Y57" s="29"/>
      <c r="Z57" s="29"/>
      <c r="AA57" s="29"/>
      <c r="AB57" s="29"/>
      <c r="AC57" s="29"/>
      <c r="AD57" s="29"/>
      <c r="AE57" s="29"/>
    </row>
    <row r="59" spans="2:31">
      <c r="B59" s="29"/>
      <c r="C59" s="29"/>
      <c r="D59" s="29"/>
      <c r="E59" s="29"/>
      <c r="F59" s="29"/>
      <c r="G59" s="29"/>
      <c r="H59" s="29"/>
      <c r="I59" s="29"/>
      <c r="J59" s="29"/>
      <c r="K59" s="29"/>
      <c r="L59" s="29"/>
      <c r="M59" s="29"/>
      <c r="N59" s="29"/>
      <c r="O59" s="29"/>
      <c r="P59" s="29"/>
      <c r="Q59" s="29"/>
      <c r="R59" s="29"/>
      <c r="S59" s="29"/>
      <c r="T59" s="29"/>
      <c r="U59" s="29"/>
      <c r="V59" s="29"/>
      <c r="W59" s="29"/>
      <c r="X59" s="29"/>
      <c r="Y59" s="29"/>
      <c r="Z59" s="29"/>
      <c r="AA59" s="29"/>
      <c r="AB59" s="29"/>
      <c r="AC59" s="29"/>
      <c r="AD59" s="29"/>
      <c r="AE59" s="29"/>
    </row>
    <row r="61" spans="2:31">
      <c r="B61" s="29"/>
      <c r="C61" s="29"/>
      <c r="D61" s="29"/>
      <c r="E61" s="29"/>
      <c r="F61" s="29"/>
      <c r="G61" s="29"/>
      <c r="H61" s="29"/>
      <c r="I61" s="29"/>
      <c r="J61" s="29"/>
      <c r="K61" s="29"/>
      <c r="L61" s="29"/>
      <c r="M61" s="29"/>
      <c r="N61" s="29"/>
      <c r="O61" s="29"/>
      <c r="P61" s="29"/>
      <c r="Q61" s="29"/>
      <c r="R61" s="29"/>
      <c r="S61" s="29"/>
      <c r="T61" s="29"/>
      <c r="U61" s="29"/>
      <c r="V61" s="29"/>
      <c r="W61" s="29"/>
      <c r="X61" s="29"/>
      <c r="Y61" s="29"/>
      <c r="Z61" s="29"/>
      <c r="AA61" s="29"/>
      <c r="AB61" s="29"/>
      <c r="AC61" s="29"/>
      <c r="AD61" s="29"/>
      <c r="AE61" s="29"/>
    </row>
    <row r="75" spans="2:31">
      <c r="B75" s="29"/>
      <c r="C75" s="29"/>
      <c r="D75" s="29"/>
      <c r="E75" s="29"/>
      <c r="F75" s="29"/>
      <c r="G75" s="29"/>
      <c r="H75" s="29"/>
      <c r="I75" s="29"/>
      <c r="J75" s="29"/>
      <c r="K75" s="29"/>
      <c r="L75" s="29"/>
      <c r="M75" s="29"/>
      <c r="N75" s="29"/>
      <c r="O75" s="29"/>
      <c r="P75" s="29"/>
      <c r="Q75" s="29"/>
      <c r="R75" s="29"/>
      <c r="S75" s="29"/>
      <c r="T75" s="29"/>
      <c r="U75" s="29"/>
      <c r="V75" s="29"/>
      <c r="W75" s="29"/>
      <c r="X75" s="29"/>
      <c r="Y75" s="29"/>
      <c r="Z75" s="29"/>
      <c r="AA75" s="29"/>
      <c r="AB75" s="29"/>
      <c r="AC75" s="29"/>
      <c r="AD75" s="29"/>
      <c r="AE75" s="29"/>
    </row>
    <row r="86" spans="2:31">
      <c r="B86" s="29"/>
      <c r="C86" s="29"/>
      <c r="D86" s="29"/>
      <c r="E86" s="29"/>
      <c r="F86" s="29"/>
      <c r="G86" s="29"/>
      <c r="H86" s="29"/>
      <c r="I86" s="29"/>
      <c r="J86" s="29"/>
      <c r="K86" s="29"/>
      <c r="L86" s="29"/>
      <c r="M86" s="29"/>
      <c r="N86" s="29"/>
      <c r="O86" s="29"/>
      <c r="P86" s="29"/>
      <c r="Q86" s="29"/>
      <c r="R86" s="29"/>
      <c r="S86" s="29"/>
      <c r="T86" s="29"/>
      <c r="U86" s="29"/>
      <c r="V86" s="29"/>
      <c r="W86" s="29"/>
      <c r="X86" s="29"/>
      <c r="Y86" s="29"/>
      <c r="Z86" s="29"/>
      <c r="AA86" s="29"/>
      <c r="AB86" s="29"/>
      <c r="AC86" s="29"/>
      <c r="AD86" s="29"/>
      <c r="AE86" s="29"/>
    </row>
    <row r="87" spans="2:31">
      <c r="B87" s="29"/>
      <c r="C87" s="29"/>
      <c r="D87" s="29"/>
      <c r="E87" s="29"/>
      <c r="F87" s="29"/>
      <c r="G87" s="29"/>
      <c r="H87" s="29"/>
      <c r="I87" s="29"/>
      <c r="J87" s="29"/>
      <c r="K87" s="29"/>
      <c r="L87" s="29"/>
      <c r="M87" s="29"/>
      <c r="N87" s="29"/>
      <c r="O87" s="29"/>
      <c r="P87" s="29"/>
      <c r="Q87" s="29"/>
      <c r="R87" s="29"/>
      <c r="S87" s="29"/>
      <c r="T87" s="29"/>
      <c r="U87" s="29"/>
      <c r="V87" s="29"/>
      <c r="W87" s="29"/>
      <c r="X87" s="29"/>
      <c r="Y87" s="29"/>
      <c r="Z87" s="29"/>
      <c r="AA87" s="29"/>
      <c r="AB87" s="29"/>
      <c r="AC87" s="29"/>
      <c r="AD87" s="29"/>
      <c r="AE87" s="29"/>
    </row>
    <row r="98" spans="2:31">
      <c r="B98" s="29"/>
      <c r="C98" s="29"/>
      <c r="D98" s="29"/>
      <c r="E98" s="29"/>
      <c r="F98" s="29"/>
      <c r="G98" s="29"/>
      <c r="H98" s="29"/>
      <c r="I98" s="29"/>
      <c r="J98" s="29"/>
      <c r="K98" s="29"/>
      <c r="L98" s="29"/>
      <c r="M98" s="29"/>
      <c r="N98" s="29"/>
      <c r="O98" s="29"/>
      <c r="P98" s="29"/>
      <c r="Q98" s="29"/>
      <c r="R98" s="29"/>
      <c r="S98" s="29"/>
      <c r="T98" s="29"/>
      <c r="U98" s="29"/>
      <c r="V98" s="29"/>
      <c r="W98" s="29"/>
      <c r="X98" s="29"/>
      <c r="Y98" s="29"/>
      <c r="Z98" s="29"/>
      <c r="AA98" s="29"/>
      <c r="AB98" s="29"/>
      <c r="AC98" s="29"/>
      <c r="AD98" s="29"/>
      <c r="AE98" s="29"/>
    </row>
    <row r="109" spans="2:31">
      <c r="B109" s="29"/>
      <c r="C109" s="29"/>
      <c r="D109" s="29"/>
      <c r="E109" s="29"/>
      <c r="F109" s="29"/>
      <c r="G109" s="29"/>
      <c r="H109" s="29"/>
      <c r="I109" s="29"/>
      <c r="J109" s="29"/>
      <c r="K109" s="29"/>
      <c r="L109" s="29"/>
      <c r="M109" s="29"/>
      <c r="N109" s="29"/>
      <c r="O109" s="29"/>
      <c r="P109" s="29"/>
      <c r="Q109" s="29"/>
      <c r="R109" s="29"/>
      <c r="S109" s="29"/>
      <c r="T109" s="29"/>
      <c r="U109" s="29"/>
      <c r="V109" s="29"/>
      <c r="W109" s="29"/>
      <c r="X109" s="29"/>
      <c r="Y109" s="29"/>
      <c r="Z109" s="29"/>
      <c r="AA109" s="29"/>
      <c r="AB109" s="29"/>
      <c r="AC109" s="29"/>
      <c r="AD109" s="29"/>
      <c r="AE109" s="29"/>
    </row>
    <row r="111" spans="2:31">
      <c r="B111" s="29"/>
      <c r="C111" s="29"/>
      <c r="D111" s="29"/>
      <c r="E111" s="29"/>
      <c r="F111" s="29"/>
      <c r="G111" s="29"/>
      <c r="H111" s="29"/>
      <c r="I111" s="29"/>
      <c r="J111" s="29"/>
      <c r="K111" s="29"/>
      <c r="L111" s="29"/>
      <c r="M111" s="29"/>
      <c r="N111" s="29"/>
      <c r="O111" s="29"/>
      <c r="P111" s="29"/>
      <c r="Q111" s="29"/>
      <c r="R111" s="29"/>
      <c r="S111" s="29"/>
      <c r="T111" s="29"/>
      <c r="U111" s="29"/>
      <c r="V111" s="29"/>
      <c r="W111" s="29"/>
      <c r="X111" s="29"/>
      <c r="Y111" s="29"/>
      <c r="Z111" s="29"/>
      <c r="AA111" s="29"/>
      <c r="AB111" s="29"/>
      <c r="AC111" s="29"/>
      <c r="AD111" s="29"/>
      <c r="AE111" s="29"/>
    </row>
    <row r="120" spans="2:31">
      <c r="B120" s="29"/>
      <c r="C120" s="29"/>
      <c r="D120" s="29"/>
      <c r="E120" s="29"/>
      <c r="F120" s="29"/>
      <c r="G120" s="29"/>
      <c r="H120" s="29"/>
      <c r="I120" s="29"/>
      <c r="J120" s="29"/>
      <c r="K120" s="29"/>
      <c r="L120" s="29"/>
      <c r="M120" s="29"/>
      <c r="N120" s="29"/>
      <c r="O120" s="29"/>
      <c r="P120" s="29"/>
      <c r="Q120" s="29"/>
      <c r="R120" s="29"/>
      <c r="S120" s="29"/>
      <c r="T120" s="29"/>
      <c r="U120" s="29"/>
      <c r="V120" s="29"/>
      <c r="W120" s="29"/>
      <c r="X120" s="29"/>
      <c r="Y120" s="29"/>
      <c r="Z120" s="29"/>
      <c r="AA120" s="29"/>
      <c r="AB120" s="29"/>
      <c r="AC120" s="29"/>
      <c r="AD120" s="29"/>
      <c r="AE120" s="29"/>
    </row>
    <row r="122" spans="2:31">
      <c r="B122" s="29"/>
      <c r="C122" s="29"/>
      <c r="D122" s="29"/>
      <c r="E122" s="29"/>
      <c r="F122" s="29"/>
      <c r="G122" s="29"/>
      <c r="H122" s="29"/>
      <c r="I122" s="29"/>
      <c r="J122" s="29"/>
      <c r="K122" s="29"/>
      <c r="L122" s="29"/>
      <c r="M122" s="29"/>
      <c r="N122" s="29"/>
      <c r="O122" s="29"/>
      <c r="P122" s="29"/>
      <c r="Q122" s="29"/>
      <c r="R122" s="29"/>
      <c r="S122" s="29"/>
      <c r="T122" s="29"/>
      <c r="U122" s="29"/>
      <c r="V122" s="29"/>
      <c r="W122" s="29"/>
      <c r="X122" s="29"/>
      <c r="Y122" s="29"/>
      <c r="Z122" s="29"/>
      <c r="AA122" s="29"/>
      <c r="AB122" s="29"/>
      <c r="AC122" s="29"/>
      <c r="AD122" s="29"/>
      <c r="AE122" s="29"/>
    </row>
    <row r="127" spans="2:31">
      <c r="B127" s="29"/>
      <c r="C127" s="29"/>
      <c r="D127" s="29"/>
      <c r="E127" s="29"/>
      <c r="F127" s="29"/>
      <c r="G127" s="29"/>
      <c r="H127" s="29"/>
      <c r="I127" s="29"/>
      <c r="J127" s="29"/>
      <c r="K127" s="29"/>
      <c r="L127" s="29"/>
      <c r="M127" s="29"/>
      <c r="N127" s="29"/>
      <c r="O127" s="29"/>
      <c r="P127" s="29"/>
      <c r="Q127" s="29"/>
      <c r="R127" s="29"/>
      <c r="S127" s="29"/>
      <c r="T127" s="29"/>
      <c r="U127" s="29"/>
      <c r="V127" s="29"/>
      <c r="W127" s="29"/>
      <c r="X127" s="29"/>
      <c r="Y127" s="29"/>
      <c r="Z127" s="29"/>
      <c r="AA127" s="29"/>
      <c r="AB127" s="29"/>
      <c r="AC127" s="29"/>
      <c r="AD127" s="29"/>
      <c r="AE127" s="29"/>
    </row>
    <row r="129" spans="2:31">
      <c r="B129" s="29"/>
      <c r="C129" s="29"/>
      <c r="D129" s="29"/>
      <c r="E129" s="29"/>
      <c r="F129" s="29"/>
      <c r="G129" s="29"/>
      <c r="H129" s="29"/>
      <c r="I129" s="29"/>
      <c r="J129" s="29"/>
      <c r="K129" s="29"/>
      <c r="L129" s="29"/>
      <c r="M129" s="29"/>
      <c r="N129" s="29"/>
      <c r="O129" s="29"/>
      <c r="P129" s="29"/>
      <c r="Q129" s="29"/>
      <c r="R129" s="29"/>
      <c r="S129" s="29"/>
      <c r="T129" s="29"/>
      <c r="U129" s="29"/>
      <c r="V129" s="29"/>
      <c r="W129" s="29"/>
      <c r="X129" s="29"/>
      <c r="Y129" s="29"/>
      <c r="Z129" s="29"/>
      <c r="AA129" s="29"/>
      <c r="AB129" s="29"/>
      <c r="AC129" s="29"/>
      <c r="AD129" s="29"/>
      <c r="AE129" s="29"/>
    </row>
    <row r="131" spans="2:31">
      <c r="B131" s="29"/>
      <c r="C131" s="29"/>
      <c r="D131" s="29"/>
      <c r="E131" s="29"/>
      <c r="F131" s="29"/>
      <c r="G131" s="29"/>
      <c r="H131" s="29"/>
      <c r="I131" s="29"/>
      <c r="J131" s="29"/>
      <c r="K131" s="29"/>
      <c r="L131" s="29"/>
      <c r="M131" s="29"/>
      <c r="N131" s="29"/>
      <c r="O131" s="29"/>
      <c r="P131" s="29"/>
      <c r="Q131" s="29"/>
      <c r="R131" s="29"/>
      <c r="S131" s="29"/>
      <c r="T131" s="29"/>
      <c r="U131" s="29"/>
      <c r="V131" s="29"/>
      <c r="W131" s="29"/>
      <c r="X131" s="29"/>
      <c r="Y131" s="29"/>
      <c r="Z131" s="29"/>
      <c r="AA131" s="29"/>
      <c r="AB131" s="29"/>
      <c r="AC131" s="29"/>
      <c r="AD131" s="29"/>
      <c r="AE131" s="29"/>
    </row>
    <row r="145" spans="2:31">
      <c r="B145" s="29"/>
      <c r="C145" s="29"/>
      <c r="D145" s="29"/>
      <c r="E145" s="29"/>
      <c r="F145" s="29"/>
      <c r="G145" s="29"/>
      <c r="H145" s="29"/>
      <c r="I145" s="29"/>
      <c r="J145" s="29"/>
      <c r="K145" s="29"/>
      <c r="L145" s="29"/>
      <c r="M145" s="29"/>
      <c r="N145" s="29"/>
      <c r="O145" s="29"/>
      <c r="P145" s="29"/>
      <c r="Q145" s="29"/>
      <c r="R145" s="29"/>
      <c r="S145" s="29"/>
      <c r="T145" s="29"/>
      <c r="U145" s="29"/>
      <c r="V145" s="29"/>
      <c r="W145" s="29"/>
      <c r="X145" s="29"/>
      <c r="Y145" s="29"/>
      <c r="Z145" s="29"/>
      <c r="AA145" s="29"/>
      <c r="AB145" s="29"/>
      <c r="AC145" s="29"/>
      <c r="AD145" s="29"/>
      <c r="AE145" s="29"/>
    </row>
    <row r="156" spans="2:31">
      <c r="B156" s="29"/>
      <c r="C156" s="29"/>
      <c r="D156" s="29"/>
      <c r="E156" s="29"/>
      <c r="F156" s="29"/>
      <c r="G156" s="29"/>
      <c r="H156" s="29"/>
      <c r="I156" s="29"/>
      <c r="J156" s="29"/>
      <c r="K156" s="29"/>
      <c r="L156" s="29"/>
      <c r="M156" s="29"/>
      <c r="N156" s="29"/>
      <c r="Q156" s="29"/>
      <c r="R156" s="29"/>
      <c r="S156" s="29"/>
      <c r="T156" s="29"/>
      <c r="U156" s="29"/>
      <c r="V156" s="29"/>
      <c r="W156" s="29"/>
      <c r="X156" s="29"/>
      <c r="Y156" s="29"/>
      <c r="Z156" s="29"/>
      <c r="AA156" s="29"/>
      <c r="AB156" s="29"/>
      <c r="AC156" s="29"/>
      <c r="AD156" s="29"/>
      <c r="AE156" s="29"/>
    </row>
    <row r="157" spans="2:31">
      <c r="B157" s="29"/>
      <c r="C157" s="29"/>
      <c r="D157" s="29"/>
      <c r="E157" s="29"/>
      <c r="F157" s="29"/>
      <c r="G157" s="29"/>
      <c r="H157" s="29"/>
      <c r="I157" s="29"/>
      <c r="J157" s="29"/>
      <c r="K157" s="29"/>
      <c r="L157" s="29"/>
      <c r="M157" s="29"/>
      <c r="N157" s="29"/>
      <c r="O157" s="29"/>
      <c r="P157" s="29"/>
      <c r="Q157" s="29"/>
      <c r="R157" s="29"/>
      <c r="S157" s="29"/>
      <c r="T157" s="29"/>
      <c r="U157" s="29"/>
      <c r="V157" s="29"/>
      <c r="W157" s="29"/>
      <c r="X157" s="29"/>
      <c r="Y157" s="29"/>
      <c r="Z157" s="29"/>
      <c r="AA157" s="29"/>
      <c r="AB157" s="29"/>
      <c r="AC157" s="29"/>
      <c r="AD157" s="29"/>
      <c r="AE157" s="29"/>
    </row>
    <row r="168" spans="2:31">
      <c r="B168" s="29"/>
      <c r="C168" s="29"/>
      <c r="D168" s="29"/>
      <c r="E168" s="29"/>
      <c r="F168" s="29"/>
      <c r="G168" s="29"/>
      <c r="H168" s="29"/>
      <c r="I168" s="29"/>
      <c r="J168" s="29"/>
      <c r="K168" s="29"/>
      <c r="L168" s="29"/>
      <c r="M168" s="29"/>
      <c r="N168" s="29"/>
      <c r="O168" s="29"/>
      <c r="P168" s="29"/>
      <c r="Q168" s="29"/>
      <c r="R168" s="29"/>
      <c r="S168" s="29"/>
      <c r="T168" s="29"/>
      <c r="U168" s="29"/>
      <c r="V168" s="29"/>
      <c r="W168" s="29"/>
      <c r="X168" s="29"/>
      <c r="Y168" s="29"/>
      <c r="Z168" s="29"/>
      <c r="AA168" s="29"/>
      <c r="AB168" s="29"/>
      <c r="AC168" s="29"/>
      <c r="AD168" s="29"/>
      <c r="AE168" s="29"/>
    </row>
    <row r="179" spans="2:31">
      <c r="B179" s="29"/>
      <c r="C179" s="29"/>
      <c r="D179" s="29"/>
      <c r="E179" s="29"/>
      <c r="F179" s="29"/>
      <c r="G179" s="29"/>
      <c r="H179" s="29"/>
      <c r="I179" s="29"/>
      <c r="J179" s="29"/>
      <c r="K179" s="29"/>
      <c r="L179" s="29"/>
      <c r="M179" s="29"/>
      <c r="N179" s="29"/>
      <c r="O179" s="29"/>
      <c r="P179" s="29"/>
      <c r="Q179" s="29"/>
      <c r="R179" s="29"/>
      <c r="S179" s="29"/>
      <c r="T179" s="29"/>
      <c r="U179" s="29"/>
      <c r="V179" s="29"/>
      <c r="W179" s="29"/>
      <c r="X179" s="29"/>
      <c r="Y179" s="29"/>
      <c r="Z179" s="29"/>
      <c r="AA179" s="29"/>
      <c r="AB179" s="29"/>
      <c r="AC179" s="29"/>
      <c r="AD179" s="29"/>
      <c r="AE179" s="29"/>
    </row>
    <row r="181" spans="2:31">
      <c r="B181" s="29"/>
      <c r="C181" s="29"/>
      <c r="D181" s="29"/>
      <c r="E181" s="29"/>
      <c r="F181" s="29"/>
      <c r="G181" s="29"/>
      <c r="H181" s="29"/>
      <c r="I181" s="29"/>
      <c r="J181" s="29"/>
      <c r="K181" s="29"/>
      <c r="L181" s="29"/>
      <c r="M181" s="29"/>
      <c r="N181" s="29"/>
      <c r="O181" s="29"/>
      <c r="P181" s="29"/>
      <c r="Q181" s="29"/>
      <c r="R181" s="29"/>
      <c r="S181" s="29"/>
      <c r="T181" s="29"/>
      <c r="U181" s="29"/>
      <c r="V181" s="29"/>
      <c r="W181" s="29"/>
      <c r="X181" s="29"/>
      <c r="Y181" s="29"/>
      <c r="Z181" s="29"/>
      <c r="AA181" s="29"/>
      <c r="AB181" s="29"/>
      <c r="AC181" s="29"/>
      <c r="AD181" s="29"/>
      <c r="AE181" s="29"/>
    </row>
    <row r="190" spans="2:31">
      <c r="B190" s="29"/>
      <c r="C190" s="29"/>
      <c r="D190" s="29"/>
      <c r="E190" s="29"/>
      <c r="F190" s="29"/>
      <c r="G190" s="29"/>
      <c r="H190" s="29"/>
      <c r="I190" s="29"/>
      <c r="J190" s="29"/>
      <c r="K190" s="29"/>
      <c r="L190" s="29"/>
      <c r="M190" s="29"/>
      <c r="N190" s="29"/>
      <c r="O190" s="29"/>
      <c r="P190" s="29"/>
      <c r="Q190" s="29"/>
      <c r="R190" s="29"/>
      <c r="S190" s="29"/>
      <c r="T190" s="29"/>
      <c r="U190" s="29"/>
      <c r="V190" s="29"/>
      <c r="W190" s="29"/>
      <c r="X190" s="29"/>
      <c r="Y190" s="29"/>
      <c r="Z190" s="29"/>
      <c r="AA190" s="29"/>
      <c r="AB190" s="29"/>
      <c r="AC190" s="29"/>
      <c r="AD190" s="29"/>
      <c r="AE190" s="29"/>
    </row>
    <row r="192" spans="2:31">
      <c r="B192" s="29"/>
      <c r="C192" s="29"/>
      <c r="D192" s="29"/>
      <c r="E192" s="29"/>
      <c r="F192" s="29"/>
      <c r="G192" s="29"/>
      <c r="H192" s="29"/>
      <c r="I192" s="29"/>
      <c r="J192" s="29"/>
      <c r="K192" s="29"/>
      <c r="L192" s="29"/>
      <c r="M192" s="29"/>
      <c r="N192" s="29"/>
      <c r="O192" s="29"/>
      <c r="P192" s="29"/>
      <c r="Q192" s="29"/>
      <c r="R192" s="29"/>
      <c r="S192" s="29"/>
      <c r="T192" s="29"/>
      <c r="U192" s="29"/>
      <c r="V192" s="29"/>
      <c r="W192" s="29"/>
      <c r="X192" s="29"/>
      <c r="Y192" s="29"/>
      <c r="Z192" s="29"/>
      <c r="AA192" s="29"/>
      <c r="AB192" s="29"/>
      <c r="AC192" s="29"/>
      <c r="AD192" s="29"/>
      <c r="AE192" s="29"/>
    </row>
    <row r="215" spans="2:31">
      <c r="B215" s="29"/>
      <c r="C215" s="29"/>
      <c r="D215" s="29"/>
      <c r="E215" s="29"/>
      <c r="F215" s="29"/>
      <c r="G215" s="29"/>
      <c r="H215" s="29"/>
      <c r="I215" s="29"/>
      <c r="J215" s="29"/>
      <c r="K215" s="29"/>
      <c r="L215" s="29"/>
      <c r="M215" s="29"/>
      <c r="N215" s="29"/>
      <c r="O215" s="29"/>
      <c r="P215" s="29"/>
      <c r="Q215" s="29"/>
      <c r="R215" s="29"/>
      <c r="S215" s="29"/>
      <c r="T215" s="29"/>
      <c r="U215" s="29"/>
      <c r="V215" s="29"/>
      <c r="W215" s="29"/>
      <c r="X215" s="29"/>
      <c r="Y215" s="29"/>
      <c r="Z215" s="29"/>
      <c r="AA215" s="29"/>
      <c r="AB215" s="29"/>
      <c r="AC215" s="29"/>
      <c r="AD215" s="29"/>
      <c r="AE215" s="29"/>
    </row>
    <row r="226" spans="2:31">
      <c r="B226" s="29"/>
      <c r="C226" s="29"/>
      <c r="D226" s="29"/>
      <c r="E226" s="29"/>
      <c r="F226" s="29"/>
      <c r="G226" s="29"/>
      <c r="H226" s="29"/>
      <c r="I226" s="29"/>
      <c r="J226" s="29"/>
      <c r="K226" s="29"/>
      <c r="L226" s="29"/>
      <c r="M226" s="29"/>
      <c r="N226" s="29"/>
      <c r="O226" s="29"/>
      <c r="P226" s="29"/>
      <c r="Q226" s="29"/>
      <c r="R226" s="29"/>
      <c r="S226" s="29"/>
      <c r="T226" s="29"/>
      <c r="U226" s="29"/>
      <c r="V226" s="29"/>
      <c r="W226" s="29"/>
      <c r="X226" s="29"/>
      <c r="Y226" s="29"/>
      <c r="Z226" s="29"/>
      <c r="AA226" s="29"/>
      <c r="AB226" s="29"/>
      <c r="AC226" s="29"/>
      <c r="AD226" s="29"/>
      <c r="AE226" s="29"/>
    </row>
    <row r="227" spans="2:31">
      <c r="B227" s="29"/>
      <c r="C227" s="29"/>
      <c r="D227" s="29"/>
      <c r="E227" s="29"/>
      <c r="F227" s="29"/>
      <c r="G227" s="29"/>
      <c r="H227" s="29"/>
      <c r="I227" s="29"/>
      <c r="J227" s="29"/>
      <c r="K227" s="29"/>
      <c r="L227" s="29"/>
      <c r="M227" s="29"/>
      <c r="N227" s="29"/>
      <c r="O227" s="29"/>
      <c r="P227" s="29"/>
      <c r="Q227" s="29"/>
      <c r="R227" s="29"/>
      <c r="S227" s="29"/>
      <c r="T227" s="29"/>
      <c r="U227" s="29"/>
      <c r="V227" s="29"/>
      <c r="W227" s="29"/>
      <c r="X227" s="29"/>
      <c r="Y227" s="29"/>
      <c r="Z227" s="29"/>
      <c r="AA227" s="29"/>
      <c r="AB227" s="29"/>
      <c r="AC227" s="29"/>
      <c r="AD227" s="29"/>
      <c r="AE227" s="29"/>
    </row>
    <row r="238" spans="2:31">
      <c r="B238" s="29"/>
      <c r="C238" s="29"/>
      <c r="D238" s="29"/>
      <c r="E238" s="29"/>
      <c r="F238" s="29"/>
      <c r="G238" s="29"/>
      <c r="H238" s="29"/>
      <c r="I238" s="29"/>
      <c r="J238" s="29"/>
      <c r="K238" s="29"/>
      <c r="L238" s="29"/>
      <c r="M238" s="29"/>
      <c r="N238" s="29"/>
      <c r="O238" s="29"/>
      <c r="P238" s="29"/>
      <c r="Q238" s="29"/>
      <c r="R238" s="29"/>
      <c r="S238" s="29"/>
      <c r="T238" s="29"/>
      <c r="U238" s="29"/>
      <c r="V238" s="29"/>
      <c r="W238" s="29"/>
      <c r="X238" s="29"/>
      <c r="Y238" s="29"/>
      <c r="Z238" s="29"/>
      <c r="AA238" s="29"/>
      <c r="AB238" s="29"/>
      <c r="AC238" s="29"/>
      <c r="AD238" s="29"/>
      <c r="AE238" s="29"/>
    </row>
    <row r="249" spans="2:20">
      <c r="B249" s="29"/>
      <c r="C249" s="29"/>
      <c r="D249" s="29"/>
      <c r="E249" s="29"/>
      <c r="F249" s="29"/>
      <c r="G249" s="29"/>
      <c r="H249" s="29"/>
      <c r="I249" s="29"/>
      <c r="J249" s="29"/>
      <c r="K249" s="29"/>
      <c r="L249" s="29"/>
      <c r="M249" s="29"/>
      <c r="N249" s="29"/>
      <c r="O249" s="29"/>
      <c r="P249" s="29"/>
      <c r="Q249" s="29"/>
      <c r="R249" s="29"/>
      <c r="S249" s="29"/>
      <c r="T249" s="29"/>
    </row>
    <row r="251" spans="2:20">
      <c r="B251" s="29"/>
      <c r="C251" s="29"/>
      <c r="D251" s="29"/>
      <c r="E251" s="29"/>
      <c r="F251" s="29"/>
      <c r="G251" s="29"/>
      <c r="H251" s="29"/>
      <c r="I251" s="29"/>
      <c r="J251" s="29"/>
      <c r="K251" s="29"/>
      <c r="L251" s="29"/>
      <c r="M251" s="29"/>
      <c r="N251" s="29"/>
      <c r="O251" s="29"/>
      <c r="P251" s="29"/>
      <c r="Q251" s="29"/>
      <c r="R251" s="29"/>
      <c r="S251" s="29"/>
      <c r="T251" s="29"/>
    </row>
    <row r="260" spans="2:31">
      <c r="B260" s="29"/>
      <c r="C260" s="29"/>
      <c r="D260" s="29"/>
      <c r="E260" s="29"/>
      <c r="F260" s="29"/>
      <c r="G260" s="29"/>
      <c r="H260" s="29"/>
      <c r="I260" s="29"/>
      <c r="J260" s="29"/>
      <c r="K260" s="29"/>
      <c r="L260" s="29"/>
      <c r="M260" s="29"/>
      <c r="N260" s="29"/>
      <c r="O260" s="29"/>
      <c r="P260" s="29"/>
      <c r="Q260" s="29"/>
      <c r="R260" s="29"/>
      <c r="S260" s="29"/>
      <c r="T260" s="29"/>
      <c r="U260" s="29"/>
      <c r="V260" s="29"/>
      <c r="W260" s="29"/>
      <c r="X260" s="29"/>
      <c r="Y260" s="29"/>
      <c r="Z260" s="29"/>
      <c r="AA260" s="29"/>
      <c r="AB260" s="29"/>
      <c r="AC260" s="29"/>
      <c r="AD260" s="29"/>
      <c r="AE260" s="29"/>
    </row>
    <row r="262" spans="2:31">
      <c r="B262" s="29"/>
      <c r="C262" s="29"/>
      <c r="D262" s="29"/>
      <c r="E262" s="29"/>
      <c r="F262" s="29"/>
      <c r="G262" s="29"/>
      <c r="H262" s="29"/>
      <c r="I262" s="29"/>
      <c r="J262" s="29"/>
      <c r="K262" s="29"/>
      <c r="L262" s="29"/>
      <c r="M262" s="29"/>
      <c r="N262" s="29"/>
      <c r="O262" s="29"/>
      <c r="P262" s="29"/>
      <c r="Q262" s="29"/>
      <c r="R262" s="29"/>
      <c r="S262" s="29"/>
      <c r="T262" s="29"/>
      <c r="U262" s="29"/>
      <c r="V262" s="29"/>
      <c r="W262" s="29"/>
      <c r="X262" s="29"/>
      <c r="Y262" s="29"/>
      <c r="Z262" s="29"/>
      <c r="AA262" s="29"/>
      <c r="AB262" s="29"/>
      <c r="AC262" s="29"/>
      <c r="AD262" s="29"/>
      <c r="AE262" s="29"/>
    </row>
    <row r="267" spans="2:31">
      <c r="B267" s="29"/>
      <c r="C267" s="29"/>
      <c r="D267" s="29"/>
      <c r="E267" s="29"/>
      <c r="F267" s="29"/>
      <c r="G267" s="29"/>
      <c r="H267" s="29"/>
      <c r="I267" s="29"/>
      <c r="J267" s="29"/>
      <c r="K267" s="29"/>
      <c r="L267" s="29"/>
      <c r="M267" s="29"/>
      <c r="N267" s="29"/>
      <c r="O267" s="29"/>
      <c r="P267" s="29"/>
      <c r="Q267" s="29"/>
      <c r="R267" s="29"/>
      <c r="S267" s="29"/>
      <c r="T267" s="29"/>
      <c r="U267" s="29"/>
      <c r="V267" s="29"/>
      <c r="W267" s="29"/>
      <c r="X267" s="29"/>
      <c r="Y267" s="29"/>
      <c r="Z267" s="29"/>
      <c r="AA267" s="29"/>
      <c r="AB267" s="29"/>
      <c r="AC267" s="29"/>
      <c r="AD267" s="29"/>
      <c r="AE267" s="29"/>
    </row>
    <row r="270" spans="2:31">
      <c r="B270" s="29"/>
      <c r="C270" s="29"/>
      <c r="D270" s="29"/>
      <c r="E270" s="29"/>
      <c r="F270" s="29"/>
      <c r="G270" s="29"/>
      <c r="H270" s="29"/>
      <c r="I270" s="29"/>
      <c r="J270" s="29"/>
      <c r="K270" s="29"/>
      <c r="L270" s="29"/>
      <c r="M270" s="29"/>
      <c r="N270" s="29"/>
      <c r="O270" s="29"/>
      <c r="P270" s="29"/>
      <c r="Q270" s="29"/>
      <c r="R270" s="29"/>
      <c r="S270" s="29"/>
      <c r="T270" s="29"/>
      <c r="U270" s="29"/>
      <c r="V270" s="29"/>
      <c r="W270" s="29"/>
      <c r="X270" s="29"/>
      <c r="Y270" s="29"/>
      <c r="Z270" s="29"/>
      <c r="AA270" s="29"/>
      <c r="AB270" s="29"/>
      <c r="AC270" s="29"/>
      <c r="AD270" s="29"/>
      <c r="AE270" s="29"/>
    </row>
    <row r="272" spans="2:31">
      <c r="B272" s="29"/>
      <c r="C272" s="29"/>
      <c r="D272" s="29"/>
      <c r="E272" s="29"/>
      <c r="F272" s="29"/>
      <c r="G272" s="29"/>
      <c r="H272" s="29"/>
      <c r="I272" s="29"/>
      <c r="J272" s="29"/>
      <c r="K272" s="29"/>
      <c r="L272" s="29"/>
      <c r="M272" s="29"/>
      <c r="N272" s="29"/>
      <c r="O272" s="29"/>
      <c r="P272" s="29"/>
      <c r="Q272" s="29"/>
      <c r="R272" s="29"/>
      <c r="S272" s="29"/>
      <c r="T272" s="29"/>
      <c r="U272" s="29"/>
      <c r="V272" s="29"/>
      <c r="W272" s="29"/>
      <c r="X272" s="29"/>
      <c r="Y272" s="29"/>
      <c r="Z272" s="29"/>
      <c r="AA272" s="29"/>
      <c r="AB272" s="29"/>
      <c r="AC272" s="29"/>
      <c r="AD272" s="29"/>
      <c r="AE272" s="29"/>
    </row>
    <row r="285" spans="2:31">
      <c r="B285" s="29"/>
      <c r="C285" s="29"/>
      <c r="D285" s="29"/>
      <c r="E285" s="29"/>
      <c r="F285" s="29"/>
      <c r="G285" s="29"/>
      <c r="H285" s="29"/>
      <c r="I285" s="29"/>
      <c r="J285" s="29"/>
      <c r="K285" s="29"/>
      <c r="L285" s="29"/>
      <c r="M285" s="29"/>
      <c r="N285" s="29"/>
      <c r="O285" s="29"/>
      <c r="P285" s="29"/>
      <c r="Q285" s="29"/>
      <c r="R285" s="29"/>
      <c r="S285" s="29"/>
      <c r="T285" s="29"/>
      <c r="U285" s="29"/>
      <c r="V285" s="29"/>
      <c r="W285" s="29"/>
      <c r="X285" s="29"/>
      <c r="Y285" s="29"/>
      <c r="Z285" s="29"/>
      <c r="AA285" s="29"/>
      <c r="AB285" s="29"/>
      <c r="AC285" s="29"/>
      <c r="AD285" s="29"/>
      <c r="AE285" s="29"/>
    </row>
    <row r="296" spans="2:31">
      <c r="B296" s="29"/>
      <c r="C296" s="29"/>
      <c r="D296" s="29"/>
      <c r="E296" s="29"/>
      <c r="F296" s="29"/>
      <c r="G296" s="29"/>
      <c r="H296" s="29"/>
      <c r="I296" s="29"/>
      <c r="J296" s="29"/>
      <c r="K296" s="29"/>
      <c r="L296" s="29"/>
      <c r="M296" s="29"/>
      <c r="N296" s="29"/>
      <c r="O296" s="29"/>
      <c r="P296" s="29"/>
      <c r="Q296" s="29"/>
      <c r="R296" s="29"/>
      <c r="S296" s="29"/>
      <c r="T296" s="29"/>
      <c r="U296" s="29"/>
      <c r="V296" s="29"/>
      <c r="W296" s="29"/>
      <c r="X296" s="29"/>
      <c r="Y296" s="29"/>
      <c r="Z296" s="29"/>
      <c r="AA296" s="29"/>
      <c r="AB296" s="29"/>
      <c r="AC296" s="29"/>
      <c r="AD296" s="29"/>
      <c r="AE296" s="29"/>
    </row>
  </sheetData>
  <pageMargins left="0.7" right="0.7" top="0.75" bottom="0.75" header="0.3" footer="0.3"/>
</worksheet>
</file>

<file path=xl/worksheets/sheet2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8A8F1CB-7CCA-4C38-895F-8FA41C42819B}">
  <dimension ref="A1:AL50"/>
  <sheetViews>
    <sheetView workbookViewId="0"/>
  </sheetViews>
  <sheetFormatPr defaultRowHeight="15"/>
  <cols>
    <col min="1" max="1" width="57.42578125" customWidth="1"/>
    <col min="2" max="32" width="0" hidden="1" customWidth="1"/>
  </cols>
  <sheetData>
    <row r="1" spans="1:38">
      <c r="A1" t="s">
        <v>2136</v>
      </c>
      <c r="AK1" t="s">
        <v>2137</v>
      </c>
      <c r="AL1" t="s">
        <v>2138</v>
      </c>
    </row>
    <row r="2" spans="1:38">
      <c r="A2" t="s">
        <v>2098</v>
      </c>
      <c r="B2">
        <v>1990</v>
      </c>
      <c r="C2">
        <v>1991</v>
      </c>
      <c r="D2">
        <v>1992</v>
      </c>
      <c r="E2">
        <v>1993</v>
      </c>
      <c r="F2">
        <v>1994</v>
      </c>
      <c r="G2">
        <v>1995</v>
      </c>
      <c r="H2">
        <v>1996</v>
      </c>
      <c r="I2">
        <v>1997</v>
      </c>
      <c r="J2">
        <v>1998</v>
      </c>
      <c r="K2">
        <v>1999</v>
      </c>
      <c r="L2">
        <v>2000</v>
      </c>
      <c r="M2">
        <v>2001</v>
      </c>
      <c r="N2">
        <v>2002</v>
      </c>
      <c r="O2">
        <v>2003</v>
      </c>
      <c r="P2">
        <v>2004</v>
      </c>
      <c r="Q2">
        <v>2005</v>
      </c>
      <c r="R2">
        <v>2006</v>
      </c>
      <c r="S2">
        <v>2007</v>
      </c>
      <c r="T2">
        <v>2008</v>
      </c>
      <c r="U2">
        <v>2009</v>
      </c>
      <c r="V2" t="s">
        <v>2139</v>
      </c>
      <c r="W2">
        <v>2011</v>
      </c>
      <c r="X2">
        <v>2012</v>
      </c>
      <c r="Y2">
        <v>2013</v>
      </c>
      <c r="Z2">
        <v>2014</v>
      </c>
      <c r="AA2">
        <v>2015</v>
      </c>
      <c r="AB2">
        <v>2016</v>
      </c>
      <c r="AC2">
        <v>2017</v>
      </c>
      <c r="AD2">
        <v>2018</v>
      </c>
      <c r="AE2">
        <v>2019</v>
      </c>
      <c r="AF2">
        <v>2020</v>
      </c>
      <c r="AG2">
        <v>2021</v>
      </c>
      <c r="AJ2" t="s">
        <v>123</v>
      </c>
      <c r="AK2" s="60">
        <f>SUM(AG4,AG5)</f>
        <v>13876</v>
      </c>
      <c r="AL2">
        <f>SUM(AG11,AG12)</f>
        <v>487</v>
      </c>
    </row>
    <row r="3" spans="1:38">
      <c r="A3" t="s">
        <v>2140</v>
      </c>
      <c r="B3" s="60">
        <v>13464</v>
      </c>
      <c r="C3" s="60">
        <v>13253</v>
      </c>
      <c r="D3" s="60">
        <v>13624</v>
      </c>
      <c r="E3" s="60">
        <v>13850</v>
      </c>
      <c r="F3" s="60">
        <v>14080</v>
      </c>
      <c r="G3" s="60">
        <v>14273</v>
      </c>
      <c r="H3" s="60">
        <v>14605</v>
      </c>
      <c r="I3" s="60">
        <v>14778</v>
      </c>
      <c r="J3" s="60">
        <v>15201</v>
      </c>
      <c r="K3" s="60">
        <v>15710</v>
      </c>
      <c r="L3" s="60">
        <v>15663</v>
      </c>
      <c r="M3" s="60">
        <v>15771</v>
      </c>
      <c r="N3" s="60">
        <v>16097</v>
      </c>
      <c r="O3" s="60">
        <v>16165</v>
      </c>
      <c r="P3" s="60">
        <v>16379</v>
      </c>
      <c r="Q3" s="60">
        <v>16236</v>
      </c>
      <c r="R3" s="60">
        <v>16007</v>
      </c>
      <c r="S3" s="60">
        <v>15824</v>
      </c>
      <c r="T3" s="60">
        <v>15105</v>
      </c>
      <c r="U3" s="60">
        <v>15030</v>
      </c>
      <c r="V3" s="60">
        <v>14899</v>
      </c>
      <c r="W3" s="60">
        <v>14576</v>
      </c>
      <c r="X3" s="60">
        <v>14523</v>
      </c>
      <c r="Y3" s="60">
        <v>14542</v>
      </c>
      <c r="Z3" s="60">
        <v>15103</v>
      </c>
      <c r="AA3" s="60">
        <v>14999</v>
      </c>
      <c r="AB3" s="60">
        <v>15353</v>
      </c>
      <c r="AC3" s="60">
        <v>15303</v>
      </c>
      <c r="AD3" s="60">
        <v>15528</v>
      </c>
      <c r="AE3" s="60">
        <v>15381</v>
      </c>
      <c r="AF3" s="60">
        <v>13262</v>
      </c>
      <c r="AG3" s="60">
        <v>14559</v>
      </c>
      <c r="AJ3" t="s">
        <v>121</v>
      </c>
      <c r="AK3">
        <f>SUM(AG8)</f>
        <v>388</v>
      </c>
      <c r="AL3" s="60">
        <f>SUM(AG14)</f>
        <v>5127</v>
      </c>
    </row>
    <row r="4" spans="1:38">
      <c r="A4" t="s">
        <v>2141</v>
      </c>
      <c r="B4" s="60">
        <v>8604</v>
      </c>
      <c r="C4" s="60">
        <v>8263</v>
      </c>
      <c r="D4" s="60">
        <v>8289</v>
      </c>
      <c r="E4" s="60">
        <v>8216</v>
      </c>
      <c r="F4" s="60">
        <v>8138</v>
      </c>
      <c r="G4" s="60">
        <v>8032</v>
      </c>
      <c r="H4" s="60">
        <v>7996</v>
      </c>
      <c r="I4" s="60">
        <v>7865</v>
      </c>
      <c r="J4" s="60">
        <v>7859</v>
      </c>
      <c r="K4" s="60">
        <v>7884</v>
      </c>
      <c r="L4" s="60">
        <v>7735</v>
      </c>
      <c r="M4" s="60">
        <v>7677</v>
      </c>
      <c r="N4" s="60">
        <v>7725</v>
      </c>
      <c r="O4" s="60">
        <v>7628</v>
      </c>
      <c r="P4" s="60">
        <v>7523</v>
      </c>
      <c r="Q4" s="60">
        <v>7325</v>
      </c>
      <c r="R4" s="60">
        <v>7017</v>
      </c>
      <c r="S4" s="60">
        <v>6877</v>
      </c>
      <c r="T4" s="60">
        <v>6583</v>
      </c>
      <c r="U4" s="60">
        <v>6532</v>
      </c>
      <c r="V4" s="60">
        <v>6428</v>
      </c>
      <c r="W4" s="60">
        <v>5988</v>
      </c>
      <c r="X4" s="60">
        <v>5261</v>
      </c>
      <c r="Y4" s="60">
        <v>5385</v>
      </c>
      <c r="Z4" s="60">
        <v>5567</v>
      </c>
      <c r="AA4" s="60">
        <v>5436</v>
      </c>
      <c r="AB4" s="60">
        <v>5473</v>
      </c>
      <c r="AC4" s="60">
        <v>5308</v>
      </c>
      <c r="AD4" s="60">
        <v>5414</v>
      </c>
      <c r="AE4" s="60">
        <v>5380</v>
      </c>
      <c r="AF4" s="60">
        <v>4643</v>
      </c>
      <c r="AG4" s="60">
        <v>5102</v>
      </c>
    </row>
    <row r="5" spans="1:38">
      <c r="A5" t="s">
        <v>2142</v>
      </c>
      <c r="B5" s="60">
        <v>3982</v>
      </c>
      <c r="C5" s="60">
        <v>4136</v>
      </c>
      <c r="D5" s="60">
        <v>4478</v>
      </c>
      <c r="E5" s="60">
        <v>4782</v>
      </c>
      <c r="F5" s="60">
        <v>5095</v>
      </c>
      <c r="G5" s="60">
        <v>5401</v>
      </c>
      <c r="H5" s="60">
        <v>5768</v>
      </c>
      <c r="I5" s="60">
        <v>6081</v>
      </c>
      <c r="J5" s="60">
        <v>6508</v>
      </c>
      <c r="K5" s="60">
        <v>6989</v>
      </c>
      <c r="L5" s="60">
        <v>7151</v>
      </c>
      <c r="M5" s="60">
        <v>7341</v>
      </c>
      <c r="N5" s="60">
        <v>7625</v>
      </c>
      <c r="O5" s="60">
        <v>7793</v>
      </c>
      <c r="P5" s="60">
        <v>8134</v>
      </c>
      <c r="Q5" s="60">
        <v>8236</v>
      </c>
      <c r="R5" s="60">
        <v>8277</v>
      </c>
      <c r="S5" s="60">
        <v>8264</v>
      </c>
      <c r="T5" s="60">
        <v>7852</v>
      </c>
      <c r="U5" s="60">
        <v>7860</v>
      </c>
      <c r="V5" s="60">
        <v>7885</v>
      </c>
      <c r="W5" s="60">
        <v>8037</v>
      </c>
      <c r="X5" s="60">
        <v>8698</v>
      </c>
      <c r="Y5" s="60">
        <v>8587</v>
      </c>
      <c r="Z5" s="60">
        <v>8941</v>
      </c>
      <c r="AA5" s="60">
        <v>8968</v>
      </c>
      <c r="AB5" s="60">
        <v>9258</v>
      </c>
      <c r="AC5" s="60">
        <v>9357</v>
      </c>
      <c r="AD5" s="60">
        <v>9450</v>
      </c>
      <c r="AE5" s="60">
        <v>9323</v>
      </c>
      <c r="AF5" s="60">
        <v>8007</v>
      </c>
      <c r="AG5" s="60">
        <v>8774</v>
      </c>
    </row>
    <row r="6" spans="1:38">
      <c r="A6" t="s">
        <v>2143</v>
      </c>
      <c r="B6">
        <v>47</v>
      </c>
      <c r="C6">
        <v>48</v>
      </c>
      <c r="D6">
        <v>50</v>
      </c>
      <c r="E6">
        <v>52</v>
      </c>
      <c r="F6">
        <v>55</v>
      </c>
      <c r="G6">
        <v>57</v>
      </c>
      <c r="H6">
        <v>60</v>
      </c>
      <c r="I6">
        <v>62</v>
      </c>
      <c r="J6">
        <v>65</v>
      </c>
      <c r="K6">
        <v>69</v>
      </c>
      <c r="L6">
        <v>61</v>
      </c>
      <c r="M6">
        <v>56</v>
      </c>
      <c r="N6">
        <v>58</v>
      </c>
      <c r="O6">
        <v>59</v>
      </c>
      <c r="P6">
        <v>76</v>
      </c>
      <c r="Q6">
        <v>69</v>
      </c>
      <c r="R6">
        <v>95</v>
      </c>
      <c r="S6">
        <v>105</v>
      </c>
      <c r="T6">
        <v>100</v>
      </c>
      <c r="U6">
        <v>100</v>
      </c>
      <c r="V6">
        <v>88</v>
      </c>
      <c r="W6">
        <v>87</v>
      </c>
      <c r="X6">
        <v>98</v>
      </c>
      <c r="Y6">
        <v>95</v>
      </c>
      <c r="Z6">
        <v>97</v>
      </c>
      <c r="AA6">
        <v>94</v>
      </c>
      <c r="AB6">
        <v>100</v>
      </c>
      <c r="AC6">
        <v>99</v>
      </c>
      <c r="AD6">
        <v>103</v>
      </c>
      <c r="AE6">
        <v>104</v>
      </c>
      <c r="AF6">
        <v>93</v>
      </c>
      <c r="AG6">
        <v>105</v>
      </c>
    </row>
    <row r="7" spans="1:38">
      <c r="A7" t="s">
        <v>2144</v>
      </c>
      <c r="B7">
        <v>30</v>
      </c>
      <c r="C7">
        <v>28</v>
      </c>
      <c r="D7">
        <v>27</v>
      </c>
      <c r="E7">
        <v>27</v>
      </c>
      <c r="F7">
        <v>26</v>
      </c>
      <c r="G7">
        <v>25</v>
      </c>
      <c r="H7">
        <v>24</v>
      </c>
      <c r="I7">
        <v>23</v>
      </c>
      <c r="J7">
        <v>22</v>
      </c>
      <c r="K7">
        <v>21</v>
      </c>
      <c r="L7">
        <v>20</v>
      </c>
      <c r="M7">
        <v>16</v>
      </c>
      <c r="N7">
        <v>16</v>
      </c>
      <c r="O7">
        <v>17</v>
      </c>
      <c r="P7">
        <v>16</v>
      </c>
      <c r="Q7">
        <v>15</v>
      </c>
      <c r="R7">
        <v>17</v>
      </c>
      <c r="S7">
        <v>17</v>
      </c>
      <c r="T7">
        <v>17</v>
      </c>
      <c r="U7">
        <v>16</v>
      </c>
      <c r="V7">
        <v>17</v>
      </c>
      <c r="W7">
        <v>19</v>
      </c>
      <c r="X7">
        <v>22</v>
      </c>
      <c r="Y7">
        <v>25</v>
      </c>
      <c r="Z7">
        <v>29</v>
      </c>
      <c r="AA7">
        <v>30</v>
      </c>
      <c r="AB7">
        <v>32</v>
      </c>
      <c r="AC7">
        <v>35</v>
      </c>
      <c r="AD7">
        <v>38</v>
      </c>
      <c r="AE7">
        <v>39</v>
      </c>
      <c r="AF7">
        <v>35</v>
      </c>
      <c r="AG7">
        <v>40</v>
      </c>
    </row>
    <row r="8" spans="1:38">
      <c r="A8" t="s">
        <v>2145</v>
      </c>
      <c r="B8">
        <v>601</v>
      </c>
      <c r="C8">
        <v>577</v>
      </c>
      <c r="D8">
        <v>578</v>
      </c>
      <c r="E8">
        <v>573</v>
      </c>
      <c r="F8">
        <v>567</v>
      </c>
      <c r="G8">
        <v>559</v>
      </c>
      <c r="H8">
        <v>556</v>
      </c>
      <c r="I8">
        <v>546</v>
      </c>
      <c r="J8">
        <v>545</v>
      </c>
      <c r="K8">
        <v>547</v>
      </c>
      <c r="L8">
        <v>495</v>
      </c>
      <c r="M8">
        <v>480</v>
      </c>
      <c r="N8">
        <v>474</v>
      </c>
      <c r="O8">
        <v>470</v>
      </c>
      <c r="P8">
        <v>435</v>
      </c>
      <c r="Q8">
        <v>396</v>
      </c>
      <c r="R8">
        <v>414</v>
      </c>
      <c r="S8">
        <v>376</v>
      </c>
      <c r="T8">
        <v>377</v>
      </c>
      <c r="U8">
        <v>351</v>
      </c>
      <c r="V8">
        <v>316</v>
      </c>
      <c r="W8">
        <v>288</v>
      </c>
      <c r="X8">
        <v>290</v>
      </c>
      <c r="Y8">
        <v>298</v>
      </c>
      <c r="Z8">
        <v>320</v>
      </c>
      <c r="AA8">
        <v>321</v>
      </c>
      <c r="AB8">
        <v>341</v>
      </c>
      <c r="AC8">
        <v>353</v>
      </c>
      <c r="AD8">
        <v>371</v>
      </c>
      <c r="AE8">
        <v>383</v>
      </c>
      <c r="AF8">
        <v>342</v>
      </c>
      <c r="AG8">
        <v>388</v>
      </c>
    </row>
    <row r="9" spans="1:38">
      <c r="A9" t="s">
        <v>2146</v>
      </c>
      <c r="B9">
        <v>201</v>
      </c>
      <c r="C9">
        <v>201</v>
      </c>
      <c r="D9">
        <v>201</v>
      </c>
      <c r="E9">
        <v>200</v>
      </c>
      <c r="F9">
        <v>200</v>
      </c>
      <c r="G9">
        <v>200</v>
      </c>
      <c r="H9">
        <v>201</v>
      </c>
      <c r="I9">
        <v>201</v>
      </c>
      <c r="J9">
        <v>201</v>
      </c>
      <c r="K9">
        <v>201</v>
      </c>
      <c r="L9">
        <v>201</v>
      </c>
      <c r="M9">
        <v>201</v>
      </c>
      <c r="N9">
        <v>199</v>
      </c>
      <c r="O9">
        <v>197</v>
      </c>
      <c r="P9">
        <v>194</v>
      </c>
      <c r="Q9">
        <v>194</v>
      </c>
      <c r="R9">
        <v>189</v>
      </c>
      <c r="S9">
        <v>185</v>
      </c>
      <c r="T9">
        <v>175</v>
      </c>
      <c r="U9">
        <v>172</v>
      </c>
      <c r="V9">
        <v>163</v>
      </c>
      <c r="W9">
        <v>158</v>
      </c>
      <c r="X9">
        <v>155</v>
      </c>
      <c r="Y9">
        <v>152</v>
      </c>
      <c r="Z9">
        <v>149</v>
      </c>
      <c r="AA9">
        <v>149</v>
      </c>
      <c r="AB9">
        <v>150</v>
      </c>
      <c r="AC9">
        <v>151</v>
      </c>
      <c r="AD9">
        <v>151</v>
      </c>
      <c r="AE9">
        <v>152</v>
      </c>
      <c r="AF9">
        <v>142</v>
      </c>
      <c r="AG9">
        <v>149</v>
      </c>
    </row>
    <row r="10" spans="1:38">
      <c r="A10" t="s">
        <v>2147</v>
      </c>
      <c r="B10" s="60">
        <v>3555</v>
      </c>
      <c r="C10" s="60">
        <v>3450</v>
      </c>
      <c r="D10" s="60">
        <v>3666</v>
      </c>
      <c r="E10" s="60">
        <v>3889</v>
      </c>
      <c r="F10" s="60">
        <v>4187</v>
      </c>
      <c r="G10" s="60">
        <v>4383</v>
      </c>
      <c r="H10" s="60">
        <v>4599</v>
      </c>
      <c r="I10" s="60">
        <v>4802</v>
      </c>
      <c r="J10" s="60">
        <v>4955</v>
      </c>
      <c r="K10" s="60">
        <v>5251</v>
      </c>
      <c r="L10" s="60">
        <v>5442</v>
      </c>
      <c r="M10" s="60">
        <v>5417</v>
      </c>
      <c r="N10" s="60">
        <v>5596</v>
      </c>
      <c r="O10" s="60">
        <v>5711</v>
      </c>
      <c r="P10" s="60">
        <v>5918</v>
      </c>
      <c r="Q10" s="60">
        <v>6194</v>
      </c>
      <c r="R10" s="60">
        <v>6359</v>
      </c>
      <c r="S10" s="60">
        <v>6440</v>
      </c>
      <c r="T10" s="60">
        <v>6107</v>
      </c>
      <c r="U10" s="60">
        <v>5495</v>
      </c>
      <c r="V10" s="60">
        <v>5729</v>
      </c>
      <c r="W10" s="60">
        <v>5768</v>
      </c>
      <c r="X10" s="60">
        <v>5751</v>
      </c>
      <c r="Y10" s="60">
        <v>5795</v>
      </c>
      <c r="Z10" s="60">
        <v>5992</v>
      </c>
      <c r="AA10" s="60">
        <v>6155</v>
      </c>
      <c r="AB10" s="60">
        <v>6104</v>
      </c>
      <c r="AC10" s="60">
        <v>6288</v>
      </c>
      <c r="AD10" s="60">
        <v>6428</v>
      </c>
      <c r="AE10" s="60">
        <v>6393</v>
      </c>
      <c r="AF10" s="60">
        <v>6033</v>
      </c>
      <c r="AG10" s="60">
        <v>6480</v>
      </c>
    </row>
    <row r="11" spans="1:38">
      <c r="A11" t="s">
        <v>2141</v>
      </c>
      <c r="B11">
        <v>128</v>
      </c>
      <c r="C11">
        <v>114</v>
      </c>
      <c r="D11">
        <v>109</v>
      </c>
      <c r="E11">
        <v>105</v>
      </c>
      <c r="F11">
        <v>100</v>
      </c>
      <c r="G11">
        <v>91</v>
      </c>
      <c r="H11">
        <v>82</v>
      </c>
      <c r="I11">
        <v>71</v>
      </c>
      <c r="J11">
        <v>59</v>
      </c>
      <c r="K11">
        <v>46</v>
      </c>
      <c r="L11">
        <v>42</v>
      </c>
      <c r="M11">
        <v>37</v>
      </c>
      <c r="N11">
        <v>34</v>
      </c>
      <c r="O11">
        <v>30</v>
      </c>
      <c r="P11">
        <v>29</v>
      </c>
      <c r="Q11">
        <v>30</v>
      </c>
      <c r="R11">
        <v>28</v>
      </c>
      <c r="S11">
        <v>25</v>
      </c>
      <c r="T11">
        <v>22</v>
      </c>
      <c r="U11">
        <v>24</v>
      </c>
      <c r="V11">
        <v>28</v>
      </c>
      <c r="W11">
        <v>32</v>
      </c>
      <c r="X11">
        <v>33</v>
      </c>
      <c r="Y11">
        <v>34</v>
      </c>
      <c r="Z11">
        <v>37</v>
      </c>
      <c r="AA11">
        <v>44</v>
      </c>
      <c r="AB11">
        <v>42</v>
      </c>
      <c r="AC11">
        <v>40</v>
      </c>
      <c r="AD11">
        <v>38</v>
      </c>
      <c r="AE11">
        <v>36</v>
      </c>
      <c r="AF11">
        <v>34</v>
      </c>
      <c r="AG11">
        <v>37</v>
      </c>
    </row>
    <row r="12" spans="1:38">
      <c r="A12" t="s">
        <v>2142</v>
      </c>
      <c r="B12">
        <v>114</v>
      </c>
      <c r="C12">
        <v>116</v>
      </c>
      <c r="D12">
        <v>128</v>
      </c>
      <c r="E12">
        <v>143</v>
      </c>
      <c r="F12">
        <v>160</v>
      </c>
      <c r="G12">
        <v>173</v>
      </c>
      <c r="H12">
        <v>188</v>
      </c>
      <c r="I12">
        <v>205</v>
      </c>
      <c r="J12">
        <v>222</v>
      </c>
      <c r="K12">
        <v>243</v>
      </c>
      <c r="L12">
        <v>263</v>
      </c>
      <c r="M12">
        <v>276</v>
      </c>
      <c r="N12">
        <v>306</v>
      </c>
      <c r="O12">
        <v>323</v>
      </c>
      <c r="P12">
        <v>371</v>
      </c>
      <c r="Q12">
        <v>407</v>
      </c>
      <c r="R12">
        <v>428</v>
      </c>
      <c r="S12">
        <v>429</v>
      </c>
      <c r="T12">
        <v>393</v>
      </c>
      <c r="U12">
        <v>378</v>
      </c>
      <c r="V12">
        <v>382</v>
      </c>
      <c r="W12">
        <v>415</v>
      </c>
      <c r="X12">
        <v>451</v>
      </c>
      <c r="Y12">
        <v>418</v>
      </c>
      <c r="Z12">
        <v>415</v>
      </c>
      <c r="AA12">
        <v>424</v>
      </c>
      <c r="AB12">
        <v>417</v>
      </c>
      <c r="AC12">
        <v>419</v>
      </c>
      <c r="AD12">
        <v>421</v>
      </c>
      <c r="AE12">
        <v>421</v>
      </c>
      <c r="AF12">
        <v>407</v>
      </c>
      <c r="AG12">
        <v>450</v>
      </c>
    </row>
    <row r="13" spans="1:38">
      <c r="A13" t="s">
        <v>2144</v>
      </c>
      <c r="B13">
        <v>150</v>
      </c>
      <c r="C13">
        <v>146</v>
      </c>
      <c r="D13">
        <v>155</v>
      </c>
      <c r="E13">
        <v>166</v>
      </c>
      <c r="F13">
        <v>178</v>
      </c>
      <c r="G13">
        <v>186</v>
      </c>
      <c r="H13">
        <v>195</v>
      </c>
      <c r="I13">
        <v>205</v>
      </c>
      <c r="J13">
        <v>215</v>
      </c>
      <c r="K13">
        <v>228</v>
      </c>
      <c r="L13">
        <v>232</v>
      </c>
      <c r="M13">
        <v>193</v>
      </c>
      <c r="N13">
        <v>202</v>
      </c>
      <c r="O13">
        <v>196</v>
      </c>
      <c r="P13">
        <v>206</v>
      </c>
      <c r="Q13">
        <v>208</v>
      </c>
      <c r="R13">
        <v>216</v>
      </c>
      <c r="S13">
        <v>219</v>
      </c>
      <c r="T13">
        <v>209</v>
      </c>
      <c r="U13">
        <v>198</v>
      </c>
      <c r="V13">
        <v>195</v>
      </c>
      <c r="W13">
        <v>206</v>
      </c>
      <c r="X13">
        <v>218</v>
      </c>
      <c r="Y13">
        <v>220</v>
      </c>
      <c r="Z13">
        <v>240</v>
      </c>
      <c r="AA13">
        <v>251</v>
      </c>
      <c r="AB13">
        <v>250</v>
      </c>
      <c r="AC13">
        <v>266</v>
      </c>
      <c r="AD13">
        <v>275</v>
      </c>
      <c r="AE13">
        <v>279</v>
      </c>
      <c r="AF13">
        <v>267</v>
      </c>
      <c r="AG13">
        <v>289</v>
      </c>
    </row>
    <row r="14" spans="1:38">
      <c r="A14" t="s">
        <v>2145</v>
      </c>
      <c r="B14" s="60">
        <v>2555</v>
      </c>
      <c r="C14" s="60">
        <v>2489</v>
      </c>
      <c r="D14" s="60">
        <v>2647</v>
      </c>
      <c r="E14" s="60">
        <v>2845</v>
      </c>
      <c r="F14" s="60">
        <v>3052</v>
      </c>
      <c r="G14" s="60">
        <v>3198</v>
      </c>
      <c r="H14" s="60">
        <v>3357</v>
      </c>
      <c r="I14" s="60">
        <v>3542</v>
      </c>
      <c r="J14" s="60">
        <v>3708</v>
      </c>
      <c r="K14" s="60">
        <v>3941</v>
      </c>
      <c r="L14" s="60">
        <v>4108</v>
      </c>
      <c r="M14" s="60">
        <v>4129</v>
      </c>
      <c r="N14" s="60">
        <v>4281</v>
      </c>
      <c r="O14" s="60">
        <v>4379</v>
      </c>
      <c r="P14" s="60">
        <v>4548</v>
      </c>
      <c r="Q14" s="60">
        <v>4782</v>
      </c>
      <c r="R14" s="60">
        <v>4895</v>
      </c>
      <c r="S14" s="60">
        <v>4981</v>
      </c>
      <c r="T14" s="60">
        <v>4745</v>
      </c>
      <c r="U14" s="60">
        <v>4256</v>
      </c>
      <c r="V14" s="60">
        <v>4451</v>
      </c>
      <c r="W14" s="60">
        <v>4389</v>
      </c>
      <c r="X14" s="60">
        <v>4369</v>
      </c>
      <c r="Y14" s="60">
        <v>4437</v>
      </c>
      <c r="Z14" s="60">
        <v>4606</v>
      </c>
      <c r="AA14" s="60">
        <v>4688</v>
      </c>
      <c r="AB14" s="60">
        <v>4724</v>
      </c>
      <c r="AC14" s="60">
        <v>4886</v>
      </c>
      <c r="AD14" s="60">
        <v>5010</v>
      </c>
      <c r="AE14" s="60">
        <v>5031</v>
      </c>
      <c r="AF14" s="60">
        <v>4768</v>
      </c>
      <c r="AG14" s="60">
        <v>5127</v>
      </c>
    </row>
    <row r="15" spans="1:38">
      <c r="A15" t="s">
        <v>2148</v>
      </c>
      <c r="B15">
        <v>37</v>
      </c>
      <c r="C15">
        <v>37</v>
      </c>
      <c r="D15">
        <v>37</v>
      </c>
      <c r="E15">
        <v>37</v>
      </c>
      <c r="F15">
        <v>37</v>
      </c>
      <c r="G15">
        <v>37</v>
      </c>
      <c r="H15">
        <v>37</v>
      </c>
      <c r="I15">
        <v>37</v>
      </c>
      <c r="J15">
        <v>37</v>
      </c>
      <c r="K15">
        <v>37</v>
      </c>
      <c r="L15">
        <v>37</v>
      </c>
      <c r="M15">
        <v>38</v>
      </c>
      <c r="N15">
        <v>38</v>
      </c>
      <c r="O15">
        <v>38</v>
      </c>
      <c r="P15">
        <v>38</v>
      </c>
      <c r="Q15">
        <v>38</v>
      </c>
      <c r="R15">
        <v>38</v>
      </c>
      <c r="S15">
        <v>38</v>
      </c>
      <c r="T15">
        <v>37</v>
      </c>
      <c r="U15">
        <v>37</v>
      </c>
      <c r="V15">
        <v>36</v>
      </c>
      <c r="W15">
        <v>35</v>
      </c>
      <c r="X15">
        <v>35</v>
      </c>
      <c r="Y15">
        <v>34</v>
      </c>
      <c r="Z15">
        <v>34</v>
      </c>
      <c r="AA15">
        <v>36</v>
      </c>
      <c r="AB15">
        <v>36</v>
      </c>
      <c r="AC15">
        <v>37</v>
      </c>
      <c r="AD15">
        <v>38</v>
      </c>
      <c r="AE15">
        <v>39</v>
      </c>
      <c r="AF15">
        <v>36</v>
      </c>
      <c r="AG15">
        <v>38</v>
      </c>
    </row>
    <row r="16" spans="1:38">
      <c r="A16" t="s">
        <v>2149</v>
      </c>
      <c r="B16">
        <v>91</v>
      </c>
      <c r="C16">
        <v>97</v>
      </c>
      <c r="D16">
        <v>125</v>
      </c>
      <c r="E16">
        <v>115</v>
      </c>
      <c r="F16">
        <v>145</v>
      </c>
      <c r="G16">
        <v>161</v>
      </c>
      <c r="H16">
        <v>194</v>
      </c>
      <c r="I16">
        <v>194</v>
      </c>
      <c r="J16">
        <v>164</v>
      </c>
      <c r="K16">
        <v>185</v>
      </c>
      <c r="L16">
        <v>190</v>
      </c>
      <c r="M16">
        <v>174</v>
      </c>
      <c r="N16">
        <v>168</v>
      </c>
      <c r="O16">
        <v>166</v>
      </c>
      <c r="P16">
        <v>115</v>
      </c>
      <c r="Q16">
        <v>113</v>
      </c>
      <c r="R16">
        <v>107</v>
      </c>
      <c r="S16">
        <v>117</v>
      </c>
      <c r="T16">
        <v>115</v>
      </c>
      <c r="U16">
        <v>116</v>
      </c>
      <c r="V16">
        <v>112</v>
      </c>
      <c r="W16">
        <v>149</v>
      </c>
      <c r="X16">
        <v>115</v>
      </c>
      <c r="Y16">
        <v>117</v>
      </c>
      <c r="Z16">
        <v>100</v>
      </c>
      <c r="AA16">
        <v>177</v>
      </c>
      <c r="AB16">
        <v>147</v>
      </c>
      <c r="AC16">
        <v>135</v>
      </c>
      <c r="AD16">
        <v>126</v>
      </c>
      <c r="AE16">
        <v>101</v>
      </c>
      <c r="AF16">
        <v>102</v>
      </c>
      <c r="AG16">
        <v>105</v>
      </c>
    </row>
    <row r="17" spans="1:33">
      <c r="A17" t="s">
        <v>2150</v>
      </c>
      <c r="B17">
        <v>480</v>
      </c>
      <c r="C17">
        <v>451</v>
      </c>
      <c r="D17">
        <v>465</v>
      </c>
      <c r="E17">
        <v>478</v>
      </c>
      <c r="F17">
        <v>515</v>
      </c>
      <c r="G17">
        <v>536</v>
      </c>
      <c r="H17">
        <v>546</v>
      </c>
      <c r="I17">
        <v>547</v>
      </c>
      <c r="J17">
        <v>551</v>
      </c>
      <c r="K17">
        <v>572</v>
      </c>
      <c r="L17">
        <v>569</v>
      </c>
      <c r="M17">
        <v>571</v>
      </c>
      <c r="N17">
        <v>567</v>
      </c>
      <c r="O17">
        <v>579</v>
      </c>
      <c r="P17">
        <v>611</v>
      </c>
      <c r="Q17">
        <v>617</v>
      </c>
      <c r="R17">
        <v>647</v>
      </c>
      <c r="S17">
        <v>630</v>
      </c>
      <c r="T17">
        <v>585</v>
      </c>
      <c r="U17">
        <v>486</v>
      </c>
      <c r="V17">
        <v>525</v>
      </c>
      <c r="W17">
        <v>542</v>
      </c>
      <c r="X17">
        <v>531</v>
      </c>
      <c r="Y17">
        <v>536</v>
      </c>
      <c r="Z17">
        <v>560</v>
      </c>
      <c r="AA17">
        <v>535</v>
      </c>
      <c r="AB17">
        <v>487</v>
      </c>
      <c r="AC17">
        <v>504</v>
      </c>
      <c r="AD17">
        <v>520</v>
      </c>
      <c r="AE17">
        <v>486</v>
      </c>
      <c r="AF17">
        <v>418</v>
      </c>
      <c r="AG17">
        <v>434</v>
      </c>
    </row>
    <row r="18" spans="1:33">
      <c r="A18" t="s">
        <v>2151</v>
      </c>
      <c r="B18" s="60">
        <v>2588</v>
      </c>
      <c r="C18" s="60">
        <v>2371</v>
      </c>
      <c r="D18" s="60">
        <v>2342</v>
      </c>
      <c r="E18" s="60">
        <v>2366</v>
      </c>
      <c r="F18" s="60">
        <v>2472</v>
      </c>
      <c r="G18" s="60">
        <v>2427</v>
      </c>
      <c r="H18" s="60">
        <v>2554</v>
      </c>
      <c r="I18" s="60">
        <v>2552</v>
      </c>
      <c r="J18" s="60">
        <v>2607</v>
      </c>
      <c r="K18" s="60">
        <v>2663</v>
      </c>
      <c r="L18" s="60">
        <v>2699</v>
      </c>
      <c r="M18" s="60">
        <v>2625</v>
      </c>
      <c r="N18" s="60">
        <v>2564</v>
      </c>
      <c r="O18" s="60">
        <v>2481</v>
      </c>
      <c r="P18" s="60">
        <v>2583</v>
      </c>
      <c r="Q18" s="60">
        <v>2620</v>
      </c>
      <c r="R18" s="60">
        <v>2523</v>
      </c>
      <c r="S18" s="60">
        <v>2484</v>
      </c>
      <c r="T18" s="60">
        <v>2395</v>
      </c>
      <c r="U18" s="60">
        <v>2133</v>
      </c>
      <c r="V18" s="60">
        <v>2096</v>
      </c>
      <c r="W18" s="60">
        <v>2029</v>
      </c>
      <c r="X18" s="60">
        <v>1984</v>
      </c>
      <c r="Y18" s="60">
        <v>2036</v>
      </c>
      <c r="Z18" s="60">
        <v>2053</v>
      </c>
      <c r="AA18" s="60">
        <v>2181</v>
      </c>
      <c r="AB18" s="60">
        <v>2298</v>
      </c>
      <c r="AC18" s="60">
        <v>2377</v>
      </c>
      <c r="AD18" s="60">
        <v>2385</v>
      </c>
      <c r="AE18" s="60">
        <v>2496</v>
      </c>
      <c r="AF18" s="60">
        <v>1670</v>
      </c>
      <c r="AG18" s="60">
        <v>2114</v>
      </c>
    </row>
    <row r="19" spans="1:33">
      <c r="A19" t="s">
        <v>2152</v>
      </c>
      <c r="B19" s="60">
        <v>1562</v>
      </c>
      <c r="C19" s="60">
        <v>1453</v>
      </c>
      <c r="D19" s="60">
        <v>1483</v>
      </c>
      <c r="E19" s="60">
        <v>1529</v>
      </c>
      <c r="F19" s="60">
        <v>1599</v>
      </c>
      <c r="G19" s="60">
        <v>1638</v>
      </c>
      <c r="H19" s="60">
        <v>1686</v>
      </c>
      <c r="I19" s="60">
        <v>1747</v>
      </c>
      <c r="J19" s="60">
        <v>1701</v>
      </c>
      <c r="K19" s="60">
        <v>1853</v>
      </c>
      <c r="L19" s="60">
        <v>1981</v>
      </c>
      <c r="M19" s="60">
        <v>1771</v>
      </c>
      <c r="N19" s="60">
        <v>1725</v>
      </c>
      <c r="O19" s="60">
        <v>1747</v>
      </c>
      <c r="P19" s="60">
        <v>1775</v>
      </c>
      <c r="Q19" s="60">
        <v>1887</v>
      </c>
      <c r="R19" s="60">
        <v>1948</v>
      </c>
      <c r="S19" s="60">
        <v>1986</v>
      </c>
      <c r="T19" s="60">
        <v>1809</v>
      </c>
      <c r="U19" s="60">
        <v>1699</v>
      </c>
      <c r="V19" s="60">
        <v>1611</v>
      </c>
      <c r="W19" s="60">
        <v>1629</v>
      </c>
      <c r="X19" s="60">
        <v>1611</v>
      </c>
      <c r="Y19" s="60">
        <v>1624</v>
      </c>
      <c r="Z19" s="60">
        <v>1638</v>
      </c>
      <c r="AA19" s="60">
        <v>1692</v>
      </c>
      <c r="AB19" s="60">
        <v>1711</v>
      </c>
      <c r="AC19" s="60">
        <v>1819</v>
      </c>
      <c r="AD19" s="60">
        <v>1843</v>
      </c>
      <c r="AE19" s="60">
        <v>1944</v>
      </c>
      <c r="AF19" s="60">
        <v>1298</v>
      </c>
      <c r="AG19" s="60">
        <v>1691</v>
      </c>
    </row>
    <row r="20" spans="1:33">
      <c r="A20" t="s">
        <v>2153</v>
      </c>
      <c r="B20">
        <v>532</v>
      </c>
      <c r="C20">
        <v>428</v>
      </c>
      <c r="D20">
        <v>457</v>
      </c>
      <c r="E20">
        <v>445</v>
      </c>
      <c r="F20">
        <v>517</v>
      </c>
      <c r="G20">
        <v>445</v>
      </c>
      <c r="H20">
        <v>539</v>
      </c>
      <c r="I20">
        <v>506</v>
      </c>
      <c r="J20">
        <v>599</v>
      </c>
      <c r="K20">
        <v>517</v>
      </c>
      <c r="L20">
        <v>419</v>
      </c>
      <c r="M20">
        <v>528</v>
      </c>
      <c r="N20">
        <v>549</v>
      </c>
      <c r="O20">
        <v>441</v>
      </c>
      <c r="P20">
        <v>507</v>
      </c>
      <c r="Q20">
        <v>477</v>
      </c>
      <c r="R20">
        <v>344</v>
      </c>
      <c r="S20">
        <v>270</v>
      </c>
      <c r="T20">
        <v>356</v>
      </c>
      <c r="U20">
        <v>236</v>
      </c>
      <c r="V20">
        <v>309</v>
      </c>
      <c r="W20">
        <v>252</v>
      </c>
      <c r="X20">
        <v>220</v>
      </c>
      <c r="Y20">
        <v>271</v>
      </c>
      <c r="Z20">
        <v>236</v>
      </c>
      <c r="AA20">
        <v>314</v>
      </c>
      <c r="AB20">
        <v>426</v>
      </c>
      <c r="AC20">
        <v>399</v>
      </c>
      <c r="AD20">
        <v>389</v>
      </c>
      <c r="AE20">
        <v>398</v>
      </c>
      <c r="AF20">
        <v>224</v>
      </c>
      <c r="AG20">
        <v>265</v>
      </c>
    </row>
    <row r="21" spans="1:33">
      <c r="A21" t="s">
        <v>2154</v>
      </c>
      <c r="B21">
        <v>494</v>
      </c>
      <c r="C21">
        <v>490</v>
      </c>
      <c r="D21">
        <v>401</v>
      </c>
      <c r="E21">
        <v>392</v>
      </c>
      <c r="F21">
        <v>356</v>
      </c>
      <c r="G21">
        <v>344</v>
      </c>
      <c r="H21">
        <v>329</v>
      </c>
      <c r="I21">
        <v>300</v>
      </c>
      <c r="J21">
        <v>306</v>
      </c>
      <c r="K21">
        <v>294</v>
      </c>
      <c r="L21">
        <v>299</v>
      </c>
      <c r="M21">
        <v>325</v>
      </c>
      <c r="N21">
        <v>291</v>
      </c>
      <c r="O21">
        <v>293</v>
      </c>
      <c r="P21">
        <v>301</v>
      </c>
      <c r="Q21">
        <v>257</v>
      </c>
      <c r="R21">
        <v>231</v>
      </c>
      <c r="S21">
        <v>228</v>
      </c>
      <c r="T21">
        <v>230</v>
      </c>
      <c r="U21">
        <v>198</v>
      </c>
      <c r="V21">
        <v>177</v>
      </c>
      <c r="W21">
        <v>148</v>
      </c>
      <c r="X21">
        <v>154</v>
      </c>
      <c r="Y21">
        <v>141</v>
      </c>
      <c r="Z21">
        <v>179</v>
      </c>
      <c r="AA21">
        <v>175</v>
      </c>
      <c r="AB21">
        <v>161</v>
      </c>
      <c r="AC21">
        <v>159</v>
      </c>
      <c r="AD21">
        <v>154</v>
      </c>
      <c r="AE21">
        <v>154</v>
      </c>
      <c r="AF21">
        <v>149</v>
      </c>
      <c r="AG21">
        <v>157</v>
      </c>
    </row>
    <row r="22" spans="1:33">
      <c r="A22" t="s">
        <v>191</v>
      </c>
      <c r="B22">
        <v>45</v>
      </c>
      <c r="C22">
        <v>42</v>
      </c>
      <c r="D22">
        <v>41</v>
      </c>
      <c r="E22">
        <v>38</v>
      </c>
      <c r="F22">
        <v>38</v>
      </c>
      <c r="G22">
        <v>40</v>
      </c>
      <c r="H22">
        <v>37</v>
      </c>
      <c r="I22">
        <v>40</v>
      </c>
      <c r="J22">
        <v>35</v>
      </c>
      <c r="K22">
        <v>39</v>
      </c>
      <c r="L22">
        <v>36</v>
      </c>
      <c r="M22">
        <v>35</v>
      </c>
      <c r="N22">
        <v>34</v>
      </c>
      <c r="O22">
        <v>30</v>
      </c>
      <c r="P22">
        <v>31</v>
      </c>
      <c r="Q22">
        <v>35</v>
      </c>
      <c r="R22">
        <v>33</v>
      </c>
      <c r="S22">
        <v>32</v>
      </c>
      <c r="T22">
        <v>28</v>
      </c>
      <c r="U22">
        <v>27</v>
      </c>
      <c r="V22">
        <v>27</v>
      </c>
      <c r="W22">
        <v>27</v>
      </c>
      <c r="X22">
        <v>25</v>
      </c>
      <c r="Y22">
        <v>22</v>
      </c>
      <c r="Z22">
        <v>22</v>
      </c>
      <c r="AA22">
        <v>21</v>
      </c>
      <c r="AB22">
        <v>20</v>
      </c>
      <c r="AC22">
        <v>21</v>
      </c>
      <c r="AD22">
        <v>22</v>
      </c>
      <c r="AE22">
        <v>23</v>
      </c>
      <c r="AF22">
        <v>20</v>
      </c>
      <c r="AG22">
        <v>22</v>
      </c>
    </row>
    <row r="23" spans="1:33">
      <c r="A23" t="s">
        <v>2153</v>
      </c>
      <c r="B23">
        <v>45</v>
      </c>
      <c r="C23">
        <v>42</v>
      </c>
      <c r="D23">
        <v>41</v>
      </c>
      <c r="E23">
        <v>38</v>
      </c>
      <c r="F23">
        <v>38</v>
      </c>
      <c r="G23">
        <v>40</v>
      </c>
      <c r="H23">
        <v>37</v>
      </c>
      <c r="I23">
        <v>40</v>
      </c>
      <c r="J23">
        <v>35</v>
      </c>
      <c r="K23">
        <v>39</v>
      </c>
      <c r="L23">
        <v>36</v>
      </c>
      <c r="M23">
        <v>35</v>
      </c>
      <c r="N23">
        <v>34</v>
      </c>
      <c r="O23">
        <v>30</v>
      </c>
      <c r="P23">
        <v>31</v>
      </c>
      <c r="Q23">
        <v>35</v>
      </c>
      <c r="R23">
        <v>33</v>
      </c>
      <c r="S23">
        <v>32</v>
      </c>
      <c r="T23">
        <v>28</v>
      </c>
      <c r="U23">
        <v>27</v>
      </c>
      <c r="V23">
        <v>27</v>
      </c>
      <c r="W23">
        <v>27</v>
      </c>
      <c r="X23">
        <v>25</v>
      </c>
      <c r="Y23">
        <v>22</v>
      </c>
      <c r="Z23">
        <v>22</v>
      </c>
      <c r="AA23">
        <v>21</v>
      </c>
      <c r="AB23">
        <v>20</v>
      </c>
      <c r="AC23">
        <v>21</v>
      </c>
      <c r="AD23">
        <v>22</v>
      </c>
      <c r="AE23">
        <v>23</v>
      </c>
      <c r="AF23">
        <v>20</v>
      </c>
      <c r="AG23">
        <v>22</v>
      </c>
    </row>
    <row r="24" spans="1:33">
      <c r="A24" t="s">
        <v>2155</v>
      </c>
      <c r="B24">
        <v>300</v>
      </c>
      <c r="C24">
        <v>224</v>
      </c>
      <c r="D24">
        <v>400</v>
      </c>
      <c r="E24">
        <v>368</v>
      </c>
      <c r="F24">
        <v>358</v>
      </c>
      <c r="G24">
        <v>387</v>
      </c>
      <c r="H24">
        <v>315</v>
      </c>
      <c r="I24">
        <v>137</v>
      </c>
      <c r="J24">
        <v>79</v>
      </c>
      <c r="K24">
        <v>176</v>
      </c>
      <c r="L24">
        <v>443</v>
      </c>
      <c r="M24">
        <v>159</v>
      </c>
      <c r="N24">
        <v>228</v>
      </c>
      <c r="O24">
        <v>99</v>
      </c>
      <c r="P24">
        <v>186</v>
      </c>
      <c r="Q24">
        <v>256</v>
      </c>
      <c r="R24">
        <v>306</v>
      </c>
      <c r="S24">
        <v>386</v>
      </c>
      <c r="T24">
        <v>271</v>
      </c>
      <c r="U24">
        <v>186</v>
      </c>
      <c r="V24">
        <v>272</v>
      </c>
      <c r="W24">
        <v>258</v>
      </c>
      <c r="X24">
        <v>211</v>
      </c>
      <c r="Y24">
        <v>201</v>
      </c>
      <c r="Z24">
        <v>77</v>
      </c>
      <c r="AA24">
        <v>57</v>
      </c>
      <c r="AB24">
        <v>172</v>
      </c>
      <c r="AC24">
        <v>219</v>
      </c>
      <c r="AD24">
        <v>186</v>
      </c>
      <c r="AE24">
        <v>193</v>
      </c>
      <c r="AF24">
        <v>97</v>
      </c>
      <c r="AG24">
        <v>318</v>
      </c>
    </row>
    <row r="25" spans="1:33">
      <c r="A25" t="s">
        <v>2149</v>
      </c>
      <c r="B25">
        <v>300</v>
      </c>
      <c r="C25">
        <v>224</v>
      </c>
      <c r="D25">
        <v>400</v>
      </c>
      <c r="E25">
        <v>368</v>
      </c>
      <c r="F25">
        <v>358</v>
      </c>
      <c r="G25">
        <v>387</v>
      </c>
      <c r="H25">
        <v>315</v>
      </c>
      <c r="I25">
        <v>137</v>
      </c>
      <c r="J25">
        <v>79</v>
      </c>
      <c r="K25">
        <v>176</v>
      </c>
      <c r="L25">
        <v>443</v>
      </c>
      <c r="M25">
        <v>159</v>
      </c>
      <c r="N25">
        <v>228</v>
      </c>
      <c r="O25">
        <v>99</v>
      </c>
      <c r="P25">
        <v>186</v>
      </c>
      <c r="Q25">
        <v>256</v>
      </c>
      <c r="R25">
        <v>306</v>
      </c>
      <c r="S25">
        <v>386</v>
      </c>
      <c r="T25">
        <v>271</v>
      </c>
      <c r="U25">
        <v>186</v>
      </c>
      <c r="V25">
        <v>272</v>
      </c>
      <c r="W25">
        <v>258</v>
      </c>
      <c r="X25">
        <v>211</v>
      </c>
      <c r="Y25">
        <v>201</v>
      </c>
      <c r="Z25">
        <v>77</v>
      </c>
      <c r="AA25">
        <v>57</v>
      </c>
      <c r="AB25">
        <v>172</v>
      </c>
      <c r="AC25">
        <v>219</v>
      </c>
      <c r="AD25">
        <v>186</v>
      </c>
      <c r="AE25">
        <v>193</v>
      </c>
      <c r="AF25">
        <v>97</v>
      </c>
      <c r="AG25">
        <v>318</v>
      </c>
    </row>
    <row r="26" spans="1:33">
      <c r="A26" t="s">
        <v>2156</v>
      </c>
      <c r="B26">
        <v>679</v>
      </c>
      <c r="C26">
        <v>620</v>
      </c>
      <c r="D26">
        <v>608</v>
      </c>
      <c r="E26">
        <v>644</v>
      </c>
      <c r="F26">
        <v>709</v>
      </c>
      <c r="G26">
        <v>724</v>
      </c>
      <c r="H26">
        <v>737</v>
      </c>
      <c r="I26">
        <v>780</v>
      </c>
      <c r="J26">
        <v>666</v>
      </c>
      <c r="K26">
        <v>675</v>
      </c>
      <c r="L26">
        <v>672</v>
      </c>
      <c r="M26">
        <v>658</v>
      </c>
      <c r="N26">
        <v>699</v>
      </c>
      <c r="O26">
        <v>627</v>
      </c>
      <c r="P26">
        <v>602</v>
      </c>
      <c r="Q26">
        <v>624</v>
      </c>
      <c r="R26">
        <v>625</v>
      </c>
      <c r="S26">
        <v>663</v>
      </c>
      <c r="T26">
        <v>692</v>
      </c>
      <c r="U26">
        <v>715</v>
      </c>
      <c r="V26">
        <v>719</v>
      </c>
      <c r="W26">
        <v>734</v>
      </c>
      <c r="X26">
        <v>780</v>
      </c>
      <c r="Y26">
        <v>887</v>
      </c>
      <c r="Z26">
        <v>760</v>
      </c>
      <c r="AA26">
        <v>745</v>
      </c>
      <c r="AB26">
        <v>757</v>
      </c>
      <c r="AC26">
        <v>799</v>
      </c>
      <c r="AD26">
        <v>962</v>
      </c>
      <c r="AE26" s="60">
        <v>1114</v>
      </c>
      <c r="AF26" s="60">
        <v>1109</v>
      </c>
      <c r="AG26" s="60">
        <v>1230</v>
      </c>
    </row>
    <row r="27" spans="1:33">
      <c r="A27" t="s">
        <v>2141</v>
      </c>
      <c r="B27" t="s">
        <v>2157</v>
      </c>
      <c r="C27" t="s">
        <v>2157</v>
      </c>
      <c r="D27" t="s">
        <v>2157</v>
      </c>
      <c r="E27" t="s">
        <v>2157</v>
      </c>
      <c r="F27" t="s">
        <v>2157</v>
      </c>
      <c r="G27" t="s">
        <v>2157</v>
      </c>
      <c r="H27" t="s">
        <v>2157</v>
      </c>
      <c r="I27" t="s">
        <v>2157</v>
      </c>
      <c r="J27" t="s">
        <v>2157</v>
      </c>
      <c r="K27">
        <v>0</v>
      </c>
      <c r="L27">
        <v>0.1</v>
      </c>
      <c r="M27">
        <v>0</v>
      </c>
      <c r="N27">
        <v>0</v>
      </c>
      <c r="O27">
        <v>0</v>
      </c>
      <c r="P27">
        <v>0</v>
      </c>
      <c r="Q27">
        <v>0.3</v>
      </c>
      <c r="R27">
        <v>0.2</v>
      </c>
      <c r="S27">
        <v>0.2</v>
      </c>
      <c r="T27">
        <v>0.1</v>
      </c>
      <c r="U27">
        <v>0.1</v>
      </c>
      <c r="V27">
        <v>0.1</v>
      </c>
      <c r="W27">
        <v>0.1</v>
      </c>
      <c r="X27">
        <v>0.1</v>
      </c>
      <c r="Y27">
        <v>0.1</v>
      </c>
      <c r="Z27">
        <v>0.1</v>
      </c>
      <c r="AA27">
        <v>0.1</v>
      </c>
      <c r="AB27">
        <v>0.1</v>
      </c>
      <c r="AC27">
        <v>0.1</v>
      </c>
      <c r="AD27">
        <v>0.1</v>
      </c>
      <c r="AE27">
        <v>0.1</v>
      </c>
      <c r="AF27" t="s">
        <v>2157</v>
      </c>
      <c r="AG27" t="s">
        <v>2157</v>
      </c>
    </row>
    <row r="28" spans="1:33">
      <c r="A28" t="s">
        <v>2142</v>
      </c>
      <c r="B28" t="s">
        <v>2157</v>
      </c>
      <c r="C28" t="s">
        <v>2157</v>
      </c>
      <c r="D28" t="s">
        <v>2157</v>
      </c>
      <c r="E28" t="s">
        <v>2157</v>
      </c>
      <c r="F28" t="s">
        <v>2157</v>
      </c>
      <c r="G28" t="s">
        <v>2157</v>
      </c>
      <c r="H28" t="s">
        <v>2157</v>
      </c>
      <c r="I28" t="s">
        <v>2157</v>
      </c>
      <c r="J28">
        <v>0</v>
      </c>
      <c r="K28">
        <v>0</v>
      </c>
      <c r="L28">
        <v>0.4</v>
      </c>
      <c r="M28">
        <v>1</v>
      </c>
      <c r="N28">
        <v>1</v>
      </c>
      <c r="O28">
        <v>1</v>
      </c>
      <c r="P28">
        <v>1</v>
      </c>
      <c r="Q28">
        <v>0.6</v>
      </c>
      <c r="R28">
        <v>0.6</v>
      </c>
      <c r="S28">
        <v>0.5</v>
      </c>
      <c r="T28">
        <v>0.3</v>
      </c>
      <c r="U28">
        <v>0.2</v>
      </c>
      <c r="V28">
        <v>0.2</v>
      </c>
      <c r="W28">
        <v>0.2</v>
      </c>
      <c r="X28">
        <v>0.2</v>
      </c>
      <c r="Y28">
        <v>0.2</v>
      </c>
      <c r="Z28">
        <v>0.2</v>
      </c>
      <c r="AA28">
        <v>0.2</v>
      </c>
      <c r="AB28">
        <v>0.2</v>
      </c>
      <c r="AC28">
        <v>0.2</v>
      </c>
      <c r="AD28">
        <v>0.2</v>
      </c>
      <c r="AE28">
        <v>0.2</v>
      </c>
      <c r="AF28">
        <v>0.2</v>
      </c>
      <c r="AG28">
        <v>0.2</v>
      </c>
    </row>
    <row r="29" spans="1:33">
      <c r="A29" t="s">
        <v>2145</v>
      </c>
      <c r="B29" t="s">
        <v>2157</v>
      </c>
      <c r="C29" t="s">
        <v>2157</v>
      </c>
      <c r="D29">
        <v>0</v>
      </c>
      <c r="E29">
        <v>0</v>
      </c>
      <c r="F29">
        <v>0</v>
      </c>
      <c r="G29">
        <v>0</v>
      </c>
      <c r="H29">
        <v>1</v>
      </c>
      <c r="I29">
        <v>1</v>
      </c>
      <c r="J29">
        <v>1</v>
      </c>
      <c r="K29">
        <v>1</v>
      </c>
      <c r="L29">
        <v>1</v>
      </c>
      <c r="M29">
        <v>1</v>
      </c>
      <c r="N29">
        <v>1</v>
      </c>
      <c r="O29">
        <v>2</v>
      </c>
      <c r="P29">
        <v>1</v>
      </c>
      <c r="Q29">
        <v>1.5</v>
      </c>
      <c r="R29">
        <v>1.6</v>
      </c>
      <c r="S29">
        <v>1.4</v>
      </c>
      <c r="T29">
        <v>1.3</v>
      </c>
      <c r="U29">
        <v>1</v>
      </c>
      <c r="V29">
        <v>1</v>
      </c>
      <c r="W29">
        <v>1</v>
      </c>
      <c r="X29">
        <v>1.1000000000000001</v>
      </c>
      <c r="Y29">
        <v>1.3</v>
      </c>
      <c r="Z29">
        <v>1.5</v>
      </c>
      <c r="AA29">
        <v>1.5</v>
      </c>
      <c r="AB29">
        <v>1.8</v>
      </c>
      <c r="AC29">
        <v>1.8</v>
      </c>
      <c r="AD29">
        <v>1.9</v>
      </c>
      <c r="AE29">
        <v>1.9</v>
      </c>
      <c r="AF29">
        <v>1.9</v>
      </c>
      <c r="AG29">
        <v>2.2000000000000002</v>
      </c>
    </row>
    <row r="30" spans="1:33">
      <c r="A30" t="s">
        <v>2144</v>
      </c>
      <c r="B30">
        <v>0</v>
      </c>
      <c r="C30">
        <v>0</v>
      </c>
      <c r="D30">
        <v>1</v>
      </c>
      <c r="E30">
        <v>1</v>
      </c>
      <c r="F30">
        <v>2</v>
      </c>
      <c r="G30">
        <v>2</v>
      </c>
      <c r="H30">
        <v>2</v>
      </c>
      <c r="I30">
        <v>3</v>
      </c>
      <c r="J30">
        <v>3</v>
      </c>
      <c r="K30">
        <v>3</v>
      </c>
      <c r="L30">
        <v>4</v>
      </c>
      <c r="M30">
        <v>4</v>
      </c>
      <c r="N30">
        <v>5</v>
      </c>
      <c r="O30">
        <v>5</v>
      </c>
      <c r="P30">
        <v>6</v>
      </c>
      <c r="Q30">
        <v>6</v>
      </c>
      <c r="R30">
        <v>7</v>
      </c>
      <c r="S30">
        <v>7</v>
      </c>
      <c r="T30">
        <v>7</v>
      </c>
      <c r="U30">
        <v>6</v>
      </c>
      <c r="V30">
        <v>6</v>
      </c>
      <c r="W30">
        <v>6</v>
      </c>
      <c r="X30">
        <v>7</v>
      </c>
      <c r="Y30">
        <v>7</v>
      </c>
      <c r="Z30">
        <v>8</v>
      </c>
      <c r="AA30">
        <v>8</v>
      </c>
      <c r="AB30">
        <v>9</v>
      </c>
      <c r="AC30">
        <v>10</v>
      </c>
      <c r="AD30">
        <v>10</v>
      </c>
      <c r="AE30">
        <v>11</v>
      </c>
      <c r="AF30">
        <v>11</v>
      </c>
      <c r="AG30">
        <v>14</v>
      </c>
    </row>
    <row r="31" spans="1:33">
      <c r="A31" t="s">
        <v>2158</v>
      </c>
      <c r="B31">
        <v>679</v>
      </c>
      <c r="C31">
        <v>620</v>
      </c>
      <c r="D31">
        <v>607</v>
      </c>
      <c r="E31">
        <v>643</v>
      </c>
      <c r="F31">
        <v>707</v>
      </c>
      <c r="G31">
        <v>722</v>
      </c>
      <c r="H31">
        <v>734</v>
      </c>
      <c r="I31">
        <v>777</v>
      </c>
      <c r="J31">
        <v>662</v>
      </c>
      <c r="K31">
        <v>671</v>
      </c>
      <c r="L31">
        <v>666</v>
      </c>
      <c r="M31">
        <v>652</v>
      </c>
      <c r="N31">
        <v>692</v>
      </c>
      <c r="O31">
        <v>619</v>
      </c>
      <c r="P31">
        <v>594</v>
      </c>
      <c r="Q31">
        <v>615</v>
      </c>
      <c r="R31">
        <v>616</v>
      </c>
      <c r="S31">
        <v>654</v>
      </c>
      <c r="T31">
        <v>684</v>
      </c>
      <c r="U31">
        <v>707</v>
      </c>
      <c r="V31">
        <v>712</v>
      </c>
      <c r="W31">
        <v>726</v>
      </c>
      <c r="X31">
        <v>772</v>
      </c>
      <c r="Y31">
        <v>879</v>
      </c>
      <c r="Z31">
        <v>750</v>
      </c>
      <c r="AA31">
        <v>735</v>
      </c>
      <c r="AB31">
        <v>746</v>
      </c>
      <c r="AC31">
        <v>787</v>
      </c>
      <c r="AD31">
        <v>950</v>
      </c>
      <c r="AE31" s="60">
        <v>1101</v>
      </c>
      <c r="AF31" s="60">
        <v>1095</v>
      </c>
      <c r="AG31" s="60">
        <v>1214</v>
      </c>
    </row>
    <row r="32" spans="1:33">
      <c r="A32" t="s">
        <v>2159</v>
      </c>
      <c r="B32">
        <v>23</v>
      </c>
      <c r="C32">
        <v>21</v>
      </c>
      <c r="D32">
        <v>19</v>
      </c>
      <c r="E32">
        <v>20</v>
      </c>
      <c r="F32">
        <v>34</v>
      </c>
      <c r="G32">
        <v>18</v>
      </c>
      <c r="H32">
        <v>16</v>
      </c>
      <c r="I32">
        <v>14</v>
      </c>
      <c r="J32">
        <v>18</v>
      </c>
      <c r="K32">
        <v>14</v>
      </c>
      <c r="L32">
        <v>12</v>
      </c>
      <c r="M32">
        <v>14</v>
      </c>
      <c r="N32">
        <v>14</v>
      </c>
      <c r="O32">
        <v>18</v>
      </c>
      <c r="P32">
        <v>19</v>
      </c>
      <c r="Q32">
        <v>28</v>
      </c>
      <c r="R32">
        <v>28</v>
      </c>
      <c r="S32">
        <v>22</v>
      </c>
      <c r="T32">
        <v>40</v>
      </c>
      <c r="U32">
        <v>28</v>
      </c>
      <c r="V32">
        <v>4</v>
      </c>
      <c r="W32">
        <v>5</v>
      </c>
      <c r="X32">
        <v>4</v>
      </c>
      <c r="Y32">
        <v>5</v>
      </c>
      <c r="Z32">
        <v>6</v>
      </c>
      <c r="AA32">
        <v>8</v>
      </c>
      <c r="AB32">
        <v>9</v>
      </c>
      <c r="AC32">
        <v>9</v>
      </c>
      <c r="AD32">
        <v>9</v>
      </c>
      <c r="AE32">
        <v>9</v>
      </c>
      <c r="AF32">
        <v>5</v>
      </c>
      <c r="AG32">
        <v>5</v>
      </c>
    </row>
    <row r="33" spans="1:33">
      <c r="A33" t="s">
        <v>2141</v>
      </c>
      <c r="B33">
        <v>0.1</v>
      </c>
      <c r="C33">
        <v>0.1</v>
      </c>
      <c r="D33">
        <v>0.1</v>
      </c>
      <c r="E33">
        <v>0.1</v>
      </c>
      <c r="F33">
        <v>0.2</v>
      </c>
      <c r="G33">
        <v>0.1</v>
      </c>
      <c r="H33">
        <v>0.1</v>
      </c>
      <c r="I33">
        <v>0.1</v>
      </c>
      <c r="J33">
        <v>0.1</v>
      </c>
      <c r="K33">
        <v>0.1</v>
      </c>
      <c r="L33">
        <v>0.1</v>
      </c>
      <c r="M33">
        <v>0.1</v>
      </c>
      <c r="N33">
        <v>0.1</v>
      </c>
      <c r="O33">
        <v>0.1</v>
      </c>
      <c r="P33">
        <v>0.2</v>
      </c>
      <c r="Q33">
        <v>0.1</v>
      </c>
      <c r="R33">
        <v>0.2</v>
      </c>
      <c r="S33">
        <v>0.1</v>
      </c>
      <c r="T33">
        <v>0.1</v>
      </c>
      <c r="U33">
        <v>0.2</v>
      </c>
      <c r="V33" t="s">
        <v>2157</v>
      </c>
      <c r="W33" t="s">
        <v>2157</v>
      </c>
      <c r="X33" t="s">
        <v>2157</v>
      </c>
      <c r="Y33" t="s">
        <v>2157</v>
      </c>
      <c r="Z33" t="s">
        <v>2157</v>
      </c>
      <c r="AA33" t="s">
        <v>2157</v>
      </c>
      <c r="AB33" t="s">
        <v>2157</v>
      </c>
      <c r="AC33" t="s">
        <v>2157</v>
      </c>
      <c r="AD33" t="s">
        <v>2157</v>
      </c>
      <c r="AE33" t="s">
        <v>2157</v>
      </c>
      <c r="AF33" t="s">
        <v>2157</v>
      </c>
      <c r="AG33" t="s">
        <v>2157</v>
      </c>
    </row>
    <row r="34" spans="1:33">
      <c r="A34" t="s">
        <v>2142</v>
      </c>
      <c r="B34">
        <v>3</v>
      </c>
      <c r="C34">
        <v>3</v>
      </c>
      <c r="D34">
        <v>3</v>
      </c>
      <c r="E34">
        <v>3</v>
      </c>
      <c r="F34">
        <v>6</v>
      </c>
      <c r="G34">
        <v>3</v>
      </c>
      <c r="H34">
        <v>3</v>
      </c>
      <c r="I34">
        <v>2</v>
      </c>
      <c r="J34">
        <v>3</v>
      </c>
      <c r="K34">
        <v>2</v>
      </c>
      <c r="L34">
        <v>2</v>
      </c>
      <c r="M34">
        <v>2</v>
      </c>
      <c r="N34">
        <v>2</v>
      </c>
      <c r="O34">
        <v>3</v>
      </c>
      <c r="P34">
        <v>3</v>
      </c>
      <c r="Q34">
        <v>5</v>
      </c>
      <c r="R34">
        <v>5</v>
      </c>
      <c r="S34">
        <v>3</v>
      </c>
      <c r="T34">
        <v>4</v>
      </c>
      <c r="U34">
        <v>5</v>
      </c>
      <c r="V34">
        <v>1</v>
      </c>
      <c r="W34">
        <v>1</v>
      </c>
      <c r="X34">
        <v>0</v>
      </c>
      <c r="Y34">
        <v>0</v>
      </c>
      <c r="Z34">
        <v>1</v>
      </c>
      <c r="AA34">
        <v>1</v>
      </c>
      <c r="AB34">
        <v>1</v>
      </c>
      <c r="AC34">
        <v>1</v>
      </c>
      <c r="AD34">
        <v>1</v>
      </c>
      <c r="AE34">
        <v>1</v>
      </c>
      <c r="AF34">
        <v>1</v>
      </c>
      <c r="AG34">
        <v>1</v>
      </c>
    </row>
    <row r="35" spans="1:33">
      <c r="A35" t="s">
        <v>2145</v>
      </c>
      <c r="B35">
        <v>17</v>
      </c>
      <c r="C35">
        <v>15</v>
      </c>
      <c r="D35">
        <v>14</v>
      </c>
      <c r="E35">
        <v>14</v>
      </c>
      <c r="F35">
        <v>24</v>
      </c>
      <c r="G35">
        <v>12</v>
      </c>
      <c r="H35">
        <v>11</v>
      </c>
      <c r="I35">
        <v>10</v>
      </c>
      <c r="J35">
        <v>12</v>
      </c>
      <c r="K35">
        <v>10</v>
      </c>
      <c r="L35">
        <v>8</v>
      </c>
      <c r="M35">
        <v>10</v>
      </c>
      <c r="N35">
        <v>10</v>
      </c>
      <c r="O35">
        <v>13</v>
      </c>
      <c r="P35">
        <v>12</v>
      </c>
      <c r="Q35">
        <v>18</v>
      </c>
      <c r="R35">
        <v>17</v>
      </c>
      <c r="S35">
        <v>13</v>
      </c>
      <c r="T35">
        <v>27</v>
      </c>
      <c r="U35">
        <v>17</v>
      </c>
      <c r="V35">
        <v>3</v>
      </c>
      <c r="W35">
        <v>3</v>
      </c>
      <c r="X35">
        <v>4</v>
      </c>
      <c r="Y35">
        <v>4</v>
      </c>
      <c r="Z35">
        <v>4</v>
      </c>
      <c r="AA35">
        <v>6</v>
      </c>
      <c r="AB35">
        <v>6</v>
      </c>
      <c r="AC35">
        <v>7</v>
      </c>
      <c r="AD35">
        <v>7</v>
      </c>
      <c r="AE35">
        <v>6</v>
      </c>
      <c r="AF35">
        <v>3</v>
      </c>
      <c r="AG35">
        <v>4</v>
      </c>
    </row>
    <row r="36" spans="1:33">
      <c r="A36" t="s">
        <v>2144</v>
      </c>
      <c r="B36">
        <v>3</v>
      </c>
      <c r="C36">
        <v>3</v>
      </c>
      <c r="D36">
        <v>2</v>
      </c>
      <c r="E36">
        <v>3</v>
      </c>
      <c r="F36">
        <v>5</v>
      </c>
      <c r="G36">
        <v>2</v>
      </c>
      <c r="H36">
        <v>2.2000000000000002</v>
      </c>
      <c r="I36">
        <v>2.1</v>
      </c>
      <c r="J36">
        <v>2.6</v>
      </c>
      <c r="K36">
        <v>2.2000000000000002</v>
      </c>
      <c r="L36">
        <v>1.7</v>
      </c>
      <c r="M36">
        <v>2</v>
      </c>
      <c r="N36">
        <v>2</v>
      </c>
      <c r="O36">
        <v>2</v>
      </c>
      <c r="P36">
        <v>4</v>
      </c>
      <c r="Q36">
        <v>5</v>
      </c>
      <c r="R36">
        <v>5</v>
      </c>
      <c r="S36">
        <v>5</v>
      </c>
      <c r="T36">
        <v>9</v>
      </c>
      <c r="U36">
        <v>6</v>
      </c>
      <c r="V36">
        <v>1</v>
      </c>
      <c r="W36">
        <v>0</v>
      </c>
      <c r="X36">
        <v>0</v>
      </c>
      <c r="Y36">
        <v>1</v>
      </c>
      <c r="Z36">
        <v>1</v>
      </c>
      <c r="AA36">
        <v>1</v>
      </c>
      <c r="AB36">
        <v>2</v>
      </c>
      <c r="AC36">
        <v>2</v>
      </c>
      <c r="AD36">
        <v>1</v>
      </c>
      <c r="AE36">
        <v>1</v>
      </c>
      <c r="AF36">
        <v>0</v>
      </c>
      <c r="AG36">
        <v>0</v>
      </c>
    </row>
    <row r="37" spans="1:33">
      <c r="A37" t="s">
        <v>2160</v>
      </c>
      <c r="B37">
        <v>16</v>
      </c>
      <c r="C37">
        <v>16</v>
      </c>
      <c r="D37">
        <v>16</v>
      </c>
      <c r="E37">
        <v>16</v>
      </c>
      <c r="F37">
        <v>17</v>
      </c>
      <c r="G37">
        <v>17</v>
      </c>
      <c r="H37">
        <v>17</v>
      </c>
      <c r="I37">
        <v>17</v>
      </c>
      <c r="J37">
        <v>17</v>
      </c>
      <c r="K37">
        <v>17</v>
      </c>
      <c r="L37">
        <v>18</v>
      </c>
      <c r="M37">
        <v>20</v>
      </c>
      <c r="N37">
        <v>19</v>
      </c>
      <c r="O37">
        <v>23</v>
      </c>
      <c r="P37">
        <v>25</v>
      </c>
      <c r="Q37">
        <v>26</v>
      </c>
      <c r="R37">
        <v>25</v>
      </c>
      <c r="S37">
        <v>28</v>
      </c>
      <c r="T37">
        <v>26</v>
      </c>
      <c r="U37">
        <v>27</v>
      </c>
      <c r="V37">
        <v>26</v>
      </c>
      <c r="W37">
        <v>26</v>
      </c>
      <c r="X37">
        <v>26</v>
      </c>
      <c r="Y37">
        <v>28</v>
      </c>
      <c r="Z37">
        <v>29</v>
      </c>
      <c r="AA37">
        <v>30</v>
      </c>
      <c r="AB37">
        <v>31</v>
      </c>
      <c r="AC37">
        <v>33</v>
      </c>
      <c r="AD37">
        <v>37</v>
      </c>
      <c r="AE37">
        <v>40</v>
      </c>
      <c r="AF37">
        <v>38</v>
      </c>
      <c r="AG37">
        <v>44</v>
      </c>
    </row>
    <row r="38" spans="1:33">
      <c r="A38" t="s">
        <v>2100</v>
      </c>
      <c r="B38" t="s">
        <v>2157</v>
      </c>
      <c r="C38" t="s">
        <v>2157</v>
      </c>
      <c r="D38" t="s">
        <v>2157</v>
      </c>
      <c r="E38" t="s">
        <v>2157</v>
      </c>
      <c r="F38" t="s">
        <v>2157</v>
      </c>
      <c r="G38" t="s">
        <v>2157</v>
      </c>
      <c r="H38" t="s">
        <v>2157</v>
      </c>
      <c r="I38" t="s">
        <v>2157</v>
      </c>
      <c r="J38" t="s">
        <v>2157</v>
      </c>
      <c r="K38" t="s">
        <v>2157</v>
      </c>
      <c r="L38" t="s">
        <v>2157</v>
      </c>
      <c r="M38" t="s">
        <v>2157</v>
      </c>
      <c r="N38" t="s">
        <v>2157</v>
      </c>
      <c r="O38" t="s">
        <v>2157</v>
      </c>
      <c r="P38" t="s">
        <v>2157</v>
      </c>
      <c r="Q38" t="s">
        <v>2157</v>
      </c>
      <c r="R38" t="s">
        <v>2157</v>
      </c>
      <c r="S38" t="s">
        <v>2157</v>
      </c>
      <c r="T38" t="s">
        <v>2157</v>
      </c>
      <c r="U38" t="s">
        <v>2157</v>
      </c>
      <c r="V38">
        <v>0.1</v>
      </c>
      <c r="W38">
        <v>0.3</v>
      </c>
      <c r="X38">
        <v>0.7</v>
      </c>
      <c r="Y38">
        <v>1.5</v>
      </c>
      <c r="Z38">
        <v>2.5</v>
      </c>
      <c r="AA38">
        <v>3.7</v>
      </c>
      <c r="AB38">
        <v>4.9000000000000004</v>
      </c>
      <c r="AC38">
        <v>6.3</v>
      </c>
      <c r="AD38">
        <v>9.3000000000000007</v>
      </c>
      <c r="AE38">
        <v>12.1</v>
      </c>
      <c r="AF38">
        <v>12</v>
      </c>
      <c r="AG38">
        <v>15.5</v>
      </c>
    </row>
    <row r="39" spans="1:33">
      <c r="A39" t="s">
        <v>2101</v>
      </c>
      <c r="B39" t="s">
        <v>2157</v>
      </c>
      <c r="C39" t="s">
        <v>2157</v>
      </c>
      <c r="D39" t="s">
        <v>2157</v>
      </c>
      <c r="E39" t="s">
        <v>2157</v>
      </c>
      <c r="F39" t="s">
        <v>2157</v>
      </c>
      <c r="G39" t="s">
        <v>2157</v>
      </c>
      <c r="H39" t="s">
        <v>2157</v>
      </c>
      <c r="I39" t="s">
        <v>2157</v>
      </c>
      <c r="J39" t="s">
        <v>2157</v>
      </c>
      <c r="K39" t="s">
        <v>2157</v>
      </c>
      <c r="L39" t="s">
        <v>2157</v>
      </c>
      <c r="M39" t="s">
        <v>2157</v>
      </c>
      <c r="N39" t="s">
        <v>2157</v>
      </c>
      <c r="O39" t="s">
        <v>2157</v>
      </c>
      <c r="P39" t="s">
        <v>2157</v>
      </c>
      <c r="Q39" t="s">
        <v>2157</v>
      </c>
      <c r="R39" t="s">
        <v>2157</v>
      </c>
      <c r="S39" t="s">
        <v>2157</v>
      </c>
      <c r="T39" t="s">
        <v>2157</v>
      </c>
      <c r="U39" t="s">
        <v>2157</v>
      </c>
      <c r="V39" t="s">
        <v>2157</v>
      </c>
      <c r="W39" t="s">
        <v>2157</v>
      </c>
      <c r="X39" t="s">
        <v>2157</v>
      </c>
      <c r="Y39" t="s">
        <v>2157</v>
      </c>
      <c r="Z39">
        <v>0.1</v>
      </c>
      <c r="AA39">
        <v>0.1</v>
      </c>
      <c r="AB39">
        <v>0.4</v>
      </c>
      <c r="AC39">
        <v>0.8</v>
      </c>
      <c r="AD39">
        <v>1.4</v>
      </c>
      <c r="AE39">
        <v>2</v>
      </c>
      <c r="AF39">
        <v>2.7</v>
      </c>
      <c r="AG39">
        <v>6.1</v>
      </c>
    </row>
    <row r="40" spans="1:33">
      <c r="A40" t="s">
        <v>165</v>
      </c>
      <c r="B40" t="s">
        <v>2157</v>
      </c>
      <c r="C40" t="s">
        <v>2157</v>
      </c>
      <c r="D40" t="s">
        <v>2157</v>
      </c>
      <c r="E40" t="s">
        <v>2157</v>
      </c>
      <c r="F40" t="s">
        <v>2157</v>
      </c>
      <c r="G40" t="s">
        <v>2157</v>
      </c>
      <c r="H40" t="s">
        <v>2157</v>
      </c>
      <c r="I40" t="s">
        <v>2157</v>
      </c>
      <c r="J40" t="s">
        <v>2157</v>
      </c>
      <c r="K40" t="s">
        <v>2157</v>
      </c>
      <c r="L40" t="s">
        <v>2157</v>
      </c>
      <c r="M40" t="s">
        <v>2157</v>
      </c>
      <c r="N40" t="s">
        <v>2157</v>
      </c>
      <c r="O40" t="s">
        <v>2157</v>
      </c>
      <c r="P40" t="s">
        <v>2157</v>
      </c>
      <c r="Q40" t="s">
        <v>2157</v>
      </c>
      <c r="R40" t="s">
        <v>2157</v>
      </c>
      <c r="S40" t="s">
        <v>2157</v>
      </c>
      <c r="T40" t="s">
        <v>2157</v>
      </c>
      <c r="U40" t="s">
        <v>2157</v>
      </c>
      <c r="V40" t="s">
        <v>2157</v>
      </c>
      <c r="W40" t="s">
        <v>2157</v>
      </c>
      <c r="X40" t="s">
        <v>2157</v>
      </c>
      <c r="Y40" t="s">
        <v>2157</v>
      </c>
      <c r="Z40" t="s">
        <v>2157</v>
      </c>
      <c r="AA40" t="s">
        <v>2157</v>
      </c>
      <c r="AB40">
        <v>0.1</v>
      </c>
      <c r="AC40">
        <v>0.1</v>
      </c>
      <c r="AD40">
        <v>0.3</v>
      </c>
      <c r="AE40">
        <v>0.4</v>
      </c>
      <c r="AF40">
        <v>0.5</v>
      </c>
      <c r="AG40">
        <v>0.7</v>
      </c>
    </row>
    <row r="41" spans="1:33">
      <c r="A41" t="s">
        <v>178</v>
      </c>
      <c r="B41">
        <v>16</v>
      </c>
      <c r="C41">
        <v>16</v>
      </c>
      <c r="D41">
        <v>16</v>
      </c>
      <c r="E41">
        <v>16</v>
      </c>
      <c r="F41">
        <v>17</v>
      </c>
      <c r="G41">
        <v>17</v>
      </c>
      <c r="H41">
        <v>17</v>
      </c>
      <c r="I41">
        <v>17</v>
      </c>
      <c r="J41">
        <v>17</v>
      </c>
      <c r="K41">
        <v>17</v>
      </c>
      <c r="L41">
        <v>18</v>
      </c>
      <c r="M41">
        <v>20</v>
      </c>
      <c r="N41">
        <v>19</v>
      </c>
      <c r="O41">
        <v>23</v>
      </c>
      <c r="P41">
        <v>25</v>
      </c>
      <c r="Q41">
        <v>26</v>
      </c>
      <c r="R41">
        <v>25</v>
      </c>
      <c r="S41">
        <v>28</v>
      </c>
      <c r="T41">
        <v>26</v>
      </c>
      <c r="U41">
        <v>27</v>
      </c>
      <c r="V41">
        <v>26</v>
      </c>
      <c r="W41">
        <v>26</v>
      </c>
      <c r="X41">
        <v>25</v>
      </c>
      <c r="Y41">
        <v>26</v>
      </c>
      <c r="Z41">
        <v>26</v>
      </c>
      <c r="AA41">
        <v>26</v>
      </c>
      <c r="AB41">
        <v>26</v>
      </c>
      <c r="AC41">
        <v>26</v>
      </c>
      <c r="AD41">
        <v>26</v>
      </c>
      <c r="AE41">
        <v>26</v>
      </c>
      <c r="AF41">
        <v>22</v>
      </c>
      <c r="AG41">
        <v>22</v>
      </c>
    </row>
    <row r="42" spans="1:33">
      <c r="A42" t="s">
        <v>141</v>
      </c>
      <c r="B42" s="60">
        <v>20670</v>
      </c>
      <c r="C42" s="60">
        <v>19997</v>
      </c>
      <c r="D42" s="60">
        <v>20716</v>
      </c>
      <c r="E42" s="60">
        <v>21193</v>
      </c>
      <c r="F42" s="60">
        <v>21895</v>
      </c>
      <c r="G42" s="60">
        <v>22269</v>
      </c>
      <c r="H42" s="60">
        <v>22880</v>
      </c>
      <c r="I42" s="60">
        <v>23120</v>
      </c>
      <c r="J42" s="60">
        <v>23578</v>
      </c>
      <c r="K42" s="60">
        <v>24547</v>
      </c>
      <c r="L42" s="60">
        <v>24986</v>
      </c>
      <c r="M42" s="60">
        <v>24698</v>
      </c>
      <c r="N42" s="60">
        <v>25250</v>
      </c>
      <c r="O42" s="60">
        <v>25155</v>
      </c>
      <c r="P42" s="60">
        <v>25744</v>
      </c>
      <c r="Q42" s="60">
        <v>26019</v>
      </c>
      <c r="R42" s="60">
        <v>25906</v>
      </c>
      <c r="S42" s="60">
        <v>25878</v>
      </c>
      <c r="T42" s="60">
        <v>24665</v>
      </c>
      <c r="U42" s="60">
        <v>23640</v>
      </c>
      <c r="V42" s="60">
        <v>23774</v>
      </c>
      <c r="W42" s="60">
        <v>23422</v>
      </c>
      <c r="X42" s="60">
        <v>23305</v>
      </c>
      <c r="Y42" s="60">
        <v>23517</v>
      </c>
      <c r="Z42" s="60">
        <v>24042</v>
      </c>
      <c r="AA42" s="60">
        <v>24194</v>
      </c>
      <c r="AB42" s="60">
        <v>24745</v>
      </c>
      <c r="AC42" s="60">
        <v>25049</v>
      </c>
      <c r="AD42" s="60">
        <v>25558</v>
      </c>
      <c r="AE42" s="60">
        <v>25650</v>
      </c>
      <c r="AF42" s="60">
        <v>22234</v>
      </c>
      <c r="AG42" s="60">
        <v>24771</v>
      </c>
    </row>
    <row r="43" spans="1:33">
      <c r="A43" t="s">
        <v>2161</v>
      </c>
    </row>
    <row r="44" spans="1:33">
      <c r="A44" t="s">
        <v>2162</v>
      </c>
    </row>
    <row r="45" spans="1:33">
      <c r="A45" t="s">
        <v>2163</v>
      </c>
    </row>
    <row r="46" spans="1:33">
      <c r="A46" t="s">
        <v>2164</v>
      </c>
    </row>
    <row r="47" spans="1:33">
      <c r="A47" t="s">
        <v>2165</v>
      </c>
    </row>
    <row r="48" spans="1:33">
      <c r="A48" t="s">
        <v>2166</v>
      </c>
    </row>
    <row r="49" spans="1:1">
      <c r="A49" t="s">
        <v>2167</v>
      </c>
    </row>
    <row r="50" spans="1:1">
      <c r="A50" t="s">
        <v>2168</v>
      </c>
    </row>
  </sheetData>
  <pageMargins left="0.7" right="0.7" top="0.75" bottom="0.75" header="0.3" footer="0.3"/>
</worksheet>
</file>

<file path=xl/worksheets/sheet2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11BBE71-503D-4FAA-A8ED-4EA334A30B10}">
  <dimension ref="A1:AJ4402"/>
  <sheetViews>
    <sheetView workbookViewId="0"/>
  </sheetViews>
  <sheetFormatPr defaultRowHeight="15"/>
  <cols>
    <col min="1" max="1" width="30.28515625" customWidth="1"/>
  </cols>
  <sheetData>
    <row r="1" spans="1:36">
      <c r="A1" s="9"/>
      <c r="B1" s="62" t="s">
        <v>284</v>
      </c>
      <c r="C1" s="9"/>
      <c r="D1" s="9"/>
      <c r="E1" s="9"/>
      <c r="F1" s="9"/>
      <c r="G1" s="9"/>
      <c r="H1" s="9"/>
      <c r="I1" s="9"/>
      <c r="J1" s="9"/>
      <c r="K1" s="9"/>
      <c r="L1" s="9"/>
      <c r="M1" s="9"/>
      <c r="N1" s="9"/>
      <c r="O1" s="9"/>
      <c r="P1" s="9"/>
      <c r="Q1" s="9"/>
      <c r="R1" s="9"/>
      <c r="S1" s="9"/>
      <c r="T1" s="9"/>
      <c r="U1" s="9"/>
      <c r="V1" s="9"/>
      <c r="W1" s="9"/>
      <c r="X1" s="9"/>
      <c r="Y1" s="9"/>
      <c r="Z1" s="9"/>
      <c r="AA1" s="9"/>
      <c r="AB1" s="9"/>
      <c r="AC1" s="9"/>
      <c r="AD1" s="9"/>
      <c r="AE1" s="9"/>
      <c r="AF1" s="9"/>
      <c r="AG1" s="9"/>
    </row>
    <row r="2" spans="1:36">
      <c r="A2" s="9"/>
      <c r="B2" s="9"/>
      <c r="C2" s="9"/>
      <c r="D2" s="9"/>
      <c r="E2" s="9"/>
      <c r="F2" s="9"/>
      <c r="G2" s="9"/>
      <c r="H2" s="9"/>
      <c r="I2" s="9"/>
      <c r="J2" s="9"/>
      <c r="K2" s="9"/>
      <c r="L2" s="9"/>
      <c r="M2" s="9"/>
      <c r="N2" s="9"/>
      <c r="O2" s="9"/>
      <c r="P2" s="9"/>
      <c r="Q2" s="9"/>
      <c r="R2" s="9"/>
      <c r="S2" s="9"/>
      <c r="T2" s="9"/>
      <c r="U2" s="9"/>
      <c r="V2" s="9"/>
      <c r="W2" s="9"/>
      <c r="X2" s="9"/>
      <c r="Y2" s="9"/>
      <c r="Z2" s="9"/>
      <c r="AA2" s="9"/>
      <c r="AB2" s="9"/>
      <c r="AC2" s="9"/>
      <c r="AD2" s="9"/>
      <c r="AE2" s="9"/>
      <c r="AF2" s="9"/>
      <c r="AG2" s="9"/>
    </row>
    <row r="3" spans="1:36">
      <c r="A3" s="9"/>
      <c r="B3" s="9"/>
      <c r="C3" s="74" t="s">
        <v>108</v>
      </c>
      <c r="D3" s="74" t="s">
        <v>285</v>
      </c>
      <c r="E3" s="40"/>
      <c r="F3" s="40"/>
      <c r="G3" s="40"/>
      <c r="H3" s="9"/>
      <c r="I3" s="9"/>
      <c r="J3" s="9"/>
      <c r="K3" s="9"/>
      <c r="L3" s="9"/>
      <c r="M3" s="9"/>
      <c r="N3" s="9"/>
      <c r="O3" s="9"/>
      <c r="P3" s="9"/>
      <c r="Q3" s="9"/>
      <c r="R3" s="9"/>
      <c r="S3" s="9"/>
      <c r="T3" s="9"/>
      <c r="U3" s="9"/>
      <c r="V3" s="9"/>
      <c r="W3" s="9"/>
      <c r="X3" s="9"/>
      <c r="Y3" s="9"/>
      <c r="Z3" s="9"/>
      <c r="AA3" s="9"/>
      <c r="AB3" s="9"/>
      <c r="AC3" s="9"/>
      <c r="AD3" s="9"/>
      <c r="AE3" s="9"/>
      <c r="AF3" s="9"/>
      <c r="AG3" s="9"/>
    </row>
    <row r="4" spans="1:36">
      <c r="A4" s="9"/>
      <c r="B4" s="9"/>
      <c r="C4" s="74" t="s">
        <v>107</v>
      </c>
      <c r="D4" s="74" t="s">
        <v>286</v>
      </c>
      <c r="E4" s="40"/>
      <c r="F4" s="40"/>
      <c r="G4" s="74" t="s">
        <v>287</v>
      </c>
      <c r="H4" s="9"/>
      <c r="I4" s="9"/>
      <c r="J4" s="9"/>
      <c r="K4" s="9"/>
      <c r="L4" s="9"/>
      <c r="M4" s="9"/>
      <c r="N4" s="9"/>
      <c r="O4" s="9"/>
      <c r="P4" s="9"/>
      <c r="Q4" s="9"/>
      <c r="R4" s="9"/>
      <c r="S4" s="9"/>
      <c r="T4" s="9"/>
      <c r="U4" s="9"/>
      <c r="V4" s="9"/>
      <c r="W4" s="9"/>
      <c r="X4" s="9"/>
      <c r="Y4" s="9"/>
      <c r="Z4" s="9"/>
      <c r="AA4" s="9"/>
      <c r="AB4" s="9"/>
      <c r="AC4" s="9"/>
      <c r="AD4" s="9"/>
      <c r="AE4" s="9"/>
      <c r="AF4" s="9"/>
      <c r="AG4" s="9"/>
    </row>
    <row r="5" spans="1:36">
      <c r="A5" s="9"/>
      <c r="B5" s="9"/>
      <c r="C5" s="74" t="s">
        <v>106</v>
      </c>
      <c r="D5" s="74" t="s">
        <v>288</v>
      </c>
      <c r="E5" s="40"/>
      <c r="F5" s="40"/>
      <c r="G5" s="40"/>
      <c r="H5" s="9"/>
      <c r="I5" s="9"/>
      <c r="J5" s="9"/>
      <c r="K5" s="9"/>
      <c r="L5" s="9"/>
      <c r="M5" s="9"/>
      <c r="N5" s="9"/>
      <c r="O5" s="9"/>
      <c r="P5" s="9"/>
      <c r="Q5" s="9"/>
      <c r="R5" s="9"/>
      <c r="S5" s="9"/>
      <c r="T5" s="9"/>
      <c r="U5" s="9"/>
      <c r="V5" s="9"/>
      <c r="W5" s="9"/>
      <c r="X5" s="9"/>
      <c r="Y5" s="9"/>
      <c r="Z5" s="9"/>
      <c r="AA5" s="9"/>
      <c r="AB5" s="9"/>
      <c r="AC5" s="9"/>
      <c r="AD5" s="9"/>
      <c r="AE5" s="9"/>
      <c r="AF5" s="9"/>
      <c r="AG5" s="9"/>
      <c r="AH5">
        <v>2049</v>
      </c>
      <c r="AI5">
        <v>2050</v>
      </c>
      <c r="AJ5" t="s">
        <v>991</v>
      </c>
    </row>
    <row r="6" spans="1:36">
      <c r="A6" s="9"/>
      <c r="B6" s="9"/>
      <c r="C6" s="74" t="s">
        <v>105</v>
      </c>
      <c r="D6" s="40"/>
      <c r="E6" s="74" t="s">
        <v>289</v>
      </c>
      <c r="F6" s="40"/>
      <c r="G6" s="40"/>
      <c r="H6" s="9"/>
      <c r="I6" s="9"/>
      <c r="J6" s="9"/>
      <c r="K6" s="9"/>
      <c r="L6" s="9"/>
      <c r="M6" s="9"/>
      <c r="N6" s="9"/>
      <c r="O6" s="9"/>
      <c r="P6" s="9"/>
      <c r="Q6" s="9"/>
      <c r="R6" s="9"/>
      <c r="S6" s="9"/>
      <c r="T6" s="9"/>
      <c r="U6" s="9"/>
      <c r="V6" s="9"/>
      <c r="W6" s="9"/>
      <c r="X6" s="9"/>
      <c r="Y6" s="9"/>
      <c r="Z6" s="9"/>
      <c r="AA6" s="9"/>
      <c r="AB6" s="9"/>
      <c r="AC6" s="9"/>
      <c r="AD6" s="9"/>
      <c r="AE6" s="9"/>
      <c r="AF6" s="9"/>
      <c r="AG6" s="9"/>
      <c r="AH6">
        <v>14701.980469</v>
      </c>
      <c r="AI6">
        <v>14799.428711</v>
      </c>
      <c r="AJ6" s="22">
        <v>1E-3</v>
      </c>
    </row>
    <row r="7" spans="1:36">
      <c r="A7" s="9"/>
      <c r="B7" s="9"/>
      <c r="C7" s="9"/>
      <c r="D7" s="9"/>
      <c r="E7" s="9"/>
      <c r="F7" s="9"/>
      <c r="G7" s="9"/>
      <c r="H7" s="9"/>
      <c r="I7" s="9"/>
      <c r="J7" s="9"/>
      <c r="K7" s="9"/>
      <c r="L7" s="9"/>
      <c r="M7" s="9"/>
      <c r="N7" s="9"/>
      <c r="O7" s="9"/>
      <c r="P7" s="9"/>
      <c r="Q7" s="9"/>
      <c r="R7" s="9"/>
      <c r="S7" s="9"/>
      <c r="T7" s="9"/>
      <c r="U7" s="9"/>
      <c r="V7" s="9"/>
      <c r="W7" s="9"/>
      <c r="X7" s="9"/>
      <c r="Y7" s="9"/>
      <c r="Z7" s="9"/>
      <c r="AA7" s="9"/>
      <c r="AB7" s="9"/>
      <c r="AC7" s="9"/>
      <c r="AD7" s="9"/>
      <c r="AE7" s="9"/>
      <c r="AF7" s="9"/>
      <c r="AG7" s="9"/>
      <c r="AH7">
        <v>14159.390625</v>
      </c>
      <c r="AI7">
        <v>14238.774414</v>
      </c>
      <c r="AJ7" s="22">
        <v>0</v>
      </c>
    </row>
    <row r="8" spans="1:36">
      <c r="A8" s="9"/>
      <c r="B8" s="9"/>
      <c r="C8" s="9"/>
      <c r="D8" s="9"/>
      <c r="E8" s="9"/>
      <c r="F8" s="9"/>
      <c r="G8" s="9"/>
      <c r="H8" s="9"/>
      <c r="I8" s="9"/>
      <c r="J8" s="9"/>
      <c r="K8" s="9"/>
      <c r="L8" s="9"/>
      <c r="M8" s="9"/>
      <c r="N8" s="9"/>
      <c r="O8" s="9"/>
      <c r="P8" s="9"/>
      <c r="Q8" s="9"/>
      <c r="R8" s="9"/>
      <c r="S8" s="9"/>
      <c r="T8" s="9"/>
      <c r="U8" s="9"/>
      <c r="V8" s="9"/>
      <c r="W8" s="9"/>
      <c r="X8" s="9"/>
      <c r="Y8" s="9"/>
      <c r="Z8" s="9"/>
      <c r="AA8" s="9"/>
      <c r="AB8" s="9"/>
      <c r="AC8" s="9"/>
      <c r="AD8" s="9"/>
      <c r="AE8" s="9"/>
      <c r="AF8" s="9"/>
      <c r="AG8" s="9"/>
      <c r="AH8">
        <v>24.297373</v>
      </c>
      <c r="AI8">
        <v>24.739059000000001</v>
      </c>
      <c r="AJ8" s="22">
        <v>-0.01</v>
      </c>
    </row>
    <row r="9" spans="1:36">
      <c r="A9" s="9"/>
      <c r="B9" s="9"/>
      <c r="C9" s="9"/>
      <c r="D9" s="9"/>
      <c r="E9" s="9"/>
      <c r="F9" s="9"/>
      <c r="G9" s="9"/>
      <c r="H9" s="9"/>
      <c r="I9" s="9"/>
      <c r="J9" s="9"/>
      <c r="K9" s="9"/>
      <c r="L9" s="9"/>
      <c r="M9" s="9"/>
      <c r="N9" s="9"/>
      <c r="O9" s="9"/>
      <c r="P9" s="9"/>
      <c r="Q9" s="9"/>
      <c r="R9" s="9"/>
      <c r="S9" s="9"/>
      <c r="T9" s="9"/>
      <c r="U9" s="9"/>
      <c r="V9" s="9"/>
      <c r="W9" s="9"/>
      <c r="X9" s="9"/>
      <c r="Y9" s="9"/>
      <c r="Z9" s="9"/>
      <c r="AA9" s="9"/>
      <c r="AB9" s="9"/>
      <c r="AC9" s="9"/>
      <c r="AD9" s="9"/>
      <c r="AE9" s="9"/>
      <c r="AF9" s="9"/>
      <c r="AG9" s="9"/>
      <c r="AH9">
        <v>73.365066999999996</v>
      </c>
      <c r="AI9">
        <v>74.101059000000006</v>
      </c>
      <c r="AJ9" s="22">
        <v>1.2E-2</v>
      </c>
    </row>
    <row r="10" spans="1:36" ht="15.75">
      <c r="A10" s="39" t="s">
        <v>2173</v>
      </c>
      <c r="B10" s="64" t="s">
        <v>2174</v>
      </c>
      <c r="C10" s="9"/>
      <c r="D10" s="9"/>
      <c r="E10" s="9"/>
      <c r="F10" s="9"/>
      <c r="G10" s="9"/>
      <c r="H10" s="9"/>
      <c r="I10" s="9"/>
      <c r="J10" s="9"/>
      <c r="K10" s="9"/>
      <c r="L10" s="9"/>
      <c r="M10" s="9"/>
      <c r="N10" s="9"/>
      <c r="O10" s="9"/>
      <c r="P10" s="9"/>
      <c r="Q10" s="9"/>
      <c r="R10" s="9"/>
      <c r="S10" s="9"/>
      <c r="T10" s="9"/>
      <c r="U10" s="9"/>
      <c r="V10" s="9"/>
      <c r="W10" s="9"/>
      <c r="X10" s="9"/>
      <c r="Y10" s="9"/>
      <c r="Z10" s="9"/>
      <c r="AA10" s="9"/>
      <c r="AB10" s="9"/>
      <c r="AC10" s="9"/>
      <c r="AD10" s="9"/>
      <c r="AE10" s="9"/>
      <c r="AF10" s="9"/>
      <c r="AG10" s="70" t="s">
        <v>290</v>
      </c>
      <c r="AH10">
        <v>0.48037200000000002</v>
      </c>
      <c r="AI10">
        <v>0.48969600000000002</v>
      </c>
      <c r="AJ10" s="22">
        <v>-1.0999999999999999E-2</v>
      </c>
    </row>
    <row r="11" spans="1:36">
      <c r="A11" s="9"/>
      <c r="B11" s="62" t="s">
        <v>296</v>
      </c>
      <c r="C11" s="9"/>
      <c r="D11" s="9"/>
      <c r="E11" s="9"/>
      <c r="F11" s="9"/>
      <c r="G11" s="9"/>
      <c r="H11" s="9"/>
      <c r="I11" s="9"/>
      <c r="J11" s="9"/>
      <c r="K11" s="9"/>
      <c r="L11" s="9"/>
      <c r="M11" s="9"/>
      <c r="N11" s="9"/>
      <c r="O11" s="9"/>
      <c r="P11" s="9"/>
      <c r="Q11" s="9"/>
      <c r="R11" s="9"/>
      <c r="S11" s="9"/>
      <c r="T11" s="9"/>
      <c r="U11" s="9"/>
      <c r="V11" s="9"/>
      <c r="W11" s="9"/>
      <c r="X11" s="9"/>
      <c r="Y11" s="9"/>
      <c r="Z11" s="9"/>
      <c r="AA11" s="9"/>
      <c r="AB11" s="9"/>
      <c r="AC11" s="9"/>
      <c r="AD11" s="9"/>
      <c r="AE11" s="9"/>
      <c r="AF11" s="9"/>
      <c r="AG11" s="70" t="s">
        <v>291</v>
      </c>
      <c r="AH11">
        <v>1.8495220000000001</v>
      </c>
      <c r="AI11">
        <v>1.9374210000000001</v>
      </c>
      <c r="AJ11" s="22">
        <v>3.6999999999999998E-2</v>
      </c>
    </row>
    <row r="12" spans="1:36">
      <c r="A12" s="9"/>
      <c r="B12" s="62"/>
      <c r="C12" s="65"/>
      <c r="D12" s="65"/>
      <c r="E12" s="65"/>
      <c r="F12" s="65"/>
      <c r="G12" s="65"/>
      <c r="H12" s="65"/>
      <c r="I12" s="65"/>
      <c r="J12" s="65"/>
      <c r="K12" s="65"/>
      <c r="L12" s="65"/>
      <c r="M12" s="65"/>
      <c r="N12" s="65"/>
      <c r="O12" s="65"/>
      <c r="P12" s="65"/>
      <c r="Q12" s="65"/>
      <c r="R12" s="65"/>
      <c r="S12" s="65"/>
      <c r="T12" s="65"/>
      <c r="U12" s="65"/>
      <c r="V12" s="65"/>
      <c r="W12" s="65"/>
      <c r="X12" s="65"/>
      <c r="Y12" s="65"/>
      <c r="Z12" s="65"/>
      <c r="AA12" s="65"/>
      <c r="AB12" s="65"/>
      <c r="AC12" s="65"/>
      <c r="AD12" s="65"/>
      <c r="AE12" s="65"/>
      <c r="AF12" s="65"/>
      <c r="AG12" s="70" t="s">
        <v>292</v>
      </c>
      <c r="AH12">
        <v>437.380493</v>
      </c>
      <c r="AI12">
        <v>454.037781</v>
      </c>
      <c r="AJ12" s="22">
        <v>0.106</v>
      </c>
    </row>
    <row r="13" spans="1:36" ht="25.5" thickBot="1">
      <c r="A13" s="9"/>
      <c r="B13" s="63" t="s">
        <v>297</v>
      </c>
      <c r="C13" s="63">
        <v>2021</v>
      </c>
      <c r="D13" s="63">
        <v>2022</v>
      </c>
      <c r="E13" s="63">
        <v>2023</v>
      </c>
      <c r="F13" s="63">
        <v>2024</v>
      </c>
      <c r="G13" s="63">
        <v>2025</v>
      </c>
      <c r="H13" s="63">
        <v>2026</v>
      </c>
      <c r="I13" s="63">
        <v>2027</v>
      </c>
      <c r="J13" s="63">
        <v>2028</v>
      </c>
      <c r="K13" s="63">
        <v>2029</v>
      </c>
      <c r="L13" s="63">
        <v>2030</v>
      </c>
      <c r="M13" s="63">
        <v>2031</v>
      </c>
      <c r="N13" s="63">
        <v>2032</v>
      </c>
      <c r="O13" s="63">
        <v>2033</v>
      </c>
      <c r="P13" s="63">
        <v>2034</v>
      </c>
      <c r="Q13" s="63">
        <v>2035</v>
      </c>
      <c r="R13" s="63">
        <v>2036</v>
      </c>
      <c r="S13" s="63">
        <v>2037</v>
      </c>
      <c r="T13" s="63">
        <v>2038</v>
      </c>
      <c r="U13" s="63">
        <v>2039</v>
      </c>
      <c r="V13" s="63">
        <v>2040</v>
      </c>
      <c r="W13" s="63">
        <v>2041</v>
      </c>
      <c r="X13" s="63">
        <v>2042</v>
      </c>
      <c r="Y13" s="63">
        <v>2043</v>
      </c>
      <c r="Z13" s="63">
        <v>2044</v>
      </c>
      <c r="AA13" s="63">
        <v>2045</v>
      </c>
      <c r="AB13" s="63">
        <v>2046</v>
      </c>
      <c r="AC13" s="63">
        <v>2047</v>
      </c>
      <c r="AD13" s="63">
        <v>2048</v>
      </c>
      <c r="AE13" s="63">
        <v>2049</v>
      </c>
      <c r="AF13" s="63">
        <v>2050</v>
      </c>
      <c r="AG13" s="79" t="s">
        <v>293</v>
      </c>
      <c r="AH13">
        <v>5.2161749999999998</v>
      </c>
      <c r="AI13">
        <v>5.3491600000000004</v>
      </c>
      <c r="AJ13" s="22">
        <v>9.7000000000000003E-2</v>
      </c>
    </row>
    <row r="14" spans="1:36" ht="15.75" thickTop="1">
      <c r="A14" s="9"/>
      <c r="B14" s="9"/>
      <c r="C14" s="9"/>
      <c r="D14" s="9"/>
      <c r="E14" s="9"/>
      <c r="F14" s="9"/>
      <c r="G14" s="9"/>
      <c r="H14" s="9"/>
      <c r="I14" s="9"/>
      <c r="J14" s="9"/>
      <c r="K14" s="9"/>
      <c r="L14" s="9"/>
      <c r="M14" s="9"/>
      <c r="N14" s="9"/>
      <c r="O14" s="9"/>
      <c r="P14" s="9"/>
      <c r="Q14" s="9"/>
      <c r="R14" s="9"/>
      <c r="S14" s="9"/>
      <c r="T14" s="9"/>
      <c r="U14" s="9"/>
      <c r="V14" s="9"/>
      <c r="W14" s="9"/>
      <c r="X14" s="9"/>
      <c r="Y14" s="9"/>
      <c r="Z14" s="9"/>
      <c r="AA14" s="9"/>
      <c r="AB14" s="9"/>
      <c r="AC14" s="9"/>
      <c r="AD14" s="9"/>
      <c r="AE14" s="9"/>
      <c r="AF14" s="9"/>
      <c r="AG14" s="73"/>
      <c r="AH14">
        <v>1061.4022219999999</v>
      </c>
      <c r="AI14">
        <v>1074.767578</v>
      </c>
      <c r="AJ14" s="22">
        <v>7.0000000000000001E-3</v>
      </c>
    </row>
    <row r="15" spans="1:36" ht="24.75">
      <c r="A15" s="39" t="s">
        <v>2175</v>
      </c>
      <c r="B15" s="66" t="s">
        <v>2169</v>
      </c>
      <c r="C15" s="69">
        <v>14274.494140999999</v>
      </c>
      <c r="D15" s="69">
        <v>14663.075194999999</v>
      </c>
      <c r="E15" s="69">
        <v>14907.380859000001</v>
      </c>
      <c r="F15" s="69">
        <v>14888.802734000001</v>
      </c>
      <c r="G15" s="69">
        <v>14849.198242</v>
      </c>
      <c r="H15" s="69">
        <v>14786.861328000001</v>
      </c>
      <c r="I15" s="69">
        <v>14699.436523</v>
      </c>
      <c r="J15" s="69">
        <v>14596.198242</v>
      </c>
      <c r="K15" s="69">
        <v>14504.813477</v>
      </c>
      <c r="L15" s="69">
        <v>14439.388671999999</v>
      </c>
      <c r="M15" s="69">
        <v>14388.90625</v>
      </c>
      <c r="N15" s="69">
        <v>14328.155273</v>
      </c>
      <c r="O15" s="69">
        <v>14293.910156</v>
      </c>
      <c r="P15" s="69">
        <v>14263.881836</v>
      </c>
      <c r="Q15" s="69">
        <v>14229.495117</v>
      </c>
      <c r="R15" s="69">
        <v>14203.658203000001</v>
      </c>
      <c r="S15" s="69">
        <v>14192.496094</v>
      </c>
      <c r="T15" s="69">
        <v>14188.244140999999</v>
      </c>
      <c r="U15" s="69">
        <v>14197.581055000001</v>
      </c>
      <c r="V15" s="69">
        <v>14217.713867</v>
      </c>
      <c r="W15" s="69">
        <v>14239.96875</v>
      </c>
      <c r="X15" s="69">
        <v>14268.422852</v>
      </c>
      <c r="Y15" s="69">
        <v>14301.931640999999</v>
      </c>
      <c r="Z15" s="69">
        <v>14345.212890999999</v>
      </c>
      <c r="AA15" s="69">
        <v>14399.621094</v>
      </c>
      <c r="AB15" s="69">
        <v>14468.219727</v>
      </c>
      <c r="AC15" s="69">
        <v>14540.374023</v>
      </c>
      <c r="AD15" s="69">
        <v>14616.555664</v>
      </c>
      <c r="AE15" s="69">
        <v>14701.980469</v>
      </c>
      <c r="AF15" s="69">
        <v>14799.428711</v>
      </c>
      <c r="AG15" s="72">
        <v>1.2459999999999999E-3</v>
      </c>
      <c r="AH15">
        <v>718.8125</v>
      </c>
      <c r="AI15">
        <v>726.34527600000001</v>
      </c>
      <c r="AJ15" s="22">
        <v>6.0000000000000001E-3</v>
      </c>
    </row>
    <row r="16" spans="1:36" ht="48.75">
      <c r="A16" s="39" t="s">
        <v>2176</v>
      </c>
      <c r="B16" s="67" t="s">
        <v>2177</v>
      </c>
      <c r="C16" s="68">
        <v>14162.429688</v>
      </c>
      <c r="D16" s="68">
        <v>14537.586914</v>
      </c>
      <c r="E16" s="68">
        <v>14770.330078000001</v>
      </c>
      <c r="F16" s="68">
        <v>14738.893555000001</v>
      </c>
      <c r="G16" s="68">
        <v>14685.415039</v>
      </c>
      <c r="H16" s="68">
        <v>14609.183594</v>
      </c>
      <c r="I16" s="68">
        <v>14507.978515999999</v>
      </c>
      <c r="J16" s="68">
        <v>14391.53125</v>
      </c>
      <c r="K16" s="68">
        <v>14286.672852</v>
      </c>
      <c r="L16" s="68">
        <v>14207.514648</v>
      </c>
      <c r="M16" s="68">
        <v>14142.503906</v>
      </c>
      <c r="N16" s="68">
        <v>14067.616211</v>
      </c>
      <c r="O16" s="68">
        <v>14018.539062</v>
      </c>
      <c r="P16" s="68">
        <v>13974.089844</v>
      </c>
      <c r="Q16" s="68">
        <v>13924.717773</v>
      </c>
      <c r="R16" s="68">
        <v>13883.070312</v>
      </c>
      <c r="S16" s="68">
        <v>13855.946289</v>
      </c>
      <c r="T16" s="68">
        <v>13835.799805000001</v>
      </c>
      <c r="U16" s="68">
        <v>13828.552734000001</v>
      </c>
      <c r="V16" s="68">
        <v>13831.424805000001</v>
      </c>
      <c r="W16" s="68">
        <v>13836.824219</v>
      </c>
      <c r="X16" s="68">
        <v>13848.344727</v>
      </c>
      <c r="Y16" s="68">
        <v>13864.305664</v>
      </c>
      <c r="Z16" s="68">
        <v>13890.319336</v>
      </c>
      <c r="AA16" s="68">
        <v>13927.309569999999</v>
      </c>
      <c r="AB16" s="68">
        <v>13978.470703000001</v>
      </c>
      <c r="AC16" s="68">
        <v>14033.085938</v>
      </c>
      <c r="AD16" s="68">
        <v>14091.706055000001</v>
      </c>
      <c r="AE16" s="68">
        <v>14159.390625</v>
      </c>
      <c r="AF16" s="68">
        <v>14238.774414</v>
      </c>
      <c r="AG16" s="71">
        <v>1.85E-4</v>
      </c>
      <c r="AH16">
        <v>12.428053</v>
      </c>
      <c r="AI16">
        <v>13.153333999999999</v>
      </c>
      <c r="AJ16" s="22">
        <v>4.1000000000000002E-2</v>
      </c>
    </row>
    <row r="17" spans="1:36">
      <c r="A17" s="39" t="s">
        <v>2178</v>
      </c>
      <c r="B17" s="67" t="s">
        <v>2179</v>
      </c>
      <c r="C17" s="68">
        <v>33.249222000000003</v>
      </c>
      <c r="D17" s="68">
        <v>34.150458999999998</v>
      </c>
      <c r="E17" s="68">
        <v>31.936682000000001</v>
      </c>
      <c r="F17" s="68">
        <v>31.592466000000002</v>
      </c>
      <c r="G17" s="68">
        <v>31.286394000000001</v>
      </c>
      <c r="H17" s="68">
        <v>30.500689000000001</v>
      </c>
      <c r="I17" s="68">
        <v>29.567623000000001</v>
      </c>
      <c r="J17" s="68">
        <v>28.523620999999999</v>
      </c>
      <c r="K17" s="68">
        <v>27.601944</v>
      </c>
      <c r="L17" s="68">
        <v>26.584057000000001</v>
      </c>
      <c r="M17" s="68">
        <v>25.489037</v>
      </c>
      <c r="N17" s="68">
        <v>24.533688999999999</v>
      </c>
      <c r="O17" s="68">
        <v>23.990046</v>
      </c>
      <c r="P17" s="68">
        <v>22.778981999999999</v>
      </c>
      <c r="Q17" s="68">
        <v>22.123808</v>
      </c>
      <c r="R17" s="68">
        <v>22.124821000000001</v>
      </c>
      <c r="S17" s="68">
        <v>21.992408999999999</v>
      </c>
      <c r="T17" s="68">
        <v>21.684839</v>
      </c>
      <c r="U17" s="68">
        <v>21.760232999999999</v>
      </c>
      <c r="V17" s="68">
        <v>21.844384999999999</v>
      </c>
      <c r="W17" s="68">
        <v>21.925298999999999</v>
      </c>
      <c r="X17" s="68">
        <v>22.19059</v>
      </c>
      <c r="Y17" s="68">
        <v>22.390591000000001</v>
      </c>
      <c r="Z17" s="68">
        <v>22.596132000000001</v>
      </c>
      <c r="AA17" s="68">
        <v>22.876339000000002</v>
      </c>
      <c r="AB17" s="68">
        <v>23.153645999999998</v>
      </c>
      <c r="AC17" s="68">
        <v>23.499597999999999</v>
      </c>
      <c r="AD17" s="68">
        <v>23.893426999999999</v>
      </c>
      <c r="AE17" s="68">
        <v>24.297373</v>
      </c>
      <c r="AF17" s="68">
        <v>24.739059000000001</v>
      </c>
      <c r="AG17" s="71">
        <v>-1.0142999999999999E-2</v>
      </c>
      <c r="AH17">
        <v>326.56167599999998</v>
      </c>
      <c r="AI17">
        <v>331.52713</v>
      </c>
      <c r="AJ17" s="22">
        <v>7.0000000000000001E-3</v>
      </c>
    </row>
    <row r="18" spans="1:36" ht="48.75">
      <c r="A18" s="39" t="s">
        <v>2180</v>
      </c>
      <c r="B18" s="67" t="s">
        <v>2181</v>
      </c>
      <c r="C18" s="68">
        <v>52.341071999999997</v>
      </c>
      <c r="D18" s="68">
        <v>55.018439999999998</v>
      </c>
      <c r="E18" s="68">
        <v>57.293982999999997</v>
      </c>
      <c r="F18" s="68">
        <v>58.347095000000003</v>
      </c>
      <c r="G18" s="68">
        <v>59.292045999999999</v>
      </c>
      <c r="H18" s="68">
        <v>60.054276000000002</v>
      </c>
      <c r="I18" s="68">
        <v>60.645831999999999</v>
      </c>
      <c r="J18" s="68">
        <v>61.085116999999997</v>
      </c>
      <c r="K18" s="68">
        <v>61.376376999999998</v>
      </c>
      <c r="L18" s="68">
        <v>61.730705</v>
      </c>
      <c r="M18" s="68">
        <v>62.624172000000002</v>
      </c>
      <c r="N18" s="68">
        <v>62.985115</v>
      </c>
      <c r="O18" s="68">
        <v>63.372196000000002</v>
      </c>
      <c r="P18" s="68">
        <v>63.817276</v>
      </c>
      <c r="Q18" s="68">
        <v>64.206192000000001</v>
      </c>
      <c r="R18" s="68">
        <v>64.635818</v>
      </c>
      <c r="S18" s="68">
        <v>65.138244999999998</v>
      </c>
      <c r="T18" s="68">
        <v>65.602219000000005</v>
      </c>
      <c r="U18" s="68">
        <v>66.192047000000002</v>
      </c>
      <c r="V18" s="68">
        <v>67.346855000000005</v>
      </c>
      <c r="W18" s="68">
        <v>68.094498000000002</v>
      </c>
      <c r="X18" s="68">
        <v>68.773444999999995</v>
      </c>
      <c r="Y18" s="68">
        <v>69.845009000000005</v>
      </c>
      <c r="Z18" s="68">
        <v>70.345084999999997</v>
      </c>
      <c r="AA18" s="68">
        <v>70.781784000000002</v>
      </c>
      <c r="AB18" s="68">
        <v>71.416443000000001</v>
      </c>
      <c r="AC18" s="68">
        <v>72.050422999999995</v>
      </c>
      <c r="AD18" s="68">
        <v>72.693031000000005</v>
      </c>
      <c r="AE18" s="68">
        <v>73.365066999999996</v>
      </c>
      <c r="AF18" s="68">
        <v>74.101059000000006</v>
      </c>
      <c r="AG18" s="71">
        <v>1.206E-2</v>
      </c>
      <c r="AH18">
        <v>2.9450440000000002</v>
      </c>
      <c r="AI18">
        <v>3.0714039999999998</v>
      </c>
      <c r="AJ18" s="22">
        <v>0.104</v>
      </c>
    </row>
    <row r="19" spans="1:36" ht="72.75">
      <c r="A19" s="39" t="s">
        <v>2182</v>
      </c>
      <c r="B19" s="67" t="s">
        <v>2183</v>
      </c>
      <c r="C19" s="68">
        <v>0.67431099999999999</v>
      </c>
      <c r="D19" s="68">
        <v>0.66608500000000004</v>
      </c>
      <c r="E19" s="68">
        <v>0.63587300000000002</v>
      </c>
      <c r="F19" s="68">
        <v>0.52752900000000003</v>
      </c>
      <c r="G19" s="68">
        <v>0.50580000000000003</v>
      </c>
      <c r="H19" s="68">
        <v>0.49782100000000001</v>
      </c>
      <c r="I19" s="68">
        <v>0.48537000000000002</v>
      </c>
      <c r="J19" s="68">
        <v>0.47792299999999999</v>
      </c>
      <c r="K19" s="68">
        <v>0.468808</v>
      </c>
      <c r="L19" s="68">
        <v>0.45122899999999999</v>
      </c>
      <c r="M19" s="68">
        <v>0.45219999999999999</v>
      </c>
      <c r="N19" s="68">
        <v>0.45074999999999998</v>
      </c>
      <c r="O19" s="68">
        <v>0.450878</v>
      </c>
      <c r="P19" s="68">
        <v>0.45424100000000001</v>
      </c>
      <c r="Q19" s="68">
        <v>0.457507</v>
      </c>
      <c r="R19" s="68">
        <v>0.45966200000000002</v>
      </c>
      <c r="S19" s="68">
        <v>0.46291100000000002</v>
      </c>
      <c r="T19" s="68">
        <v>0.46953099999999998</v>
      </c>
      <c r="U19" s="68">
        <v>0.43854500000000002</v>
      </c>
      <c r="V19" s="68">
        <v>0.405692</v>
      </c>
      <c r="W19" s="68">
        <v>0.41506900000000002</v>
      </c>
      <c r="X19" s="68">
        <v>0.42349500000000001</v>
      </c>
      <c r="Y19" s="68">
        <v>0.43112299999999998</v>
      </c>
      <c r="Z19" s="68">
        <v>0.43802600000000003</v>
      </c>
      <c r="AA19" s="68">
        <v>0.44581399999999999</v>
      </c>
      <c r="AB19" s="68">
        <v>0.45412400000000003</v>
      </c>
      <c r="AC19" s="68">
        <v>0.46264300000000003</v>
      </c>
      <c r="AD19" s="68">
        <v>0.47139700000000001</v>
      </c>
      <c r="AE19" s="68">
        <v>0.48037200000000002</v>
      </c>
      <c r="AF19" s="68">
        <v>0.48969600000000002</v>
      </c>
      <c r="AG19" s="71">
        <v>-1.0971E-2</v>
      </c>
      <c r="AH19">
        <v>0.64914099999999997</v>
      </c>
      <c r="AI19">
        <v>0.66471599999999997</v>
      </c>
      <c r="AJ19" s="22">
        <v>-1.4E-2</v>
      </c>
    </row>
    <row r="20" spans="1:36">
      <c r="A20" s="39" t="s">
        <v>2184</v>
      </c>
      <c r="B20" s="67" t="s">
        <v>2185</v>
      </c>
      <c r="C20" s="68">
        <v>0.67332000000000003</v>
      </c>
      <c r="D20" s="68">
        <v>0.65310299999999999</v>
      </c>
      <c r="E20" s="68">
        <v>0.64822500000000005</v>
      </c>
      <c r="F20" s="68">
        <v>0.51948899999999998</v>
      </c>
      <c r="G20" s="68">
        <v>0.54455399999999998</v>
      </c>
      <c r="H20" s="68">
        <v>0.57736500000000002</v>
      </c>
      <c r="I20" s="68">
        <v>0.61878900000000003</v>
      </c>
      <c r="J20" s="68">
        <v>0.46534300000000001</v>
      </c>
      <c r="K20" s="68">
        <v>0.50610699999999997</v>
      </c>
      <c r="L20" s="68">
        <v>0.57804500000000003</v>
      </c>
      <c r="M20" s="68">
        <v>0.65013200000000004</v>
      </c>
      <c r="N20" s="68">
        <v>0.72068399999999999</v>
      </c>
      <c r="O20" s="68">
        <v>0.79029000000000005</v>
      </c>
      <c r="P20" s="68">
        <v>0.85896399999999995</v>
      </c>
      <c r="Q20" s="68">
        <v>0.92550900000000003</v>
      </c>
      <c r="R20" s="68">
        <v>0.99063500000000004</v>
      </c>
      <c r="S20" s="68">
        <v>1.0544990000000001</v>
      </c>
      <c r="T20" s="68">
        <v>1.1170100000000001</v>
      </c>
      <c r="U20" s="68">
        <v>1.1785939999999999</v>
      </c>
      <c r="V20" s="68">
        <v>1.2387509999999999</v>
      </c>
      <c r="W20" s="68">
        <v>1.2977559999999999</v>
      </c>
      <c r="X20" s="68">
        <v>1.356722</v>
      </c>
      <c r="Y20" s="68">
        <v>1.4161710000000001</v>
      </c>
      <c r="Z20" s="68">
        <v>1.4759199999999999</v>
      </c>
      <c r="AA20" s="68">
        <v>1.5419909999999999</v>
      </c>
      <c r="AB20" s="68">
        <v>1.613723</v>
      </c>
      <c r="AC20" s="68">
        <v>1.688793</v>
      </c>
      <c r="AD20" s="68">
        <v>1.7669729999999999</v>
      </c>
      <c r="AE20" s="68">
        <v>1.8495220000000001</v>
      </c>
      <c r="AF20" s="68">
        <v>1.9374210000000001</v>
      </c>
      <c r="AG20" s="71">
        <v>3.7116999999999997E-2</v>
      </c>
      <c r="AH20">
        <v>5.6800000000000002E-3</v>
      </c>
      <c r="AI20">
        <v>5.7790000000000003E-3</v>
      </c>
      <c r="AJ20" s="22">
        <v>8.1000000000000003E-2</v>
      </c>
    </row>
    <row r="21" spans="1:36" ht="24.75">
      <c r="A21" s="39" t="s">
        <v>2186</v>
      </c>
      <c r="B21" s="67" t="s">
        <v>2187</v>
      </c>
      <c r="C21" s="68">
        <v>24.764068999999999</v>
      </c>
      <c r="D21" s="68">
        <v>34.511890000000001</v>
      </c>
      <c r="E21" s="68">
        <v>45.918655000000001</v>
      </c>
      <c r="F21" s="68">
        <v>58.182929999999999</v>
      </c>
      <c r="G21" s="68">
        <v>71.282509000000005</v>
      </c>
      <c r="H21" s="68">
        <v>85.031136000000004</v>
      </c>
      <c r="I21" s="68">
        <v>98.971512000000004</v>
      </c>
      <c r="J21" s="68">
        <v>112.780022</v>
      </c>
      <c r="K21" s="68">
        <v>126.676147</v>
      </c>
      <c r="L21" s="68">
        <v>140.82676699999999</v>
      </c>
      <c r="M21" s="68">
        <v>155.278885</v>
      </c>
      <c r="N21" s="68">
        <v>169.72976700000001</v>
      </c>
      <c r="O21" s="68">
        <v>184.430679</v>
      </c>
      <c r="P21" s="68">
        <v>199.324814</v>
      </c>
      <c r="Q21" s="68">
        <v>214.293228</v>
      </c>
      <c r="R21" s="68">
        <v>229.396942</v>
      </c>
      <c r="S21" s="68">
        <v>244.721756</v>
      </c>
      <c r="T21" s="68">
        <v>260.19662499999998</v>
      </c>
      <c r="U21" s="68">
        <v>275.89236499999998</v>
      </c>
      <c r="V21" s="68">
        <v>291.69863900000001</v>
      </c>
      <c r="W21" s="68">
        <v>307.47470099999998</v>
      </c>
      <c r="X21" s="68">
        <v>323.21994000000001</v>
      </c>
      <c r="Y21" s="68">
        <v>339.25979599999999</v>
      </c>
      <c r="Z21" s="68">
        <v>355.59127799999999</v>
      </c>
      <c r="AA21" s="68">
        <v>372.05178799999999</v>
      </c>
      <c r="AB21" s="68">
        <v>388.33685300000002</v>
      </c>
      <c r="AC21" s="68">
        <v>404.65564000000001</v>
      </c>
      <c r="AD21" s="68">
        <v>420.94708300000002</v>
      </c>
      <c r="AE21" s="68">
        <v>437.380493</v>
      </c>
      <c r="AF21" s="68">
        <v>454.037781</v>
      </c>
      <c r="AG21" s="71">
        <v>0.105506</v>
      </c>
      <c r="AH21">
        <v>0</v>
      </c>
      <c r="AI21">
        <v>0</v>
      </c>
      <c r="AJ21" t="s">
        <v>111</v>
      </c>
    </row>
    <row r="22" spans="1:36">
      <c r="A22" s="39" t="s">
        <v>2188</v>
      </c>
      <c r="B22" s="67" t="s">
        <v>2189</v>
      </c>
      <c r="C22" s="68">
        <v>0.36432900000000001</v>
      </c>
      <c r="D22" s="68">
        <v>0.48852200000000001</v>
      </c>
      <c r="E22" s="68">
        <v>0.61699800000000005</v>
      </c>
      <c r="F22" s="68">
        <v>0.74021999999999999</v>
      </c>
      <c r="G22" s="68">
        <v>0.872479</v>
      </c>
      <c r="H22" s="68">
        <v>1.015633</v>
      </c>
      <c r="I22" s="68">
        <v>1.1693290000000001</v>
      </c>
      <c r="J22" s="68">
        <v>1.334678</v>
      </c>
      <c r="K22" s="68">
        <v>1.5124759999999999</v>
      </c>
      <c r="L22" s="68">
        <v>1.7031130000000001</v>
      </c>
      <c r="M22" s="68">
        <v>1.9068309999999999</v>
      </c>
      <c r="N22" s="68">
        <v>2.1189420000000001</v>
      </c>
      <c r="O22" s="68">
        <v>2.336719</v>
      </c>
      <c r="P22" s="68">
        <v>2.556305</v>
      </c>
      <c r="Q22" s="68">
        <v>2.771652</v>
      </c>
      <c r="R22" s="68">
        <v>2.9800059999999999</v>
      </c>
      <c r="S22" s="68">
        <v>3.1793809999999998</v>
      </c>
      <c r="T22" s="68">
        <v>3.3736160000000002</v>
      </c>
      <c r="U22" s="68">
        <v>3.566084</v>
      </c>
      <c r="V22" s="68">
        <v>3.755773</v>
      </c>
      <c r="W22" s="68">
        <v>3.9364880000000002</v>
      </c>
      <c r="X22" s="68">
        <v>4.1141100000000002</v>
      </c>
      <c r="Y22" s="68">
        <v>4.2844660000000001</v>
      </c>
      <c r="Z22" s="68">
        <v>4.4479160000000002</v>
      </c>
      <c r="AA22" s="68">
        <v>4.6137079999999999</v>
      </c>
      <c r="AB22" s="68">
        <v>4.7755470000000004</v>
      </c>
      <c r="AC22" s="68">
        <v>4.9307369999999997</v>
      </c>
      <c r="AD22" s="68">
        <v>5.0771990000000002</v>
      </c>
      <c r="AE22" s="68">
        <v>5.2161749999999998</v>
      </c>
      <c r="AF22" s="68">
        <v>5.3491600000000004</v>
      </c>
      <c r="AG22" s="71">
        <v>9.7070000000000004E-2</v>
      </c>
      <c r="AH22">
        <v>5588.216797</v>
      </c>
      <c r="AI22">
        <v>5636.1411129999997</v>
      </c>
      <c r="AJ22" s="22">
        <v>0</v>
      </c>
    </row>
    <row r="23" spans="1:36">
      <c r="A23" s="9"/>
      <c r="B23" s="9"/>
      <c r="C23" s="9"/>
      <c r="D23" s="9"/>
      <c r="E23" s="9"/>
      <c r="F23" s="9"/>
      <c r="G23" s="9"/>
      <c r="H23" s="9"/>
      <c r="I23" s="9"/>
      <c r="J23" s="9"/>
      <c r="K23" s="9"/>
      <c r="L23" s="9"/>
      <c r="M23" s="9"/>
      <c r="N23" s="9"/>
      <c r="O23" s="9"/>
      <c r="P23" s="9"/>
      <c r="Q23" s="9"/>
      <c r="R23" s="9"/>
      <c r="S23" s="9"/>
      <c r="T23" s="9"/>
      <c r="U23" s="9"/>
      <c r="V23" s="9"/>
      <c r="W23" s="9"/>
      <c r="X23" s="9"/>
      <c r="Y23" s="9"/>
      <c r="Z23" s="9"/>
      <c r="AA23" s="9"/>
      <c r="AB23" s="9"/>
      <c r="AC23" s="9"/>
      <c r="AD23" s="9"/>
      <c r="AE23" s="9"/>
      <c r="AF23" s="9"/>
      <c r="AG23" s="9"/>
      <c r="AH23">
        <v>836.60589600000003</v>
      </c>
      <c r="AI23">
        <v>861.77056900000002</v>
      </c>
      <c r="AJ23" s="22">
        <v>1.6E-2</v>
      </c>
    </row>
    <row r="24" spans="1:36" ht="36.75">
      <c r="A24" s="39" t="s">
        <v>2190</v>
      </c>
      <c r="B24" s="66" t="s">
        <v>479</v>
      </c>
      <c r="C24" s="69">
        <v>888.32324200000005</v>
      </c>
      <c r="D24" s="69">
        <v>907.55993699999999</v>
      </c>
      <c r="E24" s="69">
        <v>915.29083300000002</v>
      </c>
      <c r="F24" s="69">
        <v>914.74591099999998</v>
      </c>
      <c r="G24" s="69">
        <v>917.48150599999997</v>
      </c>
      <c r="H24" s="69">
        <v>917.95696999999996</v>
      </c>
      <c r="I24" s="69">
        <v>914.71563700000002</v>
      </c>
      <c r="J24" s="69">
        <v>913.13915999999995</v>
      </c>
      <c r="K24" s="69">
        <v>912.94812000000002</v>
      </c>
      <c r="L24" s="69">
        <v>913.61932400000001</v>
      </c>
      <c r="M24" s="69">
        <v>914.89263900000003</v>
      </c>
      <c r="N24" s="69">
        <v>917.46624799999995</v>
      </c>
      <c r="O24" s="69">
        <v>921.146973</v>
      </c>
      <c r="P24" s="69">
        <v>925.47863800000005</v>
      </c>
      <c r="Q24" s="69">
        <v>930.15087900000003</v>
      </c>
      <c r="R24" s="69">
        <v>935.85308799999996</v>
      </c>
      <c r="S24" s="69">
        <v>943.34344499999997</v>
      </c>
      <c r="T24" s="69">
        <v>951.09039299999995</v>
      </c>
      <c r="U24" s="69">
        <v>959.00439500000005</v>
      </c>
      <c r="V24" s="69">
        <v>967.11511199999995</v>
      </c>
      <c r="W24" s="69">
        <v>976.32757600000002</v>
      </c>
      <c r="X24" s="69">
        <v>985.921875</v>
      </c>
      <c r="Y24" s="69">
        <v>996.50323500000002</v>
      </c>
      <c r="Z24" s="69">
        <v>1007.049438</v>
      </c>
      <c r="AA24" s="69">
        <v>1017.768433</v>
      </c>
      <c r="AB24" s="69">
        <v>1030.6396480000001</v>
      </c>
      <c r="AC24" s="69">
        <v>1041.2025149999999</v>
      </c>
      <c r="AD24" s="69">
        <v>1050.5196530000001</v>
      </c>
      <c r="AE24" s="69">
        <v>1061.4022219999999</v>
      </c>
      <c r="AF24" s="69">
        <v>1074.767578</v>
      </c>
      <c r="AG24" s="72">
        <v>6.5909999999999996E-3</v>
      </c>
      <c r="AH24">
        <v>4646.4609380000002</v>
      </c>
      <c r="AI24">
        <v>4661.1557620000003</v>
      </c>
      <c r="AJ24" s="22">
        <v>-2E-3</v>
      </c>
    </row>
    <row r="25" spans="1:36" ht="48.75">
      <c r="A25" s="39" t="s">
        <v>2191</v>
      </c>
      <c r="B25" s="67" t="s">
        <v>2177</v>
      </c>
      <c r="C25" s="68">
        <v>614.34252900000001</v>
      </c>
      <c r="D25" s="68">
        <v>633.80950900000005</v>
      </c>
      <c r="E25" s="68">
        <v>644.77996800000005</v>
      </c>
      <c r="F25" s="68">
        <v>648.86706500000003</v>
      </c>
      <c r="G25" s="68">
        <v>655.23681599999998</v>
      </c>
      <c r="H25" s="68">
        <v>658.69421399999999</v>
      </c>
      <c r="I25" s="68">
        <v>656.84582499999999</v>
      </c>
      <c r="J25" s="68">
        <v>655.41406199999994</v>
      </c>
      <c r="K25" s="68">
        <v>654.60784899999999</v>
      </c>
      <c r="L25" s="68">
        <v>654.20941200000004</v>
      </c>
      <c r="M25" s="68">
        <v>654.01470900000004</v>
      </c>
      <c r="N25" s="68">
        <v>654.28637700000002</v>
      </c>
      <c r="O25" s="68">
        <v>654.76336700000002</v>
      </c>
      <c r="P25" s="68">
        <v>655.90240500000004</v>
      </c>
      <c r="Q25" s="68">
        <v>657.16143799999998</v>
      </c>
      <c r="R25" s="68">
        <v>659.01702899999998</v>
      </c>
      <c r="S25" s="68">
        <v>662.25061000000005</v>
      </c>
      <c r="T25" s="68">
        <v>665.78479000000004</v>
      </c>
      <c r="U25" s="68">
        <v>669.32995600000004</v>
      </c>
      <c r="V25" s="68">
        <v>673.30560300000002</v>
      </c>
      <c r="W25" s="68">
        <v>677.94335899999999</v>
      </c>
      <c r="X25" s="68">
        <v>682.89135699999997</v>
      </c>
      <c r="Y25" s="68">
        <v>688.00506600000006</v>
      </c>
      <c r="Z25" s="68">
        <v>692.85467500000004</v>
      </c>
      <c r="AA25" s="68">
        <v>697.80651899999998</v>
      </c>
      <c r="AB25" s="68">
        <v>703.93994099999998</v>
      </c>
      <c r="AC25" s="68">
        <v>708.92059300000005</v>
      </c>
      <c r="AD25" s="68">
        <v>713.17346199999997</v>
      </c>
      <c r="AE25" s="68">
        <v>718.8125</v>
      </c>
      <c r="AF25" s="68">
        <v>726.34527600000001</v>
      </c>
      <c r="AG25" s="71">
        <v>5.7920000000000003E-3</v>
      </c>
      <c r="AH25">
        <v>89.427291999999994</v>
      </c>
      <c r="AI25">
        <v>96.668953000000002</v>
      </c>
      <c r="AJ25" s="22">
        <v>2.5000000000000001E-2</v>
      </c>
    </row>
    <row r="26" spans="1:36">
      <c r="A26" s="39" t="s">
        <v>2192</v>
      </c>
      <c r="B26" s="67" t="s">
        <v>2179</v>
      </c>
      <c r="C26" s="68">
        <v>4.1552740000000004</v>
      </c>
      <c r="D26" s="68">
        <v>4.2846580000000003</v>
      </c>
      <c r="E26" s="68">
        <v>4.0672990000000002</v>
      </c>
      <c r="F26" s="68">
        <v>4.1190369999999996</v>
      </c>
      <c r="G26" s="68">
        <v>4.2546290000000004</v>
      </c>
      <c r="H26" s="68">
        <v>4.3491059999999999</v>
      </c>
      <c r="I26" s="68">
        <v>4.4519359999999999</v>
      </c>
      <c r="J26" s="68">
        <v>4.5601940000000001</v>
      </c>
      <c r="K26" s="68">
        <v>4.702108</v>
      </c>
      <c r="L26" s="68">
        <v>4.837161</v>
      </c>
      <c r="M26" s="68">
        <v>4.9781519999999997</v>
      </c>
      <c r="N26" s="68">
        <v>5.1473089999999999</v>
      </c>
      <c r="O26" s="68">
        <v>5.4099250000000003</v>
      </c>
      <c r="P26" s="68">
        <v>5.5183030000000004</v>
      </c>
      <c r="Q26" s="68">
        <v>5.7560729999999998</v>
      </c>
      <c r="R26" s="68">
        <v>6.1638349999999997</v>
      </c>
      <c r="S26" s="68">
        <v>6.5428040000000003</v>
      </c>
      <c r="T26" s="68">
        <v>6.8549049999999996</v>
      </c>
      <c r="U26" s="68">
        <v>7.2632989999999999</v>
      </c>
      <c r="V26" s="68">
        <v>7.6670569999999998</v>
      </c>
      <c r="W26" s="68">
        <v>8.0832300000000004</v>
      </c>
      <c r="X26" s="68">
        <v>8.5725119999999997</v>
      </c>
      <c r="Y26" s="68">
        <v>9.0432140000000008</v>
      </c>
      <c r="Z26" s="68">
        <v>9.5240030000000004</v>
      </c>
      <c r="AA26" s="68">
        <v>10.041880000000001</v>
      </c>
      <c r="AB26" s="68">
        <v>10.58123</v>
      </c>
      <c r="AC26" s="68">
        <v>11.160612</v>
      </c>
      <c r="AD26" s="68">
        <v>11.772819999999999</v>
      </c>
      <c r="AE26" s="68">
        <v>12.428053</v>
      </c>
      <c r="AF26" s="68">
        <v>13.153333999999999</v>
      </c>
      <c r="AG26" s="71">
        <v>4.0534000000000001E-2</v>
      </c>
      <c r="AH26">
        <v>6.5260220000000002</v>
      </c>
      <c r="AI26">
        <v>6.844849</v>
      </c>
      <c r="AJ26" s="22">
        <v>5.8000000000000003E-2</v>
      </c>
    </row>
    <row r="27" spans="1:36" ht="48.75">
      <c r="A27" s="39" t="s">
        <v>2193</v>
      </c>
      <c r="B27" s="67" t="s">
        <v>2181</v>
      </c>
      <c r="C27" s="68">
        <v>268.642517</v>
      </c>
      <c r="D27" s="68">
        <v>268.125092</v>
      </c>
      <c r="E27" s="68">
        <v>264.92746</v>
      </c>
      <c r="F27" s="68">
        <v>260.09613000000002</v>
      </c>
      <c r="G27" s="68">
        <v>256.220215</v>
      </c>
      <c r="H27" s="68">
        <v>253.049271</v>
      </c>
      <c r="I27" s="68">
        <v>251.487122</v>
      </c>
      <c r="J27" s="68">
        <v>251.19589199999999</v>
      </c>
      <c r="K27" s="68">
        <v>251.62777700000001</v>
      </c>
      <c r="L27" s="68">
        <v>252.52041600000001</v>
      </c>
      <c r="M27" s="68">
        <v>253.80427599999999</v>
      </c>
      <c r="N27" s="68">
        <v>255.89063999999999</v>
      </c>
      <c r="O27" s="68">
        <v>258.78051799999997</v>
      </c>
      <c r="P27" s="68">
        <v>261.80850199999998</v>
      </c>
      <c r="Q27" s="68">
        <v>264.92379799999998</v>
      </c>
      <c r="R27" s="68">
        <v>268.29809599999999</v>
      </c>
      <c r="S27" s="68">
        <v>272.10479700000002</v>
      </c>
      <c r="T27" s="68">
        <v>275.93069500000001</v>
      </c>
      <c r="U27" s="68">
        <v>279.81314099999997</v>
      </c>
      <c r="V27" s="68">
        <v>283.46228000000002</v>
      </c>
      <c r="W27" s="68">
        <v>287.533051</v>
      </c>
      <c r="X27" s="68">
        <v>291.597443</v>
      </c>
      <c r="Y27" s="68">
        <v>296.498627</v>
      </c>
      <c r="Z27" s="68">
        <v>301.61779799999999</v>
      </c>
      <c r="AA27" s="68">
        <v>306.76580799999999</v>
      </c>
      <c r="AB27" s="68">
        <v>312.85644500000001</v>
      </c>
      <c r="AC27" s="68">
        <v>317.753174</v>
      </c>
      <c r="AD27" s="68">
        <v>322.09628300000003</v>
      </c>
      <c r="AE27" s="68">
        <v>326.56167599999998</v>
      </c>
      <c r="AF27" s="68">
        <v>331.52713</v>
      </c>
      <c r="AG27" s="71">
        <v>7.2789999999999999E-3</v>
      </c>
      <c r="AH27">
        <v>3.1706829999999999</v>
      </c>
      <c r="AI27">
        <v>3.3523640000000001</v>
      </c>
      <c r="AJ27" s="22">
        <v>2.5999999999999999E-2</v>
      </c>
    </row>
    <row r="28" spans="1:36">
      <c r="A28" s="39" t="s">
        <v>2194</v>
      </c>
      <c r="B28" s="67" t="s">
        <v>2185</v>
      </c>
      <c r="C28" s="68">
        <v>0.17543500000000001</v>
      </c>
      <c r="D28" s="68">
        <v>0.34534700000000002</v>
      </c>
      <c r="E28" s="68">
        <v>0.50648599999999999</v>
      </c>
      <c r="F28" s="68">
        <v>0.65390000000000004</v>
      </c>
      <c r="G28" s="68">
        <v>0.78983499999999995</v>
      </c>
      <c r="H28" s="68">
        <v>0.92176800000000003</v>
      </c>
      <c r="I28" s="68">
        <v>1.0287200000000001</v>
      </c>
      <c r="J28" s="68">
        <v>1.1073219999999999</v>
      </c>
      <c r="K28" s="68">
        <v>1.1855770000000001</v>
      </c>
      <c r="L28" s="68">
        <v>1.2613510000000001</v>
      </c>
      <c r="M28" s="68">
        <v>1.335191</v>
      </c>
      <c r="N28" s="68">
        <v>1.4077059999999999</v>
      </c>
      <c r="O28" s="68">
        <v>1.4807189999999999</v>
      </c>
      <c r="P28" s="68">
        <v>1.5540639999999999</v>
      </c>
      <c r="Q28" s="68">
        <v>1.6282369999999999</v>
      </c>
      <c r="R28" s="68">
        <v>1.7046889999999999</v>
      </c>
      <c r="S28" s="68">
        <v>1.7853129999999999</v>
      </c>
      <c r="T28" s="68">
        <v>1.868547</v>
      </c>
      <c r="U28" s="68">
        <v>1.9531689999999999</v>
      </c>
      <c r="V28" s="68">
        <v>2.0406149999999998</v>
      </c>
      <c r="W28" s="68">
        <v>2.1317349999999999</v>
      </c>
      <c r="X28" s="68">
        <v>2.2261380000000002</v>
      </c>
      <c r="Y28" s="68">
        <v>2.3222649999999998</v>
      </c>
      <c r="Z28" s="68">
        <v>2.418539</v>
      </c>
      <c r="AA28" s="68">
        <v>2.5175900000000002</v>
      </c>
      <c r="AB28" s="68">
        <v>2.6219100000000002</v>
      </c>
      <c r="AC28" s="68">
        <v>2.7263829999999998</v>
      </c>
      <c r="AD28" s="68">
        <v>2.8311959999999998</v>
      </c>
      <c r="AE28" s="68">
        <v>2.9450440000000002</v>
      </c>
      <c r="AF28" s="68">
        <v>3.0714039999999998</v>
      </c>
      <c r="AG28" s="71">
        <v>0.10374700000000001</v>
      </c>
      <c r="AH28">
        <v>0.39459899999999998</v>
      </c>
      <c r="AI28">
        <v>0.41319299999999998</v>
      </c>
      <c r="AJ28" s="22">
        <v>0.06</v>
      </c>
    </row>
    <row r="29" spans="1:36" ht="72.75">
      <c r="A29" s="39" t="s">
        <v>2195</v>
      </c>
      <c r="B29" s="67" t="s">
        <v>2183</v>
      </c>
      <c r="C29" s="68">
        <v>1.0068790000000001</v>
      </c>
      <c r="D29" s="68">
        <v>0.99420200000000003</v>
      </c>
      <c r="E29" s="68">
        <v>1.0079629999999999</v>
      </c>
      <c r="F29" s="68">
        <v>1.007701</v>
      </c>
      <c r="G29" s="68">
        <v>0.97740000000000005</v>
      </c>
      <c r="H29" s="68">
        <v>0.939724</v>
      </c>
      <c r="I29" s="68">
        <v>0.89875899999999997</v>
      </c>
      <c r="J29" s="68">
        <v>0.858267</v>
      </c>
      <c r="K29" s="68">
        <v>0.82132300000000003</v>
      </c>
      <c r="L29" s="68">
        <v>0.78721799999999997</v>
      </c>
      <c r="M29" s="68">
        <v>0.75648499999999996</v>
      </c>
      <c r="N29" s="68">
        <v>0.73018499999999997</v>
      </c>
      <c r="O29" s="68">
        <v>0.708314</v>
      </c>
      <c r="P29" s="68">
        <v>0.69103800000000004</v>
      </c>
      <c r="Q29" s="68">
        <v>0.67702799999999996</v>
      </c>
      <c r="R29" s="68">
        <v>0.66500700000000001</v>
      </c>
      <c r="S29" s="68">
        <v>0.65533399999999997</v>
      </c>
      <c r="T29" s="68">
        <v>0.64680300000000002</v>
      </c>
      <c r="U29" s="68">
        <v>0.64005699999999999</v>
      </c>
      <c r="V29" s="68">
        <v>0.63469399999999998</v>
      </c>
      <c r="W29" s="68">
        <v>0.63115100000000002</v>
      </c>
      <c r="X29" s="68">
        <v>0.62939599999999996</v>
      </c>
      <c r="Y29" s="68">
        <v>0.62889499999999998</v>
      </c>
      <c r="Z29" s="68">
        <v>0.62921099999999996</v>
      </c>
      <c r="AA29" s="68">
        <v>0.63126599999999999</v>
      </c>
      <c r="AB29" s="68">
        <v>0.63462499999999999</v>
      </c>
      <c r="AC29" s="68">
        <v>0.63616200000000001</v>
      </c>
      <c r="AD29" s="68">
        <v>0.64023300000000005</v>
      </c>
      <c r="AE29" s="68">
        <v>0.64914099999999997</v>
      </c>
      <c r="AF29" s="68">
        <v>0.66471599999999997</v>
      </c>
      <c r="AG29" s="71">
        <v>-1.4217E-2</v>
      </c>
      <c r="AH29">
        <v>5.6316069999999998</v>
      </c>
      <c r="AI29">
        <v>5.9356090000000004</v>
      </c>
      <c r="AJ29" s="22">
        <v>0.128</v>
      </c>
    </row>
    <row r="30" spans="1:36" ht="24.75">
      <c r="A30" s="39" t="s">
        <v>2196</v>
      </c>
      <c r="B30" s="67" t="s">
        <v>2187</v>
      </c>
      <c r="C30" s="68">
        <v>5.9900000000000003E-4</v>
      </c>
      <c r="D30" s="68">
        <v>1.165E-3</v>
      </c>
      <c r="E30" s="68">
        <v>1.684E-3</v>
      </c>
      <c r="F30" s="68">
        <v>2.1419999999999998E-3</v>
      </c>
      <c r="G30" s="68">
        <v>2.5490000000000001E-3</v>
      </c>
      <c r="H30" s="68">
        <v>2.9290000000000002E-3</v>
      </c>
      <c r="I30" s="68">
        <v>3.2179999999999999E-3</v>
      </c>
      <c r="J30" s="68">
        <v>3.3960000000000001E-3</v>
      </c>
      <c r="K30" s="68">
        <v>3.5660000000000002E-3</v>
      </c>
      <c r="L30" s="68">
        <v>3.7239999999999999E-3</v>
      </c>
      <c r="M30" s="68">
        <v>3.869E-3</v>
      </c>
      <c r="N30" s="68">
        <v>4.0029999999999996E-3</v>
      </c>
      <c r="O30" s="68">
        <v>4.1310000000000001E-3</v>
      </c>
      <c r="P30" s="68">
        <v>4.2519999999999997E-3</v>
      </c>
      <c r="Q30" s="68">
        <v>4.3660000000000001E-3</v>
      </c>
      <c r="R30" s="68">
        <v>4.4759999999999999E-3</v>
      </c>
      <c r="S30" s="68">
        <v>4.5859999999999998E-3</v>
      </c>
      <c r="T30" s="68">
        <v>4.6909999999999999E-3</v>
      </c>
      <c r="U30" s="68">
        <v>4.79E-3</v>
      </c>
      <c r="V30" s="68">
        <v>4.8849999999999996E-3</v>
      </c>
      <c r="W30" s="68">
        <v>4.9810000000000002E-3</v>
      </c>
      <c r="X30" s="68">
        <v>5.0769999999999999E-3</v>
      </c>
      <c r="Y30" s="68">
        <v>5.1710000000000002E-3</v>
      </c>
      <c r="Z30" s="68">
        <v>5.2579999999999997E-3</v>
      </c>
      <c r="AA30" s="68">
        <v>5.3449999999999999E-3</v>
      </c>
      <c r="AB30" s="68">
        <v>5.4349999999999997E-3</v>
      </c>
      <c r="AC30" s="68">
        <v>5.5189999999999996E-3</v>
      </c>
      <c r="AD30" s="68">
        <v>5.5950000000000001E-3</v>
      </c>
      <c r="AE30" s="68">
        <v>5.6800000000000002E-3</v>
      </c>
      <c r="AF30" s="68">
        <v>5.7790000000000003E-3</v>
      </c>
      <c r="AG30" s="71">
        <v>8.1298999999999996E-2</v>
      </c>
      <c r="AH30">
        <v>435.12530500000003</v>
      </c>
      <c r="AI30">
        <v>437.26293900000002</v>
      </c>
      <c r="AJ30" s="22">
        <v>-2E-3</v>
      </c>
    </row>
    <row r="31" spans="1:36">
      <c r="A31" s="39" t="s">
        <v>2197</v>
      </c>
      <c r="B31" s="67" t="s">
        <v>2189</v>
      </c>
      <c r="C31" s="68">
        <v>0</v>
      </c>
      <c r="D31" s="68">
        <v>0</v>
      </c>
      <c r="E31" s="68">
        <v>0</v>
      </c>
      <c r="F31" s="68">
        <v>0</v>
      </c>
      <c r="G31" s="68">
        <v>0</v>
      </c>
      <c r="H31" s="68">
        <v>0</v>
      </c>
      <c r="I31" s="68">
        <v>0</v>
      </c>
      <c r="J31" s="68">
        <v>0</v>
      </c>
      <c r="K31" s="68">
        <v>0</v>
      </c>
      <c r="L31" s="68">
        <v>0</v>
      </c>
      <c r="M31" s="68">
        <v>0</v>
      </c>
      <c r="N31" s="68">
        <v>0</v>
      </c>
      <c r="O31" s="68">
        <v>0</v>
      </c>
      <c r="P31" s="68">
        <v>0</v>
      </c>
      <c r="Q31" s="68">
        <v>0</v>
      </c>
      <c r="R31" s="68">
        <v>0</v>
      </c>
      <c r="S31" s="68">
        <v>0</v>
      </c>
      <c r="T31" s="68">
        <v>0</v>
      </c>
      <c r="U31" s="68">
        <v>0</v>
      </c>
      <c r="V31" s="68">
        <v>0</v>
      </c>
      <c r="W31" s="68">
        <v>0</v>
      </c>
      <c r="X31" s="68">
        <v>0</v>
      </c>
      <c r="Y31" s="68">
        <v>0</v>
      </c>
      <c r="Z31" s="68">
        <v>0</v>
      </c>
      <c r="AA31" s="68">
        <v>0</v>
      </c>
      <c r="AB31" s="68">
        <v>0</v>
      </c>
      <c r="AC31" s="68">
        <v>0</v>
      </c>
      <c r="AD31" s="68">
        <v>0</v>
      </c>
      <c r="AE31" s="68">
        <v>0</v>
      </c>
      <c r="AF31" s="68">
        <v>0</v>
      </c>
      <c r="AG31" s="71" t="s">
        <v>2198</v>
      </c>
      <c r="AH31">
        <v>248.602814</v>
      </c>
      <c r="AI31">
        <v>244.09139999999999</v>
      </c>
      <c r="AJ31" s="22">
        <v>-2.1999999999999999E-2</v>
      </c>
    </row>
    <row r="32" spans="1:36">
      <c r="A32" s="9"/>
      <c r="B32" s="9"/>
      <c r="C32" s="9"/>
      <c r="D32" s="9"/>
      <c r="E32" s="9"/>
      <c r="F32" s="9"/>
      <c r="G32" s="9"/>
      <c r="H32" s="9"/>
      <c r="I32" s="9"/>
      <c r="J32" s="9"/>
      <c r="K32" s="9"/>
      <c r="L32" s="9"/>
      <c r="M32" s="9"/>
      <c r="N32" s="9"/>
      <c r="O32" s="9"/>
      <c r="P32" s="9"/>
      <c r="Q32" s="9"/>
      <c r="R32" s="9"/>
      <c r="S32" s="9"/>
      <c r="T32" s="9"/>
      <c r="U32" s="9"/>
      <c r="V32" s="9"/>
      <c r="W32" s="9"/>
      <c r="X32" s="9"/>
      <c r="Y32" s="9"/>
      <c r="Z32" s="9"/>
      <c r="AA32" s="9"/>
      <c r="AB32" s="9"/>
      <c r="AC32" s="9"/>
      <c r="AD32" s="9"/>
      <c r="AE32" s="9"/>
      <c r="AF32" s="9"/>
      <c r="AG32" s="9"/>
      <c r="AH32">
        <v>0</v>
      </c>
      <c r="AI32">
        <v>0</v>
      </c>
      <c r="AJ32" t="s">
        <v>111</v>
      </c>
    </row>
    <row r="33" spans="1:36" ht="24.75">
      <c r="A33" s="39" t="s">
        <v>2199</v>
      </c>
      <c r="B33" s="66" t="s">
        <v>2200</v>
      </c>
      <c r="C33" s="69">
        <v>5569.2719729999999</v>
      </c>
      <c r="D33" s="69">
        <v>5649.5097660000001</v>
      </c>
      <c r="E33" s="69">
        <v>5670.9580079999996</v>
      </c>
      <c r="F33" s="69">
        <v>5665.5717770000001</v>
      </c>
      <c r="G33" s="69">
        <v>5658.5766599999997</v>
      </c>
      <c r="H33" s="69">
        <v>5631.4038090000004</v>
      </c>
      <c r="I33" s="69">
        <v>5582.7319340000004</v>
      </c>
      <c r="J33" s="69">
        <v>5544.029297</v>
      </c>
      <c r="K33" s="69">
        <v>5507.4682620000003</v>
      </c>
      <c r="L33" s="69">
        <v>5466.3779299999997</v>
      </c>
      <c r="M33" s="69">
        <v>5425.6215819999998</v>
      </c>
      <c r="N33" s="69">
        <v>5390.0795900000003</v>
      </c>
      <c r="O33" s="69">
        <v>5360.4155270000001</v>
      </c>
      <c r="P33" s="69">
        <v>5334.1704099999997</v>
      </c>
      <c r="Q33" s="69">
        <v>5316.8237300000001</v>
      </c>
      <c r="R33" s="69">
        <v>5305.4541019999997</v>
      </c>
      <c r="S33" s="69">
        <v>5305.1635740000002</v>
      </c>
      <c r="T33" s="69">
        <v>5310.3725590000004</v>
      </c>
      <c r="U33" s="69">
        <v>5318.4970700000003</v>
      </c>
      <c r="V33" s="69">
        <v>5330.435547</v>
      </c>
      <c r="W33" s="69">
        <v>5350.3930659999996</v>
      </c>
      <c r="X33" s="69">
        <v>5378.455078</v>
      </c>
      <c r="Y33" s="69">
        <v>5406.6201170000004</v>
      </c>
      <c r="Z33" s="69">
        <v>5437.1547849999997</v>
      </c>
      <c r="AA33" s="69">
        <v>5469.4423829999996</v>
      </c>
      <c r="AB33" s="69">
        <v>5506.4965819999998</v>
      </c>
      <c r="AC33" s="69">
        <v>5534.533203</v>
      </c>
      <c r="AD33" s="69">
        <v>5554.2827150000003</v>
      </c>
      <c r="AE33" s="69">
        <v>5588.216797</v>
      </c>
      <c r="AF33" s="69">
        <v>5636.1411129999997</v>
      </c>
      <c r="AG33" s="72">
        <v>4.1199999999999999E-4</v>
      </c>
      <c r="AH33">
        <v>0</v>
      </c>
      <c r="AI33">
        <v>0</v>
      </c>
      <c r="AJ33" t="s">
        <v>111</v>
      </c>
    </row>
    <row r="34" spans="1:36" ht="24.75">
      <c r="A34" s="39" t="s">
        <v>2201</v>
      </c>
      <c r="B34" s="67" t="s">
        <v>2202</v>
      </c>
      <c r="C34" s="68">
        <v>542.42627000000005</v>
      </c>
      <c r="D34" s="68">
        <v>542.14465299999995</v>
      </c>
      <c r="E34" s="68">
        <v>538.33727999999996</v>
      </c>
      <c r="F34" s="68">
        <v>534.45135500000004</v>
      </c>
      <c r="G34" s="68">
        <v>532.07110599999999</v>
      </c>
      <c r="H34" s="68">
        <v>530.26318400000002</v>
      </c>
      <c r="I34" s="68">
        <v>528.99560499999995</v>
      </c>
      <c r="J34" s="68">
        <v>531.24078399999996</v>
      </c>
      <c r="K34" s="68">
        <v>535.62042199999996</v>
      </c>
      <c r="L34" s="68">
        <v>540.57415800000001</v>
      </c>
      <c r="M34" s="68">
        <v>546.10522500000002</v>
      </c>
      <c r="N34" s="68">
        <v>553.47820999999999</v>
      </c>
      <c r="O34" s="68">
        <v>561.97143600000004</v>
      </c>
      <c r="P34" s="68">
        <v>571.28845200000001</v>
      </c>
      <c r="Q34" s="68">
        <v>581.83612100000005</v>
      </c>
      <c r="R34" s="68">
        <v>593.38824499999998</v>
      </c>
      <c r="S34" s="68">
        <v>607.09887700000002</v>
      </c>
      <c r="T34" s="68">
        <v>620.73406999999997</v>
      </c>
      <c r="U34" s="68">
        <v>635.69976799999995</v>
      </c>
      <c r="V34" s="68">
        <v>651.12866199999996</v>
      </c>
      <c r="W34" s="68">
        <v>668.65380900000002</v>
      </c>
      <c r="X34" s="68">
        <v>687.60571300000004</v>
      </c>
      <c r="Y34" s="68">
        <v>706.99609399999997</v>
      </c>
      <c r="Z34" s="68">
        <v>727.34741199999996</v>
      </c>
      <c r="AA34" s="68">
        <v>748.41870100000006</v>
      </c>
      <c r="AB34" s="68">
        <v>770.70361300000002</v>
      </c>
      <c r="AC34" s="68">
        <v>792.29974400000003</v>
      </c>
      <c r="AD34" s="68">
        <v>813.28997800000002</v>
      </c>
      <c r="AE34" s="68">
        <v>836.60589600000003</v>
      </c>
      <c r="AF34" s="68">
        <v>861.77056900000002</v>
      </c>
      <c r="AG34" s="71">
        <v>1.6091000000000001E-2</v>
      </c>
      <c r="AH34">
        <v>186.522491</v>
      </c>
      <c r="AI34">
        <v>193.17152400000001</v>
      </c>
      <c r="AJ34" s="22">
        <v>0.182</v>
      </c>
    </row>
    <row r="35" spans="1:36" ht="48.75">
      <c r="A35" s="39" t="s">
        <v>2203</v>
      </c>
      <c r="B35" s="67" t="s">
        <v>2181</v>
      </c>
      <c r="C35" s="68">
        <v>4976.689453</v>
      </c>
      <c r="D35" s="68">
        <v>5055.3876950000003</v>
      </c>
      <c r="E35" s="68">
        <v>5079.8876950000003</v>
      </c>
      <c r="F35" s="68">
        <v>5078.1098629999997</v>
      </c>
      <c r="G35" s="68">
        <v>5073.4624020000001</v>
      </c>
      <c r="H35" s="68">
        <v>5048.3701170000004</v>
      </c>
      <c r="I35" s="68">
        <v>5001.4560549999997</v>
      </c>
      <c r="J35" s="68">
        <v>4960.8745120000003</v>
      </c>
      <c r="K35" s="68">
        <v>4920.2299800000001</v>
      </c>
      <c r="L35" s="68">
        <v>4874.4697269999997</v>
      </c>
      <c r="M35" s="68">
        <v>4828.3608400000003</v>
      </c>
      <c r="N35" s="68">
        <v>4785.4204099999997</v>
      </c>
      <c r="O35" s="68">
        <v>4746.9272460000002</v>
      </c>
      <c r="P35" s="68">
        <v>4710.8579099999997</v>
      </c>
      <c r="Q35" s="68">
        <v>4682.1533200000003</v>
      </c>
      <c r="R35" s="68">
        <v>4658.1376950000003</v>
      </c>
      <c r="S35" s="68">
        <v>4642.6943359999996</v>
      </c>
      <c r="T35" s="68">
        <v>4632.513672</v>
      </c>
      <c r="U35" s="68">
        <v>4623.5385740000002</v>
      </c>
      <c r="V35" s="68">
        <v>4617.484375</v>
      </c>
      <c r="W35" s="68">
        <v>4616.8857420000004</v>
      </c>
      <c r="X35" s="68">
        <v>4622.5307620000003</v>
      </c>
      <c r="Y35" s="68">
        <v>4627.5087890000004</v>
      </c>
      <c r="Z35" s="68">
        <v>4633.4614259999998</v>
      </c>
      <c r="AA35" s="68">
        <v>4639.9770509999998</v>
      </c>
      <c r="AB35" s="68">
        <v>4649.4360349999997</v>
      </c>
      <c r="AC35" s="68">
        <v>4650.1777339999999</v>
      </c>
      <c r="AD35" s="68">
        <v>4642.8535160000001</v>
      </c>
      <c r="AE35" s="68">
        <v>4646.4609380000002</v>
      </c>
      <c r="AF35" s="68">
        <v>4661.1557620000003</v>
      </c>
      <c r="AG35" s="71">
        <v>-2.2560000000000002E-3</v>
      </c>
      <c r="AH35">
        <v>46.348914999999998</v>
      </c>
      <c r="AI35">
        <v>46.08128</v>
      </c>
      <c r="AJ35" s="22">
        <v>-1.7000000000000001E-2</v>
      </c>
    </row>
    <row r="36" spans="1:36" ht="72.75">
      <c r="A36" s="39" t="s">
        <v>2204</v>
      </c>
      <c r="B36" s="67" t="s">
        <v>2183</v>
      </c>
      <c r="C36" s="68">
        <v>46.997394999999997</v>
      </c>
      <c r="D36" s="68">
        <v>48.367187999999999</v>
      </c>
      <c r="E36" s="68">
        <v>48.840888999999997</v>
      </c>
      <c r="F36" s="68">
        <v>48.741549999999997</v>
      </c>
      <c r="G36" s="68">
        <v>48.394592000000003</v>
      </c>
      <c r="H36" s="68">
        <v>47.769526999999997</v>
      </c>
      <c r="I36" s="68">
        <v>46.945366</v>
      </c>
      <c r="J36" s="68">
        <v>46.237301000000002</v>
      </c>
      <c r="K36" s="68">
        <v>45.587302999999999</v>
      </c>
      <c r="L36" s="68">
        <v>44.961219999999997</v>
      </c>
      <c r="M36" s="68">
        <v>44.450096000000002</v>
      </c>
      <c r="N36" s="68">
        <v>44.134995000000004</v>
      </c>
      <c r="O36" s="68">
        <v>44.093451999999999</v>
      </c>
      <c r="P36" s="68">
        <v>44.283028000000002</v>
      </c>
      <c r="Q36" s="68">
        <v>44.730705</v>
      </c>
      <c r="R36" s="68">
        <v>45.414245999999999</v>
      </c>
      <c r="S36" s="68">
        <v>46.434826000000001</v>
      </c>
      <c r="T36" s="68">
        <v>47.786712999999999</v>
      </c>
      <c r="U36" s="68">
        <v>49.478347999999997</v>
      </c>
      <c r="V36" s="68">
        <v>51.585850000000001</v>
      </c>
      <c r="W36" s="68">
        <v>54.127968000000003</v>
      </c>
      <c r="X36" s="68">
        <v>57.057158999999999</v>
      </c>
      <c r="Y36" s="68">
        <v>60.303584999999998</v>
      </c>
      <c r="Z36" s="68">
        <v>63.959395999999998</v>
      </c>
      <c r="AA36" s="68">
        <v>68.052475000000001</v>
      </c>
      <c r="AB36" s="68">
        <v>72.714104000000006</v>
      </c>
      <c r="AC36" s="68">
        <v>77.749099999999999</v>
      </c>
      <c r="AD36" s="68">
        <v>83.156768999999997</v>
      </c>
      <c r="AE36" s="68">
        <v>89.427291999999994</v>
      </c>
      <c r="AF36" s="68">
        <v>96.668953000000002</v>
      </c>
      <c r="AG36" s="71">
        <v>2.5180999999999999E-2</v>
      </c>
      <c r="AH36">
        <v>44.682087000000003</v>
      </c>
      <c r="AI36">
        <v>44.326450000000001</v>
      </c>
      <c r="AJ36" s="22">
        <v>-1.7000000000000001E-2</v>
      </c>
    </row>
    <row r="37" spans="1:36">
      <c r="A37" s="39" t="s">
        <v>2205</v>
      </c>
      <c r="B37" s="67" t="s">
        <v>2185</v>
      </c>
      <c r="C37" s="68">
        <v>1.3243100000000001</v>
      </c>
      <c r="D37" s="68">
        <v>1.516086</v>
      </c>
      <c r="E37" s="68">
        <v>1.6933130000000001</v>
      </c>
      <c r="F37" s="68">
        <v>1.8586180000000001</v>
      </c>
      <c r="G37" s="68">
        <v>2.019209</v>
      </c>
      <c r="H37" s="68">
        <v>2.1709540000000001</v>
      </c>
      <c r="I37" s="68">
        <v>2.309936</v>
      </c>
      <c r="J37" s="68">
        <v>2.4498190000000002</v>
      </c>
      <c r="K37" s="68">
        <v>2.5863390000000002</v>
      </c>
      <c r="L37" s="68">
        <v>2.7183259999999998</v>
      </c>
      <c r="M37" s="68">
        <v>2.8477730000000001</v>
      </c>
      <c r="N37" s="68">
        <v>2.9795199999999999</v>
      </c>
      <c r="O37" s="68">
        <v>3.1201539999999999</v>
      </c>
      <c r="P37" s="68">
        <v>3.2687210000000002</v>
      </c>
      <c r="Q37" s="68">
        <v>3.4208910000000001</v>
      </c>
      <c r="R37" s="68">
        <v>3.5789550000000001</v>
      </c>
      <c r="S37" s="68">
        <v>3.7479100000000001</v>
      </c>
      <c r="T37" s="68">
        <v>3.9238650000000002</v>
      </c>
      <c r="U37" s="68">
        <v>4.1086</v>
      </c>
      <c r="V37" s="68">
        <v>4.3069369999999996</v>
      </c>
      <c r="W37" s="68">
        <v>4.5213640000000002</v>
      </c>
      <c r="X37" s="68">
        <v>4.745323</v>
      </c>
      <c r="Y37" s="68">
        <v>4.9734220000000002</v>
      </c>
      <c r="Z37" s="68">
        <v>5.208405</v>
      </c>
      <c r="AA37" s="68">
        <v>5.4531479999999997</v>
      </c>
      <c r="AB37" s="68">
        <v>5.7137700000000002</v>
      </c>
      <c r="AC37" s="68">
        <v>5.9756749999999998</v>
      </c>
      <c r="AD37" s="68">
        <v>6.2400200000000003</v>
      </c>
      <c r="AE37" s="68">
        <v>6.5260220000000002</v>
      </c>
      <c r="AF37" s="68">
        <v>6.844849</v>
      </c>
      <c r="AG37" s="71">
        <v>5.8276000000000001E-2</v>
      </c>
      <c r="AH37">
        <v>0.232824</v>
      </c>
      <c r="AI37">
        <v>0.231458</v>
      </c>
      <c r="AJ37" s="22">
        <v>-6.7000000000000004E-2</v>
      </c>
    </row>
    <row r="38" spans="1:36">
      <c r="A38" s="39" t="s">
        <v>2206</v>
      </c>
      <c r="B38" s="67" t="s">
        <v>2207</v>
      </c>
      <c r="C38" s="68">
        <v>1.578584</v>
      </c>
      <c r="D38" s="68">
        <v>1.642083</v>
      </c>
      <c r="E38" s="68">
        <v>1.5531219999999999</v>
      </c>
      <c r="F38" s="68">
        <v>1.577604</v>
      </c>
      <c r="G38" s="68">
        <v>1.6098710000000001</v>
      </c>
      <c r="H38" s="68">
        <v>1.626797</v>
      </c>
      <c r="I38" s="68">
        <v>1.6437330000000001</v>
      </c>
      <c r="J38" s="68">
        <v>1.666846</v>
      </c>
      <c r="K38" s="68">
        <v>1.7018519999999999</v>
      </c>
      <c r="L38" s="68">
        <v>1.7316370000000001</v>
      </c>
      <c r="M38" s="68">
        <v>1.7555149999999999</v>
      </c>
      <c r="N38" s="68">
        <v>1.785379</v>
      </c>
      <c r="O38" s="68">
        <v>1.843507</v>
      </c>
      <c r="P38" s="68">
        <v>1.834945</v>
      </c>
      <c r="Q38" s="68">
        <v>1.8669020000000001</v>
      </c>
      <c r="R38" s="68">
        <v>1.9379169999999999</v>
      </c>
      <c r="S38" s="68">
        <v>2.0014780000000001</v>
      </c>
      <c r="T38" s="68">
        <v>2.0326149999999998</v>
      </c>
      <c r="U38" s="68">
        <v>2.0868359999999999</v>
      </c>
      <c r="V38" s="68">
        <v>2.1404719999999999</v>
      </c>
      <c r="W38" s="68">
        <v>2.2006700000000001</v>
      </c>
      <c r="X38" s="68">
        <v>2.2882199999999999</v>
      </c>
      <c r="Y38" s="68">
        <v>2.3784920000000001</v>
      </c>
      <c r="Z38" s="68">
        <v>2.4800369999999998</v>
      </c>
      <c r="AA38" s="68">
        <v>2.59565</v>
      </c>
      <c r="AB38" s="68">
        <v>2.7215060000000002</v>
      </c>
      <c r="AC38" s="68">
        <v>2.8599570000000001</v>
      </c>
      <c r="AD38" s="68">
        <v>3.007593</v>
      </c>
      <c r="AE38" s="68">
        <v>3.1706829999999999</v>
      </c>
      <c r="AF38" s="68">
        <v>3.3523640000000001</v>
      </c>
      <c r="AG38" s="71">
        <v>2.631E-2</v>
      </c>
      <c r="AH38">
        <v>0</v>
      </c>
      <c r="AI38">
        <v>0</v>
      </c>
      <c r="AJ38" t="s">
        <v>111</v>
      </c>
    </row>
    <row r="39" spans="1:36" ht="24.75">
      <c r="A39" s="39" t="s">
        <v>2208</v>
      </c>
      <c r="B39" s="67" t="s">
        <v>2187</v>
      </c>
      <c r="C39" s="68">
        <v>7.6537999999999995E-2</v>
      </c>
      <c r="D39" s="68">
        <v>9.0200000000000002E-2</v>
      </c>
      <c r="E39" s="68">
        <v>0.103405</v>
      </c>
      <c r="F39" s="68">
        <v>0.116059</v>
      </c>
      <c r="G39" s="68">
        <v>0.12839500000000001</v>
      </c>
      <c r="H39" s="68">
        <v>0.13988100000000001</v>
      </c>
      <c r="I39" s="68">
        <v>0.15033199999999999</v>
      </c>
      <c r="J39" s="68">
        <v>0.16052900000000001</v>
      </c>
      <c r="K39" s="68">
        <v>0.17016100000000001</v>
      </c>
      <c r="L39" s="68">
        <v>0.178865</v>
      </c>
      <c r="M39" s="68">
        <v>0.18687799999999999</v>
      </c>
      <c r="N39" s="68">
        <v>0.19444800000000001</v>
      </c>
      <c r="O39" s="68">
        <v>0.20161399999999999</v>
      </c>
      <c r="P39" s="68">
        <v>0.20866299999999999</v>
      </c>
      <c r="Q39" s="68">
        <v>0.216228</v>
      </c>
      <c r="R39" s="68">
        <v>0.22417000000000001</v>
      </c>
      <c r="S39" s="68">
        <v>0.233181</v>
      </c>
      <c r="T39" s="68">
        <v>0.24357799999999999</v>
      </c>
      <c r="U39" s="68">
        <v>0.25422600000000001</v>
      </c>
      <c r="V39" s="68">
        <v>0.26469500000000001</v>
      </c>
      <c r="W39" s="68">
        <v>0.27645700000000001</v>
      </c>
      <c r="X39" s="68">
        <v>0.28980699999999998</v>
      </c>
      <c r="Y39" s="68">
        <v>0.30384499999999998</v>
      </c>
      <c r="Z39" s="68">
        <v>0.31773099999999999</v>
      </c>
      <c r="AA39" s="68">
        <v>0.332038</v>
      </c>
      <c r="AB39" s="68">
        <v>0.34720000000000001</v>
      </c>
      <c r="AC39" s="68">
        <v>0.36238399999999998</v>
      </c>
      <c r="AD39" s="68">
        <v>0.377662</v>
      </c>
      <c r="AE39" s="68">
        <v>0.39459899999999998</v>
      </c>
      <c r="AF39" s="68">
        <v>0.41319299999999998</v>
      </c>
      <c r="AG39" s="71">
        <v>5.9866000000000003E-2</v>
      </c>
      <c r="AH39">
        <v>1.434007</v>
      </c>
      <c r="AI39">
        <v>1.5233730000000001</v>
      </c>
      <c r="AJ39" s="22">
        <v>4.3999999999999997E-2</v>
      </c>
    </row>
    <row r="40" spans="1:36">
      <c r="A40" s="39" t="s">
        <v>2209</v>
      </c>
      <c r="B40" s="67" t="s">
        <v>2189</v>
      </c>
      <c r="C40" s="68">
        <v>0.17952299999999999</v>
      </c>
      <c r="D40" s="68">
        <v>0.36213600000000001</v>
      </c>
      <c r="E40" s="68">
        <v>0.54206699999999997</v>
      </c>
      <c r="F40" s="68">
        <v>0.71720499999999998</v>
      </c>
      <c r="G40" s="68">
        <v>0.89110400000000001</v>
      </c>
      <c r="H40" s="68">
        <v>1.063266</v>
      </c>
      <c r="I40" s="68">
        <v>1.2310570000000001</v>
      </c>
      <c r="J40" s="68">
        <v>1.39991</v>
      </c>
      <c r="K40" s="68">
        <v>1.5718259999999999</v>
      </c>
      <c r="L40" s="68">
        <v>1.7439750000000001</v>
      </c>
      <c r="M40" s="68">
        <v>1.9156880000000001</v>
      </c>
      <c r="N40" s="68">
        <v>2.0870470000000001</v>
      </c>
      <c r="O40" s="68">
        <v>2.2583690000000001</v>
      </c>
      <c r="P40" s="68">
        <v>2.4285399999999999</v>
      </c>
      <c r="Q40" s="68">
        <v>2.5999759999999998</v>
      </c>
      <c r="R40" s="68">
        <v>2.7732060000000001</v>
      </c>
      <c r="S40" s="68">
        <v>2.952922</v>
      </c>
      <c r="T40" s="68">
        <v>3.1384370000000001</v>
      </c>
      <c r="U40" s="68">
        <v>3.3307549999999999</v>
      </c>
      <c r="V40" s="68">
        <v>3.5242749999999998</v>
      </c>
      <c r="W40" s="68">
        <v>3.726855</v>
      </c>
      <c r="X40" s="68">
        <v>3.9380709999999999</v>
      </c>
      <c r="Y40" s="68">
        <v>4.1557440000000003</v>
      </c>
      <c r="Z40" s="68">
        <v>4.3805110000000003</v>
      </c>
      <c r="AA40" s="68">
        <v>4.6136169999999996</v>
      </c>
      <c r="AB40" s="68">
        <v>4.8605869999999998</v>
      </c>
      <c r="AC40" s="68">
        <v>5.1085190000000003</v>
      </c>
      <c r="AD40" s="68">
        <v>5.3570710000000004</v>
      </c>
      <c r="AE40" s="68">
        <v>5.6316069999999998</v>
      </c>
      <c r="AF40" s="68">
        <v>5.9356090000000004</v>
      </c>
      <c r="AG40" s="71">
        <v>0.12821299999999999</v>
      </c>
      <c r="AH40">
        <v>879.32208300000002</v>
      </c>
      <c r="AI40">
        <v>880.51599099999999</v>
      </c>
      <c r="AJ40" s="22">
        <v>-2E-3</v>
      </c>
    </row>
    <row r="41" spans="1:36">
      <c r="A41" s="9"/>
      <c r="B41" s="9"/>
      <c r="C41" s="9"/>
      <c r="D41" s="9"/>
      <c r="E41" s="9"/>
      <c r="F41" s="9"/>
      <c r="G41" s="9"/>
      <c r="H41" s="9"/>
      <c r="I41" s="9"/>
      <c r="J41" s="9"/>
      <c r="K41" s="9"/>
      <c r="L41" s="9"/>
      <c r="M41" s="9"/>
      <c r="N41" s="9"/>
      <c r="O41" s="9"/>
      <c r="P41" s="9"/>
      <c r="Q41" s="9"/>
      <c r="R41" s="9"/>
      <c r="S41" s="9"/>
      <c r="T41" s="9"/>
      <c r="U41" s="9"/>
      <c r="V41" s="9"/>
      <c r="W41" s="9"/>
      <c r="X41" s="9"/>
      <c r="Y41" s="9"/>
      <c r="Z41" s="9"/>
      <c r="AA41" s="9"/>
      <c r="AB41" s="9"/>
      <c r="AC41" s="9"/>
      <c r="AD41" s="9"/>
      <c r="AE41" s="9"/>
      <c r="AF41" s="9"/>
      <c r="AG41" s="9"/>
      <c r="AH41">
        <v>334.09484900000001</v>
      </c>
      <c r="AI41">
        <v>334.64166299999999</v>
      </c>
      <c r="AJ41" s="22">
        <v>-2E-3</v>
      </c>
    </row>
    <row r="42" spans="1:36">
      <c r="A42" s="9"/>
      <c r="B42" s="9"/>
      <c r="C42" s="9"/>
      <c r="D42" s="9"/>
      <c r="E42" s="9"/>
      <c r="F42" s="9"/>
      <c r="G42" s="9"/>
      <c r="H42" s="9"/>
      <c r="I42" s="9"/>
      <c r="J42" s="9"/>
      <c r="K42" s="9"/>
      <c r="L42" s="9"/>
      <c r="M42" s="9"/>
      <c r="N42" s="9"/>
      <c r="O42" s="9"/>
      <c r="P42" s="9"/>
      <c r="Q42" s="9"/>
      <c r="R42" s="9"/>
      <c r="S42" s="9"/>
      <c r="T42" s="9"/>
      <c r="U42" s="9"/>
      <c r="V42" s="9"/>
      <c r="W42" s="9"/>
      <c r="X42" s="9"/>
      <c r="Y42" s="9"/>
      <c r="Z42" s="9"/>
      <c r="AA42" s="9"/>
      <c r="AB42" s="9"/>
      <c r="AC42" s="9"/>
      <c r="AD42" s="9"/>
      <c r="AE42" s="9"/>
      <c r="AF42" s="9"/>
      <c r="AG42" s="9"/>
      <c r="AH42">
        <v>447.15524299999998</v>
      </c>
      <c r="AI42">
        <v>448.565247</v>
      </c>
      <c r="AJ42" s="22">
        <v>-6.0000000000000001E-3</v>
      </c>
    </row>
    <row r="43" spans="1:36" ht="24.75">
      <c r="A43" s="39" t="s">
        <v>2210</v>
      </c>
      <c r="B43" s="66" t="s">
        <v>2211</v>
      </c>
      <c r="C43" s="69">
        <v>468.24883999999997</v>
      </c>
      <c r="D43" s="69">
        <v>471.07888800000001</v>
      </c>
      <c r="E43" s="69">
        <v>474.24130200000002</v>
      </c>
      <c r="F43" s="69">
        <v>442.51971400000002</v>
      </c>
      <c r="G43" s="69">
        <v>448.956726</v>
      </c>
      <c r="H43" s="69">
        <v>457.64755200000002</v>
      </c>
      <c r="I43" s="69">
        <v>456.70379600000001</v>
      </c>
      <c r="J43" s="69">
        <v>455.44903599999998</v>
      </c>
      <c r="K43" s="69">
        <v>453.94357300000001</v>
      </c>
      <c r="L43" s="69">
        <v>453.61090100000001</v>
      </c>
      <c r="M43" s="69">
        <v>453.71829200000002</v>
      </c>
      <c r="N43" s="69">
        <v>453.838257</v>
      </c>
      <c r="O43" s="69">
        <v>454.42358400000001</v>
      </c>
      <c r="P43" s="69">
        <v>449.776611</v>
      </c>
      <c r="Q43" s="69">
        <v>447.98791499999999</v>
      </c>
      <c r="R43" s="69">
        <v>443.34918199999998</v>
      </c>
      <c r="S43" s="69">
        <v>443.77777099999997</v>
      </c>
      <c r="T43" s="69">
        <v>443.31896999999998</v>
      </c>
      <c r="U43" s="69">
        <v>442.87756300000001</v>
      </c>
      <c r="V43" s="69">
        <v>441.743042</v>
      </c>
      <c r="W43" s="69">
        <v>441.236176</v>
      </c>
      <c r="X43" s="69">
        <v>441.40057400000001</v>
      </c>
      <c r="Y43" s="69">
        <v>440.00219700000002</v>
      </c>
      <c r="Z43" s="69">
        <v>438.087219</v>
      </c>
      <c r="AA43" s="69">
        <v>437.03344700000002</v>
      </c>
      <c r="AB43" s="69">
        <v>436.80850199999998</v>
      </c>
      <c r="AC43" s="69">
        <v>435.68884300000002</v>
      </c>
      <c r="AD43" s="69">
        <v>435.13897700000001</v>
      </c>
      <c r="AE43" s="69">
        <v>435.12530500000003</v>
      </c>
      <c r="AF43" s="69">
        <v>437.26293900000002</v>
      </c>
      <c r="AG43" s="72">
        <v>-2.3579999999999999E-3</v>
      </c>
      <c r="AH43">
        <v>0</v>
      </c>
      <c r="AI43">
        <v>0</v>
      </c>
      <c r="AJ43" t="s">
        <v>111</v>
      </c>
    </row>
    <row r="44" spans="1:36" ht="48.75">
      <c r="A44" s="39" t="s">
        <v>2212</v>
      </c>
      <c r="B44" s="67" t="s">
        <v>2181</v>
      </c>
      <c r="C44" s="68">
        <v>466.74658199999999</v>
      </c>
      <c r="D44" s="68">
        <v>468.05999800000001</v>
      </c>
      <c r="E44" s="68">
        <v>469.18505900000002</v>
      </c>
      <c r="F44" s="68">
        <v>435.459045</v>
      </c>
      <c r="G44" s="68">
        <v>437.88919099999998</v>
      </c>
      <c r="H44" s="68">
        <v>440.86505099999999</v>
      </c>
      <c r="I44" s="68">
        <v>433.00036599999999</v>
      </c>
      <c r="J44" s="68">
        <v>423.47860700000001</v>
      </c>
      <c r="K44" s="68">
        <v>412.46298200000001</v>
      </c>
      <c r="L44" s="68">
        <v>402.75726300000002</v>
      </c>
      <c r="M44" s="68">
        <v>393.64819299999999</v>
      </c>
      <c r="N44" s="68">
        <v>384.74282799999997</v>
      </c>
      <c r="O44" s="68">
        <v>376.411652</v>
      </c>
      <c r="P44" s="68">
        <v>364.013214</v>
      </c>
      <c r="Q44" s="68">
        <v>354.24575800000002</v>
      </c>
      <c r="R44" s="68">
        <v>342.53298999999998</v>
      </c>
      <c r="S44" s="68">
        <v>334.996399</v>
      </c>
      <c r="T44" s="68">
        <v>326.97082499999999</v>
      </c>
      <c r="U44" s="68">
        <v>319.149719</v>
      </c>
      <c r="V44" s="68">
        <v>311.02734400000003</v>
      </c>
      <c r="W44" s="68">
        <v>303.54150399999997</v>
      </c>
      <c r="X44" s="68">
        <v>296.68661500000002</v>
      </c>
      <c r="Y44" s="68">
        <v>288.96017499999999</v>
      </c>
      <c r="Z44" s="68">
        <v>281.100616</v>
      </c>
      <c r="AA44" s="68">
        <v>273.98956299999998</v>
      </c>
      <c r="AB44" s="68">
        <v>267.56451399999997</v>
      </c>
      <c r="AC44" s="68">
        <v>260.75457799999998</v>
      </c>
      <c r="AD44" s="68">
        <v>254.449524</v>
      </c>
      <c r="AE44" s="68">
        <v>248.602814</v>
      </c>
      <c r="AF44" s="68">
        <v>244.09139999999999</v>
      </c>
      <c r="AG44" s="71">
        <v>-2.2105E-2</v>
      </c>
      <c r="AH44">
        <v>98.071976000000006</v>
      </c>
      <c r="AI44">
        <v>97.309059000000005</v>
      </c>
      <c r="AJ44" s="22">
        <v>3.1E-2</v>
      </c>
    </row>
    <row r="45" spans="1:36" ht="24.75">
      <c r="A45" s="39" t="s">
        <v>2213</v>
      </c>
      <c r="B45" s="67" t="s">
        <v>2214</v>
      </c>
      <c r="C45" s="68">
        <v>0</v>
      </c>
      <c r="D45" s="68">
        <v>0</v>
      </c>
      <c r="E45" s="68">
        <v>0</v>
      </c>
      <c r="F45" s="68">
        <v>0</v>
      </c>
      <c r="G45" s="68">
        <v>0</v>
      </c>
      <c r="H45" s="68">
        <v>0</v>
      </c>
      <c r="I45" s="68">
        <v>0</v>
      </c>
      <c r="J45" s="68">
        <v>0</v>
      </c>
      <c r="K45" s="68">
        <v>0</v>
      </c>
      <c r="L45" s="68">
        <v>0</v>
      </c>
      <c r="M45" s="68">
        <v>0</v>
      </c>
      <c r="N45" s="68">
        <v>0</v>
      </c>
      <c r="O45" s="68">
        <v>0</v>
      </c>
      <c r="P45" s="68">
        <v>0</v>
      </c>
      <c r="Q45" s="68">
        <v>0</v>
      </c>
      <c r="R45" s="68">
        <v>0</v>
      </c>
      <c r="S45" s="68">
        <v>0</v>
      </c>
      <c r="T45" s="68">
        <v>0</v>
      </c>
      <c r="U45" s="68">
        <v>0</v>
      </c>
      <c r="V45" s="68">
        <v>0</v>
      </c>
      <c r="W45" s="68">
        <v>0</v>
      </c>
      <c r="X45" s="68">
        <v>0</v>
      </c>
      <c r="Y45" s="68">
        <v>0</v>
      </c>
      <c r="Z45" s="68">
        <v>0</v>
      </c>
      <c r="AA45" s="68">
        <v>0</v>
      </c>
      <c r="AB45" s="68">
        <v>0</v>
      </c>
      <c r="AC45" s="68">
        <v>0</v>
      </c>
      <c r="AD45" s="68">
        <v>0</v>
      </c>
      <c r="AE45" s="68">
        <v>0</v>
      </c>
      <c r="AF45" s="68">
        <v>0</v>
      </c>
      <c r="AG45" s="71" t="s">
        <v>2198</v>
      </c>
      <c r="AH45">
        <v>4144.0703119999998</v>
      </c>
      <c r="AI45">
        <v>4203.2158200000003</v>
      </c>
      <c r="AJ45" s="22">
        <v>2.1000000000000001E-2</v>
      </c>
    </row>
    <row r="46" spans="1:36" ht="60.75">
      <c r="A46" s="39" t="s">
        <v>2215</v>
      </c>
      <c r="B46" s="67" t="s">
        <v>2216</v>
      </c>
      <c r="C46" s="68">
        <v>0</v>
      </c>
      <c r="D46" s="68">
        <v>0</v>
      </c>
      <c r="E46" s="68">
        <v>0</v>
      </c>
      <c r="F46" s="68">
        <v>0</v>
      </c>
      <c r="G46" s="68">
        <v>0</v>
      </c>
      <c r="H46" s="68">
        <v>0</v>
      </c>
      <c r="I46" s="68">
        <v>0</v>
      </c>
      <c r="J46" s="68">
        <v>0</v>
      </c>
      <c r="K46" s="68">
        <v>0</v>
      </c>
      <c r="L46" s="68">
        <v>0</v>
      </c>
      <c r="M46" s="68">
        <v>0</v>
      </c>
      <c r="N46" s="68">
        <v>0</v>
      </c>
      <c r="O46" s="68">
        <v>0</v>
      </c>
      <c r="P46" s="68">
        <v>0</v>
      </c>
      <c r="Q46" s="68">
        <v>0</v>
      </c>
      <c r="R46" s="68">
        <v>0</v>
      </c>
      <c r="S46" s="68">
        <v>0</v>
      </c>
      <c r="T46" s="68">
        <v>0</v>
      </c>
      <c r="U46" s="68">
        <v>0</v>
      </c>
      <c r="V46" s="68">
        <v>0</v>
      </c>
      <c r="W46" s="68">
        <v>0</v>
      </c>
      <c r="X46" s="68">
        <v>0</v>
      </c>
      <c r="Y46" s="68">
        <v>0</v>
      </c>
      <c r="Z46" s="68">
        <v>0</v>
      </c>
      <c r="AA46" s="68">
        <v>0</v>
      </c>
      <c r="AB46" s="68">
        <v>0</v>
      </c>
      <c r="AC46" s="68">
        <v>0</v>
      </c>
      <c r="AD46" s="68">
        <v>0</v>
      </c>
      <c r="AE46" s="68">
        <v>0</v>
      </c>
      <c r="AF46" s="68">
        <v>0</v>
      </c>
      <c r="AG46" s="71" t="s">
        <v>2198</v>
      </c>
      <c r="AH46">
        <v>4121.7119140000004</v>
      </c>
      <c r="AI46">
        <v>4180.857422</v>
      </c>
      <c r="AJ46" s="22">
        <v>2.1000000000000001E-2</v>
      </c>
    </row>
    <row r="47" spans="1:36" ht="48.75">
      <c r="A47" s="39" t="s">
        <v>2217</v>
      </c>
      <c r="B47" s="67" t="s">
        <v>2218</v>
      </c>
      <c r="C47" s="68">
        <v>1.502254</v>
      </c>
      <c r="D47" s="68">
        <v>3.018894</v>
      </c>
      <c r="E47" s="68">
        <v>5.0562379999999996</v>
      </c>
      <c r="F47" s="68">
        <v>7.0606559999999998</v>
      </c>
      <c r="G47" s="68">
        <v>11.067543000000001</v>
      </c>
      <c r="H47" s="68">
        <v>16.782509000000001</v>
      </c>
      <c r="I47" s="68">
        <v>23.703420999999999</v>
      </c>
      <c r="J47" s="68">
        <v>31.97044</v>
      </c>
      <c r="K47" s="68">
        <v>41.480578999999999</v>
      </c>
      <c r="L47" s="68">
        <v>50.853653000000001</v>
      </c>
      <c r="M47" s="68">
        <v>60.070095000000002</v>
      </c>
      <c r="N47" s="68">
        <v>69.095436000000007</v>
      </c>
      <c r="O47" s="68">
        <v>78.011948000000004</v>
      </c>
      <c r="P47" s="68">
        <v>85.763396999999998</v>
      </c>
      <c r="Q47" s="68">
        <v>93.742142000000001</v>
      </c>
      <c r="R47" s="68">
        <v>100.816208</v>
      </c>
      <c r="S47" s="68">
        <v>108.78138</v>
      </c>
      <c r="T47" s="68">
        <v>116.348152</v>
      </c>
      <c r="U47" s="68">
        <v>123.727859</v>
      </c>
      <c r="V47" s="68">
        <v>130.71568300000001</v>
      </c>
      <c r="W47" s="68">
        <v>137.694672</v>
      </c>
      <c r="X47" s="68">
        <v>144.713943</v>
      </c>
      <c r="Y47" s="68">
        <v>151.04200700000001</v>
      </c>
      <c r="Z47" s="68">
        <v>156.98658800000001</v>
      </c>
      <c r="AA47" s="68">
        <v>163.04388399999999</v>
      </c>
      <c r="AB47" s="68">
        <v>169.243988</v>
      </c>
      <c r="AC47" s="68">
        <v>174.93424999999999</v>
      </c>
      <c r="AD47" s="68">
        <v>180.68945299999999</v>
      </c>
      <c r="AE47" s="68">
        <v>186.522491</v>
      </c>
      <c r="AF47" s="68">
        <v>193.17152400000001</v>
      </c>
      <c r="AG47" s="71">
        <v>0.182309</v>
      </c>
      <c r="AH47">
        <v>22.358381000000001</v>
      </c>
      <c r="AI47">
        <v>22.358315000000001</v>
      </c>
      <c r="AJ47" s="22">
        <v>0</v>
      </c>
    </row>
    <row r="48" spans="1:36">
      <c r="A48" s="9"/>
      <c r="B48" s="9"/>
      <c r="C48" s="9"/>
      <c r="D48" s="9"/>
      <c r="E48" s="9"/>
      <c r="F48" s="9"/>
      <c r="G48" s="9"/>
      <c r="H48" s="9"/>
      <c r="I48" s="9"/>
      <c r="J48" s="9"/>
      <c r="K48" s="9"/>
      <c r="L48" s="9"/>
      <c r="M48" s="9"/>
      <c r="N48" s="9"/>
      <c r="O48" s="9"/>
      <c r="P48" s="9"/>
      <c r="Q48" s="9"/>
      <c r="R48" s="9"/>
      <c r="S48" s="9"/>
      <c r="T48" s="9"/>
      <c r="U48" s="9"/>
      <c r="V48" s="9"/>
      <c r="W48" s="9"/>
      <c r="X48" s="9"/>
      <c r="Y48" s="9"/>
      <c r="Z48" s="9"/>
      <c r="AA48" s="9"/>
      <c r="AB48" s="9"/>
      <c r="AC48" s="9"/>
      <c r="AD48" s="9"/>
      <c r="AE48" s="9"/>
      <c r="AF48" s="9"/>
      <c r="AG48" s="9"/>
      <c r="AH48">
        <v>554.37951699999996</v>
      </c>
      <c r="AI48">
        <v>554.70135500000004</v>
      </c>
      <c r="AJ48" s="22">
        <v>1E-3</v>
      </c>
    </row>
    <row r="49" spans="1:36" ht="24.75">
      <c r="A49" s="39" t="s">
        <v>2219</v>
      </c>
      <c r="B49" s="66" t="s">
        <v>150</v>
      </c>
      <c r="C49" s="69">
        <v>75.169692999999995</v>
      </c>
      <c r="D49" s="69">
        <v>77.553368000000006</v>
      </c>
      <c r="E49" s="69">
        <v>76.937827999999996</v>
      </c>
      <c r="F49" s="69">
        <v>74.883780999999999</v>
      </c>
      <c r="G49" s="69">
        <v>73.008735999999999</v>
      </c>
      <c r="H49" s="69">
        <v>70.952270999999996</v>
      </c>
      <c r="I49" s="69">
        <v>68.639519000000007</v>
      </c>
      <c r="J49" s="69">
        <v>66.460136000000006</v>
      </c>
      <c r="K49" s="69">
        <v>64.220459000000005</v>
      </c>
      <c r="L49" s="69">
        <v>62.007294000000002</v>
      </c>
      <c r="M49" s="69">
        <v>60.828522</v>
      </c>
      <c r="N49" s="69">
        <v>59.650131000000002</v>
      </c>
      <c r="O49" s="69">
        <v>58.55489</v>
      </c>
      <c r="P49" s="69">
        <v>57.362952999999997</v>
      </c>
      <c r="Q49" s="69">
        <v>56.156143</v>
      </c>
      <c r="R49" s="69">
        <v>54.998362999999998</v>
      </c>
      <c r="S49" s="69">
        <v>53.933726999999998</v>
      </c>
      <c r="T49" s="69">
        <v>52.840007999999997</v>
      </c>
      <c r="U49" s="69">
        <v>51.828865</v>
      </c>
      <c r="V49" s="69">
        <v>50.803615999999998</v>
      </c>
      <c r="W49" s="69">
        <v>50.346043000000002</v>
      </c>
      <c r="X49" s="69">
        <v>49.869534000000002</v>
      </c>
      <c r="Y49" s="69">
        <v>49.358772000000002</v>
      </c>
      <c r="Z49" s="69">
        <v>48.884739000000003</v>
      </c>
      <c r="AA49" s="69">
        <v>48.413406000000002</v>
      </c>
      <c r="AB49" s="69">
        <v>47.972458000000003</v>
      </c>
      <c r="AC49" s="69">
        <v>47.419342</v>
      </c>
      <c r="AD49" s="69">
        <v>46.793990999999998</v>
      </c>
      <c r="AE49" s="69">
        <v>46.348914999999998</v>
      </c>
      <c r="AF49" s="69">
        <v>46.08128</v>
      </c>
      <c r="AG49" s="72">
        <v>-1.6732E-2</v>
      </c>
      <c r="AH49">
        <v>416.15707400000002</v>
      </c>
      <c r="AI49">
        <v>416.39840700000002</v>
      </c>
      <c r="AJ49" s="22">
        <v>1E-3</v>
      </c>
    </row>
    <row r="50" spans="1:36" ht="48.75">
      <c r="A50" s="39" t="s">
        <v>2220</v>
      </c>
      <c r="B50" s="67" t="s">
        <v>2181</v>
      </c>
      <c r="C50" s="68">
        <v>73.017257999999998</v>
      </c>
      <c r="D50" s="68">
        <v>75.437629999999999</v>
      </c>
      <c r="E50" s="68">
        <v>74.942642000000006</v>
      </c>
      <c r="F50" s="68">
        <v>72.962173000000007</v>
      </c>
      <c r="G50" s="68">
        <v>71.154540999999995</v>
      </c>
      <c r="H50" s="68">
        <v>69.167182999999994</v>
      </c>
      <c r="I50" s="68">
        <v>66.929717999999994</v>
      </c>
      <c r="J50" s="68">
        <v>64.821083000000002</v>
      </c>
      <c r="K50" s="68">
        <v>62.652237</v>
      </c>
      <c r="L50" s="68">
        <v>60.509067999999999</v>
      </c>
      <c r="M50" s="68">
        <v>59.375098999999999</v>
      </c>
      <c r="N50" s="68">
        <v>58.240456000000002</v>
      </c>
      <c r="O50" s="68">
        <v>57.186782999999998</v>
      </c>
      <c r="P50" s="68">
        <v>56.037548000000001</v>
      </c>
      <c r="Q50" s="68">
        <v>54.872925000000002</v>
      </c>
      <c r="R50" s="68">
        <v>53.753525000000003</v>
      </c>
      <c r="S50" s="68">
        <v>52.725825999999998</v>
      </c>
      <c r="T50" s="68">
        <v>51.671089000000002</v>
      </c>
      <c r="U50" s="68">
        <v>50.697575000000001</v>
      </c>
      <c r="V50" s="68">
        <v>49.681941999999999</v>
      </c>
      <c r="W50" s="68">
        <v>49.175784999999998</v>
      </c>
      <c r="X50" s="68">
        <v>48.648246999999998</v>
      </c>
      <c r="Y50" s="68">
        <v>48.084274000000001</v>
      </c>
      <c r="Z50" s="68">
        <v>47.552925000000002</v>
      </c>
      <c r="AA50" s="68">
        <v>47.020828000000002</v>
      </c>
      <c r="AB50" s="68">
        <v>46.514626</v>
      </c>
      <c r="AC50" s="68">
        <v>45.895980999999999</v>
      </c>
      <c r="AD50" s="68">
        <v>45.203902999999997</v>
      </c>
      <c r="AE50" s="68">
        <v>44.682087000000003</v>
      </c>
      <c r="AF50" s="68">
        <v>44.326450000000001</v>
      </c>
      <c r="AG50" s="71">
        <v>-1.7063999999999999E-2</v>
      </c>
      <c r="AH50">
        <v>19.085204999999998</v>
      </c>
      <c r="AI50">
        <v>19.096606999999999</v>
      </c>
      <c r="AJ50" s="22">
        <v>-2E-3</v>
      </c>
    </row>
    <row r="51" spans="1:36" ht="24.75">
      <c r="A51" s="39" t="s">
        <v>2221</v>
      </c>
      <c r="B51" s="67" t="s">
        <v>2222</v>
      </c>
      <c r="C51" s="68">
        <v>1.7114860000000001</v>
      </c>
      <c r="D51" s="68">
        <v>1.6128480000000001</v>
      </c>
      <c r="E51" s="68">
        <v>1.4495020000000001</v>
      </c>
      <c r="F51" s="68">
        <v>1.347504</v>
      </c>
      <c r="G51" s="68">
        <v>1.2532080000000001</v>
      </c>
      <c r="H51" s="68">
        <v>1.1653819999999999</v>
      </c>
      <c r="I51" s="68">
        <v>1.073898</v>
      </c>
      <c r="J51" s="68">
        <v>0.98857200000000001</v>
      </c>
      <c r="K51" s="68">
        <v>0.90627199999999997</v>
      </c>
      <c r="L51" s="68">
        <v>0.82484000000000002</v>
      </c>
      <c r="M51" s="68">
        <v>0.75754299999999997</v>
      </c>
      <c r="N51" s="68">
        <v>0.693527</v>
      </c>
      <c r="O51" s="68">
        <v>0.63092499999999996</v>
      </c>
      <c r="P51" s="68">
        <v>0.57072699999999998</v>
      </c>
      <c r="Q51" s="68">
        <v>0.513567</v>
      </c>
      <c r="R51" s="68">
        <v>0.465084</v>
      </c>
      <c r="S51" s="68">
        <v>0.41512900000000003</v>
      </c>
      <c r="T51" s="68">
        <v>0.36051800000000001</v>
      </c>
      <c r="U51" s="68">
        <v>0.304753</v>
      </c>
      <c r="V51" s="68">
        <v>0.25576300000000002</v>
      </c>
      <c r="W51" s="68">
        <v>0.25337700000000002</v>
      </c>
      <c r="X51" s="68">
        <v>0.25087799999999999</v>
      </c>
      <c r="Y51" s="68">
        <v>0.24824499999999999</v>
      </c>
      <c r="Z51" s="68">
        <v>0.24580399999999999</v>
      </c>
      <c r="AA51" s="68">
        <v>0.24337800000000001</v>
      </c>
      <c r="AB51" s="68">
        <v>0.24110400000000001</v>
      </c>
      <c r="AC51" s="68">
        <v>0.23829500000000001</v>
      </c>
      <c r="AD51" s="68">
        <v>0.23511299999999999</v>
      </c>
      <c r="AE51" s="68">
        <v>0.232824</v>
      </c>
      <c r="AF51" s="68">
        <v>0.231458</v>
      </c>
      <c r="AG51" s="71">
        <v>-6.6664000000000001E-2</v>
      </c>
      <c r="AH51">
        <v>119.13723</v>
      </c>
      <c r="AI51">
        <v>119.206306</v>
      </c>
      <c r="AJ51" s="22">
        <v>1E-3</v>
      </c>
    </row>
    <row r="52" spans="1:36" ht="60.75">
      <c r="A52" s="39" t="s">
        <v>2223</v>
      </c>
      <c r="B52" s="67" t="s">
        <v>2216</v>
      </c>
      <c r="C52" s="68">
        <v>0</v>
      </c>
      <c r="D52" s="68">
        <v>0</v>
      </c>
      <c r="E52" s="68">
        <v>0</v>
      </c>
      <c r="F52" s="68">
        <v>0</v>
      </c>
      <c r="G52" s="68">
        <v>0</v>
      </c>
      <c r="H52" s="68">
        <v>0</v>
      </c>
      <c r="I52" s="68">
        <v>0</v>
      </c>
      <c r="J52" s="68">
        <v>0</v>
      </c>
      <c r="K52" s="68">
        <v>0</v>
      </c>
      <c r="L52" s="68">
        <v>0</v>
      </c>
      <c r="M52" s="68">
        <v>0</v>
      </c>
      <c r="N52" s="68">
        <v>0</v>
      </c>
      <c r="O52" s="68">
        <v>0</v>
      </c>
      <c r="P52" s="68">
        <v>0</v>
      </c>
      <c r="Q52" s="68">
        <v>0</v>
      </c>
      <c r="R52" s="68">
        <v>0</v>
      </c>
      <c r="S52" s="68">
        <v>0</v>
      </c>
      <c r="T52" s="68">
        <v>0</v>
      </c>
      <c r="U52" s="68">
        <v>0</v>
      </c>
      <c r="V52" s="68">
        <v>0</v>
      </c>
      <c r="W52" s="68">
        <v>0</v>
      </c>
      <c r="X52" s="68">
        <v>0</v>
      </c>
      <c r="Y52" s="68">
        <v>0</v>
      </c>
      <c r="Z52" s="68">
        <v>0</v>
      </c>
      <c r="AA52" s="68">
        <v>0</v>
      </c>
      <c r="AB52" s="68">
        <v>0</v>
      </c>
      <c r="AC52" s="68">
        <v>0</v>
      </c>
      <c r="AD52" s="68">
        <v>0</v>
      </c>
      <c r="AE52" s="68">
        <v>0</v>
      </c>
      <c r="AF52" s="68">
        <v>0</v>
      </c>
      <c r="AG52" s="71" t="s">
        <v>2198</v>
      </c>
      <c r="AH52">
        <v>213.01475500000001</v>
      </c>
      <c r="AI52">
        <v>210.57737700000001</v>
      </c>
      <c r="AJ52" s="22">
        <v>6.0000000000000001E-3</v>
      </c>
    </row>
    <row r="53" spans="1:36" ht="48.75">
      <c r="A53" s="39" t="s">
        <v>2224</v>
      </c>
      <c r="B53" s="67" t="s">
        <v>2218</v>
      </c>
      <c r="C53" s="68">
        <v>0.440946</v>
      </c>
      <c r="D53" s="68">
        <v>0.50288900000000003</v>
      </c>
      <c r="E53" s="68">
        <v>0.545682</v>
      </c>
      <c r="F53" s="68">
        <v>0.57410099999999997</v>
      </c>
      <c r="G53" s="68">
        <v>0.60097900000000004</v>
      </c>
      <c r="H53" s="68">
        <v>0.61970499999999995</v>
      </c>
      <c r="I53" s="68">
        <v>0.63590100000000005</v>
      </c>
      <c r="J53" s="68">
        <v>0.65048399999999995</v>
      </c>
      <c r="K53" s="68">
        <v>0.66195300000000001</v>
      </c>
      <c r="L53" s="68">
        <v>0.67338399999999998</v>
      </c>
      <c r="M53" s="68">
        <v>0.69588000000000005</v>
      </c>
      <c r="N53" s="68">
        <v>0.71614999999999995</v>
      </c>
      <c r="O53" s="68">
        <v>0.73718399999999995</v>
      </c>
      <c r="P53" s="68">
        <v>0.75467799999999996</v>
      </c>
      <c r="Q53" s="68">
        <v>0.76964900000000003</v>
      </c>
      <c r="R53" s="68">
        <v>0.779756</v>
      </c>
      <c r="S53" s="68">
        <v>0.79277600000000004</v>
      </c>
      <c r="T53" s="68">
        <v>0.80840000000000001</v>
      </c>
      <c r="U53" s="68">
        <v>0.82653799999999999</v>
      </c>
      <c r="V53" s="68">
        <v>0.86590999999999996</v>
      </c>
      <c r="W53" s="68">
        <v>0.916883</v>
      </c>
      <c r="X53" s="68">
        <v>0.97040899999999997</v>
      </c>
      <c r="Y53" s="68">
        <v>1.0262519999999999</v>
      </c>
      <c r="Z53" s="68">
        <v>1.086009</v>
      </c>
      <c r="AA53" s="68">
        <v>1.1492020000000001</v>
      </c>
      <c r="AB53" s="68">
        <v>1.216726</v>
      </c>
      <c r="AC53" s="68">
        <v>1.2850699999999999</v>
      </c>
      <c r="AD53" s="68">
        <v>1.354975</v>
      </c>
      <c r="AE53" s="68">
        <v>1.434007</v>
      </c>
      <c r="AF53" s="68">
        <v>1.5233730000000001</v>
      </c>
      <c r="AG53" s="71">
        <v>4.3677000000000001E-2</v>
      </c>
      <c r="AH53">
        <v>87.816879</v>
      </c>
      <c r="AI53">
        <v>86.980957000000004</v>
      </c>
      <c r="AJ53" s="22">
        <v>5.0000000000000001E-3</v>
      </c>
    </row>
    <row r="54" spans="1:36">
      <c r="A54" s="9"/>
      <c r="B54" s="9"/>
      <c r="C54" s="9"/>
      <c r="D54" s="9"/>
      <c r="E54" s="9"/>
      <c r="F54" s="9"/>
      <c r="G54" s="9"/>
      <c r="H54" s="9"/>
      <c r="I54" s="9"/>
      <c r="J54" s="9"/>
      <c r="K54" s="9"/>
      <c r="L54" s="9"/>
      <c r="M54" s="9"/>
      <c r="N54" s="9"/>
      <c r="O54" s="9"/>
      <c r="P54" s="9"/>
      <c r="Q54" s="9"/>
      <c r="R54" s="9"/>
      <c r="S54" s="9"/>
      <c r="T54" s="9"/>
      <c r="U54" s="9"/>
      <c r="V54" s="9"/>
      <c r="W54" s="9"/>
      <c r="X54" s="9"/>
      <c r="Y54" s="9"/>
      <c r="Z54" s="9"/>
      <c r="AA54" s="9"/>
      <c r="AB54" s="9"/>
      <c r="AC54" s="9"/>
      <c r="AD54" s="9"/>
      <c r="AE54" s="9"/>
      <c r="AF54" s="9"/>
      <c r="AG54" s="9"/>
      <c r="AH54">
        <v>11.712026</v>
      </c>
      <c r="AI54">
        <v>11.616365999999999</v>
      </c>
      <c r="AJ54" s="22">
        <v>6.0000000000000001E-3</v>
      </c>
    </row>
    <row r="55" spans="1:36" ht="24.75">
      <c r="A55" s="39" t="s">
        <v>2225</v>
      </c>
      <c r="B55" s="66" t="s">
        <v>151</v>
      </c>
      <c r="C55" s="69">
        <v>927.45135500000004</v>
      </c>
      <c r="D55" s="69">
        <v>990.02081299999998</v>
      </c>
      <c r="E55" s="69">
        <v>884.05950900000005</v>
      </c>
      <c r="F55" s="69">
        <v>884.70709199999999</v>
      </c>
      <c r="G55" s="69">
        <v>887.06121800000005</v>
      </c>
      <c r="H55" s="69">
        <v>885.41760299999999</v>
      </c>
      <c r="I55" s="69">
        <v>881.61273200000005</v>
      </c>
      <c r="J55" s="69">
        <v>880.34258999999997</v>
      </c>
      <c r="K55" s="69">
        <v>880.76928699999996</v>
      </c>
      <c r="L55" s="69">
        <v>879.92974900000002</v>
      </c>
      <c r="M55" s="69">
        <v>884.78594999999996</v>
      </c>
      <c r="N55" s="69">
        <v>884.65515100000005</v>
      </c>
      <c r="O55" s="69">
        <v>885.21844499999997</v>
      </c>
      <c r="P55" s="69">
        <v>886.28894000000003</v>
      </c>
      <c r="Q55" s="69">
        <v>887.35192900000004</v>
      </c>
      <c r="R55" s="69">
        <v>889.09478799999999</v>
      </c>
      <c r="S55" s="69">
        <v>891.03912400000002</v>
      </c>
      <c r="T55" s="69">
        <v>890.64679000000001</v>
      </c>
      <c r="U55" s="69">
        <v>892.27447500000005</v>
      </c>
      <c r="V55" s="69">
        <v>887.78131099999996</v>
      </c>
      <c r="W55" s="69">
        <v>886.33569299999999</v>
      </c>
      <c r="X55" s="69">
        <v>884.98419200000001</v>
      </c>
      <c r="Y55" s="69">
        <v>881.27642800000001</v>
      </c>
      <c r="Z55" s="69">
        <v>879.00164800000005</v>
      </c>
      <c r="AA55" s="69">
        <v>879.11547900000005</v>
      </c>
      <c r="AB55" s="69">
        <v>878.01025400000003</v>
      </c>
      <c r="AC55" s="69">
        <v>877.70593299999996</v>
      </c>
      <c r="AD55" s="69">
        <v>878.74401899999998</v>
      </c>
      <c r="AE55" s="69">
        <v>879.32208300000002</v>
      </c>
      <c r="AF55" s="69">
        <v>880.51599099999999</v>
      </c>
      <c r="AG55" s="72">
        <v>-1.789E-3</v>
      </c>
      <c r="AH55">
        <v>4.9189999999999998E-3</v>
      </c>
      <c r="AI55">
        <v>4.8370000000000002E-3</v>
      </c>
      <c r="AJ55" s="22">
        <v>-2E-3</v>
      </c>
    </row>
    <row r="56" spans="1:36" ht="48.75">
      <c r="A56" s="39" t="s">
        <v>2226</v>
      </c>
      <c r="B56" s="67" t="s">
        <v>2181</v>
      </c>
      <c r="C56" s="68">
        <v>351.65612800000002</v>
      </c>
      <c r="D56" s="68">
        <v>238.17157</v>
      </c>
      <c r="E56" s="68">
        <v>341.49670400000002</v>
      </c>
      <c r="F56" s="68">
        <v>337.37942500000003</v>
      </c>
      <c r="G56" s="68">
        <v>332.16564899999997</v>
      </c>
      <c r="H56" s="68">
        <v>331.91503899999998</v>
      </c>
      <c r="I56" s="68">
        <v>335.13259900000003</v>
      </c>
      <c r="J56" s="68">
        <v>337.84320100000002</v>
      </c>
      <c r="K56" s="68">
        <v>338.748535</v>
      </c>
      <c r="L56" s="68">
        <v>341.154968</v>
      </c>
      <c r="M56" s="68">
        <v>339.24258400000002</v>
      </c>
      <c r="N56" s="68">
        <v>339.37771600000002</v>
      </c>
      <c r="O56" s="68">
        <v>339.98928799999999</v>
      </c>
      <c r="P56" s="68">
        <v>339.515198</v>
      </c>
      <c r="Q56" s="68">
        <v>338.44873000000001</v>
      </c>
      <c r="R56" s="68">
        <v>336.32299799999998</v>
      </c>
      <c r="S56" s="68">
        <v>333.43383799999998</v>
      </c>
      <c r="T56" s="68">
        <v>333.31323200000003</v>
      </c>
      <c r="U56" s="68">
        <v>332.17944299999999</v>
      </c>
      <c r="V56" s="68">
        <v>334.76266500000003</v>
      </c>
      <c r="W56" s="68">
        <v>335.45147700000001</v>
      </c>
      <c r="X56" s="68">
        <v>336.63207999999997</v>
      </c>
      <c r="Y56" s="68">
        <v>337.43170199999997</v>
      </c>
      <c r="Z56" s="68">
        <v>336.05450400000001</v>
      </c>
      <c r="AA56" s="68">
        <v>335.15737899999999</v>
      </c>
      <c r="AB56" s="68">
        <v>333.87554899999998</v>
      </c>
      <c r="AC56" s="68">
        <v>333.81549100000001</v>
      </c>
      <c r="AD56" s="68">
        <v>333.91772500000002</v>
      </c>
      <c r="AE56" s="68">
        <v>334.09484900000001</v>
      </c>
      <c r="AF56" s="68">
        <v>334.64166299999999</v>
      </c>
      <c r="AG56" s="71">
        <v>-1.709E-3</v>
      </c>
      <c r="AH56">
        <v>46.7896</v>
      </c>
      <c r="AI56">
        <v>44.974155000000003</v>
      </c>
      <c r="AJ56" s="22">
        <v>0</v>
      </c>
    </row>
    <row r="57" spans="1:36" ht="24.75">
      <c r="A57" s="39" t="s">
        <v>2227</v>
      </c>
      <c r="B57" s="67" t="s">
        <v>2222</v>
      </c>
      <c r="C57" s="68">
        <v>535.95062299999995</v>
      </c>
      <c r="D57" s="68">
        <v>727.49896200000001</v>
      </c>
      <c r="E57" s="68">
        <v>503.42858899999999</v>
      </c>
      <c r="F57" s="68">
        <v>502.77362099999999</v>
      </c>
      <c r="G57" s="68">
        <v>507.00457799999998</v>
      </c>
      <c r="H57" s="68">
        <v>500.63662699999998</v>
      </c>
      <c r="I57" s="68">
        <v>488.62951700000002</v>
      </c>
      <c r="J57" s="68">
        <v>483.53585800000002</v>
      </c>
      <c r="K57" s="68">
        <v>482.90744000000001</v>
      </c>
      <c r="L57" s="68">
        <v>478.91043100000002</v>
      </c>
      <c r="M57" s="68">
        <v>490.33029199999999</v>
      </c>
      <c r="N57" s="68">
        <v>488.39150999999998</v>
      </c>
      <c r="O57" s="68">
        <v>488.33117700000003</v>
      </c>
      <c r="P57" s="68">
        <v>489.60311899999999</v>
      </c>
      <c r="Q57" s="68">
        <v>490.947113</v>
      </c>
      <c r="R57" s="68">
        <v>494.14855999999997</v>
      </c>
      <c r="S57" s="68">
        <v>497.88388099999997</v>
      </c>
      <c r="T57" s="68">
        <v>495.34140000000002</v>
      </c>
      <c r="U57" s="68">
        <v>498.27636699999999</v>
      </c>
      <c r="V57" s="68">
        <v>484.67297400000001</v>
      </c>
      <c r="W57" s="68">
        <v>479.240387</v>
      </c>
      <c r="X57" s="68">
        <v>474.04070999999999</v>
      </c>
      <c r="Y57" s="68">
        <v>462.37161300000002</v>
      </c>
      <c r="Z57" s="68">
        <v>454.591339</v>
      </c>
      <c r="AA57" s="68">
        <v>453.270355</v>
      </c>
      <c r="AB57" s="68">
        <v>448.61398300000002</v>
      </c>
      <c r="AC57" s="68">
        <v>446.11673000000002</v>
      </c>
      <c r="AD57" s="68">
        <v>447.29937699999999</v>
      </c>
      <c r="AE57" s="68">
        <v>447.15524299999998</v>
      </c>
      <c r="AF57" s="68">
        <v>448.565247</v>
      </c>
      <c r="AG57" s="71">
        <v>-6.1190000000000003E-3</v>
      </c>
      <c r="AH57">
        <v>22.419288999999999</v>
      </c>
      <c r="AI57">
        <v>22.166677</v>
      </c>
      <c r="AJ57" s="22">
        <v>5.0000000000000001E-3</v>
      </c>
    </row>
    <row r="58" spans="1:36" ht="60.75">
      <c r="A58" s="39" t="s">
        <v>2228</v>
      </c>
      <c r="B58" s="67" t="s">
        <v>2216</v>
      </c>
      <c r="C58" s="68">
        <v>0</v>
      </c>
      <c r="D58" s="68">
        <v>0</v>
      </c>
      <c r="E58" s="68">
        <v>0</v>
      </c>
      <c r="F58" s="68">
        <v>0</v>
      </c>
      <c r="G58" s="68">
        <v>0</v>
      </c>
      <c r="H58" s="68">
        <v>0</v>
      </c>
      <c r="I58" s="68">
        <v>0</v>
      </c>
      <c r="J58" s="68">
        <v>0</v>
      </c>
      <c r="K58" s="68">
        <v>0</v>
      </c>
      <c r="L58" s="68">
        <v>0</v>
      </c>
      <c r="M58" s="68">
        <v>0</v>
      </c>
      <c r="N58" s="68">
        <v>0</v>
      </c>
      <c r="O58" s="68">
        <v>0</v>
      </c>
      <c r="P58" s="68">
        <v>0</v>
      </c>
      <c r="Q58" s="68">
        <v>0</v>
      </c>
      <c r="R58" s="68">
        <v>0</v>
      </c>
      <c r="S58" s="68">
        <v>0</v>
      </c>
      <c r="T58" s="68">
        <v>0</v>
      </c>
      <c r="U58" s="68">
        <v>0</v>
      </c>
      <c r="V58" s="68">
        <v>0</v>
      </c>
      <c r="W58" s="68">
        <v>0</v>
      </c>
      <c r="X58" s="68">
        <v>0</v>
      </c>
      <c r="Y58" s="68">
        <v>0</v>
      </c>
      <c r="Z58" s="68">
        <v>0</v>
      </c>
      <c r="AA58" s="68">
        <v>0</v>
      </c>
      <c r="AB58" s="68">
        <v>0</v>
      </c>
      <c r="AC58" s="68">
        <v>0</v>
      </c>
      <c r="AD58" s="68">
        <v>0</v>
      </c>
      <c r="AE58" s="68">
        <v>0</v>
      </c>
      <c r="AF58" s="68">
        <v>0</v>
      </c>
      <c r="AG58" s="71" t="s">
        <v>2198</v>
      </c>
      <c r="AH58">
        <v>1.3559969999999999</v>
      </c>
      <c r="AI58">
        <v>1.3470800000000001</v>
      </c>
      <c r="AJ58" s="22">
        <v>0.01</v>
      </c>
    </row>
    <row r="59" spans="1:36" ht="48.75">
      <c r="A59" s="39" t="s">
        <v>2229</v>
      </c>
      <c r="B59" s="67" t="s">
        <v>2218</v>
      </c>
      <c r="C59" s="68">
        <v>39.844611999999998</v>
      </c>
      <c r="D59" s="68">
        <v>24.350292</v>
      </c>
      <c r="E59" s="68">
        <v>39.134216000000002</v>
      </c>
      <c r="F59" s="68">
        <v>44.554015999999997</v>
      </c>
      <c r="G59" s="68">
        <v>47.891013999999998</v>
      </c>
      <c r="H59" s="68">
        <v>52.865997</v>
      </c>
      <c r="I59" s="68">
        <v>57.850662</v>
      </c>
      <c r="J59" s="68">
        <v>58.963535</v>
      </c>
      <c r="K59" s="68">
        <v>59.113273999999997</v>
      </c>
      <c r="L59" s="68">
        <v>59.864296000000003</v>
      </c>
      <c r="M59" s="68">
        <v>55.213051</v>
      </c>
      <c r="N59" s="68">
        <v>56.885941000000003</v>
      </c>
      <c r="O59" s="68">
        <v>56.898018</v>
      </c>
      <c r="P59" s="68">
        <v>57.170631</v>
      </c>
      <c r="Q59" s="68">
        <v>57.956054999999999</v>
      </c>
      <c r="R59" s="68">
        <v>58.623233999999997</v>
      </c>
      <c r="S59" s="68">
        <v>59.721397000000003</v>
      </c>
      <c r="T59" s="68">
        <v>61.992119000000002</v>
      </c>
      <c r="U59" s="68">
        <v>61.818676000000004</v>
      </c>
      <c r="V59" s="68">
        <v>68.345634000000004</v>
      </c>
      <c r="W59" s="68">
        <v>71.643828999999997</v>
      </c>
      <c r="X59" s="68">
        <v>74.311394000000007</v>
      </c>
      <c r="Y59" s="68">
        <v>81.473067999999998</v>
      </c>
      <c r="Z59" s="68">
        <v>88.355773999999997</v>
      </c>
      <c r="AA59" s="68">
        <v>90.687775000000002</v>
      </c>
      <c r="AB59" s="68">
        <v>95.520767000000006</v>
      </c>
      <c r="AC59" s="68">
        <v>97.773712000000003</v>
      </c>
      <c r="AD59" s="68">
        <v>97.526932000000002</v>
      </c>
      <c r="AE59" s="68">
        <v>98.071976000000006</v>
      </c>
      <c r="AF59" s="68">
        <v>97.309059000000005</v>
      </c>
      <c r="AG59" s="71">
        <v>3.1268999999999998E-2</v>
      </c>
      <c r="AH59">
        <v>5.518154</v>
      </c>
      <c r="AI59">
        <v>6.8551640000000003</v>
      </c>
      <c r="AJ59" s="22">
        <v>0.10199999999999999</v>
      </c>
    </row>
    <row r="60" spans="1:36">
      <c r="A60" s="9"/>
      <c r="B60" s="9"/>
      <c r="C60" s="9"/>
      <c r="D60" s="9"/>
      <c r="E60" s="9"/>
      <c r="F60" s="9"/>
      <c r="G60" s="9"/>
      <c r="H60" s="9"/>
      <c r="I60" s="9"/>
      <c r="J60" s="9"/>
      <c r="K60" s="9"/>
      <c r="L60" s="9"/>
      <c r="M60" s="9"/>
      <c r="N60" s="9"/>
      <c r="O60" s="9"/>
      <c r="P60" s="9"/>
      <c r="Q60" s="9"/>
      <c r="R60" s="9"/>
      <c r="S60" s="9"/>
      <c r="T60" s="9"/>
      <c r="U60" s="9"/>
      <c r="V60" s="9"/>
      <c r="W60" s="9"/>
      <c r="X60" s="9"/>
      <c r="Y60" s="9"/>
      <c r="Z60" s="9"/>
      <c r="AA60" s="9"/>
      <c r="AB60" s="9"/>
      <c r="AC60" s="9"/>
      <c r="AD60" s="9"/>
      <c r="AE60" s="9"/>
      <c r="AF60" s="9"/>
      <c r="AG60" s="9"/>
      <c r="AH60">
        <v>1.6909E-2</v>
      </c>
      <c r="AI60">
        <v>1.6667000000000001E-2</v>
      </c>
      <c r="AJ60" s="22">
        <v>4.0000000000000001E-3</v>
      </c>
    </row>
    <row r="61" spans="1:36" ht="36.75">
      <c r="A61" s="39" t="s">
        <v>2230</v>
      </c>
      <c r="B61" s="66" t="s">
        <v>2170</v>
      </c>
      <c r="C61" s="69">
        <v>2296.1611330000001</v>
      </c>
      <c r="D61" s="69">
        <v>2683.6513669999999</v>
      </c>
      <c r="E61" s="69">
        <v>2951.118164</v>
      </c>
      <c r="F61" s="69">
        <v>3034.7094729999999</v>
      </c>
      <c r="G61" s="69">
        <v>3111.6896969999998</v>
      </c>
      <c r="H61" s="69">
        <v>3173.992432</v>
      </c>
      <c r="I61" s="69">
        <v>3213.9558109999998</v>
      </c>
      <c r="J61" s="69">
        <v>3252.0551759999998</v>
      </c>
      <c r="K61" s="69">
        <v>3293.8454590000001</v>
      </c>
      <c r="L61" s="69">
        <v>3340.3571780000002</v>
      </c>
      <c r="M61" s="69">
        <v>3377.2758789999998</v>
      </c>
      <c r="N61" s="69">
        <v>3393.485107</v>
      </c>
      <c r="O61" s="69">
        <v>3431.1589359999998</v>
      </c>
      <c r="P61" s="69">
        <v>3465.1965329999998</v>
      </c>
      <c r="Q61" s="69">
        <v>3501.516846</v>
      </c>
      <c r="R61" s="69">
        <v>3538.3811040000001</v>
      </c>
      <c r="S61" s="69">
        <v>3580.70874</v>
      </c>
      <c r="T61" s="69">
        <v>3619.171143</v>
      </c>
      <c r="U61" s="69">
        <v>3663.686279</v>
      </c>
      <c r="V61" s="69">
        <v>3712.9865719999998</v>
      </c>
      <c r="W61" s="69">
        <v>3753.7878420000002</v>
      </c>
      <c r="X61" s="69">
        <v>3799.3937989999999</v>
      </c>
      <c r="Y61" s="69">
        <v>3847.1994629999999</v>
      </c>
      <c r="Z61" s="69">
        <v>3892.524414</v>
      </c>
      <c r="AA61" s="69">
        <v>3945.7468260000001</v>
      </c>
      <c r="AB61" s="69">
        <v>3999.0383299999999</v>
      </c>
      <c r="AC61" s="69">
        <v>4045.6613769999999</v>
      </c>
      <c r="AD61" s="69">
        <v>4090.9533689999998</v>
      </c>
      <c r="AE61" s="69">
        <v>4144.0703119999998</v>
      </c>
      <c r="AF61" s="69">
        <v>4203.2158200000003</v>
      </c>
      <c r="AG61" s="72">
        <v>2.1068E-2</v>
      </c>
      <c r="AH61">
        <v>40.965553</v>
      </c>
      <c r="AI61">
        <v>41.161906999999999</v>
      </c>
      <c r="AJ61" s="22">
        <v>1.7999999999999999E-2</v>
      </c>
    </row>
    <row r="62" spans="1:36">
      <c r="A62" s="39" t="s">
        <v>2231</v>
      </c>
      <c r="B62" s="67" t="s">
        <v>2232</v>
      </c>
      <c r="C62" s="68">
        <v>2273.726318</v>
      </c>
      <c r="D62" s="68">
        <v>2661.2297359999998</v>
      </c>
      <c r="E62" s="68">
        <v>2928.7075199999999</v>
      </c>
      <c r="F62" s="68">
        <v>3012.3078609999998</v>
      </c>
      <c r="G62" s="68">
        <v>3089.295654</v>
      </c>
      <c r="H62" s="68">
        <v>3151.6047359999998</v>
      </c>
      <c r="I62" s="68">
        <v>3191.5732419999999</v>
      </c>
      <c r="J62" s="68">
        <v>3229.6767580000001</v>
      </c>
      <c r="K62" s="68">
        <v>3271.4704590000001</v>
      </c>
      <c r="L62" s="68">
        <v>3317.985107</v>
      </c>
      <c r="M62" s="68">
        <v>3354.90625</v>
      </c>
      <c r="N62" s="68">
        <v>3371.117432</v>
      </c>
      <c r="O62" s="68">
        <v>3408.7929690000001</v>
      </c>
      <c r="P62" s="68">
        <v>3442.8320309999999</v>
      </c>
      <c r="Q62" s="68">
        <v>3479.1533199999999</v>
      </c>
      <c r="R62" s="68">
        <v>3516.0185550000001</v>
      </c>
      <c r="S62" s="68">
        <v>3558.3469239999999</v>
      </c>
      <c r="T62" s="68">
        <v>3596.8100589999999</v>
      </c>
      <c r="U62" s="68">
        <v>3641.3256839999999</v>
      </c>
      <c r="V62" s="68">
        <v>3690.6264649999998</v>
      </c>
      <c r="W62" s="68">
        <v>3731.4282229999999</v>
      </c>
      <c r="X62" s="68">
        <v>3777.0344239999999</v>
      </c>
      <c r="Y62" s="68">
        <v>3824.8403320000002</v>
      </c>
      <c r="Z62" s="68">
        <v>3870.1655270000001</v>
      </c>
      <c r="AA62" s="68">
        <v>3923.3879390000002</v>
      </c>
      <c r="AB62" s="68">
        <v>3976.6796880000002</v>
      </c>
      <c r="AC62" s="68">
        <v>4023.3027339999999</v>
      </c>
      <c r="AD62" s="68">
        <v>4068.594971</v>
      </c>
      <c r="AE62" s="68">
        <v>4121.7119140000004</v>
      </c>
      <c r="AF62" s="68">
        <v>4180.857422</v>
      </c>
      <c r="AG62" s="71">
        <v>2.1225000000000001E-2</v>
      </c>
      <c r="AH62">
        <v>0</v>
      </c>
      <c r="AI62">
        <v>0</v>
      </c>
      <c r="AJ62" t="s">
        <v>111</v>
      </c>
    </row>
    <row r="63" spans="1:36" ht="24.75">
      <c r="A63" s="39" t="s">
        <v>2233</v>
      </c>
      <c r="B63" s="67" t="s">
        <v>2234</v>
      </c>
      <c r="C63" s="68">
        <v>22.434891</v>
      </c>
      <c r="D63" s="68">
        <v>22.421617999999999</v>
      </c>
      <c r="E63" s="68">
        <v>22.410634999999999</v>
      </c>
      <c r="F63" s="68">
        <v>22.401547999999998</v>
      </c>
      <c r="G63" s="68">
        <v>22.394031999999999</v>
      </c>
      <c r="H63" s="68">
        <v>22.387812</v>
      </c>
      <c r="I63" s="68">
        <v>22.382666</v>
      </c>
      <c r="J63" s="68">
        <v>22.378406999999999</v>
      </c>
      <c r="K63" s="68">
        <v>22.374884000000002</v>
      </c>
      <c r="L63" s="68">
        <v>22.371969</v>
      </c>
      <c r="M63" s="68">
        <v>22.369558000000001</v>
      </c>
      <c r="N63" s="68">
        <v>22.367563000000001</v>
      </c>
      <c r="O63" s="68">
        <v>22.365911000000001</v>
      </c>
      <c r="P63" s="68">
        <v>22.364546000000001</v>
      </c>
      <c r="Q63" s="68">
        <v>22.363416999999998</v>
      </c>
      <c r="R63" s="68">
        <v>22.362480000000001</v>
      </c>
      <c r="S63" s="68">
        <v>22.361708</v>
      </c>
      <c r="T63" s="68">
        <v>22.361066999999998</v>
      </c>
      <c r="U63" s="68">
        <v>22.360537999999998</v>
      </c>
      <c r="V63" s="68">
        <v>22.360099999999999</v>
      </c>
      <c r="W63" s="68">
        <v>22.359736999999999</v>
      </c>
      <c r="X63" s="68">
        <v>22.359438000000001</v>
      </c>
      <c r="Y63" s="68">
        <v>22.359190000000002</v>
      </c>
      <c r="Z63" s="68">
        <v>22.358984</v>
      </c>
      <c r="AA63" s="68">
        <v>22.358813999999999</v>
      </c>
      <c r="AB63" s="68">
        <v>22.358673</v>
      </c>
      <c r="AC63" s="68">
        <v>22.358557000000001</v>
      </c>
      <c r="AD63" s="68">
        <v>22.358460999999998</v>
      </c>
      <c r="AE63" s="68">
        <v>22.358381000000001</v>
      </c>
      <c r="AF63" s="68">
        <v>22.358315000000001</v>
      </c>
      <c r="AG63" s="71">
        <v>-1.18E-4</v>
      </c>
      <c r="AH63">
        <v>0</v>
      </c>
      <c r="AI63">
        <v>0</v>
      </c>
      <c r="AJ63" t="s">
        <v>111</v>
      </c>
    </row>
    <row r="64" spans="1:36">
      <c r="A64" s="9"/>
      <c r="B64" s="9"/>
      <c r="C64" s="9"/>
      <c r="D64" s="9"/>
      <c r="E64" s="9"/>
      <c r="F64" s="9"/>
      <c r="G64" s="9"/>
      <c r="H64" s="9"/>
      <c r="I64" s="9"/>
      <c r="J64" s="9"/>
      <c r="K64" s="9"/>
      <c r="L64" s="9"/>
      <c r="M64" s="9"/>
      <c r="N64" s="9"/>
      <c r="O64" s="9"/>
      <c r="P64" s="9"/>
      <c r="Q64" s="9"/>
      <c r="R64" s="9"/>
      <c r="S64" s="9"/>
      <c r="T64" s="9"/>
      <c r="U64" s="9"/>
      <c r="V64" s="9"/>
      <c r="W64" s="9"/>
      <c r="X64" s="9"/>
      <c r="Y64" s="9"/>
      <c r="Z64" s="9"/>
      <c r="AA64" s="9"/>
      <c r="AB64" s="9"/>
      <c r="AC64" s="9"/>
      <c r="AD64" s="9"/>
      <c r="AE64" s="9"/>
      <c r="AF64" s="9"/>
      <c r="AG64" s="9"/>
      <c r="AH64">
        <v>40.965553</v>
      </c>
      <c r="AI64">
        <v>41.161906999999999</v>
      </c>
      <c r="AJ64" s="22">
        <v>1.7999999999999999E-2</v>
      </c>
    </row>
    <row r="65" spans="1:36" ht="24.75">
      <c r="A65" s="39" t="s">
        <v>2235</v>
      </c>
      <c r="B65" s="66" t="s">
        <v>183</v>
      </c>
      <c r="C65" s="69">
        <v>537.703125</v>
      </c>
      <c r="D65" s="69">
        <v>545.34875499999998</v>
      </c>
      <c r="E65" s="69">
        <v>539.67163100000005</v>
      </c>
      <c r="F65" s="69">
        <v>539.22375499999998</v>
      </c>
      <c r="G65" s="69">
        <v>542.58715800000004</v>
      </c>
      <c r="H65" s="69">
        <v>545.14965800000004</v>
      </c>
      <c r="I65" s="69">
        <v>547.036743</v>
      </c>
      <c r="J65" s="69">
        <v>549.19799799999998</v>
      </c>
      <c r="K65" s="69">
        <v>547.83374000000003</v>
      </c>
      <c r="L65" s="69">
        <v>549.64349400000003</v>
      </c>
      <c r="M65" s="69">
        <v>549.11926300000005</v>
      </c>
      <c r="N65" s="69">
        <v>549.31872599999997</v>
      </c>
      <c r="O65" s="69">
        <v>549.48425299999997</v>
      </c>
      <c r="P65" s="69">
        <v>549.62329099999999</v>
      </c>
      <c r="Q65" s="69">
        <v>549.73779300000001</v>
      </c>
      <c r="R65" s="69">
        <v>549.99847399999999</v>
      </c>
      <c r="S65" s="69">
        <v>550.35229500000003</v>
      </c>
      <c r="T65" s="69">
        <v>550.70202600000005</v>
      </c>
      <c r="U65" s="69">
        <v>551.05041500000004</v>
      </c>
      <c r="V65" s="69">
        <v>551.39324999999997</v>
      </c>
      <c r="W65" s="69">
        <v>551.73486300000002</v>
      </c>
      <c r="X65" s="69">
        <v>552.07397500000002</v>
      </c>
      <c r="Y65" s="69">
        <v>552.408997</v>
      </c>
      <c r="Z65" s="69">
        <v>552.74206500000003</v>
      </c>
      <c r="AA65" s="69">
        <v>553.07428000000004</v>
      </c>
      <c r="AB65" s="69">
        <v>553.40344200000004</v>
      </c>
      <c r="AC65" s="69">
        <v>553.73046899999997</v>
      </c>
      <c r="AD65" s="69">
        <v>554.056152</v>
      </c>
      <c r="AE65" s="69">
        <v>554.37951699999996</v>
      </c>
      <c r="AF65" s="69">
        <v>554.70135500000004</v>
      </c>
      <c r="AG65" s="72">
        <v>1.0740000000000001E-3</v>
      </c>
      <c r="AH65">
        <v>0</v>
      </c>
      <c r="AI65">
        <v>0</v>
      </c>
      <c r="AJ65" t="s">
        <v>111</v>
      </c>
    </row>
    <row r="66" spans="1:36" ht="48.75">
      <c r="A66" s="39" t="s">
        <v>2236</v>
      </c>
      <c r="B66" s="67" t="s">
        <v>2237</v>
      </c>
      <c r="C66" s="68">
        <v>402.12243699999999</v>
      </c>
      <c r="D66" s="68">
        <v>408.58813500000002</v>
      </c>
      <c r="E66" s="68">
        <v>405.11737099999999</v>
      </c>
      <c r="F66" s="68">
        <v>404.78070100000002</v>
      </c>
      <c r="G66" s="68">
        <v>407.30474900000002</v>
      </c>
      <c r="H66" s="68">
        <v>409.22909499999997</v>
      </c>
      <c r="I66" s="68">
        <v>410.64746100000002</v>
      </c>
      <c r="J66" s="68">
        <v>412.27038599999997</v>
      </c>
      <c r="K66" s="68">
        <v>411.24566700000003</v>
      </c>
      <c r="L66" s="68">
        <v>412.60449199999999</v>
      </c>
      <c r="M66" s="68">
        <v>412.20864899999998</v>
      </c>
      <c r="N66" s="68">
        <v>412.35833700000001</v>
      </c>
      <c r="O66" s="68">
        <v>412.48217799999998</v>
      </c>
      <c r="P66" s="68">
        <v>412.58575400000001</v>
      </c>
      <c r="Q66" s="68">
        <v>412.67089800000002</v>
      </c>
      <c r="R66" s="68">
        <v>412.86550899999997</v>
      </c>
      <c r="S66" s="68">
        <v>413.12994400000002</v>
      </c>
      <c r="T66" s="68">
        <v>413.39245599999998</v>
      </c>
      <c r="U66" s="68">
        <v>413.65313700000002</v>
      </c>
      <c r="V66" s="68">
        <v>413.91204800000003</v>
      </c>
      <c r="W66" s="68">
        <v>414.16891500000003</v>
      </c>
      <c r="X66" s="68">
        <v>414.42382800000001</v>
      </c>
      <c r="Y66" s="68">
        <v>414.67672700000003</v>
      </c>
      <c r="Z66" s="68">
        <v>414.92770400000001</v>
      </c>
      <c r="AA66" s="68">
        <v>415.176849</v>
      </c>
      <c r="AB66" s="68">
        <v>415.42431599999998</v>
      </c>
      <c r="AC66" s="68">
        <v>415.67010499999998</v>
      </c>
      <c r="AD66" s="68">
        <v>415.91433699999999</v>
      </c>
      <c r="AE66" s="68">
        <v>416.15707400000002</v>
      </c>
      <c r="AF66" s="68">
        <v>416.39840700000002</v>
      </c>
      <c r="AG66" s="71">
        <v>1.204E-3</v>
      </c>
      <c r="AH66">
        <v>0</v>
      </c>
      <c r="AI66">
        <v>0</v>
      </c>
      <c r="AJ66" t="s">
        <v>111</v>
      </c>
    </row>
    <row r="67" spans="1:36" ht="24.75">
      <c r="A67" s="39" t="s">
        <v>2238</v>
      </c>
      <c r="B67" s="67" t="s">
        <v>2214</v>
      </c>
      <c r="C67" s="68">
        <v>20.461241000000001</v>
      </c>
      <c r="D67" s="68">
        <v>19.790189999999999</v>
      </c>
      <c r="E67" s="68">
        <v>18.577483999999998</v>
      </c>
      <c r="F67" s="68">
        <v>18.562657999999999</v>
      </c>
      <c r="G67" s="68">
        <v>18.679366999999999</v>
      </c>
      <c r="H67" s="68">
        <v>18.766643999999999</v>
      </c>
      <c r="I67" s="68">
        <v>18.82938</v>
      </c>
      <c r="J67" s="68">
        <v>18.903067</v>
      </c>
      <c r="K67" s="68">
        <v>18.856854999999999</v>
      </c>
      <c r="L67" s="68">
        <v>18.918801999999999</v>
      </c>
      <c r="M67" s="68">
        <v>18.903721000000001</v>
      </c>
      <c r="N67" s="68">
        <v>18.910616000000001</v>
      </c>
      <c r="O67" s="68">
        <v>18.916868000000001</v>
      </c>
      <c r="P67" s="68">
        <v>18.92268</v>
      </c>
      <c r="Q67" s="68">
        <v>18.927703999999999</v>
      </c>
      <c r="R67" s="68">
        <v>18.938010999999999</v>
      </c>
      <c r="S67" s="68">
        <v>18.951756</v>
      </c>
      <c r="T67" s="68">
        <v>18.963802000000001</v>
      </c>
      <c r="U67" s="68">
        <v>18.976884999999999</v>
      </c>
      <c r="V67" s="68">
        <v>18.986682999999999</v>
      </c>
      <c r="W67" s="68">
        <v>18.997869000000001</v>
      </c>
      <c r="X67" s="68">
        <v>19.009169</v>
      </c>
      <c r="Y67" s="68">
        <v>19.018823999999999</v>
      </c>
      <c r="Z67" s="68">
        <v>19.029070000000001</v>
      </c>
      <c r="AA67" s="68">
        <v>19.040801999999999</v>
      </c>
      <c r="AB67" s="68">
        <v>19.051625999999999</v>
      </c>
      <c r="AC67" s="68">
        <v>19.062536000000001</v>
      </c>
      <c r="AD67" s="68">
        <v>19.074103999999998</v>
      </c>
      <c r="AE67" s="68">
        <v>19.085204999999998</v>
      </c>
      <c r="AF67" s="68">
        <v>19.096606999999999</v>
      </c>
      <c r="AG67" s="71">
        <v>-2.3770000000000002E-3</v>
      </c>
      <c r="AH67">
        <v>0</v>
      </c>
      <c r="AI67">
        <v>0</v>
      </c>
      <c r="AJ67" t="s">
        <v>111</v>
      </c>
    </row>
    <row r="68" spans="1:36" ht="48.75">
      <c r="A68" s="39" t="s">
        <v>2239</v>
      </c>
      <c r="B68" s="67" t="s">
        <v>2240</v>
      </c>
      <c r="C68" s="68">
        <v>115.119415</v>
      </c>
      <c r="D68" s="68">
        <v>116.97041299999999</v>
      </c>
      <c r="E68" s="68">
        <v>115.97680699999999</v>
      </c>
      <c r="F68" s="68">
        <v>115.880424</v>
      </c>
      <c r="G68" s="68">
        <v>116.603004</v>
      </c>
      <c r="H68" s="68">
        <v>117.15389999999999</v>
      </c>
      <c r="I68" s="68">
        <v>117.55993700000001</v>
      </c>
      <c r="J68" s="68">
        <v>118.024559</v>
      </c>
      <c r="K68" s="68">
        <v>117.731201</v>
      </c>
      <c r="L68" s="68">
        <v>118.120216</v>
      </c>
      <c r="M68" s="68">
        <v>118.006882</v>
      </c>
      <c r="N68" s="68">
        <v>118.049744</v>
      </c>
      <c r="O68" s="68">
        <v>118.08519</v>
      </c>
      <c r="P68" s="68">
        <v>118.11483800000001</v>
      </c>
      <c r="Q68" s="68">
        <v>118.139214</v>
      </c>
      <c r="R68" s="68">
        <v>118.194923</v>
      </c>
      <c r="S68" s="68">
        <v>118.27063</v>
      </c>
      <c r="T68" s="68">
        <v>118.34577899999999</v>
      </c>
      <c r="U68" s="68">
        <v>118.42041</v>
      </c>
      <c r="V68" s="68">
        <v>118.494522</v>
      </c>
      <c r="W68" s="68">
        <v>118.568062</v>
      </c>
      <c r="X68" s="68">
        <v>118.64102200000001</v>
      </c>
      <c r="Y68" s="68">
        <v>118.713425</v>
      </c>
      <c r="Z68" s="68">
        <v>118.78527800000001</v>
      </c>
      <c r="AA68" s="68">
        <v>118.856613</v>
      </c>
      <c r="AB68" s="68">
        <v>118.92746</v>
      </c>
      <c r="AC68" s="68">
        <v>118.997818</v>
      </c>
      <c r="AD68" s="68">
        <v>119.067734</v>
      </c>
      <c r="AE68" s="68">
        <v>119.13723</v>
      </c>
      <c r="AF68" s="68">
        <v>119.206306</v>
      </c>
      <c r="AG68" s="71">
        <v>1.204E-3</v>
      </c>
      <c r="AH68">
        <v>0</v>
      </c>
      <c r="AI68">
        <v>0</v>
      </c>
      <c r="AJ68" t="s">
        <v>111</v>
      </c>
    </row>
    <row r="69" spans="1:36">
      <c r="A69" s="9"/>
      <c r="B69" s="9"/>
      <c r="C69" s="9"/>
      <c r="D69" s="9"/>
      <c r="E69" s="9"/>
      <c r="F69" s="9"/>
      <c r="G69" s="9"/>
      <c r="H69" s="9"/>
      <c r="I69" s="9"/>
      <c r="J69" s="9"/>
      <c r="K69" s="9"/>
      <c r="L69" s="9"/>
      <c r="M69" s="9"/>
      <c r="N69" s="9"/>
      <c r="O69" s="9"/>
      <c r="P69" s="9"/>
      <c r="Q69" s="9"/>
      <c r="R69" s="9"/>
      <c r="S69" s="9"/>
      <c r="T69" s="9"/>
      <c r="U69" s="9"/>
      <c r="V69" s="9"/>
      <c r="W69" s="9"/>
      <c r="X69" s="9"/>
      <c r="Y69" s="9"/>
      <c r="Z69" s="9"/>
      <c r="AA69" s="9"/>
      <c r="AB69" s="9"/>
      <c r="AC69" s="9"/>
      <c r="AD69" s="9"/>
      <c r="AE69" s="9"/>
      <c r="AF69" s="9"/>
      <c r="AG69" s="9"/>
      <c r="AH69">
        <v>89.772278</v>
      </c>
      <c r="AI69">
        <v>89.311194999999998</v>
      </c>
      <c r="AJ69" s="22">
        <v>6.0000000000000001E-3</v>
      </c>
    </row>
    <row r="70" spans="1:36" ht="36.75">
      <c r="A70" s="39" t="s">
        <v>2241</v>
      </c>
      <c r="B70" s="66" t="s">
        <v>2171</v>
      </c>
      <c r="C70" s="69">
        <v>175.12567100000001</v>
      </c>
      <c r="D70" s="69">
        <v>199.400192</v>
      </c>
      <c r="E70" s="69">
        <v>211.32579000000001</v>
      </c>
      <c r="F70" s="69">
        <v>217.84545900000001</v>
      </c>
      <c r="G70" s="69">
        <v>221.70657299999999</v>
      </c>
      <c r="H70" s="69">
        <v>224.223602</v>
      </c>
      <c r="I70" s="69">
        <v>225.852982</v>
      </c>
      <c r="J70" s="69">
        <v>226.766907</v>
      </c>
      <c r="K70" s="69">
        <v>227.22096300000001</v>
      </c>
      <c r="L70" s="69">
        <v>227.62361100000001</v>
      </c>
      <c r="M70" s="69">
        <v>228.039795</v>
      </c>
      <c r="N70" s="69">
        <v>227.957672</v>
      </c>
      <c r="O70" s="69">
        <v>227.73249799999999</v>
      </c>
      <c r="P70" s="69">
        <v>227.421097</v>
      </c>
      <c r="Q70" s="69">
        <v>226.926514</v>
      </c>
      <c r="R70" s="69">
        <v>226.58166499999999</v>
      </c>
      <c r="S70" s="69">
        <v>226.33427399999999</v>
      </c>
      <c r="T70" s="69">
        <v>226.04068000000001</v>
      </c>
      <c r="U70" s="69">
        <v>225.20178200000001</v>
      </c>
      <c r="V70" s="69">
        <v>224.45675700000001</v>
      </c>
      <c r="W70" s="69">
        <v>223.568939</v>
      </c>
      <c r="X70" s="69">
        <v>222.53797900000001</v>
      </c>
      <c r="Y70" s="69">
        <v>221.54235800000001</v>
      </c>
      <c r="Z70" s="69">
        <v>220.49520899999999</v>
      </c>
      <c r="AA70" s="69">
        <v>219.292664</v>
      </c>
      <c r="AB70" s="69">
        <v>218.10140999999999</v>
      </c>
      <c r="AC70" s="69">
        <v>216.69142199999999</v>
      </c>
      <c r="AD70" s="69">
        <v>215.01010099999999</v>
      </c>
      <c r="AE70" s="69">
        <v>213.01475500000001</v>
      </c>
      <c r="AF70" s="69">
        <v>210.57737700000001</v>
      </c>
      <c r="AG70" s="72">
        <v>6.3769999999999999E-3</v>
      </c>
      <c r="AH70">
        <v>5.37134</v>
      </c>
      <c r="AI70">
        <v>5.3437510000000001</v>
      </c>
      <c r="AJ70" s="22">
        <v>6.0000000000000001E-3</v>
      </c>
    </row>
    <row r="71" spans="1:36" ht="24.75">
      <c r="A71" s="39" t="s">
        <v>2242</v>
      </c>
      <c r="B71" s="67" t="s">
        <v>2243</v>
      </c>
      <c r="C71" s="68">
        <v>75.313231999999999</v>
      </c>
      <c r="D71" s="68">
        <v>82.089530999999994</v>
      </c>
      <c r="E71" s="68">
        <v>86.692977999999997</v>
      </c>
      <c r="F71" s="68">
        <v>90.064269999999993</v>
      </c>
      <c r="G71" s="68">
        <v>92.387680000000003</v>
      </c>
      <c r="H71" s="68">
        <v>94.193466000000001</v>
      </c>
      <c r="I71" s="68">
        <v>95.518471000000005</v>
      </c>
      <c r="J71" s="68">
        <v>96.276381999999998</v>
      </c>
      <c r="K71" s="68">
        <v>96.685287000000002</v>
      </c>
      <c r="L71" s="68">
        <v>97.144073000000006</v>
      </c>
      <c r="M71" s="68">
        <v>97.692047000000002</v>
      </c>
      <c r="N71" s="68">
        <v>97.729561000000004</v>
      </c>
      <c r="O71" s="68">
        <v>97.570175000000006</v>
      </c>
      <c r="P71" s="68">
        <v>97.256912</v>
      </c>
      <c r="Q71" s="68">
        <v>96.751548999999997</v>
      </c>
      <c r="R71" s="68">
        <v>96.316826000000006</v>
      </c>
      <c r="S71" s="68">
        <v>95.774390999999994</v>
      </c>
      <c r="T71" s="68">
        <v>95.265297000000004</v>
      </c>
      <c r="U71" s="68">
        <v>94.576369999999997</v>
      </c>
      <c r="V71" s="68">
        <v>94.018851999999995</v>
      </c>
      <c r="W71" s="68">
        <v>93.417525999999995</v>
      </c>
      <c r="X71" s="68">
        <v>92.731255000000004</v>
      </c>
      <c r="Y71" s="68">
        <v>92.131393000000003</v>
      </c>
      <c r="Z71" s="68">
        <v>91.537315000000007</v>
      </c>
      <c r="AA71" s="68">
        <v>90.839286999999999</v>
      </c>
      <c r="AB71" s="68">
        <v>90.224250999999995</v>
      </c>
      <c r="AC71" s="68">
        <v>89.512221999999994</v>
      </c>
      <c r="AD71" s="68">
        <v>88.689475999999999</v>
      </c>
      <c r="AE71" s="68">
        <v>87.816879</v>
      </c>
      <c r="AF71" s="68">
        <v>86.980957000000004</v>
      </c>
      <c r="AG71" s="71">
        <v>4.9789999999999999E-3</v>
      </c>
      <c r="AH71">
        <v>0</v>
      </c>
      <c r="AI71">
        <v>0</v>
      </c>
      <c r="AJ71" t="s">
        <v>111</v>
      </c>
    </row>
    <row r="72" spans="1:36" ht="24.75">
      <c r="A72" s="39" t="s">
        <v>2244</v>
      </c>
      <c r="B72" s="67" t="s">
        <v>2245</v>
      </c>
      <c r="C72" s="68">
        <v>9.6433230000000005</v>
      </c>
      <c r="D72" s="68">
        <v>10.540934</v>
      </c>
      <c r="E72" s="68">
        <v>11.148802999999999</v>
      </c>
      <c r="F72" s="68">
        <v>11.600770000000001</v>
      </c>
      <c r="G72" s="68">
        <v>11.917157</v>
      </c>
      <c r="H72" s="68">
        <v>12.169338</v>
      </c>
      <c r="I72" s="68">
        <v>12.357654999999999</v>
      </c>
      <c r="J72" s="68">
        <v>12.472455</v>
      </c>
      <c r="K72" s="68">
        <v>12.542721</v>
      </c>
      <c r="L72" s="68">
        <v>12.621245999999999</v>
      </c>
      <c r="M72" s="68">
        <v>12.713088000000001</v>
      </c>
      <c r="N72" s="68">
        <v>12.736143</v>
      </c>
      <c r="O72" s="68">
        <v>12.732991999999999</v>
      </c>
      <c r="P72" s="68">
        <v>12.709225</v>
      </c>
      <c r="Q72" s="68">
        <v>12.659914000000001</v>
      </c>
      <c r="R72" s="68">
        <v>12.620424999999999</v>
      </c>
      <c r="S72" s="68">
        <v>12.566718</v>
      </c>
      <c r="T72" s="68">
        <v>12.517704</v>
      </c>
      <c r="U72" s="68">
        <v>12.443576</v>
      </c>
      <c r="V72" s="68">
        <v>12.387663</v>
      </c>
      <c r="W72" s="68">
        <v>12.324693999999999</v>
      </c>
      <c r="X72" s="68">
        <v>12.250159999999999</v>
      </c>
      <c r="Y72" s="68">
        <v>12.187834000000001</v>
      </c>
      <c r="Z72" s="68">
        <v>12.126117000000001</v>
      </c>
      <c r="AA72" s="68">
        <v>12.050186</v>
      </c>
      <c r="AB72" s="68">
        <v>11.985734000000001</v>
      </c>
      <c r="AC72" s="68">
        <v>11.906828000000001</v>
      </c>
      <c r="AD72" s="68">
        <v>11.812537000000001</v>
      </c>
      <c r="AE72" s="68">
        <v>11.712026</v>
      </c>
      <c r="AF72" s="68">
        <v>11.616365999999999</v>
      </c>
      <c r="AG72" s="71">
        <v>6.4400000000000004E-3</v>
      </c>
      <c r="AH72">
        <v>78.515174999999999</v>
      </c>
      <c r="AI72">
        <v>78.090041999999997</v>
      </c>
      <c r="AJ72" s="22">
        <v>5.0000000000000001E-3</v>
      </c>
    </row>
    <row r="73" spans="1:36">
      <c r="A73" s="39" t="s">
        <v>2246</v>
      </c>
      <c r="B73" s="67" t="s">
        <v>2247</v>
      </c>
      <c r="C73" s="68">
        <v>5.1609999999999998E-3</v>
      </c>
      <c r="D73" s="68">
        <v>5.496E-3</v>
      </c>
      <c r="E73" s="68">
        <v>5.7359999999999998E-3</v>
      </c>
      <c r="F73" s="68">
        <v>5.8849999999999996E-3</v>
      </c>
      <c r="G73" s="68">
        <v>5.9800000000000001E-3</v>
      </c>
      <c r="H73" s="68">
        <v>6.0460000000000002E-3</v>
      </c>
      <c r="I73" s="68">
        <v>6.097E-3</v>
      </c>
      <c r="J73" s="68">
        <v>6.1120000000000002E-3</v>
      </c>
      <c r="K73" s="68">
        <v>6.1019999999999998E-3</v>
      </c>
      <c r="L73" s="68">
        <v>6.0910000000000001E-3</v>
      </c>
      <c r="M73" s="68">
        <v>6.0860000000000003E-3</v>
      </c>
      <c r="N73" s="68">
        <v>6.051E-3</v>
      </c>
      <c r="O73" s="68">
        <v>6.0049999999999999E-3</v>
      </c>
      <c r="P73" s="68">
        <v>5.953E-3</v>
      </c>
      <c r="Q73" s="68">
        <v>5.8919999999999997E-3</v>
      </c>
      <c r="R73" s="68">
        <v>5.8339999999999998E-3</v>
      </c>
      <c r="S73" s="68">
        <v>5.7679999999999997E-3</v>
      </c>
      <c r="T73" s="68">
        <v>5.705E-3</v>
      </c>
      <c r="U73" s="68">
        <v>5.6350000000000003E-3</v>
      </c>
      <c r="V73" s="68">
        <v>5.5669999999999999E-3</v>
      </c>
      <c r="W73" s="68">
        <v>5.4999999999999997E-3</v>
      </c>
      <c r="X73" s="68">
        <v>5.4299999999999999E-3</v>
      </c>
      <c r="Y73" s="68">
        <v>5.3619999999999996E-3</v>
      </c>
      <c r="Z73" s="68">
        <v>5.2940000000000001E-3</v>
      </c>
      <c r="AA73" s="68">
        <v>5.2209999999999999E-3</v>
      </c>
      <c r="AB73" s="68">
        <v>5.1489999999999999E-3</v>
      </c>
      <c r="AC73" s="68">
        <v>5.078E-3</v>
      </c>
      <c r="AD73" s="68">
        <v>5.0010000000000002E-3</v>
      </c>
      <c r="AE73" s="68">
        <v>4.9189999999999998E-3</v>
      </c>
      <c r="AF73" s="68">
        <v>4.8370000000000002E-3</v>
      </c>
      <c r="AG73" s="71">
        <v>-2.2309999999999999E-3</v>
      </c>
      <c r="AH73">
        <v>1.4942040000000001</v>
      </c>
      <c r="AI73">
        <v>1.508394</v>
      </c>
      <c r="AJ73" s="22">
        <v>1.9E-2</v>
      </c>
    </row>
    <row r="74" spans="1:36" ht="48.75">
      <c r="A74" s="39" t="s">
        <v>2248</v>
      </c>
      <c r="B74" s="67" t="s">
        <v>2249</v>
      </c>
      <c r="C74" s="68">
        <v>45.060589</v>
      </c>
      <c r="D74" s="68">
        <v>48.910423000000002</v>
      </c>
      <c r="E74" s="68">
        <v>51.438122</v>
      </c>
      <c r="F74" s="68">
        <v>53.268456</v>
      </c>
      <c r="G74" s="68">
        <v>54.502411000000002</v>
      </c>
      <c r="H74" s="68">
        <v>55.450690999999999</v>
      </c>
      <c r="I74" s="68">
        <v>56.114525</v>
      </c>
      <c r="J74" s="68">
        <v>56.457973000000003</v>
      </c>
      <c r="K74" s="68">
        <v>56.608898000000003</v>
      </c>
      <c r="L74" s="68">
        <v>56.796799</v>
      </c>
      <c r="M74" s="68">
        <v>57.038184999999999</v>
      </c>
      <c r="N74" s="68">
        <v>56.982272999999999</v>
      </c>
      <c r="O74" s="68">
        <v>56.809921000000003</v>
      </c>
      <c r="P74" s="68">
        <v>56.540951</v>
      </c>
      <c r="Q74" s="68">
        <v>56.149715</v>
      </c>
      <c r="R74" s="68">
        <v>55.791142000000001</v>
      </c>
      <c r="S74" s="68">
        <v>55.365161999999998</v>
      </c>
      <c r="T74" s="68">
        <v>54.947074999999998</v>
      </c>
      <c r="U74" s="68">
        <v>54.407032000000001</v>
      </c>
      <c r="V74" s="68">
        <v>53.927959000000001</v>
      </c>
      <c r="W74" s="68">
        <v>53.398918000000002</v>
      </c>
      <c r="X74" s="68">
        <v>52.798279000000001</v>
      </c>
      <c r="Y74" s="68">
        <v>52.219101000000002</v>
      </c>
      <c r="Z74" s="68">
        <v>51.604584000000003</v>
      </c>
      <c r="AA74" s="68">
        <v>50.88467</v>
      </c>
      <c r="AB74" s="68">
        <v>50.147407999999999</v>
      </c>
      <c r="AC74" s="68">
        <v>49.255951000000003</v>
      </c>
      <c r="AD74" s="68">
        <v>48.159224999999999</v>
      </c>
      <c r="AE74" s="68">
        <v>46.7896</v>
      </c>
      <c r="AF74" s="68">
        <v>44.974155000000003</v>
      </c>
      <c r="AG74" s="71">
        <v>-6.6000000000000005E-5</v>
      </c>
      <c r="AH74">
        <v>4.3915660000000001</v>
      </c>
      <c r="AI74">
        <v>4.3690100000000003</v>
      </c>
      <c r="AJ74" s="22">
        <v>6.0000000000000001E-3</v>
      </c>
    </row>
    <row r="75" spans="1:36" ht="72.75">
      <c r="A75" s="39" t="s">
        <v>2250</v>
      </c>
      <c r="B75" s="67" t="s">
        <v>2251</v>
      </c>
      <c r="C75" s="68">
        <v>19.164963</v>
      </c>
      <c r="D75" s="68">
        <v>21.02298</v>
      </c>
      <c r="E75" s="68">
        <v>22.358467000000001</v>
      </c>
      <c r="F75" s="68">
        <v>23.335905</v>
      </c>
      <c r="G75" s="68">
        <v>24.015098999999999</v>
      </c>
      <c r="H75" s="68">
        <v>24.532710999999999</v>
      </c>
      <c r="I75" s="68">
        <v>24.923483000000001</v>
      </c>
      <c r="J75" s="68">
        <v>25.149429000000001</v>
      </c>
      <c r="K75" s="68">
        <v>25.266787999999998</v>
      </c>
      <c r="L75" s="68">
        <v>25.382044</v>
      </c>
      <c r="M75" s="68">
        <v>25.510753999999999</v>
      </c>
      <c r="N75" s="68">
        <v>25.501729999999998</v>
      </c>
      <c r="O75" s="68">
        <v>25.436585999999998</v>
      </c>
      <c r="P75" s="68">
        <v>25.330863999999998</v>
      </c>
      <c r="Q75" s="68">
        <v>25.177016999999999</v>
      </c>
      <c r="R75" s="68">
        <v>25.038975000000001</v>
      </c>
      <c r="S75" s="68">
        <v>24.867069000000001</v>
      </c>
      <c r="T75" s="68">
        <v>24.70186</v>
      </c>
      <c r="U75" s="68">
        <v>24.494648000000002</v>
      </c>
      <c r="V75" s="68">
        <v>24.317627000000002</v>
      </c>
      <c r="W75" s="68">
        <v>24.134003</v>
      </c>
      <c r="X75" s="68">
        <v>23.926787999999998</v>
      </c>
      <c r="Y75" s="68">
        <v>23.738327000000002</v>
      </c>
      <c r="Z75" s="68">
        <v>23.551292</v>
      </c>
      <c r="AA75" s="68">
        <v>23.335457000000002</v>
      </c>
      <c r="AB75" s="68">
        <v>23.138323</v>
      </c>
      <c r="AC75" s="68">
        <v>22.922705000000001</v>
      </c>
      <c r="AD75" s="68">
        <v>22.679783</v>
      </c>
      <c r="AE75" s="68">
        <v>22.419288999999999</v>
      </c>
      <c r="AF75" s="68">
        <v>22.166677</v>
      </c>
      <c r="AG75" s="71">
        <v>5.0299999999999997E-3</v>
      </c>
      <c r="AH75">
        <v>0</v>
      </c>
      <c r="AI75">
        <v>0</v>
      </c>
      <c r="AJ75" t="s">
        <v>111</v>
      </c>
    </row>
    <row r="76" spans="1:36">
      <c r="A76" s="39" t="s">
        <v>2252</v>
      </c>
      <c r="B76" s="67" t="s">
        <v>2253</v>
      </c>
      <c r="C76" s="68">
        <v>1.0136350000000001</v>
      </c>
      <c r="D76" s="68">
        <v>1.1214280000000001</v>
      </c>
      <c r="E76" s="68">
        <v>1.1965779999999999</v>
      </c>
      <c r="F76" s="68">
        <v>1.253755</v>
      </c>
      <c r="G76" s="68">
        <v>1.2953699999999999</v>
      </c>
      <c r="H76" s="68">
        <v>1.3301050000000001</v>
      </c>
      <c r="I76" s="68">
        <v>1.357456</v>
      </c>
      <c r="J76" s="68">
        <v>1.375831</v>
      </c>
      <c r="K76" s="68">
        <v>1.3886940000000001</v>
      </c>
      <c r="L76" s="68">
        <v>1.4023129999999999</v>
      </c>
      <c r="M76" s="68">
        <v>1.4178390000000001</v>
      </c>
      <c r="N76" s="68">
        <v>1.4246030000000001</v>
      </c>
      <c r="O76" s="68">
        <v>1.4278219999999999</v>
      </c>
      <c r="P76" s="68">
        <v>1.4284509999999999</v>
      </c>
      <c r="Q76" s="68">
        <v>1.4261349999999999</v>
      </c>
      <c r="R76" s="68">
        <v>1.4251339999999999</v>
      </c>
      <c r="S76" s="68">
        <v>1.4221159999999999</v>
      </c>
      <c r="T76" s="68">
        <v>1.4197329999999999</v>
      </c>
      <c r="U76" s="68">
        <v>1.4140159999999999</v>
      </c>
      <c r="V76" s="68">
        <v>1.4105300000000001</v>
      </c>
      <c r="W76" s="68">
        <v>1.406185</v>
      </c>
      <c r="X76" s="68">
        <v>1.4003129999999999</v>
      </c>
      <c r="Y76" s="68">
        <v>1.3960170000000001</v>
      </c>
      <c r="Z76" s="68">
        <v>1.391753</v>
      </c>
      <c r="AA76" s="68">
        <v>1.385535</v>
      </c>
      <c r="AB76" s="68">
        <v>1.380744</v>
      </c>
      <c r="AC76" s="68">
        <v>1.374058</v>
      </c>
      <c r="AD76" s="68">
        <v>1.3654170000000001</v>
      </c>
      <c r="AE76" s="68">
        <v>1.3559969999999999</v>
      </c>
      <c r="AF76" s="68">
        <v>1.3470800000000001</v>
      </c>
      <c r="AG76" s="71">
        <v>9.8549999999999992E-3</v>
      </c>
      <c r="AH76">
        <v>0</v>
      </c>
      <c r="AI76">
        <v>0</v>
      </c>
      <c r="AJ76" t="s">
        <v>111</v>
      </c>
    </row>
    <row r="77" spans="1:36" ht="24.75">
      <c r="A77" s="39" t="s">
        <v>2254</v>
      </c>
      <c r="B77" s="67" t="s">
        <v>2255</v>
      </c>
      <c r="C77" s="68">
        <v>0.41080800000000001</v>
      </c>
      <c r="D77" s="68">
        <v>0.47196700000000003</v>
      </c>
      <c r="E77" s="68">
        <v>0.52781999999999996</v>
      </c>
      <c r="F77" s="68">
        <v>0.58121599999999995</v>
      </c>
      <c r="G77" s="68">
        <v>0.63278500000000004</v>
      </c>
      <c r="H77" s="68">
        <v>0.68526399999999998</v>
      </c>
      <c r="I77" s="68">
        <v>0.739618</v>
      </c>
      <c r="J77" s="68">
        <v>0.79476100000000005</v>
      </c>
      <c r="K77" s="68">
        <v>0.85218000000000005</v>
      </c>
      <c r="L77" s="68">
        <v>0.91561099999999995</v>
      </c>
      <c r="M77" s="68">
        <v>0.98605200000000004</v>
      </c>
      <c r="N77" s="68">
        <v>1.0587519999999999</v>
      </c>
      <c r="O77" s="68">
        <v>1.136935</v>
      </c>
      <c r="P77" s="68">
        <v>1.221665</v>
      </c>
      <c r="Q77" s="68">
        <v>1.313231</v>
      </c>
      <c r="R77" s="68">
        <v>1.4158059999999999</v>
      </c>
      <c r="S77" s="68">
        <v>1.5282180000000001</v>
      </c>
      <c r="T77" s="68">
        <v>1.6540509999999999</v>
      </c>
      <c r="U77" s="68">
        <v>1.7924979999999999</v>
      </c>
      <c r="V77" s="68">
        <v>1.9507209999999999</v>
      </c>
      <c r="W77" s="68">
        <v>2.1296390000000001</v>
      </c>
      <c r="X77" s="68">
        <v>2.3318880000000002</v>
      </c>
      <c r="Y77" s="68">
        <v>2.5665460000000002</v>
      </c>
      <c r="Z77" s="68">
        <v>2.840255</v>
      </c>
      <c r="AA77" s="68">
        <v>3.1604169999999998</v>
      </c>
      <c r="AB77" s="68">
        <v>3.5493030000000001</v>
      </c>
      <c r="AC77" s="68">
        <v>4.0302100000000003</v>
      </c>
      <c r="AD77" s="68">
        <v>4.6503500000000004</v>
      </c>
      <c r="AE77" s="68">
        <v>5.518154</v>
      </c>
      <c r="AF77" s="68">
        <v>6.8551640000000003</v>
      </c>
      <c r="AG77" s="71">
        <v>0.101922</v>
      </c>
      <c r="AH77">
        <v>67.135193000000001</v>
      </c>
      <c r="AI77">
        <v>67.960930000000005</v>
      </c>
      <c r="AJ77" s="22">
        <v>2.1999999999999999E-2</v>
      </c>
    </row>
    <row r="78" spans="1:36" ht="24.75">
      <c r="A78" s="39" t="s">
        <v>2256</v>
      </c>
      <c r="B78" s="67" t="s">
        <v>2257</v>
      </c>
      <c r="C78" s="68">
        <v>1.4751999999999999E-2</v>
      </c>
      <c r="D78" s="68">
        <v>1.6302000000000001E-2</v>
      </c>
      <c r="E78" s="68">
        <v>1.7451999999999999E-2</v>
      </c>
      <c r="F78" s="68">
        <v>1.8290000000000001E-2</v>
      </c>
      <c r="G78" s="68">
        <v>1.8873000000000001E-2</v>
      </c>
      <c r="H78" s="68">
        <v>1.9307000000000001E-2</v>
      </c>
      <c r="I78" s="68">
        <v>1.9635E-2</v>
      </c>
      <c r="J78" s="68">
        <v>1.9817999999999999E-2</v>
      </c>
      <c r="K78" s="68">
        <v>1.9900000000000001E-2</v>
      </c>
      <c r="L78" s="68">
        <v>1.9973000000000001E-2</v>
      </c>
      <c r="M78" s="68">
        <v>2.0046000000000001E-2</v>
      </c>
      <c r="N78" s="68">
        <v>2.0005999999999999E-2</v>
      </c>
      <c r="O78" s="68">
        <v>1.9921000000000001E-2</v>
      </c>
      <c r="P78" s="68">
        <v>1.9803000000000001E-2</v>
      </c>
      <c r="Q78" s="68">
        <v>1.9649E-2</v>
      </c>
      <c r="R78" s="68">
        <v>1.9505000000000002E-2</v>
      </c>
      <c r="S78" s="68">
        <v>1.9332999999999999E-2</v>
      </c>
      <c r="T78" s="68">
        <v>1.9162999999999999E-2</v>
      </c>
      <c r="U78" s="68">
        <v>1.8963000000000001E-2</v>
      </c>
      <c r="V78" s="68">
        <v>1.8780999999999999E-2</v>
      </c>
      <c r="W78" s="68">
        <v>1.8596000000000001E-2</v>
      </c>
      <c r="X78" s="68">
        <v>1.8394000000000001E-2</v>
      </c>
      <c r="Y78" s="68">
        <v>1.8201999999999999E-2</v>
      </c>
      <c r="Z78" s="68">
        <v>1.8010999999999999E-2</v>
      </c>
      <c r="AA78" s="68">
        <v>1.7798000000000001E-2</v>
      </c>
      <c r="AB78" s="68">
        <v>1.7596000000000001E-2</v>
      </c>
      <c r="AC78" s="68">
        <v>1.7385000000000001E-2</v>
      </c>
      <c r="AD78" s="68">
        <v>1.7155E-2</v>
      </c>
      <c r="AE78" s="68">
        <v>1.6909E-2</v>
      </c>
      <c r="AF78" s="68">
        <v>1.6667000000000001E-2</v>
      </c>
      <c r="AG78" s="71">
        <v>4.2170000000000003E-3</v>
      </c>
      <c r="AH78">
        <v>13.396444000000001</v>
      </c>
      <c r="AI78">
        <v>13.474932000000001</v>
      </c>
      <c r="AJ78" s="22">
        <v>2.5000000000000001E-2</v>
      </c>
    </row>
    <row r="79" spans="1:36" ht="24.75">
      <c r="A79" s="39" t="s">
        <v>2258</v>
      </c>
      <c r="B79" s="67" t="s">
        <v>2259</v>
      </c>
      <c r="C79" s="68">
        <v>24.198651999999999</v>
      </c>
      <c r="D79" s="68">
        <v>27.012305999999999</v>
      </c>
      <c r="E79" s="68">
        <v>29.212630999999998</v>
      </c>
      <c r="F79" s="68">
        <v>30.957491000000001</v>
      </c>
      <c r="G79" s="68">
        <v>32.341728000000003</v>
      </c>
      <c r="H79" s="68">
        <v>33.455863999999998</v>
      </c>
      <c r="I79" s="68">
        <v>34.358207999999998</v>
      </c>
      <c r="J79" s="68">
        <v>35.101486000000001</v>
      </c>
      <c r="K79" s="68">
        <v>35.729759000000001</v>
      </c>
      <c r="L79" s="68">
        <v>36.272857999999999</v>
      </c>
      <c r="M79" s="68">
        <v>36.745235000000001</v>
      </c>
      <c r="N79" s="68">
        <v>37.157916999999998</v>
      </c>
      <c r="O79" s="68">
        <v>37.519179999999999</v>
      </c>
      <c r="P79" s="68">
        <v>37.836520999999998</v>
      </c>
      <c r="Q79" s="68">
        <v>38.120975000000001</v>
      </c>
      <c r="R79" s="68">
        <v>38.371074999999998</v>
      </c>
      <c r="S79" s="68">
        <v>38.582680000000003</v>
      </c>
      <c r="T79" s="68">
        <v>38.780827000000002</v>
      </c>
      <c r="U79" s="68">
        <v>38.998050999999997</v>
      </c>
      <c r="V79" s="68">
        <v>39.207397</v>
      </c>
      <c r="W79" s="68">
        <v>39.410442000000003</v>
      </c>
      <c r="X79" s="68">
        <v>39.611862000000002</v>
      </c>
      <c r="Y79" s="68">
        <v>39.810284000000003</v>
      </c>
      <c r="Z79" s="68">
        <v>40.004852</v>
      </c>
      <c r="AA79" s="68">
        <v>40.199120000000001</v>
      </c>
      <c r="AB79" s="68">
        <v>40.391823000000002</v>
      </c>
      <c r="AC79" s="68">
        <v>40.581470000000003</v>
      </c>
      <c r="AD79" s="68">
        <v>40.771324</v>
      </c>
      <c r="AE79" s="68">
        <v>40.965553</v>
      </c>
      <c r="AF79" s="68">
        <v>41.161906999999999</v>
      </c>
      <c r="AG79" s="71">
        <v>1.8487E-2</v>
      </c>
      <c r="AH79">
        <v>2.0818129999999999</v>
      </c>
      <c r="AI79">
        <v>2.0940089999999998</v>
      </c>
      <c r="AJ79" s="22">
        <v>2.5000000000000001E-2</v>
      </c>
    </row>
    <row r="80" spans="1:36" ht="24.75">
      <c r="A80" s="39" t="s">
        <v>2260</v>
      </c>
      <c r="B80" s="67" t="s">
        <v>2245</v>
      </c>
      <c r="C80" s="68">
        <v>0</v>
      </c>
      <c r="D80" s="68">
        <v>0</v>
      </c>
      <c r="E80" s="68">
        <v>0</v>
      </c>
      <c r="F80" s="68">
        <v>0</v>
      </c>
      <c r="G80" s="68">
        <v>0</v>
      </c>
      <c r="H80" s="68">
        <v>0</v>
      </c>
      <c r="I80" s="68">
        <v>0</v>
      </c>
      <c r="J80" s="68">
        <v>0</v>
      </c>
      <c r="K80" s="68">
        <v>0</v>
      </c>
      <c r="L80" s="68">
        <v>0</v>
      </c>
      <c r="M80" s="68">
        <v>0</v>
      </c>
      <c r="N80" s="68">
        <v>0</v>
      </c>
      <c r="O80" s="68">
        <v>0</v>
      </c>
      <c r="P80" s="68">
        <v>0</v>
      </c>
      <c r="Q80" s="68">
        <v>0</v>
      </c>
      <c r="R80" s="68">
        <v>0</v>
      </c>
      <c r="S80" s="68">
        <v>0</v>
      </c>
      <c r="T80" s="68">
        <v>0</v>
      </c>
      <c r="U80" s="68">
        <v>0</v>
      </c>
      <c r="V80" s="68">
        <v>0</v>
      </c>
      <c r="W80" s="68">
        <v>0</v>
      </c>
      <c r="X80" s="68">
        <v>0</v>
      </c>
      <c r="Y80" s="68">
        <v>0</v>
      </c>
      <c r="Z80" s="68">
        <v>0</v>
      </c>
      <c r="AA80" s="68">
        <v>0</v>
      </c>
      <c r="AB80" s="68">
        <v>0</v>
      </c>
      <c r="AC80" s="68">
        <v>0</v>
      </c>
      <c r="AD80" s="68">
        <v>0</v>
      </c>
      <c r="AE80" s="68">
        <v>0</v>
      </c>
      <c r="AF80" s="68">
        <v>0</v>
      </c>
      <c r="AG80" s="71" t="s">
        <v>2198</v>
      </c>
      <c r="AH80">
        <v>11.314631</v>
      </c>
      <c r="AI80">
        <v>11.380922</v>
      </c>
      <c r="AJ80" s="22">
        <v>2.5000000000000001E-2</v>
      </c>
    </row>
    <row r="81" spans="1:36">
      <c r="A81" s="39" t="s">
        <v>2261</v>
      </c>
      <c r="B81" s="67" t="s">
        <v>2247</v>
      </c>
      <c r="C81" s="68">
        <v>0</v>
      </c>
      <c r="D81" s="68">
        <v>0</v>
      </c>
      <c r="E81" s="68">
        <v>0</v>
      </c>
      <c r="F81" s="68">
        <v>0</v>
      </c>
      <c r="G81" s="68">
        <v>0</v>
      </c>
      <c r="H81" s="68">
        <v>0</v>
      </c>
      <c r="I81" s="68">
        <v>0</v>
      </c>
      <c r="J81" s="68">
        <v>0</v>
      </c>
      <c r="K81" s="68">
        <v>0</v>
      </c>
      <c r="L81" s="68">
        <v>0</v>
      </c>
      <c r="M81" s="68">
        <v>0</v>
      </c>
      <c r="N81" s="68">
        <v>0</v>
      </c>
      <c r="O81" s="68">
        <v>0</v>
      </c>
      <c r="P81" s="68">
        <v>0</v>
      </c>
      <c r="Q81" s="68">
        <v>0</v>
      </c>
      <c r="R81" s="68">
        <v>0</v>
      </c>
      <c r="S81" s="68">
        <v>0</v>
      </c>
      <c r="T81" s="68">
        <v>0</v>
      </c>
      <c r="U81" s="68">
        <v>0</v>
      </c>
      <c r="V81" s="68">
        <v>0</v>
      </c>
      <c r="W81" s="68">
        <v>0</v>
      </c>
      <c r="X81" s="68">
        <v>0</v>
      </c>
      <c r="Y81" s="68">
        <v>0</v>
      </c>
      <c r="Z81" s="68">
        <v>0</v>
      </c>
      <c r="AA81" s="68">
        <v>0</v>
      </c>
      <c r="AB81" s="68">
        <v>0</v>
      </c>
      <c r="AC81" s="68">
        <v>0</v>
      </c>
      <c r="AD81" s="68">
        <v>0</v>
      </c>
      <c r="AE81" s="68">
        <v>0</v>
      </c>
      <c r="AF81" s="68">
        <v>0</v>
      </c>
      <c r="AG81" s="71" t="s">
        <v>2198</v>
      </c>
      <c r="AH81">
        <v>0</v>
      </c>
      <c r="AI81">
        <v>0</v>
      </c>
      <c r="AJ81" t="s">
        <v>111</v>
      </c>
    </row>
    <row r="82" spans="1:36" ht="48.75">
      <c r="A82" s="39" t="s">
        <v>2262</v>
      </c>
      <c r="B82" s="67" t="s">
        <v>2249</v>
      </c>
      <c r="C82" s="68">
        <v>24.198651999999999</v>
      </c>
      <c r="D82" s="68">
        <v>27.012305999999999</v>
      </c>
      <c r="E82" s="68">
        <v>29.212630999999998</v>
      </c>
      <c r="F82" s="68">
        <v>30.957491000000001</v>
      </c>
      <c r="G82" s="68">
        <v>32.341728000000003</v>
      </c>
      <c r="H82" s="68">
        <v>33.455863999999998</v>
      </c>
      <c r="I82" s="68">
        <v>34.358207999999998</v>
      </c>
      <c r="J82" s="68">
        <v>35.101486000000001</v>
      </c>
      <c r="K82" s="68">
        <v>35.729759000000001</v>
      </c>
      <c r="L82" s="68">
        <v>36.272857999999999</v>
      </c>
      <c r="M82" s="68">
        <v>36.745235000000001</v>
      </c>
      <c r="N82" s="68">
        <v>37.157916999999998</v>
      </c>
      <c r="O82" s="68">
        <v>37.519179999999999</v>
      </c>
      <c r="P82" s="68">
        <v>37.836520999999998</v>
      </c>
      <c r="Q82" s="68">
        <v>38.120975000000001</v>
      </c>
      <c r="R82" s="68">
        <v>38.371074999999998</v>
      </c>
      <c r="S82" s="68">
        <v>38.582680000000003</v>
      </c>
      <c r="T82" s="68">
        <v>38.780827000000002</v>
      </c>
      <c r="U82" s="68">
        <v>38.998050999999997</v>
      </c>
      <c r="V82" s="68">
        <v>39.207397</v>
      </c>
      <c r="W82" s="68">
        <v>39.410442000000003</v>
      </c>
      <c r="X82" s="68">
        <v>39.611862000000002</v>
      </c>
      <c r="Y82" s="68">
        <v>39.810284000000003</v>
      </c>
      <c r="Z82" s="68">
        <v>40.004852</v>
      </c>
      <c r="AA82" s="68">
        <v>40.199120000000001</v>
      </c>
      <c r="AB82" s="68">
        <v>40.391823000000002</v>
      </c>
      <c r="AC82" s="68">
        <v>40.581470000000003</v>
      </c>
      <c r="AD82" s="68">
        <v>40.771324</v>
      </c>
      <c r="AE82" s="68">
        <v>40.965553</v>
      </c>
      <c r="AF82" s="68">
        <v>41.161906999999999</v>
      </c>
      <c r="AG82" s="71">
        <v>1.8487E-2</v>
      </c>
      <c r="AH82">
        <v>0</v>
      </c>
      <c r="AI82">
        <v>0</v>
      </c>
      <c r="AJ82" t="s">
        <v>111</v>
      </c>
    </row>
    <row r="83" spans="1:36" ht="72.75">
      <c r="A83" s="39" t="s">
        <v>2263</v>
      </c>
      <c r="B83" s="67" t="s">
        <v>2251</v>
      </c>
      <c r="C83" s="68">
        <v>0</v>
      </c>
      <c r="D83" s="68">
        <v>0</v>
      </c>
      <c r="E83" s="68">
        <v>0</v>
      </c>
      <c r="F83" s="68">
        <v>0</v>
      </c>
      <c r="G83" s="68">
        <v>0</v>
      </c>
      <c r="H83" s="68">
        <v>0</v>
      </c>
      <c r="I83" s="68">
        <v>0</v>
      </c>
      <c r="J83" s="68">
        <v>0</v>
      </c>
      <c r="K83" s="68">
        <v>0</v>
      </c>
      <c r="L83" s="68">
        <v>0</v>
      </c>
      <c r="M83" s="68">
        <v>0</v>
      </c>
      <c r="N83" s="68">
        <v>0</v>
      </c>
      <c r="O83" s="68">
        <v>0</v>
      </c>
      <c r="P83" s="68">
        <v>0</v>
      </c>
      <c r="Q83" s="68">
        <v>0</v>
      </c>
      <c r="R83" s="68">
        <v>0</v>
      </c>
      <c r="S83" s="68">
        <v>0</v>
      </c>
      <c r="T83" s="68">
        <v>0</v>
      </c>
      <c r="U83" s="68">
        <v>0</v>
      </c>
      <c r="V83" s="68">
        <v>0</v>
      </c>
      <c r="W83" s="68">
        <v>0</v>
      </c>
      <c r="X83" s="68">
        <v>0</v>
      </c>
      <c r="Y83" s="68">
        <v>0</v>
      </c>
      <c r="Z83" s="68">
        <v>0</v>
      </c>
      <c r="AA83" s="68">
        <v>0</v>
      </c>
      <c r="AB83" s="68">
        <v>0</v>
      </c>
      <c r="AC83" s="68">
        <v>0</v>
      </c>
      <c r="AD83" s="68">
        <v>0</v>
      </c>
      <c r="AE83" s="68">
        <v>0</v>
      </c>
      <c r="AF83" s="68">
        <v>0</v>
      </c>
      <c r="AG83" s="71" t="s">
        <v>2198</v>
      </c>
      <c r="AH83">
        <v>23.661840000000002</v>
      </c>
      <c r="AI83">
        <v>23.94849</v>
      </c>
      <c r="AJ83" s="22">
        <v>2.1999999999999999E-2</v>
      </c>
    </row>
    <row r="84" spans="1:36">
      <c r="A84" s="39" t="s">
        <v>2264</v>
      </c>
      <c r="B84" s="67" t="s">
        <v>2253</v>
      </c>
      <c r="C84" s="68">
        <v>0</v>
      </c>
      <c r="D84" s="68">
        <v>0</v>
      </c>
      <c r="E84" s="68">
        <v>0</v>
      </c>
      <c r="F84" s="68">
        <v>0</v>
      </c>
      <c r="G84" s="68">
        <v>0</v>
      </c>
      <c r="H84" s="68">
        <v>0</v>
      </c>
      <c r="I84" s="68">
        <v>0</v>
      </c>
      <c r="J84" s="68">
        <v>0</v>
      </c>
      <c r="K84" s="68">
        <v>0</v>
      </c>
      <c r="L84" s="68">
        <v>0</v>
      </c>
      <c r="M84" s="68">
        <v>0</v>
      </c>
      <c r="N84" s="68">
        <v>0</v>
      </c>
      <c r="O84" s="68">
        <v>0</v>
      </c>
      <c r="P84" s="68">
        <v>0</v>
      </c>
      <c r="Q84" s="68">
        <v>0</v>
      </c>
      <c r="R84" s="68">
        <v>0</v>
      </c>
      <c r="S84" s="68">
        <v>0</v>
      </c>
      <c r="T84" s="68">
        <v>0</v>
      </c>
      <c r="U84" s="68">
        <v>0</v>
      </c>
      <c r="V84" s="68">
        <v>0</v>
      </c>
      <c r="W84" s="68">
        <v>0</v>
      </c>
      <c r="X84" s="68">
        <v>0</v>
      </c>
      <c r="Y84" s="68">
        <v>0</v>
      </c>
      <c r="Z84" s="68">
        <v>0</v>
      </c>
      <c r="AA84" s="68">
        <v>0</v>
      </c>
      <c r="AB84" s="68">
        <v>0</v>
      </c>
      <c r="AC84" s="68">
        <v>0</v>
      </c>
      <c r="AD84" s="68">
        <v>0</v>
      </c>
      <c r="AE84" s="68">
        <v>0</v>
      </c>
      <c r="AF84" s="68">
        <v>0</v>
      </c>
      <c r="AG84" s="71" t="s">
        <v>2198</v>
      </c>
      <c r="AH84">
        <v>23.661840000000002</v>
      </c>
      <c r="AI84">
        <v>23.94849</v>
      </c>
      <c r="AJ84" s="22">
        <v>2.1999999999999999E-2</v>
      </c>
    </row>
    <row r="85" spans="1:36" ht="24.75">
      <c r="A85" s="39" t="s">
        <v>2265</v>
      </c>
      <c r="B85" s="67" t="s">
        <v>2255</v>
      </c>
      <c r="C85" s="68">
        <v>0</v>
      </c>
      <c r="D85" s="68">
        <v>0</v>
      </c>
      <c r="E85" s="68">
        <v>0</v>
      </c>
      <c r="F85" s="68">
        <v>0</v>
      </c>
      <c r="G85" s="68">
        <v>0</v>
      </c>
      <c r="H85" s="68">
        <v>0</v>
      </c>
      <c r="I85" s="68">
        <v>0</v>
      </c>
      <c r="J85" s="68">
        <v>0</v>
      </c>
      <c r="K85" s="68">
        <v>0</v>
      </c>
      <c r="L85" s="68">
        <v>0</v>
      </c>
      <c r="M85" s="68">
        <v>0</v>
      </c>
      <c r="N85" s="68">
        <v>0</v>
      </c>
      <c r="O85" s="68">
        <v>0</v>
      </c>
      <c r="P85" s="68">
        <v>0</v>
      </c>
      <c r="Q85" s="68">
        <v>0</v>
      </c>
      <c r="R85" s="68">
        <v>0</v>
      </c>
      <c r="S85" s="68">
        <v>0</v>
      </c>
      <c r="T85" s="68">
        <v>0</v>
      </c>
      <c r="U85" s="68">
        <v>0</v>
      </c>
      <c r="V85" s="68">
        <v>0</v>
      </c>
      <c r="W85" s="68">
        <v>0</v>
      </c>
      <c r="X85" s="68">
        <v>0</v>
      </c>
      <c r="Y85" s="68">
        <v>0</v>
      </c>
      <c r="Z85" s="68">
        <v>0</v>
      </c>
      <c r="AA85" s="68">
        <v>0</v>
      </c>
      <c r="AB85" s="68">
        <v>0</v>
      </c>
      <c r="AC85" s="68">
        <v>0</v>
      </c>
      <c r="AD85" s="68">
        <v>0</v>
      </c>
      <c r="AE85" s="68">
        <v>0</v>
      </c>
      <c r="AF85" s="68">
        <v>0</v>
      </c>
      <c r="AG85" s="71" t="s">
        <v>2198</v>
      </c>
      <c r="AH85">
        <v>30.076912</v>
      </c>
      <c r="AI85">
        <v>30.537510000000001</v>
      </c>
      <c r="AJ85" s="22">
        <v>2.1000000000000001E-2</v>
      </c>
    </row>
    <row r="86" spans="1:36" ht="24.75">
      <c r="A86" s="39" t="s">
        <v>2266</v>
      </c>
      <c r="B86" s="67" t="s">
        <v>2257</v>
      </c>
      <c r="C86" s="68">
        <v>0</v>
      </c>
      <c r="D86" s="68">
        <v>0</v>
      </c>
      <c r="E86" s="68">
        <v>0</v>
      </c>
      <c r="F86" s="68">
        <v>0</v>
      </c>
      <c r="G86" s="68">
        <v>0</v>
      </c>
      <c r="H86" s="68">
        <v>0</v>
      </c>
      <c r="I86" s="68">
        <v>0</v>
      </c>
      <c r="J86" s="68">
        <v>0</v>
      </c>
      <c r="K86" s="68">
        <v>0</v>
      </c>
      <c r="L86" s="68">
        <v>0</v>
      </c>
      <c r="M86" s="68">
        <v>0</v>
      </c>
      <c r="N86" s="68">
        <v>0</v>
      </c>
      <c r="O86" s="68">
        <v>0</v>
      </c>
      <c r="P86" s="68">
        <v>0</v>
      </c>
      <c r="Q86" s="68">
        <v>0</v>
      </c>
      <c r="R86" s="68">
        <v>0</v>
      </c>
      <c r="S86" s="68">
        <v>0</v>
      </c>
      <c r="T86" s="68">
        <v>0</v>
      </c>
      <c r="U86" s="68">
        <v>0</v>
      </c>
      <c r="V86" s="68">
        <v>0</v>
      </c>
      <c r="W86" s="68">
        <v>0</v>
      </c>
      <c r="X86" s="68">
        <v>0</v>
      </c>
      <c r="Y86" s="68">
        <v>0</v>
      </c>
      <c r="Z86" s="68">
        <v>0</v>
      </c>
      <c r="AA86" s="68">
        <v>0</v>
      </c>
      <c r="AB86" s="68">
        <v>0</v>
      </c>
      <c r="AC86" s="68">
        <v>0</v>
      </c>
      <c r="AD86" s="68">
        <v>0</v>
      </c>
      <c r="AE86" s="68">
        <v>0</v>
      </c>
      <c r="AF86" s="68">
        <v>0</v>
      </c>
      <c r="AG86" s="71" t="s">
        <v>2198</v>
      </c>
      <c r="AH86">
        <v>9.5472020000000004</v>
      </c>
      <c r="AI86">
        <v>9.7163330000000006</v>
      </c>
      <c r="AJ86" s="22">
        <v>2.1999999999999999E-2</v>
      </c>
    </row>
    <row r="87" spans="1:36" ht="24.75">
      <c r="A87" s="39" t="s">
        <v>2267</v>
      </c>
      <c r="B87" s="67" t="s">
        <v>2268</v>
      </c>
      <c r="C87" s="68">
        <v>76.044501999999994</v>
      </c>
      <c r="D87" s="68">
        <v>90.79213</v>
      </c>
      <c r="E87" s="68">
        <v>95.971183999999994</v>
      </c>
      <c r="F87" s="68">
        <v>97.429085000000001</v>
      </c>
      <c r="G87" s="68">
        <v>97.634795999999994</v>
      </c>
      <c r="H87" s="68">
        <v>97.284903999999997</v>
      </c>
      <c r="I87" s="68">
        <v>96.741660999999993</v>
      </c>
      <c r="J87" s="68">
        <v>96.209746999999993</v>
      </c>
      <c r="K87" s="68">
        <v>95.684082000000004</v>
      </c>
      <c r="L87" s="68">
        <v>95.148360999999994</v>
      </c>
      <c r="M87" s="68">
        <v>94.614684999999994</v>
      </c>
      <c r="N87" s="68">
        <v>94.155013999999994</v>
      </c>
      <c r="O87" s="68">
        <v>93.805999999999997</v>
      </c>
      <c r="P87" s="68">
        <v>93.575080999999997</v>
      </c>
      <c r="Q87" s="68">
        <v>93.392753999999996</v>
      </c>
      <c r="R87" s="68">
        <v>93.334914999999995</v>
      </c>
      <c r="S87" s="68">
        <v>93.530533000000005</v>
      </c>
      <c r="T87" s="68">
        <v>93.673462000000001</v>
      </c>
      <c r="U87" s="68">
        <v>93.444473000000002</v>
      </c>
      <c r="V87" s="68">
        <v>93.205589000000003</v>
      </c>
      <c r="W87" s="68">
        <v>92.894690999999995</v>
      </c>
      <c r="X87" s="68">
        <v>92.550583000000003</v>
      </c>
      <c r="Y87" s="68">
        <v>92.190781000000001</v>
      </c>
      <c r="Z87" s="68">
        <v>91.816612000000006</v>
      </c>
      <c r="AA87" s="68">
        <v>91.437714</v>
      </c>
      <c r="AB87" s="68">
        <v>91.057372999999998</v>
      </c>
      <c r="AC87" s="68">
        <v>90.650406000000004</v>
      </c>
      <c r="AD87" s="68">
        <v>90.221801999999997</v>
      </c>
      <c r="AE87" s="68">
        <v>89.772278</v>
      </c>
      <c r="AF87" s="68">
        <v>89.311194999999998</v>
      </c>
      <c r="AG87" s="71">
        <v>5.561E-3</v>
      </c>
      <c r="AH87">
        <v>20.529709</v>
      </c>
      <c r="AI87">
        <v>20.821176999999999</v>
      </c>
      <c r="AJ87" s="22">
        <v>2.1000000000000001E-2</v>
      </c>
    </row>
    <row r="88" spans="1:36" ht="24.75">
      <c r="A88" s="39" t="s">
        <v>2269</v>
      </c>
      <c r="B88" s="67" t="s">
        <v>2245</v>
      </c>
      <c r="C88" s="68">
        <v>4.5499660000000004</v>
      </c>
      <c r="D88" s="68">
        <v>5.4323610000000002</v>
      </c>
      <c r="E88" s="68">
        <v>5.7422389999999996</v>
      </c>
      <c r="F88" s="68">
        <v>5.8294680000000003</v>
      </c>
      <c r="G88" s="68">
        <v>5.8417770000000004</v>
      </c>
      <c r="H88" s="68">
        <v>5.8208419999999998</v>
      </c>
      <c r="I88" s="68">
        <v>5.7883389999999997</v>
      </c>
      <c r="J88" s="68">
        <v>5.7565119999999999</v>
      </c>
      <c r="K88" s="68">
        <v>5.72506</v>
      </c>
      <c r="L88" s="68">
        <v>5.6930069999999997</v>
      </c>
      <c r="M88" s="68">
        <v>5.6610750000000003</v>
      </c>
      <c r="N88" s="68">
        <v>5.6335709999999999</v>
      </c>
      <c r="O88" s="68">
        <v>5.6126889999999996</v>
      </c>
      <c r="P88" s="68">
        <v>5.5988730000000002</v>
      </c>
      <c r="Q88" s="68">
        <v>5.5879630000000002</v>
      </c>
      <c r="R88" s="68">
        <v>5.5845029999999998</v>
      </c>
      <c r="S88" s="68">
        <v>5.5962059999999996</v>
      </c>
      <c r="T88" s="68">
        <v>5.6047589999999996</v>
      </c>
      <c r="U88" s="68">
        <v>5.5910580000000003</v>
      </c>
      <c r="V88" s="68">
        <v>5.576765</v>
      </c>
      <c r="W88" s="68">
        <v>5.5581630000000004</v>
      </c>
      <c r="X88" s="68">
        <v>5.5375730000000001</v>
      </c>
      <c r="Y88" s="68">
        <v>5.5160460000000002</v>
      </c>
      <c r="Z88" s="68">
        <v>5.4936579999999999</v>
      </c>
      <c r="AA88" s="68">
        <v>5.470987</v>
      </c>
      <c r="AB88" s="68">
        <v>5.4482299999999997</v>
      </c>
      <c r="AC88" s="68">
        <v>5.4238799999999996</v>
      </c>
      <c r="AD88" s="68">
        <v>5.3982349999999997</v>
      </c>
      <c r="AE88" s="68">
        <v>5.37134</v>
      </c>
      <c r="AF88" s="68">
        <v>5.3437510000000001</v>
      </c>
      <c r="AG88" s="71">
        <v>5.561E-3</v>
      </c>
      <c r="AH88">
        <v>0</v>
      </c>
      <c r="AI88">
        <v>0</v>
      </c>
      <c r="AJ88" t="s">
        <v>111</v>
      </c>
    </row>
    <row r="89" spans="1:36">
      <c r="A89" s="39" t="s">
        <v>2270</v>
      </c>
      <c r="B89" s="67" t="s">
        <v>2247</v>
      </c>
      <c r="C89" s="68">
        <v>0</v>
      </c>
      <c r="D89" s="68">
        <v>0</v>
      </c>
      <c r="E89" s="68">
        <v>0</v>
      </c>
      <c r="F89" s="68">
        <v>0</v>
      </c>
      <c r="G89" s="68">
        <v>0</v>
      </c>
      <c r="H89" s="68">
        <v>0</v>
      </c>
      <c r="I89" s="68">
        <v>0</v>
      </c>
      <c r="J89" s="68">
        <v>0</v>
      </c>
      <c r="K89" s="68">
        <v>0</v>
      </c>
      <c r="L89" s="68">
        <v>0</v>
      </c>
      <c r="M89" s="68">
        <v>0</v>
      </c>
      <c r="N89" s="68">
        <v>0</v>
      </c>
      <c r="O89" s="68">
        <v>0</v>
      </c>
      <c r="P89" s="68">
        <v>0</v>
      </c>
      <c r="Q89" s="68">
        <v>0</v>
      </c>
      <c r="R89" s="68">
        <v>0</v>
      </c>
      <c r="S89" s="68">
        <v>0</v>
      </c>
      <c r="T89" s="68">
        <v>0</v>
      </c>
      <c r="U89" s="68">
        <v>0</v>
      </c>
      <c r="V89" s="68">
        <v>0</v>
      </c>
      <c r="W89" s="68">
        <v>0</v>
      </c>
      <c r="X89" s="68">
        <v>0</v>
      </c>
      <c r="Y89" s="68">
        <v>0</v>
      </c>
      <c r="Z89" s="68">
        <v>0</v>
      </c>
      <c r="AA89" s="68">
        <v>0</v>
      </c>
      <c r="AB89" s="68">
        <v>0</v>
      </c>
      <c r="AC89" s="68">
        <v>0</v>
      </c>
      <c r="AD89" s="68">
        <v>0</v>
      </c>
      <c r="AE89" s="68">
        <v>0</v>
      </c>
      <c r="AF89" s="68">
        <v>0</v>
      </c>
      <c r="AG89" s="71" t="s">
        <v>2198</v>
      </c>
      <c r="AH89">
        <v>0</v>
      </c>
      <c r="AI89">
        <v>0</v>
      </c>
      <c r="AJ89" t="s">
        <v>111</v>
      </c>
    </row>
    <row r="90" spans="1:36" ht="48.75">
      <c r="A90" s="39" t="s">
        <v>2271</v>
      </c>
      <c r="B90" s="67" t="s">
        <v>2249</v>
      </c>
      <c r="C90" s="68">
        <v>66.903946000000005</v>
      </c>
      <c r="D90" s="68">
        <v>79.866623000000004</v>
      </c>
      <c r="E90" s="68">
        <v>84.410392999999999</v>
      </c>
      <c r="F90" s="68">
        <v>85.676758000000007</v>
      </c>
      <c r="G90" s="68">
        <v>85.841071999999997</v>
      </c>
      <c r="H90" s="68">
        <v>85.516707999999994</v>
      </c>
      <c r="I90" s="68">
        <v>85.022239999999996</v>
      </c>
      <c r="J90" s="68">
        <v>84.537384000000003</v>
      </c>
      <c r="K90" s="68">
        <v>84.058197000000007</v>
      </c>
      <c r="L90" s="68">
        <v>83.57029</v>
      </c>
      <c r="M90" s="68">
        <v>83.087447999999995</v>
      </c>
      <c r="N90" s="68">
        <v>82.669296000000003</v>
      </c>
      <c r="O90" s="68">
        <v>82.348731999999998</v>
      </c>
      <c r="P90" s="68">
        <v>82.131691000000004</v>
      </c>
      <c r="Q90" s="68">
        <v>81.956665000000001</v>
      </c>
      <c r="R90" s="68">
        <v>81.890297000000004</v>
      </c>
      <c r="S90" s="68">
        <v>82.045471000000006</v>
      </c>
      <c r="T90" s="68">
        <v>82.153717</v>
      </c>
      <c r="U90" s="68">
        <v>81.93544</v>
      </c>
      <c r="V90" s="68">
        <v>81.707840000000004</v>
      </c>
      <c r="W90" s="68">
        <v>81.416816999999995</v>
      </c>
      <c r="X90" s="68">
        <v>81.096405000000004</v>
      </c>
      <c r="Y90" s="68">
        <v>80.761443999999997</v>
      </c>
      <c r="Z90" s="68">
        <v>80.413048000000003</v>
      </c>
      <c r="AA90" s="68">
        <v>80.060181</v>
      </c>
      <c r="AB90" s="68">
        <v>79.705521000000005</v>
      </c>
      <c r="AC90" s="68">
        <v>79.327445999999995</v>
      </c>
      <c r="AD90" s="68">
        <v>78.930412000000004</v>
      </c>
      <c r="AE90" s="68">
        <v>78.515174999999999</v>
      </c>
      <c r="AF90" s="68">
        <v>78.090041999999997</v>
      </c>
      <c r="AG90" s="71">
        <v>5.3449999999999999E-3</v>
      </c>
      <c r="AH90">
        <v>192.858002</v>
      </c>
      <c r="AI90">
        <v>192.57214400000001</v>
      </c>
      <c r="AJ90" s="22">
        <v>-2E-3</v>
      </c>
    </row>
    <row r="91" spans="1:36" ht="72.75">
      <c r="A91" s="39" t="s">
        <v>2272</v>
      </c>
      <c r="B91" s="67" t="s">
        <v>2251</v>
      </c>
      <c r="C91" s="68">
        <v>0.87057399999999996</v>
      </c>
      <c r="D91" s="68">
        <v>1.0516920000000001</v>
      </c>
      <c r="E91" s="68">
        <v>1.1237379999999999</v>
      </c>
      <c r="F91" s="68">
        <v>1.1567270000000001</v>
      </c>
      <c r="G91" s="68">
        <v>1.1757610000000001</v>
      </c>
      <c r="H91" s="68">
        <v>1.18828</v>
      </c>
      <c r="I91" s="68">
        <v>1.1985840000000001</v>
      </c>
      <c r="J91" s="68">
        <v>1.2093670000000001</v>
      </c>
      <c r="K91" s="68">
        <v>1.2200660000000001</v>
      </c>
      <c r="L91" s="68">
        <v>1.230507</v>
      </c>
      <c r="M91" s="68">
        <v>1.237716</v>
      </c>
      <c r="N91" s="68">
        <v>1.2461850000000001</v>
      </c>
      <c r="O91" s="68">
        <v>1.2556890000000001</v>
      </c>
      <c r="P91" s="68">
        <v>1.2669239999999999</v>
      </c>
      <c r="Q91" s="68">
        <v>1.279453</v>
      </c>
      <c r="R91" s="68">
        <v>1.2942689999999999</v>
      </c>
      <c r="S91" s="68">
        <v>1.3134410000000001</v>
      </c>
      <c r="T91" s="68">
        <v>1.332581</v>
      </c>
      <c r="U91" s="68">
        <v>1.34677</v>
      </c>
      <c r="V91" s="68">
        <v>1.3614630000000001</v>
      </c>
      <c r="W91" s="68">
        <v>1.375402</v>
      </c>
      <c r="X91" s="68">
        <v>1.389122</v>
      </c>
      <c r="Y91" s="68">
        <v>1.40341</v>
      </c>
      <c r="Z91" s="68">
        <v>1.418331</v>
      </c>
      <c r="AA91" s="68">
        <v>1.4335059999999999</v>
      </c>
      <c r="AB91" s="68">
        <v>1.449198</v>
      </c>
      <c r="AC91" s="68">
        <v>1.4645550000000001</v>
      </c>
      <c r="AD91" s="68">
        <v>1.479595</v>
      </c>
      <c r="AE91" s="68">
        <v>1.4942040000000001</v>
      </c>
      <c r="AF91" s="68">
        <v>1.508394</v>
      </c>
      <c r="AG91" s="71">
        <v>1.9134000000000002E-2</v>
      </c>
      <c r="AH91">
        <v>148.35287500000001</v>
      </c>
      <c r="AI91">
        <v>147.84863300000001</v>
      </c>
      <c r="AJ91" s="22">
        <v>-4.0000000000000001E-3</v>
      </c>
    </row>
    <row r="92" spans="1:36">
      <c r="A92" s="39" t="s">
        <v>2273</v>
      </c>
      <c r="B92" s="67" t="s">
        <v>2253</v>
      </c>
      <c r="C92" s="68">
        <v>3.7200169999999999</v>
      </c>
      <c r="D92" s="68">
        <v>4.4414559999999996</v>
      </c>
      <c r="E92" s="68">
        <v>4.6948090000000002</v>
      </c>
      <c r="F92" s="68">
        <v>4.7661290000000003</v>
      </c>
      <c r="G92" s="68">
        <v>4.776192</v>
      </c>
      <c r="H92" s="68">
        <v>4.7590760000000003</v>
      </c>
      <c r="I92" s="68">
        <v>4.7325010000000001</v>
      </c>
      <c r="J92" s="68">
        <v>4.7064789999999999</v>
      </c>
      <c r="K92" s="68">
        <v>4.6807660000000002</v>
      </c>
      <c r="L92" s="68">
        <v>4.6545579999999998</v>
      </c>
      <c r="M92" s="68">
        <v>4.6284510000000001</v>
      </c>
      <c r="N92" s="68">
        <v>4.6059640000000002</v>
      </c>
      <c r="O92" s="68">
        <v>4.5888910000000003</v>
      </c>
      <c r="P92" s="68">
        <v>4.5775959999999998</v>
      </c>
      <c r="Q92" s="68">
        <v>4.568676</v>
      </c>
      <c r="R92" s="68">
        <v>4.5658450000000004</v>
      </c>
      <c r="S92" s="68">
        <v>4.5754159999999997</v>
      </c>
      <c r="T92" s="68">
        <v>4.5824069999999999</v>
      </c>
      <c r="U92" s="68">
        <v>4.5712060000000001</v>
      </c>
      <c r="V92" s="68">
        <v>4.55952</v>
      </c>
      <c r="W92" s="68">
        <v>4.5443110000000004</v>
      </c>
      <c r="X92" s="68">
        <v>4.5274770000000002</v>
      </c>
      <c r="Y92" s="68">
        <v>4.5098760000000002</v>
      </c>
      <c r="Z92" s="68">
        <v>4.4915719999999997</v>
      </c>
      <c r="AA92" s="68">
        <v>4.4730369999999997</v>
      </c>
      <c r="AB92" s="68">
        <v>4.4544319999999997</v>
      </c>
      <c r="AC92" s="68">
        <v>4.4345220000000003</v>
      </c>
      <c r="AD92" s="68">
        <v>4.4135559999999998</v>
      </c>
      <c r="AE92" s="68">
        <v>4.3915660000000001</v>
      </c>
      <c r="AF92" s="68">
        <v>4.3690100000000003</v>
      </c>
      <c r="AG92" s="71">
        <v>5.561E-3</v>
      </c>
      <c r="AH92">
        <v>44.505119000000001</v>
      </c>
      <c r="AI92">
        <v>44.723514999999999</v>
      </c>
      <c r="AJ92" s="22">
        <v>5.0000000000000001E-3</v>
      </c>
    </row>
    <row r="93" spans="1:36" ht="24.75">
      <c r="A93" s="39" t="s">
        <v>2274</v>
      </c>
      <c r="B93" s="67" t="s">
        <v>2255</v>
      </c>
      <c r="C93" s="68">
        <v>0</v>
      </c>
      <c r="D93" s="68">
        <v>0</v>
      </c>
      <c r="E93" s="68">
        <v>0</v>
      </c>
      <c r="F93" s="68">
        <v>0</v>
      </c>
      <c r="G93" s="68">
        <v>0</v>
      </c>
      <c r="H93" s="68">
        <v>0</v>
      </c>
      <c r="I93" s="68">
        <v>0</v>
      </c>
      <c r="J93" s="68">
        <v>0</v>
      </c>
      <c r="K93" s="68">
        <v>0</v>
      </c>
      <c r="L93" s="68">
        <v>0</v>
      </c>
      <c r="M93" s="68">
        <v>0</v>
      </c>
      <c r="N93" s="68">
        <v>0</v>
      </c>
      <c r="O93" s="68">
        <v>0</v>
      </c>
      <c r="P93" s="68">
        <v>0</v>
      </c>
      <c r="Q93" s="68">
        <v>0</v>
      </c>
      <c r="R93" s="68">
        <v>0</v>
      </c>
      <c r="S93" s="68">
        <v>0</v>
      </c>
      <c r="T93" s="68">
        <v>0</v>
      </c>
      <c r="U93" s="68">
        <v>0</v>
      </c>
      <c r="V93" s="68">
        <v>0</v>
      </c>
      <c r="W93" s="68">
        <v>0</v>
      </c>
      <c r="X93" s="68">
        <v>0</v>
      </c>
      <c r="Y93" s="68">
        <v>0</v>
      </c>
      <c r="Z93" s="68">
        <v>0</v>
      </c>
      <c r="AA93" s="68">
        <v>0</v>
      </c>
      <c r="AB93" s="68">
        <v>0</v>
      </c>
      <c r="AC93" s="68">
        <v>0</v>
      </c>
      <c r="AD93" s="68">
        <v>0</v>
      </c>
      <c r="AE93" s="68">
        <v>0</v>
      </c>
      <c r="AF93" s="68">
        <v>0</v>
      </c>
      <c r="AG93" s="71" t="s">
        <v>2198</v>
      </c>
      <c r="AH93">
        <v>132.70448300000001</v>
      </c>
      <c r="AI93">
        <v>132.83111600000001</v>
      </c>
      <c r="AJ93" s="22">
        <v>2E-3</v>
      </c>
    </row>
    <row r="94" spans="1:36" ht="24.75">
      <c r="A94" s="39" t="s">
        <v>2275</v>
      </c>
      <c r="B94" s="67" t="s">
        <v>2257</v>
      </c>
      <c r="C94" s="68">
        <v>0</v>
      </c>
      <c r="D94" s="68">
        <v>0</v>
      </c>
      <c r="E94" s="68">
        <v>0</v>
      </c>
      <c r="F94" s="68">
        <v>0</v>
      </c>
      <c r="G94" s="68">
        <v>0</v>
      </c>
      <c r="H94" s="68">
        <v>0</v>
      </c>
      <c r="I94" s="68">
        <v>0</v>
      </c>
      <c r="J94" s="68">
        <v>0</v>
      </c>
      <c r="K94" s="68">
        <v>0</v>
      </c>
      <c r="L94" s="68">
        <v>0</v>
      </c>
      <c r="M94" s="68">
        <v>0</v>
      </c>
      <c r="N94" s="68">
        <v>0</v>
      </c>
      <c r="O94" s="68">
        <v>0</v>
      </c>
      <c r="P94" s="68">
        <v>0</v>
      </c>
      <c r="Q94" s="68">
        <v>0</v>
      </c>
      <c r="R94" s="68">
        <v>0</v>
      </c>
      <c r="S94" s="68">
        <v>0</v>
      </c>
      <c r="T94" s="68">
        <v>0</v>
      </c>
      <c r="U94" s="68">
        <v>0</v>
      </c>
      <c r="V94" s="68">
        <v>0</v>
      </c>
      <c r="W94" s="68">
        <v>0</v>
      </c>
      <c r="X94" s="68">
        <v>0</v>
      </c>
      <c r="Y94" s="68">
        <v>0</v>
      </c>
      <c r="Z94" s="68">
        <v>0</v>
      </c>
      <c r="AA94" s="68">
        <v>0</v>
      </c>
      <c r="AB94" s="68">
        <v>0</v>
      </c>
      <c r="AC94" s="68">
        <v>0</v>
      </c>
      <c r="AD94" s="68">
        <v>0</v>
      </c>
      <c r="AE94" s="68">
        <v>0</v>
      </c>
      <c r="AF94" s="68">
        <v>0</v>
      </c>
      <c r="AG94" s="71" t="s">
        <v>2198</v>
      </c>
      <c r="AH94">
        <v>703.19329800000003</v>
      </c>
      <c r="AI94">
        <v>710.15020800000002</v>
      </c>
      <c r="AJ94" s="22">
        <v>-2E-3</v>
      </c>
    </row>
    <row r="95" spans="1:36" ht="36.75">
      <c r="A95" s="39" t="s">
        <v>2276</v>
      </c>
      <c r="B95" s="66" t="s">
        <v>2172</v>
      </c>
      <c r="C95" s="69">
        <v>35.747318</v>
      </c>
      <c r="D95" s="69">
        <v>40.344104999999999</v>
      </c>
      <c r="E95" s="69">
        <v>43.365397999999999</v>
      </c>
      <c r="F95" s="69">
        <v>45.948174000000002</v>
      </c>
      <c r="G95" s="69">
        <v>47.974677999999997</v>
      </c>
      <c r="H95" s="69">
        <v>49.670772999999997</v>
      </c>
      <c r="I95" s="69">
        <v>50.918190000000003</v>
      </c>
      <c r="J95" s="69">
        <v>51.923713999999997</v>
      </c>
      <c r="K95" s="69">
        <v>52.848305000000003</v>
      </c>
      <c r="L95" s="69">
        <v>53.864001999999999</v>
      </c>
      <c r="M95" s="69">
        <v>54.846595999999998</v>
      </c>
      <c r="N95" s="69">
        <v>55.669662000000002</v>
      </c>
      <c r="O95" s="69">
        <v>56.455813999999997</v>
      </c>
      <c r="P95" s="69">
        <v>57.163257999999999</v>
      </c>
      <c r="Q95" s="69">
        <v>57.769817000000003</v>
      </c>
      <c r="R95" s="69">
        <v>58.395102999999999</v>
      </c>
      <c r="S95" s="69">
        <v>59.068030999999998</v>
      </c>
      <c r="T95" s="69">
        <v>59.723274000000004</v>
      </c>
      <c r="U95" s="69">
        <v>60.304985000000002</v>
      </c>
      <c r="V95" s="69">
        <v>60.995941000000002</v>
      </c>
      <c r="W95" s="69">
        <v>61.573295999999999</v>
      </c>
      <c r="X95" s="69">
        <v>62.161354000000003</v>
      </c>
      <c r="Y95" s="69">
        <v>62.81823</v>
      </c>
      <c r="Z95" s="69">
        <v>63.486359</v>
      </c>
      <c r="AA95" s="69">
        <v>64.212356999999997</v>
      </c>
      <c r="AB95" s="69">
        <v>65.027725000000004</v>
      </c>
      <c r="AC95" s="69">
        <v>65.726546999999997</v>
      </c>
      <c r="AD95" s="69">
        <v>66.387557999999999</v>
      </c>
      <c r="AE95" s="69">
        <v>67.135193000000001</v>
      </c>
      <c r="AF95" s="69">
        <v>67.960930000000005</v>
      </c>
      <c r="AG95" s="72">
        <v>2.2401000000000001E-2</v>
      </c>
      <c r="AH95">
        <v>28719.751952999999</v>
      </c>
      <c r="AI95">
        <v>28946.207031000002</v>
      </c>
      <c r="AJ95" s="22">
        <v>3.0000000000000001E-3</v>
      </c>
    </row>
    <row r="96" spans="1:36" ht="24.75">
      <c r="A96" s="39" t="s">
        <v>2277</v>
      </c>
      <c r="B96" s="67" t="s">
        <v>2278</v>
      </c>
      <c r="C96" s="68">
        <v>6.5376079999999996</v>
      </c>
      <c r="D96" s="68">
        <v>7.6941170000000003</v>
      </c>
      <c r="E96" s="68">
        <v>8.600384</v>
      </c>
      <c r="F96" s="68">
        <v>9.3146170000000001</v>
      </c>
      <c r="G96" s="68">
        <v>9.8805449999999997</v>
      </c>
      <c r="H96" s="68">
        <v>10.335025999999999</v>
      </c>
      <c r="I96" s="68">
        <v>10.704774</v>
      </c>
      <c r="J96" s="68">
        <v>11.008782</v>
      </c>
      <c r="K96" s="68">
        <v>11.263825000000001</v>
      </c>
      <c r="L96" s="68">
        <v>11.482137</v>
      </c>
      <c r="M96" s="68">
        <v>11.671988000000001</v>
      </c>
      <c r="N96" s="68">
        <v>11.837391999999999</v>
      </c>
      <c r="O96" s="68">
        <v>11.982087999999999</v>
      </c>
      <c r="P96" s="68">
        <v>12.11</v>
      </c>
      <c r="Q96" s="68">
        <v>12.225593999999999</v>
      </c>
      <c r="R96" s="68">
        <v>12.328609</v>
      </c>
      <c r="S96" s="68">
        <v>12.416886</v>
      </c>
      <c r="T96" s="68">
        <v>12.500261</v>
      </c>
      <c r="U96" s="68">
        <v>12.589261</v>
      </c>
      <c r="V96" s="68">
        <v>12.674621999999999</v>
      </c>
      <c r="W96" s="68">
        <v>12.758965</v>
      </c>
      <c r="X96" s="68">
        <v>12.842041</v>
      </c>
      <c r="Y96" s="68">
        <v>12.923666000000001</v>
      </c>
      <c r="Z96" s="68">
        <v>13.003992</v>
      </c>
      <c r="AA96" s="68">
        <v>13.083086</v>
      </c>
      <c r="AB96" s="68">
        <v>13.161218999999999</v>
      </c>
      <c r="AC96" s="68">
        <v>13.239566</v>
      </c>
      <c r="AD96" s="68">
        <v>13.317968</v>
      </c>
      <c r="AE96" s="68">
        <v>13.396444000000001</v>
      </c>
      <c r="AF96" s="68">
        <v>13.474932000000001</v>
      </c>
      <c r="AG96" s="71">
        <v>2.5253999999999999E-2</v>
      </c>
    </row>
    <row r="97" spans="1:33" ht="24.75">
      <c r="A97" s="39" t="s">
        <v>2279</v>
      </c>
      <c r="B97" s="67" t="s">
        <v>2255</v>
      </c>
      <c r="C97" s="68">
        <v>1.0159469999999999</v>
      </c>
      <c r="D97" s="68">
        <v>1.1956690000000001</v>
      </c>
      <c r="E97" s="68">
        <v>1.336503</v>
      </c>
      <c r="F97" s="68">
        <v>1.447495</v>
      </c>
      <c r="G97" s="68">
        <v>1.5354399999999999</v>
      </c>
      <c r="H97" s="68">
        <v>1.6060669999999999</v>
      </c>
      <c r="I97" s="68">
        <v>1.663527</v>
      </c>
      <c r="J97" s="68">
        <v>1.710769</v>
      </c>
      <c r="K97" s="68">
        <v>1.750402</v>
      </c>
      <c r="L97" s="68">
        <v>1.7843279999999999</v>
      </c>
      <c r="M97" s="68">
        <v>1.813831</v>
      </c>
      <c r="N97" s="68">
        <v>1.8395360000000001</v>
      </c>
      <c r="O97" s="68">
        <v>1.8620209999999999</v>
      </c>
      <c r="P97" s="68">
        <v>1.881899</v>
      </c>
      <c r="Q97" s="68">
        <v>1.8998619999999999</v>
      </c>
      <c r="R97" s="68">
        <v>1.9158710000000001</v>
      </c>
      <c r="S97" s="68">
        <v>1.929589</v>
      </c>
      <c r="T97" s="68">
        <v>1.9425460000000001</v>
      </c>
      <c r="U97" s="68">
        <v>1.9563759999999999</v>
      </c>
      <c r="V97" s="68">
        <v>1.969641</v>
      </c>
      <c r="W97" s="68">
        <v>1.982748</v>
      </c>
      <c r="X97" s="68">
        <v>1.9956579999999999</v>
      </c>
      <c r="Y97" s="68">
        <v>2.008343</v>
      </c>
      <c r="Z97" s="68">
        <v>2.0208249999999999</v>
      </c>
      <c r="AA97" s="68">
        <v>2.0331160000000001</v>
      </c>
      <c r="AB97" s="68">
        <v>2.0452590000000002</v>
      </c>
      <c r="AC97" s="68">
        <v>2.0574340000000002</v>
      </c>
      <c r="AD97" s="68">
        <v>2.069617</v>
      </c>
      <c r="AE97" s="68">
        <v>2.0818129999999999</v>
      </c>
      <c r="AF97" s="68">
        <v>2.0940089999999998</v>
      </c>
      <c r="AG97" s="71">
        <v>2.5253999999999999E-2</v>
      </c>
    </row>
    <row r="98" spans="1:33">
      <c r="A98" s="39" t="s">
        <v>2280</v>
      </c>
      <c r="B98" s="67" t="s">
        <v>2281</v>
      </c>
      <c r="C98" s="68">
        <v>5.5216609999999999</v>
      </c>
      <c r="D98" s="68">
        <v>6.4984479999999998</v>
      </c>
      <c r="E98" s="68">
        <v>7.2638809999999996</v>
      </c>
      <c r="F98" s="68">
        <v>7.8671220000000002</v>
      </c>
      <c r="G98" s="68">
        <v>8.3451039999999992</v>
      </c>
      <c r="H98" s="68">
        <v>8.7289589999999997</v>
      </c>
      <c r="I98" s="68">
        <v>9.0412470000000003</v>
      </c>
      <c r="J98" s="68">
        <v>9.2980140000000002</v>
      </c>
      <c r="K98" s="68">
        <v>9.5134229999999995</v>
      </c>
      <c r="L98" s="68">
        <v>9.6978080000000002</v>
      </c>
      <c r="M98" s="68">
        <v>9.8581559999999993</v>
      </c>
      <c r="N98" s="68">
        <v>9.9978560000000005</v>
      </c>
      <c r="O98" s="68">
        <v>10.120067000000001</v>
      </c>
      <c r="P98" s="68">
        <v>10.228101000000001</v>
      </c>
      <c r="Q98" s="68">
        <v>10.325730999999999</v>
      </c>
      <c r="R98" s="68">
        <v>10.412739</v>
      </c>
      <c r="S98" s="68">
        <v>10.487297</v>
      </c>
      <c r="T98" s="68">
        <v>10.557715</v>
      </c>
      <c r="U98" s="68">
        <v>10.632885</v>
      </c>
      <c r="V98" s="68">
        <v>10.704981</v>
      </c>
      <c r="W98" s="68">
        <v>10.776217000000001</v>
      </c>
      <c r="X98" s="68">
        <v>10.846382999999999</v>
      </c>
      <c r="Y98" s="68">
        <v>10.915323000000001</v>
      </c>
      <c r="Z98" s="68">
        <v>10.983167</v>
      </c>
      <c r="AA98" s="68">
        <v>11.04997</v>
      </c>
      <c r="AB98" s="68">
        <v>11.115959999999999</v>
      </c>
      <c r="AC98" s="68">
        <v>11.182131999999999</v>
      </c>
      <c r="AD98" s="68">
        <v>11.248351</v>
      </c>
      <c r="AE98" s="68">
        <v>11.314631</v>
      </c>
      <c r="AF98" s="68">
        <v>11.380922</v>
      </c>
      <c r="AG98" s="71">
        <v>2.5253999999999999E-2</v>
      </c>
    </row>
    <row r="99" spans="1:33" ht="60.75">
      <c r="A99" s="39" t="s">
        <v>2282</v>
      </c>
      <c r="B99" s="67" t="s">
        <v>2283</v>
      </c>
      <c r="C99" s="68">
        <v>0</v>
      </c>
      <c r="D99" s="68">
        <v>0</v>
      </c>
      <c r="E99" s="68">
        <v>0</v>
      </c>
      <c r="F99" s="68">
        <v>0</v>
      </c>
      <c r="G99" s="68">
        <v>0</v>
      </c>
      <c r="H99" s="68">
        <v>0</v>
      </c>
      <c r="I99" s="68">
        <v>0</v>
      </c>
      <c r="J99" s="68">
        <v>0</v>
      </c>
      <c r="K99" s="68">
        <v>0</v>
      </c>
      <c r="L99" s="68">
        <v>0</v>
      </c>
      <c r="M99" s="68">
        <v>0</v>
      </c>
      <c r="N99" s="68">
        <v>0</v>
      </c>
      <c r="O99" s="68">
        <v>0</v>
      </c>
      <c r="P99" s="68">
        <v>0</v>
      </c>
      <c r="Q99" s="68">
        <v>0</v>
      </c>
      <c r="R99" s="68">
        <v>0</v>
      </c>
      <c r="S99" s="68">
        <v>0</v>
      </c>
      <c r="T99" s="68">
        <v>0</v>
      </c>
      <c r="U99" s="68">
        <v>0</v>
      </c>
      <c r="V99" s="68">
        <v>0</v>
      </c>
      <c r="W99" s="68">
        <v>0</v>
      </c>
      <c r="X99" s="68">
        <v>0</v>
      </c>
      <c r="Y99" s="68">
        <v>0</v>
      </c>
      <c r="Z99" s="68">
        <v>0</v>
      </c>
      <c r="AA99" s="68">
        <v>0</v>
      </c>
      <c r="AB99" s="68">
        <v>0</v>
      </c>
      <c r="AC99" s="68">
        <v>0</v>
      </c>
      <c r="AD99" s="68">
        <v>0</v>
      </c>
      <c r="AE99" s="68">
        <v>0</v>
      </c>
      <c r="AF99" s="68">
        <v>0</v>
      </c>
      <c r="AG99" s="71" t="s">
        <v>2198</v>
      </c>
    </row>
    <row r="100" spans="1:33" ht="48.75">
      <c r="A100" s="39" t="s">
        <v>2284</v>
      </c>
      <c r="B100" s="67" t="s">
        <v>2285</v>
      </c>
      <c r="C100" s="68">
        <v>0</v>
      </c>
      <c r="D100" s="68">
        <v>0</v>
      </c>
      <c r="E100" s="68">
        <v>0</v>
      </c>
      <c r="F100" s="68">
        <v>0</v>
      </c>
      <c r="G100" s="68">
        <v>0</v>
      </c>
      <c r="H100" s="68">
        <v>0</v>
      </c>
      <c r="I100" s="68">
        <v>0</v>
      </c>
      <c r="J100" s="68">
        <v>0</v>
      </c>
      <c r="K100" s="68">
        <v>0</v>
      </c>
      <c r="L100" s="68">
        <v>0</v>
      </c>
      <c r="M100" s="68">
        <v>0</v>
      </c>
      <c r="N100" s="68">
        <v>0</v>
      </c>
      <c r="O100" s="68">
        <v>0</v>
      </c>
      <c r="P100" s="68">
        <v>0</v>
      </c>
      <c r="Q100" s="68">
        <v>0</v>
      </c>
      <c r="R100" s="68">
        <v>0</v>
      </c>
      <c r="S100" s="68">
        <v>0</v>
      </c>
      <c r="T100" s="68">
        <v>0</v>
      </c>
      <c r="U100" s="68">
        <v>0</v>
      </c>
      <c r="V100" s="68">
        <v>0</v>
      </c>
      <c r="W100" s="68">
        <v>0</v>
      </c>
      <c r="X100" s="68">
        <v>0</v>
      </c>
      <c r="Y100" s="68">
        <v>0</v>
      </c>
      <c r="Z100" s="68">
        <v>0</v>
      </c>
      <c r="AA100" s="68">
        <v>0</v>
      </c>
      <c r="AB100" s="68">
        <v>0</v>
      </c>
      <c r="AC100" s="68">
        <v>0</v>
      </c>
      <c r="AD100" s="68">
        <v>0</v>
      </c>
      <c r="AE100" s="68">
        <v>0</v>
      </c>
      <c r="AF100" s="68">
        <v>0</v>
      </c>
      <c r="AG100" s="71" t="s">
        <v>2198</v>
      </c>
    </row>
    <row r="101" spans="1:33" ht="24.75">
      <c r="A101" s="39" t="s">
        <v>2286</v>
      </c>
      <c r="B101" s="67" t="s">
        <v>2287</v>
      </c>
      <c r="C101" s="68">
        <v>12.700588</v>
      </c>
      <c r="D101" s="68">
        <v>14.364753</v>
      </c>
      <c r="E101" s="68">
        <v>15.38791</v>
      </c>
      <c r="F101" s="68">
        <v>16.292556999999999</v>
      </c>
      <c r="G101" s="68">
        <v>16.996079999999999</v>
      </c>
      <c r="H101" s="68">
        <v>17.604413999999998</v>
      </c>
      <c r="I101" s="68">
        <v>18.043613000000001</v>
      </c>
      <c r="J101" s="68">
        <v>18.391649000000001</v>
      </c>
      <c r="K101" s="68">
        <v>18.714884000000001</v>
      </c>
      <c r="L101" s="68">
        <v>19.093592000000001</v>
      </c>
      <c r="M101" s="68">
        <v>19.474936</v>
      </c>
      <c r="N101" s="68">
        <v>19.774450000000002</v>
      </c>
      <c r="O101" s="68">
        <v>20.058819</v>
      </c>
      <c r="P101" s="68">
        <v>20.311828999999999</v>
      </c>
      <c r="Q101" s="68">
        <v>20.512810000000002</v>
      </c>
      <c r="R101" s="68">
        <v>20.728580000000001</v>
      </c>
      <c r="S101" s="68">
        <v>20.966011000000002</v>
      </c>
      <c r="T101" s="68">
        <v>21.199514000000001</v>
      </c>
      <c r="U101" s="68">
        <v>21.387691</v>
      </c>
      <c r="V101" s="68">
        <v>21.628992</v>
      </c>
      <c r="W101" s="68">
        <v>21.819023000000001</v>
      </c>
      <c r="X101" s="68">
        <v>22.007545</v>
      </c>
      <c r="Y101" s="68">
        <v>22.229607000000001</v>
      </c>
      <c r="Z101" s="68">
        <v>22.454782000000002</v>
      </c>
      <c r="AA101" s="68">
        <v>22.696708999999998</v>
      </c>
      <c r="AB101" s="68">
        <v>22.978424</v>
      </c>
      <c r="AC101" s="68">
        <v>23.205546999999999</v>
      </c>
      <c r="AD101" s="68">
        <v>23.414211000000002</v>
      </c>
      <c r="AE101" s="68">
        <v>23.661840000000002</v>
      </c>
      <c r="AF101" s="68">
        <v>23.94849</v>
      </c>
      <c r="AG101" s="71">
        <v>2.2112E-2</v>
      </c>
    </row>
    <row r="102" spans="1:33" ht="24.75">
      <c r="A102" s="39" t="s">
        <v>2288</v>
      </c>
      <c r="B102" s="67" t="s">
        <v>2255</v>
      </c>
      <c r="C102" s="68">
        <v>12.700588</v>
      </c>
      <c r="D102" s="68">
        <v>14.364753</v>
      </c>
      <c r="E102" s="68">
        <v>15.38791</v>
      </c>
      <c r="F102" s="68">
        <v>16.292556999999999</v>
      </c>
      <c r="G102" s="68">
        <v>16.996079999999999</v>
      </c>
      <c r="H102" s="68">
        <v>17.604413999999998</v>
      </c>
      <c r="I102" s="68">
        <v>18.043613000000001</v>
      </c>
      <c r="J102" s="68">
        <v>18.391649000000001</v>
      </c>
      <c r="K102" s="68">
        <v>18.714884000000001</v>
      </c>
      <c r="L102" s="68">
        <v>19.093592000000001</v>
      </c>
      <c r="M102" s="68">
        <v>19.474936</v>
      </c>
      <c r="N102" s="68">
        <v>19.774450000000002</v>
      </c>
      <c r="O102" s="68">
        <v>20.058819</v>
      </c>
      <c r="P102" s="68">
        <v>20.311828999999999</v>
      </c>
      <c r="Q102" s="68">
        <v>20.512810000000002</v>
      </c>
      <c r="R102" s="68">
        <v>20.728580000000001</v>
      </c>
      <c r="S102" s="68">
        <v>20.966011000000002</v>
      </c>
      <c r="T102" s="68">
        <v>21.199514000000001</v>
      </c>
      <c r="U102" s="68">
        <v>21.387691</v>
      </c>
      <c r="V102" s="68">
        <v>21.628992</v>
      </c>
      <c r="W102" s="68">
        <v>21.819023000000001</v>
      </c>
      <c r="X102" s="68">
        <v>22.007545</v>
      </c>
      <c r="Y102" s="68">
        <v>22.229607000000001</v>
      </c>
      <c r="Z102" s="68">
        <v>22.454782000000002</v>
      </c>
      <c r="AA102" s="68">
        <v>22.696708999999998</v>
      </c>
      <c r="AB102" s="68">
        <v>22.978424</v>
      </c>
      <c r="AC102" s="68">
        <v>23.205546999999999</v>
      </c>
      <c r="AD102" s="68">
        <v>23.414211000000002</v>
      </c>
      <c r="AE102" s="68">
        <v>23.661840000000002</v>
      </c>
      <c r="AF102" s="68">
        <v>23.94849</v>
      </c>
      <c r="AG102" s="71">
        <v>2.2112E-2</v>
      </c>
    </row>
    <row r="103" spans="1:33" ht="36.75">
      <c r="A103" s="39" t="s">
        <v>2289</v>
      </c>
      <c r="B103" s="67" t="s">
        <v>2290</v>
      </c>
      <c r="C103" s="68">
        <v>16.509121</v>
      </c>
      <c r="D103" s="68">
        <v>18.285233000000002</v>
      </c>
      <c r="E103" s="68">
        <v>19.377106000000001</v>
      </c>
      <c r="F103" s="68">
        <v>20.340997999999999</v>
      </c>
      <c r="G103" s="68">
        <v>21.098049</v>
      </c>
      <c r="H103" s="68">
        <v>21.731332999999999</v>
      </c>
      <c r="I103" s="68">
        <v>22.169803999999999</v>
      </c>
      <c r="J103" s="68">
        <v>22.523285000000001</v>
      </c>
      <c r="K103" s="68">
        <v>22.869595</v>
      </c>
      <c r="L103" s="68">
        <v>23.288273</v>
      </c>
      <c r="M103" s="68">
        <v>23.699677000000001</v>
      </c>
      <c r="N103" s="68">
        <v>24.057817</v>
      </c>
      <c r="O103" s="68">
        <v>24.414905999999998</v>
      </c>
      <c r="P103" s="68">
        <v>24.741427999999999</v>
      </c>
      <c r="Q103" s="68">
        <v>25.031414000000002</v>
      </c>
      <c r="R103" s="68">
        <v>25.337914999999999</v>
      </c>
      <c r="S103" s="68">
        <v>25.685137000000001</v>
      </c>
      <c r="T103" s="68">
        <v>26.023502000000001</v>
      </c>
      <c r="U103" s="68">
        <v>26.328029999999998</v>
      </c>
      <c r="V103" s="68">
        <v>26.692329000000001</v>
      </c>
      <c r="W103" s="68">
        <v>26.99531</v>
      </c>
      <c r="X103" s="68">
        <v>27.311768000000001</v>
      </c>
      <c r="Y103" s="68">
        <v>27.664957000000001</v>
      </c>
      <c r="Z103" s="68">
        <v>28.027588000000002</v>
      </c>
      <c r="AA103" s="68">
        <v>28.432559999999999</v>
      </c>
      <c r="AB103" s="68">
        <v>28.888083000000002</v>
      </c>
      <c r="AC103" s="68">
        <v>29.281431000000001</v>
      </c>
      <c r="AD103" s="68">
        <v>29.655377999999999</v>
      </c>
      <c r="AE103" s="68">
        <v>30.076912</v>
      </c>
      <c r="AF103" s="68">
        <v>30.537510000000001</v>
      </c>
      <c r="AG103" s="71">
        <v>2.1434999999999999E-2</v>
      </c>
    </row>
    <row r="104" spans="1:33" ht="24.75">
      <c r="A104" s="39" t="s">
        <v>2291</v>
      </c>
      <c r="B104" s="67" t="s">
        <v>2255</v>
      </c>
      <c r="C104" s="68">
        <v>5.2127150000000002</v>
      </c>
      <c r="D104" s="68">
        <v>5.695138</v>
      </c>
      <c r="E104" s="68">
        <v>5.9626049999999999</v>
      </c>
      <c r="F104" s="68">
        <v>6.2147670000000002</v>
      </c>
      <c r="G104" s="68">
        <v>6.4174519999999999</v>
      </c>
      <c r="H104" s="68">
        <v>6.5885199999999999</v>
      </c>
      <c r="I104" s="68">
        <v>6.6994280000000002</v>
      </c>
      <c r="J104" s="68">
        <v>6.7960029999999998</v>
      </c>
      <c r="K104" s="68">
        <v>6.9016250000000001</v>
      </c>
      <c r="L104" s="68">
        <v>7.0355650000000001</v>
      </c>
      <c r="M104" s="68">
        <v>7.165921</v>
      </c>
      <c r="N104" s="68">
        <v>7.2919429999999998</v>
      </c>
      <c r="O104" s="68">
        <v>7.4233589999999996</v>
      </c>
      <c r="P104" s="68">
        <v>7.5462530000000001</v>
      </c>
      <c r="Q104" s="68">
        <v>7.65665</v>
      </c>
      <c r="R104" s="68">
        <v>7.7712139999999996</v>
      </c>
      <c r="S104" s="68">
        <v>7.9042019999999997</v>
      </c>
      <c r="T104" s="68">
        <v>8.032076</v>
      </c>
      <c r="U104" s="68">
        <v>8.1507020000000008</v>
      </c>
      <c r="V104" s="68">
        <v>8.2886360000000003</v>
      </c>
      <c r="W104" s="68">
        <v>8.4046099999999999</v>
      </c>
      <c r="X104" s="68">
        <v>8.5259020000000003</v>
      </c>
      <c r="Y104" s="68">
        <v>8.6576000000000004</v>
      </c>
      <c r="Z104" s="68">
        <v>8.7912809999999997</v>
      </c>
      <c r="AA104" s="68">
        <v>8.9423670000000008</v>
      </c>
      <c r="AB104" s="68">
        <v>9.108644</v>
      </c>
      <c r="AC104" s="68">
        <v>9.2528950000000005</v>
      </c>
      <c r="AD104" s="68">
        <v>9.3912560000000003</v>
      </c>
      <c r="AE104" s="68">
        <v>9.5472020000000004</v>
      </c>
      <c r="AF104" s="68">
        <v>9.7163330000000006</v>
      </c>
      <c r="AG104" s="71">
        <v>2.1704999999999999E-2</v>
      </c>
    </row>
    <row r="105" spans="1:33">
      <c r="A105" s="39" t="s">
        <v>2292</v>
      </c>
      <c r="B105" s="67" t="s">
        <v>2281</v>
      </c>
      <c r="C105" s="68">
        <v>11.296407</v>
      </c>
      <c r="D105" s="68">
        <v>12.590095</v>
      </c>
      <c r="E105" s="68">
        <v>13.414501</v>
      </c>
      <c r="F105" s="68">
        <v>14.126231000000001</v>
      </c>
      <c r="G105" s="68">
        <v>14.680597000000001</v>
      </c>
      <c r="H105" s="68">
        <v>15.142814</v>
      </c>
      <c r="I105" s="68">
        <v>15.470375000000001</v>
      </c>
      <c r="J105" s="68">
        <v>15.727282000000001</v>
      </c>
      <c r="K105" s="68">
        <v>15.967969999999999</v>
      </c>
      <c r="L105" s="68">
        <v>16.252707999999998</v>
      </c>
      <c r="M105" s="68">
        <v>16.533753999999998</v>
      </c>
      <c r="N105" s="68">
        <v>16.765875000000001</v>
      </c>
      <c r="O105" s="68">
        <v>16.991547000000001</v>
      </c>
      <c r="P105" s="68">
        <v>17.195174999999999</v>
      </c>
      <c r="Q105" s="68">
        <v>17.374763000000002</v>
      </c>
      <c r="R105" s="68">
        <v>17.566701999999999</v>
      </c>
      <c r="S105" s="68">
        <v>17.780934999999999</v>
      </c>
      <c r="T105" s="68">
        <v>17.991426000000001</v>
      </c>
      <c r="U105" s="68">
        <v>18.177327999999999</v>
      </c>
      <c r="V105" s="68">
        <v>18.403694000000002</v>
      </c>
      <c r="W105" s="68">
        <v>18.590699999999998</v>
      </c>
      <c r="X105" s="68">
        <v>18.785865999999999</v>
      </c>
      <c r="Y105" s="68">
        <v>19.007356999999999</v>
      </c>
      <c r="Z105" s="68">
        <v>19.236307</v>
      </c>
      <c r="AA105" s="68">
        <v>19.490192</v>
      </c>
      <c r="AB105" s="68">
        <v>19.779437999999999</v>
      </c>
      <c r="AC105" s="68">
        <v>20.028535999999999</v>
      </c>
      <c r="AD105" s="68">
        <v>20.264122</v>
      </c>
      <c r="AE105" s="68">
        <v>20.529709</v>
      </c>
      <c r="AF105" s="68">
        <v>20.821176999999999</v>
      </c>
      <c r="AG105" s="71">
        <v>2.1309999999999999E-2</v>
      </c>
    </row>
    <row r="106" spans="1:33" ht="60.75">
      <c r="A106" s="39" t="s">
        <v>2293</v>
      </c>
      <c r="B106" s="67" t="s">
        <v>2283</v>
      </c>
      <c r="C106" s="68">
        <v>0</v>
      </c>
      <c r="D106" s="68">
        <v>0</v>
      </c>
      <c r="E106" s="68">
        <v>0</v>
      </c>
      <c r="F106" s="68">
        <v>0</v>
      </c>
      <c r="G106" s="68">
        <v>0</v>
      </c>
      <c r="H106" s="68">
        <v>0</v>
      </c>
      <c r="I106" s="68">
        <v>0</v>
      </c>
      <c r="J106" s="68">
        <v>0</v>
      </c>
      <c r="K106" s="68">
        <v>0</v>
      </c>
      <c r="L106" s="68">
        <v>0</v>
      </c>
      <c r="M106" s="68">
        <v>0</v>
      </c>
      <c r="N106" s="68">
        <v>0</v>
      </c>
      <c r="O106" s="68">
        <v>0</v>
      </c>
      <c r="P106" s="68">
        <v>0</v>
      </c>
      <c r="Q106" s="68">
        <v>0</v>
      </c>
      <c r="R106" s="68">
        <v>0</v>
      </c>
      <c r="S106" s="68">
        <v>0</v>
      </c>
      <c r="T106" s="68">
        <v>0</v>
      </c>
      <c r="U106" s="68">
        <v>0</v>
      </c>
      <c r="V106" s="68">
        <v>0</v>
      </c>
      <c r="W106" s="68">
        <v>0</v>
      </c>
      <c r="X106" s="68">
        <v>0</v>
      </c>
      <c r="Y106" s="68">
        <v>0</v>
      </c>
      <c r="Z106" s="68">
        <v>0</v>
      </c>
      <c r="AA106" s="68">
        <v>0</v>
      </c>
      <c r="AB106" s="68">
        <v>0</v>
      </c>
      <c r="AC106" s="68">
        <v>0</v>
      </c>
      <c r="AD106" s="68">
        <v>0</v>
      </c>
      <c r="AE106" s="68">
        <v>0</v>
      </c>
      <c r="AF106" s="68">
        <v>0</v>
      </c>
      <c r="AG106" s="71" t="s">
        <v>2198</v>
      </c>
    </row>
    <row r="107" spans="1:33" ht="48.75">
      <c r="A107" s="39" t="s">
        <v>2294</v>
      </c>
      <c r="B107" s="67" t="s">
        <v>2285</v>
      </c>
      <c r="C107" s="68">
        <v>0</v>
      </c>
      <c r="D107" s="68">
        <v>0</v>
      </c>
      <c r="E107" s="68">
        <v>0</v>
      </c>
      <c r="F107" s="68">
        <v>0</v>
      </c>
      <c r="G107" s="68">
        <v>0</v>
      </c>
      <c r="H107" s="68">
        <v>0</v>
      </c>
      <c r="I107" s="68">
        <v>0</v>
      </c>
      <c r="J107" s="68">
        <v>0</v>
      </c>
      <c r="K107" s="68">
        <v>0</v>
      </c>
      <c r="L107" s="68">
        <v>0</v>
      </c>
      <c r="M107" s="68">
        <v>0</v>
      </c>
      <c r="N107" s="68">
        <v>0</v>
      </c>
      <c r="O107" s="68">
        <v>0</v>
      </c>
      <c r="P107" s="68">
        <v>0</v>
      </c>
      <c r="Q107" s="68">
        <v>0</v>
      </c>
      <c r="R107" s="68">
        <v>0</v>
      </c>
      <c r="S107" s="68">
        <v>0</v>
      </c>
      <c r="T107" s="68">
        <v>0</v>
      </c>
      <c r="U107" s="68">
        <v>0</v>
      </c>
      <c r="V107" s="68">
        <v>0</v>
      </c>
      <c r="W107" s="68">
        <v>0</v>
      </c>
      <c r="X107" s="68">
        <v>0</v>
      </c>
      <c r="Y107" s="68">
        <v>0</v>
      </c>
      <c r="Z107" s="68">
        <v>0</v>
      </c>
      <c r="AA107" s="68">
        <v>0</v>
      </c>
      <c r="AB107" s="68">
        <v>0</v>
      </c>
      <c r="AC107" s="68">
        <v>0</v>
      </c>
      <c r="AD107" s="68">
        <v>0</v>
      </c>
      <c r="AE107" s="68">
        <v>0</v>
      </c>
      <c r="AF107" s="68">
        <v>0</v>
      </c>
      <c r="AG107" s="71" t="s">
        <v>2198</v>
      </c>
    </row>
    <row r="108" spans="1:33">
      <c r="A108" s="9"/>
      <c r="B108" s="9"/>
      <c r="C108" s="9"/>
      <c r="D108" s="9"/>
      <c r="E108" s="9"/>
      <c r="F108" s="9"/>
      <c r="G108" s="9"/>
      <c r="H108" s="9"/>
      <c r="I108" s="9"/>
      <c r="J108" s="9"/>
      <c r="K108" s="9"/>
      <c r="L108" s="9"/>
      <c r="M108" s="9"/>
      <c r="N108" s="9"/>
      <c r="O108" s="9"/>
      <c r="P108" s="9"/>
      <c r="Q108" s="9"/>
      <c r="R108" s="9"/>
      <c r="S108" s="9"/>
      <c r="T108" s="9"/>
      <c r="U108" s="9"/>
      <c r="V108" s="9"/>
      <c r="W108" s="9"/>
      <c r="X108" s="9"/>
      <c r="Y108" s="9"/>
      <c r="Z108" s="9"/>
      <c r="AA108" s="9"/>
      <c r="AB108" s="9"/>
      <c r="AC108" s="9"/>
      <c r="AD108" s="9"/>
      <c r="AE108" s="9"/>
      <c r="AF108" s="9"/>
      <c r="AG108" s="9"/>
    </row>
    <row r="109" spans="1:33" ht="24.75">
      <c r="A109" s="39" t="s">
        <v>2295</v>
      </c>
      <c r="B109" s="66" t="s">
        <v>177</v>
      </c>
      <c r="C109" s="69">
        <v>204.09703099999999</v>
      </c>
      <c r="D109" s="69">
        <v>207.81658899999999</v>
      </c>
      <c r="E109" s="69">
        <v>208.00427199999999</v>
      </c>
      <c r="F109" s="69">
        <v>208.62669399999999</v>
      </c>
      <c r="G109" s="69">
        <v>208.70083600000001</v>
      </c>
      <c r="H109" s="69">
        <v>208.389374</v>
      </c>
      <c r="I109" s="69">
        <v>207.106934</v>
      </c>
      <c r="J109" s="69">
        <v>205.85676599999999</v>
      </c>
      <c r="K109" s="69">
        <v>204.91546600000001</v>
      </c>
      <c r="L109" s="69">
        <v>204.26499899999999</v>
      </c>
      <c r="M109" s="69">
        <v>203.40438800000001</v>
      </c>
      <c r="N109" s="69">
        <v>202.68185399999999</v>
      </c>
      <c r="O109" s="69">
        <v>202.113373</v>
      </c>
      <c r="P109" s="69">
        <v>201.50842299999999</v>
      </c>
      <c r="Q109" s="69">
        <v>200.80012500000001</v>
      </c>
      <c r="R109" s="69">
        <v>200.07522599999999</v>
      </c>
      <c r="S109" s="69">
        <v>199.64593500000001</v>
      </c>
      <c r="T109" s="69">
        <v>199.11071799999999</v>
      </c>
      <c r="U109" s="69">
        <v>198.525757</v>
      </c>
      <c r="V109" s="69">
        <v>198.07746900000001</v>
      </c>
      <c r="W109" s="69">
        <v>197.287598</v>
      </c>
      <c r="X109" s="69">
        <v>196.60789500000001</v>
      </c>
      <c r="Y109" s="69">
        <v>195.98907500000001</v>
      </c>
      <c r="Z109" s="69">
        <v>195.342804</v>
      </c>
      <c r="AA109" s="69">
        <v>194.913635</v>
      </c>
      <c r="AB109" s="69">
        <v>194.54913300000001</v>
      </c>
      <c r="AC109" s="69">
        <v>193.90734900000001</v>
      </c>
      <c r="AD109" s="69">
        <v>193.25498999999999</v>
      </c>
      <c r="AE109" s="69">
        <v>192.858002</v>
      </c>
      <c r="AF109" s="69">
        <v>192.57214400000001</v>
      </c>
      <c r="AG109" s="72">
        <v>-2.0019999999999999E-3</v>
      </c>
    </row>
    <row r="110" spans="1:33">
      <c r="A110" s="39" t="s">
        <v>2296</v>
      </c>
      <c r="B110" s="67" t="s">
        <v>2297</v>
      </c>
      <c r="C110" s="68">
        <v>164.88896199999999</v>
      </c>
      <c r="D110" s="68">
        <v>167.62558000000001</v>
      </c>
      <c r="E110" s="68">
        <v>167.50697299999999</v>
      </c>
      <c r="F110" s="68">
        <v>167.73602299999999</v>
      </c>
      <c r="G110" s="68">
        <v>167.521973</v>
      </c>
      <c r="H110" s="68">
        <v>166.997345</v>
      </c>
      <c r="I110" s="68">
        <v>165.69532799999999</v>
      </c>
      <c r="J110" s="68">
        <v>164.42112700000001</v>
      </c>
      <c r="K110" s="68">
        <v>163.39518699999999</v>
      </c>
      <c r="L110" s="68">
        <v>162.601913</v>
      </c>
      <c r="M110" s="68">
        <v>161.64205899999999</v>
      </c>
      <c r="N110" s="68">
        <v>160.79272499999999</v>
      </c>
      <c r="O110" s="68">
        <v>160.06601000000001</v>
      </c>
      <c r="P110" s="68">
        <v>159.31068400000001</v>
      </c>
      <c r="Q110" s="68">
        <v>158.474121</v>
      </c>
      <c r="R110" s="68">
        <v>157.62510700000001</v>
      </c>
      <c r="S110" s="68">
        <v>157.00924699999999</v>
      </c>
      <c r="T110" s="68">
        <v>156.310104</v>
      </c>
      <c r="U110" s="68">
        <v>155.57217399999999</v>
      </c>
      <c r="V110" s="68">
        <v>154.94146699999999</v>
      </c>
      <c r="W110" s="68">
        <v>154.044006</v>
      </c>
      <c r="X110" s="68">
        <v>153.23336800000001</v>
      </c>
      <c r="Y110" s="68">
        <v>152.47070299999999</v>
      </c>
      <c r="Z110" s="68">
        <v>151.68722500000001</v>
      </c>
      <c r="AA110" s="68">
        <v>151.07257100000001</v>
      </c>
      <c r="AB110" s="68">
        <v>150.507904</v>
      </c>
      <c r="AC110" s="68">
        <v>149.72891200000001</v>
      </c>
      <c r="AD110" s="68">
        <v>148.942352</v>
      </c>
      <c r="AE110" s="68">
        <v>148.35287500000001</v>
      </c>
      <c r="AF110" s="68">
        <v>147.84863300000001</v>
      </c>
      <c r="AG110" s="71">
        <v>-3.754E-3</v>
      </c>
    </row>
    <row r="111" spans="1:33" ht="48.75">
      <c r="A111" s="39" t="s">
        <v>2298</v>
      </c>
      <c r="B111" s="67" t="s">
        <v>2181</v>
      </c>
      <c r="C111" s="68">
        <v>39.208072999999999</v>
      </c>
      <c r="D111" s="68">
        <v>40.191006000000002</v>
      </c>
      <c r="E111" s="68">
        <v>40.497298999999998</v>
      </c>
      <c r="F111" s="68">
        <v>40.890670999999998</v>
      </c>
      <c r="G111" s="68">
        <v>41.17886</v>
      </c>
      <c r="H111" s="68">
        <v>41.392029000000001</v>
      </c>
      <c r="I111" s="68">
        <v>41.411610000000003</v>
      </c>
      <c r="J111" s="68">
        <v>41.435642000000001</v>
      </c>
      <c r="K111" s="68">
        <v>41.520287000000003</v>
      </c>
      <c r="L111" s="68">
        <v>41.663086</v>
      </c>
      <c r="M111" s="68">
        <v>41.762337000000002</v>
      </c>
      <c r="N111" s="68">
        <v>41.889136999999998</v>
      </c>
      <c r="O111" s="68">
        <v>42.047367000000001</v>
      </c>
      <c r="P111" s="68">
        <v>42.197741999999998</v>
      </c>
      <c r="Q111" s="68">
        <v>42.326008000000002</v>
      </c>
      <c r="R111" s="68">
        <v>42.450127000000002</v>
      </c>
      <c r="S111" s="68">
        <v>42.636696000000001</v>
      </c>
      <c r="T111" s="68">
        <v>42.800617000000003</v>
      </c>
      <c r="U111" s="68">
        <v>42.953589999999998</v>
      </c>
      <c r="V111" s="68">
        <v>43.136001999999998</v>
      </c>
      <c r="W111" s="68">
        <v>43.243583999999998</v>
      </c>
      <c r="X111" s="68">
        <v>43.374530999999998</v>
      </c>
      <c r="Y111" s="68">
        <v>43.518363999999998</v>
      </c>
      <c r="Z111" s="68">
        <v>43.655586</v>
      </c>
      <c r="AA111" s="68">
        <v>43.841064000000003</v>
      </c>
      <c r="AB111" s="68">
        <v>44.041221999999998</v>
      </c>
      <c r="AC111" s="68">
        <v>44.178435999999998</v>
      </c>
      <c r="AD111" s="68">
        <v>44.312634000000003</v>
      </c>
      <c r="AE111" s="68">
        <v>44.505119000000001</v>
      </c>
      <c r="AF111" s="68">
        <v>44.723514999999999</v>
      </c>
      <c r="AG111" s="71">
        <v>4.5490000000000001E-3</v>
      </c>
    </row>
    <row r="112" spans="1:33">
      <c r="A112" s="9"/>
      <c r="B112" s="9"/>
      <c r="C112" s="9"/>
      <c r="D112" s="9"/>
      <c r="E112" s="9"/>
      <c r="F112" s="9"/>
      <c r="G112" s="9"/>
      <c r="H112" s="9"/>
      <c r="I112" s="9"/>
      <c r="J112" s="9"/>
      <c r="K112" s="9"/>
      <c r="L112" s="9"/>
      <c r="M112" s="9"/>
      <c r="N112" s="9"/>
      <c r="O112" s="9"/>
      <c r="P112" s="9"/>
      <c r="Q112" s="9"/>
      <c r="R112" s="9"/>
      <c r="S112" s="9"/>
      <c r="T112" s="9"/>
      <c r="U112" s="9"/>
      <c r="V112" s="9"/>
      <c r="W112" s="9"/>
      <c r="X112" s="9"/>
      <c r="Y112" s="9"/>
      <c r="Z112" s="9"/>
      <c r="AA112" s="9"/>
      <c r="AB112" s="9"/>
      <c r="AC112" s="9"/>
      <c r="AD112" s="9"/>
      <c r="AE112" s="9"/>
      <c r="AF112" s="9"/>
      <c r="AG112" s="9"/>
    </row>
    <row r="113" spans="1:33">
      <c r="A113" s="39" t="s">
        <v>2299</v>
      </c>
      <c r="B113" s="67" t="s">
        <v>181</v>
      </c>
      <c r="C113" s="68">
        <v>125.031578</v>
      </c>
      <c r="D113" s="68">
        <v>126.896736</v>
      </c>
      <c r="E113" s="68">
        <v>127.926041</v>
      </c>
      <c r="F113" s="68">
        <v>128.600266</v>
      </c>
      <c r="G113" s="68">
        <v>129.10189800000001</v>
      </c>
      <c r="H113" s="68">
        <v>129.64999399999999</v>
      </c>
      <c r="I113" s="68">
        <v>129.96121199999999</v>
      </c>
      <c r="J113" s="68">
        <v>130.19676200000001</v>
      </c>
      <c r="K113" s="68">
        <v>130.40360999999999</v>
      </c>
      <c r="L113" s="68">
        <v>130.57878099999999</v>
      </c>
      <c r="M113" s="68">
        <v>130.71516399999999</v>
      </c>
      <c r="N113" s="68">
        <v>130.83389299999999</v>
      </c>
      <c r="O113" s="68">
        <v>130.94082599999999</v>
      </c>
      <c r="P113" s="68">
        <v>131.026443</v>
      </c>
      <c r="Q113" s="68">
        <v>131.09085099999999</v>
      </c>
      <c r="R113" s="68">
        <v>131.16413900000001</v>
      </c>
      <c r="S113" s="68">
        <v>131.26132200000001</v>
      </c>
      <c r="T113" s="68">
        <v>131.36518899999999</v>
      </c>
      <c r="U113" s="68">
        <v>131.48391699999999</v>
      </c>
      <c r="V113" s="68">
        <v>131.63140899999999</v>
      </c>
      <c r="W113" s="68">
        <v>131.76234400000001</v>
      </c>
      <c r="X113" s="68">
        <v>131.87556499999999</v>
      </c>
      <c r="Y113" s="68">
        <v>131.992706</v>
      </c>
      <c r="Z113" s="68">
        <v>132.10150100000001</v>
      </c>
      <c r="AA113" s="68">
        <v>132.230469</v>
      </c>
      <c r="AB113" s="68">
        <v>132.369202</v>
      </c>
      <c r="AC113" s="68">
        <v>132.482193</v>
      </c>
      <c r="AD113" s="68">
        <v>132.585846</v>
      </c>
      <c r="AE113" s="68">
        <v>132.70448300000001</v>
      </c>
      <c r="AF113" s="68">
        <v>132.83111600000001</v>
      </c>
      <c r="AG113" s="71">
        <v>2.0890000000000001E-3</v>
      </c>
    </row>
    <row r="114" spans="1:33" ht="48.75">
      <c r="A114" s="39" t="s">
        <v>2300</v>
      </c>
      <c r="B114" s="67" t="s">
        <v>182</v>
      </c>
      <c r="C114" s="68">
        <v>748.06146200000001</v>
      </c>
      <c r="D114" s="68">
        <v>701.06182899999999</v>
      </c>
      <c r="E114" s="68">
        <v>682.70349099999999</v>
      </c>
      <c r="F114" s="68">
        <v>669.31573500000002</v>
      </c>
      <c r="G114" s="68">
        <v>657.777649</v>
      </c>
      <c r="H114" s="68">
        <v>646.21258499999999</v>
      </c>
      <c r="I114" s="68">
        <v>628.37182600000006</v>
      </c>
      <c r="J114" s="68">
        <v>632.31945800000005</v>
      </c>
      <c r="K114" s="68">
        <v>627.75476100000003</v>
      </c>
      <c r="L114" s="68">
        <v>619.43811000000005</v>
      </c>
      <c r="M114" s="68">
        <v>616.01281700000004</v>
      </c>
      <c r="N114" s="68">
        <v>619.79211399999997</v>
      </c>
      <c r="O114" s="68">
        <v>619.58685300000002</v>
      </c>
      <c r="P114" s="68">
        <v>616.83026099999995</v>
      </c>
      <c r="Q114" s="68">
        <v>618.30474900000002</v>
      </c>
      <c r="R114" s="68">
        <v>621.54339600000003</v>
      </c>
      <c r="S114" s="68">
        <v>629.67156999999997</v>
      </c>
      <c r="T114" s="68">
        <v>636.62567100000001</v>
      </c>
      <c r="U114" s="68">
        <v>641.26690699999995</v>
      </c>
      <c r="V114" s="68">
        <v>649.24737500000003</v>
      </c>
      <c r="W114" s="68">
        <v>656.71551499999998</v>
      </c>
      <c r="X114" s="68">
        <v>659.97137499999997</v>
      </c>
      <c r="Y114" s="68">
        <v>668.71801800000003</v>
      </c>
      <c r="Z114" s="68">
        <v>671.82458499999996</v>
      </c>
      <c r="AA114" s="68">
        <v>675.87640399999998</v>
      </c>
      <c r="AB114" s="68">
        <v>683.62017800000001</v>
      </c>
      <c r="AC114" s="68">
        <v>691.62048300000004</v>
      </c>
      <c r="AD114" s="68">
        <v>699.38653599999998</v>
      </c>
      <c r="AE114" s="68">
        <v>703.19329800000003</v>
      </c>
      <c r="AF114" s="68">
        <v>710.15020800000002</v>
      </c>
      <c r="AG114" s="71">
        <v>-1.792E-3</v>
      </c>
    </row>
    <row r="115" spans="1:33">
      <c r="A115" s="9"/>
      <c r="B115" s="9"/>
      <c r="C115" s="9"/>
      <c r="D115" s="9"/>
      <c r="E115" s="9"/>
      <c r="F115" s="9"/>
      <c r="G115" s="9"/>
      <c r="H115" s="9"/>
      <c r="I115" s="9"/>
      <c r="J115" s="9"/>
      <c r="K115" s="9"/>
      <c r="L115" s="9"/>
      <c r="M115" s="9"/>
      <c r="N115" s="9"/>
      <c r="O115" s="9"/>
      <c r="P115" s="9"/>
      <c r="Q115" s="9"/>
      <c r="R115" s="9"/>
      <c r="S115" s="9"/>
      <c r="T115" s="9"/>
      <c r="U115" s="9"/>
      <c r="V115" s="9"/>
      <c r="W115" s="9"/>
      <c r="X115" s="9"/>
      <c r="Y115" s="9"/>
      <c r="Z115" s="9"/>
      <c r="AA115" s="9"/>
      <c r="AB115" s="9"/>
      <c r="AC115" s="9"/>
      <c r="AD115" s="9"/>
      <c r="AE115" s="9"/>
      <c r="AF115" s="9"/>
      <c r="AG115" s="9"/>
    </row>
    <row r="116" spans="1:33" ht="36.75">
      <c r="A116" s="39" t="s">
        <v>2301</v>
      </c>
      <c r="B116" s="66" t="s">
        <v>143</v>
      </c>
      <c r="C116" s="69">
        <v>26324.886718999998</v>
      </c>
      <c r="D116" s="69">
        <v>27263.316406000002</v>
      </c>
      <c r="E116" s="69">
        <v>27692.980468999998</v>
      </c>
      <c r="F116" s="69">
        <v>27715.5</v>
      </c>
      <c r="G116" s="69">
        <v>27753.820312</v>
      </c>
      <c r="H116" s="69">
        <v>27727.53125</v>
      </c>
      <c r="I116" s="69">
        <v>27607.042968999998</v>
      </c>
      <c r="J116" s="69">
        <v>27503.935547000001</v>
      </c>
      <c r="K116" s="69">
        <v>27408.986327999999</v>
      </c>
      <c r="L116" s="69">
        <v>27340.705077999999</v>
      </c>
      <c r="M116" s="69">
        <v>27288.166015999999</v>
      </c>
      <c r="N116" s="69">
        <v>27213.582031000002</v>
      </c>
      <c r="O116" s="69">
        <v>27191.142577999999</v>
      </c>
      <c r="P116" s="69">
        <v>27165.730468999998</v>
      </c>
      <c r="Q116" s="69">
        <v>27154.113281000002</v>
      </c>
      <c r="R116" s="69">
        <v>27158.546875</v>
      </c>
      <c r="S116" s="69">
        <v>27206.796875</v>
      </c>
      <c r="T116" s="69">
        <v>27259.251952999999</v>
      </c>
      <c r="U116" s="69">
        <v>27333.582031000002</v>
      </c>
      <c r="V116" s="69">
        <v>27424.380859000001</v>
      </c>
      <c r="W116" s="69">
        <v>27521.037109000001</v>
      </c>
      <c r="X116" s="69">
        <v>27633.677734000001</v>
      </c>
      <c r="Y116" s="69">
        <v>27756.361327999999</v>
      </c>
      <c r="Z116" s="69">
        <v>27883.910156000002</v>
      </c>
      <c r="AA116" s="69">
        <v>28036.740234000001</v>
      </c>
      <c r="AB116" s="69">
        <v>28214.255859000001</v>
      </c>
      <c r="AC116" s="69">
        <v>28376.744140999999</v>
      </c>
      <c r="AD116" s="69">
        <v>28533.669922000001</v>
      </c>
      <c r="AE116" s="69">
        <v>28719.751952999999</v>
      </c>
      <c r="AF116" s="69">
        <v>28946.207031000002</v>
      </c>
      <c r="AG116" s="72">
        <v>3.2789999999999998E-3</v>
      </c>
    </row>
    <row r="117" spans="1:33" ht="15.75" thickBot="1">
      <c r="A117" s="9"/>
      <c r="B117" s="9"/>
      <c r="C117" s="9"/>
      <c r="D117" s="9"/>
      <c r="E117" s="9"/>
      <c r="F117" s="9"/>
      <c r="G117" s="9"/>
      <c r="H117" s="9"/>
      <c r="I117" s="9"/>
      <c r="J117" s="9"/>
      <c r="K117" s="9"/>
      <c r="L117" s="9"/>
      <c r="M117" s="9"/>
      <c r="N117" s="9"/>
      <c r="O117" s="9"/>
      <c r="P117" s="9"/>
      <c r="Q117" s="9"/>
      <c r="R117" s="9"/>
      <c r="S117" s="9"/>
      <c r="T117" s="9"/>
      <c r="U117" s="9"/>
      <c r="V117" s="9"/>
      <c r="W117" s="9"/>
      <c r="X117" s="9"/>
      <c r="Y117" s="9"/>
      <c r="Z117" s="9"/>
      <c r="AA117" s="9"/>
      <c r="AB117" s="9"/>
      <c r="AC117" s="9"/>
      <c r="AD117" s="9"/>
      <c r="AE117" s="9"/>
      <c r="AF117" s="9"/>
      <c r="AG117" s="9"/>
    </row>
    <row r="118" spans="1:33">
      <c r="A118" s="9"/>
      <c r="B118" s="111" t="s">
        <v>2302</v>
      </c>
      <c r="C118" s="112"/>
      <c r="D118" s="112"/>
      <c r="E118" s="112"/>
      <c r="F118" s="112"/>
      <c r="G118" s="112"/>
      <c r="H118" s="112"/>
      <c r="I118" s="112"/>
      <c r="J118" s="112"/>
      <c r="K118" s="112"/>
      <c r="L118" s="112"/>
      <c r="M118" s="112"/>
      <c r="N118" s="112"/>
      <c r="O118" s="112"/>
      <c r="P118" s="112"/>
      <c r="Q118" s="112"/>
      <c r="R118" s="112"/>
      <c r="S118" s="112"/>
      <c r="T118" s="112"/>
      <c r="U118" s="112"/>
      <c r="V118" s="112"/>
      <c r="W118" s="112"/>
      <c r="X118" s="112"/>
      <c r="Y118" s="112"/>
      <c r="Z118" s="112"/>
      <c r="AA118" s="112"/>
      <c r="AB118" s="112"/>
      <c r="AC118" s="112"/>
      <c r="AD118" s="112"/>
      <c r="AE118" s="112"/>
      <c r="AF118" s="112"/>
      <c r="AG118" s="112"/>
    </row>
    <row r="119" spans="1:33">
      <c r="A119" s="9"/>
      <c r="B119" s="21" t="s">
        <v>144</v>
      </c>
      <c r="C119" s="9"/>
      <c r="D119" s="9"/>
      <c r="E119" s="9"/>
      <c r="F119" s="9"/>
      <c r="G119" s="9"/>
      <c r="H119" s="9"/>
      <c r="I119" s="9"/>
      <c r="J119" s="9"/>
      <c r="K119" s="9"/>
      <c r="L119" s="9"/>
      <c r="M119" s="9"/>
      <c r="N119" s="9"/>
      <c r="O119" s="9"/>
      <c r="P119" s="9"/>
      <c r="Q119" s="9"/>
      <c r="R119" s="9"/>
      <c r="S119" s="9"/>
      <c r="T119" s="9"/>
      <c r="U119" s="9"/>
      <c r="V119" s="9"/>
      <c r="W119" s="9"/>
      <c r="X119" s="9"/>
      <c r="Y119" s="9"/>
      <c r="Z119" s="9"/>
      <c r="AA119" s="9"/>
      <c r="AB119" s="9"/>
      <c r="AC119" s="9"/>
      <c r="AD119" s="9"/>
      <c r="AE119" s="9"/>
      <c r="AF119" s="9"/>
      <c r="AG119" s="9"/>
    </row>
    <row r="120" spans="1:33">
      <c r="A120" s="9"/>
      <c r="B120" s="21" t="s">
        <v>500</v>
      </c>
      <c r="C120" s="9"/>
      <c r="D120" s="9"/>
      <c r="E120" s="9"/>
      <c r="F120" s="9"/>
      <c r="G120" s="9"/>
      <c r="H120" s="9"/>
      <c r="I120" s="9"/>
      <c r="J120" s="9"/>
      <c r="K120" s="9"/>
      <c r="L120" s="9"/>
      <c r="M120" s="9"/>
      <c r="N120" s="9"/>
      <c r="O120" s="9"/>
      <c r="P120" s="9"/>
      <c r="Q120" s="9"/>
      <c r="R120" s="9"/>
      <c r="S120" s="9"/>
      <c r="T120" s="9"/>
      <c r="U120" s="9"/>
      <c r="V120" s="9"/>
      <c r="W120" s="9"/>
      <c r="X120" s="9"/>
      <c r="Y120" s="9"/>
      <c r="Z120" s="9"/>
      <c r="AA120" s="9"/>
      <c r="AB120" s="9"/>
      <c r="AC120" s="9"/>
      <c r="AD120" s="9"/>
      <c r="AE120" s="9"/>
      <c r="AF120" s="9"/>
      <c r="AG120" s="9"/>
    </row>
    <row r="121" spans="1:33">
      <c r="A121" s="9"/>
      <c r="B121" s="21" t="s">
        <v>2303</v>
      </c>
      <c r="C121" s="9"/>
      <c r="D121" s="9"/>
      <c r="E121" s="9"/>
      <c r="F121" s="9"/>
      <c r="G121" s="9"/>
      <c r="H121" s="9"/>
      <c r="I121" s="9"/>
      <c r="J121" s="9"/>
      <c r="K121" s="9"/>
      <c r="L121" s="9"/>
      <c r="M121" s="9"/>
      <c r="N121" s="9"/>
      <c r="O121" s="9"/>
      <c r="P121" s="9"/>
      <c r="Q121" s="9"/>
      <c r="R121" s="9"/>
      <c r="S121" s="9"/>
      <c r="T121" s="9"/>
      <c r="U121" s="9"/>
      <c r="V121" s="9"/>
      <c r="W121" s="9"/>
      <c r="X121" s="9"/>
      <c r="Y121" s="9"/>
      <c r="Z121" s="9"/>
      <c r="AA121" s="9"/>
      <c r="AB121" s="9"/>
      <c r="AC121" s="9"/>
      <c r="AD121" s="9"/>
      <c r="AE121" s="9"/>
      <c r="AF121" s="9"/>
      <c r="AG121" s="9"/>
    </row>
    <row r="122" spans="1:33">
      <c r="A122" s="9"/>
      <c r="B122" s="21" t="s">
        <v>2304</v>
      </c>
      <c r="C122" s="9"/>
      <c r="D122" s="9"/>
      <c r="E122" s="9"/>
      <c r="F122" s="9"/>
      <c r="G122" s="9"/>
      <c r="H122" s="9"/>
      <c r="I122" s="9"/>
      <c r="J122" s="9"/>
      <c r="K122" s="9"/>
      <c r="L122" s="9"/>
      <c r="M122" s="9"/>
      <c r="N122" s="9"/>
      <c r="O122" s="9"/>
      <c r="P122" s="9"/>
      <c r="Q122" s="9"/>
      <c r="R122" s="9"/>
      <c r="S122" s="9"/>
      <c r="T122" s="9"/>
      <c r="U122" s="9"/>
      <c r="V122" s="9"/>
      <c r="W122" s="9"/>
      <c r="X122" s="9"/>
      <c r="Y122" s="9"/>
      <c r="Z122" s="9"/>
      <c r="AA122" s="9"/>
      <c r="AB122" s="9"/>
      <c r="AC122" s="9"/>
      <c r="AD122" s="9"/>
      <c r="AE122" s="9"/>
      <c r="AF122" s="9"/>
      <c r="AG122" s="9"/>
    </row>
    <row r="123" spans="1:33">
      <c r="A123" s="9"/>
      <c r="B123" s="21" t="s">
        <v>157</v>
      </c>
      <c r="C123" s="9"/>
      <c r="D123" s="9"/>
      <c r="E123" s="9"/>
      <c r="F123" s="9"/>
      <c r="G123" s="9"/>
      <c r="H123" s="9"/>
      <c r="I123" s="9"/>
      <c r="J123" s="9"/>
      <c r="K123" s="9"/>
      <c r="L123" s="9"/>
      <c r="M123" s="9"/>
      <c r="N123" s="9"/>
      <c r="O123" s="9"/>
      <c r="P123" s="9"/>
      <c r="Q123" s="9"/>
      <c r="R123" s="9"/>
      <c r="S123" s="9"/>
      <c r="T123" s="9"/>
      <c r="U123" s="9"/>
      <c r="V123" s="9"/>
      <c r="W123" s="9"/>
      <c r="X123" s="9"/>
      <c r="Y123" s="9"/>
      <c r="Z123" s="9"/>
      <c r="AA123" s="9"/>
      <c r="AB123" s="9"/>
      <c r="AC123" s="9"/>
      <c r="AD123" s="9"/>
      <c r="AE123" s="9"/>
      <c r="AF123" s="9"/>
      <c r="AG123" s="9"/>
    </row>
    <row r="124" spans="1:33">
      <c r="A124" s="9"/>
      <c r="B124" s="21" t="s">
        <v>502</v>
      </c>
      <c r="C124" s="9"/>
      <c r="D124" s="9"/>
      <c r="E124" s="9"/>
      <c r="F124" s="9"/>
      <c r="G124" s="9"/>
      <c r="H124" s="9"/>
      <c r="I124" s="9"/>
      <c r="J124" s="9"/>
      <c r="K124" s="9"/>
      <c r="L124" s="9"/>
      <c r="M124" s="9"/>
      <c r="N124" s="9"/>
      <c r="O124" s="9"/>
      <c r="P124" s="9"/>
      <c r="Q124" s="9"/>
      <c r="R124" s="9"/>
      <c r="S124" s="9"/>
      <c r="T124" s="9"/>
      <c r="U124" s="9"/>
      <c r="V124" s="9"/>
      <c r="W124" s="9"/>
      <c r="X124" s="9"/>
      <c r="Y124" s="9"/>
      <c r="Z124" s="9"/>
      <c r="AA124" s="9"/>
      <c r="AB124" s="9"/>
      <c r="AC124" s="9"/>
      <c r="AD124" s="9"/>
      <c r="AE124" s="9"/>
      <c r="AF124" s="9"/>
      <c r="AG124" s="9"/>
    </row>
    <row r="125" spans="1:33">
      <c r="A125" s="9"/>
      <c r="B125" s="21" t="s">
        <v>404</v>
      </c>
      <c r="C125" s="9"/>
      <c r="D125" s="9"/>
      <c r="E125" s="9"/>
      <c r="F125" s="9"/>
      <c r="G125" s="9"/>
      <c r="H125" s="9"/>
      <c r="I125" s="9"/>
      <c r="J125" s="9"/>
      <c r="K125" s="9"/>
      <c r="L125" s="9"/>
      <c r="M125" s="9"/>
      <c r="N125" s="9"/>
      <c r="O125" s="9"/>
      <c r="P125" s="9"/>
      <c r="Q125" s="9"/>
      <c r="R125" s="9"/>
      <c r="S125" s="9"/>
      <c r="T125" s="9"/>
      <c r="U125" s="9"/>
      <c r="V125" s="9"/>
      <c r="W125" s="9"/>
      <c r="X125" s="9"/>
      <c r="Y125" s="9"/>
      <c r="Z125" s="9"/>
      <c r="AA125" s="9"/>
      <c r="AB125" s="9"/>
      <c r="AC125" s="9"/>
      <c r="AD125" s="9"/>
      <c r="AE125" s="9"/>
      <c r="AF125" s="9"/>
      <c r="AG125" s="9"/>
    </row>
    <row r="126" spans="1:33">
      <c r="A126" s="9"/>
      <c r="B126" s="21" t="s">
        <v>503</v>
      </c>
      <c r="C126" s="9"/>
      <c r="D126" s="9"/>
      <c r="E126" s="9"/>
      <c r="F126" s="9"/>
      <c r="G126" s="9"/>
      <c r="H126" s="9"/>
      <c r="I126" s="9"/>
      <c r="J126" s="9"/>
      <c r="K126" s="9"/>
      <c r="L126" s="9"/>
      <c r="M126" s="9"/>
      <c r="N126" s="9"/>
      <c r="O126" s="9"/>
      <c r="P126" s="9"/>
      <c r="Q126" s="9"/>
      <c r="R126" s="9"/>
      <c r="S126" s="9"/>
      <c r="T126" s="9"/>
      <c r="U126" s="9"/>
      <c r="V126" s="9"/>
      <c r="W126" s="9"/>
      <c r="X126" s="9"/>
      <c r="Y126" s="9"/>
      <c r="Z126" s="9"/>
      <c r="AA126" s="9"/>
      <c r="AB126" s="9"/>
      <c r="AC126" s="9"/>
      <c r="AD126" s="9"/>
      <c r="AE126" s="9"/>
      <c r="AF126" s="9"/>
      <c r="AG126" s="9"/>
    </row>
    <row r="127" spans="1:33">
      <c r="A127" s="39"/>
      <c r="B127" s="67"/>
      <c r="C127" s="68"/>
      <c r="D127" s="68"/>
      <c r="E127" s="68"/>
      <c r="F127" s="68"/>
      <c r="G127" s="68"/>
      <c r="H127" s="68"/>
      <c r="I127" s="68"/>
      <c r="J127" s="68"/>
      <c r="K127" s="68"/>
      <c r="L127" s="68"/>
      <c r="M127" s="68"/>
      <c r="N127" s="68"/>
      <c r="O127" s="68"/>
      <c r="P127" s="68"/>
      <c r="Q127" s="68"/>
      <c r="R127" s="68"/>
      <c r="S127" s="68"/>
      <c r="T127" s="68"/>
      <c r="U127" s="68"/>
      <c r="V127" s="68"/>
      <c r="W127" s="68"/>
      <c r="X127" s="68"/>
      <c r="Y127" s="68"/>
      <c r="Z127" s="68"/>
      <c r="AA127" s="68"/>
      <c r="AB127" s="68"/>
      <c r="AC127" s="68"/>
      <c r="AD127" s="68"/>
      <c r="AE127" s="68"/>
      <c r="AF127" s="68"/>
      <c r="AG127" s="71"/>
    </row>
    <row r="128" spans="1:33">
      <c r="A128" s="39"/>
      <c r="B128" s="67"/>
      <c r="C128" s="68"/>
      <c r="D128" s="68"/>
      <c r="E128" s="68"/>
      <c r="F128" s="68"/>
      <c r="G128" s="68"/>
      <c r="H128" s="68"/>
      <c r="I128" s="68"/>
      <c r="J128" s="68"/>
      <c r="K128" s="68"/>
      <c r="L128" s="68"/>
      <c r="M128" s="68"/>
      <c r="N128" s="68"/>
      <c r="O128" s="68"/>
      <c r="P128" s="68"/>
      <c r="Q128" s="68"/>
      <c r="R128" s="68"/>
      <c r="S128" s="68"/>
      <c r="T128" s="68"/>
      <c r="U128" s="68"/>
      <c r="V128" s="68"/>
      <c r="W128" s="68"/>
      <c r="X128" s="68"/>
      <c r="Y128" s="68"/>
      <c r="Z128" s="68"/>
      <c r="AA128" s="68"/>
      <c r="AB128" s="68"/>
      <c r="AC128" s="68"/>
      <c r="AD128" s="68"/>
      <c r="AE128" s="68"/>
      <c r="AF128" s="68"/>
      <c r="AG128" s="71"/>
    </row>
    <row r="129" spans="1:33">
      <c r="A129" s="39"/>
      <c r="B129" s="67"/>
      <c r="C129" s="68"/>
      <c r="D129" s="68"/>
      <c r="E129" s="68"/>
      <c r="F129" s="68"/>
      <c r="G129" s="68"/>
      <c r="H129" s="68"/>
      <c r="I129" s="68"/>
      <c r="J129" s="68"/>
      <c r="K129" s="68"/>
      <c r="L129" s="68"/>
      <c r="M129" s="68"/>
      <c r="N129" s="68"/>
      <c r="O129" s="68"/>
      <c r="P129" s="68"/>
      <c r="Q129" s="68"/>
      <c r="R129" s="68"/>
      <c r="S129" s="68"/>
      <c r="T129" s="68"/>
      <c r="U129" s="68"/>
      <c r="V129" s="68"/>
      <c r="W129" s="68"/>
      <c r="X129" s="68"/>
      <c r="Y129" s="68"/>
      <c r="Z129" s="68"/>
      <c r="AA129" s="68"/>
      <c r="AB129" s="68"/>
      <c r="AC129" s="68"/>
      <c r="AD129" s="68"/>
      <c r="AE129" s="68"/>
      <c r="AF129" s="68"/>
      <c r="AG129" s="71"/>
    </row>
    <row r="130" spans="1:33">
      <c r="A130" s="39"/>
      <c r="B130" s="67"/>
      <c r="C130" s="68"/>
      <c r="D130" s="68"/>
      <c r="E130" s="68"/>
      <c r="F130" s="68"/>
      <c r="G130" s="68"/>
      <c r="H130" s="68"/>
      <c r="I130" s="68"/>
      <c r="J130" s="68"/>
      <c r="K130" s="68"/>
      <c r="L130" s="68"/>
      <c r="M130" s="68"/>
      <c r="N130" s="68"/>
      <c r="O130" s="68"/>
      <c r="P130" s="68"/>
      <c r="Q130" s="68"/>
      <c r="R130" s="68"/>
      <c r="S130" s="68"/>
      <c r="T130" s="68"/>
      <c r="U130" s="68"/>
      <c r="V130" s="68"/>
      <c r="W130" s="68"/>
      <c r="X130" s="68"/>
      <c r="Y130" s="68"/>
      <c r="Z130" s="68"/>
      <c r="AA130" s="68"/>
      <c r="AB130" s="68"/>
      <c r="AC130" s="68"/>
      <c r="AD130" s="68"/>
      <c r="AE130" s="68"/>
      <c r="AF130" s="68"/>
      <c r="AG130" s="71"/>
    </row>
    <row r="131" spans="1:33">
      <c r="A131" s="39"/>
      <c r="B131" s="67"/>
      <c r="C131" s="68"/>
      <c r="D131" s="68"/>
      <c r="E131" s="68"/>
      <c r="F131" s="68"/>
      <c r="G131" s="68"/>
      <c r="H131" s="68"/>
      <c r="I131" s="68"/>
      <c r="J131" s="68"/>
      <c r="K131" s="68"/>
      <c r="L131" s="68"/>
      <c r="M131" s="68"/>
      <c r="N131" s="68"/>
      <c r="O131" s="68"/>
      <c r="P131" s="68"/>
      <c r="Q131" s="68"/>
      <c r="R131" s="68"/>
      <c r="S131" s="68"/>
      <c r="T131" s="68"/>
      <c r="U131" s="68"/>
      <c r="V131" s="68"/>
      <c r="W131" s="68"/>
      <c r="X131" s="68"/>
      <c r="Y131" s="68"/>
      <c r="Z131" s="68"/>
      <c r="AA131" s="68"/>
      <c r="AB131" s="68"/>
      <c r="AC131" s="68"/>
      <c r="AD131" s="68"/>
      <c r="AE131" s="68"/>
      <c r="AF131" s="68"/>
      <c r="AG131" s="71"/>
    </row>
    <row r="132" spans="1:33">
      <c r="A132" s="39"/>
      <c r="B132" s="67"/>
      <c r="C132" s="68"/>
      <c r="D132" s="68"/>
      <c r="E132" s="68"/>
      <c r="F132" s="68"/>
      <c r="G132" s="68"/>
      <c r="H132" s="68"/>
      <c r="I132" s="68"/>
      <c r="J132" s="68"/>
      <c r="K132" s="68"/>
      <c r="L132" s="68"/>
      <c r="M132" s="68"/>
      <c r="N132" s="68"/>
      <c r="O132" s="68"/>
      <c r="P132" s="68"/>
      <c r="Q132" s="68"/>
      <c r="R132" s="68"/>
      <c r="S132" s="68"/>
      <c r="T132" s="68"/>
      <c r="U132" s="68"/>
      <c r="V132" s="68"/>
      <c r="W132" s="68"/>
      <c r="X132" s="68"/>
      <c r="Y132" s="68"/>
      <c r="Z132" s="68"/>
      <c r="AA132" s="68"/>
      <c r="AB132" s="68"/>
      <c r="AC132" s="68"/>
      <c r="AD132" s="68"/>
      <c r="AE132" s="68"/>
      <c r="AF132" s="68"/>
      <c r="AG132" s="71"/>
    </row>
    <row r="133" spans="1:33">
      <c r="A133" s="9"/>
      <c r="B133" s="9"/>
      <c r="C133" s="9"/>
      <c r="D133" s="9"/>
      <c r="E133" s="9"/>
      <c r="F133" s="9"/>
      <c r="G133" s="9"/>
      <c r="H133" s="9"/>
      <c r="I133" s="9"/>
      <c r="J133" s="9"/>
      <c r="K133" s="9"/>
      <c r="L133" s="9"/>
      <c r="M133" s="9"/>
      <c r="N133" s="9"/>
      <c r="O133" s="9"/>
      <c r="P133" s="9"/>
      <c r="Q133" s="9"/>
      <c r="R133" s="9"/>
      <c r="S133" s="9"/>
      <c r="T133" s="9"/>
      <c r="U133" s="9"/>
      <c r="V133" s="9"/>
      <c r="W133" s="9"/>
      <c r="X133" s="9"/>
      <c r="Y133" s="9"/>
      <c r="Z133" s="9"/>
      <c r="AA133" s="9"/>
      <c r="AB133" s="9"/>
      <c r="AC133" s="9"/>
      <c r="AD133" s="9"/>
      <c r="AE133" s="9"/>
      <c r="AF133" s="9"/>
      <c r="AG133" s="9"/>
    </row>
    <row r="134" spans="1:33">
      <c r="A134" s="39"/>
      <c r="B134" s="66"/>
      <c r="C134" s="69"/>
      <c r="D134" s="69"/>
      <c r="E134" s="69"/>
      <c r="F134" s="69"/>
      <c r="G134" s="69"/>
      <c r="H134" s="69"/>
      <c r="I134" s="69"/>
      <c r="J134" s="69"/>
      <c r="K134" s="69"/>
      <c r="L134" s="69"/>
      <c r="M134" s="69"/>
      <c r="N134" s="69"/>
      <c r="O134" s="69"/>
      <c r="P134" s="69"/>
      <c r="Q134" s="69"/>
      <c r="R134" s="69"/>
      <c r="S134" s="69"/>
      <c r="T134" s="69"/>
      <c r="U134" s="69"/>
      <c r="V134" s="69"/>
      <c r="W134" s="69"/>
      <c r="X134" s="69"/>
      <c r="Y134" s="69"/>
      <c r="Z134" s="69"/>
      <c r="AA134" s="69"/>
      <c r="AB134" s="69"/>
      <c r="AC134" s="69"/>
      <c r="AD134" s="69"/>
      <c r="AE134" s="69"/>
      <c r="AF134" s="69"/>
      <c r="AG134" s="72"/>
    </row>
    <row r="135" spans="1:33">
      <c r="A135" s="39"/>
      <c r="B135" s="67"/>
      <c r="C135" s="68"/>
      <c r="D135" s="68"/>
      <c r="E135" s="68"/>
      <c r="F135" s="68"/>
      <c r="G135" s="68"/>
      <c r="H135" s="68"/>
      <c r="I135" s="68"/>
      <c r="J135" s="68"/>
      <c r="K135" s="68"/>
      <c r="L135" s="68"/>
      <c r="M135" s="68"/>
      <c r="N135" s="68"/>
      <c r="O135" s="68"/>
      <c r="P135" s="68"/>
      <c r="Q135" s="68"/>
      <c r="R135" s="68"/>
      <c r="S135" s="68"/>
      <c r="T135" s="68"/>
      <c r="U135" s="68"/>
      <c r="V135" s="68"/>
      <c r="W135" s="68"/>
      <c r="X135" s="68"/>
      <c r="Y135" s="68"/>
      <c r="Z135" s="68"/>
      <c r="AA135" s="68"/>
      <c r="AB135" s="68"/>
      <c r="AC135" s="68"/>
      <c r="AD135" s="68"/>
      <c r="AE135" s="68"/>
      <c r="AF135" s="68"/>
      <c r="AG135" s="71"/>
    </row>
    <row r="136" spans="1:33">
      <c r="A136" s="39"/>
      <c r="B136" s="67"/>
      <c r="C136" s="68"/>
      <c r="D136" s="68"/>
      <c r="E136" s="68"/>
      <c r="F136" s="68"/>
      <c r="G136" s="68"/>
      <c r="H136" s="68"/>
      <c r="I136" s="68"/>
      <c r="J136" s="68"/>
      <c r="K136" s="68"/>
      <c r="L136" s="68"/>
      <c r="M136" s="68"/>
      <c r="N136" s="68"/>
      <c r="O136" s="68"/>
      <c r="P136" s="68"/>
      <c r="Q136" s="68"/>
      <c r="R136" s="68"/>
      <c r="S136" s="68"/>
      <c r="T136" s="68"/>
      <c r="U136" s="68"/>
      <c r="V136" s="68"/>
      <c r="W136" s="68"/>
      <c r="X136" s="68"/>
      <c r="Y136" s="68"/>
      <c r="Z136" s="68"/>
      <c r="AA136" s="68"/>
      <c r="AB136" s="68"/>
      <c r="AC136" s="68"/>
      <c r="AD136" s="68"/>
      <c r="AE136" s="68"/>
      <c r="AF136" s="68"/>
      <c r="AG136" s="71"/>
    </row>
    <row r="137" spans="1:33">
      <c r="A137" s="39"/>
      <c r="B137" s="67"/>
      <c r="C137" s="68"/>
      <c r="D137" s="68"/>
      <c r="E137" s="68"/>
      <c r="F137" s="68"/>
      <c r="G137" s="68"/>
      <c r="H137" s="68"/>
      <c r="I137" s="68"/>
      <c r="J137" s="68"/>
      <c r="K137" s="68"/>
      <c r="L137" s="68"/>
      <c r="M137" s="68"/>
      <c r="N137" s="68"/>
      <c r="O137" s="68"/>
      <c r="P137" s="68"/>
      <c r="Q137" s="68"/>
      <c r="R137" s="68"/>
      <c r="S137" s="68"/>
      <c r="T137" s="68"/>
      <c r="U137" s="68"/>
      <c r="V137" s="68"/>
      <c r="W137" s="68"/>
      <c r="X137" s="68"/>
      <c r="Y137" s="68"/>
      <c r="Z137" s="68"/>
      <c r="AA137" s="68"/>
      <c r="AB137" s="68"/>
      <c r="AC137" s="68"/>
      <c r="AD137" s="68"/>
      <c r="AE137" s="68"/>
      <c r="AF137" s="68"/>
      <c r="AG137" s="71"/>
    </row>
    <row r="138" spans="1:33">
      <c r="A138" s="39"/>
      <c r="B138" s="67"/>
      <c r="C138" s="68"/>
      <c r="D138" s="68"/>
      <c r="E138" s="68"/>
      <c r="F138" s="68"/>
      <c r="G138" s="68"/>
      <c r="H138" s="68"/>
      <c r="I138" s="68"/>
      <c r="J138" s="68"/>
      <c r="K138" s="68"/>
      <c r="L138" s="68"/>
      <c r="M138" s="68"/>
      <c r="N138" s="68"/>
      <c r="O138" s="68"/>
      <c r="P138" s="68"/>
      <c r="Q138" s="68"/>
      <c r="R138" s="68"/>
      <c r="S138" s="68"/>
      <c r="T138" s="68"/>
      <c r="U138" s="68"/>
      <c r="V138" s="68"/>
      <c r="W138" s="68"/>
      <c r="X138" s="68"/>
      <c r="Y138" s="68"/>
      <c r="Z138" s="68"/>
      <c r="AA138" s="68"/>
      <c r="AB138" s="68"/>
      <c r="AC138" s="68"/>
      <c r="AD138" s="68"/>
      <c r="AE138" s="68"/>
      <c r="AF138" s="68"/>
      <c r="AG138" s="71"/>
    </row>
    <row r="139" spans="1:33">
      <c r="A139" s="39"/>
      <c r="B139" s="67"/>
      <c r="C139" s="68"/>
      <c r="D139" s="68"/>
      <c r="E139" s="68"/>
      <c r="F139" s="68"/>
      <c r="G139" s="68"/>
      <c r="H139" s="68"/>
      <c r="I139" s="68"/>
      <c r="J139" s="68"/>
      <c r="K139" s="68"/>
      <c r="L139" s="68"/>
      <c r="M139" s="68"/>
      <c r="N139" s="68"/>
      <c r="O139" s="68"/>
      <c r="P139" s="68"/>
      <c r="Q139" s="68"/>
      <c r="R139" s="68"/>
      <c r="S139" s="68"/>
      <c r="T139" s="68"/>
      <c r="U139" s="68"/>
      <c r="V139" s="68"/>
      <c r="W139" s="68"/>
      <c r="X139" s="68"/>
      <c r="Y139" s="68"/>
      <c r="Z139" s="68"/>
      <c r="AA139" s="68"/>
      <c r="AB139" s="68"/>
      <c r="AC139" s="68"/>
      <c r="AD139" s="68"/>
      <c r="AE139" s="68"/>
      <c r="AF139" s="68"/>
      <c r="AG139" s="71"/>
    </row>
    <row r="140" spans="1:33">
      <c r="A140" s="39"/>
      <c r="B140" s="67"/>
      <c r="C140" s="68"/>
      <c r="D140" s="68"/>
      <c r="E140" s="68"/>
      <c r="F140" s="68"/>
      <c r="G140" s="68"/>
      <c r="H140" s="68"/>
      <c r="I140" s="68"/>
      <c r="J140" s="68"/>
      <c r="K140" s="68"/>
      <c r="L140" s="68"/>
      <c r="M140" s="68"/>
      <c r="N140" s="68"/>
      <c r="O140" s="68"/>
      <c r="P140" s="68"/>
      <c r="Q140" s="68"/>
      <c r="R140" s="68"/>
      <c r="S140" s="68"/>
      <c r="T140" s="68"/>
      <c r="U140" s="68"/>
      <c r="V140" s="68"/>
      <c r="W140" s="68"/>
      <c r="X140" s="68"/>
      <c r="Y140" s="68"/>
      <c r="Z140" s="68"/>
      <c r="AA140" s="68"/>
      <c r="AB140" s="68"/>
      <c r="AC140" s="68"/>
      <c r="AD140" s="68"/>
      <c r="AE140" s="68"/>
      <c r="AF140" s="68"/>
      <c r="AG140" s="71"/>
    </row>
    <row r="141" spans="1:33">
      <c r="A141" s="39"/>
      <c r="B141" s="67"/>
      <c r="C141" s="68"/>
      <c r="D141" s="68"/>
      <c r="E141" s="68"/>
      <c r="F141" s="68"/>
      <c r="G141" s="68"/>
      <c r="H141" s="68"/>
      <c r="I141" s="68"/>
      <c r="J141" s="68"/>
      <c r="K141" s="68"/>
      <c r="L141" s="68"/>
      <c r="M141" s="68"/>
      <c r="N141" s="68"/>
      <c r="O141" s="68"/>
      <c r="P141" s="68"/>
      <c r="Q141" s="68"/>
      <c r="R141" s="68"/>
      <c r="S141" s="68"/>
      <c r="T141" s="68"/>
      <c r="U141" s="68"/>
      <c r="V141" s="68"/>
      <c r="W141" s="68"/>
      <c r="X141" s="68"/>
      <c r="Y141" s="68"/>
      <c r="Z141" s="68"/>
      <c r="AA141" s="68"/>
      <c r="AB141" s="68"/>
      <c r="AC141" s="68"/>
      <c r="AD141" s="68"/>
      <c r="AE141" s="68"/>
      <c r="AF141" s="68"/>
      <c r="AG141" s="71"/>
    </row>
    <row r="142" spans="1:33">
      <c r="A142" s="9"/>
      <c r="B142" s="9"/>
      <c r="C142" s="9"/>
      <c r="D142" s="9"/>
      <c r="E142" s="9"/>
      <c r="F142" s="9"/>
      <c r="G142" s="9"/>
      <c r="H142" s="9"/>
      <c r="I142" s="9"/>
      <c r="J142" s="9"/>
      <c r="K142" s="9"/>
      <c r="L142" s="9"/>
      <c r="M142" s="9"/>
      <c r="N142" s="9"/>
      <c r="O142" s="9"/>
      <c r="P142" s="9"/>
      <c r="Q142" s="9"/>
      <c r="R142" s="9"/>
      <c r="S142" s="9"/>
      <c r="T142" s="9"/>
      <c r="U142" s="9"/>
      <c r="V142" s="9"/>
      <c r="W142" s="9"/>
      <c r="X142" s="9"/>
      <c r="Y142" s="9"/>
      <c r="Z142" s="9"/>
      <c r="AA142" s="9"/>
      <c r="AB142" s="9"/>
      <c r="AC142" s="9"/>
      <c r="AD142" s="9"/>
      <c r="AE142" s="9"/>
      <c r="AF142" s="9"/>
      <c r="AG142" s="9"/>
    </row>
    <row r="143" spans="1:33">
      <c r="A143" s="39"/>
      <c r="B143" s="66"/>
      <c r="C143" s="69"/>
      <c r="D143" s="69"/>
      <c r="E143" s="69"/>
      <c r="F143" s="69"/>
      <c r="G143" s="69"/>
      <c r="H143" s="69"/>
      <c r="I143" s="69"/>
      <c r="J143" s="69"/>
      <c r="K143" s="69"/>
      <c r="L143" s="69"/>
      <c r="M143" s="69"/>
      <c r="N143" s="69"/>
      <c r="O143" s="69"/>
      <c r="P143" s="69"/>
      <c r="Q143" s="69"/>
      <c r="R143" s="69"/>
      <c r="S143" s="69"/>
      <c r="T143" s="69"/>
      <c r="U143" s="69"/>
      <c r="V143" s="69"/>
      <c r="W143" s="69"/>
      <c r="X143" s="69"/>
      <c r="Y143" s="69"/>
      <c r="Z143" s="69"/>
      <c r="AA143" s="69"/>
      <c r="AB143" s="69"/>
      <c r="AC143" s="69"/>
      <c r="AD143" s="69"/>
      <c r="AE143" s="69"/>
      <c r="AF143" s="69"/>
      <c r="AG143" s="72"/>
    </row>
    <row r="144" spans="1:33">
      <c r="A144" s="39"/>
      <c r="B144" s="67"/>
      <c r="C144" s="68"/>
      <c r="D144" s="68"/>
      <c r="E144" s="68"/>
      <c r="F144" s="68"/>
      <c r="G144" s="68"/>
      <c r="H144" s="68"/>
      <c r="I144" s="68"/>
      <c r="J144" s="68"/>
      <c r="K144" s="68"/>
      <c r="L144" s="68"/>
      <c r="M144" s="68"/>
      <c r="N144" s="68"/>
      <c r="O144" s="68"/>
      <c r="P144" s="68"/>
      <c r="Q144" s="68"/>
      <c r="R144" s="68"/>
      <c r="S144" s="68"/>
      <c r="T144" s="68"/>
      <c r="U144" s="68"/>
      <c r="V144" s="68"/>
      <c r="W144" s="68"/>
      <c r="X144" s="68"/>
      <c r="Y144" s="68"/>
      <c r="Z144" s="68"/>
      <c r="AA144" s="68"/>
      <c r="AB144" s="68"/>
      <c r="AC144" s="68"/>
      <c r="AD144" s="68"/>
      <c r="AE144" s="68"/>
      <c r="AF144" s="68"/>
      <c r="AG144" s="71"/>
    </row>
    <row r="145" spans="1:33">
      <c r="A145" s="39"/>
      <c r="B145" s="67"/>
      <c r="C145" s="68"/>
      <c r="D145" s="68"/>
      <c r="E145" s="68"/>
      <c r="F145" s="68"/>
      <c r="G145" s="68"/>
      <c r="H145" s="68"/>
      <c r="I145" s="68"/>
      <c r="J145" s="68"/>
      <c r="K145" s="68"/>
      <c r="L145" s="68"/>
      <c r="M145" s="68"/>
      <c r="N145" s="68"/>
      <c r="O145" s="68"/>
      <c r="P145" s="68"/>
      <c r="Q145" s="68"/>
      <c r="R145" s="68"/>
      <c r="S145" s="68"/>
      <c r="T145" s="68"/>
      <c r="U145" s="68"/>
      <c r="V145" s="68"/>
      <c r="W145" s="68"/>
      <c r="X145" s="68"/>
      <c r="Y145" s="68"/>
      <c r="Z145" s="68"/>
      <c r="AA145" s="68"/>
      <c r="AB145" s="68"/>
      <c r="AC145" s="68"/>
      <c r="AD145" s="68"/>
      <c r="AE145" s="68"/>
      <c r="AF145" s="68"/>
      <c r="AG145" s="71"/>
    </row>
    <row r="146" spans="1:33">
      <c r="A146" s="39"/>
      <c r="B146" s="67"/>
      <c r="C146" s="68"/>
      <c r="D146" s="68"/>
      <c r="E146" s="68"/>
      <c r="F146" s="68"/>
      <c r="G146" s="68"/>
      <c r="H146" s="68"/>
      <c r="I146" s="68"/>
      <c r="J146" s="68"/>
      <c r="K146" s="68"/>
      <c r="L146" s="68"/>
      <c r="M146" s="68"/>
      <c r="N146" s="68"/>
      <c r="O146" s="68"/>
      <c r="P146" s="68"/>
      <c r="Q146" s="68"/>
      <c r="R146" s="68"/>
      <c r="S146" s="68"/>
      <c r="T146" s="68"/>
      <c r="U146" s="68"/>
      <c r="V146" s="68"/>
      <c r="W146" s="68"/>
      <c r="X146" s="68"/>
      <c r="Y146" s="68"/>
      <c r="Z146" s="68"/>
      <c r="AA146" s="68"/>
      <c r="AB146" s="68"/>
      <c r="AC146" s="68"/>
      <c r="AD146" s="68"/>
      <c r="AE146" s="68"/>
      <c r="AF146" s="68"/>
      <c r="AG146" s="71"/>
    </row>
    <row r="147" spans="1:33">
      <c r="A147" s="39"/>
      <c r="B147" s="67"/>
      <c r="C147" s="68"/>
      <c r="D147" s="68"/>
      <c r="E147" s="68"/>
      <c r="F147" s="68"/>
      <c r="G147" s="68"/>
      <c r="H147" s="68"/>
      <c r="I147" s="68"/>
      <c r="J147" s="68"/>
      <c r="K147" s="68"/>
      <c r="L147" s="68"/>
      <c r="M147" s="68"/>
      <c r="N147" s="68"/>
      <c r="O147" s="68"/>
      <c r="P147" s="68"/>
      <c r="Q147" s="68"/>
      <c r="R147" s="68"/>
      <c r="S147" s="68"/>
      <c r="T147" s="68"/>
      <c r="U147" s="68"/>
      <c r="V147" s="68"/>
      <c r="W147" s="68"/>
      <c r="X147" s="68"/>
      <c r="Y147" s="68"/>
      <c r="Z147" s="68"/>
      <c r="AA147" s="68"/>
      <c r="AB147" s="68"/>
      <c r="AC147" s="68"/>
      <c r="AD147" s="68"/>
      <c r="AE147" s="68"/>
      <c r="AF147" s="68"/>
      <c r="AG147" s="71"/>
    </row>
    <row r="148" spans="1:33">
      <c r="A148" s="39"/>
      <c r="B148" s="67"/>
      <c r="C148" s="68"/>
      <c r="D148" s="68"/>
      <c r="E148" s="68"/>
      <c r="F148" s="68"/>
      <c r="G148" s="68"/>
      <c r="H148" s="68"/>
      <c r="I148" s="68"/>
      <c r="J148" s="68"/>
      <c r="K148" s="68"/>
      <c r="L148" s="68"/>
      <c r="M148" s="68"/>
      <c r="N148" s="68"/>
      <c r="O148" s="68"/>
      <c r="P148" s="68"/>
      <c r="Q148" s="68"/>
      <c r="R148" s="68"/>
      <c r="S148" s="68"/>
      <c r="T148" s="68"/>
      <c r="U148" s="68"/>
      <c r="V148" s="68"/>
      <c r="W148" s="68"/>
      <c r="X148" s="68"/>
      <c r="Y148" s="68"/>
      <c r="Z148" s="68"/>
      <c r="AA148" s="68"/>
      <c r="AB148" s="68"/>
      <c r="AC148" s="68"/>
      <c r="AD148" s="68"/>
      <c r="AE148" s="68"/>
      <c r="AF148" s="68"/>
      <c r="AG148" s="71"/>
    </row>
    <row r="149" spans="1:33">
      <c r="A149" s="39"/>
      <c r="B149" s="67"/>
      <c r="C149" s="68"/>
      <c r="D149" s="68"/>
      <c r="E149" s="68"/>
      <c r="F149" s="68"/>
      <c r="G149" s="68"/>
      <c r="H149" s="68"/>
      <c r="I149" s="68"/>
      <c r="J149" s="68"/>
      <c r="K149" s="68"/>
      <c r="L149" s="68"/>
      <c r="M149" s="68"/>
      <c r="N149" s="68"/>
      <c r="O149" s="68"/>
      <c r="P149" s="68"/>
      <c r="Q149" s="68"/>
      <c r="R149" s="68"/>
      <c r="S149" s="68"/>
      <c r="T149" s="68"/>
      <c r="U149" s="68"/>
      <c r="V149" s="68"/>
      <c r="W149" s="68"/>
      <c r="X149" s="68"/>
      <c r="Y149" s="68"/>
      <c r="Z149" s="68"/>
      <c r="AA149" s="68"/>
      <c r="AB149" s="68"/>
      <c r="AC149" s="68"/>
      <c r="AD149" s="68"/>
      <c r="AE149" s="68"/>
      <c r="AF149" s="68"/>
      <c r="AG149" s="71"/>
    </row>
    <row r="150" spans="1:33">
      <c r="A150" s="39"/>
      <c r="B150" s="67"/>
      <c r="C150" s="68"/>
      <c r="D150" s="68"/>
      <c r="E150" s="68"/>
      <c r="F150" s="68"/>
      <c r="G150" s="68"/>
      <c r="H150" s="68"/>
      <c r="I150" s="68"/>
      <c r="J150" s="68"/>
      <c r="K150" s="68"/>
      <c r="L150" s="68"/>
      <c r="M150" s="68"/>
      <c r="N150" s="68"/>
      <c r="O150" s="68"/>
      <c r="P150" s="68"/>
      <c r="Q150" s="68"/>
      <c r="R150" s="68"/>
      <c r="S150" s="68"/>
      <c r="T150" s="68"/>
      <c r="U150" s="68"/>
      <c r="V150" s="68"/>
      <c r="W150" s="68"/>
      <c r="X150" s="68"/>
      <c r="Y150" s="68"/>
      <c r="Z150" s="68"/>
      <c r="AA150" s="68"/>
      <c r="AB150" s="68"/>
      <c r="AC150" s="68"/>
      <c r="AD150" s="68"/>
      <c r="AE150" s="68"/>
      <c r="AF150" s="68"/>
      <c r="AG150" s="71"/>
    </row>
    <row r="153" spans="1:33">
      <c r="A153" s="39"/>
      <c r="B153" s="66"/>
      <c r="C153" s="69"/>
      <c r="D153" s="69"/>
      <c r="E153" s="69"/>
      <c r="F153" s="69"/>
      <c r="G153" s="69"/>
      <c r="H153" s="69"/>
      <c r="I153" s="69"/>
      <c r="J153" s="69"/>
      <c r="K153" s="69"/>
      <c r="L153" s="69"/>
      <c r="M153" s="69"/>
      <c r="N153" s="69"/>
      <c r="O153" s="69"/>
      <c r="P153" s="69"/>
      <c r="Q153" s="69"/>
      <c r="R153" s="69"/>
      <c r="S153" s="69"/>
      <c r="T153" s="69"/>
      <c r="U153" s="69"/>
      <c r="V153" s="69"/>
      <c r="W153" s="69"/>
      <c r="X153" s="69"/>
      <c r="Y153" s="69"/>
      <c r="Z153" s="69"/>
      <c r="AA153" s="69"/>
      <c r="AB153" s="69"/>
      <c r="AC153" s="69"/>
      <c r="AD153" s="69"/>
      <c r="AE153" s="69"/>
      <c r="AF153" s="69"/>
      <c r="AG153" s="72"/>
    </row>
    <row r="154" spans="1:33">
      <c r="A154" s="39"/>
      <c r="B154" s="67"/>
      <c r="C154" s="68"/>
      <c r="D154" s="68"/>
      <c r="E154" s="68"/>
      <c r="F154" s="68"/>
      <c r="G154" s="68"/>
      <c r="H154" s="68"/>
      <c r="I154" s="68"/>
      <c r="J154" s="68"/>
      <c r="K154" s="68"/>
      <c r="L154" s="68"/>
      <c r="M154" s="68"/>
      <c r="N154" s="68"/>
      <c r="O154" s="68"/>
      <c r="P154" s="68"/>
      <c r="Q154" s="68"/>
      <c r="R154" s="68"/>
      <c r="S154" s="68"/>
      <c r="T154" s="68"/>
      <c r="U154" s="68"/>
      <c r="V154" s="68"/>
      <c r="W154" s="68"/>
      <c r="X154" s="68"/>
      <c r="Y154" s="68"/>
      <c r="Z154" s="68"/>
      <c r="AA154" s="68"/>
      <c r="AB154" s="68"/>
      <c r="AC154" s="68"/>
      <c r="AD154" s="68"/>
      <c r="AE154" s="68"/>
      <c r="AF154" s="68"/>
      <c r="AG154" s="71"/>
    </row>
    <row r="155" spans="1:33">
      <c r="A155" s="39"/>
      <c r="B155" s="67"/>
      <c r="C155" s="68"/>
      <c r="D155" s="68"/>
      <c r="E155" s="68"/>
      <c r="F155" s="68"/>
      <c r="G155" s="68"/>
      <c r="H155" s="68"/>
      <c r="I155" s="68"/>
      <c r="J155" s="68"/>
      <c r="K155" s="68"/>
      <c r="L155" s="68"/>
      <c r="M155" s="68"/>
      <c r="N155" s="68"/>
      <c r="O155" s="68"/>
      <c r="P155" s="68"/>
      <c r="Q155" s="68"/>
      <c r="R155" s="68"/>
      <c r="S155" s="68"/>
      <c r="T155" s="68"/>
      <c r="U155" s="68"/>
      <c r="V155" s="68"/>
      <c r="W155" s="68"/>
      <c r="X155" s="68"/>
      <c r="Y155" s="68"/>
      <c r="Z155" s="68"/>
      <c r="AA155" s="68"/>
      <c r="AB155" s="68"/>
      <c r="AC155" s="68"/>
      <c r="AD155" s="68"/>
      <c r="AE155" s="68"/>
      <c r="AF155" s="68"/>
      <c r="AG155" s="71"/>
    </row>
    <row r="156" spans="1:33">
      <c r="A156" s="39"/>
      <c r="B156" s="67"/>
      <c r="C156" s="68"/>
      <c r="D156" s="68"/>
      <c r="E156" s="68"/>
      <c r="F156" s="68"/>
      <c r="G156" s="68"/>
      <c r="H156" s="68"/>
      <c r="I156" s="68"/>
      <c r="J156" s="68"/>
      <c r="K156" s="68"/>
      <c r="L156" s="68"/>
      <c r="M156" s="68"/>
      <c r="N156" s="68"/>
      <c r="O156" s="68"/>
      <c r="P156" s="68"/>
      <c r="Q156" s="68"/>
      <c r="R156" s="68"/>
      <c r="S156" s="68"/>
      <c r="T156" s="68"/>
      <c r="U156" s="68"/>
      <c r="V156" s="68"/>
      <c r="W156" s="68"/>
      <c r="X156" s="68"/>
      <c r="Y156" s="68"/>
      <c r="Z156" s="68"/>
      <c r="AA156" s="68"/>
      <c r="AB156" s="68"/>
      <c r="AC156" s="68"/>
      <c r="AD156" s="68"/>
      <c r="AE156" s="68"/>
      <c r="AF156" s="68"/>
      <c r="AG156" s="71"/>
    </row>
    <row r="157" spans="1:33">
      <c r="A157" s="39"/>
      <c r="B157" s="67"/>
      <c r="C157" s="68"/>
      <c r="D157" s="68"/>
      <c r="E157" s="68"/>
      <c r="F157" s="68"/>
      <c r="G157" s="68"/>
      <c r="H157" s="68"/>
      <c r="I157" s="68"/>
      <c r="J157" s="68"/>
      <c r="K157" s="68"/>
      <c r="L157" s="68"/>
      <c r="M157" s="68"/>
      <c r="N157" s="68"/>
      <c r="O157" s="68"/>
      <c r="P157" s="68"/>
      <c r="Q157" s="68"/>
      <c r="R157" s="68"/>
      <c r="S157" s="68"/>
      <c r="T157" s="68"/>
      <c r="U157" s="68"/>
      <c r="V157" s="68"/>
      <c r="W157" s="68"/>
      <c r="X157" s="68"/>
      <c r="Y157" s="68"/>
      <c r="Z157" s="68"/>
      <c r="AA157" s="68"/>
      <c r="AB157" s="68"/>
      <c r="AC157" s="68"/>
      <c r="AD157" s="68"/>
      <c r="AE157" s="68"/>
      <c r="AF157" s="68"/>
      <c r="AG157" s="71"/>
    </row>
    <row r="159" spans="1:33">
      <c r="A159" s="39"/>
      <c r="B159" s="66"/>
      <c r="C159" s="69"/>
      <c r="D159" s="69"/>
      <c r="E159" s="69"/>
      <c r="F159" s="69"/>
      <c r="G159" s="69"/>
      <c r="H159" s="69"/>
      <c r="I159" s="69"/>
      <c r="J159" s="69"/>
      <c r="K159" s="69"/>
      <c r="L159" s="69"/>
      <c r="M159" s="69"/>
      <c r="N159" s="69"/>
      <c r="O159" s="69"/>
      <c r="P159" s="69"/>
      <c r="Q159" s="69"/>
      <c r="R159" s="69"/>
      <c r="S159" s="69"/>
      <c r="T159" s="69"/>
      <c r="U159" s="69"/>
      <c r="V159" s="69"/>
      <c r="W159" s="69"/>
      <c r="X159" s="69"/>
      <c r="Y159" s="69"/>
      <c r="Z159" s="69"/>
      <c r="AA159" s="69"/>
      <c r="AB159" s="69"/>
      <c r="AC159" s="69"/>
      <c r="AD159" s="69"/>
      <c r="AE159" s="69"/>
      <c r="AF159" s="69"/>
      <c r="AG159" s="72"/>
    </row>
    <row r="160" spans="1:33">
      <c r="A160" s="39"/>
      <c r="B160" s="67"/>
      <c r="C160" s="68"/>
      <c r="D160" s="68"/>
      <c r="E160" s="68"/>
      <c r="F160" s="68"/>
      <c r="G160" s="68"/>
      <c r="H160" s="68"/>
      <c r="I160" s="68"/>
      <c r="J160" s="68"/>
      <c r="K160" s="68"/>
      <c r="L160" s="68"/>
      <c r="M160" s="68"/>
      <c r="N160" s="68"/>
      <c r="O160" s="68"/>
      <c r="P160" s="68"/>
      <c r="Q160" s="68"/>
      <c r="R160" s="68"/>
      <c r="S160" s="68"/>
      <c r="T160" s="68"/>
      <c r="U160" s="68"/>
      <c r="V160" s="68"/>
      <c r="W160" s="68"/>
      <c r="X160" s="68"/>
      <c r="Y160" s="68"/>
      <c r="Z160" s="68"/>
      <c r="AA160" s="68"/>
      <c r="AB160" s="68"/>
      <c r="AC160" s="68"/>
      <c r="AD160" s="68"/>
      <c r="AE160" s="68"/>
      <c r="AF160" s="68"/>
      <c r="AG160" s="71"/>
    </row>
    <row r="161" spans="1:33">
      <c r="A161" s="39"/>
      <c r="B161" s="67"/>
      <c r="C161" s="68"/>
      <c r="D161" s="68"/>
      <c r="E161" s="68"/>
      <c r="F161" s="68"/>
      <c r="G161" s="68"/>
      <c r="H161" s="68"/>
      <c r="I161" s="68"/>
      <c r="J161" s="68"/>
      <c r="K161" s="68"/>
      <c r="L161" s="68"/>
      <c r="M161" s="68"/>
      <c r="N161" s="68"/>
      <c r="O161" s="68"/>
      <c r="P161" s="68"/>
      <c r="Q161" s="68"/>
      <c r="R161" s="68"/>
      <c r="S161" s="68"/>
      <c r="T161" s="68"/>
      <c r="U161" s="68"/>
      <c r="V161" s="68"/>
      <c r="W161" s="68"/>
      <c r="X161" s="68"/>
      <c r="Y161" s="68"/>
      <c r="Z161" s="68"/>
      <c r="AA161" s="68"/>
      <c r="AB161" s="68"/>
      <c r="AC161" s="68"/>
      <c r="AD161" s="68"/>
      <c r="AE161" s="68"/>
      <c r="AF161" s="68"/>
      <c r="AG161" s="71"/>
    </row>
    <row r="162" spans="1:33">
      <c r="A162" s="39"/>
      <c r="B162" s="67"/>
      <c r="C162" s="68"/>
      <c r="D162" s="68"/>
      <c r="E162" s="68"/>
      <c r="F162" s="68"/>
      <c r="G162" s="68"/>
      <c r="H162" s="68"/>
      <c r="I162" s="68"/>
      <c r="J162" s="68"/>
      <c r="K162" s="68"/>
      <c r="L162" s="68"/>
      <c r="M162" s="68"/>
      <c r="N162" s="68"/>
      <c r="O162" s="68"/>
      <c r="P162" s="68"/>
      <c r="Q162" s="68"/>
      <c r="R162" s="68"/>
      <c r="S162" s="68"/>
      <c r="T162" s="68"/>
      <c r="U162" s="68"/>
      <c r="V162" s="68"/>
      <c r="W162" s="68"/>
      <c r="X162" s="68"/>
      <c r="Y162" s="68"/>
      <c r="Z162" s="68"/>
      <c r="AA162" s="68"/>
      <c r="AB162" s="68"/>
      <c r="AC162" s="68"/>
      <c r="AD162" s="68"/>
      <c r="AE162" s="68"/>
      <c r="AF162" s="68"/>
      <c r="AG162" s="71"/>
    </row>
    <row r="163" spans="1:33">
      <c r="A163" s="39"/>
      <c r="B163" s="67"/>
      <c r="C163" s="68"/>
      <c r="D163" s="68"/>
      <c r="E163" s="68"/>
      <c r="F163" s="68"/>
      <c r="G163" s="68"/>
      <c r="H163" s="68"/>
      <c r="I163" s="68"/>
      <c r="J163" s="68"/>
      <c r="K163" s="68"/>
      <c r="L163" s="68"/>
      <c r="M163" s="68"/>
      <c r="N163" s="68"/>
      <c r="O163" s="68"/>
      <c r="P163" s="68"/>
      <c r="Q163" s="68"/>
      <c r="R163" s="68"/>
      <c r="S163" s="68"/>
      <c r="T163" s="68"/>
      <c r="U163" s="68"/>
      <c r="V163" s="68"/>
      <c r="W163" s="68"/>
      <c r="X163" s="68"/>
      <c r="Y163" s="68"/>
      <c r="Z163" s="68"/>
      <c r="AA163" s="68"/>
      <c r="AB163" s="68"/>
      <c r="AC163" s="68"/>
      <c r="AD163" s="68"/>
      <c r="AE163" s="68"/>
      <c r="AF163" s="68"/>
      <c r="AG163" s="71"/>
    </row>
    <row r="165" spans="1:33">
      <c r="A165" s="39"/>
      <c r="B165" s="66"/>
      <c r="C165" s="69"/>
      <c r="D165" s="69"/>
      <c r="E165" s="69"/>
      <c r="F165" s="69"/>
      <c r="G165" s="69"/>
      <c r="H165" s="69"/>
      <c r="I165" s="69"/>
      <c r="J165" s="69"/>
      <c r="K165" s="69"/>
      <c r="L165" s="69"/>
      <c r="M165" s="69"/>
      <c r="N165" s="69"/>
      <c r="O165" s="69"/>
      <c r="P165" s="69"/>
      <c r="Q165" s="69"/>
      <c r="R165" s="69"/>
      <c r="S165" s="69"/>
      <c r="T165" s="69"/>
      <c r="U165" s="69"/>
      <c r="V165" s="69"/>
      <c r="W165" s="69"/>
      <c r="X165" s="69"/>
      <c r="Y165" s="69"/>
      <c r="Z165" s="69"/>
      <c r="AA165" s="69"/>
      <c r="AB165" s="69"/>
      <c r="AC165" s="69"/>
      <c r="AD165" s="69"/>
      <c r="AE165" s="69"/>
      <c r="AF165" s="69"/>
      <c r="AG165" s="72"/>
    </row>
    <row r="166" spans="1:33">
      <c r="A166" s="39"/>
      <c r="B166" s="67"/>
      <c r="C166" s="68"/>
      <c r="D166" s="68"/>
      <c r="E166" s="68"/>
      <c r="F166" s="68"/>
      <c r="G166" s="68"/>
      <c r="H166" s="68"/>
      <c r="I166" s="68"/>
      <c r="J166" s="68"/>
      <c r="K166" s="68"/>
      <c r="L166" s="68"/>
      <c r="M166" s="68"/>
      <c r="N166" s="68"/>
      <c r="O166" s="68"/>
      <c r="P166" s="68"/>
      <c r="Q166" s="68"/>
      <c r="R166" s="68"/>
      <c r="S166" s="68"/>
      <c r="T166" s="68"/>
      <c r="U166" s="68"/>
      <c r="V166" s="68"/>
      <c r="W166" s="68"/>
      <c r="X166" s="68"/>
      <c r="Y166" s="68"/>
      <c r="Z166" s="68"/>
      <c r="AA166" s="68"/>
      <c r="AB166" s="68"/>
      <c r="AC166" s="68"/>
      <c r="AD166" s="68"/>
      <c r="AE166" s="68"/>
      <c r="AF166" s="68"/>
      <c r="AG166" s="71"/>
    </row>
    <row r="167" spans="1:33">
      <c r="A167" s="39"/>
      <c r="B167" s="67"/>
      <c r="C167" s="68"/>
      <c r="D167" s="68"/>
      <c r="E167" s="68"/>
      <c r="F167" s="68"/>
      <c r="G167" s="68"/>
      <c r="H167" s="68"/>
      <c r="I167" s="68"/>
      <c r="J167" s="68"/>
      <c r="K167" s="68"/>
      <c r="L167" s="68"/>
      <c r="M167" s="68"/>
      <c r="N167" s="68"/>
      <c r="O167" s="68"/>
      <c r="P167" s="68"/>
      <c r="Q167" s="68"/>
      <c r="R167" s="68"/>
      <c r="S167" s="68"/>
      <c r="T167" s="68"/>
      <c r="U167" s="68"/>
      <c r="V167" s="68"/>
      <c r="W167" s="68"/>
      <c r="X167" s="68"/>
      <c r="Y167" s="68"/>
      <c r="Z167" s="68"/>
      <c r="AA167" s="68"/>
      <c r="AB167" s="68"/>
      <c r="AC167" s="68"/>
      <c r="AD167" s="68"/>
      <c r="AE167" s="68"/>
      <c r="AF167" s="68"/>
      <c r="AG167" s="71"/>
    </row>
    <row r="168" spans="1:33">
      <c r="A168" s="39"/>
      <c r="B168" s="67"/>
      <c r="C168" s="68"/>
      <c r="D168" s="68"/>
      <c r="E168" s="68"/>
      <c r="F168" s="68"/>
      <c r="G168" s="68"/>
      <c r="H168" s="68"/>
      <c r="I168" s="68"/>
      <c r="J168" s="68"/>
      <c r="K168" s="68"/>
      <c r="L168" s="68"/>
      <c r="M168" s="68"/>
      <c r="N168" s="68"/>
      <c r="O168" s="68"/>
      <c r="P168" s="68"/>
      <c r="Q168" s="68"/>
      <c r="R168" s="68"/>
      <c r="S168" s="68"/>
      <c r="T168" s="68"/>
      <c r="U168" s="68"/>
      <c r="V168" s="68"/>
      <c r="W168" s="68"/>
      <c r="X168" s="68"/>
      <c r="Y168" s="68"/>
      <c r="Z168" s="68"/>
      <c r="AA168" s="68"/>
      <c r="AB168" s="68"/>
      <c r="AC168" s="68"/>
      <c r="AD168" s="68"/>
      <c r="AE168" s="68"/>
      <c r="AF168" s="68"/>
      <c r="AG168" s="71"/>
    </row>
    <row r="169" spans="1:33">
      <c r="A169" s="39"/>
      <c r="B169" s="67"/>
      <c r="C169" s="68"/>
      <c r="D169" s="68"/>
      <c r="E169" s="68"/>
      <c r="F169" s="68"/>
      <c r="G169" s="68"/>
      <c r="H169" s="68"/>
      <c r="I169" s="68"/>
      <c r="J169" s="68"/>
      <c r="K169" s="68"/>
      <c r="L169" s="68"/>
      <c r="M169" s="68"/>
      <c r="N169" s="68"/>
      <c r="O169" s="68"/>
      <c r="P169" s="68"/>
      <c r="Q169" s="68"/>
      <c r="R169" s="68"/>
      <c r="S169" s="68"/>
      <c r="T169" s="68"/>
      <c r="U169" s="68"/>
      <c r="V169" s="68"/>
      <c r="W169" s="68"/>
      <c r="X169" s="68"/>
      <c r="Y169" s="68"/>
      <c r="Z169" s="68"/>
      <c r="AA169" s="68"/>
      <c r="AB169" s="68"/>
      <c r="AC169" s="68"/>
      <c r="AD169" s="68"/>
      <c r="AE169" s="68"/>
      <c r="AF169" s="68"/>
      <c r="AG169" s="71"/>
    </row>
    <row r="171" spans="1:33">
      <c r="A171" s="39"/>
      <c r="B171" s="66"/>
      <c r="C171" s="69"/>
      <c r="D171" s="69"/>
      <c r="E171" s="69"/>
      <c r="F171" s="69"/>
      <c r="G171" s="69"/>
      <c r="H171" s="69"/>
      <c r="I171" s="69"/>
      <c r="J171" s="69"/>
      <c r="K171" s="69"/>
      <c r="L171" s="69"/>
      <c r="M171" s="69"/>
      <c r="N171" s="69"/>
      <c r="O171" s="69"/>
      <c r="P171" s="69"/>
      <c r="Q171" s="69"/>
      <c r="R171" s="69"/>
      <c r="S171" s="69"/>
      <c r="T171" s="69"/>
      <c r="U171" s="69"/>
      <c r="V171" s="69"/>
      <c r="W171" s="69"/>
      <c r="X171" s="69"/>
      <c r="Y171" s="69"/>
      <c r="Z171" s="69"/>
      <c r="AA171" s="69"/>
      <c r="AB171" s="69"/>
      <c r="AC171" s="69"/>
      <c r="AD171" s="69"/>
      <c r="AE171" s="69"/>
      <c r="AF171" s="69"/>
      <c r="AG171" s="72"/>
    </row>
    <row r="172" spans="1:33">
      <c r="A172" s="39"/>
      <c r="B172" s="67"/>
      <c r="C172" s="68"/>
      <c r="D172" s="68"/>
      <c r="E172" s="68"/>
      <c r="F172" s="68"/>
      <c r="G172" s="68"/>
      <c r="H172" s="68"/>
      <c r="I172" s="68"/>
      <c r="J172" s="68"/>
      <c r="K172" s="68"/>
      <c r="L172" s="68"/>
      <c r="M172" s="68"/>
      <c r="N172" s="68"/>
      <c r="O172" s="68"/>
      <c r="P172" s="68"/>
      <c r="Q172" s="68"/>
      <c r="R172" s="68"/>
      <c r="S172" s="68"/>
      <c r="T172" s="68"/>
      <c r="U172" s="68"/>
      <c r="V172" s="68"/>
      <c r="W172" s="68"/>
      <c r="X172" s="68"/>
      <c r="Y172" s="68"/>
      <c r="Z172" s="68"/>
      <c r="AA172" s="68"/>
      <c r="AB172" s="68"/>
      <c r="AC172" s="68"/>
      <c r="AD172" s="68"/>
      <c r="AE172" s="68"/>
      <c r="AF172" s="68"/>
      <c r="AG172" s="71"/>
    </row>
    <row r="173" spans="1:33">
      <c r="A173" s="39"/>
      <c r="B173" s="67"/>
      <c r="C173" s="68"/>
      <c r="D173" s="68"/>
      <c r="E173" s="68"/>
      <c r="F173" s="68"/>
      <c r="G173" s="68"/>
      <c r="H173" s="68"/>
      <c r="I173" s="68"/>
      <c r="J173" s="68"/>
      <c r="K173" s="68"/>
      <c r="L173" s="68"/>
      <c r="M173" s="68"/>
      <c r="N173" s="68"/>
      <c r="O173" s="68"/>
      <c r="P173" s="68"/>
      <c r="Q173" s="68"/>
      <c r="R173" s="68"/>
      <c r="S173" s="68"/>
      <c r="T173" s="68"/>
      <c r="U173" s="68"/>
      <c r="V173" s="68"/>
      <c r="W173" s="68"/>
      <c r="X173" s="68"/>
      <c r="Y173" s="68"/>
      <c r="Z173" s="68"/>
      <c r="AA173" s="68"/>
      <c r="AB173" s="68"/>
      <c r="AC173" s="68"/>
      <c r="AD173" s="68"/>
      <c r="AE173" s="68"/>
      <c r="AF173" s="68"/>
      <c r="AG173" s="71"/>
    </row>
    <row r="175" spans="1:33">
      <c r="A175" s="39"/>
      <c r="B175" s="66"/>
      <c r="C175" s="69"/>
      <c r="D175" s="69"/>
      <c r="E175" s="69"/>
      <c r="F175" s="69"/>
      <c r="G175" s="69"/>
      <c r="H175" s="69"/>
      <c r="I175" s="69"/>
      <c r="J175" s="69"/>
      <c r="K175" s="69"/>
      <c r="L175" s="69"/>
      <c r="M175" s="69"/>
      <c r="N175" s="69"/>
      <c r="O175" s="69"/>
      <c r="P175" s="69"/>
      <c r="Q175" s="69"/>
      <c r="R175" s="69"/>
      <c r="S175" s="69"/>
      <c r="T175" s="69"/>
      <c r="U175" s="69"/>
      <c r="V175" s="69"/>
      <c r="W175" s="69"/>
      <c r="X175" s="69"/>
      <c r="Y175" s="69"/>
      <c r="Z175" s="69"/>
      <c r="AA175" s="69"/>
      <c r="AB175" s="69"/>
      <c r="AC175" s="69"/>
      <c r="AD175" s="69"/>
      <c r="AE175" s="69"/>
      <c r="AF175" s="69"/>
      <c r="AG175" s="72"/>
    </row>
    <row r="176" spans="1:33">
      <c r="A176" s="39"/>
      <c r="B176" s="67"/>
      <c r="C176" s="68"/>
      <c r="D176" s="68"/>
      <c r="E176" s="68"/>
      <c r="F176" s="68"/>
      <c r="G176" s="68"/>
      <c r="H176" s="68"/>
      <c r="I176" s="68"/>
      <c r="J176" s="68"/>
      <c r="K176" s="68"/>
      <c r="L176" s="68"/>
      <c r="M176" s="68"/>
      <c r="N176" s="68"/>
      <c r="O176" s="68"/>
      <c r="P176" s="68"/>
      <c r="Q176" s="68"/>
      <c r="R176" s="68"/>
      <c r="S176" s="68"/>
      <c r="T176" s="68"/>
      <c r="U176" s="68"/>
      <c r="V176" s="68"/>
      <c r="W176" s="68"/>
      <c r="X176" s="68"/>
      <c r="Y176" s="68"/>
      <c r="Z176" s="68"/>
      <c r="AA176" s="68"/>
      <c r="AB176" s="68"/>
      <c r="AC176" s="68"/>
      <c r="AD176" s="68"/>
      <c r="AE176" s="68"/>
      <c r="AF176" s="68"/>
      <c r="AG176" s="71"/>
    </row>
    <row r="177" spans="1:33">
      <c r="A177" s="39"/>
      <c r="B177" s="67"/>
      <c r="C177" s="68"/>
      <c r="D177" s="68"/>
      <c r="E177" s="68"/>
      <c r="F177" s="68"/>
      <c r="G177" s="68"/>
      <c r="H177" s="68"/>
      <c r="I177" s="68"/>
      <c r="J177" s="68"/>
      <c r="K177" s="68"/>
      <c r="L177" s="68"/>
      <c r="M177" s="68"/>
      <c r="N177" s="68"/>
      <c r="O177" s="68"/>
      <c r="P177" s="68"/>
      <c r="Q177" s="68"/>
      <c r="R177" s="68"/>
      <c r="S177" s="68"/>
      <c r="T177" s="68"/>
      <c r="U177" s="68"/>
      <c r="V177" s="68"/>
      <c r="W177" s="68"/>
      <c r="X177" s="68"/>
      <c r="Y177" s="68"/>
      <c r="Z177" s="68"/>
      <c r="AA177" s="68"/>
      <c r="AB177" s="68"/>
      <c r="AC177" s="68"/>
      <c r="AD177" s="68"/>
      <c r="AE177" s="68"/>
      <c r="AF177" s="68"/>
      <c r="AG177" s="71"/>
    </row>
    <row r="178" spans="1:33">
      <c r="A178" s="39"/>
      <c r="B178" s="67"/>
      <c r="C178" s="68"/>
      <c r="D178" s="68"/>
      <c r="E178" s="68"/>
      <c r="F178" s="68"/>
      <c r="G178" s="68"/>
      <c r="H178" s="68"/>
      <c r="I178" s="68"/>
      <c r="J178" s="68"/>
      <c r="K178" s="68"/>
      <c r="L178" s="68"/>
      <c r="M178" s="68"/>
      <c r="N178" s="68"/>
      <c r="O178" s="68"/>
      <c r="P178" s="68"/>
      <c r="Q178" s="68"/>
      <c r="R178" s="68"/>
      <c r="S178" s="68"/>
      <c r="T178" s="68"/>
      <c r="U178" s="68"/>
      <c r="V178" s="68"/>
      <c r="W178" s="68"/>
      <c r="X178" s="68"/>
      <c r="Y178" s="68"/>
      <c r="Z178" s="68"/>
      <c r="AA178" s="68"/>
      <c r="AB178" s="68"/>
      <c r="AC178" s="68"/>
      <c r="AD178" s="68"/>
      <c r="AE178" s="68"/>
      <c r="AF178" s="68"/>
      <c r="AG178" s="71"/>
    </row>
    <row r="180" spans="1:33">
      <c r="A180" s="39"/>
      <c r="B180" s="66"/>
      <c r="C180" s="69"/>
      <c r="D180" s="69"/>
      <c r="E180" s="69"/>
      <c r="F180" s="69"/>
      <c r="G180" s="69"/>
      <c r="H180" s="69"/>
      <c r="I180" s="69"/>
      <c r="J180" s="69"/>
      <c r="K180" s="69"/>
      <c r="L180" s="69"/>
      <c r="M180" s="69"/>
      <c r="N180" s="69"/>
      <c r="O180" s="69"/>
      <c r="P180" s="69"/>
      <c r="Q180" s="69"/>
      <c r="R180" s="69"/>
      <c r="S180" s="69"/>
      <c r="T180" s="69"/>
      <c r="U180" s="69"/>
      <c r="V180" s="69"/>
      <c r="W180" s="69"/>
      <c r="X180" s="69"/>
      <c r="Y180" s="69"/>
      <c r="Z180" s="69"/>
      <c r="AA180" s="69"/>
      <c r="AB180" s="69"/>
      <c r="AC180" s="69"/>
      <c r="AD180" s="69"/>
      <c r="AE180" s="69"/>
      <c r="AF180" s="69"/>
      <c r="AG180" s="72"/>
    </row>
    <row r="181" spans="1:33">
      <c r="A181" s="39"/>
      <c r="B181" s="67"/>
      <c r="C181" s="68"/>
      <c r="D181" s="68"/>
      <c r="E181" s="68"/>
      <c r="F181" s="68"/>
      <c r="G181" s="68"/>
      <c r="H181" s="68"/>
      <c r="I181" s="68"/>
      <c r="J181" s="68"/>
      <c r="K181" s="68"/>
      <c r="L181" s="68"/>
      <c r="M181" s="68"/>
      <c r="N181" s="68"/>
      <c r="O181" s="68"/>
      <c r="P181" s="68"/>
      <c r="Q181" s="68"/>
      <c r="R181" s="68"/>
      <c r="S181" s="68"/>
      <c r="T181" s="68"/>
      <c r="U181" s="68"/>
      <c r="V181" s="68"/>
      <c r="W181" s="68"/>
      <c r="X181" s="68"/>
      <c r="Y181" s="68"/>
      <c r="Z181" s="68"/>
      <c r="AA181" s="68"/>
      <c r="AB181" s="68"/>
      <c r="AC181" s="68"/>
      <c r="AD181" s="68"/>
      <c r="AE181" s="68"/>
      <c r="AF181" s="68"/>
      <c r="AG181" s="71"/>
    </row>
    <row r="182" spans="1:33">
      <c r="A182" s="39"/>
      <c r="B182" s="67"/>
      <c r="C182" s="68"/>
      <c r="D182" s="68"/>
      <c r="E182" s="68"/>
      <c r="F182" s="68"/>
      <c r="G182" s="68"/>
      <c r="H182" s="68"/>
      <c r="I182" s="68"/>
      <c r="J182" s="68"/>
      <c r="K182" s="68"/>
      <c r="L182" s="68"/>
      <c r="M182" s="68"/>
      <c r="N182" s="68"/>
      <c r="O182" s="68"/>
      <c r="P182" s="68"/>
      <c r="Q182" s="68"/>
      <c r="R182" s="68"/>
      <c r="S182" s="68"/>
      <c r="T182" s="68"/>
      <c r="U182" s="68"/>
      <c r="V182" s="68"/>
      <c r="W182" s="68"/>
      <c r="X182" s="68"/>
      <c r="Y182" s="68"/>
      <c r="Z182" s="68"/>
      <c r="AA182" s="68"/>
      <c r="AB182" s="68"/>
      <c r="AC182" s="68"/>
      <c r="AD182" s="68"/>
      <c r="AE182" s="68"/>
      <c r="AF182" s="68"/>
      <c r="AG182" s="71"/>
    </row>
    <row r="183" spans="1:33">
      <c r="A183" s="39"/>
      <c r="B183" s="67"/>
      <c r="C183" s="68"/>
      <c r="D183" s="68"/>
      <c r="E183" s="68"/>
      <c r="F183" s="68"/>
      <c r="G183" s="68"/>
      <c r="H183" s="68"/>
      <c r="I183" s="68"/>
      <c r="J183" s="68"/>
      <c r="K183" s="68"/>
      <c r="L183" s="68"/>
      <c r="M183" s="68"/>
      <c r="N183" s="68"/>
      <c r="O183" s="68"/>
      <c r="P183" s="68"/>
      <c r="Q183" s="68"/>
      <c r="R183" s="68"/>
      <c r="S183" s="68"/>
      <c r="T183" s="68"/>
      <c r="U183" s="68"/>
      <c r="V183" s="68"/>
      <c r="W183" s="68"/>
      <c r="X183" s="68"/>
      <c r="Y183" s="68"/>
      <c r="Z183" s="68"/>
      <c r="AA183" s="68"/>
      <c r="AB183" s="68"/>
      <c r="AC183" s="68"/>
      <c r="AD183" s="68"/>
      <c r="AE183" s="68"/>
      <c r="AF183" s="68"/>
      <c r="AG183" s="71"/>
    </row>
    <row r="184" spans="1:33">
      <c r="A184" s="39"/>
      <c r="B184" s="67"/>
      <c r="C184" s="68"/>
      <c r="D184" s="68"/>
      <c r="E184" s="68"/>
      <c r="F184" s="68"/>
      <c r="G184" s="68"/>
      <c r="H184" s="68"/>
      <c r="I184" s="68"/>
      <c r="J184" s="68"/>
      <c r="K184" s="68"/>
      <c r="L184" s="68"/>
      <c r="M184" s="68"/>
      <c r="N184" s="68"/>
      <c r="O184" s="68"/>
      <c r="P184" s="68"/>
      <c r="Q184" s="68"/>
      <c r="R184" s="68"/>
      <c r="S184" s="68"/>
      <c r="T184" s="68"/>
      <c r="U184" s="68"/>
      <c r="V184" s="68"/>
      <c r="W184" s="68"/>
      <c r="X184" s="68"/>
      <c r="Y184" s="68"/>
      <c r="Z184" s="68"/>
      <c r="AA184" s="68"/>
      <c r="AB184" s="68"/>
      <c r="AC184" s="68"/>
      <c r="AD184" s="68"/>
      <c r="AE184" s="68"/>
      <c r="AF184" s="68"/>
      <c r="AG184" s="71"/>
    </row>
    <row r="185" spans="1:33">
      <c r="A185" s="39"/>
      <c r="B185" s="67"/>
      <c r="C185" s="68"/>
      <c r="D185" s="68"/>
      <c r="E185" s="68"/>
      <c r="F185" s="68"/>
      <c r="G185" s="68"/>
      <c r="H185" s="68"/>
      <c r="I185" s="68"/>
      <c r="J185" s="68"/>
      <c r="K185" s="68"/>
      <c r="L185" s="68"/>
      <c r="M185" s="68"/>
      <c r="N185" s="68"/>
      <c r="O185" s="68"/>
      <c r="P185" s="68"/>
      <c r="Q185" s="68"/>
      <c r="R185" s="68"/>
      <c r="S185" s="68"/>
      <c r="T185" s="68"/>
      <c r="U185" s="68"/>
      <c r="V185" s="68"/>
      <c r="W185" s="68"/>
      <c r="X185" s="68"/>
      <c r="Y185" s="68"/>
      <c r="Z185" s="68"/>
      <c r="AA185" s="68"/>
      <c r="AB185" s="68"/>
      <c r="AC185" s="68"/>
      <c r="AD185" s="68"/>
      <c r="AE185" s="68"/>
      <c r="AF185" s="68"/>
      <c r="AG185" s="71"/>
    </row>
    <row r="186" spans="1:33">
      <c r="A186" s="39"/>
      <c r="B186" s="67"/>
      <c r="C186" s="68"/>
      <c r="D186" s="68"/>
      <c r="E186" s="68"/>
      <c r="F186" s="68"/>
      <c r="G186" s="68"/>
      <c r="H186" s="68"/>
      <c r="I186" s="68"/>
      <c r="J186" s="68"/>
      <c r="K186" s="68"/>
      <c r="L186" s="68"/>
      <c r="M186" s="68"/>
      <c r="N186" s="68"/>
      <c r="O186" s="68"/>
      <c r="P186" s="68"/>
      <c r="Q186" s="68"/>
      <c r="R186" s="68"/>
      <c r="S186" s="68"/>
      <c r="T186" s="68"/>
      <c r="U186" s="68"/>
      <c r="V186" s="68"/>
      <c r="W186" s="68"/>
      <c r="X186" s="68"/>
      <c r="Y186" s="68"/>
      <c r="Z186" s="68"/>
      <c r="AA186" s="68"/>
      <c r="AB186" s="68"/>
      <c r="AC186" s="68"/>
      <c r="AD186" s="68"/>
      <c r="AE186" s="68"/>
      <c r="AF186" s="68"/>
      <c r="AG186" s="71"/>
    </row>
    <row r="187" spans="1:33">
      <c r="A187" s="39"/>
      <c r="B187" s="67"/>
      <c r="C187" s="68"/>
      <c r="D187" s="68"/>
      <c r="E187" s="68"/>
      <c r="F187" s="68"/>
      <c r="G187" s="68"/>
      <c r="H187" s="68"/>
      <c r="I187" s="68"/>
      <c r="J187" s="68"/>
      <c r="K187" s="68"/>
      <c r="L187" s="68"/>
      <c r="M187" s="68"/>
      <c r="N187" s="68"/>
      <c r="O187" s="68"/>
      <c r="P187" s="68"/>
      <c r="Q187" s="68"/>
      <c r="R187" s="68"/>
      <c r="S187" s="68"/>
      <c r="T187" s="68"/>
      <c r="U187" s="68"/>
      <c r="V187" s="68"/>
      <c r="W187" s="68"/>
      <c r="X187" s="68"/>
      <c r="Y187" s="68"/>
      <c r="Z187" s="68"/>
      <c r="AA187" s="68"/>
      <c r="AB187" s="68"/>
      <c r="AC187" s="68"/>
      <c r="AD187" s="68"/>
      <c r="AE187" s="68"/>
      <c r="AF187" s="68"/>
      <c r="AG187" s="71"/>
    </row>
    <row r="188" spans="1:33">
      <c r="A188" s="39"/>
      <c r="B188" s="67"/>
      <c r="C188" s="68"/>
      <c r="D188" s="68"/>
      <c r="E188" s="68"/>
      <c r="F188" s="68"/>
      <c r="G188" s="68"/>
      <c r="H188" s="68"/>
      <c r="I188" s="68"/>
      <c r="J188" s="68"/>
      <c r="K188" s="68"/>
      <c r="L188" s="68"/>
      <c r="M188" s="68"/>
      <c r="N188" s="68"/>
      <c r="O188" s="68"/>
      <c r="P188" s="68"/>
      <c r="Q188" s="68"/>
      <c r="R188" s="68"/>
      <c r="S188" s="68"/>
      <c r="T188" s="68"/>
      <c r="U188" s="68"/>
      <c r="V188" s="68"/>
      <c r="W188" s="68"/>
      <c r="X188" s="68"/>
      <c r="Y188" s="68"/>
      <c r="Z188" s="68"/>
      <c r="AA188" s="68"/>
      <c r="AB188" s="68"/>
      <c r="AC188" s="68"/>
      <c r="AD188" s="68"/>
      <c r="AE188" s="68"/>
      <c r="AF188" s="68"/>
      <c r="AG188" s="71"/>
    </row>
    <row r="189" spans="1:33">
      <c r="A189" s="39"/>
      <c r="B189" s="67"/>
      <c r="C189" s="68"/>
      <c r="D189" s="68"/>
      <c r="E189" s="68"/>
      <c r="F189" s="68"/>
      <c r="G189" s="68"/>
      <c r="H189" s="68"/>
      <c r="I189" s="68"/>
      <c r="J189" s="68"/>
      <c r="K189" s="68"/>
      <c r="L189" s="68"/>
      <c r="M189" s="68"/>
      <c r="N189" s="68"/>
      <c r="O189" s="68"/>
      <c r="P189" s="68"/>
      <c r="Q189" s="68"/>
      <c r="R189" s="68"/>
      <c r="S189" s="68"/>
      <c r="T189" s="68"/>
      <c r="U189" s="68"/>
      <c r="V189" s="68"/>
      <c r="W189" s="68"/>
      <c r="X189" s="68"/>
      <c r="Y189" s="68"/>
      <c r="Z189" s="68"/>
      <c r="AA189" s="68"/>
      <c r="AB189" s="68"/>
      <c r="AC189" s="68"/>
      <c r="AD189" s="68"/>
      <c r="AE189" s="68"/>
      <c r="AF189" s="68"/>
      <c r="AG189" s="71"/>
    </row>
    <row r="190" spans="1:33">
      <c r="A190" s="39"/>
      <c r="B190" s="67"/>
      <c r="C190" s="68"/>
      <c r="D190" s="68"/>
      <c r="E190" s="68"/>
      <c r="F190" s="68"/>
      <c r="G190" s="68"/>
      <c r="H190" s="68"/>
      <c r="I190" s="68"/>
      <c r="J190" s="68"/>
      <c r="K190" s="68"/>
      <c r="L190" s="68"/>
      <c r="M190" s="68"/>
      <c r="N190" s="68"/>
      <c r="O190" s="68"/>
      <c r="P190" s="68"/>
      <c r="Q190" s="68"/>
      <c r="R190" s="68"/>
      <c r="S190" s="68"/>
      <c r="T190" s="68"/>
      <c r="U190" s="68"/>
      <c r="V190" s="68"/>
      <c r="W190" s="68"/>
      <c r="X190" s="68"/>
      <c r="Y190" s="68"/>
      <c r="Z190" s="68"/>
      <c r="AA190" s="68"/>
      <c r="AB190" s="68"/>
      <c r="AC190" s="68"/>
      <c r="AD190" s="68"/>
      <c r="AE190" s="68"/>
      <c r="AF190" s="68"/>
      <c r="AG190" s="71"/>
    </row>
    <row r="191" spans="1:33">
      <c r="A191" s="39"/>
      <c r="B191" s="67"/>
      <c r="C191" s="68"/>
      <c r="D191" s="68"/>
      <c r="E191" s="68"/>
      <c r="F191" s="68"/>
      <c r="G191" s="68"/>
      <c r="H191" s="68"/>
      <c r="I191" s="68"/>
      <c r="J191" s="68"/>
      <c r="K191" s="68"/>
      <c r="L191" s="68"/>
      <c r="M191" s="68"/>
      <c r="N191" s="68"/>
      <c r="O191" s="68"/>
      <c r="P191" s="68"/>
      <c r="Q191" s="68"/>
      <c r="R191" s="68"/>
      <c r="S191" s="68"/>
      <c r="T191" s="68"/>
      <c r="U191" s="68"/>
      <c r="V191" s="68"/>
      <c r="W191" s="68"/>
      <c r="X191" s="68"/>
      <c r="Y191" s="68"/>
      <c r="Z191" s="68"/>
      <c r="AA191" s="68"/>
      <c r="AB191" s="68"/>
      <c r="AC191" s="68"/>
      <c r="AD191" s="68"/>
      <c r="AE191" s="68"/>
      <c r="AF191" s="68"/>
      <c r="AG191" s="71"/>
    </row>
    <row r="192" spans="1:33">
      <c r="A192" s="39"/>
      <c r="B192" s="67"/>
      <c r="C192" s="68"/>
      <c r="D192" s="68"/>
      <c r="E192" s="68"/>
      <c r="F192" s="68"/>
      <c r="G192" s="68"/>
      <c r="H192" s="68"/>
      <c r="I192" s="68"/>
      <c r="J192" s="68"/>
      <c r="K192" s="68"/>
      <c r="L192" s="68"/>
      <c r="M192" s="68"/>
      <c r="N192" s="68"/>
      <c r="O192" s="68"/>
      <c r="P192" s="68"/>
      <c r="Q192" s="68"/>
      <c r="R192" s="68"/>
      <c r="S192" s="68"/>
      <c r="T192" s="68"/>
      <c r="U192" s="68"/>
      <c r="V192" s="68"/>
      <c r="W192" s="68"/>
      <c r="X192" s="68"/>
      <c r="Y192" s="68"/>
      <c r="Z192" s="68"/>
      <c r="AA192" s="68"/>
      <c r="AB192" s="68"/>
      <c r="AC192" s="68"/>
      <c r="AD192" s="68"/>
      <c r="AE192" s="68"/>
      <c r="AF192" s="68"/>
      <c r="AG192" s="71"/>
    </row>
    <row r="193" spans="1:33">
      <c r="A193" s="39"/>
      <c r="B193" s="67"/>
      <c r="C193" s="68"/>
      <c r="D193" s="68"/>
      <c r="E193" s="68"/>
      <c r="F193" s="68"/>
      <c r="G193" s="68"/>
      <c r="H193" s="68"/>
      <c r="I193" s="68"/>
      <c r="J193" s="68"/>
      <c r="K193" s="68"/>
      <c r="L193" s="68"/>
      <c r="M193" s="68"/>
      <c r="N193" s="68"/>
      <c r="O193" s="68"/>
      <c r="P193" s="68"/>
      <c r="Q193" s="68"/>
      <c r="R193" s="68"/>
      <c r="S193" s="68"/>
      <c r="T193" s="68"/>
      <c r="U193" s="68"/>
      <c r="V193" s="68"/>
      <c r="W193" s="68"/>
      <c r="X193" s="68"/>
      <c r="Y193" s="68"/>
      <c r="Z193" s="68"/>
      <c r="AA193" s="68"/>
      <c r="AB193" s="68"/>
      <c r="AC193" s="68"/>
      <c r="AD193" s="68"/>
      <c r="AE193" s="68"/>
      <c r="AF193" s="68"/>
      <c r="AG193" s="71"/>
    </row>
    <row r="194" spans="1:33">
      <c r="A194" s="39"/>
      <c r="B194" s="67"/>
      <c r="C194" s="68"/>
      <c r="D194" s="68"/>
      <c r="E194" s="68"/>
      <c r="F194" s="68"/>
      <c r="G194" s="68"/>
      <c r="H194" s="68"/>
      <c r="I194" s="68"/>
      <c r="J194" s="68"/>
      <c r="K194" s="68"/>
      <c r="L194" s="68"/>
      <c r="M194" s="68"/>
      <c r="N194" s="68"/>
      <c r="O194" s="68"/>
      <c r="P194" s="68"/>
      <c r="Q194" s="68"/>
      <c r="R194" s="68"/>
      <c r="S194" s="68"/>
      <c r="T194" s="68"/>
      <c r="U194" s="68"/>
      <c r="V194" s="68"/>
      <c r="W194" s="68"/>
      <c r="X194" s="68"/>
      <c r="Y194" s="68"/>
      <c r="Z194" s="68"/>
      <c r="AA194" s="68"/>
      <c r="AB194" s="68"/>
      <c r="AC194" s="68"/>
      <c r="AD194" s="68"/>
      <c r="AE194" s="68"/>
      <c r="AF194" s="68"/>
      <c r="AG194" s="71"/>
    </row>
    <row r="195" spans="1:33">
      <c r="A195" s="39"/>
      <c r="B195" s="67"/>
      <c r="C195" s="68"/>
      <c r="D195" s="68"/>
      <c r="E195" s="68"/>
      <c r="F195" s="68"/>
      <c r="G195" s="68"/>
      <c r="H195" s="68"/>
      <c r="I195" s="68"/>
      <c r="J195" s="68"/>
      <c r="K195" s="68"/>
      <c r="L195" s="68"/>
      <c r="M195" s="68"/>
      <c r="N195" s="68"/>
      <c r="O195" s="68"/>
      <c r="P195" s="68"/>
      <c r="Q195" s="68"/>
      <c r="R195" s="68"/>
      <c r="S195" s="68"/>
      <c r="T195" s="68"/>
      <c r="U195" s="68"/>
      <c r="V195" s="68"/>
      <c r="W195" s="68"/>
      <c r="X195" s="68"/>
      <c r="Y195" s="68"/>
      <c r="Z195" s="68"/>
      <c r="AA195" s="68"/>
      <c r="AB195" s="68"/>
      <c r="AC195" s="68"/>
      <c r="AD195" s="68"/>
      <c r="AE195" s="68"/>
      <c r="AF195" s="68"/>
      <c r="AG195" s="71"/>
    </row>
    <row r="196" spans="1:33">
      <c r="A196" s="39"/>
      <c r="B196" s="67"/>
      <c r="C196" s="68"/>
      <c r="D196" s="68"/>
      <c r="E196" s="68"/>
      <c r="F196" s="68"/>
      <c r="G196" s="68"/>
      <c r="H196" s="68"/>
      <c r="I196" s="68"/>
      <c r="J196" s="68"/>
      <c r="K196" s="68"/>
      <c r="L196" s="68"/>
      <c r="M196" s="68"/>
      <c r="N196" s="68"/>
      <c r="O196" s="68"/>
      <c r="P196" s="68"/>
      <c r="Q196" s="68"/>
      <c r="R196" s="68"/>
      <c r="S196" s="68"/>
      <c r="T196" s="68"/>
      <c r="U196" s="68"/>
      <c r="V196" s="68"/>
      <c r="W196" s="68"/>
      <c r="X196" s="68"/>
      <c r="Y196" s="68"/>
      <c r="Z196" s="68"/>
      <c r="AA196" s="68"/>
      <c r="AB196" s="68"/>
      <c r="AC196" s="68"/>
      <c r="AD196" s="68"/>
      <c r="AE196" s="68"/>
      <c r="AF196" s="68"/>
      <c r="AG196" s="71"/>
    </row>
    <row r="197" spans="1:33">
      <c r="A197" s="39"/>
      <c r="B197" s="67"/>
      <c r="C197" s="68"/>
      <c r="D197" s="68"/>
      <c r="E197" s="68"/>
      <c r="F197" s="68"/>
      <c r="G197" s="68"/>
      <c r="H197" s="68"/>
      <c r="I197" s="68"/>
      <c r="J197" s="68"/>
      <c r="K197" s="68"/>
      <c r="L197" s="68"/>
      <c r="M197" s="68"/>
      <c r="N197" s="68"/>
      <c r="O197" s="68"/>
      <c r="P197" s="68"/>
      <c r="Q197" s="68"/>
      <c r="R197" s="68"/>
      <c r="S197" s="68"/>
      <c r="T197" s="68"/>
      <c r="U197" s="68"/>
      <c r="V197" s="68"/>
      <c r="W197" s="68"/>
      <c r="X197" s="68"/>
      <c r="Y197" s="68"/>
      <c r="Z197" s="68"/>
      <c r="AA197" s="68"/>
      <c r="AB197" s="68"/>
      <c r="AC197" s="68"/>
      <c r="AD197" s="68"/>
      <c r="AE197" s="68"/>
      <c r="AF197" s="68"/>
      <c r="AG197" s="71"/>
    </row>
    <row r="198" spans="1:33">
      <c r="A198" s="39"/>
      <c r="B198" s="67"/>
      <c r="C198" s="68"/>
      <c r="D198" s="68"/>
      <c r="E198" s="68"/>
      <c r="F198" s="68"/>
      <c r="G198" s="68"/>
      <c r="H198" s="68"/>
      <c r="I198" s="68"/>
      <c r="J198" s="68"/>
      <c r="K198" s="68"/>
      <c r="L198" s="68"/>
      <c r="M198" s="68"/>
      <c r="N198" s="68"/>
      <c r="O198" s="68"/>
      <c r="P198" s="68"/>
      <c r="Q198" s="68"/>
      <c r="R198" s="68"/>
      <c r="S198" s="68"/>
      <c r="T198" s="68"/>
      <c r="U198" s="68"/>
      <c r="V198" s="68"/>
      <c r="W198" s="68"/>
      <c r="X198" s="68"/>
      <c r="Y198" s="68"/>
      <c r="Z198" s="68"/>
      <c r="AA198" s="68"/>
      <c r="AB198" s="68"/>
      <c r="AC198" s="68"/>
      <c r="AD198" s="68"/>
      <c r="AE198" s="68"/>
      <c r="AF198" s="68"/>
      <c r="AG198" s="71"/>
    </row>
    <row r="199" spans="1:33">
      <c r="A199" s="39"/>
      <c r="B199" s="67"/>
      <c r="C199" s="68"/>
      <c r="D199" s="68"/>
      <c r="E199" s="68"/>
      <c r="F199" s="68"/>
      <c r="G199" s="68"/>
      <c r="H199" s="68"/>
      <c r="I199" s="68"/>
      <c r="J199" s="68"/>
      <c r="K199" s="68"/>
      <c r="L199" s="68"/>
      <c r="M199" s="68"/>
      <c r="N199" s="68"/>
      <c r="O199" s="68"/>
      <c r="P199" s="68"/>
      <c r="Q199" s="68"/>
      <c r="R199" s="68"/>
      <c r="S199" s="68"/>
      <c r="T199" s="68"/>
      <c r="U199" s="68"/>
      <c r="V199" s="68"/>
      <c r="W199" s="68"/>
      <c r="X199" s="68"/>
      <c r="Y199" s="68"/>
      <c r="Z199" s="68"/>
      <c r="AA199" s="68"/>
      <c r="AB199" s="68"/>
      <c r="AC199" s="68"/>
      <c r="AD199" s="68"/>
      <c r="AE199" s="68"/>
      <c r="AF199" s="68"/>
      <c r="AG199" s="71"/>
    </row>
    <row r="200" spans="1:33">
      <c r="A200" s="39"/>
      <c r="B200" s="67"/>
      <c r="C200" s="68"/>
      <c r="D200" s="68"/>
      <c r="E200" s="68"/>
      <c r="F200" s="68"/>
      <c r="G200" s="68"/>
      <c r="H200" s="68"/>
      <c r="I200" s="68"/>
      <c r="J200" s="68"/>
      <c r="K200" s="68"/>
      <c r="L200" s="68"/>
      <c r="M200" s="68"/>
      <c r="N200" s="68"/>
      <c r="O200" s="68"/>
      <c r="P200" s="68"/>
      <c r="Q200" s="68"/>
      <c r="R200" s="68"/>
      <c r="S200" s="68"/>
      <c r="T200" s="68"/>
      <c r="U200" s="68"/>
      <c r="V200" s="68"/>
      <c r="W200" s="68"/>
      <c r="X200" s="68"/>
      <c r="Y200" s="68"/>
      <c r="Z200" s="68"/>
      <c r="AA200" s="68"/>
      <c r="AB200" s="68"/>
      <c r="AC200" s="68"/>
      <c r="AD200" s="68"/>
      <c r="AE200" s="68"/>
      <c r="AF200" s="68"/>
      <c r="AG200" s="71"/>
    </row>
    <row r="201" spans="1:33">
      <c r="A201" s="39"/>
      <c r="B201" s="67"/>
      <c r="C201" s="68"/>
      <c r="D201" s="68"/>
      <c r="E201" s="68"/>
      <c r="F201" s="68"/>
      <c r="G201" s="68"/>
      <c r="H201" s="68"/>
      <c r="I201" s="68"/>
      <c r="J201" s="68"/>
      <c r="K201" s="68"/>
      <c r="L201" s="68"/>
      <c r="M201" s="68"/>
      <c r="N201" s="68"/>
      <c r="O201" s="68"/>
      <c r="P201" s="68"/>
      <c r="Q201" s="68"/>
      <c r="R201" s="68"/>
      <c r="S201" s="68"/>
      <c r="T201" s="68"/>
      <c r="U201" s="68"/>
      <c r="V201" s="68"/>
      <c r="W201" s="68"/>
      <c r="X201" s="68"/>
      <c r="Y201" s="68"/>
      <c r="Z201" s="68"/>
      <c r="AA201" s="68"/>
      <c r="AB201" s="68"/>
      <c r="AC201" s="68"/>
      <c r="AD201" s="68"/>
      <c r="AE201" s="68"/>
      <c r="AF201" s="68"/>
      <c r="AG201" s="71"/>
    </row>
    <row r="202" spans="1:33">
      <c r="A202" s="39"/>
      <c r="B202" s="67"/>
      <c r="C202" s="68"/>
      <c r="D202" s="68"/>
      <c r="E202" s="68"/>
      <c r="F202" s="68"/>
      <c r="G202" s="68"/>
      <c r="H202" s="68"/>
      <c r="I202" s="68"/>
      <c r="J202" s="68"/>
      <c r="K202" s="68"/>
      <c r="L202" s="68"/>
      <c r="M202" s="68"/>
      <c r="N202" s="68"/>
      <c r="O202" s="68"/>
      <c r="P202" s="68"/>
      <c r="Q202" s="68"/>
      <c r="R202" s="68"/>
      <c r="S202" s="68"/>
      <c r="T202" s="68"/>
      <c r="U202" s="68"/>
      <c r="V202" s="68"/>
      <c r="W202" s="68"/>
      <c r="X202" s="68"/>
      <c r="Y202" s="68"/>
      <c r="Z202" s="68"/>
      <c r="AA202" s="68"/>
      <c r="AB202" s="68"/>
      <c r="AC202" s="68"/>
      <c r="AD202" s="68"/>
      <c r="AE202" s="68"/>
      <c r="AF202" s="68"/>
      <c r="AG202" s="71"/>
    </row>
    <row r="203" spans="1:33">
      <c r="A203" s="39"/>
      <c r="B203" s="67"/>
      <c r="C203" s="68"/>
      <c r="D203" s="68"/>
      <c r="E203" s="68"/>
      <c r="F203" s="68"/>
      <c r="G203" s="68"/>
      <c r="H203" s="68"/>
      <c r="I203" s="68"/>
      <c r="J203" s="68"/>
      <c r="K203" s="68"/>
      <c r="L203" s="68"/>
      <c r="M203" s="68"/>
      <c r="N203" s="68"/>
      <c r="O203" s="68"/>
      <c r="P203" s="68"/>
      <c r="Q203" s="68"/>
      <c r="R203" s="68"/>
      <c r="S203" s="68"/>
      <c r="T203" s="68"/>
      <c r="U203" s="68"/>
      <c r="V203" s="68"/>
      <c r="W203" s="68"/>
      <c r="X203" s="68"/>
      <c r="Y203" s="68"/>
      <c r="Z203" s="68"/>
      <c r="AA203" s="68"/>
      <c r="AB203" s="68"/>
      <c r="AC203" s="68"/>
      <c r="AD203" s="68"/>
      <c r="AE203" s="68"/>
      <c r="AF203" s="68"/>
      <c r="AG203" s="71"/>
    </row>
    <row r="204" spans="1:33">
      <c r="A204" s="39"/>
      <c r="B204" s="67"/>
      <c r="C204" s="68"/>
      <c r="D204" s="68"/>
      <c r="E204" s="68"/>
      <c r="F204" s="68"/>
      <c r="G204" s="68"/>
      <c r="H204" s="68"/>
      <c r="I204" s="68"/>
      <c r="J204" s="68"/>
      <c r="K204" s="68"/>
      <c r="L204" s="68"/>
      <c r="M204" s="68"/>
      <c r="N204" s="68"/>
      <c r="O204" s="68"/>
      <c r="P204" s="68"/>
      <c r="Q204" s="68"/>
      <c r="R204" s="68"/>
      <c r="S204" s="68"/>
      <c r="T204" s="68"/>
      <c r="U204" s="68"/>
      <c r="V204" s="68"/>
      <c r="W204" s="68"/>
      <c r="X204" s="68"/>
      <c r="Y204" s="68"/>
      <c r="Z204" s="68"/>
      <c r="AA204" s="68"/>
      <c r="AB204" s="68"/>
      <c r="AC204" s="68"/>
      <c r="AD204" s="68"/>
      <c r="AE204" s="68"/>
      <c r="AF204" s="68"/>
      <c r="AG204" s="71"/>
    </row>
    <row r="205" spans="1:33">
      <c r="A205" s="39"/>
      <c r="B205" s="66"/>
      <c r="C205" s="69"/>
      <c r="D205" s="69"/>
      <c r="E205" s="69"/>
      <c r="F205" s="69"/>
      <c r="G205" s="69"/>
      <c r="H205" s="69"/>
      <c r="I205" s="69"/>
      <c r="J205" s="69"/>
      <c r="K205" s="69"/>
      <c r="L205" s="69"/>
      <c r="M205" s="69"/>
      <c r="N205" s="69"/>
      <c r="O205" s="69"/>
      <c r="P205" s="69"/>
      <c r="Q205" s="69"/>
      <c r="R205" s="69"/>
      <c r="S205" s="69"/>
      <c r="T205" s="69"/>
      <c r="U205" s="69"/>
      <c r="V205" s="69"/>
      <c r="W205" s="69"/>
      <c r="X205" s="69"/>
      <c r="Y205" s="69"/>
      <c r="Z205" s="69"/>
      <c r="AA205" s="69"/>
      <c r="AB205" s="69"/>
      <c r="AC205" s="69"/>
      <c r="AD205" s="69"/>
      <c r="AE205" s="69"/>
      <c r="AF205" s="69"/>
      <c r="AG205" s="72"/>
    </row>
    <row r="206" spans="1:33">
      <c r="A206" s="39"/>
      <c r="B206" s="67"/>
      <c r="C206" s="68"/>
      <c r="D206" s="68"/>
      <c r="E206" s="68"/>
      <c r="F206" s="68"/>
      <c r="G206" s="68"/>
      <c r="H206" s="68"/>
      <c r="I206" s="68"/>
      <c r="J206" s="68"/>
      <c r="K206" s="68"/>
      <c r="L206" s="68"/>
      <c r="M206" s="68"/>
      <c r="N206" s="68"/>
      <c r="O206" s="68"/>
      <c r="P206" s="68"/>
      <c r="Q206" s="68"/>
      <c r="R206" s="68"/>
      <c r="S206" s="68"/>
      <c r="T206" s="68"/>
      <c r="U206" s="68"/>
      <c r="V206" s="68"/>
      <c r="W206" s="68"/>
      <c r="X206" s="68"/>
      <c r="Y206" s="68"/>
      <c r="Z206" s="68"/>
      <c r="AA206" s="68"/>
      <c r="AB206" s="68"/>
      <c r="AC206" s="68"/>
      <c r="AD206" s="68"/>
      <c r="AE206" s="68"/>
      <c r="AF206" s="68"/>
      <c r="AG206" s="71"/>
    </row>
    <row r="207" spans="1:33">
      <c r="A207" s="39"/>
      <c r="B207" s="67"/>
      <c r="C207" s="68"/>
      <c r="D207" s="68"/>
      <c r="E207" s="68"/>
      <c r="F207" s="68"/>
      <c r="G207" s="68"/>
      <c r="H207" s="68"/>
      <c r="I207" s="68"/>
      <c r="J207" s="68"/>
      <c r="K207" s="68"/>
      <c r="L207" s="68"/>
      <c r="M207" s="68"/>
      <c r="N207" s="68"/>
      <c r="O207" s="68"/>
      <c r="P207" s="68"/>
      <c r="Q207" s="68"/>
      <c r="R207" s="68"/>
      <c r="S207" s="68"/>
      <c r="T207" s="68"/>
      <c r="U207" s="68"/>
      <c r="V207" s="68"/>
      <c r="W207" s="68"/>
      <c r="X207" s="68"/>
      <c r="Y207" s="68"/>
      <c r="Z207" s="68"/>
      <c r="AA207" s="68"/>
      <c r="AB207" s="68"/>
      <c r="AC207" s="68"/>
      <c r="AD207" s="68"/>
      <c r="AE207" s="68"/>
      <c r="AF207" s="68"/>
      <c r="AG207" s="71"/>
    </row>
    <row r="208" spans="1:33">
      <c r="A208" s="39"/>
      <c r="B208" s="67"/>
      <c r="C208" s="68"/>
      <c r="D208" s="68"/>
      <c r="E208" s="68"/>
      <c r="F208" s="68"/>
      <c r="G208" s="68"/>
      <c r="H208" s="68"/>
      <c r="I208" s="68"/>
      <c r="J208" s="68"/>
      <c r="K208" s="68"/>
      <c r="L208" s="68"/>
      <c r="M208" s="68"/>
      <c r="N208" s="68"/>
      <c r="O208" s="68"/>
      <c r="P208" s="68"/>
      <c r="Q208" s="68"/>
      <c r="R208" s="68"/>
      <c r="S208" s="68"/>
      <c r="T208" s="68"/>
      <c r="U208" s="68"/>
      <c r="V208" s="68"/>
      <c r="W208" s="68"/>
      <c r="X208" s="68"/>
      <c r="Y208" s="68"/>
      <c r="Z208" s="68"/>
      <c r="AA208" s="68"/>
      <c r="AB208" s="68"/>
      <c r="AC208" s="68"/>
      <c r="AD208" s="68"/>
      <c r="AE208" s="68"/>
      <c r="AF208" s="68"/>
      <c r="AG208" s="71"/>
    </row>
    <row r="209" spans="1:33">
      <c r="A209" s="39"/>
      <c r="B209" s="67"/>
      <c r="C209" s="68"/>
      <c r="D209" s="68"/>
      <c r="E209" s="68"/>
      <c r="F209" s="68"/>
      <c r="G209" s="68"/>
      <c r="H209" s="68"/>
      <c r="I209" s="68"/>
      <c r="J209" s="68"/>
      <c r="K209" s="68"/>
      <c r="L209" s="68"/>
      <c r="M209" s="68"/>
      <c r="N209" s="68"/>
      <c r="O209" s="68"/>
      <c r="P209" s="68"/>
      <c r="Q209" s="68"/>
      <c r="R209" s="68"/>
      <c r="S209" s="68"/>
      <c r="T209" s="68"/>
      <c r="U209" s="68"/>
      <c r="V209" s="68"/>
      <c r="W209" s="68"/>
      <c r="X209" s="68"/>
      <c r="Y209" s="68"/>
      <c r="Z209" s="68"/>
      <c r="AA209" s="68"/>
      <c r="AB209" s="68"/>
      <c r="AC209" s="68"/>
      <c r="AD209" s="68"/>
      <c r="AE209" s="68"/>
      <c r="AF209" s="68"/>
      <c r="AG209" s="71"/>
    </row>
    <row r="210" spans="1:33">
      <c r="A210" s="39"/>
      <c r="B210" s="67"/>
      <c r="C210" s="68"/>
      <c r="D210" s="68"/>
      <c r="E210" s="68"/>
      <c r="F210" s="68"/>
      <c r="G210" s="68"/>
      <c r="H210" s="68"/>
      <c r="I210" s="68"/>
      <c r="J210" s="68"/>
      <c r="K210" s="68"/>
      <c r="L210" s="68"/>
      <c r="M210" s="68"/>
      <c r="N210" s="68"/>
      <c r="O210" s="68"/>
      <c r="P210" s="68"/>
      <c r="Q210" s="68"/>
      <c r="R210" s="68"/>
      <c r="S210" s="68"/>
      <c r="T210" s="68"/>
      <c r="U210" s="68"/>
      <c r="V210" s="68"/>
      <c r="W210" s="68"/>
      <c r="X210" s="68"/>
      <c r="Y210" s="68"/>
      <c r="Z210" s="68"/>
      <c r="AA210" s="68"/>
      <c r="AB210" s="68"/>
      <c r="AC210" s="68"/>
      <c r="AD210" s="68"/>
      <c r="AE210" s="68"/>
      <c r="AF210" s="68"/>
      <c r="AG210" s="71"/>
    </row>
    <row r="211" spans="1:33">
      <c r="A211" s="39"/>
      <c r="B211" s="67"/>
      <c r="C211" s="68"/>
      <c r="D211" s="68"/>
      <c r="E211" s="68"/>
      <c r="F211" s="68"/>
      <c r="G211" s="68"/>
      <c r="H211" s="68"/>
      <c r="I211" s="68"/>
      <c r="J211" s="68"/>
      <c r="K211" s="68"/>
      <c r="L211" s="68"/>
      <c r="M211" s="68"/>
      <c r="N211" s="68"/>
      <c r="O211" s="68"/>
      <c r="P211" s="68"/>
      <c r="Q211" s="68"/>
      <c r="R211" s="68"/>
      <c r="S211" s="68"/>
      <c r="T211" s="68"/>
      <c r="U211" s="68"/>
      <c r="V211" s="68"/>
      <c r="W211" s="68"/>
      <c r="X211" s="68"/>
      <c r="Y211" s="68"/>
      <c r="Z211" s="68"/>
      <c r="AA211" s="68"/>
      <c r="AB211" s="68"/>
      <c r="AC211" s="68"/>
      <c r="AD211" s="68"/>
      <c r="AE211" s="68"/>
      <c r="AF211" s="68"/>
      <c r="AG211" s="71"/>
    </row>
    <row r="212" spans="1:33">
      <c r="A212" s="39"/>
      <c r="B212" s="67"/>
      <c r="C212" s="68"/>
      <c r="D212" s="68"/>
      <c r="E212" s="68"/>
      <c r="F212" s="68"/>
      <c r="G212" s="68"/>
      <c r="H212" s="68"/>
      <c r="I212" s="68"/>
      <c r="J212" s="68"/>
      <c r="K212" s="68"/>
      <c r="L212" s="68"/>
      <c r="M212" s="68"/>
      <c r="N212" s="68"/>
      <c r="O212" s="68"/>
      <c r="P212" s="68"/>
      <c r="Q212" s="68"/>
      <c r="R212" s="68"/>
      <c r="S212" s="68"/>
      <c r="T212" s="68"/>
      <c r="U212" s="68"/>
      <c r="V212" s="68"/>
      <c r="W212" s="68"/>
      <c r="X212" s="68"/>
      <c r="Y212" s="68"/>
      <c r="Z212" s="68"/>
      <c r="AA212" s="68"/>
      <c r="AB212" s="68"/>
      <c r="AC212" s="68"/>
      <c r="AD212" s="68"/>
      <c r="AE212" s="68"/>
      <c r="AF212" s="68"/>
      <c r="AG212" s="71"/>
    </row>
    <row r="213" spans="1:33">
      <c r="A213" s="39"/>
      <c r="B213" s="67"/>
      <c r="C213" s="68"/>
      <c r="D213" s="68"/>
      <c r="E213" s="68"/>
      <c r="F213" s="68"/>
      <c r="G213" s="68"/>
      <c r="H213" s="68"/>
      <c r="I213" s="68"/>
      <c r="J213" s="68"/>
      <c r="K213" s="68"/>
      <c r="L213" s="68"/>
      <c r="M213" s="68"/>
      <c r="N213" s="68"/>
      <c r="O213" s="68"/>
      <c r="P213" s="68"/>
      <c r="Q213" s="68"/>
      <c r="R213" s="68"/>
      <c r="S213" s="68"/>
      <c r="T213" s="68"/>
      <c r="U213" s="68"/>
      <c r="V213" s="68"/>
      <c r="W213" s="68"/>
      <c r="X213" s="68"/>
      <c r="Y213" s="68"/>
      <c r="Z213" s="68"/>
      <c r="AA213" s="68"/>
      <c r="AB213" s="68"/>
      <c r="AC213" s="68"/>
      <c r="AD213" s="68"/>
      <c r="AE213" s="68"/>
      <c r="AF213" s="68"/>
      <c r="AG213" s="71"/>
    </row>
    <row r="214" spans="1:33">
      <c r="A214" s="39"/>
      <c r="B214" s="67"/>
      <c r="C214" s="68"/>
      <c r="D214" s="68"/>
      <c r="E214" s="68"/>
      <c r="F214" s="68"/>
      <c r="G214" s="68"/>
      <c r="H214" s="68"/>
      <c r="I214" s="68"/>
      <c r="J214" s="68"/>
      <c r="K214" s="68"/>
      <c r="L214" s="68"/>
      <c r="M214" s="68"/>
      <c r="N214" s="68"/>
      <c r="O214" s="68"/>
      <c r="P214" s="68"/>
      <c r="Q214" s="68"/>
      <c r="R214" s="68"/>
      <c r="S214" s="68"/>
      <c r="T214" s="68"/>
      <c r="U214" s="68"/>
      <c r="V214" s="68"/>
      <c r="W214" s="68"/>
      <c r="X214" s="68"/>
      <c r="Y214" s="68"/>
      <c r="Z214" s="68"/>
      <c r="AA214" s="68"/>
      <c r="AB214" s="68"/>
      <c r="AC214" s="68"/>
      <c r="AD214" s="68"/>
      <c r="AE214" s="68"/>
      <c r="AF214" s="68"/>
      <c r="AG214" s="71"/>
    </row>
    <row r="215" spans="1:33">
      <c r="A215" s="39"/>
      <c r="B215" s="67"/>
      <c r="C215" s="68"/>
      <c r="D215" s="68"/>
      <c r="E215" s="68"/>
      <c r="F215" s="68"/>
      <c r="G215" s="68"/>
      <c r="H215" s="68"/>
      <c r="I215" s="68"/>
      <c r="J215" s="68"/>
      <c r="K215" s="68"/>
      <c r="L215" s="68"/>
      <c r="M215" s="68"/>
      <c r="N215" s="68"/>
      <c r="O215" s="68"/>
      <c r="P215" s="68"/>
      <c r="Q215" s="68"/>
      <c r="R215" s="68"/>
      <c r="S215" s="68"/>
      <c r="T215" s="68"/>
      <c r="U215" s="68"/>
      <c r="V215" s="68"/>
      <c r="W215" s="68"/>
      <c r="X215" s="68"/>
      <c r="Y215" s="68"/>
      <c r="Z215" s="68"/>
      <c r="AA215" s="68"/>
      <c r="AB215" s="68"/>
      <c r="AC215" s="68"/>
      <c r="AD215" s="68"/>
      <c r="AE215" s="68"/>
      <c r="AF215" s="68"/>
      <c r="AG215" s="71"/>
    </row>
    <row r="216" spans="1:33">
      <c r="A216" s="39"/>
      <c r="B216" s="67"/>
      <c r="C216" s="68"/>
      <c r="D216" s="68"/>
      <c r="E216" s="68"/>
      <c r="F216" s="68"/>
      <c r="G216" s="68"/>
      <c r="H216" s="68"/>
      <c r="I216" s="68"/>
      <c r="J216" s="68"/>
      <c r="K216" s="68"/>
      <c r="L216" s="68"/>
      <c r="M216" s="68"/>
      <c r="N216" s="68"/>
      <c r="O216" s="68"/>
      <c r="P216" s="68"/>
      <c r="Q216" s="68"/>
      <c r="R216" s="68"/>
      <c r="S216" s="68"/>
      <c r="T216" s="68"/>
      <c r="U216" s="68"/>
      <c r="V216" s="68"/>
      <c r="W216" s="68"/>
      <c r="X216" s="68"/>
      <c r="Y216" s="68"/>
      <c r="Z216" s="68"/>
      <c r="AA216" s="68"/>
      <c r="AB216" s="68"/>
      <c r="AC216" s="68"/>
      <c r="AD216" s="68"/>
      <c r="AE216" s="68"/>
      <c r="AF216" s="68"/>
      <c r="AG216" s="71"/>
    </row>
    <row r="217" spans="1:33">
      <c r="A217" s="39"/>
      <c r="B217" s="67"/>
      <c r="C217" s="68"/>
      <c r="D217" s="68"/>
      <c r="E217" s="68"/>
      <c r="F217" s="68"/>
      <c r="G217" s="68"/>
      <c r="H217" s="68"/>
      <c r="I217" s="68"/>
      <c r="J217" s="68"/>
      <c r="K217" s="68"/>
      <c r="L217" s="68"/>
      <c r="M217" s="68"/>
      <c r="N217" s="68"/>
      <c r="O217" s="68"/>
      <c r="P217" s="68"/>
      <c r="Q217" s="68"/>
      <c r="R217" s="68"/>
      <c r="S217" s="68"/>
      <c r="T217" s="68"/>
      <c r="U217" s="68"/>
      <c r="V217" s="68"/>
      <c r="W217" s="68"/>
      <c r="X217" s="68"/>
      <c r="Y217" s="68"/>
      <c r="Z217" s="68"/>
      <c r="AA217" s="68"/>
      <c r="AB217" s="68"/>
      <c r="AC217" s="68"/>
      <c r="AD217" s="68"/>
      <c r="AE217" s="68"/>
      <c r="AF217" s="68"/>
      <c r="AG217" s="71"/>
    </row>
    <row r="219" spans="1:33">
      <c r="A219" s="39"/>
      <c r="B219" s="66"/>
      <c r="C219" s="69"/>
      <c r="D219" s="69"/>
      <c r="E219" s="69"/>
      <c r="F219" s="69"/>
      <c r="G219" s="69"/>
      <c r="H219" s="69"/>
      <c r="I219" s="69"/>
      <c r="J219" s="69"/>
      <c r="K219" s="69"/>
      <c r="L219" s="69"/>
      <c r="M219" s="69"/>
      <c r="N219" s="69"/>
      <c r="O219" s="69"/>
      <c r="P219" s="69"/>
      <c r="Q219" s="69"/>
      <c r="R219" s="69"/>
      <c r="S219" s="69"/>
      <c r="T219" s="69"/>
      <c r="U219" s="69"/>
      <c r="V219" s="69"/>
      <c r="W219" s="69"/>
      <c r="X219" s="69"/>
      <c r="Y219" s="69"/>
      <c r="Z219" s="69"/>
      <c r="AA219" s="69"/>
      <c r="AB219" s="69"/>
      <c r="AC219" s="69"/>
      <c r="AD219" s="69"/>
      <c r="AE219" s="69"/>
      <c r="AF219" s="69"/>
      <c r="AG219" s="72"/>
    </row>
    <row r="220" spans="1:33">
      <c r="A220" s="39"/>
      <c r="B220" s="67"/>
      <c r="C220" s="68"/>
      <c r="D220" s="68"/>
      <c r="E220" s="68"/>
      <c r="F220" s="68"/>
      <c r="G220" s="68"/>
      <c r="H220" s="68"/>
      <c r="I220" s="68"/>
      <c r="J220" s="68"/>
      <c r="K220" s="68"/>
      <c r="L220" s="68"/>
      <c r="M220" s="68"/>
      <c r="N220" s="68"/>
      <c r="O220" s="68"/>
      <c r="P220" s="68"/>
      <c r="Q220" s="68"/>
      <c r="R220" s="68"/>
      <c r="S220" s="68"/>
      <c r="T220" s="68"/>
      <c r="U220" s="68"/>
      <c r="V220" s="68"/>
      <c r="W220" s="68"/>
      <c r="X220" s="68"/>
      <c r="Y220" s="68"/>
      <c r="Z220" s="68"/>
      <c r="AA220" s="68"/>
      <c r="AB220" s="68"/>
      <c r="AC220" s="68"/>
      <c r="AD220" s="68"/>
      <c r="AE220" s="68"/>
      <c r="AF220" s="68"/>
      <c r="AG220" s="71"/>
    </row>
    <row r="221" spans="1:33">
      <c r="A221" s="39"/>
      <c r="B221" s="67"/>
      <c r="C221" s="68"/>
      <c r="D221" s="68"/>
      <c r="E221" s="68"/>
      <c r="F221" s="68"/>
      <c r="G221" s="68"/>
      <c r="H221" s="68"/>
      <c r="I221" s="68"/>
      <c r="J221" s="68"/>
      <c r="K221" s="68"/>
      <c r="L221" s="68"/>
      <c r="M221" s="68"/>
      <c r="N221" s="68"/>
      <c r="O221" s="68"/>
      <c r="P221" s="68"/>
      <c r="Q221" s="68"/>
      <c r="R221" s="68"/>
      <c r="S221" s="68"/>
      <c r="T221" s="68"/>
      <c r="U221" s="68"/>
      <c r="V221" s="68"/>
      <c r="W221" s="68"/>
      <c r="X221" s="68"/>
      <c r="Y221" s="68"/>
      <c r="Z221" s="68"/>
      <c r="AA221" s="68"/>
      <c r="AB221" s="68"/>
      <c r="AC221" s="68"/>
      <c r="AD221" s="68"/>
      <c r="AE221" s="68"/>
      <c r="AF221" s="68"/>
      <c r="AG221" s="71"/>
    </row>
    <row r="223" spans="1:33">
      <c r="A223" s="39"/>
      <c r="B223" s="67"/>
      <c r="C223" s="68"/>
      <c r="D223" s="68"/>
      <c r="E223" s="68"/>
      <c r="F223" s="68"/>
      <c r="G223" s="68"/>
      <c r="H223" s="68"/>
      <c r="I223" s="68"/>
      <c r="J223" s="68"/>
      <c r="K223" s="68"/>
      <c r="L223" s="68"/>
      <c r="M223" s="68"/>
      <c r="N223" s="68"/>
      <c r="O223" s="68"/>
      <c r="P223" s="68"/>
      <c r="Q223" s="68"/>
      <c r="R223" s="68"/>
      <c r="S223" s="68"/>
      <c r="T223" s="68"/>
      <c r="U223" s="68"/>
      <c r="V223" s="68"/>
      <c r="W223" s="68"/>
      <c r="X223" s="68"/>
      <c r="Y223" s="68"/>
      <c r="Z223" s="68"/>
      <c r="AA223" s="68"/>
      <c r="AB223" s="68"/>
      <c r="AC223" s="68"/>
      <c r="AD223" s="68"/>
      <c r="AE223" s="68"/>
      <c r="AF223" s="68"/>
      <c r="AG223" s="71"/>
    </row>
    <row r="224" spans="1:33">
      <c r="A224" s="39"/>
      <c r="B224" s="67"/>
      <c r="C224" s="68"/>
      <c r="D224" s="68"/>
      <c r="E224" s="68"/>
      <c r="F224" s="68"/>
      <c r="G224" s="68"/>
      <c r="H224" s="68"/>
      <c r="I224" s="68"/>
      <c r="J224" s="68"/>
      <c r="K224" s="68"/>
      <c r="L224" s="68"/>
      <c r="M224" s="68"/>
      <c r="N224" s="68"/>
      <c r="O224" s="68"/>
      <c r="P224" s="68"/>
      <c r="Q224" s="68"/>
      <c r="R224" s="68"/>
      <c r="S224" s="68"/>
      <c r="T224" s="68"/>
      <c r="U224" s="68"/>
      <c r="V224" s="68"/>
      <c r="W224" s="68"/>
      <c r="X224" s="68"/>
      <c r="Y224" s="68"/>
      <c r="Z224" s="68"/>
      <c r="AA224" s="68"/>
      <c r="AB224" s="68"/>
      <c r="AC224" s="68"/>
      <c r="AD224" s="68"/>
      <c r="AE224" s="68"/>
      <c r="AF224" s="68"/>
      <c r="AG224" s="71"/>
    </row>
    <row r="226" spans="1:33">
      <c r="A226" s="39"/>
      <c r="B226" s="75"/>
      <c r="C226" s="76"/>
      <c r="D226" s="76"/>
      <c r="E226" s="76"/>
      <c r="F226" s="76"/>
      <c r="G226" s="76"/>
      <c r="H226" s="76"/>
      <c r="I226" s="76"/>
      <c r="J226" s="76"/>
      <c r="K226" s="76"/>
      <c r="L226" s="76"/>
      <c r="M226" s="76"/>
      <c r="N226" s="76"/>
      <c r="O226" s="76"/>
      <c r="P226" s="76"/>
      <c r="Q226" s="76"/>
      <c r="R226" s="76"/>
      <c r="S226" s="76"/>
      <c r="T226" s="76"/>
      <c r="U226" s="76"/>
      <c r="V226" s="76"/>
      <c r="W226" s="76"/>
      <c r="X226" s="76"/>
      <c r="Y226" s="76"/>
      <c r="Z226" s="76"/>
      <c r="AA226" s="76"/>
      <c r="AB226" s="76"/>
      <c r="AC226" s="76"/>
      <c r="AD226" s="76"/>
      <c r="AE226" s="76"/>
      <c r="AF226" s="76"/>
      <c r="AG226" s="77"/>
    </row>
    <row r="228" spans="1:33">
      <c r="A228" s="9"/>
      <c r="B228" s="78"/>
      <c r="C228" s="9"/>
      <c r="D228" s="9"/>
      <c r="E228" s="9"/>
      <c r="F228" s="9"/>
      <c r="G228" s="9"/>
      <c r="H228" s="9"/>
      <c r="I228" s="9"/>
      <c r="J228" s="9"/>
      <c r="K228" s="9"/>
      <c r="L228" s="9"/>
      <c r="M228" s="9"/>
      <c r="N228" s="9"/>
      <c r="O228" s="9"/>
      <c r="P228" s="9"/>
      <c r="Q228" s="9"/>
      <c r="R228" s="9"/>
      <c r="S228" s="9"/>
      <c r="T228" s="9"/>
      <c r="U228" s="9"/>
      <c r="V228" s="9"/>
      <c r="W228" s="9"/>
      <c r="X228" s="9"/>
      <c r="Y228" s="9"/>
      <c r="Z228" s="9"/>
      <c r="AA228" s="9"/>
      <c r="AB228" s="9"/>
      <c r="AC228" s="9"/>
      <c r="AD228" s="9"/>
      <c r="AE228" s="9"/>
      <c r="AF228" s="9"/>
      <c r="AG228" s="9"/>
    </row>
    <row r="229" spans="1:33">
      <c r="A229" s="9"/>
      <c r="B229" s="21"/>
      <c r="C229" s="9"/>
      <c r="D229" s="9"/>
      <c r="E229" s="9"/>
      <c r="F229" s="9"/>
      <c r="G229" s="9"/>
      <c r="H229" s="9"/>
      <c r="I229" s="9"/>
      <c r="J229" s="9"/>
      <c r="K229" s="9"/>
      <c r="L229" s="9"/>
      <c r="M229" s="9"/>
      <c r="N229" s="9"/>
      <c r="O229" s="9"/>
      <c r="P229" s="9"/>
      <c r="Q229" s="9"/>
      <c r="R229" s="9"/>
      <c r="S229" s="9"/>
      <c r="T229" s="9"/>
      <c r="U229" s="9"/>
      <c r="V229" s="9"/>
      <c r="W229" s="9"/>
      <c r="X229" s="9"/>
      <c r="Y229" s="9"/>
      <c r="Z229" s="9"/>
      <c r="AA229" s="9"/>
      <c r="AB229" s="9"/>
      <c r="AC229" s="9"/>
      <c r="AD229" s="9"/>
      <c r="AE229" s="9"/>
      <c r="AF229" s="9"/>
      <c r="AG229" s="9"/>
    </row>
    <row r="230" spans="1:33">
      <c r="A230" s="9"/>
      <c r="B230" s="21"/>
      <c r="C230" s="9"/>
      <c r="D230" s="9"/>
      <c r="E230" s="9"/>
      <c r="F230" s="9"/>
      <c r="G230" s="9"/>
      <c r="H230" s="9"/>
      <c r="I230" s="9"/>
      <c r="J230" s="9"/>
      <c r="K230" s="9"/>
      <c r="L230" s="9"/>
      <c r="M230" s="9"/>
      <c r="N230" s="9"/>
      <c r="O230" s="9"/>
      <c r="P230" s="9"/>
      <c r="Q230" s="9"/>
      <c r="R230" s="9"/>
      <c r="S230" s="9"/>
      <c r="T230" s="9"/>
      <c r="U230" s="9"/>
      <c r="V230" s="9"/>
      <c r="W230" s="9"/>
      <c r="X230" s="9"/>
      <c r="Y230" s="9"/>
      <c r="Z230" s="9"/>
      <c r="AA230" s="9"/>
      <c r="AB230" s="9"/>
      <c r="AC230" s="9"/>
      <c r="AD230" s="9"/>
      <c r="AE230" s="9"/>
      <c r="AF230" s="9"/>
      <c r="AG230" s="9"/>
    </row>
    <row r="231" spans="1:33">
      <c r="A231" s="9"/>
      <c r="B231" s="21"/>
      <c r="C231" s="9"/>
      <c r="D231" s="9"/>
      <c r="E231" s="9"/>
      <c r="F231" s="9"/>
      <c r="G231" s="9"/>
      <c r="H231" s="9"/>
      <c r="I231" s="9"/>
      <c r="J231" s="9"/>
      <c r="K231" s="9"/>
      <c r="L231" s="9"/>
      <c r="M231" s="9"/>
      <c r="N231" s="9"/>
      <c r="O231" s="9"/>
      <c r="P231" s="9"/>
      <c r="Q231" s="9"/>
      <c r="R231" s="9"/>
      <c r="S231" s="9"/>
      <c r="T231" s="9"/>
      <c r="U231" s="9"/>
      <c r="V231" s="9"/>
      <c r="W231" s="9"/>
      <c r="X231" s="9"/>
      <c r="Y231" s="9"/>
      <c r="Z231" s="9"/>
      <c r="AA231" s="9"/>
      <c r="AB231" s="9"/>
      <c r="AC231" s="9"/>
      <c r="AD231" s="9"/>
      <c r="AE231" s="9"/>
      <c r="AF231" s="9"/>
      <c r="AG231" s="9"/>
    </row>
    <row r="232" spans="1:33">
      <c r="A232" s="9"/>
      <c r="B232" s="21"/>
      <c r="C232" s="9"/>
      <c r="D232" s="9"/>
      <c r="E232" s="9"/>
      <c r="F232" s="9"/>
      <c r="G232" s="9"/>
      <c r="H232" s="9"/>
      <c r="I232" s="9"/>
      <c r="J232" s="9"/>
      <c r="K232" s="9"/>
      <c r="L232" s="9"/>
      <c r="M232" s="9"/>
      <c r="N232" s="9"/>
      <c r="O232" s="9"/>
      <c r="P232" s="9"/>
      <c r="Q232" s="9"/>
      <c r="R232" s="9"/>
      <c r="S232" s="9"/>
      <c r="T232" s="9"/>
      <c r="U232" s="9"/>
      <c r="V232" s="9"/>
      <c r="W232" s="9"/>
      <c r="X232" s="9"/>
      <c r="Y232" s="9"/>
      <c r="Z232" s="9"/>
      <c r="AA232" s="9"/>
      <c r="AB232" s="9"/>
      <c r="AC232" s="9"/>
      <c r="AD232" s="9"/>
      <c r="AE232" s="9"/>
      <c r="AF232" s="9"/>
      <c r="AG232" s="9"/>
    </row>
    <row r="233" spans="1:33">
      <c r="A233" s="9"/>
      <c r="B233" s="21"/>
      <c r="C233" s="9"/>
      <c r="D233" s="9"/>
      <c r="E233" s="9"/>
      <c r="F233" s="9"/>
      <c r="G233" s="9"/>
      <c r="H233" s="9"/>
      <c r="I233" s="9"/>
      <c r="J233" s="9"/>
      <c r="K233" s="9"/>
      <c r="L233" s="9"/>
      <c r="M233" s="9"/>
      <c r="N233" s="9"/>
      <c r="O233" s="9"/>
      <c r="P233" s="9"/>
      <c r="Q233" s="9"/>
      <c r="R233" s="9"/>
      <c r="S233" s="9"/>
      <c r="T233" s="9"/>
      <c r="U233" s="9"/>
      <c r="V233" s="9"/>
      <c r="W233" s="9"/>
      <c r="X233" s="9"/>
      <c r="Y233" s="9"/>
      <c r="Z233" s="9"/>
      <c r="AA233" s="9"/>
      <c r="AB233" s="9"/>
      <c r="AC233" s="9"/>
      <c r="AD233" s="9"/>
      <c r="AE233" s="9"/>
      <c r="AF233" s="9"/>
      <c r="AG233" s="9"/>
    </row>
    <row r="234" spans="1:33">
      <c r="A234" s="9"/>
      <c r="B234" s="21"/>
      <c r="C234" s="9"/>
      <c r="D234" s="9"/>
      <c r="E234" s="9"/>
      <c r="F234" s="9"/>
      <c r="G234" s="9"/>
      <c r="H234" s="9"/>
      <c r="I234" s="9"/>
      <c r="J234" s="9"/>
      <c r="K234" s="9"/>
      <c r="L234" s="9"/>
      <c r="M234" s="9"/>
      <c r="N234" s="9"/>
      <c r="O234" s="9"/>
      <c r="P234" s="9"/>
      <c r="Q234" s="9"/>
      <c r="R234" s="9"/>
      <c r="S234" s="9"/>
      <c r="T234" s="9"/>
      <c r="U234" s="9"/>
      <c r="V234" s="9"/>
      <c r="W234" s="9"/>
      <c r="X234" s="9"/>
      <c r="Y234" s="9"/>
      <c r="Z234" s="9"/>
      <c r="AA234" s="9"/>
      <c r="AB234" s="9"/>
      <c r="AC234" s="9"/>
      <c r="AD234" s="9"/>
      <c r="AE234" s="9"/>
      <c r="AF234" s="9"/>
      <c r="AG234" s="9"/>
    </row>
    <row r="235" spans="1:33">
      <c r="A235" s="9"/>
      <c r="B235" s="21"/>
      <c r="C235" s="9"/>
      <c r="D235" s="9"/>
      <c r="E235" s="9"/>
      <c r="F235" s="9"/>
      <c r="G235" s="9"/>
      <c r="H235" s="9"/>
      <c r="I235" s="9"/>
      <c r="J235" s="9"/>
      <c r="K235" s="9"/>
      <c r="L235" s="9"/>
      <c r="M235" s="9"/>
      <c r="N235" s="9"/>
      <c r="O235" s="9"/>
      <c r="P235" s="9"/>
      <c r="Q235" s="9"/>
      <c r="R235" s="9"/>
      <c r="S235" s="9"/>
      <c r="T235" s="9"/>
      <c r="U235" s="9"/>
      <c r="V235" s="9"/>
      <c r="W235" s="9"/>
      <c r="X235" s="9"/>
      <c r="Y235" s="9"/>
      <c r="Z235" s="9"/>
      <c r="AA235" s="9"/>
      <c r="AB235" s="9"/>
      <c r="AC235" s="9"/>
      <c r="AD235" s="9"/>
      <c r="AE235" s="9"/>
      <c r="AF235" s="9"/>
      <c r="AG235" s="9"/>
    </row>
    <row r="236" spans="1:33">
      <c r="A236" s="9"/>
      <c r="B236" s="21"/>
      <c r="C236" s="9"/>
      <c r="D236" s="9"/>
      <c r="E236" s="9"/>
      <c r="F236" s="9"/>
      <c r="G236" s="9"/>
      <c r="H236" s="9"/>
      <c r="I236" s="9"/>
      <c r="J236" s="9"/>
      <c r="K236" s="9"/>
      <c r="L236" s="9"/>
      <c r="M236" s="9"/>
      <c r="N236" s="9"/>
      <c r="O236" s="9"/>
      <c r="P236" s="9"/>
      <c r="Q236" s="9"/>
      <c r="R236" s="9"/>
      <c r="S236" s="9"/>
      <c r="T236" s="9"/>
      <c r="U236" s="9"/>
      <c r="V236" s="9"/>
      <c r="W236" s="9"/>
      <c r="X236" s="9"/>
      <c r="Y236" s="9"/>
      <c r="Z236" s="9"/>
      <c r="AA236" s="9"/>
      <c r="AB236" s="9"/>
      <c r="AC236" s="9"/>
      <c r="AD236" s="9"/>
      <c r="AE236" s="9"/>
      <c r="AF236" s="9"/>
      <c r="AG236" s="9"/>
    </row>
    <row r="257" spans="2:33">
      <c r="B257" s="9"/>
      <c r="C257" s="9"/>
      <c r="D257" s="9"/>
      <c r="E257" s="9"/>
      <c r="F257" s="9"/>
      <c r="G257" s="9"/>
      <c r="H257" s="9"/>
      <c r="I257" s="9"/>
      <c r="J257" s="9"/>
      <c r="K257" s="9"/>
      <c r="L257" s="9"/>
      <c r="M257" s="9"/>
      <c r="N257" s="9"/>
      <c r="O257" s="9"/>
      <c r="P257" s="9"/>
      <c r="Q257" s="9"/>
      <c r="R257" s="9"/>
      <c r="S257" s="9"/>
      <c r="T257" s="9"/>
      <c r="U257" s="9"/>
      <c r="V257" s="9"/>
      <c r="W257" s="9"/>
      <c r="X257" s="9"/>
      <c r="Y257" s="9"/>
      <c r="Z257" s="9"/>
      <c r="AA257" s="9"/>
      <c r="AB257" s="9"/>
      <c r="AC257" s="9"/>
      <c r="AD257" s="9"/>
      <c r="AE257" s="9"/>
      <c r="AF257" s="9"/>
      <c r="AG257" s="9"/>
    </row>
    <row r="258" spans="2:33">
      <c r="B258" s="113"/>
      <c r="C258" s="113"/>
      <c r="D258" s="113"/>
      <c r="E258" s="113"/>
      <c r="F258" s="113"/>
      <c r="G258" s="113"/>
      <c r="H258" s="113"/>
      <c r="I258" s="113"/>
      <c r="J258" s="113"/>
      <c r="K258" s="113"/>
      <c r="L258" s="113"/>
      <c r="M258" s="113"/>
      <c r="N258" s="113"/>
      <c r="O258" s="113"/>
      <c r="P258" s="113"/>
      <c r="Q258" s="113"/>
      <c r="R258" s="113"/>
      <c r="S258" s="113"/>
      <c r="T258" s="113"/>
      <c r="U258" s="113"/>
      <c r="V258" s="113"/>
      <c r="W258" s="113"/>
      <c r="X258" s="113"/>
      <c r="Y258" s="113"/>
      <c r="Z258" s="113"/>
      <c r="AA258" s="113"/>
      <c r="AB258" s="113"/>
      <c r="AC258" s="113"/>
      <c r="AD258" s="113"/>
      <c r="AE258" s="113"/>
      <c r="AF258" s="113"/>
      <c r="AG258" s="113"/>
    </row>
    <row r="267" spans="2:33">
      <c r="B267" s="9"/>
      <c r="C267" s="9"/>
      <c r="D267" s="9"/>
      <c r="E267" s="9"/>
      <c r="F267" s="9"/>
      <c r="G267" s="9"/>
      <c r="H267" s="9"/>
      <c r="I267" s="9"/>
      <c r="J267" s="9"/>
      <c r="K267" s="9"/>
      <c r="L267" s="9"/>
      <c r="M267" s="9"/>
      <c r="N267" s="9"/>
      <c r="O267" s="9"/>
      <c r="P267" s="9"/>
      <c r="Q267" s="9"/>
      <c r="R267" s="9"/>
      <c r="S267" s="9"/>
      <c r="T267" s="9"/>
      <c r="U267" s="9"/>
      <c r="V267" s="9"/>
      <c r="W267" s="9"/>
      <c r="X267" s="9"/>
      <c r="Y267" s="9"/>
      <c r="Z267" s="9"/>
      <c r="AA267" s="9"/>
      <c r="AB267" s="9"/>
      <c r="AC267" s="9"/>
      <c r="AD267" s="9"/>
      <c r="AE267" s="9"/>
      <c r="AF267" s="9"/>
      <c r="AG267" s="9"/>
    </row>
    <row r="268" spans="2:33">
      <c r="B268" s="9"/>
      <c r="C268" s="9"/>
      <c r="D268" s="9"/>
      <c r="E268" s="9"/>
      <c r="F268" s="9"/>
      <c r="G268" s="9"/>
      <c r="H268" s="9"/>
      <c r="I268" s="9"/>
      <c r="J268" s="9"/>
      <c r="K268" s="9"/>
      <c r="L268" s="9"/>
      <c r="M268" s="9"/>
      <c r="N268" s="9"/>
      <c r="O268" s="9"/>
      <c r="P268" s="9"/>
      <c r="Q268" s="9"/>
      <c r="R268" s="9"/>
      <c r="S268" s="9"/>
      <c r="T268" s="9"/>
      <c r="U268" s="9"/>
      <c r="V268" s="9"/>
      <c r="W268" s="9"/>
      <c r="X268" s="9"/>
      <c r="Y268" s="9"/>
      <c r="Z268" s="9"/>
      <c r="AA268" s="9"/>
      <c r="AB268" s="9"/>
      <c r="AC268" s="9"/>
      <c r="AD268" s="9"/>
      <c r="AE268" s="9"/>
      <c r="AF268" s="9"/>
      <c r="AG268" s="9"/>
    </row>
    <row r="269" spans="2:33">
      <c r="B269" s="9"/>
      <c r="C269" s="9"/>
      <c r="D269" s="9"/>
      <c r="E269" s="9"/>
      <c r="F269" s="9"/>
      <c r="G269" s="9"/>
      <c r="H269" s="9"/>
      <c r="I269" s="9"/>
      <c r="J269" s="9"/>
      <c r="K269" s="9"/>
      <c r="L269" s="9"/>
      <c r="M269" s="9"/>
      <c r="N269" s="9"/>
      <c r="O269" s="9"/>
      <c r="P269" s="9"/>
      <c r="Q269" s="9"/>
      <c r="R269" s="9"/>
      <c r="S269" s="9"/>
      <c r="T269" s="9"/>
      <c r="U269" s="9"/>
      <c r="V269" s="9"/>
      <c r="W269" s="9"/>
      <c r="X269" s="9"/>
      <c r="Y269" s="9"/>
      <c r="Z269" s="9"/>
      <c r="AA269" s="9"/>
      <c r="AB269" s="9"/>
      <c r="AC269" s="9"/>
      <c r="AD269" s="9"/>
      <c r="AE269" s="9"/>
      <c r="AF269" s="9"/>
      <c r="AG269" s="9"/>
    </row>
    <row r="270" spans="2:33">
      <c r="B270" s="9"/>
      <c r="C270" s="9"/>
      <c r="D270" s="9"/>
      <c r="E270" s="9"/>
      <c r="F270" s="9"/>
      <c r="G270" s="9"/>
      <c r="H270" s="9"/>
      <c r="I270" s="9"/>
      <c r="J270" s="9"/>
      <c r="K270" s="9"/>
      <c r="L270" s="9"/>
      <c r="M270" s="9"/>
      <c r="N270" s="9"/>
      <c r="O270" s="9"/>
      <c r="P270" s="9"/>
      <c r="Q270" s="9"/>
      <c r="R270" s="9"/>
      <c r="S270" s="9"/>
      <c r="T270" s="9"/>
      <c r="U270" s="9"/>
      <c r="V270" s="9"/>
      <c r="W270" s="9"/>
      <c r="X270" s="9"/>
      <c r="Y270" s="9"/>
      <c r="Z270" s="9"/>
      <c r="AA270" s="9"/>
      <c r="AB270" s="9"/>
      <c r="AC270" s="9"/>
      <c r="AD270" s="9"/>
      <c r="AE270" s="9"/>
      <c r="AF270" s="9"/>
      <c r="AG270" s="9"/>
    </row>
    <row r="271" spans="2:33">
      <c r="B271" s="9"/>
      <c r="C271" s="9"/>
      <c r="D271" s="9"/>
      <c r="E271" s="9"/>
      <c r="F271" s="9"/>
      <c r="G271" s="9"/>
      <c r="H271" s="9"/>
      <c r="I271" s="9"/>
      <c r="J271" s="9"/>
      <c r="K271" s="9"/>
      <c r="L271" s="9"/>
      <c r="M271" s="9"/>
      <c r="N271" s="9"/>
      <c r="O271" s="9"/>
      <c r="P271" s="9"/>
      <c r="Q271" s="9"/>
      <c r="R271" s="9"/>
      <c r="S271" s="9"/>
      <c r="T271" s="9"/>
      <c r="U271" s="9"/>
      <c r="V271" s="9"/>
      <c r="W271" s="9"/>
      <c r="X271" s="9"/>
      <c r="Y271" s="9"/>
      <c r="Z271" s="9"/>
      <c r="AA271" s="9"/>
      <c r="AB271" s="9"/>
      <c r="AC271" s="9"/>
      <c r="AD271" s="9"/>
      <c r="AE271" s="9"/>
      <c r="AF271" s="9"/>
      <c r="AG271" s="9"/>
    </row>
    <row r="272" spans="2:33">
      <c r="B272" s="9"/>
      <c r="C272" s="9"/>
      <c r="D272" s="9"/>
      <c r="E272" s="9"/>
      <c r="F272" s="9"/>
      <c r="G272" s="9"/>
      <c r="H272" s="9"/>
      <c r="I272" s="9"/>
      <c r="J272" s="9"/>
      <c r="K272" s="9"/>
      <c r="L272" s="9"/>
      <c r="M272" s="9"/>
      <c r="N272" s="9"/>
      <c r="O272" s="9"/>
      <c r="P272" s="9"/>
      <c r="Q272" s="9"/>
      <c r="R272" s="9"/>
      <c r="S272" s="9"/>
      <c r="T272" s="9"/>
      <c r="U272" s="9"/>
      <c r="V272" s="9"/>
      <c r="W272" s="9"/>
      <c r="X272" s="9"/>
      <c r="Y272" s="9"/>
      <c r="Z272" s="9"/>
      <c r="AA272" s="9"/>
      <c r="AB272" s="9"/>
      <c r="AC272" s="9"/>
      <c r="AD272" s="9"/>
      <c r="AE272" s="9"/>
      <c r="AF272" s="9"/>
      <c r="AG272" s="9"/>
    </row>
    <row r="339" spans="2:33">
      <c r="B339" s="9"/>
      <c r="C339" s="9"/>
      <c r="D339" s="9"/>
      <c r="E339" s="9"/>
      <c r="F339" s="9"/>
      <c r="G339" s="9"/>
      <c r="H339" s="9"/>
      <c r="I339" s="9"/>
      <c r="J339" s="9"/>
      <c r="K339" s="9"/>
      <c r="L339" s="9"/>
      <c r="M339" s="9"/>
      <c r="N339" s="9"/>
      <c r="O339" s="9"/>
      <c r="P339" s="9"/>
      <c r="Q339" s="9"/>
      <c r="R339" s="9"/>
      <c r="S339" s="9"/>
      <c r="T339" s="9"/>
      <c r="U339" s="9"/>
      <c r="V339" s="9"/>
      <c r="W339" s="9"/>
      <c r="X339" s="9"/>
      <c r="Y339" s="9"/>
      <c r="Z339" s="9"/>
      <c r="AA339" s="9"/>
      <c r="AB339" s="9"/>
      <c r="AC339" s="9"/>
      <c r="AD339" s="9"/>
      <c r="AE339" s="9"/>
      <c r="AF339" s="9"/>
      <c r="AG339" s="9"/>
    </row>
    <row r="340" spans="2:33">
      <c r="B340" s="113"/>
      <c r="C340" s="113"/>
      <c r="D340" s="113"/>
      <c r="E340" s="113"/>
      <c r="F340" s="113"/>
      <c r="G340" s="113"/>
      <c r="H340" s="113"/>
      <c r="I340" s="113"/>
      <c r="J340" s="113"/>
      <c r="K340" s="113"/>
      <c r="L340" s="113"/>
      <c r="M340" s="113"/>
      <c r="N340" s="113"/>
      <c r="O340" s="113"/>
      <c r="P340" s="113"/>
      <c r="Q340" s="113"/>
      <c r="R340" s="113"/>
      <c r="S340" s="113"/>
      <c r="T340" s="113"/>
      <c r="U340" s="113"/>
      <c r="V340" s="113"/>
      <c r="W340" s="113"/>
      <c r="X340" s="113"/>
      <c r="Y340" s="113"/>
      <c r="Z340" s="113"/>
      <c r="AA340" s="113"/>
      <c r="AB340" s="113"/>
      <c r="AC340" s="113"/>
      <c r="AD340" s="113"/>
      <c r="AE340" s="113"/>
      <c r="AF340" s="113"/>
      <c r="AG340" s="113"/>
    </row>
    <row r="346" spans="2:33">
      <c r="B346" s="9"/>
      <c r="C346" s="9"/>
      <c r="D346" s="9"/>
      <c r="E346" s="9"/>
      <c r="F346" s="9"/>
      <c r="G346" s="9"/>
      <c r="H346" s="9"/>
      <c r="I346" s="9"/>
      <c r="J346" s="9"/>
      <c r="K346" s="9"/>
      <c r="L346" s="9"/>
      <c r="M346" s="9"/>
      <c r="N346" s="9"/>
      <c r="O346" s="9"/>
      <c r="P346" s="9"/>
      <c r="Q346" s="9"/>
      <c r="R346" s="9"/>
      <c r="S346" s="9"/>
      <c r="T346" s="9"/>
      <c r="U346" s="9"/>
      <c r="V346" s="9"/>
      <c r="W346" s="9"/>
      <c r="X346" s="9"/>
      <c r="Y346" s="9"/>
      <c r="Z346" s="9"/>
      <c r="AA346" s="9"/>
      <c r="AB346" s="9"/>
      <c r="AC346" s="9"/>
      <c r="AD346" s="9"/>
      <c r="AE346" s="9"/>
      <c r="AF346" s="9"/>
      <c r="AG346" s="9"/>
    </row>
    <row r="347" spans="2:33">
      <c r="B347" s="9"/>
      <c r="C347" s="9"/>
      <c r="D347" s="9"/>
      <c r="E347" s="9"/>
      <c r="F347" s="9"/>
      <c r="G347" s="9"/>
      <c r="H347" s="9"/>
      <c r="I347" s="9"/>
      <c r="J347" s="9"/>
      <c r="K347" s="9"/>
      <c r="L347" s="9"/>
      <c r="M347" s="9"/>
      <c r="N347" s="9"/>
      <c r="O347" s="9"/>
      <c r="P347" s="9"/>
      <c r="Q347" s="9"/>
      <c r="R347" s="9"/>
      <c r="S347" s="9"/>
      <c r="T347" s="9"/>
      <c r="U347" s="9"/>
      <c r="V347" s="9"/>
      <c r="W347" s="9"/>
      <c r="X347" s="9"/>
      <c r="Y347" s="9"/>
      <c r="Z347" s="9"/>
      <c r="AA347" s="9"/>
      <c r="AB347" s="9"/>
      <c r="AC347" s="9"/>
      <c r="AD347" s="9"/>
      <c r="AE347" s="9"/>
      <c r="AF347" s="9"/>
      <c r="AG347" s="9"/>
    </row>
    <row r="348" spans="2:33">
      <c r="B348" s="9"/>
      <c r="C348" s="9"/>
      <c r="D348" s="9"/>
      <c r="E348" s="9"/>
      <c r="F348" s="9"/>
      <c r="G348" s="9"/>
      <c r="H348" s="9"/>
      <c r="I348" s="9"/>
      <c r="J348" s="9"/>
      <c r="K348" s="9"/>
      <c r="L348" s="9"/>
      <c r="M348" s="9"/>
      <c r="N348" s="9"/>
      <c r="O348" s="9"/>
      <c r="P348" s="9"/>
      <c r="Q348" s="9"/>
      <c r="R348" s="9"/>
      <c r="S348" s="9"/>
      <c r="T348" s="9"/>
      <c r="U348" s="9"/>
      <c r="V348" s="9"/>
      <c r="W348" s="9"/>
      <c r="X348" s="9"/>
      <c r="Y348" s="9"/>
      <c r="Z348" s="9"/>
      <c r="AA348" s="9"/>
      <c r="AB348" s="9"/>
      <c r="AC348" s="9"/>
      <c r="AD348" s="9"/>
      <c r="AE348" s="9"/>
      <c r="AF348" s="9"/>
      <c r="AG348" s="9"/>
    </row>
    <row r="349" spans="2:33">
      <c r="B349" s="9"/>
      <c r="C349" s="9"/>
      <c r="D349" s="9"/>
      <c r="E349" s="9"/>
      <c r="F349" s="9"/>
      <c r="G349" s="9"/>
      <c r="H349" s="9"/>
      <c r="I349" s="9"/>
      <c r="J349" s="9"/>
      <c r="K349" s="9"/>
      <c r="L349" s="9"/>
      <c r="M349" s="9"/>
      <c r="N349" s="9"/>
      <c r="O349" s="9"/>
      <c r="P349" s="9"/>
      <c r="Q349" s="9"/>
      <c r="R349" s="9"/>
      <c r="S349" s="9"/>
      <c r="T349" s="9"/>
      <c r="U349" s="9"/>
      <c r="V349" s="9"/>
      <c r="W349" s="9"/>
      <c r="X349" s="9"/>
      <c r="Y349" s="9"/>
      <c r="Z349" s="9"/>
      <c r="AA349" s="9"/>
      <c r="AB349" s="9"/>
      <c r="AC349" s="9"/>
      <c r="AD349" s="9"/>
      <c r="AE349" s="9"/>
      <c r="AF349" s="9"/>
      <c r="AG349" s="9"/>
    </row>
    <row r="350" spans="2:33">
      <c r="B350" s="9"/>
      <c r="C350" s="9"/>
      <c r="D350" s="9"/>
      <c r="E350" s="9"/>
      <c r="F350" s="9"/>
      <c r="G350" s="9"/>
      <c r="H350" s="9"/>
      <c r="I350" s="9"/>
      <c r="J350" s="9"/>
      <c r="K350" s="9"/>
      <c r="L350" s="9"/>
      <c r="M350" s="9"/>
      <c r="N350" s="9"/>
      <c r="O350" s="9"/>
      <c r="P350" s="9"/>
      <c r="Q350" s="9"/>
      <c r="R350" s="9"/>
      <c r="S350" s="9"/>
      <c r="T350" s="9"/>
      <c r="U350" s="9"/>
      <c r="V350" s="9"/>
      <c r="W350" s="9"/>
      <c r="X350" s="9"/>
      <c r="Y350" s="9"/>
      <c r="Z350" s="9"/>
      <c r="AA350" s="9"/>
      <c r="AB350" s="9"/>
      <c r="AC350" s="9"/>
      <c r="AD350" s="9"/>
      <c r="AE350" s="9"/>
      <c r="AF350" s="9"/>
      <c r="AG350" s="9"/>
    </row>
    <row r="351" spans="2:33">
      <c r="B351" s="9"/>
      <c r="C351" s="9"/>
      <c r="D351" s="9"/>
      <c r="E351" s="9"/>
      <c r="F351" s="9"/>
      <c r="G351" s="9"/>
      <c r="H351" s="9"/>
      <c r="I351" s="9"/>
      <c r="J351" s="9"/>
      <c r="K351" s="9"/>
      <c r="L351" s="9"/>
      <c r="M351" s="9"/>
      <c r="N351" s="9"/>
      <c r="O351" s="9"/>
      <c r="P351" s="9"/>
      <c r="Q351" s="9"/>
      <c r="R351" s="9"/>
      <c r="S351" s="9"/>
      <c r="T351" s="9"/>
      <c r="U351" s="9"/>
      <c r="V351" s="9"/>
      <c r="W351" s="9"/>
      <c r="X351" s="9"/>
      <c r="Y351" s="9"/>
      <c r="Z351" s="9"/>
      <c r="AA351" s="9"/>
      <c r="AB351" s="9"/>
      <c r="AC351" s="9"/>
      <c r="AD351" s="9"/>
      <c r="AE351" s="9"/>
      <c r="AF351" s="9"/>
      <c r="AG351" s="9"/>
    </row>
    <row r="352" spans="2:33">
      <c r="B352" s="9"/>
      <c r="C352" s="9"/>
      <c r="D352" s="9"/>
      <c r="E352" s="9"/>
      <c r="F352" s="9"/>
      <c r="G352" s="9"/>
      <c r="H352" s="9"/>
      <c r="I352" s="9"/>
      <c r="J352" s="9"/>
      <c r="K352" s="9"/>
      <c r="L352" s="9"/>
      <c r="M352" s="9"/>
      <c r="N352" s="9"/>
      <c r="O352" s="9"/>
      <c r="P352" s="9"/>
      <c r="Q352" s="9"/>
      <c r="R352" s="9"/>
      <c r="S352" s="9"/>
      <c r="T352" s="9"/>
      <c r="U352" s="9"/>
      <c r="V352" s="9"/>
      <c r="W352" s="9"/>
      <c r="X352" s="9"/>
      <c r="Y352" s="9"/>
      <c r="Z352" s="9"/>
      <c r="AA352" s="9"/>
      <c r="AB352" s="9"/>
      <c r="AC352" s="9"/>
      <c r="AD352" s="9"/>
      <c r="AE352" s="9"/>
      <c r="AF352" s="9"/>
      <c r="AG352" s="9"/>
    </row>
    <row r="449" spans="2:33">
      <c r="B449" s="9"/>
      <c r="C449" s="9"/>
      <c r="D449" s="9"/>
      <c r="E449" s="9"/>
      <c r="F449" s="9"/>
      <c r="G449" s="9"/>
      <c r="H449" s="9"/>
      <c r="I449" s="9"/>
      <c r="J449" s="9"/>
      <c r="K449" s="9"/>
      <c r="L449" s="9"/>
      <c r="M449" s="9"/>
      <c r="N449" s="9"/>
      <c r="O449" s="9"/>
      <c r="P449" s="9"/>
      <c r="Q449" s="9"/>
      <c r="R449" s="9"/>
      <c r="S449" s="9"/>
      <c r="T449" s="9"/>
      <c r="U449" s="9"/>
      <c r="V449" s="9"/>
      <c r="W449" s="9"/>
      <c r="X449" s="9"/>
      <c r="Y449" s="9"/>
      <c r="Z449" s="9"/>
      <c r="AA449" s="9"/>
      <c r="AB449" s="9"/>
      <c r="AC449" s="9"/>
      <c r="AD449" s="9"/>
      <c r="AE449" s="9"/>
      <c r="AF449" s="9"/>
      <c r="AG449" s="9"/>
    </row>
    <row r="451" spans="2:33">
      <c r="B451" s="9"/>
      <c r="C451" s="9"/>
      <c r="D451" s="9"/>
      <c r="E451" s="9"/>
      <c r="F451" s="9"/>
      <c r="G451" s="9"/>
      <c r="H451" s="9"/>
      <c r="I451" s="9"/>
      <c r="J451" s="9"/>
      <c r="K451" s="9"/>
      <c r="L451" s="9"/>
      <c r="M451" s="9"/>
      <c r="N451" s="9"/>
      <c r="O451" s="9"/>
      <c r="P451" s="9"/>
      <c r="Q451" s="9"/>
      <c r="R451" s="9"/>
      <c r="S451" s="9"/>
      <c r="T451" s="9"/>
      <c r="U451" s="9"/>
      <c r="V451" s="9"/>
      <c r="W451" s="9"/>
      <c r="X451" s="9"/>
      <c r="Y451" s="9"/>
      <c r="Z451" s="9"/>
      <c r="AA451" s="9"/>
      <c r="AB451" s="9"/>
      <c r="AC451" s="9"/>
      <c r="AD451" s="9"/>
      <c r="AE451" s="9"/>
      <c r="AF451" s="9"/>
      <c r="AG451" s="9"/>
    </row>
    <row r="452" spans="2:33">
      <c r="B452" s="113"/>
      <c r="C452" s="113"/>
      <c r="D452" s="113"/>
      <c r="E452" s="113"/>
      <c r="F452" s="113"/>
      <c r="G452" s="113"/>
      <c r="H452" s="113"/>
      <c r="I452" s="113"/>
      <c r="J452" s="113"/>
      <c r="K452" s="113"/>
      <c r="L452" s="113"/>
      <c r="M452" s="113"/>
      <c r="N452" s="113"/>
      <c r="O452" s="113"/>
      <c r="P452" s="113"/>
      <c r="Q452" s="113"/>
      <c r="R452" s="113"/>
      <c r="S452" s="113"/>
      <c r="T452" s="113"/>
      <c r="U452" s="113"/>
      <c r="V452" s="113"/>
      <c r="W452" s="113"/>
      <c r="X452" s="113"/>
      <c r="Y452" s="113"/>
      <c r="Z452" s="113"/>
      <c r="AA452" s="113"/>
      <c r="AB452" s="113"/>
      <c r="AC452" s="113"/>
      <c r="AD452" s="113"/>
      <c r="AE452" s="113"/>
      <c r="AF452" s="113"/>
      <c r="AG452" s="113"/>
    </row>
    <row r="460" spans="2:33">
      <c r="B460" s="9"/>
      <c r="C460" s="9"/>
      <c r="D460" s="9"/>
      <c r="E460" s="9"/>
      <c r="F460" s="9"/>
      <c r="G460" s="9"/>
      <c r="H460" s="9"/>
      <c r="I460" s="9"/>
      <c r="J460" s="9"/>
      <c r="K460" s="9"/>
      <c r="L460" s="9"/>
      <c r="M460" s="9"/>
      <c r="N460" s="9"/>
      <c r="O460" s="9"/>
      <c r="P460" s="9"/>
      <c r="Q460" s="9"/>
      <c r="R460" s="9"/>
      <c r="S460" s="9"/>
      <c r="T460" s="9"/>
      <c r="U460" s="9"/>
      <c r="V460" s="9"/>
      <c r="W460" s="9"/>
      <c r="X460" s="9"/>
      <c r="Y460" s="9"/>
      <c r="Z460" s="9"/>
      <c r="AA460" s="9"/>
      <c r="AB460" s="9"/>
      <c r="AC460" s="9"/>
      <c r="AD460" s="9"/>
      <c r="AE460" s="9"/>
      <c r="AF460" s="9"/>
      <c r="AG460" s="9"/>
    </row>
    <row r="461" spans="2:33">
      <c r="B461" s="9"/>
      <c r="C461" s="9"/>
      <c r="D461" s="9"/>
      <c r="E461" s="9"/>
      <c r="F461" s="9"/>
      <c r="G461" s="9"/>
      <c r="H461" s="9"/>
      <c r="I461" s="9"/>
      <c r="J461" s="9"/>
      <c r="K461" s="9"/>
      <c r="L461" s="9"/>
      <c r="M461" s="9"/>
      <c r="N461" s="9"/>
      <c r="O461" s="9"/>
      <c r="P461" s="9"/>
      <c r="Q461" s="9"/>
      <c r="R461" s="9"/>
      <c r="S461" s="9"/>
      <c r="T461" s="9"/>
      <c r="U461" s="9"/>
      <c r="V461" s="9"/>
      <c r="W461" s="9"/>
      <c r="X461" s="9"/>
      <c r="Y461" s="9"/>
      <c r="Z461" s="9"/>
      <c r="AA461" s="9"/>
      <c r="AB461" s="9"/>
      <c r="AC461" s="9"/>
      <c r="AD461" s="9"/>
      <c r="AE461" s="9"/>
      <c r="AF461" s="9"/>
      <c r="AG461" s="9"/>
    </row>
    <row r="462" spans="2:33">
      <c r="B462" s="9"/>
      <c r="C462" s="9"/>
      <c r="D462" s="9"/>
      <c r="E462" s="9"/>
      <c r="F462" s="9"/>
      <c r="G462" s="9"/>
      <c r="H462" s="9"/>
      <c r="I462" s="9"/>
      <c r="J462" s="9"/>
      <c r="K462" s="9"/>
      <c r="L462" s="9"/>
      <c r="M462" s="9"/>
      <c r="N462" s="9"/>
      <c r="O462" s="9"/>
      <c r="P462" s="9"/>
      <c r="Q462" s="9"/>
      <c r="R462" s="9"/>
      <c r="S462" s="9"/>
      <c r="T462" s="9"/>
      <c r="U462" s="9"/>
      <c r="V462" s="9"/>
      <c r="W462" s="9"/>
      <c r="X462" s="9"/>
      <c r="Y462" s="9"/>
      <c r="Z462" s="9"/>
      <c r="AA462" s="9"/>
      <c r="AB462" s="9"/>
      <c r="AC462" s="9"/>
      <c r="AD462" s="9"/>
      <c r="AE462" s="9"/>
      <c r="AF462" s="9"/>
      <c r="AG462" s="9"/>
    </row>
    <row r="463" spans="2:33">
      <c r="B463" s="9"/>
      <c r="C463" s="9"/>
      <c r="D463" s="9"/>
      <c r="E463" s="9"/>
      <c r="F463" s="9"/>
      <c r="G463" s="9"/>
      <c r="H463" s="9"/>
      <c r="I463" s="9"/>
      <c r="J463" s="9"/>
      <c r="K463" s="9"/>
      <c r="L463" s="9"/>
      <c r="M463" s="9"/>
      <c r="N463" s="9"/>
      <c r="O463" s="9"/>
      <c r="P463" s="9"/>
      <c r="Q463" s="9"/>
      <c r="R463" s="9"/>
      <c r="S463" s="9"/>
      <c r="T463" s="9"/>
      <c r="U463" s="9"/>
      <c r="V463" s="9"/>
      <c r="W463" s="9"/>
      <c r="X463" s="9"/>
      <c r="Y463" s="9"/>
      <c r="Z463" s="9"/>
      <c r="AA463" s="9"/>
      <c r="AB463" s="9"/>
      <c r="AC463" s="9"/>
      <c r="AD463" s="9"/>
      <c r="AE463" s="9"/>
      <c r="AF463" s="9"/>
      <c r="AG463" s="9"/>
    </row>
    <row r="464" spans="2:33">
      <c r="B464" s="9"/>
      <c r="C464" s="9"/>
      <c r="D464" s="9"/>
      <c r="E464" s="9"/>
      <c r="F464" s="9"/>
      <c r="G464" s="9"/>
      <c r="H464" s="9"/>
      <c r="I464" s="9"/>
      <c r="J464" s="9"/>
      <c r="K464" s="9"/>
      <c r="L464" s="9"/>
      <c r="M464" s="9"/>
      <c r="N464" s="9"/>
      <c r="O464" s="9"/>
      <c r="P464" s="9"/>
      <c r="Q464" s="9"/>
      <c r="R464" s="9"/>
      <c r="S464" s="9"/>
      <c r="T464" s="9"/>
      <c r="U464" s="9"/>
      <c r="V464" s="9"/>
      <c r="W464" s="9"/>
      <c r="X464" s="9"/>
      <c r="Y464" s="9"/>
      <c r="Z464" s="9"/>
      <c r="AA464" s="9"/>
      <c r="AB464" s="9"/>
      <c r="AC464" s="9"/>
      <c r="AD464" s="9"/>
      <c r="AE464" s="9"/>
      <c r="AF464" s="9"/>
      <c r="AG464" s="9"/>
    </row>
    <row r="552" spans="2:33">
      <c r="B552" s="9"/>
      <c r="C552" s="9"/>
      <c r="D552" s="9"/>
      <c r="E552" s="9"/>
      <c r="F552" s="9"/>
      <c r="G552" s="9"/>
      <c r="H552" s="9"/>
      <c r="I552" s="9"/>
      <c r="J552" s="9"/>
      <c r="K552" s="9"/>
      <c r="L552" s="9"/>
      <c r="M552" s="9"/>
      <c r="N552" s="9"/>
      <c r="O552" s="9"/>
      <c r="P552" s="9"/>
      <c r="Q552" s="9"/>
      <c r="R552" s="9"/>
      <c r="S552" s="9"/>
      <c r="T552" s="9"/>
      <c r="U552" s="9"/>
      <c r="V552" s="9"/>
      <c r="W552" s="9"/>
      <c r="X552" s="9"/>
      <c r="Y552" s="9"/>
      <c r="Z552" s="9"/>
      <c r="AA552" s="9"/>
      <c r="AB552" s="9"/>
      <c r="AC552" s="9"/>
      <c r="AD552" s="9"/>
      <c r="AE552" s="9"/>
      <c r="AF552" s="9"/>
      <c r="AG552" s="9"/>
    </row>
    <row r="554" spans="2:33">
      <c r="B554" s="9"/>
      <c r="C554" s="9"/>
      <c r="D554" s="9"/>
      <c r="E554" s="9"/>
      <c r="F554" s="9"/>
      <c r="G554" s="9"/>
      <c r="H554" s="9"/>
      <c r="I554" s="9"/>
      <c r="J554" s="9"/>
      <c r="K554" s="9"/>
      <c r="L554" s="9"/>
      <c r="M554" s="9"/>
      <c r="N554" s="9"/>
      <c r="O554" s="9"/>
      <c r="P554" s="9"/>
      <c r="Q554" s="9"/>
      <c r="R554" s="9"/>
      <c r="S554" s="9"/>
      <c r="T554" s="9"/>
      <c r="U554" s="9"/>
      <c r="V554" s="9"/>
      <c r="W554" s="9"/>
      <c r="X554" s="9"/>
      <c r="Y554" s="9"/>
      <c r="Z554" s="9"/>
      <c r="AA554" s="9"/>
      <c r="AB554" s="9"/>
      <c r="AC554" s="9"/>
      <c r="AD554" s="9"/>
      <c r="AE554" s="9"/>
      <c r="AF554" s="9"/>
      <c r="AG554" s="9"/>
    </row>
    <row r="556" spans="2:33">
      <c r="B556" s="9"/>
      <c r="C556" s="9"/>
      <c r="D556" s="9"/>
      <c r="E556" s="9"/>
      <c r="F556" s="9"/>
      <c r="G556" s="9"/>
      <c r="H556" s="9"/>
      <c r="I556" s="9"/>
      <c r="J556" s="9"/>
      <c r="K556" s="9"/>
      <c r="L556" s="9"/>
      <c r="M556" s="9"/>
      <c r="N556" s="9"/>
      <c r="O556" s="9"/>
      <c r="P556" s="9"/>
      <c r="Q556" s="9"/>
      <c r="R556" s="9"/>
      <c r="S556" s="9"/>
      <c r="T556" s="9"/>
      <c r="U556" s="9"/>
      <c r="V556" s="9"/>
      <c r="W556" s="9"/>
      <c r="X556" s="9"/>
      <c r="Y556" s="9"/>
      <c r="Z556" s="9"/>
      <c r="AA556" s="9"/>
      <c r="AB556" s="9"/>
      <c r="AC556" s="9"/>
      <c r="AD556" s="9"/>
      <c r="AE556" s="9"/>
      <c r="AF556" s="9"/>
      <c r="AG556" s="9"/>
    </row>
    <row r="557" spans="2:33">
      <c r="B557" s="113"/>
      <c r="C557" s="113"/>
      <c r="D557" s="113"/>
      <c r="E557" s="113"/>
      <c r="F557" s="113"/>
      <c r="G557" s="113"/>
      <c r="H557" s="113"/>
      <c r="I557" s="113"/>
      <c r="J557" s="113"/>
      <c r="K557" s="113"/>
      <c r="L557" s="113"/>
      <c r="M557" s="113"/>
      <c r="N557" s="113"/>
      <c r="O557" s="113"/>
      <c r="P557" s="113"/>
      <c r="Q557" s="113"/>
      <c r="R557" s="113"/>
      <c r="S557" s="113"/>
      <c r="T557" s="113"/>
      <c r="U557" s="113"/>
      <c r="V557" s="113"/>
      <c r="W557" s="113"/>
      <c r="X557" s="113"/>
      <c r="Y557" s="113"/>
      <c r="Z557" s="113"/>
      <c r="AA557" s="113"/>
      <c r="AB557" s="113"/>
      <c r="AC557" s="113"/>
      <c r="AD557" s="113"/>
      <c r="AE557" s="113"/>
      <c r="AF557" s="113"/>
      <c r="AG557" s="113"/>
    </row>
    <row r="625" spans="2:33">
      <c r="B625" s="9"/>
      <c r="C625" s="9"/>
      <c r="D625" s="9"/>
      <c r="E625" s="9"/>
      <c r="F625" s="9"/>
      <c r="G625" s="9"/>
      <c r="H625" s="9"/>
      <c r="I625" s="9"/>
      <c r="J625" s="9"/>
      <c r="K625" s="9"/>
      <c r="L625" s="9"/>
      <c r="M625" s="9"/>
      <c r="N625" s="9"/>
      <c r="O625" s="9"/>
      <c r="P625" s="9"/>
      <c r="Q625" s="9"/>
      <c r="R625" s="9"/>
      <c r="S625" s="9"/>
      <c r="T625" s="9"/>
      <c r="U625" s="9"/>
      <c r="V625" s="9"/>
      <c r="W625" s="9"/>
      <c r="X625" s="9"/>
      <c r="Y625" s="9"/>
      <c r="Z625" s="9"/>
      <c r="AA625" s="9"/>
      <c r="AB625" s="9"/>
      <c r="AC625" s="9"/>
      <c r="AD625" s="9"/>
      <c r="AE625" s="9"/>
      <c r="AF625" s="9"/>
      <c r="AG625" s="9"/>
    </row>
    <row r="627" spans="2:33">
      <c r="B627" s="9"/>
      <c r="C627" s="9"/>
      <c r="D627" s="9"/>
      <c r="E627" s="9"/>
      <c r="F627" s="9"/>
      <c r="G627" s="9"/>
      <c r="H627" s="9"/>
      <c r="I627" s="9"/>
      <c r="J627" s="9"/>
      <c r="K627" s="9"/>
      <c r="L627" s="9"/>
      <c r="M627" s="9"/>
      <c r="N627" s="9"/>
      <c r="O627" s="9"/>
      <c r="P627" s="9"/>
      <c r="Q627" s="9"/>
      <c r="R627" s="9"/>
      <c r="S627" s="9"/>
      <c r="T627" s="9"/>
      <c r="U627" s="9"/>
      <c r="V627" s="9"/>
      <c r="W627" s="9"/>
      <c r="X627" s="9"/>
      <c r="Y627" s="9"/>
      <c r="Z627" s="9"/>
      <c r="AA627" s="9"/>
      <c r="AB627" s="9"/>
      <c r="AC627" s="9"/>
      <c r="AD627" s="9"/>
      <c r="AE627" s="9"/>
      <c r="AF627" s="9"/>
      <c r="AG627" s="9"/>
    </row>
    <row r="630" spans="2:33">
      <c r="B630" s="9"/>
      <c r="C630" s="9"/>
      <c r="D630" s="9"/>
      <c r="E630" s="9"/>
      <c r="F630" s="9"/>
      <c r="G630" s="9"/>
      <c r="H630" s="9"/>
      <c r="I630" s="9"/>
      <c r="J630" s="9"/>
      <c r="K630" s="9"/>
      <c r="L630" s="9"/>
      <c r="M630" s="9"/>
      <c r="N630" s="9"/>
      <c r="O630" s="9"/>
      <c r="P630" s="9"/>
      <c r="Q630" s="9"/>
      <c r="R630" s="9"/>
      <c r="S630" s="9"/>
      <c r="T630" s="9"/>
      <c r="U630" s="9"/>
      <c r="V630" s="9"/>
      <c r="W630" s="9"/>
      <c r="X630" s="9"/>
      <c r="Y630" s="9"/>
      <c r="Z630" s="9"/>
      <c r="AA630" s="9"/>
      <c r="AB630" s="9"/>
      <c r="AC630" s="9"/>
      <c r="AD630" s="9"/>
      <c r="AE630" s="9"/>
      <c r="AF630" s="9"/>
      <c r="AG630" s="9"/>
    </row>
    <row r="632" spans="2:33">
      <c r="B632" s="9"/>
      <c r="C632" s="9"/>
      <c r="D632" s="9"/>
      <c r="E632" s="9"/>
      <c r="F632" s="9"/>
      <c r="G632" s="9"/>
      <c r="H632" s="9"/>
      <c r="I632" s="9"/>
      <c r="J632" s="9"/>
      <c r="K632" s="9"/>
      <c r="L632" s="9"/>
      <c r="M632" s="9"/>
      <c r="N632" s="9"/>
      <c r="O632" s="9"/>
      <c r="P632" s="9"/>
      <c r="Q632" s="9"/>
      <c r="R632" s="9"/>
      <c r="S632" s="9"/>
      <c r="T632" s="9"/>
      <c r="U632" s="9"/>
      <c r="V632" s="9"/>
      <c r="W632" s="9"/>
      <c r="X632" s="9"/>
      <c r="Y632" s="9"/>
      <c r="Z632" s="9"/>
      <c r="AA632" s="9"/>
      <c r="AB632" s="9"/>
      <c r="AC632" s="9"/>
      <c r="AD632" s="9"/>
      <c r="AE632" s="9"/>
      <c r="AF632" s="9"/>
      <c r="AG632" s="9"/>
    </row>
    <row r="633" spans="2:33">
      <c r="B633" s="9"/>
      <c r="C633" s="9"/>
      <c r="D633" s="9"/>
      <c r="E633" s="9"/>
      <c r="F633" s="9"/>
      <c r="G633" s="9"/>
      <c r="H633" s="9"/>
      <c r="I633" s="9"/>
      <c r="J633" s="9"/>
      <c r="K633" s="9"/>
      <c r="L633" s="9"/>
      <c r="M633" s="9"/>
      <c r="N633" s="9"/>
      <c r="O633" s="9"/>
      <c r="P633" s="9"/>
      <c r="Q633" s="9"/>
      <c r="R633" s="9"/>
      <c r="S633" s="9"/>
      <c r="T633" s="9"/>
      <c r="U633" s="9"/>
      <c r="V633" s="9"/>
      <c r="W633" s="9"/>
      <c r="X633" s="9"/>
      <c r="Y633" s="9"/>
      <c r="Z633" s="9"/>
      <c r="AA633" s="9"/>
      <c r="AB633" s="9"/>
      <c r="AC633" s="9"/>
      <c r="AD633" s="9"/>
      <c r="AE633" s="9"/>
      <c r="AF633" s="9"/>
      <c r="AG633" s="9"/>
    </row>
    <row r="635" spans="2:33">
      <c r="B635" s="9"/>
      <c r="C635" s="9"/>
      <c r="D635" s="9"/>
      <c r="E635" s="9"/>
      <c r="F635" s="9"/>
      <c r="G635" s="9"/>
      <c r="H635" s="9"/>
      <c r="I635" s="9"/>
      <c r="J635" s="9"/>
      <c r="K635" s="9"/>
      <c r="L635" s="9"/>
      <c r="M635" s="9"/>
      <c r="N635" s="9"/>
      <c r="O635" s="9"/>
      <c r="P635" s="9"/>
      <c r="Q635" s="9"/>
      <c r="R635" s="9"/>
      <c r="S635" s="9"/>
      <c r="T635" s="9"/>
      <c r="U635" s="9"/>
      <c r="V635" s="9"/>
      <c r="W635" s="9"/>
      <c r="X635" s="9"/>
      <c r="Y635" s="9"/>
      <c r="Z635" s="9"/>
      <c r="AA635" s="9"/>
      <c r="AB635" s="9"/>
      <c r="AC635" s="9"/>
      <c r="AD635" s="9"/>
      <c r="AE635" s="9"/>
      <c r="AF635" s="9"/>
      <c r="AG635" s="9"/>
    </row>
    <row r="637" spans="2:33">
      <c r="B637" s="9"/>
      <c r="C637" s="9"/>
      <c r="D637" s="9"/>
      <c r="E637" s="9"/>
      <c r="F637" s="9"/>
      <c r="G637" s="9"/>
      <c r="H637" s="9"/>
      <c r="I637" s="9"/>
      <c r="J637" s="9"/>
      <c r="K637" s="9"/>
      <c r="L637" s="9"/>
      <c r="M637" s="9"/>
      <c r="N637" s="9"/>
      <c r="O637" s="9"/>
      <c r="P637" s="9"/>
      <c r="Q637" s="9"/>
      <c r="R637" s="9"/>
      <c r="S637" s="9"/>
      <c r="T637" s="9"/>
      <c r="U637" s="9"/>
      <c r="V637" s="9"/>
      <c r="W637" s="9"/>
      <c r="X637" s="9"/>
      <c r="Y637" s="9"/>
      <c r="Z637" s="9"/>
      <c r="AA637" s="9"/>
      <c r="AB637" s="9"/>
      <c r="AC637" s="9"/>
      <c r="AD637" s="9"/>
      <c r="AE637" s="9"/>
      <c r="AF637" s="9"/>
      <c r="AG637" s="9"/>
    </row>
    <row r="638" spans="2:33">
      <c r="B638" s="113"/>
      <c r="C638" s="113"/>
      <c r="D638" s="113"/>
      <c r="E638" s="113"/>
      <c r="F638" s="113"/>
      <c r="G638" s="113"/>
      <c r="H638" s="113"/>
      <c r="I638" s="113"/>
      <c r="J638" s="113"/>
      <c r="K638" s="113"/>
      <c r="L638" s="113"/>
      <c r="M638" s="113"/>
      <c r="N638" s="113"/>
      <c r="O638" s="113"/>
      <c r="P638" s="113"/>
      <c r="Q638" s="113"/>
      <c r="R638" s="113"/>
      <c r="S638" s="113"/>
      <c r="T638" s="113"/>
      <c r="U638" s="113"/>
      <c r="V638" s="113"/>
      <c r="W638" s="113"/>
      <c r="X638" s="113"/>
      <c r="Y638" s="113"/>
      <c r="Z638" s="113"/>
      <c r="AA638" s="113"/>
      <c r="AB638" s="113"/>
      <c r="AC638" s="113"/>
      <c r="AD638" s="113"/>
      <c r="AE638" s="113"/>
      <c r="AF638" s="113"/>
      <c r="AG638" s="113"/>
    </row>
    <row r="709" spans="2:33">
      <c r="B709" s="9"/>
      <c r="C709" s="9"/>
      <c r="D709" s="9"/>
      <c r="E709" s="9"/>
      <c r="F709" s="9"/>
      <c r="G709" s="9"/>
      <c r="H709" s="9"/>
      <c r="I709" s="9"/>
      <c r="J709" s="9"/>
      <c r="K709" s="9"/>
      <c r="L709" s="9"/>
      <c r="M709" s="9"/>
      <c r="N709" s="9"/>
      <c r="O709" s="9"/>
      <c r="P709" s="9"/>
      <c r="Q709" s="9"/>
      <c r="R709" s="9"/>
      <c r="S709" s="9"/>
      <c r="T709" s="9"/>
      <c r="U709" s="9"/>
      <c r="V709" s="9"/>
      <c r="W709" s="9"/>
      <c r="X709" s="9"/>
      <c r="Y709" s="9"/>
      <c r="Z709" s="9"/>
      <c r="AA709" s="9"/>
      <c r="AB709" s="9"/>
      <c r="AC709" s="9"/>
      <c r="AD709" s="9"/>
      <c r="AE709" s="9"/>
      <c r="AF709" s="9"/>
      <c r="AG709" s="9"/>
    </row>
    <row r="710" spans="2:33">
      <c r="B710" s="113"/>
      <c r="C710" s="113"/>
      <c r="D710" s="113"/>
      <c r="E710" s="113"/>
      <c r="F710" s="113"/>
      <c r="G710" s="113"/>
      <c r="H710" s="113"/>
      <c r="I710" s="113"/>
      <c r="J710" s="113"/>
      <c r="K710" s="113"/>
      <c r="L710" s="113"/>
      <c r="M710" s="113"/>
      <c r="N710" s="113"/>
      <c r="O710" s="113"/>
      <c r="P710" s="113"/>
      <c r="Q710" s="113"/>
      <c r="R710" s="113"/>
      <c r="S710" s="113"/>
      <c r="T710" s="113"/>
      <c r="U710" s="113"/>
      <c r="V710" s="113"/>
      <c r="W710" s="113"/>
      <c r="X710" s="113"/>
      <c r="Y710" s="113"/>
      <c r="Z710" s="113"/>
      <c r="AA710" s="113"/>
      <c r="AB710" s="113"/>
      <c r="AC710" s="113"/>
      <c r="AD710" s="113"/>
      <c r="AE710" s="113"/>
      <c r="AF710" s="113"/>
      <c r="AG710" s="113"/>
    </row>
    <row r="716" spans="2:33">
      <c r="B716" s="9"/>
      <c r="C716" s="9"/>
      <c r="D716" s="9"/>
      <c r="E716" s="9"/>
      <c r="F716" s="9"/>
      <c r="G716" s="9"/>
      <c r="H716" s="9"/>
      <c r="I716" s="9"/>
      <c r="J716" s="9"/>
      <c r="K716" s="9"/>
      <c r="L716" s="9"/>
      <c r="M716" s="9"/>
      <c r="N716" s="9"/>
      <c r="O716" s="9"/>
      <c r="P716" s="9"/>
      <c r="Q716" s="9"/>
      <c r="R716" s="9"/>
      <c r="S716" s="9"/>
      <c r="T716" s="9"/>
      <c r="U716" s="9"/>
      <c r="V716" s="9"/>
      <c r="W716" s="9"/>
      <c r="X716" s="9"/>
      <c r="Y716" s="9"/>
      <c r="Z716" s="9"/>
      <c r="AA716" s="9"/>
      <c r="AB716" s="9"/>
      <c r="AC716" s="9"/>
      <c r="AD716" s="9"/>
      <c r="AE716" s="9"/>
      <c r="AF716" s="9"/>
      <c r="AG716" s="9"/>
    </row>
    <row r="717" spans="2:33">
      <c r="B717" s="9"/>
      <c r="C717" s="9"/>
      <c r="D717" s="9"/>
      <c r="E717" s="9"/>
      <c r="F717" s="9"/>
      <c r="G717" s="9"/>
      <c r="H717" s="9"/>
      <c r="I717" s="9"/>
      <c r="J717" s="9"/>
      <c r="K717" s="9"/>
      <c r="L717" s="9"/>
      <c r="M717" s="9"/>
      <c r="N717" s="9"/>
      <c r="O717" s="9"/>
      <c r="P717" s="9"/>
      <c r="Q717" s="9"/>
      <c r="R717" s="9"/>
      <c r="S717" s="9"/>
      <c r="T717" s="9"/>
      <c r="U717" s="9"/>
      <c r="V717" s="9"/>
      <c r="W717" s="9"/>
      <c r="X717" s="9"/>
      <c r="Y717" s="9"/>
      <c r="Z717" s="9"/>
      <c r="AA717" s="9"/>
      <c r="AB717" s="9"/>
      <c r="AC717" s="9"/>
      <c r="AD717" s="9"/>
      <c r="AE717" s="9"/>
      <c r="AF717" s="9"/>
      <c r="AG717" s="9"/>
    </row>
    <row r="718" spans="2:33">
      <c r="B718" s="9"/>
      <c r="C718" s="9"/>
      <c r="D718" s="9"/>
      <c r="E718" s="9"/>
      <c r="F718" s="9"/>
      <c r="G718" s="9"/>
      <c r="H718" s="9"/>
      <c r="I718" s="9"/>
      <c r="J718" s="9"/>
      <c r="K718" s="9"/>
      <c r="L718" s="9"/>
      <c r="M718" s="9"/>
      <c r="N718" s="9"/>
      <c r="O718" s="9"/>
      <c r="P718" s="9"/>
      <c r="Q718" s="9"/>
      <c r="R718" s="9"/>
      <c r="S718" s="9"/>
      <c r="T718" s="9"/>
      <c r="U718" s="9"/>
      <c r="V718" s="9"/>
      <c r="W718" s="9"/>
      <c r="X718" s="9"/>
      <c r="Y718" s="9"/>
      <c r="Z718" s="9"/>
      <c r="AA718" s="9"/>
      <c r="AB718" s="9"/>
      <c r="AC718" s="9"/>
      <c r="AD718" s="9"/>
      <c r="AE718" s="9"/>
      <c r="AF718" s="9"/>
      <c r="AG718" s="9"/>
    </row>
    <row r="719" spans="2:33">
      <c r="B719" s="9"/>
      <c r="C719" s="9"/>
      <c r="D719" s="9"/>
      <c r="E719" s="9"/>
      <c r="F719" s="9"/>
      <c r="G719" s="9"/>
      <c r="H719" s="9"/>
      <c r="I719" s="9"/>
      <c r="J719" s="9"/>
      <c r="K719" s="9"/>
      <c r="L719" s="9"/>
      <c r="M719" s="9"/>
      <c r="N719" s="9"/>
      <c r="O719" s="9"/>
      <c r="P719" s="9"/>
      <c r="Q719" s="9"/>
      <c r="R719" s="9"/>
      <c r="S719" s="9"/>
      <c r="T719" s="9"/>
      <c r="U719" s="9"/>
      <c r="V719" s="9"/>
      <c r="W719" s="9"/>
      <c r="X719" s="9"/>
      <c r="Y719" s="9"/>
      <c r="Z719" s="9"/>
      <c r="AA719" s="9"/>
      <c r="AB719" s="9"/>
      <c r="AC719" s="9"/>
      <c r="AD719" s="9"/>
      <c r="AE719" s="9"/>
      <c r="AF719" s="9"/>
      <c r="AG719" s="9"/>
    </row>
    <row r="720" spans="2:33">
      <c r="B720" s="9"/>
      <c r="C720" s="9"/>
      <c r="D720" s="9"/>
      <c r="E720" s="9"/>
      <c r="F720" s="9"/>
      <c r="G720" s="9"/>
      <c r="H720" s="9"/>
      <c r="I720" s="9"/>
      <c r="J720" s="9"/>
      <c r="K720" s="9"/>
      <c r="L720" s="9"/>
      <c r="M720" s="9"/>
      <c r="N720" s="9"/>
      <c r="O720" s="9"/>
      <c r="P720" s="9"/>
      <c r="Q720" s="9"/>
      <c r="R720" s="9"/>
      <c r="S720" s="9"/>
      <c r="T720" s="9"/>
      <c r="U720" s="9"/>
      <c r="V720" s="9"/>
      <c r="W720" s="9"/>
      <c r="X720" s="9"/>
      <c r="Y720" s="9"/>
      <c r="Z720" s="9"/>
      <c r="AA720" s="9"/>
      <c r="AB720" s="9"/>
      <c r="AC720" s="9"/>
      <c r="AD720" s="9"/>
      <c r="AE720" s="9"/>
      <c r="AF720" s="9"/>
      <c r="AG720" s="9"/>
    </row>
    <row r="881" spans="2:33">
      <c r="B881" s="9"/>
      <c r="C881" s="9"/>
      <c r="D881" s="9"/>
      <c r="E881" s="9"/>
      <c r="F881" s="9"/>
      <c r="G881" s="9"/>
      <c r="H881" s="9"/>
      <c r="I881" s="9"/>
      <c r="J881" s="9"/>
      <c r="K881" s="9"/>
      <c r="L881" s="9"/>
      <c r="M881" s="9"/>
      <c r="N881" s="9"/>
      <c r="O881" s="9"/>
      <c r="P881" s="9"/>
      <c r="Q881" s="9"/>
      <c r="R881" s="9"/>
      <c r="S881" s="9"/>
      <c r="T881" s="9"/>
      <c r="U881" s="9"/>
      <c r="V881" s="9"/>
      <c r="W881" s="9"/>
      <c r="X881" s="9"/>
      <c r="Y881" s="9"/>
      <c r="Z881" s="9"/>
      <c r="AA881" s="9"/>
      <c r="AB881" s="9"/>
      <c r="AC881" s="9"/>
      <c r="AD881" s="9"/>
      <c r="AE881" s="9"/>
      <c r="AF881" s="9"/>
      <c r="AG881" s="9"/>
    </row>
    <row r="885" spans="2:33">
      <c r="B885" s="9"/>
      <c r="C885" s="9"/>
      <c r="D885" s="9"/>
      <c r="E885" s="9"/>
      <c r="F885" s="9"/>
      <c r="G885" s="9"/>
      <c r="H885" s="9"/>
      <c r="I885" s="9"/>
      <c r="J885" s="9"/>
      <c r="K885" s="9"/>
      <c r="L885" s="9"/>
      <c r="M885" s="9"/>
      <c r="N885" s="9"/>
      <c r="O885" s="9"/>
      <c r="P885" s="9"/>
      <c r="Q885" s="9"/>
      <c r="R885" s="9"/>
      <c r="S885" s="9"/>
      <c r="T885" s="9"/>
      <c r="U885" s="9"/>
      <c r="V885" s="9"/>
      <c r="W885" s="9"/>
      <c r="X885" s="9"/>
      <c r="Y885" s="9"/>
      <c r="Z885" s="9"/>
      <c r="AA885" s="9"/>
      <c r="AB885" s="9"/>
      <c r="AC885" s="9"/>
      <c r="AD885" s="9"/>
      <c r="AE885" s="9"/>
      <c r="AF885" s="9"/>
      <c r="AG885" s="9"/>
    </row>
    <row r="886" spans="2:33">
      <c r="B886" s="113"/>
      <c r="C886" s="113"/>
      <c r="D886" s="113"/>
      <c r="E886" s="113"/>
      <c r="F886" s="113"/>
      <c r="G886" s="113"/>
      <c r="H886" s="113"/>
      <c r="I886" s="113"/>
      <c r="J886" s="113"/>
      <c r="K886" s="113"/>
      <c r="L886" s="113"/>
      <c r="M886" s="113"/>
      <c r="N886" s="113"/>
      <c r="O886" s="113"/>
      <c r="P886" s="113"/>
      <c r="Q886" s="113"/>
      <c r="R886" s="113"/>
      <c r="S886" s="113"/>
      <c r="T886" s="113"/>
      <c r="U886" s="113"/>
      <c r="V886" s="113"/>
      <c r="W886" s="113"/>
      <c r="X886" s="113"/>
      <c r="Y886" s="113"/>
      <c r="Z886" s="113"/>
      <c r="AA886" s="113"/>
      <c r="AB886" s="113"/>
      <c r="AC886" s="113"/>
      <c r="AD886" s="113"/>
      <c r="AE886" s="113"/>
      <c r="AF886" s="113"/>
      <c r="AG886" s="113"/>
    </row>
    <row r="889" spans="2:33">
      <c r="B889" s="9"/>
      <c r="C889" s="9"/>
      <c r="D889" s="9"/>
      <c r="E889" s="9"/>
      <c r="F889" s="9"/>
      <c r="G889" s="9"/>
      <c r="H889" s="9"/>
      <c r="I889" s="9"/>
      <c r="J889" s="9"/>
      <c r="K889" s="9"/>
      <c r="L889" s="9"/>
      <c r="M889" s="9"/>
      <c r="N889" s="9"/>
      <c r="O889" s="9"/>
      <c r="P889" s="9"/>
      <c r="Q889" s="9"/>
      <c r="R889" s="9"/>
      <c r="S889" s="9"/>
      <c r="T889" s="9"/>
      <c r="U889" s="9"/>
      <c r="V889" s="9"/>
      <c r="W889" s="9"/>
      <c r="X889" s="9"/>
      <c r="Y889" s="9"/>
      <c r="Z889" s="9"/>
      <c r="AA889" s="9"/>
      <c r="AB889" s="9"/>
      <c r="AC889" s="9"/>
      <c r="AD889" s="9"/>
      <c r="AE889" s="9"/>
      <c r="AF889" s="9"/>
      <c r="AG889" s="9"/>
    </row>
    <row r="890" spans="2:33">
      <c r="B890" s="9"/>
      <c r="C890" s="9"/>
      <c r="D890" s="9"/>
      <c r="E890" s="9"/>
      <c r="F890" s="9"/>
      <c r="G890" s="9"/>
      <c r="H890" s="9"/>
      <c r="I890" s="9"/>
      <c r="J890" s="9"/>
      <c r="K890" s="9"/>
      <c r="L890" s="9"/>
      <c r="M890" s="9"/>
      <c r="N890" s="9"/>
      <c r="O890" s="9"/>
      <c r="P890" s="9"/>
      <c r="Q890" s="9"/>
      <c r="R890" s="9"/>
      <c r="S890" s="9"/>
      <c r="T890" s="9"/>
      <c r="U890" s="9"/>
      <c r="V890" s="9"/>
      <c r="W890" s="9"/>
      <c r="X890" s="9"/>
      <c r="Y890" s="9"/>
      <c r="Z890" s="9"/>
      <c r="AA890" s="9"/>
      <c r="AB890" s="9"/>
      <c r="AC890" s="9"/>
      <c r="AD890" s="9"/>
      <c r="AE890" s="9"/>
      <c r="AF890" s="9"/>
      <c r="AG890" s="9"/>
    </row>
    <row r="891" spans="2:33">
      <c r="B891" s="9"/>
      <c r="C891" s="9"/>
      <c r="D891" s="9"/>
      <c r="E891" s="9"/>
      <c r="F891" s="9"/>
      <c r="G891" s="9"/>
      <c r="H891" s="9"/>
      <c r="I891" s="9"/>
      <c r="J891" s="9"/>
      <c r="K891" s="9"/>
      <c r="L891" s="9"/>
      <c r="M891" s="9"/>
      <c r="N891" s="9"/>
      <c r="O891" s="9"/>
      <c r="P891" s="9"/>
      <c r="Q891" s="9"/>
      <c r="R891" s="9"/>
      <c r="S891" s="9"/>
      <c r="T891" s="9"/>
      <c r="U891" s="9"/>
      <c r="V891" s="9"/>
      <c r="W891" s="9"/>
      <c r="X891" s="9"/>
      <c r="Y891" s="9"/>
      <c r="Z891" s="9"/>
      <c r="AA891" s="9"/>
      <c r="AB891" s="9"/>
      <c r="AC891" s="9"/>
      <c r="AD891" s="9"/>
      <c r="AE891" s="9"/>
      <c r="AF891" s="9"/>
      <c r="AG891" s="9"/>
    </row>
    <row r="892" spans="2:33">
      <c r="B892" s="9"/>
      <c r="C892" s="9"/>
      <c r="D892" s="9"/>
      <c r="E892" s="9"/>
      <c r="F892" s="9"/>
      <c r="G892" s="9"/>
      <c r="H892" s="9"/>
      <c r="I892" s="9"/>
      <c r="J892" s="9"/>
      <c r="K892" s="9"/>
      <c r="L892" s="9"/>
      <c r="M892" s="9"/>
      <c r="N892" s="9"/>
      <c r="O892" s="9"/>
      <c r="P892" s="9"/>
      <c r="Q892" s="9"/>
      <c r="R892" s="9"/>
      <c r="S892" s="9"/>
      <c r="T892" s="9"/>
      <c r="U892" s="9"/>
      <c r="V892" s="9"/>
      <c r="W892" s="9"/>
      <c r="X892" s="9"/>
      <c r="Y892" s="9"/>
      <c r="Z892" s="9"/>
      <c r="AA892" s="9"/>
      <c r="AB892" s="9"/>
      <c r="AC892" s="9"/>
      <c r="AD892" s="9"/>
      <c r="AE892" s="9"/>
      <c r="AF892" s="9"/>
      <c r="AG892" s="9"/>
    </row>
    <row r="893" spans="2:33">
      <c r="B893" s="9"/>
      <c r="C893" s="9"/>
      <c r="D893" s="9"/>
      <c r="E893" s="9"/>
      <c r="F893" s="9"/>
      <c r="G893" s="9"/>
      <c r="H893" s="9"/>
      <c r="I893" s="9"/>
      <c r="J893" s="9"/>
      <c r="K893" s="9"/>
      <c r="L893" s="9"/>
      <c r="M893" s="9"/>
      <c r="N893" s="9"/>
      <c r="O893" s="9"/>
      <c r="P893" s="9"/>
      <c r="Q893" s="9"/>
      <c r="R893" s="9"/>
      <c r="S893" s="9"/>
      <c r="T893" s="9"/>
      <c r="U893" s="9"/>
      <c r="V893" s="9"/>
      <c r="W893" s="9"/>
      <c r="X893" s="9"/>
      <c r="Y893" s="9"/>
      <c r="Z893" s="9"/>
      <c r="AA893" s="9"/>
      <c r="AB893" s="9"/>
      <c r="AC893" s="9"/>
      <c r="AD893" s="9"/>
      <c r="AE893" s="9"/>
      <c r="AF893" s="9"/>
      <c r="AG893" s="9"/>
    </row>
    <row r="894" spans="2:33">
      <c r="B894" s="9"/>
      <c r="C894" s="9"/>
      <c r="D894" s="9"/>
      <c r="E894" s="9"/>
      <c r="F894" s="9"/>
      <c r="G894" s="9"/>
      <c r="H894" s="9"/>
      <c r="I894" s="9"/>
      <c r="J894" s="9"/>
      <c r="K894" s="9"/>
      <c r="L894" s="9"/>
      <c r="M894" s="9"/>
      <c r="N894" s="9"/>
      <c r="O894" s="9"/>
      <c r="P894" s="9"/>
      <c r="Q894" s="9"/>
      <c r="R894" s="9"/>
      <c r="S894" s="9"/>
      <c r="T894" s="9"/>
      <c r="U894" s="9"/>
      <c r="V894" s="9"/>
      <c r="W894" s="9"/>
      <c r="X894" s="9"/>
      <c r="Y894" s="9"/>
      <c r="Z894" s="9"/>
      <c r="AA894" s="9"/>
      <c r="AB894" s="9"/>
      <c r="AC894" s="9"/>
      <c r="AD894" s="9"/>
      <c r="AE894" s="9"/>
      <c r="AF894" s="9"/>
      <c r="AG894" s="9"/>
    </row>
    <row r="895" spans="2:33">
      <c r="B895" s="9"/>
      <c r="C895" s="9"/>
      <c r="D895" s="9"/>
      <c r="E895" s="9"/>
      <c r="F895" s="9"/>
      <c r="G895" s="9"/>
      <c r="H895" s="9"/>
      <c r="I895" s="9"/>
      <c r="J895" s="9"/>
      <c r="K895" s="9"/>
      <c r="L895" s="9"/>
      <c r="M895" s="9"/>
      <c r="N895" s="9"/>
      <c r="O895" s="9"/>
      <c r="P895" s="9"/>
      <c r="Q895" s="9"/>
      <c r="R895" s="9"/>
      <c r="S895" s="9"/>
      <c r="T895" s="9"/>
      <c r="U895" s="9"/>
      <c r="V895" s="9"/>
      <c r="W895" s="9"/>
      <c r="X895" s="9"/>
      <c r="Y895" s="9"/>
      <c r="Z895" s="9"/>
      <c r="AA895" s="9"/>
      <c r="AB895" s="9"/>
      <c r="AC895" s="9"/>
      <c r="AD895" s="9"/>
      <c r="AE895" s="9"/>
      <c r="AF895" s="9"/>
      <c r="AG895" s="9"/>
    </row>
    <row r="896" spans="2:33">
      <c r="B896" s="9"/>
      <c r="C896" s="9"/>
      <c r="D896" s="9"/>
      <c r="E896" s="9"/>
      <c r="F896" s="9"/>
      <c r="G896" s="9"/>
      <c r="H896" s="9"/>
      <c r="I896" s="9"/>
      <c r="J896" s="9"/>
      <c r="K896" s="9"/>
      <c r="L896" s="9"/>
      <c r="M896" s="9"/>
      <c r="N896" s="9"/>
      <c r="O896" s="9"/>
      <c r="P896" s="9"/>
      <c r="Q896" s="9"/>
      <c r="R896" s="9"/>
      <c r="S896" s="9"/>
      <c r="T896" s="9"/>
      <c r="U896" s="9"/>
      <c r="V896" s="9"/>
      <c r="W896" s="9"/>
      <c r="X896" s="9"/>
      <c r="Y896" s="9"/>
      <c r="Z896" s="9"/>
      <c r="AA896" s="9"/>
      <c r="AB896" s="9"/>
      <c r="AC896" s="9"/>
      <c r="AD896" s="9"/>
      <c r="AE896" s="9"/>
      <c r="AF896" s="9"/>
      <c r="AG896" s="9"/>
    </row>
    <row r="968" spans="2:33">
      <c r="B968" s="9"/>
      <c r="C968" s="9"/>
      <c r="D968" s="9"/>
      <c r="E968" s="9"/>
      <c r="F968" s="9"/>
      <c r="G968" s="9"/>
      <c r="H968" s="9"/>
      <c r="I968" s="9"/>
      <c r="J968" s="9"/>
      <c r="K968" s="9"/>
      <c r="L968" s="9"/>
      <c r="M968" s="9"/>
      <c r="N968" s="9"/>
      <c r="O968" s="9"/>
      <c r="P968" s="9"/>
      <c r="Q968" s="9"/>
      <c r="R968" s="9"/>
      <c r="S968" s="9"/>
      <c r="T968" s="9"/>
      <c r="U968" s="9"/>
      <c r="V968" s="9"/>
      <c r="W968" s="9"/>
      <c r="X968" s="9"/>
      <c r="Y968" s="9"/>
      <c r="Z968" s="9"/>
      <c r="AA968" s="9"/>
      <c r="AB968" s="9"/>
      <c r="AC968" s="9"/>
      <c r="AD968" s="9"/>
      <c r="AE968" s="9"/>
      <c r="AF968" s="9"/>
      <c r="AG968" s="9"/>
    </row>
    <row r="969" spans="2:33">
      <c r="B969" s="113"/>
      <c r="C969" s="113"/>
      <c r="D969" s="113"/>
      <c r="E969" s="113"/>
      <c r="F969" s="113"/>
      <c r="G969" s="113"/>
      <c r="H969" s="113"/>
      <c r="I969" s="113"/>
      <c r="J969" s="113"/>
      <c r="K969" s="113"/>
      <c r="L969" s="113"/>
      <c r="M969" s="113"/>
      <c r="N969" s="113"/>
      <c r="O969" s="113"/>
      <c r="P969" s="113"/>
      <c r="Q969" s="113"/>
      <c r="R969" s="113"/>
      <c r="S969" s="113"/>
      <c r="T969" s="113"/>
      <c r="U969" s="113"/>
      <c r="V969" s="113"/>
      <c r="W969" s="113"/>
      <c r="X969" s="113"/>
      <c r="Y969" s="113"/>
      <c r="Z969" s="113"/>
      <c r="AA969" s="113"/>
      <c r="AB969" s="113"/>
      <c r="AC969" s="113"/>
      <c r="AD969" s="113"/>
      <c r="AE969" s="113"/>
      <c r="AF969" s="113"/>
      <c r="AG969" s="113"/>
    </row>
    <row r="975" spans="2:33">
      <c r="B975" s="9"/>
      <c r="C975" s="9"/>
      <c r="D975" s="9"/>
      <c r="E975" s="9"/>
      <c r="F975" s="9"/>
      <c r="G975" s="9"/>
      <c r="H975" s="9"/>
      <c r="I975" s="9"/>
      <c r="J975" s="9"/>
      <c r="K975" s="9"/>
      <c r="L975" s="9"/>
      <c r="M975" s="9"/>
      <c r="N975" s="9"/>
      <c r="O975" s="9"/>
      <c r="P975" s="9"/>
      <c r="Q975" s="9"/>
      <c r="R975" s="9"/>
      <c r="S975" s="9"/>
      <c r="T975" s="9"/>
      <c r="U975" s="9"/>
      <c r="V975" s="9"/>
      <c r="W975" s="9"/>
      <c r="X975" s="9"/>
      <c r="Y975" s="9"/>
      <c r="Z975" s="9"/>
      <c r="AA975" s="9"/>
      <c r="AB975" s="9"/>
      <c r="AC975" s="9"/>
      <c r="AD975" s="9"/>
      <c r="AE975" s="9"/>
      <c r="AF975" s="9"/>
      <c r="AG975" s="9"/>
    </row>
    <row r="976" spans="2:33">
      <c r="B976" s="9"/>
      <c r="C976" s="9"/>
      <c r="D976" s="9"/>
      <c r="E976" s="9"/>
      <c r="F976" s="9"/>
      <c r="G976" s="9"/>
      <c r="H976" s="9"/>
      <c r="I976" s="9"/>
      <c r="J976" s="9"/>
      <c r="K976" s="9"/>
      <c r="L976" s="9"/>
      <c r="M976" s="9"/>
      <c r="N976" s="9"/>
      <c r="O976" s="9"/>
      <c r="P976" s="9"/>
      <c r="Q976" s="9"/>
      <c r="R976" s="9"/>
      <c r="S976" s="9"/>
      <c r="T976" s="9"/>
      <c r="U976" s="9"/>
      <c r="V976" s="9"/>
      <c r="W976" s="9"/>
      <c r="X976" s="9"/>
      <c r="Y976" s="9"/>
      <c r="Z976" s="9"/>
      <c r="AA976" s="9"/>
      <c r="AB976" s="9"/>
      <c r="AC976" s="9"/>
      <c r="AD976" s="9"/>
      <c r="AE976" s="9"/>
      <c r="AF976" s="9"/>
      <c r="AG976" s="9"/>
    </row>
    <row r="1058" spans="2:33">
      <c r="B1058" s="9"/>
      <c r="C1058" s="9"/>
      <c r="D1058" s="9"/>
      <c r="E1058" s="9"/>
      <c r="F1058" s="9"/>
      <c r="G1058" s="9"/>
      <c r="H1058" s="9"/>
      <c r="I1058" s="9"/>
      <c r="J1058" s="9"/>
      <c r="K1058" s="9"/>
      <c r="L1058" s="9"/>
      <c r="M1058" s="9"/>
      <c r="N1058" s="9"/>
      <c r="O1058" s="9"/>
      <c r="P1058" s="9"/>
      <c r="Q1058" s="9"/>
      <c r="R1058" s="9"/>
      <c r="S1058" s="9"/>
      <c r="T1058" s="9"/>
      <c r="U1058" s="9"/>
      <c r="V1058" s="9"/>
      <c r="W1058" s="9"/>
      <c r="X1058" s="9"/>
      <c r="Y1058" s="9"/>
      <c r="Z1058" s="9"/>
      <c r="AA1058" s="9"/>
      <c r="AB1058" s="9"/>
      <c r="AC1058" s="9"/>
      <c r="AD1058" s="9"/>
      <c r="AE1058" s="9"/>
      <c r="AF1058" s="9"/>
      <c r="AG1058" s="9"/>
    </row>
    <row r="1070" spans="2:33">
      <c r="B1070" s="9"/>
      <c r="C1070" s="9"/>
      <c r="D1070" s="9"/>
      <c r="E1070" s="9"/>
      <c r="F1070" s="9"/>
      <c r="G1070" s="9"/>
      <c r="H1070" s="9"/>
      <c r="I1070" s="9"/>
      <c r="J1070" s="9"/>
      <c r="K1070" s="9"/>
      <c r="L1070" s="9"/>
      <c r="M1070" s="9"/>
      <c r="N1070" s="9"/>
      <c r="O1070" s="9"/>
      <c r="P1070" s="9"/>
      <c r="Q1070" s="9"/>
      <c r="R1070" s="9"/>
      <c r="S1070" s="9"/>
      <c r="T1070" s="9"/>
      <c r="U1070" s="9"/>
      <c r="V1070" s="9"/>
      <c r="W1070" s="9"/>
      <c r="X1070" s="9"/>
      <c r="Y1070" s="9"/>
      <c r="Z1070" s="9"/>
      <c r="AA1070" s="9"/>
      <c r="AB1070" s="9"/>
      <c r="AC1070" s="9"/>
      <c r="AD1070" s="9"/>
      <c r="AE1070" s="9"/>
      <c r="AF1070" s="9"/>
      <c r="AG1070" s="9"/>
    </row>
    <row r="1071" spans="2:33">
      <c r="B1071" s="113"/>
      <c r="C1071" s="113"/>
      <c r="D1071" s="113"/>
      <c r="E1071" s="113"/>
      <c r="F1071" s="113"/>
      <c r="G1071" s="113"/>
      <c r="H1071" s="113"/>
      <c r="I1071" s="113"/>
      <c r="J1071" s="113"/>
      <c r="K1071" s="113"/>
      <c r="L1071" s="113"/>
      <c r="M1071" s="113"/>
      <c r="N1071" s="113"/>
      <c r="O1071" s="113"/>
      <c r="P1071" s="113"/>
      <c r="Q1071" s="113"/>
      <c r="R1071" s="113"/>
      <c r="S1071" s="113"/>
      <c r="T1071" s="113"/>
      <c r="U1071" s="113"/>
      <c r="V1071" s="113"/>
      <c r="W1071" s="113"/>
      <c r="X1071" s="113"/>
      <c r="Y1071" s="113"/>
      <c r="Z1071" s="113"/>
      <c r="AA1071" s="113"/>
      <c r="AB1071" s="113"/>
      <c r="AC1071" s="113"/>
      <c r="AD1071" s="113"/>
      <c r="AE1071" s="113"/>
      <c r="AF1071" s="113"/>
      <c r="AG1071" s="113"/>
    </row>
    <row r="1169" spans="2:33">
      <c r="B1169" s="113"/>
      <c r="C1169" s="113"/>
      <c r="D1169" s="113"/>
      <c r="E1169" s="113"/>
      <c r="F1169" s="113"/>
      <c r="G1169" s="113"/>
      <c r="H1169" s="113"/>
      <c r="I1169" s="113"/>
      <c r="J1169" s="113"/>
      <c r="K1169" s="113"/>
      <c r="L1169" s="113"/>
      <c r="M1169" s="113"/>
      <c r="N1169" s="113"/>
      <c r="O1169" s="113"/>
      <c r="P1169" s="113"/>
      <c r="Q1169" s="113"/>
      <c r="R1169" s="113"/>
      <c r="S1169" s="113"/>
      <c r="T1169" s="113"/>
      <c r="U1169" s="113"/>
      <c r="V1169" s="113"/>
      <c r="W1169" s="113"/>
      <c r="X1169" s="113"/>
      <c r="Y1169" s="113"/>
      <c r="Z1169" s="113"/>
      <c r="AA1169" s="113"/>
      <c r="AB1169" s="113"/>
      <c r="AC1169" s="113"/>
      <c r="AD1169" s="113"/>
      <c r="AE1169" s="113"/>
      <c r="AF1169" s="113"/>
      <c r="AG1169" s="113"/>
    </row>
    <row r="1175" spans="2:33">
      <c r="B1175" s="9"/>
      <c r="C1175" s="9"/>
      <c r="D1175" s="9"/>
      <c r="E1175" s="9"/>
      <c r="F1175" s="9"/>
      <c r="G1175" s="9"/>
      <c r="H1175" s="9"/>
      <c r="I1175" s="9"/>
      <c r="J1175" s="9"/>
      <c r="K1175" s="9"/>
      <c r="L1175" s="9"/>
      <c r="M1175" s="9"/>
      <c r="N1175" s="9"/>
      <c r="O1175" s="9"/>
      <c r="P1175" s="9"/>
      <c r="Q1175" s="9"/>
      <c r="R1175" s="9"/>
      <c r="S1175" s="9"/>
      <c r="T1175" s="9"/>
      <c r="U1175" s="9"/>
      <c r="V1175" s="9"/>
      <c r="W1175" s="9"/>
      <c r="X1175" s="9"/>
      <c r="Y1175" s="9"/>
      <c r="Z1175" s="9"/>
      <c r="AA1175" s="9"/>
      <c r="AB1175" s="9"/>
      <c r="AC1175" s="9"/>
      <c r="AD1175" s="9"/>
      <c r="AE1175" s="9"/>
      <c r="AF1175" s="9"/>
      <c r="AG1175" s="9"/>
    </row>
    <row r="1176" spans="2:33">
      <c r="B1176" s="9"/>
      <c r="C1176" s="9"/>
      <c r="D1176" s="9"/>
      <c r="E1176" s="9"/>
      <c r="F1176" s="9"/>
      <c r="G1176" s="9"/>
      <c r="H1176" s="9"/>
      <c r="I1176" s="9"/>
      <c r="J1176" s="9"/>
      <c r="K1176" s="9"/>
      <c r="L1176" s="9"/>
      <c r="M1176" s="9"/>
      <c r="N1176" s="9"/>
      <c r="O1176" s="9"/>
      <c r="P1176" s="9"/>
      <c r="Q1176" s="9"/>
      <c r="R1176" s="9"/>
      <c r="S1176" s="9"/>
      <c r="T1176" s="9"/>
      <c r="U1176" s="9"/>
      <c r="V1176" s="9"/>
      <c r="W1176" s="9"/>
      <c r="X1176" s="9"/>
      <c r="Y1176" s="9"/>
      <c r="Z1176" s="9"/>
      <c r="AA1176" s="9"/>
      <c r="AB1176" s="9"/>
      <c r="AC1176" s="9"/>
      <c r="AD1176" s="9"/>
      <c r="AE1176" s="9"/>
      <c r="AF1176" s="9"/>
      <c r="AG1176" s="9"/>
    </row>
    <row r="1177" spans="2:33">
      <c r="B1177" s="9"/>
      <c r="C1177" s="9"/>
      <c r="D1177" s="9"/>
      <c r="E1177" s="9"/>
      <c r="F1177" s="9"/>
      <c r="G1177" s="9"/>
      <c r="H1177" s="9"/>
      <c r="I1177" s="9"/>
      <c r="J1177" s="9"/>
      <c r="K1177" s="9"/>
      <c r="L1177" s="9"/>
      <c r="M1177" s="9"/>
      <c r="N1177" s="9"/>
      <c r="O1177" s="9"/>
      <c r="P1177" s="9"/>
      <c r="Q1177" s="9"/>
      <c r="R1177" s="9"/>
      <c r="S1177" s="9"/>
      <c r="T1177" s="9"/>
      <c r="U1177" s="9"/>
      <c r="V1177" s="9"/>
      <c r="W1177" s="9"/>
      <c r="X1177" s="9"/>
      <c r="Y1177" s="9"/>
      <c r="Z1177" s="9"/>
      <c r="AA1177" s="9"/>
      <c r="AB1177" s="9"/>
      <c r="AC1177" s="9"/>
      <c r="AD1177" s="9"/>
      <c r="AE1177" s="9"/>
      <c r="AF1177" s="9"/>
      <c r="AG1177" s="9"/>
    </row>
    <row r="1178" spans="2:33">
      <c r="B1178" s="9"/>
      <c r="C1178" s="9"/>
      <c r="D1178" s="9"/>
      <c r="E1178" s="9"/>
      <c r="F1178" s="9"/>
      <c r="G1178" s="9"/>
      <c r="H1178" s="9"/>
      <c r="I1178" s="9"/>
      <c r="J1178" s="9"/>
      <c r="K1178" s="9"/>
      <c r="L1178" s="9"/>
      <c r="M1178" s="9"/>
      <c r="N1178" s="9"/>
      <c r="O1178" s="9"/>
      <c r="P1178" s="9"/>
      <c r="Q1178" s="9"/>
      <c r="R1178" s="9"/>
      <c r="S1178" s="9"/>
      <c r="T1178" s="9"/>
      <c r="U1178" s="9"/>
      <c r="V1178" s="9"/>
      <c r="W1178" s="9"/>
      <c r="X1178" s="9"/>
      <c r="Y1178" s="9"/>
      <c r="Z1178" s="9"/>
      <c r="AA1178" s="9"/>
      <c r="AB1178" s="9"/>
      <c r="AC1178" s="9"/>
      <c r="AD1178" s="9"/>
      <c r="AE1178" s="9"/>
      <c r="AF1178" s="9"/>
      <c r="AG1178" s="9"/>
    </row>
    <row r="1179" spans="2:33">
      <c r="B1179" s="9"/>
      <c r="C1179" s="9"/>
      <c r="D1179" s="9"/>
      <c r="E1179" s="9"/>
      <c r="F1179" s="9"/>
      <c r="G1179" s="9"/>
      <c r="H1179" s="9"/>
      <c r="I1179" s="9"/>
      <c r="J1179" s="9"/>
      <c r="K1179" s="9"/>
      <c r="L1179" s="9"/>
      <c r="M1179" s="9"/>
      <c r="N1179" s="9"/>
      <c r="O1179" s="9"/>
      <c r="P1179" s="9"/>
      <c r="Q1179" s="9"/>
      <c r="R1179" s="9"/>
      <c r="S1179" s="9"/>
      <c r="T1179" s="9"/>
      <c r="U1179" s="9"/>
      <c r="V1179" s="9"/>
      <c r="W1179" s="9"/>
      <c r="X1179" s="9"/>
      <c r="Y1179" s="9"/>
      <c r="Z1179" s="9"/>
      <c r="AA1179" s="9"/>
      <c r="AB1179" s="9"/>
      <c r="AC1179" s="9"/>
      <c r="AD1179" s="9"/>
      <c r="AE1179" s="9"/>
      <c r="AF1179" s="9"/>
      <c r="AG1179" s="9"/>
    </row>
    <row r="1180" spans="2:33">
      <c r="B1180" s="9"/>
      <c r="C1180" s="9"/>
      <c r="D1180" s="9"/>
      <c r="E1180" s="9"/>
      <c r="F1180" s="9"/>
      <c r="G1180" s="9"/>
      <c r="H1180" s="9"/>
      <c r="I1180" s="9"/>
      <c r="J1180" s="9"/>
      <c r="K1180" s="9"/>
      <c r="L1180" s="9"/>
      <c r="M1180" s="9"/>
      <c r="N1180" s="9"/>
      <c r="O1180" s="9"/>
      <c r="P1180" s="9"/>
      <c r="Q1180" s="9"/>
      <c r="R1180" s="9"/>
      <c r="S1180" s="9"/>
      <c r="T1180" s="9"/>
      <c r="U1180" s="9"/>
      <c r="V1180" s="9"/>
      <c r="W1180" s="9"/>
      <c r="X1180" s="9"/>
      <c r="Y1180" s="9"/>
      <c r="Z1180" s="9"/>
      <c r="AA1180" s="9"/>
      <c r="AB1180" s="9"/>
      <c r="AC1180" s="9"/>
      <c r="AD1180" s="9"/>
      <c r="AE1180" s="9"/>
      <c r="AF1180" s="9"/>
      <c r="AG1180" s="9"/>
    </row>
    <row r="1181" spans="2:33">
      <c r="B1181" s="9"/>
      <c r="C1181" s="9"/>
      <c r="D1181" s="9"/>
      <c r="E1181" s="9"/>
      <c r="F1181" s="9"/>
      <c r="G1181" s="9"/>
      <c r="H1181" s="9"/>
      <c r="I1181" s="9"/>
      <c r="J1181" s="9"/>
      <c r="K1181" s="9"/>
      <c r="L1181" s="9"/>
      <c r="M1181" s="9"/>
      <c r="N1181" s="9"/>
      <c r="O1181" s="9"/>
      <c r="P1181" s="9"/>
      <c r="Q1181" s="9"/>
      <c r="R1181" s="9"/>
      <c r="S1181" s="9"/>
      <c r="T1181" s="9"/>
      <c r="U1181" s="9"/>
      <c r="V1181" s="9"/>
      <c r="W1181" s="9"/>
      <c r="X1181" s="9"/>
      <c r="Y1181" s="9"/>
      <c r="Z1181" s="9"/>
      <c r="AA1181" s="9"/>
      <c r="AB1181" s="9"/>
      <c r="AC1181" s="9"/>
      <c r="AD1181" s="9"/>
      <c r="AE1181" s="9"/>
      <c r="AF1181" s="9"/>
      <c r="AG1181" s="9"/>
    </row>
    <row r="1182" spans="2:33">
      <c r="B1182" s="9"/>
      <c r="C1182" s="9"/>
      <c r="D1182" s="9"/>
      <c r="E1182" s="9"/>
      <c r="F1182" s="9"/>
      <c r="G1182" s="9"/>
      <c r="H1182" s="9"/>
      <c r="I1182" s="9"/>
      <c r="J1182" s="9"/>
      <c r="K1182" s="9"/>
      <c r="L1182" s="9"/>
      <c r="M1182" s="9"/>
      <c r="N1182" s="9"/>
      <c r="O1182" s="9"/>
      <c r="P1182" s="9"/>
      <c r="Q1182" s="9"/>
      <c r="R1182" s="9"/>
      <c r="S1182" s="9"/>
      <c r="T1182" s="9"/>
      <c r="U1182" s="9"/>
      <c r="V1182" s="9"/>
      <c r="W1182" s="9"/>
      <c r="X1182" s="9"/>
      <c r="Y1182" s="9"/>
      <c r="Z1182" s="9"/>
      <c r="AA1182" s="9"/>
      <c r="AB1182" s="9"/>
      <c r="AC1182" s="9"/>
      <c r="AD1182" s="9"/>
      <c r="AE1182" s="9"/>
      <c r="AF1182" s="9"/>
      <c r="AG1182" s="9"/>
    </row>
    <row r="1183" spans="2:33">
      <c r="B1183" s="9"/>
      <c r="C1183" s="9"/>
      <c r="D1183" s="9"/>
      <c r="E1183" s="9"/>
      <c r="F1183" s="9"/>
      <c r="G1183" s="9"/>
      <c r="H1183" s="9"/>
      <c r="I1183" s="9"/>
      <c r="J1183" s="9"/>
      <c r="K1183" s="9"/>
      <c r="L1183" s="9"/>
      <c r="M1183" s="9"/>
      <c r="N1183" s="9"/>
      <c r="O1183" s="9"/>
      <c r="P1183" s="9"/>
      <c r="Q1183" s="9"/>
      <c r="R1183" s="9"/>
      <c r="S1183" s="9"/>
      <c r="T1183" s="9"/>
      <c r="U1183" s="9"/>
      <c r="V1183" s="9"/>
      <c r="W1183" s="9"/>
      <c r="X1183" s="9"/>
      <c r="Y1183" s="9"/>
      <c r="Z1183" s="9"/>
      <c r="AA1183" s="9"/>
      <c r="AB1183" s="9"/>
      <c r="AC1183" s="9"/>
      <c r="AD1183" s="9"/>
      <c r="AE1183" s="9"/>
      <c r="AF1183" s="9"/>
      <c r="AG1183" s="9"/>
    </row>
    <row r="1184" spans="2:33">
      <c r="B1184" s="9"/>
      <c r="C1184" s="9"/>
      <c r="D1184" s="9"/>
      <c r="E1184" s="9"/>
      <c r="F1184" s="9"/>
      <c r="G1184" s="9"/>
      <c r="H1184" s="9"/>
      <c r="I1184" s="9"/>
      <c r="J1184" s="9"/>
      <c r="K1184" s="9"/>
      <c r="L1184" s="9"/>
      <c r="M1184" s="9"/>
      <c r="N1184" s="9"/>
      <c r="O1184" s="9"/>
      <c r="P1184" s="9"/>
      <c r="Q1184" s="9"/>
      <c r="R1184" s="9"/>
      <c r="S1184" s="9"/>
      <c r="T1184" s="9"/>
      <c r="U1184" s="9"/>
      <c r="V1184" s="9"/>
      <c r="W1184" s="9"/>
      <c r="X1184" s="9"/>
      <c r="Y1184" s="9"/>
      <c r="Z1184" s="9"/>
      <c r="AA1184" s="9"/>
      <c r="AB1184" s="9"/>
      <c r="AC1184" s="9"/>
      <c r="AD1184" s="9"/>
      <c r="AE1184" s="9"/>
      <c r="AF1184" s="9"/>
      <c r="AG1184" s="9"/>
    </row>
    <row r="1268" spans="2:33">
      <c r="B1268" s="9"/>
      <c r="C1268" s="9"/>
      <c r="D1268" s="9"/>
      <c r="E1268" s="9"/>
      <c r="F1268" s="9"/>
      <c r="G1268" s="9"/>
      <c r="H1268" s="9"/>
      <c r="I1268" s="9"/>
      <c r="J1268" s="9"/>
      <c r="K1268" s="9"/>
      <c r="L1268" s="9"/>
      <c r="M1268" s="9"/>
      <c r="N1268" s="9"/>
      <c r="O1268" s="9"/>
      <c r="P1268" s="9"/>
      <c r="Q1268" s="9"/>
      <c r="R1268" s="9"/>
      <c r="S1268" s="9"/>
      <c r="T1268" s="9"/>
      <c r="U1268" s="9"/>
      <c r="V1268" s="9"/>
      <c r="W1268" s="9"/>
      <c r="X1268" s="9"/>
      <c r="Y1268" s="9"/>
      <c r="Z1268" s="9"/>
      <c r="AA1268" s="9"/>
      <c r="AB1268" s="9"/>
      <c r="AC1268" s="9"/>
      <c r="AD1268" s="9"/>
      <c r="AE1268" s="9"/>
      <c r="AF1268" s="9"/>
      <c r="AG1268" s="9"/>
    </row>
    <row r="1269" spans="2:33">
      <c r="B1269" s="113"/>
      <c r="C1269" s="113"/>
      <c r="D1269" s="113"/>
      <c r="E1269" s="113"/>
      <c r="F1269" s="113"/>
      <c r="G1269" s="113"/>
      <c r="H1269" s="113"/>
      <c r="I1269" s="113"/>
      <c r="J1269" s="113"/>
      <c r="K1269" s="113"/>
      <c r="L1269" s="113"/>
      <c r="M1269" s="113"/>
      <c r="N1269" s="113"/>
      <c r="O1269" s="113"/>
      <c r="P1269" s="113"/>
      <c r="Q1269" s="113"/>
      <c r="R1269" s="113"/>
      <c r="S1269" s="113"/>
      <c r="T1269" s="113"/>
      <c r="U1269" s="113"/>
      <c r="V1269" s="113"/>
      <c r="W1269" s="113"/>
      <c r="X1269" s="113"/>
      <c r="Y1269" s="113"/>
      <c r="Z1269" s="113"/>
      <c r="AA1269" s="113"/>
      <c r="AB1269" s="113"/>
      <c r="AC1269" s="113"/>
      <c r="AD1269" s="113"/>
      <c r="AE1269" s="113"/>
      <c r="AF1269" s="113"/>
      <c r="AG1269" s="113"/>
    </row>
    <row r="1275" spans="2:33">
      <c r="B1275" s="9"/>
      <c r="C1275" s="9"/>
      <c r="D1275" s="9"/>
      <c r="E1275" s="9"/>
      <c r="F1275" s="9"/>
      <c r="G1275" s="9"/>
      <c r="H1275" s="9"/>
      <c r="I1275" s="9"/>
      <c r="J1275" s="9"/>
      <c r="K1275" s="9"/>
      <c r="L1275" s="9"/>
      <c r="M1275" s="9"/>
      <c r="N1275" s="9"/>
      <c r="O1275" s="9"/>
      <c r="P1275" s="9"/>
      <c r="Q1275" s="9"/>
      <c r="R1275" s="9"/>
      <c r="S1275" s="9"/>
      <c r="T1275" s="9"/>
      <c r="U1275" s="9"/>
      <c r="V1275" s="9"/>
      <c r="W1275" s="9"/>
      <c r="X1275" s="9"/>
      <c r="Y1275" s="9"/>
      <c r="Z1275" s="9"/>
      <c r="AA1275" s="9"/>
      <c r="AB1275" s="9"/>
      <c r="AC1275" s="9"/>
      <c r="AD1275" s="9"/>
      <c r="AE1275" s="9"/>
      <c r="AF1275" s="9"/>
      <c r="AG1275" s="9"/>
    </row>
    <row r="1276" spans="2:33">
      <c r="B1276" s="9"/>
      <c r="C1276" s="9"/>
      <c r="D1276" s="9"/>
      <c r="E1276" s="9"/>
      <c r="F1276" s="9"/>
      <c r="G1276" s="9"/>
      <c r="H1276" s="9"/>
      <c r="I1276" s="9"/>
      <c r="J1276" s="9"/>
      <c r="K1276" s="9"/>
      <c r="L1276" s="9"/>
      <c r="M1276" s="9"/>
      <c r="N1276" s="9"/>
      <c r="O1276" s="9"/>
      <c r="P1276" s="9"/>
      <c r="Q1276" s="9"/>
      <c r="R1276" s="9"/>
      <c r="S1276" s="9"/>
      <c r="T1276" s="9"/>
      <c r="U1276" s="9"/>
      <c r="V1276" s="9"/>
      <c r="W1276" s="9"/>
      <c r="X1276" s="9"/>
      <c r="Y1276" s="9"/>
      <c r="Z1276" s="9"/>
      <c r="AA1276" s="9"/>
      <c r="AB1276" s="9"/>
      <c r="AC1276" s="9"/>
      <c r="AD1276" s="9"/>
      <c r="AE1276" s="9"/>
      <c r="AF1276" s="9"/>
      <c r="AG1276" s="9"/>
    </row>
    <row r="1277" spans="2:33">
      <c r="B1277" s="9"/>
      <c r="C1277" s="9"/>
      <c r="D1277" s="9"/>
      <c r="E1277" s="9"/>
      <c r="F1277" s="9"/>
      <c r="G1277" s="9"/>
      <c r="H1277" s="9"/>
      <c r="I1277" s="9"/>
      <c r="J1277" s="9"/>
      <c r="K1277" s="9"/>
      <c r="L1277" s="9"/>
      <c r="M1277" s="9"/>
      <c r="N1277" s="9"/>
      <c r="O1277" s="9"/>
      <c r="P1277" s="9"/>
      <c r="Q1277" s="9"/>
      <c r="R1277" s="9"/>
      <c r="S1277" s="9"/>
      <c r="T1277" s="9"/>
      <c r="U1277" s="9"/>
      <c r="V1277" s="9"/>
      <c r="W1277" s="9"/>
      <c r="X1277" s="9"/>
      <c r="Y1277" s="9"/>
      <c r="Z1277" s="9"/>
      <c r="AA1277" s="9"/>
      <c r="AB1277" s="9"/>
      <c r="AC1277" s="9"/>
      <c r="AD1277" s="9"/>
      <c r="AE1277" s="9"/>
      <c r="AF1277" s="9"/>
      <c r="AG1277" s="9"/>
    </row>
    <row r="1278" spans="2:33">
      <c r="B1278" s="9"/>
      <c r="C1278" s="9"/>
      <c r="D1278" s="9"/>
      <c r="E1278" s="9"/>
      <c r="F1278" s="9"/>
      <c r="G1278" s="9"/>
      <c r="H1278" s="9"/>
      <c r="I1278" s="9"/>
      <c r="J1278" s="9"/>
      <c r="K1278" s="9"/>
      <c r="L1278" s="9"/>
      <c r="M1278" s="9"/>
      <c r="N1278" s="9"/>
      <c r="O1278" s="9"/>
      <c r="P1278" s="9"/>
      <c r="Q1278" s="9"/>
      <c r="R1278" s="9"/>
      <c r="S1278" s="9"/>
      <c r="T1278" s="9"/>
      <c r="U1278" s="9"/>
      <c r="V1278" s="9"/>
      <c r="W1278" s="9"/>
      <c r="X1278" s="9"/>
      <c r="Y1278" s="9"/>
      <c r="Z1278" s="9"/>
      <c r="AA1278" s="9"/>
      <c r="AB1278" s="9"/>
      <c r="AC1278" s="9"/>
      <c r="AD1278" s="9"/>
      <c r="AE1278" s="9"/>
      <c r="AF1278" s="9"/>
      <c r="AG1278" s="9"/>
    </row>
    <row r="1279" spans="2:33">
      <c r="B1279" s="9"/>
      <c r="C1279" s="9"/>
      <c r="D1279" s="9"/>
      <c r="E1279" s="9"/>
      <c r="F1279" s="9"/>
      <c r="G1279" s="9"/>
      <c r="H1279" s="9"/>
      <c r="I1279" s="9"/>
      <c r="J1279" s="9"/>
      <c r="K1279" s="9"/>
      <c r="L1279" s="9"/>
      <c r="M1279" s="9"/>
      <c r="N1279" s="9"/>
      <c r="O1279" s="9"/>
      <c r="P1279" s="9"/>
      <c r="Q1279" s="9"/>
      <c r="R1279" s="9"/>
      <c r="S1279" s="9"/>
      <c r="T1279" s="9"/>
      <c r="U1279" s="9"/>
      <c r="V1279" s="9"/>
      <c r="W1279" s="9"/>
      <c r="X1279" s="9"/>
      <c r="Y1279" s="9"/>
      <c r="Z1279" s="9"/>
      <c r="AA1279" s="9"/>
      <c r="AB1279" s="9"/>
      <c r="AC1279" s="9"/>
      <c r="AD1279" s="9"/>
      <c r="AE1279" s="9"/>
      <c r="AF1279" s="9"/>
      <c r="AG1279" s="9"/>
    </row>
    <row r="1280" spans="2:33">
      <c r="B1280" s="9"/>
      <c r="C1280" s="9"/>
      <c r="D1280" s="9"/>
      <c r="E1280" s="9"/>
      <c r="F1280" s="9"/>
      <c r="G1280" s="9"/>
      <c r="H1280" s="9"/>
      <c r="I1280" s="9"/>
      <c r="J1280" s="9"/>
      <c r="K1280" s="9"/>
      <c r="L1280" s="9"/>
      <c r="M1280" s="9"/>
      <c r="N1280" s="9"/>
      <c r="O1280" s="9"/>
      <c r="P1280" s="9"/>
      <c r="Q1280" s="9"/>
      <c r="R1280" s="9"/>
      <c r="S1280" s="9"/>
      <c r="T1280" s="9"/>
      <c r="U1280" s="9"/>
      <c r="V1280" s="9"/>
      <c r="W1280" s="9"/>
      <c r="X1280" s="9"/>
      <c r="Y1280" s="9"/>
      <c r="Z1280" s="9"/>
      <c r="AA1280" s="9"/>
      <c r="AB1280" s="9"/>
      <c r="AC1280" s="9"/>
      <c r="AD1280" s="9"/>
      <c r="AE1280" s="9"/>
      <c r="AF1280" s="9"/>
      <c r="AG1280" s="9"/>
    </row>
    <row r="1483" spans="2:33">
      <c r="B1483" s="9"/>
      <c r="C1483" s="9"/>
      <c r="D1483" s="9"/>
      <c r="E1483" s="9"/>
      <c r="F1483" s="9"/>
      <c r="G1483" s="9"/>
      <c r="H1483" s="9"/>
      <c r="I1483" s="9"/>
      <c r="J1483" s="9"/>
      <c r="K1483" s="9"/>
      <c r="L1483" s="9"/>
      <c r="M1483" s="9"/>
      <c r="N1483" s="9"/>
      <c r="O1483" s="9"/>
      <c r="P1483" s="9"/>
      <c r="Q1483" s="9"/>
      <c r="R1483" s="9"/>
      <c r="S1483" s="9"/>
      <c r="T1483" s="9"/>
      <c r="U1483" s="9"/>
      <c r="V1483" s="9"/>
      <c r="W1483" s="9"/>
      <c r="X1483" s="9"/>
      <c r="Y1483" s="9"/>
      <c r="Z1483" s="9"/>
      <c r="AA1483" s="9"/>
      <c r="AB1483" s="9"/>
      <c r="AC1483" s="9"/>
      <c r="AD1483" s="9"/>
      <c r="AE1483" s="9"/>
      <c r="AF1483" s="9"/>
      <c r="AG1483" s="9"/>
    </row>
    <row r="1484" spans="2:33">
      <c r="B1484" s="113"/>
      <c r="C1484" s="113"/>
      <c r="D1484" s="113"/>
      <c r="E1484" s="113"/>
      <c r="F1484" s="113"/>
      <c r="G1484" s="113"/>
      <c r="H1484" s="113"/>
      <c r="I1484" s="113"/>
      <c r="J1484" s="113"/>
      <c r="K1484" s="113"/>
      <c r="L1484" s="113"/>
      <c r="M1484" s="113"/>
      <c r="N1484" s="113"/>
      <c r="O1484" s="113"/>
      <c r="P1484" s="113"/>
      <c r="Q1484" s="113"/>
      <c r="R1484" s="113"/>
      <c r="S1484" s="113"/>
      <c r="T1484" s="113"/>
      <c r="U1484" s="113"/>
      <c r="V1484" s="113"/>
      <c r="W1484" s="113"/>
      <c r="X1484" s="113"/>
      <c r="Y1484" s="113"/>
      <c r="Z1484" s="113"/>
      <c r="AA1484" s="113"/>
      <c r="AB1484" s="113"/>
      <c r="AC1484" s="113"/>
      <c r="AD1484" s="113"/>
      <c r="AE1484" s="113"/>
      <c r="AF1484" s="113"/>
      <c r="AG1484" s="113"/>
    </row>
    <row r="1713" spans="2:33">
      <c r="B1713" s="113"/>
      <c r="C1713" s="113"/>
      <c r="D1713" s="113"/>
      <c r="E1713" s="113"/>
      <c r="F1713" s="113"/>
      <c r="G1713" s="113"/>
      <c r="H1713" s="113"/>
      <c r="I1713" s="113"/>
      <c r="J1713" s="113"/>
      <c r="K1713" s="113"/>
      <c r="L1713" s="113"/>
      <c r="M1713" s="113"/>
      <c r="N1713" s="113"/>
      <c r="O1713" s="113"/>
      <c r="P1713" s="113"/>
      <c r="Q1713" s="113"/>
      <c r="R1713" s="113"/>
      <c r="S1713" s="113"/>
      <c r="T1713" s="113"/>
      <c r="U1713" s="113"/>
      <c r="V1713" s="113"/>
      <c r="W1713" s="113"/>
      <c r="X1713" s="113"/>
      <c r="Y1713" s="113"/>
      <c r="Z1713" s="113"/>
      <c r="AA1713" s="113"/>
      <c r="AB1713" s="113"/>
      <c r="AC1713" s="113"/>
      <c r="AD1713" s="113"/>
      <c r="AE1713" s="113"/>
      <c r="AF1713" s="113"/>
      <c r="AG1713" s="113"/>
    </row>
    <row r="1714" spans="2:33">
      <c r="B1714" s="9"/>
      <c r="C1714" s="9"/>
      <c r="D1714" s="9"/>
      <c r="E1714" s="9"/>
      <c r="F1714" s="9"/>
      <c r="G1714" s="9"/>
      <c r="H1714" s="9"/>
      <c r="I1714" s="9"/>
      <c r="J1714" s="9"/>
      <c r="K1714" s="9"/>
      <c r="L1714" s="9"/>
      <c r="M1714" s="9"/>
      <c r="N1714" s="9"/>
      <c r="O1714" s="9"/>
      <c r="P1714" s="9"/>
      <c r="Q1714" s="9"/>
      <c r="R1714" s="9"/>
      <c r="S1714" s="9"/>
      <c r="T1714" s="9"/>
      <c r="U1714" s="9"/>
      <c r="V1714" s="9"/>
      <c r="W1714" s="9"/>
      <c r="X1714" s="9"/>
      <c r="Y1714" s="9"/>
      <c r="Z1714" s="9"/>
      <c r="AA1714" s="9"/>
      <c r="AB1714" s="9"/>
      <c r="AC1714" s="9"/>
      <c r="AD1714" s="9"/>
      <c r="AE1714" s="9"/>
      <c r="AF1714" s="9"/>
      <c r="AG1714" s="9"/>
    </row>
    <row r="1715" spans="2:33">
      <c r="B1715" s="9"/>
      <c r="C1715" s="9"/>
      <c r="D1715" s="9"/>
      <c r="E1715" s="9"/>
      <c r="F1715" s="9"/>
      <c r="G1715" s="9"/>
      <c r="H1715" s="9"/>
      <c r="I1715" s="9"/>
      <c r="J1715" s="9"/>
      <c r="K1715" s="9"/>
      <c r="L1715" s="9"/>
      <c r="M1715" s="9"/>
      <c r="N1715" s="9"/>
      <c r="O1715" s="9"/>
      <c r="P1715" s="9"/>
      <c r="Q1715" s="9"/>
      <c r="R1715" s="9"/>
      <c r="S1715" s="9"/>
      <c r="T1715" s="9"/>
      <c r="U1715" s="9"/>
      <c r="V1715" s="9"/>
      <c r="W1715" s="9"/>
      <c r="X1715" s="9"/>
      <c r="Y1715" s="9"/>
      <c r="Z1715" s="9"/>
      <c r="AA1715" s="9"/>
      <c r="AB1715" s="9"/>
      <c r="AC1715" s="9"/>
      <c r="AD1715" s="9"/>
      <c r="AE1715" s="9"/>
      <c r="AF1715" s="9"/>
      <c r="AG1715" s="9"/>
    </row>
    <row r="1716" spans="2:33">
      <c r="B1716" s="9"/>
      <c r="C1716" s="9"/>
      <c r="D1716" s="9"/>
      <c r="E1716" s="9"/>
      <c r="F1716" s="9"/>
      <c r="G1716" s="9"/>
      <c r="H1716" s="9"/>
      <c r="I1716" s="9"/>
      <c r="J1716" s="9"/>
      <c r="K1716" s="9"/>
      <c r="L1716" s="9"/>
      <c r="M1716" s="9"/>
      <c r="N1716" s="9"/>
      <c r="O1716" s="9"/>
      <c r="P1716" s="9"/>
      <c r="Q1716" s="9"/>
      <c r="R1716" s="9"/>
      <c r="S1716" s="9"/>
      <c r="T1716" s="9"/>
      <c r="U1716" s="9"/>
      <c r="V1716" s="9"/>
      <c r="W1716" s="9"/>
      <c r="X1716" s="9"/>
      <c r="Y1716" s="9"/>
      <c r="Z1716" s="9"/>
      <c r="AA1716" s="9"/>
      <c r="AB1716" s="9"/>
      <c r="AC1716" s="9"/>
      <c r="AD1716" s="9"/>
      <c r="AE1716" s="9"/>
      <c r="AF1716" s="9"/>
      <c r="AG1716" s="9"/>
    </row>
    <row r="1717" spans="2:33">
      <c r="B1717" s="9"/>
      <c r="C1717" s="9"/>
      <c r="D1717" s="9"/>
      <c r="E1717" s="9"/>
      <c r="F1717" s="9"/>
      <c r="G1717" s="9"/>
      <c r="H1717" s="9"/>
      <c r="I1717" s="9"/>
      <c r="J1717" s="9"/>
      <c r="K1717" s="9"/>
      <c r="L1717" s="9"/>
      <c r="M1717" s="9"/>
      <c r="N1717" s="9"/>
      <c r="O1717" s="9"/>
      <c r="P1717" s="9"/>
      <c r="Q1717" s="9"/>
      <c r="R1717" s="9"/>
      <c r="S1717" s="9"/>
      <c r="T1717" s="9"/>
      <c r="U1717" s="9"/>
      <c r="V1717" s="9"/>
      <c r="W1717" s="9"/>
      <c r="X1717" s="9"/>
      <c r="Y1717" s="9"/>
      <c r="Z1717" s="9"/>
      <c r="AA1717" s="9"/>
      <c r="AB1717" s="9"/>
      <c r="AC1717" s="9"/>
      <c r="AD1717" s="9"/>
      <c r="AE1717" s="9"/>
      <c r="AF1717" s="9"/>
      <c r="AG1717" s="9"/>
    </row>
    <row r="1718" spans="2:33">
      <c r="B1718" s="9"/>
      <c r="C1718" s="9"/>
      <c r="D1718" s="9"/>
      <c r="E1718" s="9"/>
      <c r="F1718" s="9"/>
      <c r="G1718" s="9"/>
      <c r="H1718" s="9"/>
      <c r="I1718" s="9"/>
      <c r="J1718" s="9"/>
      <c r="K1718" s="9"/>
      <c r="L1718" s="9"/>
      <c r="M1718" s="9"/>
      <c r="N1718" s="9"/>
      <c r="O1718" s="9"/>
      <c r="P1718" s="9"/>
      <c r="Q1718" s="9"/>
      <c r="R1718" s="9"/>
      <c r="S1718" s="9"/>
      <c r="T1718" s="9"/>
      <c r="U1718" s="9"/>
      <c r="V1718" s="9"/>
      <c r="W1718" s="9"/>
      <c r="X1718" s="9"/>
      <c r="Y1718" s="9"/>
      <c r="Z1718" s="9"/>
      <c r="AA1718" s="9"/>
      <c r="AB1718" s="9"/>
      <c r="AC1718" s="9"/>
      <c r="AD1718" s="9"/>
      <c r="AE1718" s="9"/>
      <c r="AF1718" s="9"/>
      <c r="AG1718" s="9"/>
    </row>
    <row r="1719" spans="2:33">
      <c r="B1719" s="9"/>
      <c r="C1719" s="9"/>
      <c r="D1719" s="9"/>
      <c r="E1719" s="9"/>
      <c r="F1719" s="9"/>
      <c r="G1719" s="9"/>
      <c r="H1719" s="9"/>
      <c r="I1719" s="9"/>
      <c r="J1719" s="9"/>
      <c r="K1719" s="9"/>
      <c r="L1719" s="9"/>
      <c r="M1719" s="9"/>
      <c r="N1719" s="9"/>
      <c r="O1719" s="9"/>
      <c r="P1719" s="9"/>
      <c r="Q1719" s="9"/>
      <c r="R1719" s="9"/>
      <c r="S1719" s="9"/>
      <c r="T1719" s="9"/>
      <c r="U1719" s="9"/>
      <c r="V1719" s="9"/>
      <c r="W1719" s="9"/>
      <c r="X1719" s="9"/>
      <c r="Y1719" s="9"/>
      <c r="Z1719" s="9"/>
      <c r="AA1719" s="9"/>
      <c r="AB1719" s="9"/>
      <c r="AC1719" s="9"/>
      <c r="AD1719" s="9"/>
      <c r="AE1719" s="9"/>
      <c r="AF1719" s="9"/>
      <c r="AG1719" s="9"/>
    </row>
    <row r="1720" spans="2:33">
      <c r="B1720" s="9"/>
      <c r="C1720" s="9"/>
      <c r="D1720" s="9"/>
      <c r="E1720" s="9"/>
      <c r="F1720" s="9"/>
      <c r="G1720" s="9"/>
      <c r="H1720" s="9"/>
      <c r="I1720" s="9"/>
      <c r="J1720" s="9"/>
      <c r="K1720" s="9"/>
      <c r="L1720" s="9"/>
      <c r="M1720" s="9"/>
      <c r="N1720" s="9"/>
      <c r="O1720" s="9"/>
      <c r="P1720" s="9"/>
      <c r="Q1720" s="9"/>
      <c r="R1720" s="9"/>
      <c r="S1720" s="9"/>
      <c r="T1720" s="9"/>
      <c r="U1720" s="9"/>
      <c r="V1720" s="9"/>
      <c r="W1720" s="9"/>
      <c r="X1720" s="9"/>
      <c r="Y1720" s="9"/>
      <c r="Z1720" s="9"/>
      <c r="AA1720" s="9"/>
      <c r="AB1720" s="9"/>
      <c r="AC1720" s="9"/>
      <c r="AD1720" s="9"/>
      <c r="AE1720" s="9"/>
      <c r="AF1720" s="9"/>
      <c r="AG1720" s="9"/>
    </row>
    <row r="1721" spans="2:33">
      <c r="B1721" s="9"/>
      <c r="C1721" s="9"/>
      <c r="D1721" s="9"/>
      <c r="E1721" s="9"/>
      <c r="F1721" s="9"/>
      <c r="G1721" s="9"/>
      <c r="H1721" s="9"/>
      <c r="I1721" s="9"/>
      <c r="J1721" s="9"/>
      <c r="K1721" s="9"/>
      <c r="L1721" s="9"/>
      <c r="M1721" s="9"/>
      <c r="N1721" s="9"/>
      <c r="O1721" s="9"/>
      <c r="P1721" s="9"/>
      <c r="Q1721" s="9"/>
      <c r="R1721" s="9"/>
      <c r="S1721" s="9"/>
      <c r="T1721" s="9"/>
      <c r="U1721" s="9"/>
      <c r="V1721" s="9"/>
      <c r="W1721" s="9"/>
      <c r="X1721" s="9"/>
      <c r="Y1721" s="9"/>
      <c r="Z1721" s="9"/>
      <c r="AA1721" s="9"/>
      <c r="AB1721" s="9"/>
      <c r="AC1721" s="9"/>
      <c r="AD1721" s="9"/>
      <c r="AE1721" s="9"/>
      <c r="AF1721" s="9"/>
      <c r="AG1721" s="9"/>
    </row>
    <row r="1722" spans="2:33">
      <c r="B1722" s="9"/>
      <c r="C1722" s="9"/>
      <c r="D1722" s="9"/>
      <c r="E1722" s="9"/>
      <c r="F1722" s="9"/>
      <c r="G1722" s="9"/>
      <c r="H1722" s="9"/>
      <c r="I1722" s="9"/>
      <c r="J1722" s="9"/>
      <c r="K1722" s="9"/>
      <c r="L1722" s="9"/>
      <c r="M1722" s="9"/>
      <c r="N1722" s="9"/>
      <c r="O1722" s="9"/>
      <c r="P1722" s="9"/>
      <c r="Q1722" s="9"/>
      <c r="R1722" s="9"/>
      <c r="S1722" s="9"/>
      <c r="T1722" s="9"/>
      <c r="U1722" s="9"/>
      <c r="V1722" s="9"/>
      <c r="W1722" s="9"/>
      <c r="X1722" s="9"/>
      <c r="Y1722" s="9"/>
      <c r="Z1722" s="9"/>
      <c r="AA1722" s="9"/>
      <c r="AB1722" s="9"/>
      <c r="AC1722" s="9"/>
      <c r="AD1722" s="9"/>
      <c r="AE1722" s="9"/>
      <c r="AF1722" s="9"/>
      <c r="AG1722" s="9"/>
    </row>
    <row r="1723" spans="2:33">
      <c r="B1723" s="9"/>
      <c r="C1723" s="9"/>
      <c r="D1723" s="9"/>
      <c r="E1723" s="9"/>
      <c r="F1723" s="9"/>
      <c r="G1723" s="9"/>
      <c r="H1723" s="9"/>
      <c r="I1723" s="9"/>
      <c r="J1723" s="9"/>
      <c r="K1723" s="9"/>
      <c r="L1723" s="9"/>
      <c r="M1723" s="9"/>
      <c r="N1723" s="9"/>
      <c r="O1723" s="9"/>
      <c r="P1723" s="9"/>
      <c r="Q1723" s="9"/>
      <c r="R1723" s="9"/>
      <c r="S1723" s="9"/>
      <c r="T1723" s="9"/>
      <c r="U1723" s="9"/>
      <c r="V1723" s="9"/>
      <c r="W1723" s="9"/>
      <c r="X1723" s="9"/>
      <c r="Y1723" s="9"/>
      <c r="Z1723" s="9"/>
      <c r="AA1723" s="9"/>
      <c r="AB1723" s="9"/>
      <c r="AC1723" s="9"/>
      <c r="AD1723" s="9"/>
      <c r="AE1723" s="9"/>
      <c r="AF1723" s="9"/>
      <c r="AG1723" s="9"/>
    </row>
    <row r="1724" spans="2:33">
      <c r="B1724" s="9"/>
      <c r="C1724" s="9"/>
      <c r="D1724" s="9"/>
      <c r="E1724" s="9"/>
      <c r="F1724" s="9"/>
      <c r="G1724" s="9"/>
      <c r="H1724" s="9"/>
      <c r="I1724" s="9"/>
      <c r="J1724" s="9"/>
      <c r="K1724" s="9"/>
      <c r="L1724" s="9"/>
      <c r="M1724" s="9"/>
      <c r="N1724" s="9"/>
      <c r="O1724" s="9"/>
      <c r="P1724" s="9"/>
      <c r="Q1724" s="9"/>
      <c r="R1724" s="9"/>
      <c r="S1724" s="9"/>
      <c r="T1724" s="9"/>
      <c r="U1724" s="9"/>
      <c r="V1724" s="9"/>
      <c r="W1724" s="9"/>
      <c r="X1724" s="9"/>
      <c r="Y1724" s="9"/>
      <c r="Z1724" s="9"/>
      <c r="AA1724" s="9"/>
      <c r="AB1724" s="9"/>
      <c r="AC1724" s="9"/>
      <c r="AD1724" s="9"/>
      <c r="AE1724" s="9"/>
      <c r="AF1724" s="9"/>
      <c r="AG1724" s="9"/>
    </row>
    <row r="1728" spans="2:33">
      <c r="B1728" s="9"/>
      <c r="C1728" s="9"/>
      <c r="D1728" s="9"/>
      <c r="E1728" s="9"/>
      <c r="F1728" s="9"/>
      <c r="G1728" s="9"/>
      <c r="H1728" s="9"/>
      <c r="I1728" s="9"/>
      <c r="J1728" s="9"/>
      <c r="K1728" s="9"/>
      <c r="L1728" s="9"/>
      <c r="M1728" s="9"/>
      <c r="N1728" s="9"/>
      <c r="O1728" s="9"/>
      <c r="P1728" s="9"/>
      <c r="Q1728" s="9"/>
      <c r="R1728" s="9"/>
      <c r="S1728" s="9"/>
      <c r="T1728" s="9"/>
      <c r="U1728" s="9"/>
      <c r="V1728" s="9"/>
      <c r="W1728" s="9"/>
      <c r="X1728" s="9"/>
      <c r="Y1728" s="9"/>
      <c r="Z1728" s="9"/>
      <c r="AA1728" s="9"/>
      <c r="AB1728" s="9"/>
      <c r="AC1728" s="9"/>
      <c r="AD1728" s="9"/>
      <c r="AE1728" s="9"/>
      <c r="AF1728" s="9"/>
      <c r="AG1728" s="9"/>
    </row>
    <row r="1989" spans="2:33">
      <c r="B1989" s="9"/>
      <c r="C1989" s="9"/>
      <c r="D1989" s="9"/>
      <c r="E1989" s="9"/>
      <c r="F1989" s="9"/>
      <c r="G1989" s="9"/>
      <c r="H1989" s="9"/>
      <c r="I1989" s="9"/>
      <c r="J1989" s="9"/>
      <c r="K1989" s="9"/>
      <c r="L1989" s="9"/>
      <c r="M1989" s="9"/>
      <c r="N1989" s="9"/>
      <c r="O1989" s="9"/>
      <c r="P1989" s="9"/>
      <c r="Q1989" s="9"/>
      <c r="R1989" s="9"/>
      <c r="S1989" s="9"/>
      <c r="T1989" s="9"/>
      <c r="U1989" s="9"/>
      <c r="V1989" s="9"/>
      <c r="W1989" s="9"/>
      <c r="X1989" s="9"/>
      <c r="Y1989" s="9"/>
      <c r="Z1989" s="9"/>
      <c r="AA1989" s="9"/>
      <c r="AB1989" s="9"/>
      <c r="AC1989" s="9"/>
      <c r="AD1989" s="9"/>
      <c r="AE1989" s="9"/>
      <c r="AF1989" s="9"/>
      <c r="AG1989" s="9"/>
    </row>
    <row r="1990" spans="2:33">
      <c r="B1990" s="113"/>
      <c r="C1990" s="113"/>
      <c r="D1990" s="113"/>
      <c r="E1990" s="113"/>
      <c r="F1990" s="113"/>
      <c r="G1990" s="113"/>
      <c r="H1990" s="113"/>
      <c r="I1990" s="113"/>
      <c r="J1990" s="113"/>
      <c r="K1990" s="113"/>
      <c r="L1990" s="113"/>
      <c r="M1990" s="113"/>
      <c r="N1990" s="113"/>
      <c r="O1990" s="113"/>
      <c r="P1990" s="113"/>
      <c r="Q1990" s="113"/>
      <c r="R1990" s="113"/>
      <c r="S1990" s="113"/>
      <c r="T1990" s="113"/>
      <c r="U1990" s="113"/>
      <c r="V1990" s="113"/>
      <c r="W1990" s="113"/>
      <c r="X1990" s="113"/>
      <c r="Y1990" s="113"/>
      <c r="Z1990" s="113"/>
      <c r="AA1990" s="113"/>
      <c r="AB1990" s="113"/>
      <c r="AC1990" s="113"/>
      <c r="AD1990" s="113"/>
      <c r="AE1990" s="113"/>
      <c r="AF1990" s="113"/>
      <c r="AG1990" s="113"/>
    </row>
    <row r="1998" spans="2:33">
      <c r="B1998" s="9"/>
      <c r="C1998" s="9"/>
      <c r="D1998" s="9"/>
      <c r="E1998" s="9"/>
      <c r="F1998" s="9"/>
      <c r="G1998" s="9"/>
      <c r="H1998" s="9"/>
      <c r="I1998" s="9"/>
      <c r="J1998" s="9"/>
      <c r="K1998" s="9"/>
      <c r="L1998" s="9"/>
      <c r="M1998" s="9"/>
      <c r="N1998" s="9"/>
      <c r="O1998" s="9"/>
      <c r="P1998" s="9"/>
      <c r="Q1998" s="9"/>
      <c r="R1998" s="9"/>
      <c r="S1998" s="9"/>
      <c r="T1998" s="9"/>
      <c r="U1998" s="9"/>
      <c r="V1998" s="9"/>
      <c r="W1998" s="9"/>
      <c r="X1998" s="9"/>
      <c r="Y1998" s="9"/>
      <c r="Z1998" s="9"/>
      <c r="AA1998" s="9"/>
      <c r="AB1998" s="9"/>
      <c r="AC1998" s="9"/>
      <c r="AD1998" s="9"/>
      <c r="AE1998" s="9"/>
      <c r="AF1998" s="9"/>
      <c r="AG1998" s="9"/>
    </row>
    <row r="1999" spans="2:33">
      <c r="B1999" s="9"/>
      <c r="C1999" s="9"/>
      <c r="D1999" s="9"/>
      <c r="E1999" s="9"/>
      <c r="F1999" s="9"/>
      <c r="G1999" s="9"/>
      <c r="H1999" s="9"/>
      <c r="I1999" s="9"/>
      <c r="J1999" s="9"/>
      <c r="K1999" s="9"/>
      <c r="L1999" s="9"/>
      <c r="M1999" s="9"/>
      <c r="N1999" s="9"/>
      <c r="O1999" s="9"/>
      <c r="P1999" s="9"/>
      <c r="Q1999" s="9"/>
      <c r="R1999" s="9"/>
      <c r="S1999" s="9"/>
      <c r="T1999" s="9"/>
      <c r="U1999" s="9"/>
      <c r="V1999" s="9"/>
      <c r="W1999" s="9"/>
      <c r="X1999" s="9"/>
      <c r="Y1999" s="9"/>
      <c r="Z1999" s="9"/>
      <c r="AA1999" s="9"/>
      <c r="AB1999" s="9"/>
      <c r="AC1999" s="9"/>
      <c r="AD1999" s="9"/>
      <c r="AE1999" s="9"/>
      <c r="AF1999" s="9"/>
      <c r="AG1999" s="9"/>
    </row>
    <row r="2000" spans="2:33">
      <c r="B2000" s="9"/>
      <c r="C2000" s="9"/>
      <c r="D2000" s="9"/>
      <c r="E2000" s="9"/>
      <c r="F2000" s="9"/>
      <c r="G2000" s="9"/>
      <c r="H2000" s="9"/>
      <c r="I2000" s="9"/>
      <c r="J2000" s="9"/>
      <c r="K2000" s="9"/>
      <c r="L2000" s="9"/>
      <c r="M2000" s="9"/>
      <c r="N2000" s="9"/>
      <c r="O2000" s="9"/>
      <c r="P2000" s="9"/>
      <c r="Q2000" s="9"/>
      <c r="R2000" s="9"/>
      <c r="S2000" s="9"/>
      <c r="T2000" s="9"/>
      <c r="U2000" s="9"/>
      <c r="V2000" s="9"/>
      <c r="W2000" s="9"/>
      <c r="X2000" s="9"/>
      <c r="Y2000" s="9"/>
      <c r="Z2000" s="9"/>
      <c r="AA2000" s="9"/>
      <c r="AB2000" s="9"/>
      <c r="AC2000" s="9"/>
      <c r="AD2000" s="9"/>
      <c r="AE2000" s="9"/>
      <c r="AF2000" s="9"/>
      <c r="AG2000" s="9"/>
    </row>
    <row r="2324" spans="2:33">
      <c r="B2324" s="9"/>
      <c r="C2324" s="9"/>
      <c r="D2324" s="9"/>
      <c r="E2324" s="9"/>
      <c r="F2324" s="9"/>
      <c r="G2324" s="9"/>
      <c r="H2324" s="9"/>
      <c r="I2324" s="9"/>
      <c r="J2324" s="9"/>
      <c r="K2324" s="9"/>
      <c r="L2324" s="9"/>
      <c r="M2324" s="9"/>
      <c r="N2324" s="9"/>
      <c r="O2324" s="9"/>
      <c r="P2324" s="9"/>
      <c r="Q2324" s="9"/>
      <c r="R2324" s="9"/>
      <c r="S2324" s="9"/>
      <c r="T2324" s="9"/>
      <c r="U2324" s="9"/>
      <c r="V2324" s="9"/>
      <c r="W2324" s="9"/>
      <c r="X2324" s="9"/>
      <c r="Y2324" s="9"/>
      <c r="Z2324" s="9"/>
      <c r="AA2324" s="9"/>
      <c r="AB2324" s="9"/>
      <c r="AC2324" s="9"/>
      <c r="AD2324" s="9"/>
      <c r="AE2324" s="9"/>
      <c r="AF2324" s="9"/>
      <c r="AG2324" s="9"/>
    </row>
    <row r="2325" spans="2:33">
      <c r="B2325" s="113"/>
      <c r="C2325" s="113"/>
      <c r="D2325" s="113"/>
      <c r="E2325" s="113"/>
      <c r="F2325" s="113"/>
      <c r="G2325" s="113"/>
      <c r="H2325" s="113"/>
      <c r="I2325" s="113"/>
      <c r="J2325" s="113"/>
      <c r="K2325" s="113"/>
      <c r="L2325" s="113"/>
      <c r="M2325" s="113"/>
      <c r="N2325" s="113"/>
      <c r="O2325" s="113"/>
      <c r="P2325" s="113"/>
      <c r="Q2325" s="113"/>
      <c r="R2325" s="113"/>
      <c r="S2325" s="113"/>
      <c r="T2325" s="113"/>
      <c r="U2325" s="113"/>
      <c r="V2325" s="113"/>
      <c r="W2325" s="113"/>
      <c r="X2325" s="113"/>
      <c r="Y2325" s="113"/>
      <c r="Z2325" s="113"/>
      <c r="AA2325" s="113"/>
      <c r="AB2325" s="113"/>
      <c r="AC2325" s="113"/>
      <c r="AD2325" s="113"/>
      <c r="AE2325" s="113"/>
      <c r="AF2325" s="113"/>
      <c r="AG2325" s="113"/>
    </row>
    <row r="2327" spans="2:33">
      <c r="B2327" s="9"/>
      <c r="C2327" s="9"/>
      <c r="D2327" s="9"/>
      <c r="E2327" s="9"/>
      <c r="F2327" s="9"/>
      <c r="G2327" s="9"/>
      <c r="H2327" s="9"/>
      <c r="I2327" s="9"/>
      <c r="J2327" s="9"/>
      <c r="K2327" s="9"/>
      <c r="L2327" s="9"/>
      <c r="M2327" s="9"/>
      <c r="N2327" s="9"/>
      <c r="O2327" s="9"/>
      <c r="P2327" s="9"/>
      <c r="Q2327" s="9"/>
      <c r="R2327" s="9"/>
      <c r="S2327" s="9"/>
      <c r="T2327" s="9"/>
      <c r="U2327" s="9"/>
      <c r="V2327" s="9"/>
      <c r="W2327" s="9"/>
      <c r="X2327" s="9"/>
      <c r="Y2327" s="9"/>
      <c r="Z2327" s="9"/>
      <c r="AA2327" s="9"/>
      <c r="AB2327" s="9"/>
      <c r="AC2327" s="9"/>
      <c r="AD2327" s="9"/>
      <c r="AE2327" s="9"/>
      <c r="AF2327" s="9"/>
      <c r="AG2327" s="9"/>
    </row>
    <row r="2328" spans="2:33">
      <c r="B2328" s="9"/>
      <c r="C2328" s="9"/>
      <c r="D2328" s="9"/>
      <c r="E2328" s="9"/>
      <c r="F2328" s="9"/>
      <c r="G2328" s="9"/>
      <c r="H2328" s="9"/>
      <c r="I2328" s="9"/>
      <c r="J2328" s="9"/>
      <c r="K2328" s="9"/>
      <c r="L2328" s="9"/>
      <c r="M2328" s="9"/>
      <c r="N2328" s="9"/>
      <c r="O2328" s="9"/>
      <c r="P2328" s="9"/>
      <c r="Q2328" s="9"/>
      <c r="R2328" s="9"/>
      <c r="S2328" s="9"/>
      <c r="T2328" s="9"/>
      <c r="U2328" s="9"/>
      <c r="V2328" s="9"/>
      <c r="W2328" s="9"/>
      <c r="X2328" s="9"/>
      <c r="Y2328" s="9"/>
      <c r="Z2328" s="9"/>
      <c r="AA2328" s="9"/>
      <c r="AB2328" s="9"/>
      <c r="AC2328" s="9"/>
      <c r="AD2328" s="9"/>
      <c r="AE2328" s="9"/>
      <c r="AF2328" s="9"/>
      <c r="AG2328" s="9"/>
    </row>
    <row r="2329" spans="2:33">
      <c r="B2329" s="9"/>
      <c r="C2329" s="9"/>
      <c r="D2329" s="9"/>
      <c r="E2329" s="9"/>
      <c r="F2329" s="9"/>
      <c r="G2329" s="9"/>
      <c r="H2329" s="9"/>
      <c r="I2329" s="9"/>
      <c r="J2329" s="9"/>
      <c r="K2329" s="9"/>
      <c r="L2329" s="9"/>
      <c r="M2329" s="9"/>
      <c r="N2329" s="9"/>
      <c r="O2329" s="9"/>
      <c r="P2329" s="9"/>
      <c r="Q2329" s="9"/>
      <c r="R2329" s="9"/>
      <c r="S2329" s="9"/>
      <c r="T2329" s="9"/>
      <c r="U2329" s="9"/>
      <c r="V2329" s="9"/>
      <c r="W2329" s="9"/>
      <c r="X2329" s="9"/>
      <c r="Y2329" s="9"/>
      <c r="Z2329" s="9"/>
      <c r="AA2329" s="9"/>
      <c r="AB2329" s="9"/>
      <c r="AC2329" s="9"/>
      <c r="AD2329" s="9"/>
      <c r="AE2329" s="9"/>
      <c r="AF2329" s="9"/>
      <c r="AG2329" s="9"/>
    </row>
    <row r="2330" spans="2:33">
      <c r="B2330" s="9"/>
      <c r="C2330" s="9"/>
      <c r="D2330" s="9"/>
      <c r="E2330" s="9"/>
      <c r="F2330" s="9"/>
      <c r="G2330" s="9"/>
      <c r="H2330" s="9"/>
      <c r="I2330" s="9"/>
      <c r="J2330" s="9"/>
      <c r="K2330" s="9"/>
      <c r="L2330" s="9"/>
      <c r="M2330" s="9"/>
      <c r="N2330" s="9"/>
      <c r="O2330" s="9"/>
      <c r="P2330" s="9"/>
      <c r="Q2330" s="9"/>
      <c r="R2330" s="9"/>
      <c r="S2330" s="9"/>
      <c r="T2330" s="9"/>
      <c r="U2330" s="9"/>
      <c r="V2330" s="9"/>
      <c r="W2330" s="9"/>
      <c r="X2330" s="9"/>
      <c r="Y2330" s="9"/>
      <c r="Z2330" s="9"/>
      <c r="AA2330" s="9"/>
      <c r="AB2330" s="9"/>
      <c r="AC2330" s="9"/>
      <c r="AD2330" s="9"/>
      <c r="AE2330" s="9"/>
      <c r="AF2330" s="9"/>
      <c r="AG2330" s="9"/>
    </row>
    <row r="2331" spans="2:33">
      <c r="B2331" s="9"/>
      <c r="C2331" s="9"/>
      <c r="D2331" s="9"/>
      <c r="E2331" s="9"/>
      <c r="F2331" s="9"/>
      <c r="G2331" s="9"/>
      <c r="H2331" s="9"/>
      <c r="I2331" s="9"/>
      <c r="J2331" s="9"/>
      <c r="K2331" s="9"/>
      <c r="L2331" s="9"/>
      <c r="M2331" s="9"/>
      <c r="N2331" s="9"/>
      <c r="O2331" s="9"/>
      <c r="P2331" s="9"/>
      <c r="Q2331" s="9"/>
      <c r="R2331" s="9"/>
      <c r="S2331" s="9"/>
      <c r="T2331" s="9"/>
      <c r="U2331" s="9"/>
      <c r="V2331" s="9"/>
      <c r="W2331" s="9"/>
      <c r="X2331" s="9"/>
      <c r="Y2331" s="9"/>
      <c r="Z2331" s="9"/>
      <c r="AA2331" s="9"/>
      <c r="AB2331" s="9"/>
      <c r="AC2331" s="9"/>
      <c r="AD2331" s="9"/>
      <c r="AE2331" s="9"/>
      <c r="AF2331" s="9"/>
      <c r="AG2331" s="9"/>
    </row>
    <row r="2332" spans="2:33">
      <c r="B2332" s="9"/>
      <c r="C2332" s="9"/>
      <c r="D2332" s="9"/>
      <c r="E2332" s="9"/>
      <c r="F2332" s="9"/>
      <c r="G2332" s="9"/>
      <c r="H2332" s="9"/>
      <c r="I2332" s="9"/>
      <c r="J2332" s="9"/>
      <c r="K2332" s="9"/>
      <c r="L2332" s="9"/>
      <c r="M2332" s="9"/>
      <c r="N2332" s="9"/>
      <c r="O2332" s="9"/>
      <c r="P2332" s="9"/>
      <c r="Q2332" s="9"/>
      <c r="R2332" s="9"/>
      <c r="S2332" s="9"/>
      <c r="T2332" s="9"/>
      <c r="U2332" s="9"/>
      <c r="V2332" s="9"/>
      <c r="W2332" s="9"/>
      <c r="X2332" s="9"/>
      <c r="Y2332" s="9"/>
      <c r="Z2332" s="9"/>
      <c r="AA2332" s="9"/>
      <c r="AB2332" s="9"/>
      <c r="AC2332" s="9"/>
      <c r="AD2332" s="9"/>
      <c r="AE2332" s="9"/>
      <c r="AF2332" s="9"/>
      <c r="AG2332" s="9"/>
    </row>
    <row r="2333" spans="2:33">
      <c r="B2333" s="9"/>
      <c r="C2333" s="9"/>
      <c r="D2333" s="9"/>
      <c r="E2333" s="9"/>
      <c r="F2333" s="9"/>
      <c r="G2333" s="9"/>
      <c r="H2333" s="9"/>
      <c r="I2333" s="9"/>
      <c r="J2333" s="9"/>
      <c r="K2333" s="9"/>
      <c r="L2333" s="9"/>
      <c r="M2333" s="9"/>
      <c r="N2333" s="9"/>
      <c r="O2333" s="9"/>
      <c r="P2333" s="9"/>
      <c r="Q2333" s="9"/>
      <c r="R2333" s="9"/>
      <c r="S2333" s="9"/>
      <c r="T2333" s="9"/>
      <c r="U2333" s="9"/>
      <c r="V2333" s="9"/>
      <c r="W2333" s="9"/>
      <c r="X2333" s="9"/>
      <c r="Y2333" s="9"/>
      <c r="Z2333" s="9"/>
      <c r="AA2333" s="9"/>
      <c r="AB2333" s="9"/>
      <c r="AC2333" s="9"/>
      <c r="AD2333" s="9"/>
      <c r="AE2333" s="9"/>
      <c r="AF2333" s="9"/>
      <c r="AG2333" s="9"/>
    </row>
    <row r="2334" spans="2:33">
      <c r="B2334" s="9"/>
      <c r="C2334" s="9"/>
      <c r="D2334" s="9"/>
      <c r="E2334" s="9"/>
      <c r="F2334" s="9"/>
      <c r="G2334" s="9"/>
      <c r="H2334" s="9"/>
      <c r="I2334" s="9"/>
      <c r="J2334" s="9"/>
      <c r="K2334" s="9"/>
      <c r="L2334" s="9"/>
      <c r="M2334" s="9"/>
      <c r="N2334" s="9"/>
      <c r="O2334" s="9"/>
      <c r="P2334" s="9"/>
      <c r="Q2334" s="9"/>
      <c r="R2334" s="9"/>
      <c r="S2334" s="9"/>
      <c r="T2334" s="9"/>
      <c r="U2334" s="9"/>
      <c r="V2334" s="9"/>
      <c r="W2334" s="9"/>
      <c r="X2334" s="9"/>
      <c r="Y2334" s="9"/>
      <c r="Z2334" s="9"/>
      <c r="AA2334" s="9"/>
      <c r="AB2334" s="9"/>
      <c r="AC2334" s="9"/>
      <c r="AD2334" s="9"/>
      <c r="AE2334" s="9"/>
      <c r="AF2334" s="9"/>
      <c r="AG2334" s="9"/>
    </row>
    <row r="2335" spans="2:33">
      <c r="B2335" s="9"/>
      <c r="C2335" s="9"/>
      <c r="D2335" s="9"/>
      <c r="E2335" s="9"/>
      <c r="F2335" s="9"/>
      <c r="G2335" s="9"/>
      <c r="H2335" s="9"/>
      <c r="I2335" s="9"/>
      <c r="J2335" s="9"/>
      <c r="K2335" s="9"/>
      <c r="L2335" s="9"/>
      <c r="M2335" s="9"/>
      <c r="N2335" s="9"/>
      <c r="O2335" s="9"/>
      <c r="P2335" s="9"/>
      <c r="Q2335" s="9"/>
      <c r="R2335" s="9"/>
      <c r="S2335" s="9"/>
      <c r="T2335" s="9"/>
      <c r="U2335" s="9"/>
      <c r="V2335" s="9"/>
      <c r="W2335" s="9"/>
      <c r="X2335" s="9"/>
      <c r="Y2335" s="9"/>
      <c r="Z2335" s="9"/>
      <c r="AA2335" s="9"/>
      <c r="AB2335" s="9"/>
      <c r="AC2335" s="9"/>
      <c r="AD2335" s="9"/>
      <c r="AE2335" s="9"/>
      <c r="AF2335" s="9"/>
      <c r="AG2335" s="9"/>
    </row>
    <row r="2336" spans="2:33">
      <c r="B2336" s="9"/>
      <c r="C2336" s="9"/>
      <c r="D2336" s="9"/>
      <c r="E2336" s="9"/>
      <c r="F2336" s="9"/>
      <c r="G2336" s="9"/>
      <c r="H2336" s="9"/>
      <c r="I2336" s="9"/>
      <c r="J2336" s="9"/>
      <c r="K2336" s="9"/>
      <c r="L2336" s="9"/>
      <c r="M2336" s="9"/>
      <c r="N2336" s="9"/>
      <c r="O2336" s="9"/>
      <c r="P2336" s="9"/>
      <c r="Q2336" s="9"/>
      <c r="R2336" s="9"/>
      <c r="S2336" s="9"/>
      <c r="T2336" s="9"/>
      <c r="U2336" s="9"/>
      <c r="V2336" s="9"/>
      <c r="W2336" s="9"/>
      <c r="X2336" s="9"/>
      <c r="Y2336" s="9"/>
      <c r="Z2336" s="9"/>
      <c r="AA2336" s="9"/>
      <c r="AB2336" s="9"/>
      <c r="AC2336" s="9"/>
      <c r="AD2336" s="9"/>
      <c r="AE2336" s="9"/>
      <c r="AF2336" s="9"/>
      <c r="AG2336" s="9"/>
    </row>
    <row r="2644" spans="2:33">
      <c r="B2644" s="9"/>
      <c r="C2644" s="9"/>
      <c r="D2644" s="9"/>
      <c r="E2644" s="9"/>
      <c r="F2644" s="9"/>
      <c r="G2644" s="9"/>
      <c r="H2644" s="9"/>
      <c r="I2644" s="9"/>
      <c r="J2644" s="9"/>
      <c r="K2644" s="9"/>
      <c r="L2644" s="9"/>
      <c r="M2644" s="9"/>
      <c r="N2644" s="9"/>
      <c r="O2644" s="9"/>
      <c r="P2644" s="9"/>
      <c r="Q2644" s="9"/>
      <c r="R2644" s="9"/>
      <c r="S2644" s="9"/>
      <c r="T2644" s="9"/>
      <c r="U2644" s="9"/>
      <c r="V2644" s="9"/>
      <c r="W2644" s="9"/>
      <c r="X2644" s="9"/>
      <c r="Y2644" s="9"/>
      <c r="Z2644" s="9"/>
      <c r="AA2644" s="9"/>
      <c r="AB2644" s="9"/>
      <c r="AC2644" s="9"/>
      <c r="AD2644" s="9"/>
      <c r="AE2644" s="9"/>
      <c r="AF2644" s="9"/>
      <c r="AG2644" s="9"/>
    </row>
    <row r="2645" spans="2:33">
      <c r="B2645" s="113"/>
      <c r="C2645" s="113"/>
      <c r="D2645" s="113"/>
      <c r="E2645" s="113"/>
      <c r="F2645" s="113"/>
      <c r="G2645" s="113"/>
      <c r="H2645" s="113"/>
      <c r="I2645" s="113"/>
      <c r="J2645" s="113"/>
      <c r="K2645" s="113"/>
      <c r="L2645" s="113"/>
      <c r="M2645" s="113"/>
      <c r="N2645" s="113"/>
      <c r="O2645" s="113"/>
      <c r="P2645" s="113"/>
      <c r="Q2645" s="113"/>
      <c r="R2645" s="113"/>
      <c r="S2645" s="113"/>
      <c r="T2645" s="113"/>
      <c r="U2645" s="113"/>
      <c r="V2645" s="113"/>
      <c r="W2645" s="113"/>
      <c r="X2645" s="113"/>
      <c r="Y2645" s="113"/>
      <c r="Z2645" s="113"/>
      <c r="AA2645" s="113"/>
      <c r="AB2645" s="113"/>
      <c r="AC2645" s="113"/>
      <c r="AD2645" s="113"/>
      <c r="AE2645" s="113"/>
      <c r="AF2645" s="113"/>
      <c r="AG2645" s="113"/>
    </row>
    <row r="2647" spans="2:33">
      <c r="B2647" s="9"/>
      <c r="C2647" s="9"/>
      <c r="D2647" s="9"/>
      <c r="E2647" s="9"/>
      <c r="F2647" s="9"/>
      <c r="G2647" s="9"/>
      <c r="H2647" s="9"/>
      <c r="I2647" s="9"/>
      <c r="J2647" s="9"/>
      <c r="K2647" s="9"/>
      <c r="L2647" s="9"/>
      <c r="M2647" s="9"/>
      <c r="N2647" s="9"/>
      <c r="O2647" s="9"/>
      <c r="P2647" s="9"/>
      <c r="Q2647" s="9"/>
      <c r="R2647" s="9"/>
      <c r="S2647" s="9"/>
      <c r="T2647" s="9"/>
      <c r="U2647" s="9"/>
      <c r="V2647" s="9"/>
      <c r="W2647" s="9"/>
      <c r="X2647" s="9"/>
      <c r="Y2647" s="9"/>
      <c r="Z2647" s="9"/>
      <c r="AA2647" s="9"/>
      <c r="AB2647" s="9"/>
      <c r="AC2647" s="9"/>
      <c r="AD2647" s="9"/>
      <c r="AE2647" s="9"/>
      <c r="AF2647" s="9"/>
      <c r="AG2647" s="9"/>
    </row>
    <row r="2648" spans="2:33">
      <c r="B2648" s="9"/>
      <c r="C2648" s="9"/>
      <c r="D2648" s="9"/>
      <c r="E2648" s="9"/>
      <c r="F2648" s="9"/>
      <c r="G2648" s="9"/>
      <c r="H2648" s="9"/>
      <c r="I2648" s="9"/>
      <c r="J2648" s="9"/>
      <c r="K2648" s="9"/>
      <c r="L2648" s="9"/>
      <c r="M2648" s="9"/>
      <c r="N2648" s="9"/>
      <c r="O2648" s="9"/>
      <c r="P2648" s="9"/>
      <c r="Q2648" s="9"/>
      <c r="R2648" s="9"/>
      <c r="S2648" s="9"/>
      <c r="T2648" s="9"/>
      <c r="U2648" s="9"/>
      <c r="V2648" s="9"/>
      <c r="W2648" s="9"/>
      <c r="X2648" s="9"/>
      <c r="Y2648" s="9"/>
      <c r="Z2648" s="9"/>
      <c r="AA2648" s="9"/>
      <c r="AB2648" s="9"/>
      <c r="AC2648" s="9"/>
      <c r="AD2648" s="9"/>
      <c r="AE2648" s="9"/>
      <c r="AF2648" s="9"/>
      <c r="AG2648" s="9"/>
    </row>
    <row r="2649" spans="2:33">
      <c r="B2649" s="9"/>
      <c r="C2649" s="9"/>
      <c r="D2649" s="9"/>
      <c r="E2649" s="9"/>
      <c r="F2649" s="9"/>
      <c r="G2649" s="9"/>
      <c r="H2649" s="9"/>
      <c r="I2649" s="9"/>
      <c r="J2649" s="9"/>
      <c r="K2649" s="9"/>
      <c r="L2649" s="9"/>
      <c r="M2649" s="9"/>
      <c r="N2649" s="9"/>
      <c r="O2649" s="9"/>
      <c r="P2649" s="9"/>
      <c r="Q2649" s="9"/>
      <c r="R2649" s="9"/>
      <c r="S2649" s="9"/>
      <c r="T2649" s="9"/>
      <c r="U2649" s="9"/>
      <c r="V2649" s="9"/>
      <c r="W2649" s="9"/>
      <c r="X2649" s="9"/>
      <c r="Y2649" s="9"/>
      <c r="Z2649" s="9"/>
      <c r="AA2649" s="9"/>
      <c r="AB2649" s="9"/>
      <c r="AC2649" s="9"/>
      <c r="AD2649" s="9"/>
      <c r="AE2649" s="9"/>
      <c r="AF2649" s="9"/>
      <c r="AG2649" s="9"/>
    </row>
    <row r="2650" spans="2:33">
      <c r="B2650" s="9"/>
      <c r="C2650" s="9"/>
      <c r="D2650" s="9"/>
      <c r="E2650" s="9"/>
      <c r="F2650" s="9"/>
      <c r="G2650" s="9"/>
      <c r="H2650" s="9"/>
      <c r="I2650" s="9"/>
      <c r="J2650" s="9"/>
      <c r="K2650" s="9"/>
      <c r="L2650" s="9"/>
      <c r="M2650" s="9"/>
      <c r="N2650" s="9"/>
      <c r="O2650" s="9"/>
      <c r="P2650" s="9"/>
      <c r="Q2650" s="9"/>
      <c r="R2650" s="9"/>
      <c r="S2650" s="9"/>
      <c r="T2650" s="9"/>
      <c r="U2650" s="9"/>
      <c r="V2650" s="9"/>
      <c r="W2650" s="9"/>
      <c r="X2650" s="9"/>
      <c r="Y2650" s="9"/>
      <c r="Z2650" s="9"/>
      <c r="AA2650" s="9"/>
      <c r="AB2650" s="9"/>
      <c r="AC2650" s="9"/>
      <c r="AD2650" s="9"/>
      <c r="AE2650" s="9"/>
      <c r="AF2650" s="9"/>
      <c r="AG2650" s="9"/>
    </row>
    <row r="2651" spans="2:33">
      <c r="B2651" s="9"/>
      <c r="C2651" s="9"/>
      <c r="D2651" s="9"/>
      <c r="E2651" s="9"/>
      <c r="F2651" s="9"/>
      <c r="G2651" s="9"/>
      <c r="H2651" s="9"/>
      <c r="I2651" s="9"/>
      <c r="J2651" s="9"/>
      <c r="K2651" s="9"/>
      <c r="L2651" s="9"/>
      <c r="M2651" s="9"/>
      <c r="N2651" s="9"/>
      <c r="O2651" s="9"/>
      <c r="P2651" s="9"/>
      <c r="Q2651" s="9"/>
      <c r="R2651" s="9"/>
      <c r="S2651" s="9"/>
      <c r="T2651" s="9"/>
      <c r="U2651" s="9"/>
      <c r="V2651" s="9"/>
      <c r="W2651" s="9"/>
      <c r="X2651" s="9"/>
      <c r="Y2651" s="9"/>
      <c r="Z2651" s="9"/>
      <c r="AA2651" s="9"/>
      <c r="AB2651" s="9"/>
      <c r="AC2651" s="9"/>
      <c r="AD2651" s="9"/>
      <c r="AE2651" s="9"/>
      <c r="AF2651" s="9"/>
      <c r="AG2651" s="9"/>
    </row>
    <row r="2652" spans="2:33">
      <c r="B2652" s="9"/>
      <c r="C2652" s="9"/>
      <c r="D2652" s="9"/>
      <c r="E2652" s="9"/>
      <c r="F2652" s="9"/>
      <c r="G2652" s="9"/>
      <c r="H2652" s="9"/>
      <c r="I2652" s="9"/>
      <c r="J2652" s="9"/>
      <c r="K2652" s="9"/>
      <c r="L2652" s="9"/>
      <c r="M2652" s="9"/>
      <c r="N2652" s="9"/>
      <c r="O2652" s="9"/>
      <c r="P2652" s="9"/>
      <c r="Q2652" s="9"/>
      <c r="R2652" s="9"/>
      <c r="S2652" s="9"/>
      <c r="T2652" s="9"/>
      <c r="U2652" s="9"/>
      <c r="V2652" s="9"/>
      <c r="W2652" s="9"/>
      <c r="X2652" s="9"/>
      <c r="Y2652" s="9"/>
      <c r="Z2652" s="9"/>
      <c r="AA2652" s="9"/>
      <c r="AB2652" s="9"/>
      <c r="AC2652" s="9"/>
      <c r="AD2652" s="9"/>
      <c r="AE2652" s="9"/>
      <c r="AF2652" s="9"/>
      <c r="AG2652" s="9"/>
    </row>
    <row r="2653" spans="2:33">
      <c r="B2653" s="9"/>
      <c r="C2653" s="9"/>
      <c r="D2653" s="9"/>
      <c r="E2653" s="9"/>
      <c r="F2653" s="9"/>
      <c r="G2653" s="9"/>
      <c r="H2653" s="9"/>
      <c r="I2653" s="9"/>
      <c r="J2653" s="9"/>
      <c r="K2653" s="9"/>
      <c r="L2653" s="9"/>
      <c r="M2653" s="9"/>
      <c r="N2653" s="9"/>
      <c r="O2653" s="9"/>
      <c r="P2653" s="9"/>
      <c r="Q2653" s="9"/>
      <c r="R2653" s="9"/>
      <c r="S2653" s="9"/>
      <c r="T2653" s="9"/>
      <c r="U2653" s="9"/>
      <c r="V2653" s="9"/>
      <c r="W2653" s="9"/>
      <c r="X2653" s="9"/>
      <c r="Y2653" s="9"/>
      <c r="Z2653" s="9"/>
      <c r="AA2653" s="9"/>
      <c r="AB2653" s="9"/>
      <c r="AC2653" s="9"/>
      <c r="AD2653" s="9"/>
      <c r="AE2653" s="9"/>
      <c r="AF2653" s="9"/>
      <c r="AG2653" s="9"/>
    </row>
    <row r="2654" spans="2:33">
      <c r="B2654" s="9"/>
      <c r="C2654" s="9"/>
      <c r="D2654" s="9"/>
      <c r="E2654" s="9"/>
      <c r="F2654" s="9"/>
      <c r="G2654" s="9"/>
      <c r="H2654" s="9"/>
      <c r="I2654" s="9"/>
      <c r="J2654" s="9"/>
      <c r="K2654" s="9"/>
      <c r="L2654" s="9"/>
      <c r="M2654" s="9"/>
      <c r="N2654" s="9"/>
      <c r="O2654" s="9"/>
      <c r="P2654" s="9"/>
      <c r="Q2654" s="9"/>
      <c r="R2654" s="9"/>
      <c r="S2654" s="9"/>
      <c r="T2654" s="9"/>
      <c r="U2654" s="9"/>
      <c r="V2654" s="9"/>
      <c r="W2654" s="9"/>
      <c r="X2654" s="9"/>
      <c r="Y2654" s="9"/>
      <c r="Z2654" s="9"/>
      <c r="AA2654" s="9"/>
      <c r="AB2654" s="9"/>
      <c r="AC2654" s="9"/>
      <c r="AD2654" s="9"/>
      <c r="AE2654" s="9"/>
      <c r="AF2654" s="9"/>
      <c r="AG2654" s="9"/>
    </row>
    <row r="2655" spans="2:33">
      <c r="B2655" s="9"/>
      <c r="C2655" s="9"/>
      <c r="D2655" s="9"/>
      <c r="E2655" s="9"/>
      <c r="F2655" s="9"/>
      <c r="G2655" s="9"/>
      <c r="H2655" s="9"/>
      <c r="I2655" s="9"/>
      <c r="J2655" s="9"/>
      <c r="K2655" s="9"/>
      <c r="L2655" s="9"/>
      <c r="M2655" s="9"/>
      <c r="N2655" s="9"/>
      <c r="O2655" s="9"/>
      <c r="P2655" s="9"/>
      <c r="Q2655" s="9"/>
      <c r="R2655" s="9"/>
      <c r="S2655" s="9"/>
      <c r="T2655" s="9"/>
      <c r="U2655" s="9"/>
      <c r="V2655" s="9"/>
      <c r="W2655" s="9"/>
      <c r="X2655" s="9"/>
      <c r="Y2655" s="9"/>
      <c r="Z2655" s="9"/>
      <c r="AA2655" s="9"/>
      <c r="AB2655" s="9"/>
      <c r="AC2655" s="9"/>
      <c r="AD2655" s="9"/>
      <c r="AE2655" s="9"/>
      <c r="AF2655" s="9"/>
      <c r="AG2655" s="9"/>
    </row>
    <row r="2656" spans="2:33">
      <c r="B2656" s="9"/>
      <c r="C2656" s="9"/>
      <c r="D2656" s="9"/>
      <c r="E2656" s="9"/>
      <c r="F2656" s="9"/>
      <c r="G2656" s="9"/>
      <c r="H2656" s="9"/>
      <c r="I2656" s="9"/>
      <c r="J2656" s="9"/>
      <c r="K2656" s="9"/>
      <c r="L2656" s="9"/>
      <c r="M2656" s="9"/>
      <c r="N2656" s="9"/>
      <c r="O2656" s="9"/>
      <c r="P2656" s="9"/>
      <c r="Q2656" s="9"/>
      <c r="R2656" s="9"/>
      <c r="S2656" s="9"/>
      <c r="T2656" s="9"/>
      <c r="U2656" s="9"/>
      <c r="V2656" s="9"/>
      <c r="W2656" s="9"/>
      <c r="X2656" s="9"/>
      <c r="Y2656" s="9"/>
      <c r="Z2656" s="9"/>
      <c r="AA2656" s="9"/>
      <c r="AB2656" s="9"/>
      <c r="AC2656" s="9"/>
      <c r="AD2656" s="9"/>
      <c r="AE2656" s="9"/>
      <c r="AF2656" s="9"/>
      <c r="AG2656" s="9"/>
    </row>
    <row r="2965" spans="2:33">
      <c r="B2965" s="9"/>
      <c r="C2965" s="9"/>
      <c r="D2965" s="9"/>
      <c r="E2965" s="9"/>
      <c r="F2965" s="9"/>
      <c r="G2965" s="9"/>
      <c r="H2965" s="9"/>
      <c r="I2965" s="9"/>
      <c r="J2965" s="9"/>
      <c r="K2965" s="9"/>
      <c r="L2965" s="9"/>
      <c r="M2965" s="9"/>
      <c r="N2965" s="9"/>
      <c r="O2965" s="9"/>
      <c r="P2965" s="9"/>
      <c r="Q2965" s="9"/>
      <c r="R2965" s="9"/>
      <c r="S2965" s="9"/>
      <c r="T2965" s="9"/>
      <c r="U2965" s="9"/>
      <c r="V2965" s="9"/>
      <c r="W2965" s="9"/>
      <c r="X2965" s="9"/>
      <c r="Y2965" s="9"/>
      <c r="Z2965" s="9"/>
      <c r="AA2965" s="9"/>
      <c r="AB2965" s="9"/>
      <c r="AC2965" s="9"/>
      <c r="AD2965" s="9"/>
      <c r="AE2965" s="9"/>
      <c r="AF2965" s="9"/>
      <c r="AG2965" s="9"/>
    </row>
    <row r="2970" spans="2:33">
      <c r="B2970" s="9"/>
      <c r="C2970" s="9"/>
      <c r="D2970" s="9"/>
      <c r="E2970" s="9"/>
      <c r="F2970" s="9"/>
      <c r="G2970" s="9"/>
      <c r="H2970" s="9"/>
      <c r="I2970" s="9"/>
      <c r="J2970" s="9"/>
      <c r="K2970" s="9"/>
      <c r="L2970" s="9"/>
      <c r="M2970" s="9"/>
      <c r="N2970" s="9"/>
      <c r="O2970" s="9"/>
      <c r="P2970" s="9"/>
      <c r="Q2970" s="9"/>
      <c r="R2970" s="9"/>
      <c r="S2970" s="9"/>
      <c r="T2970" s="9"/>
      <c r="U2970" s="9"/>
      <c r="V2970" s="9"/>
      <c r="W2970" s="9"/>
      <c r="X2970" s="9"/>
      <c r="Y2970" s="9"/>
      <c r="Z2970" s="9"/>
      <c r="AA2970" s="9"/>
      <c r="AB2970" s="9"/>
      <c r="AC2970" s="9"/>
      <c r="AD2970" s="9"/>
      <c r="AE2970" s="9"/>
      <c r="AF2970" s="9"/>
      <c r="AG2970" s="9"/>
    </row>
    <row r="2971" spans="2:33">
      <c r="B2971" s="113"/>
      <c r="C2971" s="113"/>
      <c r="D2971" s="113"/>
      <c r="E2971" s="113"/>
      <c r="F2971" s="113"/>
      <c r="G2971" s="113"/>
      <c r="H2971" s="113"/>
      <c r="I2971" s="113"/>
      <c r="J2971" s="113"/>
      <c r="K2971" s="113"/>
      <c r="L2971" s="113"/>
      <c r="M2971" s="113"/>
      <c r="N2971" s="113"/>
      <c r="O2971" s="113"/>
      <c r="P2971" s="113"/>
      <c r="Q2971" s="113"/>
      <c r="R2971" s="113"/>
      <c r="S2971" s="113"/>
      <c r="T2971" s="113"/>
      <c r="U2971" s="113"/>
      <c r="V2971" s="113"/>
      <c r="W2971" s="113"/>
      <c r="X2971" s="113"/>
      <c r="Y2971" s="113"/>
      <c r="Z2971" s="113"/>
      <c r="AA2971" s="113"/>
      <c r="AB2971" s="113"/>
      <c r="AC2971" s="113"/>
      <c r="AD2971" s="113"/>
      <c r="AE2971" s="113"/>
      <c r="AF2971" s="113"/>
      <c r="AG2971" s="113"/>
    </row>
    <row r="2973" spans="2:33">
      <c r="B2973" s="9"/>
      <c r="C2973" s="9"/>
      <c r="D2973" s="9"/>
      <c r="E2973" s="9"/>
      <c r="F2973" s="9"/>
      <c r="G2973" s="9"/>
      <c r="H2973" s="9"/>
      <c r="I2973" s="9"/>
      <c r="J2973" s="9"/>
      <c r="K2973" s="9"/>
      <c r="L2973" s="9"/>
      <c r="M2973" s="9"/>
      <c r="N2973" s="9"/>
      <c r="O2973" s="9"/>
      <c r="P2973" s="9"/>
      <c r="Q2973" s="9"/>
      <c r="R2973" s="9"/>
      <c r="S2973" s="9"/>
      <c r="T2973" s="9"/>
      <c r="U2973" s="9"/>
      <c r="V2973" s="9"/>
      <c r="W2973" s="9"/>
      <c r="X2973" s="9"/>
      <c r="Y2973" s="9"/>
      <c r="Z2973" s="9"/>
      <c r="AA2973" s="9"/>
      <c r="AB2973" s="9"/>
      <c r="AC2973" s="9"/>
      <c r="AD2973" s="9"/>
      <c r="AE2973" s="9"/>
      <c r="AF2973" s="9"/>
      <c r="AG2973" s="9"/>
    </row>
    <row r="2974" spans="2:33">
      <c r="B2974" s="9"/>
      <c r="C2974" s="9"/>
      <c r="D2974" s="9"/>
      <c r="E2974" s="9"/>
      <c r="F2974" s="9"/>
      <c r="G2974" s="9"/>
      <c r="H2974" s="9"/>
      <c r="I2974" s="9"/>
      <c r="J2974" s="9"/>
      <c r="K2974" s="9"/>
      <c r="L2974" s="9"/>
      <c r="M2974" s="9"/>
      <c r="N2974" s="9"/>
      <c r="O2974" s="9"/>
      <c r="P2974" s="9"/>
      <c r="Q2974" s="9"/>
      <c r="R2974" s="9"/>
      <c r="S2974" s="9"/>
      <c r="T2974" s="9"/>
      <c r="U2974" s="9"/>
      <c r="V2974" s="9"/>
      <c r="W2974" s="9"/>
      <c r="X2974" s="9"/>
      <c r="Y2974" s="9"/>
      <c r="Z2974" s="9"/>
      <c r="AA2974" s="9"/>
      <c r="AB2974" s="9"/>
      <c r="AC2974" s="9"/>
      <c r="AD2974" s="9"/>
      <c r="AE2974" s="9"/>
      <c r="AF2974" s="9"/>
      <c r="AG2974" s="9"/>
    </row>
    <row r="2975" spans="2:33">
      <c r="B2975" s="9"/>
      <c r="C2975" s="9"/>
      <c r="D2975" s="9"/>
      <c r="E2975" s="9"/>
      <c r="F2975" s="9"/>
      <c r="G2975" s="9"/>
      <c r="H2975" s="9"/>
      <c r="I2975" s="9"/>
      <c r="J2975" s="9"/>
      <c r="K2975" s="9"/>
      <c r="L2975" s="9"/>
      <c r="M2975" s="9"/>
      <c r="N2975" s="9"/>
      <c r="O2975" s="9"/>
      <c r="P2975" s="9"/>
      <c r="Q2975" s="9"/>
      <c r="R2975" s="9"/>
      <c r="S2975" s="9"/>
      <c r="T2975" s="9"/>
      <c r="U2975" s="9"/>
      <c r="V2975" s="9"/>
      <c r="W2975" s="9"/>
      <c r="X2975" s="9"/>
      <c r="Y2975" s="9"/>
      <c r="Z2975" s="9"/>
      <c r="AA2975" s="9"/>
      <c r="AB2975" s="9"/>
      <c r="AC2975" s="9"/>
      <c r="AD2975" s="9"/>
      <c r="AE2975" s="9"/>
      <c r="AF2975" s="9"/>
      <c r="AG2975" s="9"/>
    </row>
    <row r="2976" spans="2:33">
      <c r="B2976" s="9"/>
      <c r="C2976" s="9"/>
      <c r="D2976" s="9"/>
      <c r="E2976" s="9"/>
      <c r="F2976" s="9"/>
      <c r="G2976" s="9"/>
      <c r="H2976" s="9"/>
      <c r="I2976" s="9"/>
      <c r="J2976" s="9"/>
      <c r="K2976" s="9"/>
      <c r="L2976" s="9"/>
      <c r="M2976" s="9"/>
      <c r="N2976" s="9"/>
      <c r="O2976" s="9"/>
      <c r="P2976" s="9"/>
      <c r="Q2976" s="9"/>
      <c r="R2976" s="9"/>
      <c r="S2976" s="9"/>
      <c r="T2976" s="9"/>
      <c r="U2976" s="9"/>
      <c r="V2976" s="9"/>
      <c r="W2976" s="9"/>
      <c r="X2976" s="9"/>
      <c r="Y2976" s="9"/>
      <c r="Z2976" s="9"/>
      <c r="AA2976" s="9"/>
      <c r="AB2976" s="9"/>
      <c r="AC2976" s="9"/>
      <c r="AD2976" s="9"/>
      <c r="AE2976" s="9"/>
      <c r="AF2976" s="9"/>
      <c r="AG2976" s="9"/>
    </row>
    <row r="3292" spans="2:33">
      <c r="B3292" s="9"/>
      <c r="C3292" s="9"/>
      <c r="D3292" s="9"/>
      <c r="E3292" s="9"/>
      <c r="F3292" s="9"/>
      <c r="G3292" s="9"/>
      <c r="H3292" s="9"/>
      <c r="I3292" s="9"/>
      <c r="J3292" s="9"/>
      <c r="K3292" s="9"/>
      <c r="L3292" s="9"/>
      <c r="M3292" s="9"/>
      <c r="N3292" s="9"/>
      <c r="O3292" s="9"/>
      <c r="P3292" s="9"/>
      <c r="Q3292" s="9"/>
      <c r="R3292" s="9"/>
      <c r="S3292" s="9"/>
      <c r="T3292" s="9"/>
      <c r="U3292" s="9"/>
      <c r="V3292" s="9"/>
      <c r="W3292" s="9"/>
      <c r="X3292" s="9"/>
      <c r="Y3292" s="9"/>
      <c r="Z3292" s="9"/>
      <c r="AA3292" s="9"/>
      <c r="AB3292" s="9"/>
      <c r="AC3292" s="9"/>
      <c r="AD3292" s="9"/>
      <c r="AE3292" s="9"/>
      <c r="AF3292" s="9"/>
      <c r="AG3292" s="9"/>
    </row>
    <row r="3293" spans="2:33">
      <c r="B3293" s="113"/>
      <c r="C3293" s="113"/>
      <c r="D3293" s="113"/>
      <c r="E3293" s="113"/>
      <c r="F3293" s="113"/>
      <c r="G3293" s="113"/>
      <c r="H3293" s="113"/>
      <c r="I3293" s="113"/>
      <c r="J3293" s="113"/>
      <c r="K3293" s="113"/>
      <c r="L3293" s="113"/>
      <c r="M3293" s="113"/>
      <c r="N3293" s="113"/>
      <c r="O3293" s="113"/>
      <c r="P3293" s="113"/>
      <c r="Q3293" s="113"/>
      <c r="R3293" s="113"/>
      <c r="S3293" s="113"/>
      <c r="T3293" s="113"/>
      <c r="U3293" s="113"/>
      <c r="V3293" s="113"/>
      <c r="W3293" s="113"/>
      <c r="X3293" s="113"/>
      <c r="Y3293" s="113"/>
      <c r="Z3293" s="113"/>
      <c r="AA3293" s="113"/>
      <c r="AB3293" s="113"/>
      <c r="AC3293" s="113"/>
      <c r="AD3293" s="113"/>
      <c r="AE3293" s="113"/>
      <c r="AF3293" s="113"/>
      <c r="AG3293" s="113"/>
    </row>
    <row r="3294" spans="2:33">
      <c r="B3294" s="9"/>
      <c r="C3294" s="9"/>
      <c r="D3294" s="9"/>
      <c r="E3294" s="9"/>
      <c r="F3294" s="9"/>
      <c r="G3294" s="9"/>
      <c r="H3294" s="9"/>
      <c r="I3294" s="9"/>
      <c r="J3294" s="9"/>
      <c r="K3294" s="9"/>
      <c r="L3294" s="9"/>
      <c r="M3294" s="9"/>
      <c r="N3294" s="9"/>
      <c r="O3294" s="9"/>
      <c r="P3294" s="9"/>
      <c r="Q3294" s="9"/>
      <c r="R3294" s="9"/>
      <c r="S3294" s="9"/>
      <c r="T3294" s="9"/>
      <c r="U3294" s="9"/>
      <c r="V3294" s="9"/>
      <c r="W3294" s="9"/>
      <c r="X3294" s="9"/>
      <c r="Y3294" s="9"/>
      <c r="Z3294" s="9"/>
      <c r="AA3294" s="9"/>
      <c r="AB3294" s="9"/>
      <c r="AC3294" s="9"/>
      <c r="AD3294" s="9"/>
      <c r="AE3294" s="9"/>
      <c r="AF3294" s="9"/>
      <c r="AG3294" s="9"/>
    </row>
    <row r="3295" spans="2:33">
      <c r="B3295" s="9"/>
      <c r="C3295" s="9"/>
      <c r="D3295" s="9"/>
      <c r="E3295" s="9"/>
      <c r="F3295" s="9"/>
      <c r="G3295" s="9"/>
      <c r="H3295" s="9"/>
      <c r="I3295" s="9"/>
      <c r="J3295" s="9"/>
      <c r="K3295" s="9"/>
      <c r="L3295" s="9"/>
      <c r="M3295" s="9"/>
      <c r="N3295" s="9"/>
      <c r="O3295" s="9"/>
      <c r="P3295" s="9"/>
      <c r="Q3295" s="9"/>
      <c r="R3295" s="9"/>
      <c r="S3295" s="9"/>
      <c r="T3295" s="9"/>
      <c r="U3295" s="9"/>
      <c r="V3295" s="9"/>
      <c r="W3295" s="9"/>
      <c r="X3295" s="9"/>
      <c r="Y3295" s="9"/>
      <c r="Z3295" s="9"/>
      <c r="AA3295" s="9"/>
      <c r="AB3295" s="9"/>
      <c r="AC3295" s="9"/>
      <c r="AD3295" s="9"/>
      <c r="AE3295" s="9"/>
      <c r="AF3295" s="9"/>
      <c r="AG3295" s="9"/>
    </row>
    <row r="3296" spans="2:33">
      <c r="B3296" s="9"/>
      <c r="C3296" s="9"/>
      <c r="D3296" s="9"/>
      <c r="E3296" s="9"/>
      <c r="F3296" s="9"/>
      <c r="G3296" s="9"/>
      <c r="H3296" s="9"/>
      <c r="I3296" s="9"/>
      <c r="J3296" s="9"/>
      <c r="K3296" s="9"/>
      <c r="L3296" s="9"/>
      <c r="M3296" s="9"/>
      <c r="N3296" s="9"/>
      <c r="O3296" s="9"/>
      <c r="P3296" s="9"/>
      <c r="Q3296" s="9"/>
      <c r="R3296" s="9"/>
      <c r="S3296" s="9"/>
      <c r="T3296" s="9"/>
      <c r="U3296" s="9"/>
      <c r="V3296" s="9"/>
      <c r="W3296" s="9"/>
      <c r="X3296" s="9"/>
      <c r="Y3296" s="9"/>
      <c r="Z3296" s="9"/>
      <c r="AA3296" s="9"/>
      <c r="AB3296" s="9"/>
      <c r="AC3296" s="9"/>
      <c r="AD3296" s="9"/>
      <c r="AE3296" s="9"/>
      <c r="AF3296" s="9"/>
      <c r="AG3296" s="9"/>
    </row>
    <row r="3396" spans="2:33">
      <c r="B3396" s="9"/>
      <c r="C3396" s="9"/>
      <c r="D3396" s="9"/>
      <c r="E3396" s="9"/>
      <c r="F3396" s="9"/>
      <c r="G3396" s="9"/>
      <c r="H3396" s="9"/>
      <c r="I3396" s="9"/>
      <c r="J3396" s="9"/>
      <c r="K3396" s="9"/>
      <c r="L3396" s="9"/>
      <c r="M3396" s="9"/>
      <c r="N3396" s="9"/>
      <c r="O3396" s="9"/>
      <c r="P3396" s="9"/>
      <c r="Q3396" s="9"/>
      <c r="R3396" s="9"/>
      <c r="S3396" s="9"/>
      <c r="T3396" s="9"/>
      <c r="U3396" s="9"/>
      <c r="V3396" s="9"/>
      <c r="W3396" s="9"/>
      <c r="X3396" s="9"/>
      <c r="Y3396" s="9"/>
      <c r="Z3396" s="9"/>
      <c r="AA3396" s="9"/>
      <c r="AB3396" s="9"/>
      <c r="AC3396" s="9"/>
      <c r="AD3396" s="9"/>
      <c r="AE3396" s="9"/>
      <c r="AF3396" s="9"/>
      <c r="AG3396" s="9"/>
    </row>
    <row r="3399" spans="2:33">
      <c r="B3399" s="9"/>
      <c r="C3399" s="9"/>
      <c r="D3399" s="9"/>
      <c r="E3399" s="9"/>
      <c r="F3399" s="9"/>
      <c r="G3399" s="9"/>
      <c r="H3399" s="9"/>
      <c r="I3399" s="9"/>
      <c r="J3399" s="9"/>
      <c r="K3399" s="9"/>
      <c r="L3399" s="9"/>
      <c r="M3399" s="9"/>
      <c r="N3399" s="9"/>
      <c r="O3399" s="9"/>
      <c r="P3399" s="9"/>
      <c r="Q3399" s="9"/>
      <c r="R3399" s="9"/>
      <c r="S3399" s="9"/>
      <c r="T3399" s="9"/>
      <c r="U3399" s="9"/>
      <c r="V3399" s="9"/>
      <c r="W3399" s="9"/>
      <c r="X3399" s="9"/>
      <c r="Y3399" s="9"/>
      <c r="Z3399" s="9"/>
      <c r="AA3399" s="9"/>
      <c r="AB3399" s="9"/>
      <c r="AC3399" s="9"/>
      <c r="AD3399" s="9"/>
      <c r="AE3399" s="9"/>
      <c r="AF3399" s="9"/>
      <c r="AG3399" s="9"/>
    </row>
    <row r="3401" spans="2:33">
      <c r="B3401" s="9"/>
      <c r="C3401" s="9"/>
      <c r="D3401" s="9"/>
      <c r="E3401" s="9"/>
      <c r="F3401" s="9"/>
      <c r="G3401" s="9"/>
      <c r="H3401" s="9"/>
      <c r="I3401" s="9"/>
      <c r="J3401" s="9"/>
      <c r="K3401" s="9"/>
      <c r="L3401" s="9"/>
      <c r="M3401" s="9"/>
      <c r="N3401" s="9"/>
      <c r="O3401" s="9"/>
      <c r="P3401" s="9"/>
      <c r="Q3401" s="9"/>
      <c r="R3401" s="9"/>
      <c r="S3401" s="9"/>
      <c r="T3401" s="9"/>
      <c r="U3401" s="9"/>
      <c r="V3401" s="9"/>
      <c r="W3401" s="9"/>
      <c r="X3401" s="9"/>
      <c r="Y3401" s="9"/>
      <c r="Z3401" s="9"/>
      <c r="AA3401" s="9"/>
      <c r="AB3401" s="9"/>
      <c r="AC3401" s="9"/>
      <c r="AD3401" s="9"/>
      <c r="AE3401" s="9"/>
      <c r="AF3401" s="9"/>
      <c r="AG3401" s="9"/>
    </row>
    <row r="3402" spans="2:33">
      <c r="B3402" s="113"/>
      <c r="C3402" s="113"/>
      <c r="D3402" s="113"/>
      <c r="E3402" s="113"/>
      <c r="F3402" s="113"/>
      <c r="G3402" s="113"/>
      <c r="H3402" s="113"/>
      <c r="I3402" s="113"/>
      <c r="J3402" s="113"/>
      <c r="K3402" s="113"/>
      <c r="L3402" s="113"/>
      <c r="M3402" s="113"/>
      <c r="N3402" s="113"/>
      <c r="O3402" s="113"/>
      <c r="P3402" s="113"/>
      <c r="Q3402" s="113"/>
      <c r="R3402" s="113"/>
      <c r="S3402" s="113"/>
      <c r="T3402" s="113"/>
      <c r="U3402" s="113"/>
      <c r="V3402" s="113"/>
      <c r="W3402" s="113"/>
      <c r="X3402" s="113"/>
      <c r="Y3402" s="113"/>
      <c r="Z3402" s="113"/>
      <c r="AA3402" s="113"/>
      <c r="AB3402" s="113"/>
      <c r="AC3402" s="113"/>
      <c r="AD3402" s="113"/>
      <c r="AE3402" s="113"/>
      <c r="AF3402" s="113"/>
      <c r="AG3402" s="113"/>
    </row>
    <row r="3521" spans="2:33">
      <c r="B3521" s="9"/>
      <c r="C3521" s="9"/>
      <c r="D3521" s="9"/>
      <c r="E3521" s="9"/>
      <c r="F3521" s="9"/>
      <c r="G3521" s="9"/>
      <c r="H3521" s="9"/>
      <c r="I3521" s="9"/>
      <c r="J3521" s="9"/>
      <c r="K3521" s="9"/>
      <c r="L3521" s="9"/>
      <c r="M3521" s="9"/>
      <c r="N3521" s="9"/>
      <c r="O3521" s="9"/>
      <c r="P3521" s="9"/>
      <c r="Q3521" s="9"/>
      <c r="R3521" s="9"/>
      <c r="S3521" s="9"/>
      <c r="T3521" s="9"/>
      <c r="U3521" s="9"/>
      <c r="V3521" s="9"/>
      <c r="W3521" s="9"/>
      <c r="X3521" s="9"/>
      <c r="Y3521" s="9"/>
      <c r="Z3521" s="9"/>
      <c r="AA3521" s="9"/>
      <c r="AB3521" s="9"/>
      <c r="AC3521" s="9"/>
      <c r="AD3521" s="9"/>
      <c r="AE3521" s="9"/>
      <c r="AF3521" s="9"/>
      <c r="AG3521" s="9"/>
    </row>
    <row r="3524" spans="2:33">
      <c r="B3524" s="9"/>
      <c r="C3524" s="9"/>
      <c r="D3524" s="9"/>
      <c r="E3524" s="9"/>
      <c r="F3524" s="9"/>
      <c r="G3524" s="9"/>
      <c r="H3524" s="9"/>
      <c r="I3524" s="9"/>
      <c r="J3524" s="9"/>
      <c r="K3524" s="9"/>
      <c r="L3524" s="9"/>
      <c r="M3524" s="9"/>
      <c r="N3524" s="9"/>
      <c r="O3524" s="9"/>
      <c r="P3524" s="9"/>
      <c r="Q3524" s="9"/>
      <c r="R3524" s="9"/>
      <c r="S3524" s="9"/>
      <c r="T3524" s="9"/>
      <c r="U3524" s="9"/>
      <c r="V3524" s="9"/>
      <c r="W3524" s="9"/>
      <c r="X3524" s="9"/>
      <c r="Y3524" s="9"/>
      <c r="Z3524" s="9"/>
      <c r="AA3524" s="9"/>
      <c r="AB3524" s="9"/>
      <c r="AC3524" s="9"/>
      <c r="AD3524" s="9"/>
      <c r="AE3524" s="9"/>
      <c r="AF3524" s="9"/>
      <c r="AG3524" s="9"/>
    </row>
    <row r="3526" spans="2:33">
      <c r="B3526" s="9"/>
      <c r="C3526" s="9"/>
      <c r="D3526" s="9"/>
      <c r="E3526" s="9"/>
      <c r="F3526" s="9"/>
      <c r="G3526" s="9"/>
      <c r="H3526" s="9"/>
      <c r="I3526" s="9"/>
      <c r="J3526" s="9"/>
      <c r="K3526" s="9"/>
      <c r="L3526" s="9"/>
      <c r="M3526" s="9"/>
      <c r="N3526" s="9"/>
      <c r="O3526" s="9"/>
      <c r="P3526" s="9"/>
      <c r="Q3526" s="9"/>
      <c r="R3526" s="9"/>
      <c r="S3526" s="9"/>
      <c r="T3526" s="9"/>
      <c r="U3526" s="9"/>
      <c r="V3526" s="9"/>
      <c r="W3526" s="9"/>
      <c r="X3526" s="9"/>
      <c r="Y3526" s="9"/>
      <c r="Z3526" s="9"/>
      <c r="AA3526" s="9"/>
      <c r="AB3526" s="9"/>
      <c r="AC3526" s="9"/>
      <c r="AD3526" s="9"/>
      <c r="AE3526" s="9"/>
      <c r="AF3526" s="9"/>
      <c r="AG3526" s="9"/>
    </row>
    <row r="3527" spans="2:33">
      <c r="B3527" s="113"/>
      <c r="C3527" s="113"/>
      <c r="D3527" s="113"/>
      <c r="E3527" s="113"/>
      <c r="F3527" s="113"/>
      <c r="G3527" s="113"/>
      <c r="H3527" s="113"/>
      <c r="I3527" s="113"/>
      <c r="J3527" s="113"/>
      <c r="K3527" s="113"/>
      <c r="L3527" s="113"/>
      <c r="M3527" s="113"/>
      <c r="N3527" s="113"/>
      <c r="O3527" s="113"/>
      <c r="P3527" s="113"/>
      <c r="Q3527" s="113"/>
      <c r="R3527" s="113"/>
      <c r="S3527" s="113"/>
      <c r="T3527" s="113"/>
      <c r="U3527" s="113"/>
      <c r="V3527" s="113"/>
      <c r="W3527" s="113"/>
      <c r="X3527" s="113"/>
      <c r="Y3527" s="113"/>
      <c r="Z3527" s="113"/>
      <c r="AA3527" s="113"/>
      <c r="AB3527" s="113"/>
      <c r="AC3527" s="113"/>
      <c r="AD3527" s="113"/>
      <c r="AE3527" s="113"/>
      <c r="AF3527" s="113"/>
      <c r="AG3527" s="113"/>
    </row>
    <row r="3535" spans="2:33">
      <c r="B3535" s="9"/>
      <c r="C3535" s="9"/>
      <c r="D3535" s="9"/>
      <c r="E3535" s="9"/>
      <c r="F3535" s="9"/>
      <c r="G3535" s="9"/>
      <c r="H3535" s="9"/>
      <c r="I3535" s="9"/>
      <c r="J3535" s="9"/>
      <c r="K3535" s="9"/>
      <c r="L3535" s="9"/>
      <c r="M3535" s="9"/>
      <c r="N3535" s="9"/>
      <c r="O3535" s="9"/>
      <c r="P3535" s="9"/>
      <c r="Q3535" s="9"/>
      <c r="R3535" s="9"/>
      <c r="S3535" s="9"/>
      <c r="T3535" s="9"/>
      <c r="U3535" s="9"/>
      <c r="V3535" s="9"/>
      <c r="W3535" s="9"/>
      <c r="X3535" s="9"/>
      <c r="Y3535" s="9"/>
      <c r="Z3535" s="9"/>
      <c r="AA3535" s="9"/>
      <c r="AB3535" s="9"/>
      <c r="AC3535" s="9"/>
      <c r="AD3535" s="9"/>
      <c r="AE3535" s="9"/>
      <c r="AF3535" s="9"/>
      <c r="AG3535" s="9"/>
    </row>
    <row r="3536" spans="2:33">
      <c r="B3536" s="9"/>
      <c r="C3536" s="9"/>
      <c r="D3536" s="9"/>
      <c r="E3536" s="9"/>
      <c r="F3536" s="9"/>
      <c r="G3536" s="9"/>
      <c r="H3536" s="9"/>
      <c r="I3536" s="9"/>
      <c r="J3536" s="9"/>
      <c r="K3536" s="9"/>
      <c r="L3536" s="9"/>
      <c r="M3536" s="9"/>
      <c r="N3536" s="9"/>
      <c r="O3536" s="9"/>
      <c r="P3536" s="9"/>
      <c r="Q3536" s="9"/>
      <c r="R3536" s="9"/>
      <c r="S3536" s="9"/>
      <c r="T3536" s="9"/>
      <c r="U3536" s="9"/>
      <c r="V3536" s="9"/>
      <c r="W3536" s="9"/>
      <c r="X3536" s="9"/>
      <c r="Y3536" s="9"/>
      <c r="Z3536" s="9"/>
      <c r="AA3536" s="9"/>
      <c r="AB3536" s="9"/>
      <c r="AC3536" s="9"/>
      <c r="AD3536" s="9"/>
      <c r="AE3536" s="9"/>
      <c r="AF3536" s="9"/>
      <c r="AG3536" s="9"/>
    </row>
    <row r="3649" spans="2:33">
      <c r="B3649" s="9"/>
      <c r="C3649" s="9"/>
      <c r="D3649" s="9"/>
      <c r="E3649" s="9"/>
      <c r="F3649" s="9"/>
      <c r="G3649" s="9"/>
      <c r="H3649" s="9"/>
      <c r="I3649" s="9"/>
      <c r="J3649" s="9"/>
      <c r="K3649" s="9"/>
      <c r="L3649" s="9"/>
      <c r="M3649" s="9"/>
      <c r="N3649" s="9"/>
      <c r="O3649" s="9"/>
      <c r="P3649" s="9"/>
      <c r="Q3649" s="9"/>
      <c r="R3649" s="9"/>
      <c r="S3649" s="9"/>
      <c r="T3649" s="9"/>
      <c r="U3649" s="9"/>
      <c r="V3649" s="9"/>
      <c r="W3649" s="9"/>
      <c r="X3649" s="9"/>
      <c r="Y3649" s="9"/>
      <c r="Z3649" s="9"/>
      <c r="AA3649" s="9"/>
      <c r="AB3649" s="9"/>
      <c r="AC3649" s="9"/>
      <c r="AD3649" s="9"/>
      <c r="AE3649" s="9"/>
      <c r="AF3649" s="9"/>
      <c r="AG3649" s="9"/>
    </row>
    <row r="3651" spans="2:33">
      <c r="B3651" s="9"/>
      <c r="C3651" s="9"/>
      <c r="D3651" s="9"/>
      <c r="E3651" s="9"/>
      <c r="F3651" s="9"/>
      <c r="G3651" s="9"/>
      <c r="H3651" s="9"/>
      <c r="I3651" s="9"/>
      <c r="J3651" s="9"/>
      <c r="K3651" s="9"/>
      <c r="L3651" s="9"/>
      <c r="M3651" s="9"/>
      <c r="N3651" s="9"/>
      <c r="O3651" s="9"/>
      <c r="P3651" s="9"/>
      <c r="Q3651" s="9"/>
      <c r="R3651" s="9"/>
      <c r="S3651" s="9"/>
      <c r="T3651" s="9"/>
      <c r="U3651" s="9"/>
      <c r="V3651" s="9"/>
      <c r="W3651" s="9"/>
      <c r="X3651" s="9"/>
      <c r="Y3651" s="9"/>
      <c r="Z3651" s="9"/>
      <c r="AA3651" s="9"/>
      <c r="AB3651" s="9"/>
      <c r="AC3651" s="9"/>
      <c r="AD3651" s="9"/>
      <c r="AE3651" s="9"/>
      <c r="AF3651" s="9"/>
      <c r="AG3651" s="9"/>
    </row>
    <row r="3652" spans="2:33">
      <c r="B3652" s="113"/>
      <c r="C3652" s="113"/>
      <c r="D3652" s="113"/>
      <c r="E3652" s="113"/>
      <c r="F3652" s="113"/>
      <c r="G3652" s="113"/>
      <c r="H3652" s="113"/>
      <c r="I3652" s="113"/>
      <c r="J3652" s="113"/>
      <c r="K3652" s="113"/>
      <c r="L3652" s="113"/>
      <c r="M3652" s="113"/>
      <c r="N3652" s="113"/>
      <c r="O3652" s="113"/>
      <c r="P3652" s="113"/>
      <c r="Q3652" s="113"/>
      <c r="R3652" s="113"/>
      <c r="S3652" s="113"/>
      <c r="T3652" s="113"/>
      <c r="U3652" s="113"/>
      <c r="V3652" s="113"/>
      <c r="W3652" s="113"/>
      <c r="X3652" s="113"/>
      <c r="Y3652" s="113"/>
      <c r="Z3652" s="113"/>
      <c r="AA3652" s="113"/>
      <c r="AB3652" s="113"/>
      <c r="AC3652" s="113"/>
      <c r="AD3652" s="113"/>
      <c r="AE3652" s="113"/>
      <c r="AF3652" s="113"/>
      <c r="AG3652" s="113"/>
    </row>
    <row r="3660" spans="2:33">
      <c r="B3660" s="9"/>
      <c r="C3660" s="9"/>
      <c r="D3660" s="9"/>
      <c r="E3660" s="9"/>
      <c r="F3660" s="9"/>
      <c r="G3660" s="9"/>
      <c r="H3660" s="9"/>
      <c r="I3660" s="9"/>
      <c r="J3660" s="9"/>
      <c r="K3660" s="9"/>
      <c r="L3660" s="9"/>
      <c r="M3660" s="9"/>
      <c r="N3660" s="9"/>
      <c r="O3660" s="9"/>
      <c r="P3660" s="9"/>
      <c r="Q3660" s="9"/>
      <c r="R3660" s="9"/>
      <c r="S3660" s="9"/>
      <c r="T3660" s="9"/>
      <c r="U3660" s="9"/>
      <c r="V3660" s="9"/>
      <c r="W3660" s="9"/>
      <c r="X3660" s="9"/>
      <c r="Y3660" s="9"/>
      <c r="Z3660" s="9"/>
      <c r="AA3660" s="9"/>
      <c r="AB3660" s="9"/>
      <c r="AC3660" s="9"/>
      <c r="AD3660" s="9"/>
      <c r="AE3660" s="9"/>
      <c r="AF3660" s="9"/>
      <c r="AG3660" s="9"/>
    </row>
    <row r="3661" spans="2:33">
      <c r="B3661" s="9"/>
      <c r="C3661" s="9"/>
      <c r="D3661" s="9"/>
      <c r="E3661" s="9"/>
      <c r="F3661" s="9"/>
      <c r="G3661" s="9"/>
      <c r="H3661" s="9"/>
      <c r="I3661" s="9"/>
      <c r="J3661" s="9"/>
      <c r="K3661" s="9"/>
      <c r="L3661" s="9"/>
      <c r="M3661" s="9"/>
      <c r="N3661" s="9"/>
      <c r="O3661" s="9"/>
      <c r="P3661" s="9"/>
      <c r="Q3661" s="9"/>
      <c r="R3661" s="9"/>
      <c r="S3661" s="9"/>
      <c r="T3661" s="9"/>
      <c r="U3661" s="9"/>
      <c r="V3661" s="9"/>
      <c r="W3661" s="9"/>
      <c r="X3661" s="9"/>
      <c r="Y3661" s="9"/>
      <c r="Z3661" s="9"/>
      <c r="AA3661" s="9"/>
      <c r="AB3661" s="9"/>
      <c r="AC3661" s="9"/>
      <c r="AD3661" s="9"/>
      <c r="AE3661" s="9"/>
      <c r="AF3661" s="9"/>
      <c r="AG3661" s="9"/>
    </row>
    <row r="3662" spans="2:33">
      <c r="B3662" s="9"/>
      <c r="C3662" s="9"/>
      <c r="D3662" s="9"/>
      <c r="E3662" s="9"/>
      <c r="F3662" s="9"/>
      <c r="G3662" s="9"/>
      <c r="H3662" s="9"/>
      <c r="I3662" s="9"/>
      <c r="J3662" s="9"/>
      <c r="K3662" s="9"/>
      <c r="L3662" s="9"/>
      <c r="M3662" s="9"/>
      <c r="N3662" s="9"/>
      <c r="O3662" s="9"/>
      <c r="P3662" s="9"/>
      <c r="Q3662" s="9"/>
      <c r="R3662" s="9"/>
      <c r="S3662" s="9"/>
      <c r="T3662" s="9"/>
      <c r="U3662" s="9"/>
      <c r="V3662" s="9"/>
      <c r="W3662" s="9"/>
      <c r="X3662" s="9"/>
      <c r="Y3662" s="9"/>
      <c r="Z3662" s="9"/>
      <c r="AA3662" s="9"/>
      <c r="AB3662" s="9"/>
      <c r="AC3662" s="9"/>
      <c r="AD3662" s="9"/>
      <c r="AE3662" s="9"/>
      <c r="AF3662" s="9"/>
      <c r="AG3662" s="9"/>
    </row>
    <row r="3663" spans="2:33">
      <c r="B3663" s="9"/>
      <c r="C3663" s="9"/>
      <c r="D3663" s="9"/>
      <c r="E3663" s="9"/>
      <c r="F3663" s="9"/>
      <c r="G3663" s="9"/>
      <c r="H3663" s="9"/>
      <c r="I3663" s="9"/>
      <c r="J3663" s="9"/>
      <c r="K3663" s="9"/>
      <c r="L3663" s="9"/>
      <c r="M3663" s="9"/>
      <c r="N3663" s="9"/>
      <c r="O3663" s="9"/>
      <c r="P3663" s="9"/>
      <c r="Q3663" s="9"/>
      <c r="R3663" s="9"/>
      <c r="S3663" s="9"/>
      <c r="T3663" s="9"/>
      <c r="U3663" s="9"/>
      <c r="V3663" s="9"/>
      <c r="W3663" s="9"/>
      <c r="X3663" s="9"/>
      <c r="Y3663" s="9"/>
      <c r="Z3663" s="9"/>
      <c r="AA3663" s="9"/>
      <c r="AB3663" s="9"/>
      <c r="AC3663" s="9"/>
      <c r="AD3663" s="9"/>
      <c r="AE3663" s="9"/>
      <c r="AF3663" s="9"/>
      <c r="AG3663" s="9"/>
    </row>
    <row r="3664" spans="2:33">
      <c r="B3664" s="9"/>
      <c r="C3664" s="9"/>
      <c r="D3664" s="9"/>
      <c r="E3664" s="9"/>
      <c r="F3664" s="9"/>
      <c r="G3664" s="9"/>
      <c r="H3664" s="9"/>
      <c r="I3664" s="9"/>
      <c r="J3664" s="9"/>
      <c r="K3664" s="9"/>
      <c r="L3664" s="9"/>
      <c r="M3664" s="9"/>
      <c r="N3664" s="9"/>
      <c r="O3664" s="9"/>
      <c r="P3664" s="9"/>
      <c r="Q3664" s="9"/>
      <c r="R3664" s="9"/>
      <c r="S3664" s="9"/>
      <c r="T3664" s="9"/>
      <c r="U3664" s="9"/>
      <c r="V3664" s="9"/>
      <c r="W3664" s="9"/>
      <c r="X3664" s="9"/>
      <c r="Y3664" s="9"/>
      <c r="Z3664" s="9"/>
      <c r="AA3664" s="9"/>
      <c r="AB3664" s="9"/>
      <c r="AC3664" s="9"/>
      <c r="AD3664" s="9"/>
      <c r="AE3664" s="9"/>
      <c r="AF3664" s="9"/>
      <c r="AG3664" s="9"/>
    </row>
    <row r="3777" spans="2:33">
      <c r="B3777" s="113"/>
      <c r="C3777" s="113"/>
      <c r="D3777" s="113"/>
      <c r="E3777" s="113"/>
      <c r="F3777" s="113"/>
      <c r="G3777" s="113"/>
      <c r="H3777" s="113"/>
      <c r="I3777" s="113"/>
      <c r="J3777" s="113"/>
      <c r="K3777" s="113"/>
      <c r="L3777" s="113"/>
      <c r="M3777" s="113"/>
      <c r="N3777" s="113"/>
      <c r="O3777" s="113"/>
      <c r="P3777" s="113"/>
      <c r="Q3777" s="113"/>
      <c r="R3777" s="113"/>
      <c r="S3777" s="113"/>
      <c r="T3777" s="113"/>
      <c r="U3777" s="113"/>
      <c r="V3777" s="113"/>
      <c r="W3777" s="113"/>
      <c r="X3777" s="113"/>
      <c r="Y3777" s="113"/>
      <c r="Z3777" s="113"/>
      <c r="AA3777" s="113"/>
      <c r="AB3777" s="113"/>
      <c r="AC3777" s="113"/>
      <c r="AD3777" s="113"/>
      <c r="AE3777" s="113"/>
      <c r="AF3777" s="113"/>
      <c r="AG3777" s="113"/>
    </row>
    <row r="3785" spans="2:33">
      <c r="B3785" s="9"/>
      <c r="C3785" s="9"/>
      <c r="D3785" s="9"/>
      <c r="E3785" s="9"/>
      <c r="F3785" s="9"/>
      <c r="G3785" s="9"/>
      <c r="H3785" s="9"/>
      <c r="I3785" s="9"/>
      <c r="J3785" s="9"/>
      <c r="K3785" s="9"/>
      <c r="L3785" s="9"/>
      <c r="M3785" s="9"/>
      <c r="N3785" s="9"/>
      <c r="O3785" s="9"/>
      <c r="P3785" s="9"/>
      <c r="Q3785" s="9"/>
      <c r="R3785" s="9"/>
      <c r="S3785" s="9"/>
      <c r="T3785" s="9"/>
      <c r="U3785" s="9"/>
      <c r="V3785" s="9"/>
      <c r="W3785" s="9"/>
      <c r="X3785" s="9"/>
      <c r="Y3785" s="9"/>
      <c r="Z3785" s="9"/>
      <c r="AA3785" s="9"/>
      <c r="AB3785" s="9"/>
      <c r="AC3785" s="9"/>
      <c r="AD3785" s="9"/>
      <c r="AE3785" s="9"/>
      <c r="AF3785" s="9"/>
      <c r="AG3785" s="9"/>
    </row>
    <row r="3786" spans="2:33">
      <c r="B3786" s="9"/>
      <c r="C3786" s="9"/>
      <c r="D3786" s="9"/>
      <c r="E3786" s="9"/>
      <c r="F3786" s="9"/>
      <c r="G3786" s="9"/>
      <c r="H3786" s="9"/>
      <c r="I3786" s="9"/>
      <c r="J3786" s="9"/>
      <c r="K3786" s="9"/>
      <c r="L3786" s="9"/>
      <c r="M3786" s="9"/>
      <c r="N3786" s="9"/>
      <c r="O3786" s="9"/>
      <c r="P3786" s="9"/>
      <c r="Q3786" s="9"/>
      <c r="R3786" s="9"/>
      <c r="S3786" s="9"/>
      <c r="T3786" s="9"/>
      <c r="U3786" s="9"/>
      <c r="V3786" s="9"/>
      <c r="W3786" s="9"/>
      <c r="X3786" s="9"/>
      <c r="Y3786" s="9"/>
      <c r="Z3786" s="9"/>
      <c r="AA3786" s="9"/>
      <c r="AB3786" s="9"/>
      <c r="AC3786" s="9"/>
      <c r="AD3786" s="9"/>
      <c r="AE3786" s="9"/>
      <c r="AF3786" s="9"/>
      <c r="AG3786" s="9"/>
    </row>
    <row r="3787" spans="2:33">
      <c r="B3787" s="9"/>
      <c r="C3787" s="9"/>
      <c r="D3787" s="9"/>
      <c r="E3787" s="9"/>
      <c r="F3787" s="9"/>
      <c r="G3787" s="9"/>
      <c r="H3787" s="9"/>
      <c r="I3787" s="9"/>
      <c r="J3787" s="9"/>
      <c r="K3787" s="9"/>
      <c r="L3787" s="9"/>
      <c r="M3787" s="9"/>
      <c r="N3787" s="9"/>
      <c r="O3787" s="9"/>
      <c r="P3787" s="9"/>
      <c r="Q3787" s="9"/>
      <c r="R3787" s="9"/>
      <c r="S3787" s="9"/>
      <c r="T3787" s="9"/>
      <c r="U3787" s="9"/>
      <c r="V3787" s="9"/>
      <c r="W3787" s="9"/>
      <c r="X3787" s="9"/>
      <c r="Y3787" s="9"/>
      <c r="Z3787" s="9"/>
      <c r="AA3787" s="9"/>
      <c r="AB3787" s="9"/>
      <c r="AC3787" s="9"/>
      <c r="AD3787" s="9"/>
      <c r="AE3787" s="9"/>
      <c r="AF3787" s="9"/>
      <c r="AG3787" s="9"/>
    </row>
    <row r="3788" spans="2:33">
      <c r="B3788" s="9"/>
      <c r="C3788" s="9"/>
      <c r="D3788" s="9"/>
      <c r="E3788" s="9"/>
      <c r="F3788" s="9"/>
      <c r="G3788" s="9"/>
      <c r="H3788" s="9"/>
      <c r="I3788" s="9"/>
      <c r="J3788" s="9"/>
      <c r="K3788" s="9"/>
      <c r="L3788" s="9"/>
      <c r="M3788" s="9"/>
      <c r="N3788" s="9"/>
      <c r="O3788" s="9"/>
      <c r="P3788" s="9"/>
      <c r="Q3788" s="9"/>
      <c r="R3788" s="9"/>
      <c r="S3788" s="9"/>
      <c r="T3788" s="9"/>
      <c r="U3788" s="9"/>
      <c r="V3788" s="9"/>
      <c r="W3788" s="9"/>
      <c r="X3788" s="9"/>
      <c r="Y3788" s="9"/>
      <c r="Z3788" s="9"/>
      <c r="AA3788" s="9"/>
      <c r="AB3788" s="9"/>
      <c r="AC3788" s="9"/>
      <c r="AD3788" s="9"/>
      <c r="AE3788" s="9"/>
      <c r="AF3788" s="9"/>
      <c r="AG3788" s="9"/>
    </row>
    <row r="3789" spans="2:33">
      <c r="B3789" s="9"/>
      <c r="C3789" s="9"/>
      <c r="D3789" s="9"/>
      <c r="E3789" s="9"/>
      <c r="F3789" s="9"/>
      <c r="G3789" s="9"/>
      <c r="H3789" s="9"/>
      <c r="I3789" s="9"/>
      <c r="J3789" s="9"/>
      <c r="K3789" s="9"/>
      <c r="L3789" s="9"/>
      <c r="M3789" s="9"/>
      <c r="N3789" s="9"/>
      <c r="O3789" s="9"/>
      <c r="P3789" s="9"/>
      <c r="Q3789" s="9"/>
      <c r="R3789" s="9"/>
      <c r="S3789" s="9"/>
      <c r="T3789" s="9"/>
      <c r="U3789" s="9"/>
      <c r="V3789" s="9"/>
      <c r="W3789" s="9"/>
      <c r="X3789" s="9"/>
      <c r="Y3789" s="9"/>
      <c r="Z3789" s="9"/>
      <c r="AA3789" s="9"/>
      <c r="AB3789" s="9"/>
      <c r="AC3789" s="9"/>
      <c r="AD3789" s="9"/>
      <c r="AE3789" s="9"/>
      <c r="AF3789" s="9"/>
      <c r="AG3789" s="9"/>
    </row>
    <row r="3790" spans="2:33">
      <c r="B3790" s="9"/>
      <c r="C3790" s="9"/>
      <c r="D3790" s="9"/>
      <c r="E3790" s="9"/>
      <c r="F3790" s="9"/>
      <c r="G3790" s="9"/>
      <c r="H3790" s="9"/>
      <c r="I3790" s="9"/>
      <c r="J3790" s="9"/>
      <c r="K3790" s="9"/>
      <c r="L3790" s="9"/>
      <c r="M3790" s="9"/>
      <c r="N3790" s="9"/>
      <c r="O3790" s="9"/>
      <c r="P3790" s="9"/>
      <c r="Q3790" s="9"/>
      <c r="R3790" s="9"/>
      <c r="S3790" s="9"/>
      <c r="T3790" s="9"/>
      <c r="U3790" s="9"/>
      <c r="V3790" s="9"/>
      <c r="W3790" s="9"/>
      <c r="X3790" s="9"/>
      <c r="Y3790" s="9"/>
      <c r="Z3790" s="9"/>
      <c r="AA3790" s="9"/>
      <c r="AB3790" s="9"/>
      <c r="AC3790" s="9"/>
      <c r="AD3790" s="9"/>
      <c r="AE3790" s="9"/>
      <c r="AF3790" s="9"/>
      <c r="AG3790" s="9"/>
    </row>
    <row r="3791" spans="2:33">
      <c r="B3791" s="9"/>
      <c r="C3791" s="9"/>
      <c r="D3791" s="9"/>
      <c r="E3791" s="9"/>
      <c r="F3791" s="9"/>
      <c r="G3791" s="9"/>
      <c r="H3791" s="9"/>
      <c r="I3791" s="9"/>
      <c r="J3791" s="9"/>
      <c r="K3791" s="9"/>
      <c r="L3791" s="9"/>
      <c r="M3791" s="9"/>
      <c r="N3791" s="9"/>
      <c r="O3791" s="9"/>
      <c r="P3791" s="9"/>
      <c r="Q3791" s="9"/>
      <c r="R3791" s="9"/>
      <c r="S3791" s="9"/>
      <c r="T3791" s="9"/>
      <c r="U3791" s="9"/>
      <c r="V3791" s="9"/>
      <c r="W3791" s="9"/>
      <c r="X3791" s="9"/>
      <c r="Y3791" s="9"/>
      <c r="Z3791" s="9"/>
      <c r="AA3791" s="9"/>
      <c r="AB3791" s="9"/>
      <c r="AC3791" s="9"/>
      <c r="AD3791" s="9"/>
      <c r="AE3791" s="9"/>
      <c r="AF3791" s="9"/>
      <c r="AG3791" s="9"/>
    </row>
    <row r="3792" spans="2:33">
      <c r="B3792" s="9"/>
      <c r="C3792" s="9"/>
      <c r="D3792" s="9"/>
      <c r="E3792" s="9"/>
      <c r="F3792" s="9"/>
      <c r="G3792" s="9"/>
      <c r="H3792" s="9"/>
      <c r="I3792" s="9"/>
      <c r="J3792" s="9"/>
      <c r="K3792" s="9"/>
      <c r="L3792" s="9"/>
      <c r="M3792" s="9"/>
      <c r="N3792" s="9"/>
      <c r="O3792" s="9"/>
      <c r="P3792" s="9"/>
      <c r="Q3792" s="9"/>
      <c r="R3792" s="9"/>
      <c r="S3792" s="9"/>
      <c r="T3792" s="9"/>
      <c r="U3792" s="9"/>
      <c r="V3792" s="9"/>
      <c r="W3792" s="9"/>
      <c r="X3792" s="9"/>
      <c r="Y3792" s="9"/>
      <c r="Z3792" s="9"/>
      <c r="AA3792" s="9"/>
      <c r="AB3792" s="9"/>
      <c r="AC3792" s="9"/>
      <c r="AD3792" s="9"/>
      <c r="AE3792" s="9"/>
      <c r="AF3792" s="9"/>
      <c r="AG3792" s="9"/>
    </row>
    <row r="3896" spans="2:33">
      <c r="B3896" s="9"/>
      <c r="C3896" s="9"/>
      <c r="D3896" s="9"/>
      <c r="E3896" s="9"/>
      <c r="F3896" s="9"/>
      <c r="G3896" s="9"/>
      <c r="H3896" s="9"/>
      <c r="I3896" s="9"/>
      <c r="J3896" s="9"/>
      <c r="K3896" s="9"/>
      <c r="L3896" s="9"/>
      <c r="M3896" s="9"/>
      <c r="N3896" s="9"/>
      <c r="O3896" s="9"/>
      <c r="P3896" s="9"/>
      <c r="Q3896" s="9"/>
      <c r="R3896" s="9"/>
      <c r="S3896" s="9"/>
      <c r="T3896" s="9"/>
      <c r="U3896" s="9"/>
      <c r="V3896" s="9"/>
      <c r="W3896" s="9"/>
      <c r="X3896" s="9"/>
      <c r="Y3896" s="9"/>
      <c r="Z3896" s="9"/>
      <c r="AA3896" s="9"/>
      <c r="AB3896" s="9"/>
      <c r="AC3896" s="9"/>
      <c r="AD3896" s="9"/>
      <c r="AE3896" s="9"/>
      <c r="AF3896" s="9"/>
      <c r="AG3896" s="9"/>
    </row>
    <row r="3899" spans="2:33">
      <c r="B3899" s="9"/>
      <c r="C3899" s="9"/>
      <c r="D3899" s="9"/>
      <c r="E3899" s="9"/>
      <c r="F3899" s="9"/>
      <c r="G3899" s="9"/>
      <c r="H3899" s="9"/>
      <c r="I3899" s="9"/>
      <c r="J3899" s="9"/>
      <c r="K3899" s="9"/>
      <c r="L3899" s="9"/>
      <c r="M3899" s="9"/>
      <c r="N3899" s="9"/>
      <c r="O3899" s="9"/>
      <c r="P3899" s="9"/>
      <c r="Q3899" s="9"/>
      <c r="R3899" s="9"/>
      <c r="S3899" s="9"/>
      <c r="T3899" s="9"/>
      <c r="U3899" s="9"/>
      <c r="V3899" s="9"/>
      <c r="W3899" s="9"/>
      <c r="X3899" s="9"/>
      <c r="Y3899" s="9"/>
      <c r="Z3899" s="9"/>
      <c r="AA3899" s="9"/>
      <c r="AB3899" s="9"/>
      <c r="AC3899" s="9"/>
      <c r="AD3899" s="9"/>
      <c r="AE3899" s="9"/>
      <c r="AF3899" s="9"/>
      <c r="AG3899" s="9"/>
    </row>
    <row r="3901" spans="2:33">
      <c r="B3901" s="9"/>
      <c r="C3901" s="9"/>
      <c r="D3901" s="9"/>
      <c r="E3901" s="9"/>
      <c r="F3901" s="9"/>
      <c r="G3901" s="9"/>
      <c r="H3901" s="9"/>
      <c r="I3901" s="9"/>
      <c r="J3901" s="9"/>
      <c r="K3901" s="9"/>
      <c r="L3901" s="9"/>
      <c r="M3901" s="9"/>
      <c r="N3901" s="9"/>
      <c r="O3901" s="9"/>
      <c r="P3901" s="9"/>
      <c r="Q3901" s="9"/>
      <c r="R3901" s="9"/>
      <c r="S3901" s="9"/>
      <c r="T3901" s="9"/>
      <c r="U3901" s="9"/>
      <c r="V3901" s="9"/>
      <c r="W3901" s="9"/>
      <c r="X3901" s="9"/>
      <c r="Y3901" s="9"/>
      <c r="Z3901" s="9"/>
      <c r="AA3901" s="9"/>
      <c r="AB3901" s="9"/>
      <c r="AC3901" s="9"/>
      <c r="AD3901" s="9"/>
      <c r="AE3901" s="9"/>
      <c r="AF3901" s="9"/>
      <c r="AG3901" s="9"/>
    </row>
    <row r="3902" spans="2:33">
      <c r="B3902" s="113"/>
      <c r="C3902" s="113"/>
      <c r="D3902" s="113"/>
      <c r="E3902" s="113"/>
      <c r="F3902" s="113"/>
      <c r="G3902" s="113"/>
      <c r="H3902" s="113"/>
      <c r="I3902" s="113"/>
      <c r="J3902" s="113"/>
      <c r="K3902" s="113"/>
      <c r="L3902" s="113"/>
      <c r="M3902" s="113"/>
      <c r="N3902" s="113"/>
      <c r="O3902" s="113"/>
      <c r="P3902" s="113"/>
      <c r="Q3902" s="113"/>
      <c r="R3902" s="113"/>
      <c r="S3902" s="113"/>
      <c r="T3902" s="113"/>
      <c r="U3902" s="113"/>
      <c r="V3902" s="113"/>
      <c r="W3902" s="113"/>
      <c r="X3902" s="113"/>
      <c r="Y3902" s="113"/>
      <c r="Z3902" s="113"/>
      <c r="AA3902" s="113"/>
      <c r="AB3902" s="113"/>
      <c r="AC3902" s="113"/>
      <c r="AD3902" s="113"/>
      <c r="AE3902" s="113"/>
      <c r="AF3902" s="113"/>
      <c r="AG3902" s="113"/>
    </row>
    <row r="4021" spans="2:33">
      <c r="B4021" s="9"/>
      <c r="C4021" s="9"/>
      <c r="D4021" s="9"/>
      <c r="E4021" s="9"/>
      <c r="F4021" s="9"/>
      <c r="G4021" s="9"/>
      <c r="H4021" s="9"/>
      <c r="I4021" s="9"/>
      <c r="J4021" s="9"/>
      <c r="K4021" s="9"/>
      <c r="L4021" s="9"/>
      <c r="M4021" s="9"/>
      <c r="N4021" s="9"/>
      <c r="O4021" s="9"/>
      <c r="P4021" s="9"/>
      <c r="Q4021" s="9"/>
      <c r="R4021" s="9"/>
      <c r="S4021" s="9"/>
      <c r="T4021" s="9"/>
      <c r="U4021" s="9"/>
      <c r="V4021" s="9"/>
      <c r="W4021" s="9"/>
      <c r="X4021" s="9"/>
      <c r="Y4021" s="9"/>
      <c r="Z4021" s="9"/>
      <c r="AA4021" s="9"/>
      <c r="AB4021" s="9"/>
      <c r="AC4021" s="9"/>
      <c r="AD4021" s="9"/>
      <c r="AE4021" s="9"/>
      <c r="AF4021" s="9"/>
      <c r="AG4021" s="9"/>
    </row>
    <row r="4024" spans="2:33">
      <c r="B4024" s="9"/>
      <c r="C4024" s="9"/>
      <c r="D4024" s="9"/>
      <c r="E4024" s="9"/>
      <c r="F4024" s="9"/>
      <c r="G4024" s="9"/>
      <c r="H4024" s="9"/>
      <c r="I4024" s="9"/>
      <c r="J4024" s="9"/>
      <c r="K4024" s="9"/>
      <c r="L4024" s="9"/>
      <c r="M4024" s="9"/>
      <c r="N4024" s="9"/>
      <c r="O4024" s="9"/>
      <c r="P4024" s="9"/>
      <c r="Q4024" s="9"/>
      <c r="R4024" s="9"/>
      <c r="S4024" s="9"/>
      <c r="T4024" s="9"/>
      <c r="U4024" s="9"/>
      <c r="V4024" s="9"/>
      <c r="W4024" s="9"/>
      <c r="X4024" s="9"/>
      <c r="Y4024" s="9"/>
      <c r="Z4024" s="9"/>
      <c r="AA4024" s="9"/>
      <c r="AB4024" s="9"/>
      <c r="AC4024" s="9"/>
      <c r="AD4024" s="9"/>
      <c r="AE4024" s="9"/>
      <c r="AF4024" s="9"/>
      <c r="AG4024" s="9"/>
    </row>
    <row r="4026" spans="2:33">
      <c r="B4026" s="9"/>
      <c r="C4026" s="9"/>
      <c r="D4026" s="9"/>
      <c r="E4026" s="9"/>
      <c r="F4026" s="9"/>
      <c r="G4026" s="9"/>
      <c r="H4026" s="9"/>
      <c r="I4026" s="9"/>
      <c r="J4026" s="9"/>
      <c r="K4026" s="9"/>
      <c r="L4026" s="9"/>
      <c r="M4026" s="9"/>
      <c r="N4026" s="9"/>
      <c r="O4026" s="9"/>
      <c r="P4026" s="9"/>
      <c r="Q4026" s="9"/>
      <c r="R4026" s="9"/>
      <c r="S4026" s="9"/>
      <c r="T4026" s="9"/>
      <c r="U4026" s="9"/>
      <c r="V4026" s="9"/>
      <c r="W4026" s="9"/>
      <c r="X4026" s="9"/>
      <c r="Y4026" s="9"/>
      <c r="Z4026" s="9"/>
      <c r="AA4026" s="9"/>
      <c r="AB4026" s="9"/>
      <c r="AC4026" s="9"/>
      <c r="AD4026" s="9"/>
      <c r="AE4026" s="9"/>
      <c r="AF4026" s="9"/>
      <c r="AG4026" s="9"/>
    </row>
    <row r="4027" spans="2:33">
      <c r="B4027" s="113"/>
      <c r="C4027" s="113"/>
      <c r="D4027" s="113"/>
      <c r="E4027" s="113"/>
      <c r="F4027" s="113"/>
      <c r="G4027" s="113"/>
      <c r="H4027" s="113"/>
      <c r="I4027" s="113"/>
      <c r="J4027" s="113"/>
      <c r="K4027" s="113"/>
      <c r="L4027" s="113"/>
      <c r="M4027" s="113"/>
      <c r="N4027" s="113"/>
      <c r="O4027" s="113"/>
      <c r="P4027" s="113"/>
      <c r="Q4027" s="113"/>
      <c r="R4027" s="113"/>
      <c r="S4027" s="113"/>
      <c r="T4027" s="113"/>
      <c r="U4027" s="113"/>
      <c r="V4027" s="113"/>
      <c r="W4027" s="113"/>
      <c r="X4027" s="113"/>
      <c r="Y4027" s="113"/>
      <c r="Z4027" s="113"/>
      <c r="AA4027" s="113"/>
      <c r="AB4027" s="113"/>
      <c r="AC4027" s="113"/>
      <c r="AD4027" s="113"/>
      <c r="AE4027" s="113"/>
      <c r="AF4027" s="113"/>
      <c r="AG4027" s="113"/>
    </row>
    <row r="4146" spans="2:33">
      <c r="B4146" s="9"/>
      <c r="C4146" s="9"/>
      <c r="D4146" s="9"/>
      <c r="E4146" s="9"/>
      <c r="F4146" s="9"/>
      <c r="G4146" s="9"/>
      <c r="H4146" s="9"/>
      <c r="I4146" s="9"/>
      <c r="J4146" s="9"/>
      <c r="K4146" s="9"/>
      <c r="L4146" s="9"/>
      <c r="M4146" s="9"/>
      <c r="N4146" s="9"/>
      <c r="O4146" s="9"/>
      <c r="P4146" s="9"/>
      <c r="Q4146" s="9"/>
      <c r="R4146" s="9"/>
      <c r="S4146" s="9"/>
      <c r="T4146" s="9"/>
      <c r="U4146" s="9"/>
      <c r="V4146" s="9"/>
      <c r="W4146" s="9"/>
      <c r="X4146" s="9"/>
      <c r="Y4146" s="9"/>
      <c r="Z4146" s="9"/>
      <c r="AA4146" s="9"/>
      <c r="AB4146" s="9"/>
      <c r="AC4146" s="9"/>
      <c r="AD4146" s="9"/>
      <c r="AE4146" s="9"/>
      <c r="AF4146" s="9"/>
      <c r="AG4146" s="9"/>
    </row>
    <row r="4149" spans="2:33">
      <c r="B4149" s="9"/>
      <c r="C4149" s="9"/>
      <c r="D4149" s="9"/>
      <c r="E4149" s="9"/>
      <c r="F4149" s="9"/>
      <c r="G4149" s="9"/>
      <c r="H4149" s="9"/>
      <c r="I4149" s="9"/>
      <c r="J4149" s="9"/>
      <c r="K4149" s="9"/>
      <c r="L4149" s="9"/>
      <c r="M4149" s="9"/>
      <c r="N4149" s="9"/>
      <c r="O4149" s="9"/>
      <c r="P4149" s="9"/>
      <c r="Q4149" s="9"/>
      <c r="R4149" s="9"/>
      <c r="S4149" s="9"/>
      <c r="T4149" s="9"/>
      <c r="U4149" s="9"/>
      <c r="V4149" s="9"/>
      <c r="W4149" s="9"/>
      <c r="X4149" s="9"/>
      <c r="Y4149" s="9"/>
      <c r="Z4149" s="9"/>
      <c r="AA4149" s="9"/>
      <c r="AB4149" s="9"/>
      <c r="AC4149" s="9"/>
      <c r="AD4149" s="9"/>
      <c r="AE4149" s="9"/>
      <c r="AF4149" s="9"/>
      <c r="AG4149" s="9"/>
    </row>
    <row r="4151" spans="2:33">
      <c r="B4151" s="9"/>
      <c r="C4151" s="9"/>
      <c r="D4151" s="9"/>
      <c r="E4151" s="9"/>
      <c r="F4151" s="9"/>
      <c r="G4151" s="9"/>
      <c r="H4151" s="9"/>
      <c r="I4151" s="9"/>
      <c r="J4151" s="9"/>
      <c r="K4151" s="9"/>
      <c r="L4151" s="9"/>
      <c r="M4151" s="9"/>
      <c r="N4151" s="9"/>
      <c r="O4151" s="9"/>
      <c r="P4151" s="9"/>
      <c r="Q4151" s="9"/>
      <c r="R4151" s="9"/>
      <c r="S4151" s="9"/>
      <c r="T4151" s="9"/>
      <c r="U4151" s="9"/>
      <c r="V4151" s="9"/>
      <c r="W4151" s="9"/>
      <c r="X4151" s="9"/>
      <c r="Y4151" s="9"/>
      <c r="Z4151" s="9"/>
      <c r="AA4151" s="9"/>
      <c r="AB4151" s="9"/>
      <c r="AC4151" s="9"/>
      <c r="AD4151" s="9"/>
      <c r="AE4151" s="9"/>
      <c r="AF4151" s="9"/>
      <c r="AG4151" s="9"/>
    </row>
    <row r="4152" spans="2:33">
      <c r="B4152" s="113"/>
      <c r="C4152" s="113"/>
      <c r="D4152" s="113"/>
      <c r="E4152" s="113"/>
      <c r="F4152" s="113"/>
      <c r="G4152" s="113"/>
      <c r="H4152" s="113"/>
      <c r="I4152" s="113"/>
      <c r="J4152" s="113"/>
      <c r="K4152" s="113"/>
      <c r="L4152" s="113"/>
      <c r="M4152" s="113"/>
      <c r="N4152" s="113"/>
      <c r="O4152" s="113"/>
      <c r="P4152" s="113"/>
      <c r="Q4152" s="113"/>
      <c r="R4152" s="113"/>
      <c r="S4152" s="113"/>
      <c r="T4152" s="113"/>
      <c r="U4152" s="113"/>
      <c r="V4152" s="113"/>
      <c r="W4152" s="113"/>
      <c r="X4152" s="113"/>
      <c r="Y4152" s="113"/>
      <c r="Z4152" s="113"/>
      <c r="AA4152" s="113"/>
      <c r="AB4152" s="113"/>
      <c r="AC4152" s="113"/>
      <c r="AD4152" s="113"/>
      <c r="AE4152" s="113"/>
      <c r="AF4152" s="113"/>
      <c r="AG4152" s="113"/>
    </row>
    <row r="4160" spans="2:33">
      <c r="B4160" s="9"/>
      <c r="C4160" s="9"/>
      <c r="D4160" s="9"/>
      <c r="E4160" s="9"/>
      <c r="F4160" s="9"/>
      <c r="G4160" s="9"/>
      <c r="H4160" s="9"/>
      <c r="I4160" s="9"/>
      <c r="J4160" s="9"/>
      <c r="K4160" s="9"/>
      <c r="L4160" s="9"/>
      <c r="M4160" s="9"/>
      <c r="N4160" s="9"/>
      <c r="O4160" s="9"/>
      <c r="P4160" s="9"/>
      <c r="Q4160" s="9"/>
      <c r="R4160" s="9"/>
      <c r="S4160" s="9"/>
      <c r="T4160" s="9"/>
      <c r="U4160" s="9"/>
      <c r="V4160" s="9"/>
      <c r="W4160" s="9"/>
      <c r="X4160" s="9"/>
      <c r="Y4160" s="9"/>
      <c r="Z4160" s="9"/>
      <c r="AA4160" s="9"/>
      <c r="AB4160" s="9"/>
      <c r="AC4160" s="9"/>
      <c r="AD4160" s="9"/>
      <c r="AE4160" s="9"/>
      <c r="AF4160" s="9"/>
      <c r="AG4160" s="9"/>
    </row>
    <row r="4274" spans="2:33">
      <c r="B4274" s="9"/>
      <c r="C4274" s="9"/>
      <c r="D4274" s="9"/>
      <c r="E4274" s="9"/>
      <c r="F4274" s="9"/>
      <c r="G4274" s="9"/>
      <c r="H4274" s="9"/>
      <c r="I4274" s="9"/>
      <c r="J4274" s="9"/>
      <c r="K4274" s="9"/>
      <c r="L4274" s="9"/>
      <c r="M4274" s="9"/>
      <c r="N4274" s="9"/>
      <c r="O4274" s="9"/>
      <c r="P4274" s="9"/>
      <c r="Q4274" s="9"/>
      <c r="R4274" s="9"/>
      <c r="S4274" s="9"/>
      <c r="T4274" s="9"/>
      <c r="U4274" s="9"/>
      <c r="V4274" s="9"/>
      <c r="W4274" s="9"/>
      <c r="X4274" s="9"/>
      <c r="Y4274" s="9"/>
      <c r="Z4274" s="9"/>
      <c r="AA4274" s="9"/>
      <c r="AB4274" s="9"/>
      <c r="AC4274" s="9"/>
      <c r="AD4274" s="9"/>
      <c r="AE4274" s="9"/>
      <c r="AF4274" s="9"/>
      <c r="AG4274" s="9"/>
    </row>
    <row r="4276" spans="2:33">
      <c r="B4276" s="9"/>
      <c r="C4276" s="9"/>
      <c r="D4276" s="9"/>
      <c r="E4276" s="9"/>
      <c r="F4276" s="9"/>
      <c r="G4276" s="9"/>
      <c r="H4276" s="9"/>
      <c r="I4276" s="9"/>
      <c r="J4276" s="9"/>
      <c r="K4276" s="9"/>
      <c r="L4276" s="9"/>
      <c r="M4276" s="9"/>
      <c r="N4276" s="9"/>
      <c r="O4276" s="9"/>
      <c r="P4276" s="9"/>
      <c r="Q4276" s="9"/>
      <c r="R4276" s="9"/>
      <c r="S4276" s="9"/>
      <c r="T4276" s="9"/>
      <c r="U4276" s="9"/>
      <c r="V4276" s="9"/>
      <c r="W4276" s="9"/>
      <c r="X4276" s="9"/>
      <c r="Y4276" s="9"/>
      <c r="Z4276" s="9"/>
      <c r="AA4276" s="9"/>
      <c r="AB4276" s="9"/>
      <c r="AC4276" s="9"/>
      <c r="AD4276" s="9"/>
      <c r="AE4276" s="9"/>
      <c r="AF4276" s="9"/>
      <c r="AG4276" s="9"/>
    </row>
    <row r="4277" spans="2:33">
      <c r="B4277" s="113"/>
      <c r="C4277" s="113"/>
      <c r="D4277" s="113"/>
      <c r="E4277" s="113"/>
      <c r="F4277" s="113"/>
      <c r="G4277" s="113"/>
      <c r="H4277" s="113"/>
      <c r="I4277" s="113"/>
      <c r="J4277" s="113"/>
      <c r="K4277" s="113"/>
      <c r="L4277" s="113"/>
      <c r="M4277" s="113"/>
      <c r="N4277" s="113"/>
      <c r="O4277" s="113"/>
      <c r="P4277" s="113"/>
      <c r="Q4277" s="113"/>
      <c r="R4277" s="113"/>
      <c r="S4277" s="113"/>
      <c r="T4277" s="113"/>
      <c r="U4277" s="113"/>
      <c r="V4277" s="113"/>
      <c r="W4277" s="113"/>
      <c r="X4277" s="113"/>
      <c r="Y4277" s="113"/>
      <c r="Z4277" s="113"/>
      <c r="AA4277" s="113"/>
      <c r="AB4277" s="113"/>
      <c r="AC4277" s="113"/>
      <c r="AD4277" s="113"/>
      <c r="AE4277" s="113"/>
      <c r="AF4277" s="113"/>
      <c r="AG4277" s="113"/>
    </row>
    <row r="4285" spans="2:33">
      <c r="B4285" s="9"/>
      <c r="C4285" s="9"/>
      <c r="D4285" s="9"/>
      <c r="E4285" s="9"/>
      <c r="F4285" s="9"/>
      <c r="G4285" s="9"/>
      <c r="H4285" s="9"/>
      <c r="I4285" s="9"/>
      <c r="J4285" s="9"/>
      <c r="K4285" s="9"/>
      <c r="L4285" s="9"/>
      <c r="M4285" s="9"/>
      <c r="N4285" s="9"/>
      <c r="O4285" s="9"/>
      <c r="P4285" s="9"/>
      <c r="Q4285" s="9"/>
      <c r="R4285" s="9"/>
      <c r="S4285" s="9"/>
      <c r="T4285" s="9"/>
      <c r="U4285" s="9"/>
      <c r="V4285" s="9"/>
      <c r="W4285" s="9"/>
      <c r="X4285" s="9"/>
      <c r="Y4285" s="9"/>
      <c r="Z4285" s="9"/>
      <c r="AA4285" s="9"/>
      <c r="AB4285" s="9"/>
      <c r="AC4285" s="9"/>
      <c r="AD4285" s="9"/>
      <c r="AE4285" s="9"/>
      <c r="AF4285" s="9"/>
      <c r="AG4285" s="9"/>
    </row>
    <row r="4286" spans="2:33">
      <c r="B4286" s="9"/>
      <c r="C4286" s="9"/>
      <c r="D4286" s="9"/>
      <c r="E4286" s="9"/>
      <c r="F4286" s="9"/>
      <c r="G4286" s="9"/>
      <c r="H4286" s="9"/>
      <c r="I4286" s="9"/>
      <c r="J4286" s="9"/>
      <c r="K4286" s="9"/>
      <c r="L4286" s="9"/>
      <c r="M4286" s="9"/>
      <c r="N4286" s="9"/>
      <c r="O4286" s="9"/>
      <c r="P4286" s="9"/>
      <c r="Q4286" s="9"/>
      <c r="R4286" s="9"/>
      <c r="S4286" s="9"/>
      <c r="T4286" s="9"/>
      <c r="U4286" s="9"/>
      <c r="V4286" s="9"/>
      <c r="W4286" s="9"/>
      <c r="X4286" s="9"/>
      <c r="Y4286" s="9"/>
      <c r="Z4286" s="9"/>
      <c r="AA4286" s="9"/>
      <c r="AB4286" s="9"/>
      <c r="AC4286" s="9"/>
      <c r="AD4286" s="9"/>
      <c r="AE4286" s="9"/>
      <c r="AF4286" s="9"/>
      <c r="AG4286" s="9"/>
    </row>
    <row r="4287" spans="2:33">
      <c r="B4287" s="9"/>
      <c r="C4287" s="9"/>
      <c r="D4287" s="9"/>
      <c r="E4287" s="9"/>
      <c r="F4287" s="9"/>
      <c r="G4287" s="9"/>
      <c r="H4287" s="9"/>
      <c r="I4287" s="9"/>
      <c r="J4287" s="9"/>
      <c r="K4287" s="9"/>
      <c r="L4287" s="9"/>
      <c r="M4287" s="9"/>
      <c r="N4287" s="9"/>
      <c r="O4287" s="9"/>
      <c r="P4287" s="9"/>
      <c r="Q4287" s="9"/>
      <c r="R4287" s="9"/>
      <c r="S4287" s="9"/>
      <c r="T4287" s="9"/>
      <c r="U4287" s="9"/>
      <c r="V4287" s="9"/>
      <c r="W4287" s="9"/>
      <c r="X4287" s="9"/>
      <c r="Y4287" s="9"/>
      <c r="Z4287" s="9"/>
      <c r="AA4287" s="9"/>
      <c r="AB4287" s="9"/>
      <c r="AC4287" s="9"/>
      <c r="AD4287" s="9"/>
      <c r="AE4287" s="9"/>
      <c r="AF4287" s="9"/>
      <c r="AG4287" s="9"/>
    </row>
    <row r="4288" spans="2:33">
      <c r="B4288" s="9"/>
      <c r="C4288" s="9"/>
      <c r="D4288" s="9"/>
      <c r="E4288" s="9"/>
      <c r="F4288" s="9"/>
      <c r="G4288" s="9"/>
      <c r="H4288" s="9"/>
      <c r="I4288" s="9"/>
      <c r="J4288" s="9"/>
      <c r="K4288" s="9"/>
      <c r="L4288" s="9"/>
      <c r="M4288" s="9"/>
      <c r="N4288" s="9"/>
      <c r="O4288" s="9"/>
      <c r="P4288" s="9"/>
      <c r="Q4288" s="9"/>
      <c r="R4288" s="9"/>
      <c r="S4288" s="9"/>
      <c r="T4288" s="9"/>
      <c r="U4288" s="9"/>
      <c r="V4288" s="9"/>
      <c r="W4288" s="9"/>
      <c r="X4288" s="9"/>
      <c r="Y4288" s="9"/>
      <c r="Z4288" s="9"/>
      <c r="AA4288" s="9"/>
      <c r="AB4288" s="9"/>
      <c r="AC4288" s="9"/>
      <c r="AD4288" s="9"/>
      <c r="AE4288" s="9"/>
      <c r="AF4288" s="9"/>
      <c r="AG4288" s="9"/>
    </row>
    <row r="4401" spans="2:33">
      <c r="B4401" s="9"/>
      <c r="C4401" s="9"/>
      <c r="D4401" s="9"/>
      <c r="E4401" s="9"/>
      <c r="F4401" s="9"/>
      <c r="G4401" s="9"/>
      <c r="H4401" s="9"/>
      <c r="I4401" s="9"/>
      <c r="J4401" s="9"/>
      <c r="K4401" s="9"/>
      <c r="L4401" s="9"/>
      <c r="M4401" s="9"/>
      <c r="N4401" s="9"/>
      <c r="O4401" s="9"/>
      <c r="P4401" s="9"/>
      <c r="Q4401" s="9"/>
      <c r="R4401" s="9"/>
      <c r="S4401" s="9"/>
      <c r="T4401" s="9"/>
      <c r="U4401" s="9"/>
      <c r="V4401" s="9"/>
      <c r="W4401" s="9"/>
      <c r="X4401" s="9"/>
      <c r="Y4401" s="9"/>
      <c r="Z4401" s="9"/>
      <c r="AA4401" s="9"/>
      <c r="AB4401" s="9"/>
      <c r="AC4401" s="9"/>
      <c r="AD4401" s="9"/>
      <c r="AE4401" s="9"/>
      <c r="AF4401" s="9"/>
      <c r="AG4401" s="9"/>
    </row>
    <row r="4402" spans="2:33">
      <c r="B4402" s="113"/>
      <c r="C4402" s="113"/>
      <c r="D4402" s="113"/>
      <c r="E4402" s="113"/>
      <c r="F4402" s="113"/>
      <c r="G4402" s="113"/>
      <c r="H4402" s="113"/>
      <c r="I4402" s="113"/>
      <c r="J4402" s="113"/>
      <c r="K4402" s="113"/>
      <c r="L4402" s="113"/>
      <c r="M4402" s="113"/>
      <c r="N4402" s="113"/>
      <c r="O4402" s="113"/>
      <c r="P4402" s="113"/>
      <c r="Q4402" s="113"/>
      <c r="R4402" s="113"/>
      <c r="S4402" s="113"/>
      <c r="T4402" s="113"/>
      <c r="U4402" s="113"/>
      <c r="V4402" s="113"/>
      <c r="W4402" s="113"/>
      <c r="X4402" s="113"/>
      <c r="Y4402" s="113"/>
      <c r="Z4402" s="113"/>
      <c r="AA4402" s="113"/>
      <c r="AB4402" s="113"/>
      <c r="AC4402" s="113"/>
      <c r="AD4402" s="113"/>
      <c r="AE4402" s="113"/>
      <c r="AF4402" s="113"/>
      <c r="AG4402" s="113"/>
    </row>
  </sheetData>
  <mergeCells count="28">
    <mergeCell ref="B2325:AG2325"/>
    <mergeCell ref="B2645:AG2645"/>
    <mergeCell ref="B638:AG638"/>
    <mergeCell ref="B258:AG258"/>
    <mergeCell ref="B340:AG340"/>
    <mergeCell ref="B452:AG452"/>
    <mergeCell ref="B557:AG557"/>
    <mergeCell ref="B1169:AG1169"/>
    <mergeCell ref="B1269:AG1269"/>
    <mergeCell ref="B1484:AG1484"/>
    <mergeCell ref="B1713:AG1713"/>
    <mergeCell ref="B1990:AG1990"/>
    <mergeCell ref="B118:AG118"/>
    <mergeCell ref="B4027:AG4027"/>
    <mergeCell ref="B4152:AG4152"/>
    <mergeCell ref="B4277:AG4277"/>
    <mergeCell ref="B4402:AG4402"/>
    <mergeCell ref="B3293:AG3293"/>
    <mergeCell ref="B3402:AG3402"/>
    <mergeCell ref="B3527:AG3527"/>
    <mergeCell ref="B3652:AG3652"/>
    <mergeCell ref="B3777:AG3777"/>
    <mergeCell ref="B3902:AG3902"/>
    <mergeCell ref="B2971:AG2971"/>
    <mergeCell ref="B710:AG710"/>
    <mergeCell ref="B886:AG886"/>
    <mergeCell ref="B969:AG969"/>
    <mergeCell ref="B1071:AG1071"/>
  </mergeCells>
  <pageMargins left="0.7" right="0.7" top="0.75" bottom="0.75" header="0.3" footer="0.3"/>
</worksheet>
</file>

<file path=xl/worksheets/sheet2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B5DB3FF-0DA0-4CF4-8F68-C7248A44CFF5}">
  <dimension ref="A1:AD22"/>
  <sheetViews>
    <sheetView tabSelected="1" workbookViewId="0">
      <selection activeCell="E21" sqref="E21"/>
    </sheetView>
  </sheetViews>
  <sheetFormatPr defaultColWidth="9.140625" defaultRowHeight="15"/>
  <sheetData>
    <row r="1" spans="1:30" s="81" customFormat="1">
      <c r="A1" s="81" t="s">
        <v>3773</v>
      </c>
    </row>
    <row r="2" spans="1:30">
      <c r="B2" s="1" t="s">
        <v>145</v>
      </c>
      <c r="C2">
        <v>2023</v>
      </c>
      <c r="D2">
        <v>2024</v>
      </c>
      <c r="E2">
        <v>2025</v>
      </c>
      <c r="F2">
        <v>2026</v>
      </c>
      <c r="G2">
        <v>2027</v>
      </c>
      <c r="H2">
        <v>2028</v>
      </c>
      <c r="I2">
        <v>2029</v>
      </c>
      <c r="J2">
        <v>2030</v>
      </c>
      <c r="K2">
        <v>2031</v>
      </c>
      <c r="L2">
        <v>2032</v>
      </c>
      <c r="M2">
        <v>2033</v>
      </c>
      <c r="N2">
        <v>2034</v>
      </c>
      <c r="O2">
        <v>2035</v>
      </c>
      <c r="P2">
        <v>2036</v>
      </c>
      <c r="Q2">
        <v>2037</v>
      </c>
      <c r="R2">
        <v>2038</v>
      </c>
      <c r="S2">
        <v>2039</v>
      </c>
      <c r="T2">
        <v>2040</v>
      </c>
      <c r="U2">
        <v>2041</v>
      </c>
      <c r="V2">
        <v>2042</v>
      </c>
      <c r="W2">
        <v>2043</v>
      </c>
      <c r="X2">
        <v>2044</v>
      </c>
      <c r="Y2">
        <v>2045</v>
      </c>
      <c r="Z2">
        <v>2046</v>
      </c>
      <c r="AA2">
        <v>2047</v>
      </c>
      <c r="AB2">
        <v>2048</v>
      </c>
      <c r="AC2">
        <v>2049</v>
      </c>
      <c r="AD2">
        <v>2050</v>
      </c>
    </row>
    <row r="3" spans="1:30">
      <c r="B3" t="s">
        <v>123</v>
      </c>
      <c r="C3">
        <v>1</v>
      </c>
      <c r="D3">
        <f>INDEX('AEO 2025 Table 7'!9:9,MATCH(D2,'AEO 2025 Table 7'!5:5,0))/INDEX('AEO 2023 Table 7'!18:18,MATCH($C$2,'AEO 2023 Table 7'!1:1,0))</f>
        <v>1.0387304202535905</v>
      </c>
      <c r="E3">
        <f>INDEX('AEO 2025 Table 7'!9:9,MATCH(E2,'AEO 2025 Table 7'!5:5,0))/INDEX('AEO 2023 Table 7'!18:18,MATCH($C$2,'AEO 2023 Table 7'!1:1,0))</f>
        <v>1.0541169504067631</v>
      </c>
      <c r="F3">
        <f>INDEX('AEO 2025 Table 7'!9:9,MATCH(F2,'AEO 2025 Table 7'!5:5,0))/INDEX('AEO 2023 Table 7'!18:18,MATCH($C$2,'AEO 2023 Table 7'!1:1,0))</f>
        <v>1.0627610344297265</v>
      </c>
      <c r="G3">
        <f>INDEX('AEO 2025 Table 7'!9:9,MATCH(G2,'AEO 2025 Table 7'!5:5,0))/INDEX('AEO 2023 Table 7'!18:18,MATCH($C$2,'AEO 2023 Table 7'!1:1,0))</f>
        <v>1.0684707444811876</v>
      </c>
      <c r="H3">
        <f>INDEX('AEO 2025 Table 7'!9:9,MATCH(H2,'AEO 2025 Table 7'!5:5,0))/INDEX('AEO 2023 Table 7'!18:18,MATCH($C$2,'AEO 2023 Table 7'!1:1,0))</f>
        <v>1.0726800293286158</v>
      </c>
      <c r="I3">
        <f>INDEX('AEO 2025 Table 7'!9:9,MATCH(I2,'AEO 2025 Table 7'!5:5,0))/INDEX('AEO 2023 Table 7'!18:18,MATCH($C$2,'AEO 2023 Table 7'!1:1,0))</f>
        <v>1.0772800931331319</v>
      </c>
      <c r="J3">
        <f>INDEX('AEO 2025 Table 7'!9:9,MATCH(J2,'AEO 2025 Table 7'!5:5,0))/INDEX('AEO 2023 Table 7'!18:18,MATCH($C$2,'AEO 2023 Table 7'!1:1,0))</f>
        <v>1.0823090538954068</v>
      </c>
      <c r="K3">
        <f>INDEX('AEO 2025 Table 7'!9:9,MATCH(K2,'AEO 2025 Table 7'!5:5,0))/INDEX('AEO 2023 Table 7'!18:18,MATCH($C$2,'AEO 2023 Table 7'!1:1,0))</f>
        <v>1.0870793468991484</v>
      </c>
      <c r="L3">
        <f>INDEX('AEO 2025 Table 7'!9:9,MATCH(L2,'AEO 2025 Table 7'!5:5,0))/INDEX('AEO 2023 Table 7'!18:18,MATCH($C$2,'AEO 2023 Table 7'!1:1,0))</f>
        <v>1.0896394352195837</v>
      </c>
      <c r="M3">
        <f>INDEX('AEO 2025 Table 7'!9:9,MATCH(M2,'AEO 2025 Table 7'!5:5,0))/INDEX('AEO 2023 Table 7'!18:18,MATCH($C$2,'AEO 2023 Table 7'!1:1,0))</f>
        <v>1.0916079696968561</v>
      </c>
      <c r="N3">
        <f>INDEX('AEO 2025 Table 7'!9:9,MATCH(N2,'AEO 2025 Table 7'!5:5,0))/INDEX('AEO 2023 Table 7'!18:18,MATCH($C$2,'AEO 2023 Table 7'!1:1,0))</f>
        <v>1.09325220199827</v>
      </c>
      <c r="O3">
        <f>INDEX('AEO 2025 Table 7'!9:9,MATCH(O2,'AEO 2025 Table 7'!5:5,0))/INDEX('AEO 2023 Table 7'!18:18,MATCH($C$2,'AEO 2023 Table 7'!1:1,0))</f>
        <v>1.0940930828044784</v>
      </c>
      <c r="P3">
        <f>INDEX('AEO 2025 Table 7'!9:9,MATCH(P2,'AEO 2025 Table 7'!5:5,0))/INDEX('AEO 2023 Table 7'!18:18,MATCH($C$2,'AEO 2023 Table 7'!1:1,0))</f>
        <v>1.0958369453175478</v>
      </c>
      <c r="Q3">
        <f>INDEX('AEO 2025 Table 7'!9:9,MATCH(Q2,'AEO 2025 Table 7'!5:5,0))/INDEX('AEO 2023 Table 7'!18:18,MATCH($C$2,'AEO 2023 Table 7'!1:1,0))</f>
        <v>1.0993151610064846</v>
      </c>
      <c r="R3">
        <f>INDEX('AEO 2025 Table 7'!9:9,MATCH(R2,'AEO 2025 Table 7'!5:5,0))/INDEX('AEO 2023 Table 7'!18:18,MATCH($C$2,'AEO 2023 Table 7'!1:1,0))</f>
        <v>1.1039519127920971</v>
      </c>
      <c r="S3">
        <f>INDEX('AEO 2025 Table 7'!9:9,MATCH(S2,'AEO 2025 Table 7'!5:5,0))/INDEX('AEO 2023 Table 7'!18:18,MATCH($C$2,'AEO 2023 Table 7'!1:1,0))</f>
        <v>1.1084870149674801</v>
      </c>
      <c r="T3">
        <f>INDEX('AEO 2025 Table 7'!9:9,MATCH(T2,'AEO 2025 Table 7'!5:5,0))/INDEX('AEO 2023 Table 7'!18:18,MATCH($C$2,'AEO 2023 Table 7'!1:1,0))</f>
        <v>1.1134482374706649</v>
      </c>
      <c r="U3">
        <f>INDEX('AEO 2025 Table 7'!9:9,MATCH(U2,'AEO 2025 Table 7'!5:5,0))/INDEX('AEO 2023 Table 7'!18:18,MATCH($C$2,'AEO 2023 Table 7'!1:1,0))</f>
        <v>1.1181766252828274</v>
      </c>
      <c r="V3">
        <f>INDEX('AEO 2025 Table 7'!9:9,MATCH(V2,'AEO 2025 Table 7'!5:5,0))/INDEX('AEO 2023 Table 7'!18:18,MATCH($C$2,'AEO 2023 Table 7'!1:1,0))</f>
        <v>1.1226719261083953</v>
      </c>
      <c r="W3">
        <f>INDEX('AEO 2025 Table 7'!9:9,MATCH(W2,'AEO 2025 Table 7'!5:5,0))/INDEX('AEO 2023 Table 7'!18:18,MATCH($C$2,'AEO 2023 Table 7'!1:1,0))</f>
        <v>1.1266571276812887</v>
      </c>
      <c r="X3">
        <f>INDEX('AEO 2025 Table 7'!9:9,MATCH(X2,'AEO 2025 Table 7'!5:5,0))/INDEX('AEO 2023 Table 7'!18:18,MATCH($C$2,'AEO 2023 Table 7'!1:1,0))</f>
        <v>1.1302778886450804</v>
      </c>
      <c r="Y3">
        <f>INDEX('AEO 2025 Table 7'!9:9,MATCH(Y2,'AEO 2025 Table 7'!5:5,0))/INDEX('AEO 2023 Table 7'!18:18,MATCH($C$2,'AEO 2023 Table 7'!1:1,0))</f>
        <v>1.1334141311281358</v>
      </c>
      <c r="Z3">
        <f>INDEX('AEO 2025 Table 7'!9:9,MATCH(Z2,'AEO 2025 Table 7'!5:5,0))/INDEX('AEO 2023 Table 7'!18:18,MATCH($C$2,'AEO 2023 Table 7'!1:1,0))</f>
        <v>1.1365423797707519</v>
      </c>
      <c r="AA3">
        <f>INDEX('AEO 2025 Table 7'!9:9,MATCH(AA2,'AEO 2025 Table 7'!5:5,0))/INDEX('AEO 2023 Table 7'!18:18,MATCH($C$2,'AEO 2023 Table 7'!1:1,0))</f>
        <v>1.1403519663922224</v>
      </c>
      <c r="AB3">
        <f>INDEX('AEO 2025 Table 7'!9:9,MATCH(AB2,'AEO 2025 Table 7'!5:5,0))/INDEX('AEO 2023 Table 7'!18:18,MATCH($C$2,'AEO 2023 Table 7'!1:1,0))</f>
        <v>1.1447554629941925</v>
      </c>
      <c r="AC3">
        <f>INDEX('AEO 2025 Table 7'!9:9,MATCH(AC2,'AEO 2025 Table 7'!5:5,0))/INDEX('AEO 2023 Table 7'!18:18,MATCH($C$2,'AEO 2023 Table 7'!1:1,0))</f>
        <v>1.1494775396257277</v>
      </c>
      <c r="AD3">
        <f>INDEX('AEO 2025 Table 7'!9:9,MATCH(AD2,'AEO 2025 Table 7'!5:5,0))/INDEX('AEO 2023 Table 7'!18:18,MATCH($C$2,'AEO 2023 Table 7'!1:1,0))</f>
        <v>1.1545845048710102</v>
      </c>
    </row>
    <row r="4" spans="1:30">
      <c r="B4" t="s">
        <v>121</v>
      </c>
      <c r="C4">
        <v>1</v>
      </c>
      <c r="D4">
        <f>INDEX('AEO 2025 Table 7'!13:13,MATCH(D2,'AEO 2025 Table 7'!5:5,0))/INDEX('AEO 2023 Table 7'!22:22,MATCH($C$2,'AEO 2023 Table 7'!1:1,0))</f>
        <v>1.0208521911370929</v>
      </c>
      <c r="E4">
        <f>INDEX('AEO 2025 Table 7'!13:13,MATCH(E2,'AEO 2025 Table 7'!5:5,0))/INDEX('AEO 2023 Table 7'!22:22,MATCH($C$2,'AEO 2023 Table 7'!1:1,0))</f>
        <v>1.0521947853592428</v>
      </c>
      <c r="F4">
        <f>INDEX('AEO 2025 Table 7'!13:13,MATCH(F2,'AEO 2025 Table 7'!5:5,0))/INDEX('AEO 2023 Table 7'!22:22,MATCH($C$2,'AEO 2023 Table 7'!1:1,0))</f>
        <v>1.0722309003064083</v>
      </c>
      <c r="G4">
        <f>INDEX('AEO 2025 Table 7'!13:13,MATCH(G2,'AEO 2025 Table 7'!5:5,0))/INDEX('AEO 2023 Table 7'!22:22,MATCH($C$2,'AEO 2023 Table 7'!1:1,0))</f>
        <v>1.0849818265716924</v>
      </c>
      <c r="H4">
        <f>INDEX('AEO 2025 Table 7'!13:13,MATCH(H2,'AEO 2025 Table 7'!5:5,0))/INDEX('AEO 2023 Table 7'!22:22,MATCH($C$2,'AEO 2023 Table 7'!1:1,0))</f>
        <v>1.0942894593580723</v>
      </c>
      <c r="I4">
        <f>INDEX('AEO 2025 Table 7'!13:13,MATCH(I2,'AEO 2025 Table 7'!5:5,0))/INDEX('AEO 2023 Table 7'!22:22,MATCH($C$2,'AEO 2023 Table 7'!1:1,0))</f>
        <v>1.1010413205170204</v>
      </c>
      <c r="J4">
        <f>INDEX('AEO 2025 Table 7'!13:13,MATCH(J2,'AEO 2025 Table 7'!5:5,0))/INDEX('AEO 2023 Table 7'!22:22,MATCH($C$2,'AEO 2023 Table 7'!1:1,0))</f>
        <v>1.1057953197590928</v>
      </c>
      <c r="K4">
        <f>INDEX('AEO 2025 Table 7'!13:13,MATCH(K2,'AEO 2025 Table 7'!5:5,0))/INDEX('AEO 2023 Table 7'!22:22,MATCH($C$2,'AEO 2023 Table 7'!1:1,0))</f>
        <v>1.1084655639028094</v>
      </c>
      <c r="L4">
        <f>INDEX('AEO 2025 Table 7'!13:13,MATCH(L2,'AEO 2025 Table 7'!5:5,0))/INDEX('AEO 2023 Table 7'!22:22,MATCH($C$2,'AEO 2023 Table 7'!1:1,0))</f>
        <v>1.1097957845197564</v>
      </c>
      <c r="M4">
        <f>INDEX('AEO 2025 Table 7'!13:13,MATCH(M2,'AEO 2025 Table 7'!5:5,0))/INDEX('AEO 2023 Table 7'!22:22,MATCH($C$2,'AEO 2023 Table 7'!1:1,0))</f>
        <v>1.1105589560320552</v>
      </c>
      <c r="N4">
        <f>INDEX('AEO 2025 Table 7'!13:13,MATCH(N2,'AEO 2025 Table 7'!5:5,0))/INDEX('AEO 2023 Table 7'!22:22,MATCH($C$2,'AEO 2023 Table 7'!1:1,0))</f>
        <v>1.1113564163249998</v>
      </c>
      <c r="O4">
        <f>INDEX('AEO 2025 Table 7'!13:13,MATCH(O2,'AEO 2025 Table 7'!5:5,0))/INDEX('AEO 2023 Table 7'!22:22,MATCH($C$2,'AEO 2023 Table 7'!1:1,0))</f>
        <v>1.1114749716033996</v>
      </c>
      <c r="P4">
        <f>INDEX('AEO 2025 Table 7'!13:13,MATCH(P2,'AEO 2025 Table 7'!5:5,0))/INDEX('AEO 2023 Table 7'!22:22,MATCH($C$2,'AEO 2023 Table 7'!1:1,0))</f>
        <v>1.1112326385356901</v>
      </c>
      <c r="Q4">
        <f>INDEX('AEO 2025 Table 7'!13:13,MATCH(Q2,'AEO 2025 Table 7'!5:5,0))/INDEX('AEO 2023 Table 7'!22:22,MATCH($C$2,'AEO 2023 Table 7'!1:1,0))</f>
        <v>1.1109101270832749</v>
      </c>
      <c r="R4">
        <f>INDEX('AEO 2025 Table 7'!13:13,MATCH(R2,'AEO 2025 Table 7'!5:5,0))/INDEX('AEO 2023 Table 7'!22:22,MATCH($C$2,'AEO 2023 Table 7'!1:1,0))</f>
        <v>1.1099389968988451</v>
      </c>
      <c r="S4">
        <f>INDEX('AEO 2025 Table 7'!13:13,MATCH(S2,'AEO 2025 Table 7'!5:5,0))/INDEX('AEO 2023 Table 7'!22:22,MATCH($C$2,'AEO 2023 Table 7'!1:1,0))</f>
        <v>1.1086612742885953</v>
      </c>
      <c r="T4">
        <f>INDEX('AEO 2025 Table 7'!13:13,MATCH(T2,'AEO 2025 Table 7'!5:5,0))/INDEX('AEO 2023 Table 7'!22:22,MATCH($C$2,'AEO 2023 Table 7'!1:1,0))</f>
        <v>1.1070372820820371</v>
      </c>
      <c r="U4">
        <f>INDEX('AEO 2025 Table 7'!13:13,MATCH(U2,'AEO 2025 Table 7'!5:5,0))/INDEX('AEO 2023 Table 7'!22:22,MATCH($C$2,'AEO 2023 Table 7'!1:1,0))</f>
        <v>1.1051065315707258</v>
      </c>
      <c r="V4">
        <f>INDEX('AEO 2025 Table 7'!13:13,MATCH(V2,'AEO 2025 Table 7'!5:5,0))/INDEX('AEO 2023 Table 7'!22:22,MATCH($C$2,'AEO 2023 Table 7'!1:1,0))</f>
        <v>1.1028397959569269</v>
      </c>
      <c r="W4">
        <f>INDEX('AEO 2025 Table 7'!13:13,MATCH(W2,'AEO 2025 Table 7'!5:5,0))/INDEX('AEO 2023 Table 7'!22:22,MATCH($C$2,'AEO 2023 Table 7'!1:1,0))</f>
        <v>1.100461043905232</v>
      </c>
      <c r="X4">
        <f>INDEX('AEO 2025 Table 7'!13:13,MATCH(X2,'AEO 2025 Table 7'!5:5,0))/INDEX('AEO 2023 Table 7'!22:22,MATCH($C$2,'AEO 2023 Table 7'!1:1,0))</f>
        <v>1.0977960276233585</v>
      </c>
      <c r="Y4">
        <f>INDEX('AEO 2025 Table 7'!13:13,MATCH(Y2,'AEO 2025 Table 7'!5:5,0))/INDEX('AEO 2023 Table 7'!22:22,MATCH($C$2,'AEO 2023 Table 7'!1:1,0))</f>
        <v>1.0951023517426808</v>
      </c>
      <c r="Z4">
        <f>INDEX('AEO 2025 Table 7'!13:13,MATCH(Z2,'AEO 2025 Table 7'!5:5,0))/INDEX('AEO 2023 Table 7'!22:22,MATCH($C$2,'AEO 2023 Table 7'!1:1,0))</f>
        <v>1.0920772658074944</v>
      </c>
      <c r="AA4">
        <f>INDEX('AEO 2025 Table 7'!13:13,MATCH(AA2,'AEO 2025 Table 7'!5:5,0))/INDEX('AEO 2023 Table 7'!22:22,MATCH($C$2,'AEO 2023 Table 7'!1:1,0))</f>
        <v>1.0888764712752323</v>
      </c>
      <c r="AB4">
        <f>INDEX('AEO 2025 Table 7'!13:13,MATCH(AB2,'AEO 2025 Table 7'!5:5,0))/INDEX('AEO 2023 Table 7'!22:22,MATCH($C$2,'AEO 2023 Table 7'!1:1,0))</f>
        <v>1.0856981292591354</v>
      </c>
      <c r="AC4">
        <f>INDEX('AEO 2025 Table 7'!13:13,MATCH(AC2,'AEO 2025 Table 7'!5:5,0))/INDEX('AEO 2023 Table 7'!22:22,MATCH($C$2,'AEO 2023 Table 7'!1:1,0))</f>
        <v>1.0825256679187458</v>
      </c>
      <c r="AD4">
        <f>INDEX('AEO 2025 Table 7'!13:13,MATCH(AD2,'AEO 2025 Table 7'!5:5,0))/INDEX('AEO 2023 Table 7'!22:22,MATCH($C$2,'AEO 2023 Table 7'!1:1,0))</f>
        <v>1.079654897549265</v>
      </c>
    </row>
    <row r="5" spans="1:30">
      <c r="B5" t="s">
        <v>119</v>
      </c>
      <c r="C5">
        <v>1</v>
      </c>
      <c r="D5">
        <f>INDEX('AEO 2025 Table 7'!16:16,MATCH(D2,'AEO 2025 Table 7'!5:5,0))/INDEX('AEO 2023 Table 7'!25:25,MATCH($C$2,'AEO 2023 Table 7'!1:1,0))</f>
        <v>1.0716178093338335</v>
      </c>
      <c r="E5">
        <f>INDEX('AEO 2025 Table 7'!16:16,MATCH(E2,'AEO 2025 Table 7'!5:5,0))/INDEX('AEO 2023 Table 7'!25:25,MATCH($C$2,'AEO 2023 Table 7'!1:1,0))</f>
        <v>1.0817527323119809</v>
      </c>
      <c r="F5">
        <f>INDEX('AEO 2025 Table 7'!16:16,MATCH(F2,'AEO 2025 Table 7'!5:5,0))/INDEX('AEO 2023 Table 7'!25:25,MATCH($C$2,'AEO 2023 Table 7'!1:1,0))</f>
        <v>1.1085945185275576</v>
      </c>
      <c r="G5">
        <f>INDEX('AEO 2025 Table 7'!16:16,MATCH(G2,'AEO 2025 Table 7'!5:5,0))/INDEX('AEO 2023 Table 7'!25:25,MATCH($C$2,'AEO 2023 Table 7'!1:1,0))</f>
        <v>1.1335366025391564</v>
      </c>
      <c r="H5">
        <f>INDEX('AEO 2025 Table 7'!16:16,MATCH(H2,'AEO 2025 Table 7'!5:5,0))/INDEX('AEO 2023 Table 7'!25:25,MATCH($C$2,'AEO 2023 Table 7'!1:1,0))</f>
        <v>1.1542477258077453</v>
      </c>
      <c r="I5">
        <f>INDEX('AEO 2025 Table 7'!16:16,MATCH(I2,'AEO 2025 Table 7'!5:5,0))/INDEX('AEO 2023 Table 7'!25:25,MATCH($C$2,'AEO 2023 Table 7'!1:1,0))</f>
        <v>1.1766334225776525</v>
      </c>
      <c r="J5">
        <f>INDEX('AEO 2025 Table 7'!16:16,MATCH(J2,'AEO 2025 Table 7'!5:5,0))/INDEX('AEO 2023 Table 7'!25:25,MATCH($C$2,'AEO 2023 Table 7'!1:1,0))</f>
        <v>1.1971558895767964</v>
      </c>
      <c r="K5">
        <f>INDEX('AEO 2025 Table 7'!16:16,MATCH(K2,'AEO 2025 Table 7'!5:5,0))/INDEX('AEO 2023 Table 7'!25:25,MATCH($C$2,'AEO 2023 Table 7'!1:1,0))</f>
        <v>1.2142171078006554</v>
      </c>
      <c r="L5">
        <f>INDEX('AEO 2025 Table 7'!16:16,MATCH(L2,'AEO 2025 Table 7'!5:5,0))/INDEX('AEO 2023 Table 7'!25:25,MATCH($C$2,'AEO 2023 Table 7'!1:1,0))</f>
        <v>1.2339069157317686</v>
      </c>
      <c r="M5">
        <f>INDEX('AEO 2025 Table 7'!16:16,MATCH(M2,'AEO 2025 Table 7'!5:5,0))/INDEX('AEO 2023 Table 7'!25:25,MATCH($C$2,'AEO 2023 Table 7'!1:1,0))</f>
        <v>1.2549473070557398</v>
      </c>
      <c r="N5">
        <f>INDEX('AEO 2025 Table 7'!16:16,MATCH(N2,'AEO 2025 Table 7'!5:5,0))/INDEX('AEO 2023 Table 7'!25:25,MATCH($C$2,'AEO 2023 Table 7'!1:1,0))</f>
        <v>1.2752167829490888</v>
      </c>
      <c r="O5">
        <f>INDEX('AEO 2025 Table 7'!16:16,MATCH(O2,'AEO 2025 Table 7'!5:5,0))/INDEX('AEO 2023 Table 7'!25:25,MATCH($C$2,'AEO 2023 Table 7'!1:1,0))</f>
        <v>1.2975086149212807</v>
      </c>
      <c r="P5">
        <f>INDEX('AEO 2025 Table 7'!16:16,MATCH(P2,'AEO 2025 Table 7'!5:5,0))/INDEX('AEO 2023 Table 7'!25:25,MATCH($C$2,'AEO 2023 Table 7'!1:1,0))</f>
        <v>1.3202152487803505</v>
      </c>
      <c r="Q5">
        <f>INDEX('AEO 2025 Table 7'!16:16,MATCH(Q2,'AEO 2025 Table 7'!5:5,0))/INDEX('AEO 2023 Table 7'!25:25,MATCH($C$2,'AEO 2023 Table 7'!1:1,0))</f>
        <v>1.344338467668533</v>
      </c>
      <c r="R5">
        <f>INDEX('AEO 2025 Table 7'!16:16,MATCH(R2,'AEO 2025 Table 7'!5:5,0))/INDEX('AEO 2023 Table 7'!25:25,MATCH($C$2,'AEO 2023 Table 7'!1:1,0))</f>
        <v>1.3702463242095071</v>
      </c>
      <c r="S5">
        <f>INDEX('AEO 2025 Table 7'!16:16,MATCH(S2,'AEO 2025 Table 7'!5:5,0))/INDEX('AEO 2023 Table 7'!25:25,MATCH($C$2,'AEO 2023 Table 7'!1:1,0))</f>
        <v>1.3962054648014097</v>
      </c>
      <c r="T5">
        <f>INDEX('AEO 2025 Table 7'!16:16,MATCH(T2,'AEO 2025 Table 7'!5:5,0))/INDEX('AEO 2023 Table 7'!25:25,MATCH($C$2,'AEO 2023 Table 7'!1:1,0))</f>
        <v>1.4221940420806158</v>
      </c>
      <c r="U5">
        <f>INDEX('AEO 2025 Table 7'!16:16,MATCH(U2,'AEO 2025 Table 7'!5:5,0))/INDEX('AEO 2023 Table 7'!25:25,MATCH($C$2,'AEO 2023 Table 7'!1:1,0))</f>
        <v>1.4477388433643217</v>
      </c>
      <c r="V5">
        <f>INDEX('AEO 2025 Table 7'!16:16,MATCH(V2,'AEO 2025 Table 7'!5:5,0))/INDEX('AEO 2023 Table 7'!25:25,MATCH($C$2,'AEO 2023 Table 7'!1:1,0))</f>
        <v>1.4754125477637132</v>
      </c>
      <c r="W5">
        <f>INDEX('AEO 2025 Table 7'!16:16,MATCH(W2,'AEO 2025 Table 7'!5:5,0))/INDEX('AEO 2023 Table 7'!25:25,MATCH($C$2,'AEO 2023 Table 7'!1:1,0))</f>
        <v>1.5025063999277224</v>
      </c>
      <c r="X5">
        <f>INDEX('AEO 2025 Table 7'!16:16,MATCH(X2,'AEO 2025 Table 7'!5:5,0))/INDEX('AEO 2023 Table 7'!25:25,MATCH($C$2,'AEO 2023 Table 7'!1:1,0))</f>
        <v>1.5278095030920653</v>
      </c>
      <c r="Y5">
        <f>INDEX('AEO 2025 Table 7'!16:16,MATCH(Y2,'AEO 2025 Table 7'!5:5,0))/INDEX('AEO 2023 Table 7'!25:25,MATCH($C$2,'AEO 2023 Table 7'!1:1,0))</f>
        <v>1.5526372649533449</v>
      </c>
      <c r="Z5">
        <f>INDEX('AEO 2025 Table 7'!16:16,MATCH(Z2,'AEO 2025 Table 7'!5:5,0))/INDEX('AEO 2023 Table 7'!25:25,MATCH($C$2,'AEO 2023 Table 7'!1:1,0))</f>
        <v>1.5770499466222119</v>
      </c>
      <c r="AA5">
        <f>INDEX('AEO 2025 Table 7'!16:16,MATCH(AA2,'AEO 2025 Table 7'!5:5,0))/INDEX('AEO 2023 Table 7'!25:25,MATCH($C$2,'AEO 2023 Table 7'!1:1,0))</f>
        <v>1.6056317536392695</v>
      </c>
      <c r="AB5">
        <f>INDEX('AEO 2025 Table 7'!16:16,MATCH(AB2,'AEO 2025 Table 7'!5:5,0))/INDEX('AEO 2023 Table 7'!25:25,MATCH($C$2,'AEO 2023 Table 7'!1:1,0))</f>
        <v>1.6361132621019796</v>
      </c>
      <c r="AC5">
        <f>INDEX('AEO 2025 Table 7'!16:16,MATCH(AC2,'AEO 2025 Table 7'!5:5,0))/INDEX('AEO 2023 Table 7'!25:25,MATCH($C$2,'AEO 2023 Table 7'!1:1,0))</f>
        <v>1.6653360173816742</v>
      </c>
      <c r="AD5">
        <f>INDEX('AEO 2025 Table 7'!16:16,MATCH(AD2,'AEO 2025 Table 7'!5:5,0))/INDEX('AEO 2023 Table 7'!25:25,MATCH($C$2,'AEO 2023 Table 7'!1:1,0))</f>
        <v>1.6941697970731022</v>
      </c>
    </row>
    <row r="6" spans="1:30">
      <c r="B6" t="s">
        <v>124</v>
      </c>
      <c r="C6">
        <v>1</v>
      </c>
      <c r="D6">
        <v>1</v>
      </c>
      <c r="E6">
        <f>INDEX('AEO 2025 Table 7'!14:14,MATCH(E2,'AEO 2025 Table 7'!5:5,0))/INDEX('AEO 2025 Table 7'!14:14,MATCH($D$2,'AEO 2025 Table 7'!5:5,0))</f>
        <v>1.111881421544451</v>
      </c>
      <c r="F6">
        <f>INDEX('AEO 2025 Table 7'!14:14,MATCH(F2,'AEO 2025 Table 7'!5:5,0))/INDEX('AEO 2025 Table 7'!14:14,MATCH($D$2,'AEO 2025 Table 7'!5:5,0))</f>
        <v>1.1975423315761022</v>
      </c>
      <c r="G6">
        <f>INDEX('AEO 2025 Table 7'!14:14,MATCH(G2,'AEO 2025 Table 7'!5:5,0))/INDEX('AEO 2025 Table 7'!14:14,MATCH($D$2,'AEO 2025 Table 7'!5:5,0))</f>
        <v>1.2632776468279667</v>
      </c>
      <c r="H6">
        <f>INDEX('AEO 2025 Table 7'!14:14,MATCH(H2,'AEO 2025 Table 7'!5:5,0))/INDEX('AEO 2025 Table 7'!14:14,MATCH($D$2,'AEO 2025 Table 7'!5:5,0))</f>
        <v>1.3145784745612137</v>
      </c>
      <c r="I6">
        <f>INDEX('AEO 2025 Table 7'!14:14,MATCH(I2,'AEO 2025 Table 7'!5:5,0))/INDEX('AEO 2025 Table 7'!14:14,MATCH($D$2,'AEO 2025 Table 7'!5:5,0))</f>
        <v>1.3587253168451083</v>
      </c>
      <c r="J6">
        <f>INDEX('AEO 2025 Table 7'!14:14,MATCH(J2,'AEO 2025 Table 7'!5:5,0))/INDEX('AEO 2025 Table 7'!14:14,MATCH($D$2,'AEO 2025 Table 7'!5:5,0))</f>
        <v>1.3953539263799248</v>
      </c>
      <c r="K6">
        <f>INDEX('AEO 2025 Table 7'!14:14,MATCH(K2,'AEO 2025 Table 7'!5:5,0))/INDEX('AEO 2025 Table 7'!14:14,MATCH($D$2,'AEO 2025 Table 7'!5:5,0))</f>
        <v>1.4240987033669459</v>
      </c>
      <c r="L6">
        <f>INDEX('AEO 2025 Table 7'!14:14,MATCH(L2,'AEO 2025 Table 7'!5:5,0))/INDEX('AEO 2025 Table 7'!14:14,MATCH($D$2,'AEO 2025 Table 7'!5:5,0))</f>
        <v>1.4476889907702766</v>
      </c>
      <c r="M6">
        <f>INDEX('AEO 2025 Table 7'!14:14,MATCH(M2,'AEO 2025 Table 7'!5:5,0))/INDEX('AEO 2025 Table 7'!14:14,MATCH($D$2,'AEO 2025 Table 7'!5:5,0))</f>
        <v>1.4670556556812706</v>
      </c>
      <c r="N6">
        <f>INDEX('AEO 2025 Table 7'!14:14,MATCH(N2,'AEO 2025 Table 7'!5:5,0))/INDEX('AEO 2025 Table 7'!14:14,MATCH($D$2,'AEO 2025 Table 7'!5:5,0))</f>
        <v>1.4861423919439287</v>
      </c>
      <c r="O6">
        <f>INDEX('AEO 2025 Table 7'!14:14,MATCH(O2,'AEO 2025 Table 7'!5:5,0))/INDEX('AEO 2025 Table 7'!14:14,MATCH($D$2,'AEO 2025 Table 7'!5:5,0))</f>
        <v>1.5014430584592957</v>
      </c>
      <c r="P6">
        <f>INDEX('AEO 2025 Table 7'!14:14,MATCH(P2,'AEO 2025 Table 7'!5:5,0))/INDEX('AEO 2025 Table 7'!14:14,MATCH($D$2,'AEO 2025 Table 7'!5:5,0))</f>
        <v>1.516104804451252</v>
      </c>
      <c r="Q6">
        <f>INDEX('AEO 2025 Table 7'!14:14,MATCH(Q2,'AEO 2025 Table 7'!5:5,0))/INDEX('AEO 2025 Table 7'!14:14,MATCH($D$2,'AEO 2025 Table 7'!5:5,0))</f>
        <v>1.5319365779990226</v>
      </c>
      <c r="R6">
        <f>INDEX('AEO 2025 Table 7'!14:14,MATCH(R2,'AEO 2025 Table 7'!5:5,0))/INDEX('AEO 2025 Table 7'!14:14,MATCH($D$2,'AEO 2025 Table 7'!5:5,0))</f>
        <v>1.5485071637814065</v>
      </c>
      <c r="S6">
        <f>INDEX('AEO 2025 Table 7'!14:14,MATCH(S2,'AEO 2025 Table 7'!5:5,0))/INDEX('AEO 2025 Table 7'!14:14,MATCH($D$2,'AEO 2025 Table 7'!5:5,0))</f>
        <v>1.5632738636950745</v>
      </c>
      <c r="T6">
        <f>INDEX('AEO 2025 Table 7'!14:14,MATCH(T2,'AEO 2025 Table 7'!5:5,0))/INDEX('AEO 2025 Table 7'!14:14,MATCH($D$2,'AEO 2025 Table 7'!5:5,0))</f>
        <v>1.5770793232543305</v>
      </c>
      <c r="U6">
        <f>INDEX('AEO 2025 Table 7'!14:14,MATCH(U2,'AEO 2025 Table 7'!5:5,0))/INDEX('AEO 2025 Table 7'!14:14,MATCH($D$2,'AEO 2025 Table 7'!5:5,0))</f>
        <v>1.5893191299814518</v>
      </c>
      <c r="V6">
        <f>INDEX('AEO 2025 Table 7'!14:14,MATCH(V2,'AEO 2025 Table 7'!5:5,0))/INDEX('AEO 2025 Table 7'!14:14,MATCH($D$2,'AEO 2025 Table 7'!5:5,0))</f>
        <v>1.6008914591350352</v>
      </c>
      <c r="W6">
        <f>INDEX('AEO 2025 Table 7'!14:14,MATCH(W2,'AEO 2025 Table 7'!5:5,0))/INDEX('AEO 2025 Table 7'!14:14,MATCH($D$2,'AEO 2025 Table 7'!5:5,0))</f>
        <v>1.6120872912123156</v>
      </c>
      <c r="X6">
        <f>INDEX('AEO 2025 Table 7'!14:14,MATCH(X2,'AEO 2025 Table 7'!5:5,0))/INDEX('AEO 2025 Table 7'!14:14,MATCH($D$2,'AEO 2025 Table 7'!5:5,0))</f>
        <v>1.6211141399789311</v>
      </c>
      <c r="Y6">
        <f>INDEX('AEO 2025 Table 7'!14:14,MATCH(Y2,'AEO 2025 Table 7'!5:5,0))/INDEX('AEO 2025 Table 7'!14:14,MATCH($D$2,'AEO 2025 Table 7'!5:5,0))</f>
        <v>1.6307241476676948</v>
      </c>
      <c r="Z6">
        <f>INDEX('AEO 2025 Table 7'!14:14,MATCH(Z2,'AEO 2025 Table 7'!5:5,0))/INDEX('AEO 2025 Table 7'!14:14,MATCH($D$2,'AEO 2025 Table 7'!5:5,0))</f>
        <v>1.6380420559947722</v>
      </c>
      <c r="AA6">
        <f>INDEX('AEO 2025 Table 7'!14:14,MATCH(AA2,'AEO 2025 Table 7'!5:5,0))/INDEX('AEO 2025 Table 7'!14:14,MATCH($D$2,'AEO 2025 Table 7'!5:5,0))</f>
        <v>1.6467239402329923</v>
      </c>
      <c r="AB6">
        <f>INDEX('AEO 2025 Table 7'!14:14,MATCH(AB2,'AEO 2025 Table 7'!5:5,0))/INDEX('AEO 2025 Table 7'!14:14,MATCH($D$2,'AEO 2025 Table 7'!5:5,0))</f>
        <v>1.6575201668226356</v>
      </c>
      <c r="AC6">
        <f>INDEX('AEO 2025 Table 7'!14:14,MATCH(AC2,'AEO 2025 Table 7'!5:5,0))/INDEX('AEO 2025 Table 7'!14:14,MATCH($D$2,'AEO 2025 Table 7'!5:5,0))</f>
        <v>1.6683434820349299</v>
      </c>
      <c r="AD6">
        <f>INDEX('AEO 2025 Table 7'!14:14,MATCH(AD2,'AEO 2025 Table 7'!5:5,0))/INDEX('AEO 2025 Table 7'!14:14,MATCH($D$2,'AEO 2025 Table 7'!5:5,0))</f>
        <v>1.682821133592779</v>
      </c>
    </row>
    <row r="7" spans="1:30">
      <c r="B7" t="s">
        <v>125</v>
      </c>
      <c r="C7">
        <v>1</v>
      </c>
      <c r="D7">
        <f>INDEX('AEO 2025 Table 7'!53:53,MATCH(D2,'AEO 2025 Table 7'!5:5,0))/INDEX('AEO 2023 Table 7'!64:64,MATCH($C$2,'AEO 2023 Table 7'!1:1,0))</f>
        <v>1.0423873912323072</v>
      </c>
      <c r="E7">
        <f>INDEX('AEO 2025 Table 7'!53:53,MATCH(E2,'AEO 2025 Table 7'!5:5,0))/INDEX('AEO 2023 Table 7'!64:64,MATCH($C$2,'AEO 2023 Table 7'!1:1,0))</f>
        <v>1.0345546110472326</v>
      </c>
      <c r="F7">
        <f>INDEX('AEO 2025 Table 7'!53:53,MATCH(F2,'AEO 2025 Table 7'!5:5,0))/INDEX('AEO 2023 Table 7'!64:64,MATCH($C$2,'AEO 2023 Table 7'!1:1,0))</f>
        <v>1.0305729477864864</v>
      </c>
      <c r="G7">
        <f>INDEX('AEO 2025 Table 7'!53:53,MATCH(G2,'AEO 2025 Table 7'!5:5,0))/INDEX('AEO 2023 Table 7'!64:64,MATCH($C$2,'AEO 2023 Table 7'!1:1,0))</f>
        <v>1.0264657592022615</v>
      </c>
      <c r="H7">
        <f>INDEX('AEO 2025 Table 7'!53:53,MATCH(H2,'AEO 2025 Table 7'!5:5,0))/INDEX('AEO 2023 Table 7'!64:64,MATCH($C$2,'AEO 2023 Table 7'!1:1,0))</f>
        <v>1.0199936735236965</v>
      </c>
      <c r="I7">
        <f>INDEX('AEO 2025 Table 7'!53:53,MATCH(I2,'AEO 2025 Table 7'!5:5,0))/INDEX('AEO 2023 Table 7'!64:64,MATCH($C$2,'AEO 2023 Table 7'!1:1,0))</f>
        <v>1.0146713998081973</v>
      </c>
      <c r="J7">
        <f>INDEX('AEO 2025 Table 7'!53:53,MATCH(J2,'AEO 2025 Table 7'!5:5,0))/INDEX('AEO 2023 Table 7'!64:64,MATCH($C$2,'AEO 2023 Table 7'!1:1,0))</f>
        <v>1.007983410573249</v>
      </c>
      <c r="K7">
        <f>INDEX('AEO 2025 Table 7'!53:53,MATCH(K2,'AEO 2025 Table 7'!5:5,0))/INDEX('AEO 2023 Table 7'!64:64,MATCH($C$2,'AEO 2023 Table 7'!1:1,0))</f>
        <v>0.99950794073196314</v>
      </c>
      <c r="L7">
        <f>INDEX('AEO 2025 Table 7'!53:53,MATCH(L2,'AEO 2025 Table 7'!5:5,0))/INDEX('AEO 2023 Table 7'!64:64,MATCH($C$2,'AEO 2023 Table 7'!1:1,0))</f>
        <v>0.99274965731586695</v>
      </c>
      <c r="M7">
        <f>INDEX('AEO 2025 Table 7'!53:53,MATCH(M2,'AEO 2025 Table 7'!5:5,0))/INDEX('AEO 2023 Table 7'!64:64,MATCH($C$2,'AEO 2023 Table 7'!1:1,0))</f>
        <v>0.98664410558186011</v>
      </c>
      <c r="N7">
        <f>INDEX('AEO 2025 Table 7'!53:53,MATCH(N2,'AEO 2025 Table 7'!5:5,0))/INDEX('AEO 2023 Table 7'!64:64,MATCH($C$2,'AEO 2023 Table 7'!1:1,0))</f>
        <v>0.98036783940792216</v>
      </c>
      <c r="O7">
        <f>INDEX('AEO 2025 Table 7'!53:53,MATCH(O2,'AEO 2025 Table 7'!5:5,0))/INDEX('AEO 2023 Table 7'!64:64,MATCH($C$2,'AEO 2023 Table 7'!1:1,0))</f>
        <v>0.97525644823586699</v>
      </c>
      <c r="P7">
        <f>INDEX('AEO 2025 Table 7'!53:53,MATCH(P2,'AEO 2025 Table 7'!5:5,0))/INDEX('AEO 2023 Table 7'!64:64,MATCH($C$2,'AEO 2023 Table 7'!1:1,0))</f>
        <v>0.97040614973664785</v>
      </c>
      <c r="Q7">
        <f>INDEX('AEO 2025 Table 7'!53:53,MATCH(Q2,'AEO 2025 Table 7'!5:5,0))/INDEX('AEO 2023 Table 7'!64:64,MATCH($C$2,'AEO 2023 Table 7'!1:1,0))</f>
        <v>0.96631904520417944</v>
      </c>
      <c r="R7">
        <f>INDEX('AEO 2025 Table 7'!53:53,MATCH(R2,'AEO 2025 Table 7'!5:5,0))/INDEX('AEO 2023 Table 7'!64:64,MATCH($C$2,'AEO 2023 Table 7'!1:1,0))</f>
        <v>0.96253822246099929</v>
      </c>
      <c r="S7">
        <f>INDEX('AEO 2025 Table 7'!53:53,MATCH(S2,'AEO 2025 Table 7'!5:5,0))/INDEX('AEO 2023 Table 7'!64:64,MATCH($C$2,'AEO 2023 Table 7'!1:1,0))</f>
        <v>0.95854149616143558</v>
      </c>
      <c r="T7">
        <f>INDEX('AEO 2025 Table 7'!53:53,MATCH(T2,'AEO 2025 Table 7'!5:5,0))/INDEX('AEO 2023 Table 7'!64:64,MATCH($C$2,'AEO 2023 Table 7'!1:1,0))</f>
        <v>0.95462510606889828</v>
      </c>
      <c r="U7">
        <f>INDEX('AEO 2025 Table 7'!53:53,MATCH(U2,'AEO 2025 Table 7'!5:5,0))/INDEX('AEO 2023 Table 7'!64:64,MATCH($C$2,'AEO 2023 Table 7'!1:1,0))</f>
        <v>0.95057314862700393</v>
      </c>
      <c r="V7">
        <f>INDEX('AEO 2025 Table 7'!53:53,MATCH(V2,'AEO 2025 Table 7'!5:5,0))/INDEX('AEO 2023 Table 7'!64:64,MATCH($C$2,'AEO 2023 Table 7'!1:1,0))</f>
        <v>0.9470433765307813</v>
      </c>
      <c r="W7">
        <f>INDEX('AEO 2025 Table 7'!53:53,MATCH(W2,'AEO 2025 Table 7'!5:5,0))/INDEX('AEO 2023 Table 7'!64:64,MATCH($C$2,'AEO 2023 Table 7'!1:1,0))</f>
        <v>0.94322740669702698</v>
      </c>
      <c r="X7">
        <f>INDEX('AEO 2025 Table 7'!53:53,MATCH(X2,'AEO 2025 Table 7'!5:5,0))/INDEX('AEO 2023 Table 7'!64:64,MATCH($C$2,'AEO 2023 Table 7'!1:1,0))</f>
        <v>0.93874364214236572</v>
      </c>
      <c r="Y7">
        <f>INDEX('AEO 2025 Table 7'!53:53,MATCH(Y2,'AEO 2025 Table 7'!5:5,0))/INDEX('AEO 2023 Table 7'!64:64,MATCH($C$2,'AEO 2023 Table 7'!1:1,0))</f>
        <v>0.93398372187605128</v>
      </c>
      <c r="Z7">
        <f>INDEX('AEO 2025 Table 7'!53:53,MATCH(Z2,'AEO 2025 Table 7'!5:5,0))/INDEX('AEO 2023 Table 7'!64:64,MATCH($C$2,'AEO 2023 Table 7'!1:1,0))</f>
        <v>0.92896772994984012</v>
      </c>
      <c r="AA7">
        <f>INDEX('AEO 2025 Table 7'!53:53,MATCH(AA2,'AEO 2025 Table 7'!5:5,0))/INDEX('AEO 2023 Table 7'!64:64,MATCH($C$2,'AEO 2023 Table 7'!1:1,0))</f>
        <v>0.92530239050426033</v>
      </c>
      <c r="AB7">
        <f>INDEX('AEO 2025 Table 7'!53:53,MATCH(AB2,'AEO 2025 Table 7'!5:5,0))/INDEX('AEO 2023 Table 7'!64:64,MATCH($C$2,'AEO 2023 Table 7'!1:1,0))</f>
        <v>0.9219433328479687</v>
      </c>
      <c r="AC7">
        <f>INDEX('AEO 2025 Table 7'!53:53,MATCH(AC2,'AEO 2025 Table 7'!5:5,0))/INDEX('AEO 2023 Table 7'!64:64,MATCH($C$2,'AEO 2023 Table 7'!1:1,0))</f>
        <v>0.91809723693657963</v>
      </c>
      <c r="AD7">
        <f>INDEX('AEO 2025 Table 7'!53:53,MATCH(AD2,'AEO 2025 Table 7'!5:5,0))/INDEX('AEO 2023 Table 7'!64:64,MATCH($C$2,'AEO 2023 Table 7'!1:1,0))</f>
        <v>0.91410051063701581</v>
      </c>
    </row>
    <row r="8" spans="1:30">
      <c r="B8" t="s">
        <v>126</v>
      </c>
      <c r="C8">
        <v>1</v>
      </c>
      <c r="D8">
        <f>INDEX('AEO 2025 Table 35'!11:11,MATCH(D2,'AEO 2025 Table 35'!5:5,0))/INDEX('AEO 2023 Table 35'!20:20,MATCH($C$2,'AEO 2023 Table 35'!13:13,0))</f>
        <v>1.1331499423589024</v>
      </c>
      <c r="E8">
        <f>INDEX('AEO 2025 Table 35'!11:11,MATCH(E2,'AEO 2025 Table 35'!5:5,0))/INDEX('AEO 2023 Table 35'!20:20,MATCH($C$2,'AEO 2023 Table 35'!13:13,0))</f>
        <v>1.1062489276949894</v>
      </c>
      <c r="F8">
        <f>INDEX('AEO 2025 Table 35'!11:11,MATCH(F2,'AEO 2025 Table 35'!5:5,0))/INDEX('AEO 2023 Table 35'!20:20,MATCH($C$2,'AEO 2023 Table 35'!13:13,0))</f>
        <v>1.0703191929003946</v>
      </c>
      <c r="G8">
        <f>INDEX('AEO 2025 Table 35'!11:11,MATCH(G2,'AEO 2025 Table 35'!5:5,0))/INDEX('AEO 2023 Table 35'!20:20,MATCH($C$2,'AEO 2023 Table 35'!13:13,0))</f>
        <v>1.0283748796888987</v>
      </c>
      <c r="H8">
        <f>INDEX('AEO 2025 Table 35'!11:11,MATCH(H2,'AEO 2025 Table 35'!5:5,0))/INDEX('AEO 2023 Table 35'!20:20,MATCH($C$2,'AEO 2023 Table 35'!13:13,0))</f>
        <v>0.98536689114065201</v>
      </c>
      <c r="I8">
        <f>INDEX('AEO 2025 Table 35'!11:11,MATCH(I2,'AEO 2025 Table 35'!5:5,0))/INDEX('AEO 2023 Table 35'!20:20,MATCH($C$2,'AEO 2023 Table 35'!13:13,0))</f>
        <v>0.94270850844846665</v>
      </c>
      <c r="J8">
        <f>INDEX('AEO 2025 Table 35'!11:11,MATCH(J2,'AEO 2025 Table 35'!5:5,0))/INDEX('AEO 2023 Table 35'!20:20,MATCH($C$2,'AEO 2023 Table 35'!13:13,0))</f>
        <v>0.90263857959220162</v>
      </c>
      <c r="K8">
        <f>INDEX('AEO 2025 Table 35'!11:11,MATCH(K2,'AEO 2025 Table 35'!5:5,0))/INDEX('AEO 2023 Table 35'!20:20,MATCH($C$2,'AEO 2023 Table 35'!13:13,0))</f>
        <v>0.86399275504464468</v>
      </c>
      <c r="L8">
        <f>INDEX('AEO 2025 Table 35'!11:11,MATCH(L2,'AEO 2025 Table 35'!5:5,0))/INDEX('AEO 2023 Table 35'!20:20,MATCH($C$2,'AEO 2023 Table 35'!13:13,0))</f>
        <v>0.82707510672456841</v>
      </c>
      <c r="M8">
        <f>INDEX('AEO 2025 Table 35'!11:11,MATCH(M2,'AEO 2025 Table 35'!5:5,0))/INDEX('AEO 2023 Table 35'!20:20,MATCH($C$2,'AEO 2023 Table 35'!13:13,0))</f>
        <v>0.79148959824914</v>
      </c>
      <c r="N8">
        <f>INDEX('AEO 2025 Table 35'!11:11,MATCH(N2,'AEO 2025 Table 35'!5:5,0))/INDEX('AEO 2023 Table 35'!20:20,MATCH($C$2,'AEO 2023 Table 35'!13:13,0))</f>
        <v>0.76414278648611667</v>
      </c>
      <c r="O8">
        <f>INDEX('AEO 2025 Table 35'!11:11,MATCH(O2,'AEO 2025 Table 35'!5:5,0))/INDEX('AEO 2023 Table 35'!20:20,MATCH($C$2,'AEO 2023 Table 35'!13:13,0))</f>
        <v>0.73504198952693822</v>
      </c>
      <c r="P8">
        <f>INDEX('AEO 2025 Table 35'!11:11,MATCH(P2,'AEO 2025 Table 35'!5:5,0))/INDEX('AEO 2023 Table 35'!20:20,MATCH($C$2,'AEO 2023 Table 35'!13:13,0))</f>
        <v>0.70625397421293368</v>
      </c>
      <c r="Q8">
        <f>INDEX('AEO 2025 Table 35'!11:11,MATCH(Q2,'AEO 2025 Table 35'!5:5,0))/INDEX('AEO 2023 Table 35'!20:20,MATCH($C$2,'AEO 2023 Table 35'!13:13,0))</f>
        <v>0.68302916855350726</v>
      </c>
      <c r="R8">
        <f>INDEX('AEO 2025 Table 35'!11:11,MATCH(R2,'AEO 2025 Table 35'!5:5,0))/INDEX('AEO 2023 Table 35'!20:20,MATCH($C$2,'AEO 2023 Table 35'!13:13,0))</f>
        <v>0.66459093393051316</v>
      </c>
      <c r="S8">
        <f>INDEX('AEO 2025 Table 35'!11:11,MATCH(S2,'AEO 2025 Table 35'!5:5,0))/INDEX('AEO 2023 Table 35'!20:20,MATCH($C$2,'AEO 2023 Table 35'!13:13,0))</f>
        <v>0.64729898896087013</v>
      </c>
      <c r="T8">
        <f>INDEX('AEO 2025 Table 35'!11:11,MATCH(T2,'AEO 2025 Table 35'!5:5,0))/INDEX('AEO 2023 Table 35'!20:20,MATCH($C$2,'AEO 2023 Table 35'!13:13,0))</f>
        <v>0.63196410670516356</v>
      </c>
      <c r="U8">
        <f>INDEX('AEO 2025 Table 35'!11:11,MATCH(U2,'AEO 2025 Table 35'!5:5,0))/INDEX('AEO 2023 Table 35'!20:20,MATCH($C$2,'AEO 2023 Table 35'!13:13,0))</f>
        <v>0.6196360653631664</v>
      </c>
      <c r="V8">
        <f>INDEX('AEO 2025 Table 35'!11:11,MATCH(V2,'AEO 2025 Table 35'!5:5,0))/INDEX('AEO 2023 Table 35'!20:20,MATCH($C$2,'AEO 2023 Table 35'!13:13,0))</f>
        <v>0.60796247030127393</v>
      </c>
      <c r="W8">
        <f>INDEX('AEO 2025 Table 35'!11:11,MATCH(W2,'AEO 2025 Table 35'!5:5,0))/INDEX('AEO 2023 Table 35'!20:20,MATCH($C$2,'AEO 2023 Table 35'!13:13,0))</f>
        <v>0.59829525037485443</v>
      </c>
      <c r="X8">
        <f>INDEX('AEO 2025 Table 35'!11:11,MATCH(X2,'AEO 2025 Table 35'!5:5,0))/INDEX('AEO 2023 Table 35'!20:20,MATCH($C$2,'AEO 2023 Table 35'!13:13,0))</f>
        <v>0.58877423857618516</v>
      </c>
      <c r="Y8">
        <f>INDEX('AEO 2025 Table 35'!11:11,MATCH(Y2,'AEO 2025 Table 35'!5:5,0))/INDEX('AEO 2023 Table 35'!20:20,MATCH($C$2,'AEO 2023 Table 35'!13:13,0))</f>
        <v>0.58091114881483363</v>
      </c>
      <c r="Z8">
        <f>INDEX('AEO 2025 Table 35'!11:11,MATCH(Z2,'AEO 2025 Table 35'!5:5,0))/INDEX('AEO 2023 Table 35'!20:20,MATCH($C$2,'AEO 2023 Table 35'!13:13,0))</f>
        <v>0.5735682730796382</v>
      </c>
      <c r="AA8">
        <f>INDEX('AEO 2025 Table 35'!11:11,MATCH(AA2,'AEO 2025 Table 35'!5:5,0))/INDEX('AEO 2023 Table 35'!20:20,MATCH($C$2,'AEO 2023 Table 35'!13:13,0))</f>
        <v>0.56904158490891321</v>
      </c>
      <c r="AB8">
        <f>INDEX('AEO 2025 Table 35'!11:11,MATCH(AB2,'AEO 2025 Table 35'!5:5,0))/INDEX('AEO 2023 Table 35'!20:20,MATCH($C$2,'AEO 2023 Table 35'!13:13,0))</f>
        <v>0.5623589192433528</v>
      </c>
      <c r="AC8">
        <f>INDEX('AEO 2025 Table 35'!11:11,MATCH(AC2,'AEO 2025 Table 35'!5:5,0))/INDEX('AEO 2023 Table 35'!20:20,MATCH($C$2,'AEO 2023 Table 35'!13:13,0))</f>
        <v>0.55621235004620961</v>
      </c>
      <c r="AD8">
        <f>INDEX('AEO 2025 Table 35'!11:11,MATCH(AD2,'AEO 2025 Table 35'!5:5,0))/INDEX('AEO 2023 Table 35'!20:20,MATCH($C$2,'AEO 2023 Table 35'!13:13,0))</f>
        <v>0.55223943396512787</v>
      </c>
    </row>
    <row r="10" spans="1:30" s="81" customFormat="1">
      <c r="A10" s="81" t="s">
        <v>3774</v>
      </c>
    </row>
    <row r="11" spans="1:30">
      <c r="B11" s="1" t="s">
        <v>145</v>
      </c>
      <c r="C11">
        <v>2023</v>
      </c>
      <c r="D11">
        <v>2024</v>
      </c>
      <c r="E11">
        <v>2025</v>
      </c>
      <c r="F11">
        <v>2026</v>
      </c>
      <c r="G11">
        <v>2027</v>
      </c>
      <c r="H11">
        <v>2028</v>
      </c>
      <c r="I11">
        <v>2029</v>
      </c>
      <c r="J11">
        <v>2030</v>
      </c>
      <c r="K11">
        <v>2031</v>
      </c>
      <c r="L11">
        <v>2032</v>
      </c>
      <c r="M11">
        <v>2033</v>
      </c>
      <c r="N11">
        <v>2034</v>
      </c>
      <c r="O11">
        <v>2035</v>
      </c>
      <c r="P11">
        <v>2036</v>
      </c>
      <c r="Q11">
        <v>2037</v>
      </c>
      <c r="R11">
        <v>2038</v>
      </c>
      <c r="S11">
        <v>2039</v>
      </c>
      <c r="T11">
        <v>2040</v>
      </c>
      <c r="U11">
        <v>2041</v>
      </c>
      <c r="V11">
        <v>2042</v>
      </c>
      <c r="W11">
        <v>2043</v>
      </c>
      <c r="X11">
        <v>2044</v>
      </c>
      <c r="Y11">
        <v>2045</v>
      </c>
      <c r="Z11">
        <v>2046</v>
      </c>
      <c r="AA11">
        <v>2047</v>
      </c>
      <c r="AB11">
        <v>2048</v>
      </c>
      <c r="AC11">
        <v>2049</v>
      </c>
      <c r="AD11">
        <v>2050</v>
      </c>
    </row>
    <row r="12" spans="1:30">
      <c r="B12" t="s">
        <v>123</v>
      </c>
      <c r="C12">
        <v>1</v>
      </c>
      <c r="D12">
        <f>SUM(INDEX('AEO 2025 Table 49'!21:21,MATCH(D11,'AEO 2025 Table 49'!5:5,0)),INDEX('AEO 2025 Table 49'!35:35,MATCH(D11,'AEO 2025 Table 49'!5:5,0)),INDEX('AEO 2025 Table 7'!10:10,MATCH(D11,'AEO 2025 Table 7'!5:5,0)))
/SUM(INDEX('AEO 2023 Table 7'!19:19,MATCH($C$11,'AEO 2023 Table 7'!1:1,0)),INDEX('AEO 2023 Table 49'!28:28,MATCH($C$11,'AEO 2023 Table 49'!13:13,0)),INDEX('AEO 2023 Table 49'!39:39,MATCH($C$11,'AEO 2023 Table 49'!13:13,0)))</f>
        <v>0.99199162805779795</v>
      </c>
      <c r="E12">
        <f>SUM(INDEX('AEO 2025 Table 49'!21:21,MATCH(E11,'AEO 2025 Table 49'!5:5,0)),INDEX('AEO 2025 Table 49'!35:35,MATCH(E11,'AEO 2025 Table 49'!5:5,0)),INDEX('AEO 2025 Table 7'!10:10,MATCH(E11,'AEO 2025 Table 7'!5:5,0)))
/SUM(INDEX('AEO 2023 Table 7'!19:19,MATCH($C$11,'AEO 2023 Table 7'!1:1,0)),INDEX('AEO 2023 Table 49'!28:28,MATCH($C$11,'AEO 2023 Table 49'!13:13,0)),INDEX('AEO 2023 Table 49'!39:39,MATCH($C$11,'AEO 2023 Table 49'!13:13,0)))</f>
        <v>0.99145345856887246</v>
      </c>
      <c r="F12">
        <f>SUM(INDEX('AEO 2025 Table 49'!21:21,MATCH(F11,'AEO 2025 Table 49'!5:5,0)),INDEX('AEO 2025 Table 49'!35:35,MATCH(F11,'AEO 2025 Table 49'!5:5,0)),INDEX('AEO 2025 Table 7'!10:10,MATCH(F11,'AEO 2025 Table 7'!5:5,0)))
/SUM(INDEX('AEO 2023 Table 7'!19:19,MATCH($C$11,'AEO 2023 Table 7'!1:1,0)),INDEX('AEO 2023 Table 49'!28:28,MATCH($C$11,'AEO 2023 Table 49'!13:13,0)),INDEX('AEO 2023 Table 49'!39:39,MATCH($C$11,'AEO 2023 Table 49'!13:13,0)))</f>
        <v>0.98773845758736967</v>
      </c>
      <c r="G12">
        <f>SUM(INDEX('AEO 2025 Table 49'!21:21,MATCH(G11,'AEO 2025 Table 49'!5:5,0)),INDEX('AEO 2025 Table 49'!35:35,MATCH(G11,'AEO 2025 Table 49'!5:5,0)),INDEX('AEO 2025 Table 7'!10:10,MATCH(G11,'AEO 2025 Table 7'!5:5,0)))
/SUM(INDEX('AEO 2023 Table 7'!19:19,MATCH($C$11,'AEO 2023 Table 7'!1:1,0)),INDEX('AEO 2023 Table 49'!28:28,MATCH($C$11,'AEO 2023 Table 49'!13:13,0)),INDEX('AEO 2023 Table 49'!39:39,MATCH($C$11,'AEO 2023 Table 49'!13:13,0)))</f>
        <v>0.98564184740246219</v>
      </c>
      <c r="H12">
        <f>SUM(INDEX('AEO 2025 Table 49'!21:21,MATCH(H11,'AEO 2025 Table 49'!5:5,0)),INDEX('AEO 2025 Table 49'!35:35,MATCH(H11,'AEO 2025 Table 49'!5:5,0)),INDEX('AEO 2025 Table 7'!10:10,MATCH(H11,'AEO 2025 Table 7'!5:5,0)))
/SUM(INDEX('AEO 2023 Table 7'!19:19,MATCH($C$11,'AEO 2023 Table 7'!1:1,0)),INDEX('AEO 2023 Table 49'!28:28,MATCH($C$11,'AEO 2023 Table 49'!13:13,0)),INDEX('AEO 2023 Table 49'!39:39,MATCH($C$11,'AEO 2023 Table 49'!13:13,0)))</f>
        <v>0.98303991333727347</v>
      </c>
      <c r="I12">
        <f>SUM(INDEX('AEO 2025 Table 49'!21:21,MATCH(I11,'AEO 2025 Table 49'!5:5,0)),INDEX('AEO 2025 Table 49'!35:35,MATCH(I11,'AEO 2025 Table 49'!5:5,0)),INDEX('AEO 2025 Table 7'!10:10,MATCH(I11,'AEO 2025 Table 7'!5:5,0)))
/SUM(INDEX('AEO 2023 Table 7'!19:19,MATCH($C$11,'AEO 2023 Table 7'!1:1,0)),INDEX('AEO 2023 Table 49'!28:28,MATCH($C$11,'AEO 2023 Table 49'!13:13,0)),INDEX('AEO 2023 Table 49'!39:39,MATCH($C$11,'AEO 2023 Table 49'!13:13,0)))</f>
        <v>0.98381018616126348</v>
      </c>
      <c r="J12">
        <f>SUM(INDEX('AEO 2025 Table 49'!21:21,MATCH(J11,'AEO 2025 Table 49'!5:5,0)),INDEX('AEO 2025 Table 49'!35:35,MATCH(J11,'AEO 2025 Table 49'!5:5,0)),INDEX('AEO 2025 Table 7'!10:10,MATCH(J11,'AEO 2025 Table 7'!5:5,0)))
/SUM(INDEX('AEO 2023 Table 7'!19:19,MATCH($C$11,'AEO 2023 Table 7'!1:1,0)),INDEX('AEO 2023 Table 49'!28:28,MATCH($C$11,'AEO 2023 Table 49'!13:13,0)),INDEX('AEO 2023 Table 49'!39:39,MATCH($C$11,'AEO 2023 Table 49'!13:13,0)))</f>
        <v>0.98691983518255244</v>
      </c>
      <c r="K12">
        <f>SUM(INDEX('AEO 2025 Table 49'!21:21,MATCH(K11,'AEO 2025 Table 49'!5:5,0)),INDEX('AEO 2025 Table 49'!35:35,MATCH(K11,'AEO 2025 Table 49'!5:5,0)),INDEX('AEO 2025 Table 7'!10:10,MATCH(K11,'AEO 2025 Table 7'!5:5,0)))
/SUM(INDEX('AEO 2023 Table 7'!19:19,MATCH($C$11,'AEO 2023 Table 7'!1:1,0)),INDEX('AEO 2023 Table 49'!28:28,MATCH($C$11,'AEO 2023 Table 49'!13:13,0)),INDEX('AEO 2023 Table 49'!39:39,MATCH($C$11,'AEO 2023 Table 49'!13:13,0)))</f>
        <v>0.99006617834617994</v>
      </c>
      <c r="L12">
        <f>SUM(INDEX('AEO 2025 Table 49'!21:21,MATCH(L11,'AEO 2025 Table 49'!5:5,0)),INDEX('AEO 2025 Table 49'!35:35,MATCH(L11,'AEO 2025 Table 49'!5:5,0)),INDEX('AEO 2025 Table 7'!10:10,MATCH(L11,'AEO 2025 Table 7'!5:5,0)))
/SUM(INDEX('AEO 2023 Table 7'!19:19,MATCH($C$11,'AEO 2023 Table 7'!1:1,0)),INDEX('AEO 2023 Table 49'!28:28,MATCH($C$11,'AEO 2023 Table 49'!13:13,0)),INDEX('AEO 2023 Table 49'!39:39,MATCH($C$11,'AEO 2023 Table 49'!13:13,0)))</f>
        <v>0.9941463126584007</v>
      </c>
      <c r="M12">
        <f>SUM(INDEX('AEO 2025 Table 49'!21:21,MATCH(M11,'AEO 2025 Table 49'!5:5,0)),INDEX('AEO 2025 Table 49'!35:35,MATCH(M11,'AEO 2025 Table 49'!5:5,0)),INDEX('AEO 2025 Table 7'!10:10,MATCH(M11,'AEO 2025 Table 7'!5:5,0)))
/SUM(INDEX('AEO 2023 Table 7'!19:19,MATCH($C$11,'AEO 2023 Table 7'!1:1,0)),INDEX('AEO 2023 Table 49'!28:28,MATCH($C$11,'AEO 2023 Table 49'!13:13,0)),INDEX('AEO 2023 Table 49'!39:39,MATCH($C$11,'AEO 2023 Table 49'!13:13,0)))</f>
        <v>0.99846130468984473</v>
      </c>
      <c r="N12">
        <f>SUM(INDEX('AEO 2025 Table 49'!21:21,MATCH(N11,'AEO 2025 Table 49'!5:5,0)),INDEX('AEO 2025 Table 49'!35:35,MATCH(N11,'AEO 2025 Table 49'!5:5,0)),INDEX('AEO 2025 Table 7'!10:10,MATCH(N11,'AEO 2025 Table 7'!5:5,0)))
/SUM(INDEX('AEO 2023 Table 7'!19:19,MATCH($C$11,'AEO 2023 Table 7'!1:1,0)),INDEX('AEO 2023 Table 49'!28:28,MATCH($C$11,'AEO 2023 Table 49'!13:13,0)),INDEX('AEO 2023 Table 49'!39:39,MATCH($C$11,'AEO 2023 Table 49'!13:13,0)))</f>
        <v>1.0037337578306835</v>
      </c>
      <c r="O12">
        <f>SUM(INDEX('AEO 2025 Table 49'!21:21,MATCH(O11,'AEO 2025 Table 49'!5:5,0)),INDEX('AEO 2025 Table 49'!35:35,MATCH(O11,'AEO 2025 Table 49'!5:5,0)),INDEX('AEO 2025 Table 7'!10:10,MATCH(O11,'AEO 2025 Table 7'!5:5,0)))
/SUM(INDEX('AEO 2023 Table 7'!19:19,MATCH($C$11,'AEO 2023 Table 7'!1:1,0)),INDEX('AEO 2023 Table 49'!28:28,MATCH($C$11,'AEO 2023 Table 49'!13:13,0)),INDEX('AEO 2023 Table 49'!39:39,MATCH($C$11,'AEO 2023 Table 49'!13:13,0)))</f>
        <v>1.0092701544805229</v>
      </c>
      <c r="P12">
        <f>SUM(INDEX('AEO 2025 Table 49'!21:21,MATCH(P11,'AEO 2025 Table 49'!5:5,0)),INDEX('AEO 2025 Table 49'!35:35,MATCH(P11,'AEO 2025 Table 49'!5:5,0)),INDEX('AEO 2025 Table 7'!10:10,MATCH(P11,'AEO 2025 Table 7'!5:5,0)))
/SUM(INDEX('AEO 2023 Table 7'!19:19,MATCH($C$11,'AEO 2023 Table 7'!1:1,0)),INDEX('AEO 2023 Table 49'!28:28,MATCH($C$11,'AEO 2023 Table 49'!13:13,0)),INDEX('AEO 2023 Table 49'!39:39,MATCH($C$11,'AEO 2023 Table 49'!13:13,0)))</f>
        <v>1.0155410972260812</v>
      </c>
      <c r="Q12">
        <f>SUM(INDEX('AEO 2025 Table 49'!21:21,MATCH(Q11,'AEO 2025 Table 49'!5:5,0)),INDEX('AEO 2025 Table 49'!35:35,MATCH(Q11,'AEO 2025 Table 49'!5:5,0)),INDEX('AEO 2025 Table 7'!10:10,MATCH(Q11,'AEO 2025 Table 7'!5:5,0)))
/SUM(INDEX('AEO 2023 Table 7'!19:19,MATCH($C$11,'AEO 2023 Table 7'!1:1,0)),INDEX('AEO 2023 Table 49'!28:28,MATCH($C$11,'AEO 2023 Table 49'!13:13,0)),INDEX('AEO 2023 Table 49'!39:39,MATCH($C$11,'AEO 2023 Table 49'!13:13,0)))</f>
        <v>1.0221550537387742</v>
      </c>
      <c r="R12">
        <f>SUM(INDEX('AEO 2025 Table 49'!21:21,MATCH(R11,'AEO 2025 Table 49'!5:5,0)),INDEX('AEO 2025 Table 49'!35:35,MATCH(R11,'AEO 2025 Table 49'!5:5,0)),INDEX('AEO 2025 Table 7'!10:10,MATCH(R11,'AEO 2025 Table 7'!5:5,0)))
/SUM(INDEX('AEO 2023 Table 7'!19:19,MATCH($C$11,'AEO 2023 Table 7'!1:1,0)),INDEX('AEO 2023 Table 49'!28:28,MATCH($C$11,'AEO 2023 Table 49'!13:13,0)),INDEX('AEO 2023 Table 49'!39:39,MATCH($C$11,'AEO 2023 Table 49'!13:13,0)))</f>
        <v>1.0288457190053915</v>
      </c>
      <c r="S12">
        <f>SUM(INDEX('AEO 2025 Table 49'!21:21,MATCH(S11,'AEO 2025 Table 49'!5:5,0)),INDEX('AEO 2025 Table 49'!35:35,MATCH(S11,'AEO 2025 Table 49'!5:5,0)),INDEX('AEO 2025 Table 7'!10:10,MATCH(S11,'AEO 2025 Table 7'!5:5,0)))
/SUM(INDEX('AEO 2023 Table 7'!19:19,MATCH($C$11,'AEO 2023 Table 7'!1:1,0)),INDEX('AEO 2023 Table 49'!28:28,MATCH($C$11,'AEO 2023 Table 49'!13:13,0)),INDEX('AEO 2023 Table 49'!39:39,MATCH($C$11,'AEO 2023 Table 49'!13:13,0)))</f>
        <v>1.0352948306955889</v>
      </c>
      <c r="T12">
        <f>SUM(INDEX('AEO 2025 Table 49'!21:21,MATCH(T11,'AEO 2025 Table 49'!5:5,0)),INDEX('AEO 2025 Table 49'!35:35,MATCH(T11,'AEO 2025 Table 49'!5:5,0)),INDEX('AEO 2025 Table 7'!10:10,MATCH(T11,'AEO 2025 Table 7'!5:5,0)))
/SUM(INDEX('AEO 2023 Table 7'!19:19,MATCH($C$11,'AEO 2023 Table 7'!1:1,0)),INDEX('AEO 2023 Table 49'!28:28,MATCH($C$11,'AEO 2023 Table 49'!13:13,0)),INDEX('AEO 2023 Table 49'!39:39,MATCH($C$11,'AEO 2023 Table 49'!13:13,0)))</f>
        <v>1.0425874302893146</v>
      </c>
      <c r="U12">
        <f>SUM(INDEX('AEO 2025 Table 49'!21:21,MATCH(U11,'AEO 2025 Table 49'!5:5,0)),INDEX('AEO 2025 Table 49'!35:35,MATCH(U11,'AEO 2025 Table 49'!5:5,0)),INDEX('AEO 2025 Table 7'!10:10,MATCH(U11,'AEO 2025 Table 7'!5:5,0)))
/SUM(INDEX('AEO 2023 Table 7'!19:19,MATCH($C$11,'AEO 2023 Table 7'!1:1,0)),INDEX('AEO 2023 Table 49'!28:28,MATCH($C$11,'AEO 2023 Table 49'!13:13,0)),INDEX('AEO 2023 Table 49'!39:39,MATCH($C$11,'AEO 2023 Table 49'!13:13,0)))</f>
        <v>1.0492768070786795</v>
      </c>
      <c r="V12">
        <f>SUM(INDEX('AEO 2025 Table 49'!21:21,MATCH(V11,'AEO 2025 Table 49'!5:5,0)),INDEX('AEO 2025 Table 49'!35:35,MATCH(V11,'AEO 2025 Table 49'!5:5,0)),INDEX('AEO 2025 Table 7'!10:10,MATCH(V11,'AEO 2025 Table 7'!5:5,0)))
/SUM(INDEX('AEO 2023 Table 7'!19:19,MATCH($C$11,'AEO 2023 Table 7'!1:1,0)),INDEX('AEO 2023 Table 49'!28:28,MATCH($C$11,'AEO 2023 Table 49'!13:13,0)),INDEX('AEO 2023 Table 49'!39:39,MATCH($C$11,'AEO 2023 Table 49'!13:13,0)))</f>
        <v>1.0559394131128061</v>
      </c>
      <c r="W12">
        <f>SUM(INDEX('AEO 2025 Table 49'!21:21,MATCH(W11,'AEO 2025 Table 49'!5:5,0)),INDEX('AEO 2025 Table 49'!35:35,MATCH(W11,'AEO 2025 Table 49'!5:5,0)),INDEX('AEO 2025 Table 7'!10:10,MATCH(W11,'AEO 2025 Table 7'!5:5,0)))
/SUM(INDEX('AEO 2023 Table 7'!19:19,MATCH($C$11,'AEO 2023 Table 7'!1:1,0)),INDEX('AEO 2023 Table 49'!28:28,MATCH($C$11,'AEO 2023 Table 49'!13:13,0)),INDEX('AEO 2023 Table 49'!39:39,MATCH($C$11,'AEO 2023 Table 49'!13:13,0)))</f>
        <v>1.0615504316058721</v>
      </c>
      <c r="X12">
        <f>SUM(INDEX('AEO 2025 Table 49'!21:21,MATCH(X11,'AEO 2025 Table 49'!5:5,0)),INDEX('AEO 2025 Table 49'!35:35,MATCH(X11,'AEO 2025 Table 49'!5:5,0)),INDEX('AEO 2025 Table 7'!10:10,MATCH(X11,'AEO 2025 Table 7'!5:5,0)))
/SUM(INDEX('AEO 2023 Table 7'!19:19,MATCH($C$11,'AEO 2023 Table 7'!1:1,0)),INDEX('AEO 2023 Table 49'!28:28,MATCH($C$11,'AEO 2023 Table 49'!13:13,0)),INDEX('AEO 2023 Table 49'!39:39,MATCH($C$11,'AEO 2023 Table 49'!13:13,0)))</f>
        <v>1.0670456688004033</v>
      </c>
      <c r="Y12">
        <f>SUM(INDEX('AEO 2025 Table 49'!21:21,MATCH(Y11,'AEO 2025 Table 49'!5:5,0)),INDEX('AEO 2025 Table 49'!35:35,MATCH(Y11,'AEO 2025 Table 49'!5:5,0)),INDEX('AEO 2025 Table 7'!10:10,MATCH(Y11,'AEO 2025 Table 7'!5:5,0)))
/SUM(INDEX('AEO 2023 Table 7'!19:19,MATCH($C$11,'AEO 2023 Table 7'!1:1,0)),INDEX('AEO 2023 Table 49'!28:28,MATCH($C$11,'AEO 2023 Table 49'!13:13,0)),INDEX('AEO 2023 Table 49'!39:39,MATCH($C$11,'AEO 2023 Table 49'!13:13,0)))</f>
        <v>1.0733174648981094</v>
      </c>
      <c r="Z12">
        <f>SUM(INDEX('AEO 2025 Table 49'!21:21,MATCH(Z11,'AEO 2025 Table 49'!5:5,0)),INDEX('AEO 2025 Table 49'!35:35,MATCH(Z11,'AEO 2025 Table 49'!5:5,0)),INDEX('AEO 2025 Table 7'!10:10,MATCH(Z11,'AEO 2025 Table 7'!5:5,0)))
/SUM(INDEX('AEO 2023 Table 7'!19:19,MATCH($C$11,'AEO 2023 Table 7'!1:1,0)),INDEX('AEO 2023 Table 49'!28:28,MATCH($C$11,'AEO 2023 Table 49'!13:13,0)),INDEX('AEO 2023 Table 49'!39:39,MATCH($C$11,'AEO 2023 Table 49'!13:13,0)))</f>
        <v>1.0797690268073437</v>
      </c>
      <c r="AA12">
        <f>SUM(INDEX('AEO 2025 Table 49'!21:21,MATCH(AA11,'AEO 2025 Table 49'!5:5,0)),INDEX('AEO 2025 Table 49'!35:35,MATCH(AA11,'AEO 2025 Table 49'!5:5,0)),INDEX('AEO 2025 Table 7'!10:10,MATCH(AA11,'AEO 2025 Table 7'!5:5,0)))
/SUM(INDEX('AEO 2023 Table 7'!19:19,MATCH($C$11,'AEO 2023 Table 7'!1:1,0)),INDEX('AEO 2023 Table 49'!28:28,MATCH($C$11,'AEO 2023 Table 49'!13:13,0)),INDEX('AEO 2023 Table 49'!39:39,MATCH($C$11,'AEO 2023 Table 49'!13:13,0)))</f>
        <v>1.0885601043228916</v>
      </c>
      <c r="AB12">
        <f>SUM(INDEX('AEO 2025 Table 49'!21:21,MATCH(AB11,'AEO 2025 Table 49'!5:5,0)),INDEX('AEO 2025 Table 49'!35:35,MATCH(AB11,'AEO 2025 Table 49'!5:5,0)),INDEX('AEO 2025 Table 7'!10:10,MATCH(AB11,'AEO 2025 Table 7'!5:5,0)))
/SUM(INDEX('AEO 2023 Table 7'!19:19,MATCH($C$11,'AEO 2023 Table 7'!1:1,0)),INDEX('AEO 2023 Table 49'!28:28,MATCH($C$11,'AEO 2023 Table 49'!13:13,0)),INDEX('AEO 2023 Table 49'!39:39,MATCH($C$11,'AEO 2023 Table 49'!13:13,0)))</f>
        <v>1.0966140756862777</v>
      </c>
      <c r="AC12">
        <f>SUM(INDEX('AEO 2025 Table 49'!21:21,MATCH(AC11,'AEO 2025 Table 49'!5:5,0)),INDEX('AEO 2025 Table 49'!35:35,MATCH(AC11,'AEO 2025 Table 49'!5:5,0)),INDEX('AEO 2025 Table 7'!10:10,MATCH(AC11,'AEO 2025 Table 7'!5:5,0)))
/SUM(INDEX('AEO 2023 Table 7'!19:19,MATCH($C$11,'AEO 2023 Table 7'!1:1,0)),INDEX('AEO 2023 Table 49'!28:28,MATCH($C$11,'AEO 2023 Table 49'!13:13,0)),INDEX('AEO 2023 Table 49'!39:39,MATCH($C$11,'AEO 2023 Table 49'!13:13,0)))</f>
        <v>1.1037383832527936</v>
      </c>
      <c r="AD12">
        <f>SUM(INDEX('AEO 2025 Table 49'!21:21,MATCH(AD11,'AEO 2025 Table 49'!5:5,0)),INDEX('AEO 2025 Table 49'!35:35,MATCH(AD11,'AEO 2025 Table 49'!5:5,0)),INDEX('AEO 2025 Table 7'!10:10,MATCH(AD11,'AEO 2025 Table 7'!5:5,0)))
/SUM(INDEX('AEO 2023 Table 7'!19:19,MATCH($C$11,'AEO 2023 Table 7'!1:1,0)),INDEX('AEO 2023 Table 49'!28:28,MATCH($C$11,'AEO 2023 Table 49'!13:13,0)),INDEX('AEO 2023 Table 49'!39:39,MATCH($C$11,'AEO 2023 Table 49'!13:13,0)))</f>
        <v>1.1099383330140091</v>
      </c>
    </row>
    <row r="13" spans="1:30">
      <c r="B13" t="s">
        <v>121</v>
      </c>
      <c r="C13">
        <v>1</v>
      </c>
      <c r="D13">
        <f>INDEX('AEO 2025 Table 49'!49:49,MATCH(D11,'AEO 2025 Table 49'!5:5,0))/INDEX('AEO 2023 Table 49'!50:50,MATCH($C$11,'AEO 2023 Table 49'!13:13,0))</f>
        <v>1.0622112715165715</v>
      </c>
      <c r="E13">
        <f>INDEX('AEO 2025 Table 49'!49:49,MATCH(E11,'AEO 2025 Table 49'!5:5,0))/INDEX('AEO 2023 Table 49'!50:50,MATCH($C$11,'AEO 2023 Table 49'!13:13,0))</f>
        <v>1.0882483223483477</v>
      </c>
      <c r="F13">
        <f>INDEX('AEO 2025 Table 49'!49:49,MATCH(F11,'AEO 2025 Table 49'!5:5,0))/INDEX('AEO 2023 Table 49'!50:50,MATCH($C$11,'AEO 2023 Table 49'!13:13,0))</f>
        <v>1.1073663909567006</v>
      </c>
      <c r="G13">
        <f>INDEX('AEO 2025 Table 49'!49:49,MATCH(G11,'AEO 2025 Table 49'!5:5,0))/INDEX('AEO 2023 Table 49'!50:50,MATCH($C$11,'AEO 2023 Table 49'!13:13,0))</f>
        <v>1.1253528048949284</v>
      </c>
      <c r="H13">
        <f>INDEX('AEO 2025 Table 49'!49:49,MATCH(H11,'AEO 2025 Table 49'!5:5,0))/INDEX('AEO 2023 Table 49'!50:50,MATCH($C$11,'AEO 2023 Table 49'!13:13,0))</f>
        <v>1.138224191456727</v>
      </c>
      <c r="I13">
        <f>INDEX('AEO 2025 Table 49'!49:49,MATCH(I11,'AEO 2025 Table 49'!5:5,0))/INDEX('AEO 2023 Table 49'!50:50,MATCH($C$11,'AEO 2023 Table 49'!13:13,0))</f>
        <v>1.1499887897440986</v>
      </c>
      <c r="J13">
        <f>INDEX('AEO 2025 Table 49'!49:49,MATCH(J11,'AEO 2025 Table 49'!5:5,0))/INDEX('AEO 2023 Table 49'!50:50,MATCH($C$11,'AEO 2023 Table 49'!13:13,0))</f>
        <v>1.1606501753882426</v>
      </c>
      <c r="K13">
        <f>INDEX('AEO 2025 Table 49'!49:49,MATCH(K11,'AEO 2025 Table 49'!5:5,0))/INDEX('AEO 2023 Table 49'!50:50,MATCH($C$11,'AEO 2023 Table 49'!13:13,0))</f>
        <v>1.1685450929996408</v>
      </c>
      <c r="L13">
        <f>INDEX('AEO 2025 Table 49'!49:49,MATCH(L11,'AEO 2025 Table 49'!5:5,0))/INDEX('AEO 2023 Table 49'!50:50,MATCH($C$11,'AEO 2023 Table 49'!13:13,0))</f>
        <v>1.1759364552299756</v>
      </c>
      <c r="M13">
        <f>INDEX('AEO 2025 Table 49'!49:49,MATCH(M11,'AEO 2025 Table 49'!5:5,0))/INDEX('AEO 2023 Table 49'!50:50,MATCH($C$11,'AEO 2023 Table 49'!13:13,0))</f>
        <v>1.1817697932230411</v>
      </c>
      <c r="N13">
        <f>INDEX('AEO 2025 Table 49'!49:49,MATCH(N11,'AEO 2025 Table 49'!5:5,0))/INDEX('AEO 2023 Table 49'!50:50,MATCH($C$11,'AEO 2023 Table 49'!13:13,0))</f>
        <v>1.1882821424940875</v>
      </c>
      <c r="O13">
        <f>INDEX('AEO 2025 Table 49'!49:49,MATCH(O11,'AEO 2025 Table 49'!5:5,0))/INDEX('AEO 2023 Table 49'!50:50,MATCH($C$11,'AEO 2023 Table 49'!13:13,0))</f>
        <v>1.1945415946520686</v>
      </c>
      <c r="P13">
        <f>INDEX('AEO 2025 Table 49'!49:49,MATCH(P11,'AEO 2025 Table 49'!5:5,0))/INDEX('AEO 2023 Table 49'!50:50,MATCH($C$11,'AEO 2023 Table 49'!13:13,0))</f>
        <v>1.2022732504644396</v>
      </c>
      <c r="Q13">
        <f>INDEX('AEO 2025 Table 49'!49:49,MATCH(Q11,'AEO 2025 Table 49'!5:5,0))/INDEX('AEO 2023 Table 49'!50:50,MATCH($C$11,'AEO 2023 Table 49'!13:13,0))</f>
        <v>1.2108769527327585</v>
      </c>
      <c r="R13">
        <f>INDEX('AEO 2025 Table 49'!49:49,MATCH(R11,'AEO 2025 Table 49'!5:5,0))/INDEX('AEO 2023 Table 49'!50:50,MATCH($C$11,'AEO 2023 Table 49'!13:13,0))</f>
        <v>1.2194852957139111</v>
      </c>
      <c r="S13">
        <f>INDEX('AEO 2025 Table 49'!49:49,MATCH(S11,'AEO 2025 Table 49'!5:5,0))/INDEX('AEO 2023 Table 49'!50:50,MATCH($C$11,'AEO 2023 Table 49'!13:13,0))</f>
        <v>1.2265601602421841</v>
      </c>
      <c r="T13">
        <f>INDEX('AEO 2025 Table 49'!49:49,MATCH(T11,'AEO 2025 Table 49'!5:5,0))/INDEX('AEO 2023 Table 49'!50:50,MATCH($C$11,'AEO 2023 Table 49'!13:13,0))</f>
        <v>1.2338113881603994</v>
      </c>
      <c r="U13">
        <f>INDEX('AEO 2025 Table 49'!49:49,MATCH(U11,'AEO 2025 Table 49'!5:5,0))/INDEX('AEO 2023 Table 49'!50:50,MATCH($C$11,'AEO 2023 Table 49'!13:13,0))</f>
        <v>1.240527635355261</v>
      </c>
      <c r="V13">
        <f>INDEX('AEO 2025 Table 49'!49:49,MATCH(V11,'AEO 2025 Table 49'!5:5,0))/INDEX('AEO 2023 Table 49'!50:50,MATCH($C$11,'AEO 2023 Table 49'!13:13,0))</f>
        <v>1.2472509251307224</v>
      </c>
      <c r="W13">
        <f>INDEX('AEO 2025 Table 49'!49:49,MATCH(W11,'AEO 2025 Table 49'!5:5,0))/INDEX('AEO 2023 Table 49'!50:50,MATCH($C$11,'AEO 2023 Table 49'!13:13,0))</f>
        <v>1.2527956260009969</v>
      </c>
      <c r="X13">
        <f>INDEX('AEO 2025 Table 49'!49:49,MATCH(X11,'AEO 2025 Table 49'!5:5,0))/INDEX('AEO 2023 Table 49'!50:50,MATCH($C$11,'AEO 2023 Table 49'!13:13,0))</f>
        <v>1.2572934929114714</v>
      </c>
      <c r="Y13">
        <f>INDEX('AEO 2025 Table 49'!49:49,MATCH(Y11,'AEO 2025 Table 49'!5:5,0))/INDEX('AEO 2023 Table 49'!50:50,MATCH($C$11,'AEO 2023 Table 49'!13:13,0))</f>
        <v>1.2620704655509318</v>
      </c>
      <c r="Z13">
        <f>INDEX('AEO 2025 Table 49'!49:49,MATCH(Z11,'AEO 2025 Table 49'!5:5,0))/INDEX('AEO 2023 Table 49'!50:50,MATCH($C$11,'AEO 2023 Table 49'!13:13,0))</f>
        <v>1.2657209133011977</v>
      </c>
      <c r="AA13">
        <f>INDEX('AEO 2025 Table 49'!49:49,MATCH(AA11,'AEO 2025 Table 49'!5:5,0))/INDEX('AEO 2023 Table 49'!50:50,MATCH($C$11,'AEO 2023 Table 49'!13:13,0))</f>
        <v>1.2738285157598908</v>
      </c>
      <c r="AB13">
        <f>INDEX('AEO 2025 Table 49'!49:49,MATCH(AB11,'AEO 2025 Table 49'!5:5,0))/INDEX('AEO 2023 Table 49'!50:50,MATCH($C$11,'AEO 2023 Table 49'!13:13,0))</f>
        <v>1.2822530289114835</v>
      </c>
      <c r="AC13">
        <f>INDEX('AEO 2025 Table 49'!49:49,MATCH(AC11,'AEO 2025 Table 49'!5:5,0))/INDEX('AEO 2023 Table 49'!50:50,MATCH($C$11,'AEO 2023 Table 49'!13:13,0))</f>
        <v>1.2898558315825104</v>
      </c>
      <c r="AD13">
        <f>INDEX('AEO 2025 Table 49'!49:49,MATCH(AD11,'AEO 2025 Table 49'!5:5,0))/INDEX('AEO 2023 Table 49'!50:50,MATCH($C$11,'AEO 2023 Table 49'!13:13,0))</f>
        <v>1.295658157224123</v>
      </c>
    </row>
    <row r="14" spans="1:30">
      <c r="B14" t="s">
        <v>119</v>
      </c>
      <c r="C14">
        <f>C5</f>
        <v>1</v>
      </c>
      <c r="D14">
        <f t="shared" ref="D14:AD14" si="0">D5</f>
        <v>1.0716178093338335</v>
      </c>
      <c r="E14">
        <f t="shared" si="0"/>
        <v>1.0817527323119809</v>
      </c>
      <c r="F14">
        <f t="shared" si="0"/>
        <v>1.1085945185275576</v>
      </c>
      <c r="G14">
        <f t="shared" si="0"/>
        <v>1.1335366025391564</v>
      </c>
      <c r="H14">
        <f t="shared" si="0"/>
        <v>1.1542477258077453</v>
      </c>
      <c r="I14">
        <f t="shared" si="0"/>
        <v>1.1766334225776525</v>
      </c>
      <c r="J14">
        <f t="shared" si="0"/>
        <v>1.1971558895767964</v>
      </c>
      <c r="K14">
        <f t="shared" si="0"/>
        <v>1.2142171078006554</v>
      </c>
      <c r="L14">
        <f t="shared" si="0"/>
        <v>1.2339069157317686</v>
      </c>
      <c r="M14">
        <f t="shared" si="0"/>
        <v>1.2549473070557398</v>
      </c>
      <c r="N14">
        <f t="shared" si="0"/>
        <v>1.2752167829490888</v>
      </c>
      <c r="O14">
        <f t="shared" si="0"/>
        <v>1.2975086149212807</v>
      </c>
      <c r="P14">
        <f t="shared" si="0"/>
        <v>1.3202152487803505</v>
      </c>
      <c r="Q14">
        <f t="shared" si="0"/>
        <v>1.344338467668533</v>
      </c>
      <c r="R14">
        <f t="shared" si="0"/>
        <v>1.3702463242095071</v>
      </c>
      <c r="S14">
        <f t="shared" si="0"/>
        <v>1.3962054648014097</v>
      </c>
      <c r="T14">
        <f t="shared" si="0"/>
        <v>1.4221940420806158</v>
      </c>
      <c r="U14">
        <f t="shared" si="0"/>
        <v>1.4477388433643217</v>
      </c>
      <c r="V14">
        <f t="shared" si="0"/>
        <v>1.4754125477637132</v>
      </c>
      <c r="W14">
        <f t="shared" si="0"/>
        <v>1.5025063999277224</v>
      </c>
      <c r="X14">
        <f t="shared" si="0"/>
        <v>1.5278095030920653</v>
      </c>
      <c r="Y14">
        <f t="shared" si="0"/>
        <v>1.5526372649533449</v>
      </c>
      <c r="Z14">
        <f t="shared" si="0"/>
        <v>1.5770499466222119</v>
      </c>
      <c r="AA14">
        <f t="shared" si="0"/>
        <v>1.6056317536392695</v>
      </c>
      <c r="AB14">
        <f t="shared" si="0"/>
        <v>1.6361132621019796</v>
      </c>
      <c r="AC14">
        <f t="shared" si="0"/>
        <v>1.6653360173816742</v>
      </c>
      <c r="AD14">
        <f t="shared" si="0"/>
        <v>1.6941697970731022</v>
      </c>
    </row>
    <row r="15" spans="1:30">
      <c r="B15" t="s">
        <v>124</v>
      </c>
      <c r="C15">
        <v>1</v>
      </c>
      <c r="D15">
        <f>INDEX('AEO 2025 Table 7'!18:18,MATCH(D11,'AEO 2025 Table 7'!5:5,0))/INDEX('AEO 2023 Table 7'!27:27,MATCH($C$11,'AEO 2023 Table 7'!1:1,0))</f>
        <v>0.91547682341993408</v>
      </c>
      <c r="E15">
        <f>INDEX('AEO 2025 Table 7'!18:18,MATCH(E11,'AEO 2025 Table 7'!5:5,0))/INDEX('AEO 2023 Table 7'!27:27,MATCH($C$11,'AEO 2023 Table 7'!1:1,0))</f>
        <v>0.93655200278847428</v>
      </c>
      <c r="F15">
        <f>INDEX('AEO 2025 Table 7'!18:18,MATCH(F11,'AEO 2025 Table 7'!5:5,0))/INDEX('AEO 2023 Table 7'!27:27,MATCH($C$11,'AEO 2023 Table 7'!1:1,0))</f>
        <v>0.91392563617381528</v>
      </c>
      <c r="G15">
        <f>INDEX('AEO 2025 Table 7'!18:18,MATCH(G11,'AEO 2025 Table 7'!5:5,0))/INDEX('AEO 2023 Table 7'!27:27,MATCH($C$11,'AEO 2023 Table 7'!1:1,0))</f>
        <v>0.88352754244868426</v>
      </c>
      <c r="H15">
        <f>INDEX('AEO 2025 Table 7'!18:18,MATCH(H11,'AEO 2025 Table 7'!5:5,0))/INDEX('AEO 2023 Table 7'!27:27,MATCH($C$11,'AEO 2023 Table 7'!1:1,0))</f>
        <v>0.88376625115555996</v>
      </c>
      <c r="I15">
        <f>INDEX('AEO 2025 Table 7'!18:18,MATCH(I11,'AEO 2025 Table 7'!5:5,0))/INDEX('AEO 2023 Table 7'!27:27,MATCH($C$11,'AEO 2023 Table 7'!1:1,0))</f>
        <v>0.88154768721668619</v>
      </c>
      <c r="J15">
        <f>INDEX('AEO 2025 Table 7'!18:18,MATCH(J11,'AEO 2025 Table 7'!5:5,0))/INDEX('AEO 2023 Table 7'!27:27,MATCH($C$11,'AEO 2023 Table 7'!1:1,0))</f>
        <v>0.85603446315317522</v>
      </c>
      <c r="K15">
        <f>INDEX('AEO 2025 Table 7'!18:18,MATCH(K11,'AEO 2025 Table 7'!5:5,0))/INDEX('AEO 2023 Table 7'!27:27,MATCH($C$11,'AEO 2023 Table 7'!1:1,0))</f>
        <v>0.85630887523506882</v>
      </c>
      <c r="L15">
        <f>INDEX('AEO 2025 Table 7'!18:18,MATCH(L11,'AEO 2025 Table 7'!5:5,0))/INDEX('AEO 2023 Table 7'!27:27,MATCH($C$11,'AEO 2023 Table 7'!1:1,0))</f>
        <v>0.81608054474917058</v>
      </c>
      <c r="M15">
        <f>INDEX('AEO 2025 Table 7'!18:18,MATCH(M11,'AEO 2025 Table 7'!5:5,0))/INDEX('AEO 2023 Table 7'!27:27,MATCH($C$11,'AEO 2023 Table 7'!1:1,0))</f>
        <v>0.82008038455926546</v>
      </c>
      <c r="N15">
        <f>INDEX('AEO 2025 Table 7'!18:18,MATCH(N11,'AEO 2025 Table 7'!5:5,0))/INDEX('AEO 2023 Table 7'!27:27,MATCH($C$11,'AEO 2023 Table 7'!1:1,0))</f>
        <v>0.81235656692959779</v>
      </c>
      <c r="O15">
        <f>INDEX('AEO 2025 Table 7'!18:18,MATCH(O11,'AEO 2025 Table 7'!5:5,0))/INDEX('AEO 2023 Table 7'!27:27,MATCH($C$11,'AEO 2023 Table 7'!1:1,0))</f>
        <v>0.81271192203556319</v>
      </c>
      <c r="P15">
        <f>INDEX('AEO 2025 Table 7'!18:18,MATCH(P11,'AEO 2025 Table 7'!5:5,0))/INDEX('AEO 2023 Table 7'!27:27,MATCH($C$11,'AEO 2023 Table 7'!1:1,0))</f>
        <v>0.81604301086450903</v>
      </c>
      <c r="Q15">
        <f>INDEX('AEO 2025 Table 7'!18:18,MATCH(Q11,'AEO 2025 Table 7'!5:5,0))/INDEX('AEO 2023 Table 7'!27:27,MATCH($C$11,'AEO 2023 Table 7'!1:1,0))</f>
        <v>0.82019352117953703</v>
      </c>
      <c r="R15">
        <f>INDEX('AEO 2025 Table 7'!18:18,MATCH(R11,'AEO 2025 Table 7'!5:5,0))/INDEX('AEO 2023 Table 7'!27:27,MATCH($C$11,'AEO 2023 Table 7'!1:1,0))</f>
        <v>0.8313767458017004</v>
      </c>
      <c r="S15">
        <f>INDEX('AEO 2025 Table 7'!18:18,MATCH(S11,'AEO 2025 Table 7'!5:5,0))/INDEX('AEO 2023 Table 7'!27:27,MATCH($C$11,'AEO 2023 Table 7'!1:1,0))</f>
        <v>0.82618229502449536</v>
      </c>
      <c r="T15">
        <f>INDEX('AEO 2025 Table 7'!18:18,MATCH(T11,'AEO 2025 Table 7'!5:5,0))/INDEX('AEO 2023 Table 7'!27:27,MATCH($C$11,'AEO 2023 Table 7'!1:1,0))</f>
        <v>0.83015360225767765</v>
      </c>
      <c r="U15">
        <f>INDEX('AEO 2025 Table 7'!18:18,MATCH(U11,'AEO 2025 Table 7'!5:5,0))/INDEX('AEO 2023 Table 7'!27:27,MATCH($C$11,'AEO 2023 Table 7'!1:1,0))</f>
        <v>0.83138178110938166</v>
      </c>
      <c r="V15">
        <f>INDEX('AEO 2025 Table 7'!18:18,MATCH(V11,'AEO 2025 Table 7'!5:5,0))/INDEX('AEO 2023 Table 7'!27:27,MATCH($C$11,'AEO 2023 Table 7'!1:1,0))</f>
        <v>0.83578953833803082</v>
      </c>
      <c r="W15">
        <f>INDEX('AEO 2025 Table 7'!18:18,MATCH(W11,'AEO 2025 Table 7'!5:5,0))/INDEX('AEO 2023 Table 7'!27:27,MATCH($C$11,'AEO 2023 Table 7'!1:1,0))</f>
        <v>0.84069996513907186</v>
      </c>
      <c r="X15">
        <f>INDEX('AEO 2025 Table 7'!18:18,MATCH(X11,'AEO 2025 Table 7'!5:5,0))/INDEX('AEO 2023 Table 7'!27:27,MATCH($C$11,'AEO 2023 Table 7'!1:1,0))</f>
        <v>0.84355218727059844</v>
      </c>
      <c r="Y15">
        <f>INDEX('AEO 2025 Table 7'!18:18,MATCH(Y11,'AEO 2025 Table 7'!5:5,0))/INDEX('AEO 2023 Table 7'!27:27,MATCH($C$11,'AEO 2023 Table 7'!1:1,0))</f>
        <v>0.84654584923876319</v>
      </c>
      <c r="Z15">
        <f>INDEX('AEO 2025 Table 7'!18:18,MATCH(Z11,'AEO 2025 Table 7'!5:5,0))/INDEX('AEO 2023 Table 7'!27:27,MATCH($C$11,'AEO 2023 Table 7'!1:1,0))</f>
        <v>0.84725037921516477</v>
      </c>
      <c r="AA15">
        <f>INDEX('AEO 2025 Table 7'!18:18,MATCH(AA11,'AEO 2025 Table 7'!5:5,0))/INDEX('AEO 2023 Table 7'!27:27,MATCH($C$11,'AEO 2023 Table 7'!1:1,0))</f>
        <v>0.85641827396589743</v>
      </c>
      <c r="AB15">
        <f>INDEX('AEO 2025 Table 7'!18:18,MATCH(AB11,'AEO 2025 Table 7'!5:5,0))/INDEX('AEO 2023 Table 7'!27:27,MATCH($C$11,'AEO 2023 Table 7'!1:1,0))</f>
        <v>0.86402521646089014</v>
      </c>
      <c r="AC15">
        <f>INDEX('AEO 2025 Table 7'!18:18,MATCH(AC11,'AEO 2025 Table 7'!5:5,0))/INDEX('AEO 2023 Table 7'!27:27,MATCH($C$11,'AEO 2023 Table 7'!1:1,0))</f>
        <v>0.87038383949841458</v>
      </c>
      <c r="AD15">
        <f>INDEX('AEO 2025 Table 7'!18:18,MATCH(AD11,'AEO 2025 Table 7'!5:5,0))/INDEX('AEO 2023 Table 7'!27:27,MATCH($C$11,'AEO 2023 Table 7'!1:1,0))</f>
        <v>0.87320264686069804</v>
      </c>
    </row>
    <row r="16" spans="1:30">
      <c r="B16" t="s">
        <v>125</v>
      </c>
      <c r="C16">
        <v>1</v>
      </c>
      <c r="D16" s="100">
        <f>SUM('AEO 2025 Table 7'!F51:F52)/SUM('AEO 2023 Table 7'!$D$62:$D$63)</f>
        <v>0.86317526059111838</v>
      </c>
      <c r="E16" s="100">
        <f>SUM('AEO 2025 Table 7'!G51:G52)/SUM('AEO 2023 Table 7'!$D$62:$D$63)</f>
        <v>0.84497696153253987</v>
      </c>
      <c r="F16" s="100">
        <f>SUM('AEO 2025 Table 7'!H51:H52)/SUM('AEO 2023 Table 7'!$D$62:$D$63)</f>
        <v>0.85273530182482615</v>
      </c>
      <c r="G16" s="100">
        <f>SUM('AEO 2025 Table 7'!I51:I52)/SUM('AEO 2023 Table 7'!$D$62:$D$63)</f>
        <v>0.86578346593579814</v>
      </c>
      <c r="H16" s="100">
        <f>SUM('AEO 2025 Table 7'!J51:J52)/SUM('AEO 2023 Table 7'!$D$62:$D$63)</f>
        <v>0.87627032753471568</v>
      </c>
      <c r="I16" s="100">
        <f>SUM('AEO 2025 Table 7'!K51:K52)/SUM('AEO 2023 Table 7'!$D$62:$D$63)</f>
        <v>0.88762081303001483</v>
      </c>
      <c r="J16" s="100">
        <f>SUM('AEO 2025 Table 7'!L51:L52)/SUM('AEO 2023 Table 7'!$D$62:$D$63)</f>
        <v>0.89870619555830178</v>
      </c>
      <c r="K16" s="100">
        <f>SUM('AEO 2025 Table 7'!M51:M52)/SUM('AEO 2023 Table 7'!$D$62:$D$63)</f>
        <v>0.90858841846707272</v>
      </c>
      <c r="L16" s="100">
        <f>SUM('AEO 2025 Table 7'!N51:N52)/SUM('AEO 2023 Table 7'!$D$62:$D$63)</f>
        <v>0.91928124467882266</v>
      </c>
      <c r="M16" s="100">
        <f>SUM('AEO 2025 Table 7'!O51:O52)/SUM('AEO 2023 Table 7'!$D$62:$D$63)</f>
        <v>0.92989454000046901</v>
      </c>
      <c r="N16" s="100">
        <f>SUM('AEO 2025 Table 7'!P51:P52)/SUM('AEO 2023 Table 7'!$D$62:$D$63)</f>
        <v>0.94107882632798734</v>
      </c>
      <c r="O16" s="100">
        <f>SUM('AEO 2025 Table 7'!Q51:Q52)/SUM('AEO 2023 Table 7'!$D$62:$D$63)</f>
        <v>0.94976604663161179</v>
      </c>
      <c r="P16" s="100">
        <f>SUM('AEO 2025 Table 7'!R51:R52)/SUM('AEO 2023 Table 7'!$D$62:$D$63)</f>
        <v>0.95684021734364777</v>
      </c>
      <c r="Q16" s="100">
        <f>SUM('AEO 2025 Table 7'!S51:S52)/SUM('AEO 2023 Table 7'!$D$62:$D$63)</f>
        <v>0.96378081694538176</v>
      </c>
      <c r="R16" s="100">
        <f>SUM('AEO 2025 Table 7'!T51:T52)/SUM('AEO 2023 Table 7'!$D$62:$D$63)</f>
        <v>0.96982822347364417</v>
      </c>
      <c r="S16" s="100">
        <f>SUM('AEO 2025 Table 7'!U51:U52)/SUM('AEO 2023 Table 7'!$D$62:$D$63)</f>
        <v>0.97586645336074085</v>
      </c>
      <c r="T16" s="100">
        <f>SUM('AEO 2025 Table 7'!V51:V52)/SUM('AEO 2023 Table 7'!$D$62:$D$63)</f>
        <v>0.98126231836623146</v>
      </c>
      <c r="U16" s="100">
        <f>SUM('AEO 2025 Table 7'!W51:W52)/SUM('AEO 2023 Table 7'!$D$62:$D$63)</f>
        <v>0.98651849450064288</v>
      </c>
      <c r="V16" s="100">
        <f>SUM('AEO 2025 Table 7'!X51:X52)/SUM('AEO 2023 Table 7'!$D$62:$D$63)</f>
        <v>0.99190212398457911</v>
      </c>
      <c r="W16" s="100">
        <f>SUM('AEO 2025 Table 7'!Y51:Y52)/SUM('AEO 2023 Table 7'!$D$62:$D$63)</f>
        <v>0.99712057392753095</v>
      </c>
      <c r="X16" s="100">
        <f>SUM('AEO 2025 Table 7'!Z51:Z52)/SUM('AEO 2023 Table 7'!$D$62:$D$63)</f>
        <v>1.0020616853819164</v>
      </c>
      <c r="Y16" s="100">
        <f>SUM('AEO 2025 Table 7'!AA51:AA52)/SUM('AEO 2023 Table 7'!$D$62:$D$63)</f>
        <v>1.0067295368549203</v>
      </c>
      <c r="Z16" s="100">
        <f>SUM('AEO 2025 Table 7'!AB51:AB52)/SUM('AEO 2023 Table 7'!$D$62:$D$63)</f>
        <v>1.0105939224125184</v>
      </c>
      <c r="AA16" s="100">
        <f>SUM('AEO 2025 Table 7'!AC51:AC52)/SUM('AEO 2023 Table 7'!$D$62:$D$63)</f>
        <v>1.0163007735908502</v>
      </c>
      <c r="AB16" s="100">
        <f>SUM('AEO 2025 Table 7'!AD51:AD52)/SUM('AEO 2023 Table 7'!$D$62:$D$63)</f>
        <v>1.0230415263405288</v>
      </c>
      <c r="AC16" s="100">
        <f>SUM('AEO 2025 Table 7'!AE51:AE52)/SUM('AEO 2023 Table 7'!$D$62:$D$63)</f>
        <v>1.0294865873193093</v>
      </c>
      <c r="AD16" s="100">
        <f>SUM('AEO 2025 Table 7'!AF51:AF52)/SUM('AEO 2023 Table 7'!$D$62:$D$63)</f>
        <v>1.0354830125077619</v>
      </c>
    </row>
    <row r="17" spans="2:30">
      <c r="B17" t="s">
        <v>126</v>
      </c>
      <c r="C17">
        <v>1</v>
      </c>
      <c r="D17">
        <v>0</v>
      </c>
      <c r="E17">
        <v>0</v>
      </c>
      <c r="F17">
        <v>0</v>
      </c>
      <c r="G17">
        <v>0</v>
      </c>
      <c r="H17">
        <v>0</v>
      </c>
      <c r="I17">
        <v>0</v>
      </c>
      <c r="J17">
        <v>0</v>
      </c>
      <c r="K17">
        <v>0</v>
      </c>
      <c r="L17">
        <v>0</v>
      </c>
      <c r="M17">
        <v>0</v>
      </c>
      <c r="N17">
        <v>0</v>
      </c>
      <c r="O17">
        <v>0</v>
      </c>
      <c r="P17">
        <v>0</v>
      </c>
      <c r="Q17">
        <v>0</v>
      </c>
      <c r="R17">
        <v>0</v>
      </c>
      <c r="S17">
        <v>0</v>
      </c>
      <c r="T17">
        <v>0</v>
      </c>
      <c r="U17">
        <v>0</v>
      </c>
      <c r="V17">
        <v>0</v>
      </c>
      <c r="W17">
        <v>0</v>
      </c>
      <c r="X17">
        <v>0</v>
      </c>
      <c r="Y17">
        <v>0</v>
      </c>
      <c r="Z17">
        <v>0</v>
      </c>
      <c r="AA17">
        <v>0</v>
      </c>
      <c r="AB17">
        <v>0</v>
      </c>
      <c r="AC17">
        <v>0</v>
      </c>
      <c r="AD17">
        <v>0</v>
      </c>
    </row>
    <row r="21" spans="2:30">
      <c r="C21" s="60"/>
      <c r="E21" s="114"/>
    </row>
    <row r="22" spans="2:30">
      <c r="C22" s="58"/>
    </row>
  </sheetData>
  <pageMargins left="0.7" right="0.7" top="0.75" bottom="0.75" header="0.3" footer="0.3"/>
</worksheet>
</file>

<file path=xl/worksheets/sheet2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C00-000000000000}">
  <sheetPr>
    <tabColor theme="3"/>
  </sheetPr>
  <dimension ref="A1:AC7"/>
  <sheetViews>
    <sheetView workbookViewId="0"/>
  </sheetViews>
  <sheetFormatPr defaultColWidth="9.140625" defaultRowHeight="15"/>
  <cols>
    <col min="1" max="1" width="16.5703125" customWidth="1"/>
    <col min="4" max="4" width="12" bestFit="1" customWidth="1"/>
  </cols>
  <sheetData>
    <row r="1" spans="1:29">
      <c r="A1" t="s">
        <v>145</v>
      </c>
      <c r="B1">
        <v>2023</v>
      </c>
      <c r="C1">
        <v>2024</v>
      </c>
      <c r="D1">
        <v>2025</v>
      </c>
      <c r="E1">
        <v>2026</v>
      </c>
      <c r="F1">
        <v>2027</v>
      </c>
      <c r="G1">
        <v>2028</v>
      </c>
      <c r="H1">
        <v>2029</v>
      </c>
      <c r="I1">
        <v>2030</v>
      </c>
      <c r="J1">
        <v>2031</v>
      </c>
      <c r="K1">
        <v>2032</v>
      </c>
      <c r="L1">
        <v>2033</v>
      </c>
      <c r="M1">
        <v>2034</v>
      </c>
      <c r="N1">
        <v>2035</v>
      </c>
      <c r="O1">
        <v>2036</v>
      </c>
      <c r="P1">
        <v>2037</v>
      </c>
      <c r="Q1">
        <v>2038</v>
      </c>
      <c r="R1">
        <v>2039</v>
      </c>
      <c r="S1">
        <v>2040</v>
      </c>
      <c r="T1">
        <v>2041</v>
      </c>
      <c r="U1">
        <v>2042</v>
      </c>
      <c r="V1">
        <v>2043</v>
      </c>
      <c r="W1">
        <v>2044</v>
      </c>
      <c r="X1">
        <v>2045</v>
      </c>
      <c r="Y1">
        <v>2046</v>
      </c>
      <c r="Z1">
        <v>2047</v>
      </c>
      <c r="AA1">
        <v>2048</v>
      </c>
      <c r="AB1">
        <v>2049</v>
      </c>
      <c r="AC1">
        <v>2050</v>
      </c>
    </row>
    <row r="2" spans="1:29">
      <c r="A2" t="s">
        <v>123</v>
      </c>
      <c r="B2">
        <f>calcs!C3</f>
        <v>1</v>
      </c>
      <c r="C2">
        <f>calcs!D3</f>
        <v>1.0387304202535905</v>
      </c>
      <c r="D2">
        <f>calcs!E3</f>
        <v>1.0541169504067631</v>
      </c>
      <c r="E2">
        <f>calcs!F3</f>
        <v>1.0627610344297265</v>
      </c>
      <c r="F2">
        <f>calcs!G3</f>
        <v>1.0684707444811876</v>
      </c>
      <c r="G2">
        <f>calcs!H3</f>
        <v>1.0726800293286158</v>
      </c>
      <c r="H2">
        <f>calcs!I3</f>
        <v>1.0772800931331319</v>
      </c>
      <c r="I2">
        <f>calcs!J3</f>
        <v>1.0823090538954068</v>
      </c>
      <c r="J2">
        <f>calcs!K3</f>
        <v>1.0870793468991484</v>
      </c>
      <c r="K2">
        <f>calcs!L3</f>
        <v>1.0896394352195837</v>
      </c>
      <c r="L2">
        <f>calcs!M3</f>
        <v>1.0916079696968561</v>
      </c>
      <c r="M2">
        <f>calcs!N3</f>
        <v>1.09325220199827</v>
      </c>
      <c r="N2">
        <f>calcs!O3</f>
        <v>1.0940930828044784</v>
      </c>
      <c r="O2">
        <f>calcs!P3</f>
        <v>1.0958369453175478</v>
      </c>
      <c r="P2">
        <f>calcs!Q3</f>
        <v>1.0993151610064846</v>
      </c>
      <c r="Q2">
        <f>calcs!R3</f>
        <v>1.1039519127920971</v>
      </c>
      <c r="R2">
        <f>calcs!S3</f>
        <v>1.1084870149674801</v>
      </c>
      <c r="S2">
        <f>calcs!T3</f>
        <v>1.1134482374706649</v>
      </c>
      <c r="T2">
        <f>calcs!U3</f>
        <v>1.1181766252828274</v>
      </c>
      <c r="U2">
        <f>calcs!V3</f>
        <v>1.1226719261083953</v>
      </c>
      <c r="V2">
        <f>calcs!W3</f>
        <v>1.1266571276812887</v>
      </c>
      <c r="W2">
        <f>calcs!X3</f>
        <v>1.1302778886450804</v>
      </c>
      <c r="X2">
        <f>calcs!Y3</f>
        <v>1.1334141311281358</v>
      </c>
      <c r="Y2">
        <f>calcs!Z3</f>
        <v>1.1365423797707519</v>
      </c>
      <c r="Z2">
        <f>calcs!AA3</f>
        <v>1.1403519663922224</v>
      </c>
      <c r="AA2">
        <f>calcs!AB3</f>
        <v>1.1447554629941925</v>
      </c>
      <c r="AB2">
        <f>calcs!AC3</f>
        <v>1.1494775396257277</v>
      </c>
      <c r="AC2">
        <f>calcs!AD3</f>
        <v>1.1545845048710102</v>
      </c>
    </row>
    <row r="3" spans="1:29">
      <c r="A3" t="s">
        <v>121</v>
      </c>
      <c r="B3">
        <f>calcs!C4</f>
        <v>1</v>
      </c>
      <c r="C3">
        <f>calcs!D4</f>
        <v>1.0208521911370929</v>
      </c>
      <c r="D3">
        <f>calcs!E4</f>
        <v>1.0521947853592428</v>
      </c>
      <c r="E3">
        <f>calcs!F4</f>
        <v>1.0722309003064083</v>
      </c>
      <c r="F3">
        <f>calcs!G4</f>
        <v>1.0849818265716924</v>
      </c>
      <c r="G3">
        <f>calcs!H4</f>
        <v>1.0942894593580723</v>
      </c>
      <c r="H3">
        <f>calcs!I4</f>
        <v>1.1010413205170204</v>
      </c>
      <c r="I3">
        <f>calcs!J4</f>
        <v>1.1057953197590928</v>
      </c>
      <c r="J3">
        <f>calcs!K4</f>
        <v>1.1084655639028094</v>
      </c>
      <c r="K3">
        <f>calcs!L4</f>
        <v>1.1097957845197564</v>
      </c>
      <c r="L3">
        <f>calcs!M4</f>
        <v>1.1105589560320552</v>
      </c>
      <c r="M3">
        <f>calcs!N4</f>
        <v>1.1113564163249998</v>
      </c>
      <c r="N3">
        <f>calcs!O4</f>
        <v>1.1114749716033996</v>
      </c>
      <c r="O3">
        <f>calcs!P4</f>
        <v>1.1112326385356901</v>
      </c>
      <c r="P3">
        <f>calcs!Q4</f>
        <v>1.1109101270832749</v>
      </c>
      <c r="Q3">
        <f>calcs!R4</f>
        <v>1.1099389968988451</v>
      </c>
      <c r="R3">
        <f>calcs!S4</f>
        <v>1.1086612742885953</v>
      </c>
      <c r="S3">
        <f>calcs!T4</f>
        <v>1.1070372820820371</v>
      </c>
      <c r="T3">
        <f>calcs!U4</f>
        <v>1.1051065315707258</v>
      </c>
      <c r="U3">
        <f>calcs!V4</f>
        <v>1.1028397959569269</v>
      </c>
      <c r="V3">
        <f>calcs!W4</f>
        <v>1.100461043905232</v>
      </c>
      <c r="W3">
        <f>calcs!X4</f>
        <v>1.0977960276233585</v>
      </c>
      <c r="X3">
        <f>calcs!Y4</f>
        <v>1.0951023517426808</v>
      </c>
      <c r="Y3">
        <f>calcs!Z4</f>
        <v>1.0920772658074944</v>
      </c>
      <c r="Z3">
        <f>calcs!AA4</f>
        <v>1.0888764712752323</v>
      </c>
      <c r="AA3">
        <f>calcs!AB4</f>
        <v>1.0856981292591354</v>
      </c>
      <c r="AB3">
        <f>calcs!AC4</f>
        <v>1.0825256679187458</v>
      </c>
      <c r="AC3">
        <f>calcs!AD4</f>
        <v>1.079654897549265</v>
      </c>
    </row>
    <row r="4" spans="1:29">
      <c r="A4" t="s">
        <v>119</v>
      </c>
      <c r="B4">
        <f>calcs!C5</f>
        <v>1</v>
      </c>
      <c r="C4">
        <f>calcs!D5</f>
        <v>1.0716178093338335</v>
      </c>
      <c r="D4">
        <f>calcs!E5</f>
        <v>1.0817527323119809</v>
      </c>
      <c r="E4">
        <f>calcs!F5</f>
        <v>1.1085945185275576</v>
      </c>
      <c r="F4">
        <f>calcs!G5</f>
        <v>1.1335366025391564</v>
      </c>
      <c r="G4">
        <f>calcs!H5</f>
        <v>1.1542477258077453</v>
      </c>
      <c r="H4">
        <f>calcs!I5</f>
        <v>1.1766334225776525</v>
      </c>
      <c r="I4">
        <f>calcs!J5</f>
        <v>1.1971558895767964</v>
      </c>
      <c r="J4">
        <f>calcs!K5</f>
        <v>1.2142171078006554</v>
      </c>
      <c r="K4">
        <f>calcs!L5</f>
        <v>1.2339069157317686</v>
      </c>
      <c r="L4">
        <f>calcs!M5</f>
        <v>1.2549473070557398</v>
      </c>
      <c r="M4">
        <f>calcs!N5</f>
        <v>1.2752167829490888</v>
      </c>
      <c r="N4">
        <f>calcs!O5</f>
        <v>1.2975086149212807</v>
      </c>
      <c r="O4">
        <f>calcs!P5</f>
        <v>1.3202152487803505</v>
      </c>
      <c r="P4">
        <f>calcs!Q5</f>
        <v>1.344338467668533</v>
      </c>
      <c r="Q4">
        <f>calcs!R5</f>
        <v>1.3702463242095071</v>
      </c>
      <c r="R4">
        <f>calcs!S5</f>
        <v>1.3962054648014097</v>
      </c>
      <c r="S4">
        <f>calcs!T5</f>
        <v>1.4221940420806158</v>
      </c>
      <c r="T4">
        <f>calcs!U5</f>
        <v>1.4477388433643217</v>
      </c>
      <c r="U4">
        <f>calcs!V5</f>
        <v>1.4754125477637132</v>
      </c>
      <c r="V4">
        <f>calcs!W5</f>
        <v>1.5025063999277224</v>
      </c>
      <c r="W4">
        <f>calcs!X5</f>
        <v>1.5278095030920653</v>
      </c>
      <c r="X4">
        <f>calcs!Y5</f>
        <v>1.5526372649533449</v>
      </c>
      <c r="Y4">
        <f>calcs!Z5</f>
        <v>1.5770499466222119</v>
      </c>
      <c r="Z4">
        <f>calcs!AA5</f>
        <v>1.6056317536392695</v>
      </c>
      <c r="AA4">
        <f>calcs!AB5</f>
        <v>1.6361132621019796</v>
      </c>
      <c r="AB4">
        <f>calcs!AC5</f>
        <v>1.6653360173816742</v>
      </c>
      <c r="AC4">
        <f>calcs!AD5</f>
        <v>1.6941697970731022</v>
      </c>
    </row>
    <row r="5" spans="1:29">
      <c r="A5" t="s">
        <v>124</v>
      </c>
      <c r="B5">
        <f>calcs!C6</f>
        <v>1</v>
      </c>
      <c r="C5">
        <f>calcs!D6</f>
        <v>1</v>
      </c>
      <c r="D5">
        <f>calcs!E6</f>
        <v>1.111881421544451</v>
      </c>
      <c r="E5">
        <f>calcs!F6</f>
        <v>1.1975423315761022</v>
      </c>
      <c r="F5">
        <f>calcs!G6</f>
        <v>1.2632776468279667</v>
      </c>
      <c r="G5">
        <f>calcs!H6</f>
        <v>1.3145784745612137</v>
      </c>
      <c r="H5">
        <f>calcs!I6</f>
        <v>1.3587253168451083</v>
      </c>
      <c r="I5">
        <f>calcs!J6</f>
        <v>1.3953539263799248</v>
      </c>
      <c r="J5">
        <f>calcs!K6</f>
        <v>1.4240987033669459</v>
      </c>
      <c r="K5">
        <f>calcs!L6</f>
        <v>1.4476889907702766</v>
      </c>
      <c r="L5">
        <f>calcs!M6</f>
        <v>1.4670556556812706</v>
      </c>
      <c r="M5">
        <f>calcs!N6</f>
        <v>1.4861423919439287</v>
      </c>
      <c r="N5">
        <f>calcs!O6</f>
        <v>1.5014430584592957</v>
      </c>
      <c r="O5">
        <f>calcs!P6</f>
        <v>1.516104804451252</v>
      </c>
      <c r="P5">
        <f>calcs!Q6</f>
        <v>1.5319365779990226</v>
      </c>
      <c r="Q5">
        <f>calcs!R6</f>
        <v>1.5485071637814065</v>
      </c>
      <c r="R5">
        <f>calcs!S6</f>
        <v>1.5632738636950745</v>
      </c>
      <c r="S5">
        <f>calcs!T6</f>
        <v>1.5770793232543305</v>
      </c>
      <c r="T5">
        <f>calcs!U6</f>
        <v>1.5893191299814518</v>
      </c>
      <c r="U5">
        <f>calcs!V6</f>
        <v>1.6008914591350352</v>
      </c>
      <c r="V5">
        <f>calcs!W6</f>
        <v>1.6120872912123156</v>
      </c>
      <c r="W5">
        <f>calcs!X6</f>
        <v>1.6211141399789311</v>
      </c>
      <c r="X5">
        <f>calcs!Y6</f>
        <v>1.6307241476676948</v>
      </c>
      <c r="Y5">
        <f>calcs!Z6</f>
        <v>1.6380420559947722</v>
      </c>
      <c r="Z5">
        <f>calcs!AA6</f>
        <v>1.6467239402329923</v>
      </c>
      <c r="AA5">
        <f>calcs!AB6</f>
        <v>1.6575201668226356</v>
      </c>
      <c r="AB5">
        <f>calcs!AC6</f>
        <v>1.6683434820349299</v>
      </c>
      <c r="AC5">
        <f>calcs!AD6</f>
        <v>1.682821133592779</v>
      </c>
    </row>
    <row r="6" spans="1:29">
      <c r="A6" t="s">
        <v>125</v>
      </c>
      <c r="B6">
        <f>calcs!C7</f>
        <v>1</v>
      </c>
      <c r="C6">
        <f>calcs!D7</f>
        <v>1.0423873912323072</v>
      </c>
      <c r="D6">
        <f>calcs!E7</f>
        <v>1.0345546110472326</v>
      </c>
      <c r="E6">
        <f>calcs!F7</f>
        <v>1.0305729477864864</v>
      </c>
      <c r="F6">
        <f>calcs!G7</f>
        <v>1.0264657592022615</v>
      </c>
      <c r="G6">
        <f>calcs!H7</f>
        <v>1.0199936735236965</v>
      </c>
      <c r="H6">
        <f>calcs!I7</f>
        <v>1.0146713998081973</v>
      </c>
      <c r="I6">
        <f>calcs!J7</f>
        <v>1.007983410573249</v>
      </c>
      <c r="J6">
        <f>calcs!K7</f>
        <v>0.99950794073196314</v>
      </c>
      <c r="K6">
        <f>calcs!L7</f>
        <v>0.99274965731586695</v>
      </c>
      <c r="L6">
        <f>calcs!M7</f>
        <v>0.98664410558186011</v>
      </c>
      <c r="M6">
        <f>calcs!N7</f>
        <v>0.98036783940792216</v>
      </c>
      <c r="N6">
        <f>calcs!O7</f>
        <v>0.97525644823586699</v>
      </c>
      <c r="O6">
        <f>calcs!P7</f>
        <v>0.97040614973664785</v>
      </c>
      <c r="P6">
        <f>calcs!Q7</f>
        <v>0.96631904520417944</v>
      </c>
      <c r="Q6">
        <f>calcs!R7</f>
        <v>0.96253822246099929</v>
      </c>
      <c r="R6">
        <f>calcs!S7</f>
        <v>0.95854149616143558</v>
      </c>
      <c r="S6">
        <f>calcs!T7</f>
        <v>0.95462510606889828</v>
      </c>
      <c r="T6">
        <f>calcs!U7</f>
        <v>0.95057314862700393</v>
      </c>
      <c r="U6">
        <f>calcs!V7</f>
        <v>0.9470433765307813</v>
      </c>
      <c r="V6">
        <f>calcs!W7</f>
        <v>0.94322740669702698</v>
      </c>
      <c r="W6">
        <f>calcs!X7</f>
        <v>0.93874364214236572</v>
      </c>
      <c r="X6">
        <f>calcs!Y7</f>
        <v>0.93398372187605128</v>
      </c>
      <c r="Y6">
        <f>calcs!Z7</f>
        <v>0.92896772994984012</v>
      </c>
      <c r="Z6">
        <f>calcs!AA7</f>
        <v>0.92530239050426033</v>
      </c>
      <c r="AA6">
        <f>calcs!AB7</f>
        <v>0.9219433328479687</v>
      </c>
      <c r="AB6">
        <f>calcs!AC7</f>
        <v>0.91809723693657963</v>
      </c>
      <c r="AC6">
        <f>calcs!AD7</f>
        <v>0.91410051063701581</v>
      </c>
    </row>
    <row r="7" spans="1:29">
      <c r="A7" t="s">
        <v>126</v>
      </c>
      <c r="B7">
        <f>calcs!C8</f>
        <v>1</v>
      </c>
      <c r="C7">
        <f>calcs!D8</f>
        <v>1.1331499423589024</v>
      </c>
      <c r="D7">
        <f>calcs!E8</f>
        <v>1.1062489276949894</v>
      </c>
      <c r="E7">
        <f>calcs!F8</f>
        <v>1.0703191929003946</v>
      </c>
      <c r="F7">
        <f>calcs!G8</f>
        <v>1.0283748796888987</v>
      </c>
      <c r="G7">
        <f>calcs!H8</f>
        <v>0.98536689114065201</v>
      </c>
      <c r="H7">
        <f>calcs!I8</f>
        <v>0.94270850844846665</v>
      </c>
      <c r="I7">
        <f>calcs!J8</f>
        <v>0.90263857959220162</v>
      </c>
      <c r="J7">
        <f>calcs!K8</f>
        <v>0.86399275504464468</v>
      </c>
      <c r="K7">
        <f>calcs!L8</f>
        <v>0.82707510672456841</v>
      </c>
      <c r="L7">
        <f>calcs!M8</f>
        <v>0.79148959824914</v>
      </c>
      <c r="M7">
        <f>calcs!N8</f>
        <v>0.76414278648611667</v>
      </c>
      <c r="N7">
        <f>calcs!O8</f>
        <v>0.73504198952693822</v>
      </c>
      <c r="O7">
        <f>calcs!P8</f>
        <v>0.70625397421293368</v>
      </c>
      <c r="P7">
        <f>calcs!Q8</f>
        <v>0.68302916855350726</v>
      </c>
      <c r="Q7">
        <f>calcs!R8</f>
        <v>0.66459093393051316</v>
      </c>
      <c r="R7">
        <f>calcs!S8</f>
        <v>0.64729898896087013</v>
      </c>
      <c r="S7">
        <f>calcs!T8</f>
        <v>0.63196410670516356</v>
      </c>
      <c r="T7">
        <f>calcs!U8</f>
        <v>0.6196360653631664</v>
      </c>
      <c r="U7">
        <f>calcs!V8</f>
        <v>0.60796247030127393</v>
      </c>
      <c r="V7">
        <f>calcs!W8</f>
        <v>0.59829525037485443</v>
      </c>
      <c r="W7">
        <f>calcs!X8</f>
        <v>0.58877423857618516</v>
      </c>
      <c r="X7">
        <f>calcs!Y8</f>
        <v>0.58091114881483363</v>
      </c>
      <c r="Y7">
        <f>calcs!Z8</f>
        <v>0.5735682730796382</v>
      </c>
      <c r="Z7">
        <f>calcs!AA8</f>
        <v>0.56904158490891321</v>
      </c>
      <c r="AA7">
        <f>calcs!AB8</f>
        <v>0.5623589192433528</v>
      </c>
      <c r="AB7">
        <f>calcs!AC8</f>
        <v>0.55621235004620961</v>
      </c>
      <c r="AC7">
        <f>calcs!AD8</f>
        <v>0.55223943396512787</v>
      </c>
    </row>
  </sheetData>
  <pageMargins left="0.7" right="0.7" top="0.75" bottom="0.75" header="0.3" footer="0.3"/>
</worksheet>
</file>

<file path=xl/worksheets/sheet2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D00-000000000000}">
  <sheetPr>
    <tabColor theme="3"/>
  </sheetPr>
  <dimension ref="A1:AC7"/>
  <sheetViews>
    <sheetView workbookViewId="0"/>
  </sheetViews>
  <sheetFormatPr defaultColWidth="9.140625" defaultRowHeight="15"/>
  <cols>
    <col min="1" max="1" width="16.5703125" customWidth="1"/>
  </cols>
  <sheetData>
    <row r="1" spans="1:29">
      <c r="A1" t="s">
        <v>145</v>
      </c>
      <c r="B1">
        <v>2023</v>
      </c>
      <c r="C1">
        <v>2024</v>
      </c>
      <c r="D1">
        <v>2025</v>
      </c>
      <c r="E1">
        <v>2026</v>
      </c>
      <c r="F1">
        <v>2027</v>
      </c>
      <c r="G1">
        <v>2028</v>
      </c>
      <c r="H1">
        <v>2029</v>
      </c>
      <c r="I1">
        <v>2030</v>
      </c>
      <c r="J1">
        <v>2031</v>
      </c>
      <c r="K1">
        <v>2032</v>
      </c>
      <c r="L1">
        <v>2033</v>
      </c>
      <c r="M1">
        <v>2034</v>
      </c>
      <c r="N1">
        <v>2035</v>
      </c>
      <c r="O1">
        <v>2036</v>
      </c>
      <c r="P1">
        <v>2037</v>
      </c>
      <c r="Q1">
        <v>2038</v>
      </c>
      <c r="R1">
        <v>2039</v>
      </c>
      <c r="S1">
        <v>2040</v>
      </c>
      <c r="T1">
        <v>2041</v>
      </c>
      <c r="U1">
        <v>2042</v>
      </c>
      <c r="V1">
        <v>2043</v>
      </c>
      <c r="W1">
        <v>2044</v>
      </c>
      <c r="X1">
        <v>2045</v>
      </c>
      <c r="Y1">
        <v>2046</v>
      </c>
      <c r="Z1">
        <v>2047</v>
      </c>
      <c r="AA1">
        <v>2048</v>
      </c>
      <c r="AB1">
        <v>2049</v>
      </c>
      <c r="AC1">
        <v>2050</v>
      </c>
    </row>
    <row r="2" spans="1:29">
      <c r="A2" t="s">
        <v>123</v>
      </c>
      <c r="B2">
        <f>calcs!C12</f>
        <v>1</v>
      </c>
      <c r="C2">
        <f>calcs!D12</f>
        <v>0.99199162805779795</v>
      </c>
      <c r="D2">
        <f>calcs!E12</f>
        <v>0.99145345856887246</v>
      </c>
      <c r="E2">
        <f>calcs!F12</f>
        <v>0.98773845758736967</v>
      </c>
      <c r="F2">
        <f>calcs!G12</f>
        <v>0.98564184740246219</v>
      </c>
      <c r="G2">
        <f>calcs!H12</f>
        <v>0.98303991333727347</v>
      </c>
      <c r="H2">
        <f>calcs!I12</f>
        <v>0.98381018616126348</v>
      </c>
      <c r="I2">
        <f>calcs!J12</f>
        <v>0.98691983518255244</v>
      </c>
      <c r="J2">
        <f>calcs!K12</f>
        <v>0.99006617834617994</v>
      </c>
      <c r="K2">
        <f>calcs!L12</f>
        <v>0.9941463126584007</v>
      </c>
      <c r="L2">
        <f>calcs!M12</f>
        <v>0.99846130468984473</v>
      </c>
      <c r="M2">
        <f>calcs!N12</f>
        <v>1.0037337578306835</v>
      </c>
      <c r="N2">
        <f>calcs!O12</f>
        <v>1.0092701544805229</v>
      </c>
      <c r="O2">
        <f>calcs!P12</f>
        <v>1.0155410972260812</v>
      </c>
      <c r="P2">
        <f>calcs!Q12</f>
        <v>1.0221550537387742</v>
      </c>
      <c r="Q2">
        <f>calcs!R12</f>
        <v>1.0288457190053915</v>
      </c>
      <c r="R2">
        <f>calcs!S12</f>
        <v>1.0352948306955889</v>
      </c>
      <c r="S2">
        <f>calcs!T12</f>
        <v>1.0425874302893146</v>
      </c>
      <c r="T2">
        <f>calcs!U12</f>
        <v>1.0492768070786795</v>
      </c>
      <c r="U2">
        <f>calcs!V12</f>
        <v>1.0559394131128061</v>
      </c>
      <c r="V2">
        <f>calcs!W12</f>
        <v>1.0615504316058721</v>
      </c>
      <c r="W2">
        <f>calcs!X12</f>
        <v>1.0670456688004033</v>
      </c>
      <c r="X2">
        <f>calcs!Y12</f>
        <v>1.0733174648981094</v>
      </c>
      <c r="Y2">
        <f>calcs!Z12</f>
        <v>1.0797690268073437</v>
      </c>
      <c r="Z2">
        <f>calcs!AA12</f>
        <v>1.0885601043228916</v>
      </c>
      <c r="AA2">
        <f>calcs!AB12</f>
        <v>1.0966140756862777</v>
      </c>
      <c r="AB2">
        <f>calcs!AC12</f>
        <v>1.1037383832527936</v>
      </c>
      <c r="AC2">
        <f>calcs!AD12</f>
        <v>1.1099383330140091</v>
      </c>
    </row>
    <row r="3" spans="1:29">
      <c r="A3" t="s">
        <v>121</v>
      </c>
      <c r="B3">
        <f>calcs!C13</f>
        <v>1</v>
      </c>
      <c r="C3">
        <f>calcs!D13</f>
        <v>1.0622112715165715</v>
      </c>
      <c r="D3">
        <f>calcs!E13</f>
        <v>1.0882483223483477</v>
      </c>
      <c r="E3">
        <f>calcs!F13</f>
        <v>1.1073663909567006</v>
      </c>
      <c r="F3">
        <f>calcs!G13</f>
        <v>1.1253528048949284</v>
      </c>
      <c r="G3">
        <f>calcs!H13</f>
        <v>1.138224191456727</v>
      </c>
      <c r="H3">
        <f>calcs!I13</f>
        <v>1.1499887897440986</v>
      </c>
      <c r="I3">
        <f>calcs!J13</f>
        <v>1.1606501753882426</v>
      </c>
      <c r="J3">
        <f>calcs!K13</f>
        <v>1.1685450929996408</v>
      </c>
      <c r="K3">
        <f>calcs!L13</f>
        <v>1.1759364552299756</v>
      </c>
      <c r="L3">
        <f>calcs!M13</f>
        <v>1.1817697932230411</v>
      </c>
      <c r="M3">
        <f>calcs!N13</f>
        <v>1.1882821424940875</v>
      </c>
      <c r="N3">
        <f>calcs!O13</f>
        <v>1.1945415946520686</v>
      </c>
      <c r="O3">
        <f>calcs!P13</f>
        <v>1.2022732504644396</v>
      </c>
      <c r="P3">
        <f>calcs!Q13</f>
        <v>1.2108769527327585</v>
      </c>
      <c r="Q3">
        <f>calcs!R13</f>
        <v>1.2194852957139111</v>
      </c>
      <c r="R3">
        <f>calcs!S13</f>
        <v>1.2265601602421841</v>
      </c>
      <c r="S3">
        <f>calcs!T13</f>
        <v>1.2338113881603994</v>
      </c>
      <c r="T3">
        <f>calcs!U13</f>
        <v>1.240527635355261</v>
      </c>
      <c r="U3">
        <f>calcs!V13</f>
        <v>1.2472509251307224</v>
      </c>
      <c r="V3">
        <f>calcs!W13</f>
        <v>1.2527956260009969</v>
      </c>
      <c r="W3">
        <f>calcs!X13</f>
        <v>1.2572934929114714</v>
      </c>
      <c r="X3">
        <f>calcs!Y13</f>
        <v>1.2620704655509318</v>
      </c>
      <c r="Y3">
        <f>calcs!Z13</f>
        <v>1.2657209133011977</v>
      </c>
      <c r="Z3">
        <f>calcs!AA13</f>
        <v>1.2738285157598908</v>
      </c>
      <c r="AA3">
        <f>calcs!AB13</f>
        <v>1.2822530289114835</v>
      </c>
      <c r="AB3">
        <f>calcs!AC13</f>
        <v>1.2898558315825104</v>
      </c>
      <c r="AC3">
        <f>calcs!AD13</f>
        <v>1.295658157224123</v>
      </c>
    </row>
    <row r="4" spans="1:29">
      <c r="A4" t="s">
        <v>119</v>
      </c>
      <c r="B4">
        <f>calcs!C14</f>
        <v>1</v>
      </c>
      <c r="C4">
        <f>calcs!D14</f>
        <v>1.0716178093338335</v>
      </c>
      <c r="D4">
        <f>calcs!E14</f>
        <v>1.0817527323119809</v>
      </c>
      <c r="E4">
        <f>calcs!F14</f>
        <v>1.1085945185275576</v>
      </c>
      <c r="F4">
        <f>calcs!G14</f>
        <v>1.1335366025391564</v>
      </c>
      <c r="G4">
        <f>calcs!H14</f>
        <v>1.1542477258077453</v>
      </c>
      <c r="H4">
        <f>calcs!I14</f>
        <v>1.1766334225776525</v>
      </c>
      <c r="I4">
        <f>calcs!J14</f>
        <v>1.1971558895767964</v>
      </c>
      <c r="J4">
        <f>calcs!K14</f>
        <v>1.2142171078006554</v>
      </c>
      <c r="K4">
        <f>calcs!L14</f>
        <v>1.2339069157317686</v>
      </c>
      <c r="L4">
        <f>calcs!M14</f>
        <v>1.2549473070557398</v>
      </c>
      <c r="M4">
        <f>calcs!N14</f>
        <v>1.2752167829490888</v>
      </c>
      <c r="N4">
        <f>calcs!O14</f>
        <v>1.2975086149212807</v>
      </c>
      <c r="O4">
        <f>calcs!P14</f>
        <v>1.3202152487803505</v>
      </c>
      <c r="P4">
        <f>calcs!Q14</f>
        <v>1.344338467668533</v>
      </c>
      <c r="Q4">
        <f>calcs!R14</f>
        <v>1.3702463242095071</v>
      </c>
      <c r="R4">
        <f>calcs!S14</f>
        <v>1.3962054648014097</v>
      </c>
      <c r="S4">
        <f>calcs!T14</f>
        <v>1.4221940420806158</v>
      </c>
      <c r="T4">
        <f>calcs!U14</f>
        <v>1.4477388433643217</v>
      </c>
      <c r="U4">
        <f>calcs!V14</f>
        <v>1.4754125477637132</v>
      </c>
      <c r="V4">
        <f>calcs!W14</f>
        <v>1.5025063999277224</v>
      </c>
      <c r="W4">
        <f>calcs!X14</f>
        <v>1.5278095030920653</v>
      </c>
      <c r="X4">
        <f>calcs!Y14</f>
        <v>1.5526372649533449</v>
      </c>
      <c r="Y4">
        <f>calcs!Z14</f>
        <v>1.5770499466222119</v>
      </c>
      <c r="Z4">
        <f>calcs!AA14</f>
        <v>1.6056317536392695</v>
      </c>
      <c r="AA4">
        <f>calcs!AB14</f>
        <v>1.6361132621019796</v>
      </c>
      <c r="AB4">
        <f>calcs!AC14</f>
        <v>1.6653360173816742</v>
      </c>
      <c r="AC4">
        <f>calcs!AD14</f>
        <v>1.6941697970731022</v>
      </c>
    </row>
    <row r="5" spans="1:29">
      <c r="A5" t="s">
        <v>124</v>
      </c>
      <c r="B5">
        <f>calcs!C15</f>
        <v>1</v>
      </c>
      <c r="C5">
        <f>calcs!D15</f>
        <v>0.91547682341993408</v>
      </c>
      <c r="D5">
        <f>calcs!E15</f>
        <v>0.93655200278847428</v>
      </c>
      <c r="E5">
        <f>calcs!F15</f>
        <v>0.91392563617381528</v>
      </c>
      <c r="F5">
        <f>calcs!G15</f>
        <v>0.88352754244868426</v>
      </c>
      <c r="G5">
        <f>calcs!H15</f>
        <v>0.88376625115555996</v>
      </c>
      <c r="H5">
        <f>calcs!I15</f>
        <v>0.88154768721668619</v>
      </c>
      <c r="I5">
        <f>calcs!J15</f>
        <v>0.85603446315317522</v>
      </c>
      <c r="J5">
        <f>calcs!K15</f>
        <v>0.85630887523506882</v>
      </c>
      <c r="K5">
        <f>calcs!L15</f>
        <v>0.81608054474917058</v>
      </c>
      <c r="L5">
        <f>calcs!M15</f>
        <v>0.82008038455926546</v>
      </c>
      <c r="M5">
        <f>calcs!N15</f>
        <v>0.81235656692959779</v>
      </c>
      <c r="N5">
        <f>calcs!O15</f>
        <v>0.81271192203556319</v>
      </c>
      <c r="O5">
        <f>calcs!P15</f>
        <v>0.81604301086450903</v>
      </c>
      <c r="P5">
        <f>calcs!Q15</f>
        <v>0.82019352117953703</v>
      </c>
      <c r="Q5">
        <f>calcs!R15</f>
        <v>0.8313767458017004</v>
      </c>
      <c r="R5">
        <f>calcs!S15</f>
        <v>0.82618229502449536</v>
      </c>
      <c r="S5">
        <f>calcs!T15</f>
        <v>0.83015360225767765</v>
      </c>
      <c r="T5">
        <f>calcs!U15</f>
        <v>0.83138178110938166</v>
      </c>
      <c r="U5">
        <f>calcs!V15</f>
        <v>0.83578953833803082</v>
      </c>
      <c r="V5">
        <f>calcs!W15</f>
        <v>0.84069996513907186</v>
      </c>
      <c r="W5">
        <f>calcs!X15</f>
        <v>0.84355218727059844</v>
      </c>
      <c r="X5">
        <f>calcs!Y15</f>
        <v>0.84654584923876319</v>
      </c>
      <c r="Y5">
        <f>calcs!Z15</f>
        <v>0.84725037921516477</v>
      </c>
      <c r="Z5">
        <f>calcs!AA15</f>
        <v>0.85641827396589743</v>
      </c>
      <c r="AA5">
        <f>calcs!AB15</f>
        <v>0.86402521646089014</v>
      </c>
      <c r="AB5">
        <f>calcs!AC15</f>
        <v>0.87038383949841458</v>
      </c>
      <c r="AC5">
        <f>calcs!AD15</f>
        <v>0.87320264686069804</v>
      </c>
    </row>
    <row r="6" spans="1:29">
      <c r="A6" t="s">
        <v>125</v>
      </c>
      <c r="B6">
        <f>calcs!C16</f>
        <v>1</v>
      </c>
      <c r="C6">
        <f>calcs!D16</f>
        <v>0.86317526059111838</v>
      </c>
      <c r="D6">
        <f>calcs!E16</f>
        <v>0.84497696153253987</v>
      </c>
      <c r="E6">
        <f>calcs!F16</f>
        <v>0.85273530182482615</v>
      </c>
      <c r="F6">
        <f>calcs!G16</f>
        <v>0.86578346593579814</v>
      </c>
      <c r="G6">
        <f>calcs!H16</f>
        <v>0.87627032753471568</v>
      </c>
      <c r="H6">
        <f>calcs!I16</f>
        <v>0.88762081303001483</v>
      </c>
      <c r="I6">
        <f>calcs!J16</f>
        <v>0.89870619555830178</v>
      </c>
      <c r="J6">
        <f>calcs!K16</f>
        <v>0.90858841846707272</v>
      </c>
      <c r="K6">
        <f>calcs!L16</f>
        <v>0.91928124467882266</v>
      </c>
      <c r="L6">
        <f>calcs!M16</f>
        <v>0.92989454000046901</v>
      </c>
      <c r="M6">
        <f>calcs!N16</f>
        <v>0.94107882632798734</v>
      </c>
      <c r="N6">
        <f>calcs!O16</f>
        <v>0.94976604663161179</v>
      </c>
      <c r="O6">
        <f>calcs!P16</f>
        <v>0.95684021734364777</v>
      </c>
      <c r="P6">
        <f>calcs!Q16</f>
        <v>0.96378081694538176</v>
      </c>
      <c r="Q6">
        <f>calcs!R16</f>
        <v>0.96982822347364417</v>
      </c>
      <c r="R6">
        <f>calcs!S16</f>
        <v>0.97586645336074085</v>
      </c>
      <c r="S6">
        <f>calcs!T16</f>
        <v>0.98126231836623146</v>
      </c>
      <c r="T6">
        <f>calcs!U16</f>
        <v>0.98651849450064288</v>
      </c>
      <c r="U6">
        <f>calcs!V16</f>
        <v>0.99190212398457911</v>
      </c>
      <c r="V6">
        <f>calcs!W16</f>
        <v>0.99712057392753095</v>
      </c>
      <c r="W6">
        <f>calcs!X16</f>
        <v>1.0020616853819164</v>
      </c>
      <c r="X6">
        <f>calcs!Y16</f>
        <v>1.0067295368549203</v>
      </c>
      <c r="Y6">
        <f>calcs!Z16</f>
        <v>1.0105939224125184</v>
      </c>
      <c r="Z6">
        <f>calcs!AA16</f>
        <v>1.0163007735908502</v>
      </c>
      <c r="AA6">
        <f>calcs!AB16</f>
        <v>1.0230415263405288</v>
      </c>
      <c r="AB6">
        <f>calcs!AC16</f>
        <v>1.0294865873193093</v>
      </c>
      <c r="AC6">
        <f>calcs!AD16</f>
        <v>1.0354830125077619</v>
      </c>
    </row>
    <row r="7" spans="1:29">
      <c r="A7" t="s">
        <v>126</v>
      </c>
      <c r="B7">
        <v>0</v>
      </c>
      <c r="C7">
        <f>calcs!D17</f>
        <v>0</v>
      </c>
      <c r="D7">
        <f>calcs!E17</f>
        <v>0</v>
      </c>
      <c r="E7">
        <f>calcs!F17</f>
        <v>0</v>
      </c>
      <c r="F7">
        <f>calcs!G17</f>
        <v>0</v>
      </c>
      <c r="G7">
        <f>calcs!H17</f>
        <v>0</v>
      </c>
      <c r="H7">
        <f>calcs!I17</f>
        <v>0</v>
      </c>
      <c r="I7">
        <f>calcs!J17</f>
        <v>0</v>
      </c>
      <c r="J7">
        <f>calcs!K17</f>
        <v>0</v>
      </c>
      <c r="K7">
        <f>calcs!L17</f>
        <v>0</v>
      </c>
      <c r="L7">
        <f>calcs!M17</f>
        <v>0</v>
      </c>
      <c r="M7">
        <f>calcs!N17</f>
        <v>0</v>
      </c>
      <c r="N7">
        <f>calcs!O17</f>
        <v>0</v>
      </c>
      <c r="O7">
        <f>calcs!P17</f>
        <v>0</v>
      </c>
      <c r="P7">
        <f>calcs!Q17</f>
        <v>0</v>
      </c>
      <c r="Q7">
        <f>calcs!R17</f>
        <v>0</v>
      </c>
      <c r="R7">
        <f>calcs!S17</f>
        <v>0</v>
      </c>
      <c r="S7">
        <f>calcs!T17</f>
        <v>0</v>
      </c>
      <c r="T7">
        <f>calcs!U17</f>
        <v>0</v>
      </c>
      <c r="U7">
        <f>calcs!V17</f>
        <v>0</v>
      </c>
      <c r="V7">
        <f>calcs!W17</f>
        <v>0</v>
      </c>
      <c r="W7">
        <f>calcs!X17</f>
        <v>0</v>
      </c>
      <c r="X7">
        <f>calcs!Y17</f>
        <v>0</v>
      </c>
      <c r="Y7">
        <f>calcs!Z17</f>
        <v>0</v>
      </c>
      <c r="Z7">
        <f>calcs!AA17</f>
        <v>0</v>
      </c>
      <c r="AA7">
        <f>calcs!AB17</f>
        <v>0</v>
      </c>
      <c r="AB7">
        <f>calcs!AC17</f>
        <v>0</v>
      </c>
      <c r="AC7">
        <f>calcs!AD17</f>
        <v>0</v>
      </c>
    </row>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24</vt:i4>
      </vt:variant>
    </vt:vector>
  </HeadingPairs>
  <TitlesOfParts>
    <vt:vector size="24" baseType="lpstr">
      <vt:lpstr>About</vt:lpstr>
      <vt:lpstr>source data&gt;</vt:lpstr>
      <vt:lpstr>EPA_Table 3-13</vt:lpstr>
      <vt:lpstr>AEO 2023 Table 7</vt:lpstr>
      <vt:lpstr>AEO 2023 Table 35 Raw</vt:lpstr>
      <vt:lpstr>AEO 2023 Table 35</vt:lpstr>
      <vt:lpstr>AEO 2023 Table 46 Raw</vt:lpstr>
      <vt:lpstr>AEO 2023 Table 46</vt:lpstr>
      <vt:lpstr>AEO 2023 Table 47 Raw</vt:lpstr>
      <vt:lpstr>AEO 2023 Table 47</vt:lpstr>
      <vt:lpstr>AEO 2023 Table 49 Raw</vt:lpstr>
      <vt:lpstr>AEO 2023 Table 49</vt:lpstr>
      <vt:lpstr>AEO 2025 Table 7</vt:lpstr>
      <vt:lpstr>AEO 2025 Table 35</vt:lpstr>
      <vt:lpstr>AEO 2025 Table 46</vt:lpstr>
      <vt:lpstr>AEO 2025 Table 47</vt:lpstr>
      <vt:lpstr>AEO 2025 Table 49</vt:lpstr>
      <vt:lpstr>calcs&gt;</vt:lpstr>
      <vt:lpstr>calibration multiplier</vt:lpstr>
      <vt:lpstr>GHG Inventory</vt:lpstr>
      <vt:lpstr>AEO 2022 Table 36</vt:lpstr>
      <vt:lpstr>calcs</vt:lpstr>
      <vt:lpstr>BCDTRtSY-psgr</vt:lpstr>
      <vt:lpstr>BCDTRtSY-frgt</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Jeffrey Rissman</dc:creator>
  <cp:lastModifiedBy>Olivia Ashmoore</cp:lastModifiedBy>
  <dcterms:created xsi:type="dcterms:W3CDTF">2017-06-26T22:04:22Z</dcterms:created>
  <dcterms:modified xsi:type="dcterms:W3CDTF">2026-01-09T21:08:34Z</dcterms:modified>
</cp:coreProperties>
</file>