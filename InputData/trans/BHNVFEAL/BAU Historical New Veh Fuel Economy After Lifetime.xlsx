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BHNVFEAL\"/>
    </mc:Choice>
  </mc:AlternateContent>
  <xr:revisionPtr revIDLastSave="0" documentId="13_ncr:1_{7A986EBF-6A38-4458-9EF9-9AB3274F4F22}" xr6:coauthVersionLast="47" xr6:coauthVersionMax="47" xr10:uidLastSave="{00000000-0000-0000-0000-000000000000}"/>
  <bookViews>
    <workbookView xWindow="-120" yWindow="-120" windowWidth="29040" windowHeight="17520" firstSheet="5" activeTab="5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6" i="24" l="1"/>
  <c r="AQ3" i="24" l="1" a="1"/>
  <c r="AQ3" i="24" s="1"/>
  <c r="AP3" i="24" a="1"/>
  <c r="AP3" i="24" s="1"/>
  <c r="AQ2" i="24"/>
  <c r="AP2" i="24"/>
  <c r="AR4" i="24"/>
  <c r="AQ4" i="24"/>
  <c r="AP4" i="24" s="1"/>
  <c r="AO4" i="24" s="1"/>
  <c r="AN4" i="24" s="1"/>
  <c r="AM4" i="24" s="1"/>
  <c r="X13" i="24"/>
  <c r="Y13" i="24"/>
  <c r="Z13" i="24"/>
  <c r="AA13" i="24"/>
  <c r="AB13" i="24"/>
  <c r="AC13" i="24"/>
  <c r="AD13" i="24"/>
  <c r="AE13" i="24"/>
  <c r="AF13" i="24"/>
  <c r="AG13" i="24"/>
  <c r="AH13" i="24"/>
  <c r="AI13" i="24"/>
  <c r="AJ13" i="24"/>
  <c r="AK13" i="24"/>
  <c r="AL13" i="24"/>
  <c r="AM13" i="24"/>
  <c r="AN13" i="24"/>
  <c r="AO13" i="24"/>
  <c r="AP13" i="24"/>
  <c r="AQ13" i="24"/>
  <c r="W13" i="24"/>
  <c r="G12" i="24"/>
  <c r="H12" i="24"/>
  <c r="I12" i="24"/>
  <c r="J12" i="24"/>
  <c r="K12" i="24"/>
  <c r="L12" i="24"/>
  <c r="M12" i="24"/>
  <c r="N12" i="24"/>
  <c r="O12" i="24"/>
  <c r="P12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AM12" i="24"/>
  <c r="AN12" i="24"/>
  <c r="AO12" i="24"/>
  <c r="AP12" i="24"/>
  <c r="AQ12" i="24"/>
  <c r="H11" i="24"/>
  <c r="I11" i="24"/>
  <c r="J11" i="24"/>
  <c r="K11" i="24"/>
  <c r="L11" i="24"/>
  <c r="M11" i="24"/>
  <c r="N11" i="24"/>
  <c r="O11" i="24"/>
  <c r="P11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AM11" i="24"/>
  <c r="AN11" i="24"/>
  <c r="AO11" i="24"/>
  <c r="AP11" i="24"/>
  <c r="AQ11" i="24"/>
  <c r="G11" i="24"/>
  <c r="AR10" i="24" l="1"/>
  <c r="AQ5" i="24"/>
  <c r="V5" i="24"/>
  <c r="U5" i="24" s="1"/>
  <c r="T5" i="24" s="1"/>
  <c r="S5" i="24" s="1"/>
  <c r="R5" i="24" s="1"/>
  <c r="Q5" i="24" s="1"/>
  <c r="P5" i="24" s="1"/>
  <c r="O5" i="24" s="1"/>
  <c r="N5" i="24" s="1"/>
  <c r="M5" i="24" s="1"/>
  <c r="L5" i="24" s="1"/>
  <c r="AS2" i="24"/>
  <c r="AR2" i="24"/>
  <c r="W5" i="24" l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B2" i="24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F9" i="24"/>
  <c r="G9" i="24" s="1"/>
  <c r="F8" i="24"/>
  <c r="G8" i="24" s="1"/>
  <c r="AO5" i="24" l="1"/>
  <c r="AP5" i="24" s="1"/>
  <c r="B2" i="10"/>
  <c r="H9" i="24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H8" i="24"/>
  <c r="B5" i="10"/>
  <c r="B8" i="2"/>
  <c r="D16" i="26"/>
  <c r="I8" i="24" l="1"/>
  <c r="C5" i="10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J8" i="24" l="1"/>
  <c r="D5" i="10"/>
  <c r="C3" i="14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K8" i="24" l="1"/>
  <c r="E5" i="10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L8" i="24" l="1"/>
  <c r="F5" i="10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M8" i="24" l="1"/>
  <c r="G5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P4" i="2"/>
  <c r="Q4" i="2"/>
  <c r="R4" i="2"/>
  <c r="S4" i="2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R3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R5" i="24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Q6" i="24"/>
  <c r="AR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R7" i="24"/>
  <c r="AQ7" i="24" s="1"/>
  <c r="AP7" i="24" s="1"/>
  <c r="AO7" i="24" s="1"/>
  <c r="AN7" i="24" s="1"/>
  <c r="AM7" i="24" s="1"/>
  <c r="AL7" i="24" s="1"/>
  <c r="AK7" i="24" s="1"/>
  <c r="AJ7" i="24" s="1"/>
  <c r="AI7" i="24" s="1"/>
  <c r="AH7" i="24" s="1"/>
  <c r="AG7" i="24" s="1"/>
  <c r="AF7" i="24" s="1"/>
  <c r="AE7" i="24" s="1"/>
  <c r="AD7" i="24" s="1"/>
  <c r="AC7" i="24" s="1"/>
  <c r="AB7" i="24" s="1"/>
  <c r="AA7" i="24" s="1"/>
  <c r="Z7" i="24" s="1"/>
  <c r="Y7" i="24" s="1"/>
  <c r="X7" i="24" s="1"/>
  <c r="W7" i="24" s="1"/>
  <c r="V7" i="24" s="1"/>
  <c r="U7" i="24" s="1"/>
  <c r="T7" i="24" s="1"/>
  <c r="S7" i="24" s="1"/>
  <c r="R7" i="24" s="1"/>
  <c r="Q7" i="24" s="1"/>
  <c r="P7" i="24" s="1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R11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R12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R13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R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U6" i="24" l="1"/>
  <c r="AC6" i="24"/>
  <c r="AK6" i="24"/>
  <c r="AB6" i="24"/>
  <c r="V6" i="24"/>
  <c r="AD6" i="24"/>
  <c r="AL6" i="24"/>
  <c r="AA6" i="24"/>
  <c r="W6" i="24"/>
  <c r="AE6" i="24"/>
  <c r="AM6" i="24"/>
  <c r="S6" i="24"/>
  <c r="AJ6" i="24"/>
  <c r="P6" i="24"/>
  <c r="X6" i="24"/>
  <c r="AF6" i="24"/>
  <c r="AO6" i="24"/>
  <c r="AI6" i="24"/>
  <c r="T6" i="24"/>
  <c r="Y6" i="24"/>
  <c r="AG6" i="24"/>
  <c r="AP6" i="24"/>
  <c r="R6" i="24"/>
  <c r="Z6" i="24"/>
  <c r="AH6" i="24"/>
  <c r="AN6" i="24"/>
  <c r="T10" i="24"/>
  <c r="AC10" i="24"/>
  <c r="AK10" i="24"/>
  <c r="F10" i="24"/>
  <c r="V10" i="24"/>
  <c r="AD10" i="24"/>
  <c r="AL10" i="24"/>
  <c r="Q10" i="24"/>
  <c r="W10" i="24"/>
  <c r="AE10" i="24"/>
  <c r="AM10" i="24"/>
  <c r="AQ10" i="24"/>
  <c r="X10" i="24"/>
  <c r="AF10" i="24"/>
  <c r="AN10" i="24"/>
  <c r="N10" i="24"/>
  <c r="Y10" i="24"/>
  <c r="AG10" i="24"/>
  <c r="AO10" i="24"/>
  <c r="AA10" i="24"/>
  <c r="AJ10" i="24"/>
  <c r="L10" i="24"/>
  <c r="Z10" i="24"/>
  <c r="AH10" i="24"/>
  <c r="AP10" i="24"/>
  <c r="AI10" i="24"/>
  <c r="AB10" i="24"/>
  <c r="S10" i="24"/>
  <c r="P10" i="24"/>
  <c r="O10" i="24"/>
  <c r="K10" i="24"/>
  <c r="I10" i="24"/>
  <c r="R10" i="24"/>
  <c r="U10" i="24"/>
  <c r="G10" i="24"/>
  <c r="J10" i="24"/>
  <c r="M10" i="24"/>
  <c r="H10" i="24"/>
  <c r="N8" i="24"/>
  <c r="H5" i="10"/>
  <c r="O4" i="2"/>
  <c r="O6" i="2" s="1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P5" i="2"/>
  <c r="P3" i="2"/>
  <c r="P6" i="2"/>
  <c r="P7" i="2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R6" i="2"/>
  <c r="R5" i="2"/>
  <c r="R7" i="2"/>
  <c r="R3" i="2"/>
  <c r="AB7" i="2"/>
  <c r="AB3" i="2"/>
  <c r="AB6" i="2"/>
  <c r="AB5" i="2"/>
  <c r="S3" i="2"/>
  <c r="S6" i="2"/>
  <c r="S5" i="2"/>
  <c r="S7" i="2"/>
  <c r="Y5" i="2"/>
  <c r="Y3" i="2"/>
  <c r="Y6" i="2"/>
  <c r="Y7" i="2"/>
  <c r="Q5" i="2"/>
  <c r="Q3" i="2"/>
  <c r="Q6" i="2"/>
  <c r="Q7" i="2"/>
  <c r="X5" i="2"/>
  <c r="X7" i="2"/>
  <c r="X3" i="2"/>
  <c r="X6" i="2"/>
  <c r="AD7" i="2"/>
  <c r="AD5" i="2"/>
  <c r="AD3" i="2"/>
  <c r="AD6" i="2"/>
  <c r="V7" i="2"/>
  <c r="V3" i="2"/>
  <c r="V5" i="2"/>
  <c r="V6" i="2"/>
  <c r="O3" i="2" l="1"/>
  <c r="O5" i="2"/>
  <c r="O8" i="24"/>
  <c r="I5" i="10"/>
  <c r="O7" i="2"/>
  <c r="N4" i="2"/>
  <c r="B16" i="26"/>
  <c r="C16" i="26"/>
  <c r="AA2" i="24" s="1"/>
  <c r="P8" i="24" l="1"/>
  <c r="J5" i="10"/>
  <c r="B4" i="2"/>
  <c r="B6" i="2" s="1"/>
  <c r="N7" i="2"/>
  <c r="N3" i="2"/>
  <c r="N6" i="2"/>
  <c r="N5" i="2"/>
  <c r="Q8" i="24" l="1"/>
  <c r="K5" i="10"/>
  <c r="B7" i="2"/>
  <c r="B5" i="2"/>
  <c r="B3" i="2"/>
  <c r="X5" i="8"/>
  <c r="R8" i="24" l="1"/>
  <c r="L5" i="10"/>
  <c r="D4" i="2"/>
  <c r="D7" i="2" s="1"/>
  <c r="C4" i="2"/>
  <c r="C3" i="2" s="1"/>
  <c r="E4" i="2"/>
  <c r="Y5" i="9"/>
  <c r="Z5" i="9"/>
  <c r="AA5" i="9"/>
  <c r="AC5" i="9"/>
  <c r="AD5" i="9"/>
  <c r="AE5" i="9"/>
  <c r="S8" i="24" l="1"/>
  <c r="M5" i="10"/>
  <c r="C7" i="2"/>
  <c r="C5" i="2"/>
  <c r="C6" i="2"/>
  <c r="D5" i="2"/>
  <c r="D6" i="2"/>
  <c r="D3" i="2"/>
  <c r="E7" i="2"/>
  <c r="E3" i="2"/>
  <c r="E6" i="2"/>
  <c r="E5" i="2"/>
  <c r="F4" i="2"/>
  <c r="AB5" i="8"/>
  <c r="AA5" i="8"/>
  <c r="AE5" i="8"/>
  <c r="AD5" i="8"/>
  <c r="Z5" i="8"/>
  <c r="AC5" i="8"/>
  <c r="AB5" i="9"/>
  <c r="Y5" i="8"/>
  <c r="B31" i="26"/>
  <c r="B27" i="26"/>
  <c r="T8" i="24" l="1"/>
  <c r="N5" i="10"/>
  <c r="F7" i="2"/>
  <c r="F5" i="2"/>
  <c r="F3" i="2"/>
  <c r="F6" i="2"/>
  <c r="G4" i="2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U8" i="24" l="1"/>
  <c r="O5" i="10"/>
  <c r="G5" i="2"/>
  <c r="G7" i="2"/>
  <c r="G3" i="2"/>
  <c r="G6" i="2"/>
  <c r="H4" i="2"/>
  <c r="B21" i="26"/>
  <c r="B22" i="26" s="1"/>
  <c r="V8" i="24" l="1"/>
  <c r="P5" i="10"/>
  <c r="H5" i="2"/>
  <c r="H3" i="2"/>
  <c r="H6" i="2"/>
  <c r="H7" i="2"/>
  <c r="I4" i="2"/>
  <c r="W8" i="24" l="1"/>
  <c r="Q5" i="10"/>
  <c r="I5" i="2"/>
  <c r="I3" i="2"/>
  <c r="I6" i="2"/>
  <c r="I7" i="2"/>
  <c r="J4" i="2"/>
  <c r="X8" i="24" l="1"/>
  <c r="R5" i="10"/>
  <c r="J6" i="2"/>
  <c r="J7" i="2"/>
  <c r="J5" i="2"/>
  <c r="J3" i="2"/>
  <c r="K4" i="2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Y8" i="24" l="1"/>
  <c r="S5" i="10"/>
  <c r="K3" i="2"/>
  <c r="K6" i="2"/>
  <c r="K7" i="2"/>
  <c r="K5" i="2"/>
  <c r="M4" i="2"/>
  <c r="L4" i="2"/>
  <c r="H8" i="8"/>
  <c r="H2" i="8"/>
  <c r="K8" i="8"/>
  <c r="K2" i="8"/>
  <c r="C8" i="10"/>
  <c r="V8" i="8"/>
  <c r="V2" i="8"/>
  <c r="L8" i="8"/>
  <c r="L2" i="8"/>
  <c r="I2" i="8"/>
  <c r="I8" i="8"/>
  <c r="S8" i="10"/>
  <c r="J8" i="10"/>
  <c r="J8" i="8"/>
  <c r="J2" i="8"/>
  <c r="H8" i="10"/>
  <c r="S8" i="8"/>
  <c r="S2" i="8"/>
  <c r="F8" i="8"/>
  <c r="F2" i="8"/>
  <c r="D8" i="8"/>
  <c r="D2" i="8"/>
  <c r="R8" i="10"/>
  <c r="B8" i="10"/>
  <c r="O2" i="8"/>
  <c r="O8" i="8"/>
  <c r="T8" i="8"/>
  <c r="T2" i="8"/>
  <c r="U2" i="8"/>
  <c r="U8" i="8"/>
  <c r="G8" i="8"/>
  <c r="G2" i="8"/>
  <c r="Q8" i="10"/>
  <c r="F8" i="10"/>
  <c r="I8" i="10"/>
  <c r="D8" i="10"/>
  <c r="AA8" i="8"/>
  <c r="AA2" i="8"/>
  <c r="M2" i="8"/>
  <c r="M8" i="8"/>
  <c r="C8" i="8"/>
  <c r="C2" i="8"/>
  <c r="W2" i="8"/>
  <c r="W8" i="8"/>
  <c r="E8" i="8"/>
  <c r="E2" i="8"/>
  <c r="B8" i="8"/>
  <c r="B2" i="8"/>
  <c r="P8" i="8"/>
  <c r="P2" i="8"/>
  <c r="M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Z8" i="24" l="1"/>
  <c r="T5" i="10"/>
  <c r="T8" i="10" s="1"/>
  <c r="L7" i="2"/>
  <c r="L3" i="2"/>
  <c r="L6" i="2"/>
  <c r="L5" i="2"/>
  <c r="M7" i="2"/>
  <c r="M3" i="2"/>
  <c r="M6" i="2"/>
  <c r="M5" i="2"/>
  <c r="AA8" i="24" l="1"/>
  <c r="U5" i="10"/>
  <c r="U8" i="10" s="1"/>
  <c r="AB8" i="24" l="1"/>
  <c r="V5" i="10"/>
  <c r="V8" i="10" s="1"/>
  <c r="AC8" i="24" l="1"/>
  <c r="W5" i="10"/>
  <c r="W8" i="10" s="1"/>
  <c r="AD8" i="24" l="1"/>
  <c r="X5" i="10"/>
  <c r="X8" i="10" s="1"/>
  <c r="AE8" i="24" l="1"/>
  <c r="Y5" i="10"/>
  <c r="Y8" i="10" s="1"/>
  <c r="AF8" i="24" l="1"/>
  <c r="Z5" i="10"/>
  <c r="Z8" i="10" s="1"/>
  <c r="AG8" i="24" l="1"/>
  <c r="AA5" i="10"/>
  <c r="AA8" i="10" s="1"/>
  <c r="AH8" i="24" l="1"/>
  <c r="AB5" i="10"/>
  <c r="AB8" i="10" s="1"/>
  <c r="AI8" i="24" l="1"/>
  <c r="AC5" i="10"/>
  <c r="AC8" i="10" s="1"/>
  <c r="AJ8" i="24" l="1"/>
  <c r="AD5" i="10"/>
  <c r="AD8" i="10" s="1"/>
  <c r="AK8" i="24" l="1"/>
  <c r="AL8" i="24" s="1"/>
  <c r="AM8" i="24" s="1"/>
  <c r="AN8" i="24" s="1"/>
  <c r="AO8" i="24" s="1"/>
  <c r="AE5" i="10"/>
  <c r="AE8" i="10" s="1"/>
  <c r="AP8" i="24" l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5" i="9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B5" i="11" l="1"/>
  <c r="B2" i="11" s="1"/>
  <c r="C5" i="11"/>
  <c r="C2" i="11" s="1"/>
  <c r="D5" i="11"/>
  <c r="D2" i="11" s="1"/>
  <c r="E5" i="11"/>
  <c r="E2" i="11" s="1"/>
  <c r="F5" i="11"/>
  <c r="F2" i="11" s="1"/>
  <c r="G5" i="11"/>
  <c r="G2" i="11" s="1"/>
  <c r="H5" i="11"/>
  <c r="H2" i="11" s="1"/>
  <c r="I5" i="11"/>
  <c r="I2" i="11" s="1"/>
  <c r="J5" i="11"/>
  <c r="J2" i="11" s="1"/>
  <c r="K5" i="11"/>
  <c r="K2" i="11" s="1"/>
  <c r="L5" i="11"/>
  <c r="L2" i="11" s="1"/>
  <c r="M5" i="11"/>
  <c r="M2" i="11" s="1"/>
  <c r="N5" i="11"/>
  <c r="N2" i="11" s="1"/>
  <c r="O5" i="11"/>
  <c r="O2" i="11" s="1"/>
  <c r="P5" i="11"/>
  <c r="P2" i="11" s="1"/>
  <c r="Q5" i="11"/>
  <c r="Q2" i="11" s="1"/>
  <c r="R5" i="11"/>
  <c r="R2" i="11" s="1"/>
  <c r="S5" i="11"/>
  <c r="S2" i="11" s="1"/>
  <c r="T5" i="11"/>
  <c r="T2" i="11" s="1"/>
  <c r="U5" i="11"/>
  <c r="U2" i="11" s="1"/>
  <c r="V5" i="11"/>
  <c r="V2" i="11" s="1"/>
  <c r="W5" i="11"/>
  <c r="W2" i="11" s="1"/>
  <c r="X5" i="11"/>
  <c r="X2" i="11" s="1"/>
  <c r="Y5" i="11"/>
  <c r="Y2" i="11" s="1"/>
  <c r="Z5" i="11"/>
  <c r="Z2" i="11" s="1"/>
  <c r="AA5" i="11"/>
  <c r="AA2" i="11" s="1"/>
  <c r="AB5" i="11"/>
  <c r="AB2" i="11" s="1"/>
  <c r="AC5" i="11"/>
  <c r="AC2" i="11" s="1"/>
  <c r="AD5" i="11"/>
  <c r="AD2" i="11" s="1"/>
  <c r="AE5" i="11"/>
  <c r="AE2" i="11" s="1"/>
  <c r="B5" i="13"/>
  <c r="B2" i="13" s="1"/>
  <c r="C5" i="13"/>
  <c r="C2" i="13" s="1"/>
  <c r="D5" i="13"/>
  <c r="D2" i="13" s="1"/>
  <c r="E5" i="13"/>
  <c r="E2" i="13" s="1"/>
  <c r="F5" i="13"/>
  <c r="F2" i="13" s="1"/>
  <c r="G5" i="13"/>
  <c r="G2" i="13" s="1"/>
  <c r="H5" i="13"/>
  <c r="H2" i="13" s="1"/>
  <c r="I5" i="13"/>
  <c r="I2" i="13" s="1"/>
  <c r="J5" i="13"/>
  <c r="J2" i="13" s="1"/>
  <c r="K5" i="13"/>
  <c r="K2" i="13" s="1"/>
  <c r="L5" i="13"/>
  <c r="L2" i="13" s="1"/>
  <c r="M5" i="13"/>
  <c r="M2" i="13" s="1"/>
  <c r="N5" i="13"/>
  <c r="N2" i="13" s="1"/>
  <c r="O5" i="13"/>
  <c r="O2" i="13" s="1"/>
  <c r="P5" i="13"/>
  <c r="P2" i="13" s="1"/>
  <c r="Q5" i="13"/>
  <c r="Q2" i="13" s="1"/>
  <c r="R5" i="13"/>
  <c r="R2" i="13" s="1"/>
  <c r="S5" i="13"/>
  <c r="S2" i="13" s="1"/>
  <c r="T5" i="13"/>
  <c r="T2" i="13" s="1"/>
  <c r="U5" i="13"/>
  <c r="U2" i="13" s="1"/>
  <c r="V5" i="13"/>
  <c r="V2" i="13" s="1"/>
  <c r="W5" i="13"/>
  <c r="W2" i="13" s="1"/>
  <c r="X5" i="13"/>
  <c r="X2" i="13" s="1"/>
  <c r="Y5" i="13"/>
  <c r="Y2" i="13" s="1"/>
  <c r="Z5" i="13"/>
  <c r="Z2" i="13" s="1"/>
  <c r="AA5" i="13"/>
  <c r="AA2" i="13" s="1"/>
  <c r="AB5" i="13"/>
  <c r="AB2" i="13" s="1"/>
  <c r="AC5" i="13"/>
  <c r="AC2" i="13" s="1"/>
  <c r="AD5" i="13"/>
  <c r="AD2" i="13" s="1"/>
  <c r="AE5" i="13"/>
  <c r="AE2" i="13" s="1"/>
  <c r="K8" i="11" l="1"/>
  <c r="U8" i="13"/>
  <c r="E8" i="13"/>
  <c r="AB8" i="11"/>
  <c r="I8" i="11"/>
  <c r="AA8" i="11"/>
  <c r="Y8" i="11"/>
  <c r="Q8" i="11"/>
  <c r="X8" i="13"/>
  <c r="O8" i="13"/>
  <c r="G8" i="13"/>
  <c r="U8" i="11"/>
  <c r="P8" i="13"/>
  <c r="M8" i="13"/>
  <c r="AC8" i="13"/>
  <c r="F8" i="13"/>
  <c r="V8" i="13"/>
  <c r="J8" i="11"/>
  <c r="R8" i="13"/>
  <c r="B8" i="13"/>
  <c r="Z8" i="11"/>
  <c r="B8" i="11"/>
  <c r="AD8" i="13"/>
  <c r="N8" i="13"/>
  <c r="R8" i="11"/>
  <c r="AA8" i="13"/>
  <c r="Z8" i="13"/>
  <c r="C8" i="13"/>
  <c r="K8" i="13"/>
  <c r="F8" i="11"/>
  <c r="T8" i="11"/>
  <c r="D8" i="11"/>
  <c r="J8" i="13"/>
  <c r="AE8" i="13"/>
  <c r="S8" i="13"/>
  <c r="H8" i="13"/>
  <c r="S8" i="11"/>
  <c r="C8" i="11"/>
  <c r="I8" i="13"/>
  <c r="H8" i="11"/>
  <c r="Q8" i="13"/>
  <c r="P8" i="11"/>
  <c r="E8" i="11"/>
  <c r="Y8" i="13"/>
  <c r="X8" i="11"/>
  <c r="N8" i="11"/>
  <c r="V8" i="11"/>
  <c r="M8" i="11"/>
  <c r="W8" i="13"/>
  <c r="AE8" i="11"/>
  <c r="W8" i="11"/>
  <c r="O8" i="11"/>
  <c r="G8" i="11"/>
  <c r="AD8" i="11"/>
  <c r="AC8" i="11"/>
  <c r="L8" i="11"/>
  <c r="AB8" i="13"/>
  <c r="T8" i="13"/>
  <c r="L8" i="13"/>
  <c r="D8" i="13"/>
  <c r="AL4" i="24"/>
  <c r="AK4" i="24" s="1"/>
  <c r="AJ4" i="24" s="1"/>
  <c r="AI4" i="24" s="1"/>
  <c r="AH4" i="24" s="1"/>
  <c r="AG4" i="24" s="1"/>
  <c r="AF4" i="24" s="1"/>
  <c r="AE4" i="24" s="1"/>
  <c r="AD4" i="24" s="1"/>
  <c r="AC4" i="24" s="1"/>
  <c r="AB4" i="24" s="1"/>
  <c r="AA4" i="24" s="1"/>
  <c r="Z4" i="24" s="1"/>
  <c r="Y4" i="24" s="1"/>
  <c r="X4" i="24" s="1"/>
  <c r="W4" i="24" s="1"/>
  <c r="V4" i="24" s="1"/>
  <c r="U4" i="24" s="1"/>
  <c r="T4" i="24" s="1"/>
  <c r="S4" i="24" s="1"/>
  <c r="R4" i="24" s="1"/>
  <c r="Q4" i="24" s="1"/>
  <c r="P4" i="24" s="1"/>
  <c r="O4" i="24" s="1"/>
  <c r="N4" i="24" s="1"/>
  <c r="M4" i="24" s="1"/>
  <c r="L4" i="24" s="1"/>
  <c r="AH3" i="24" a="1"/>
  <c r="AH3" i="24" s="1"/>
  <c r="AG3" i="24" a="1"/>
  <c r="AG3" i="24" s="1"/>
  <c r="AN3" i="24" a="1"/>
  <c r="AN3" i="24" s="1"/>
  <c r="AC3" i="24" a="1"/>
  <c r="AC3" i="24" s="1"/>
  <c r="AO3" i="24" a="1"/>
  <c r="AO3" i="24" s="1"/>
  <c r="AJ3" i="24" a="1"/>
  <c r="AJ3" i="24" s="1"/>
  <c r="AM3" i="24" a="1"/>
  <c r="AM3" i="24" s="1"/>
  <c r="AB3" i="24" a="1"/>
  <c r="AB3" i="24" s="1"/>
  <c r="AI3" i="24" a="1"/>
  <c r="AI3" i="24" s="1"/>
  <c r="AE3" i="24" a="1"/>
  <c r="AE3" i="24" s="1"/>
  <c r="AL3" i="24" a="1"/>
  <c r="AL3" i="24" s="1"/>
  <c r="AD3" i="24" a="1"/>
  <c r="AD3" i="24" s="1"/>
  <c r="AA3" i="24" a="1"/>
  <c r="AA3" i="24" s="1"/>
  <c r="AF3" i="24" a="1"/>
  <c r="AF3" i="24" s="1"/>
  <c r="AK3" i="24" a="1"/>
  <c r="AK3" i="2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<sst xmlns="http://schemas.openxmlformats.org/spreadsheetml/2006/main" count="291" uniqueCount="99">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</sst>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1" fontId="0" fillId="28" borderId="0" xfId="0" applyNumberFormat="1" applyFill="1"/>
    <xf numFmtId="0" fontId="0" fillId="28" borderId="0" xfId="0" applyFill="1"/>
    <xf numFmtId="11" fontId="41" fillId="0" borderId="0" xfId="0" applyNumberFormat="1" applyFont="1"/>
    <xf numFmtId="0" fontId="41" fillId="0" borderId="0" xfId="0" applyFon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11" fontId="43" fillId="0" borderId="0" xfId="0" applyNumberFormat="1" applyFont="1"/>
    <xf numFmtId="0" fontId="0" fillId="0" borderId="0" xfId="0" applyAlignment="1">
      <alignment horizontal="right" wrapText="1"/>
    </xf>
    <xf numFmtId="167" fontId="0" fillId="0" borderId="0" xfId="155" applyNumberFormat="1" applyFont="1"/>
    <xf numFmtId="11" fontId="0" fillId="29" borderId="0" xfId="0" applyNumberFormat="1" applyFill="1"/>
    <xf numFmtId="0" fontId="0" fillId="0" borderId="19" xfId="0" applyBorder="1"/>
    <xf numFmtId="0" fontId="0" fillId="0" borderId="0" xfId="154" applyNumberFormat="1" applyFont="1"/>
    <xf numFmtId="0" fontId="0" fillId="0" borderId="0" xfId="155" applyNumberFormat="1" applyFont="1"/>
    <xf numFmtId="11" fontId="0" fillId="30" borderId="0" xfId="0" applyNumberFormat="1" applyFill="1"/>
    <xf numFmtId="11" fontId="0" fillId="0" borderId="19" xfId="0" applyNumberFormat="1" applyBorder="1"/>
    <xf numFmtId="11" fontId="41" fillId="0" borderId="19" xfId="0" applyNumberFormat="1" applyFont="1" applyBorder="1"/>
    <xf numFmtId="0" fontId="41" fillId="0" borderId="19" xfId="0" applyFont="1" applyBorder="1"/>
    <xf numFmtId="0" fontId="43" fillId="0" borderId="0" xfId="0" applyFont="1"/>
    <xf numFmtId="43" fontId="0" fillId="0" borderId="0" xfId="154" applyFont="1"/>
    <xf numFmtId="0" fontId="0" fillId="0" borderId="0" xfId="0" applyNumberFormat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3.1779260113808729E-4</c:v>
                </c:pt>
                <c:pt idx="26" formatCode="0.00E+00">
                  <c:v>3.2133534064398227E-4</c:v>
                </c:pt>
                <c:pt idx="27" formatCode="0.00E+00">
                  <c:v>3.2487808014987726E-4</c:v>
                </c:pt>
                <c:pt idx="28" formatCode="0.00E+00">
                  <c:v>3.2842081965577224E-4</c:v>
                </c:pt>
                <c:pt idx="29" formatCode="0.00E+00">
                  <c:v>3.3196355916166722E-4</c:v>
                </c:pt>
                <c:pt idx="30" formatCode="0.00E+00">
                  <c:v>3.3550629866756221E-4</c:v>
                </c:pt>
                <c:pt idx="31" formatCode="0.00E+00">
                  <c:v>3.3904903817345719E-4</c:v>
                </c:pt>
                <c:pt idx="32" formatCode="0.00E+00">
                  <c:v>3.4259177767935218E-4</c:v>
                </c:pt>
                <c:pt idx="33" formatCode="0.00E+00">
                  <c:v>3.4613451718524716E-4</c:v>
                </c:pt>
                <c:pt idx="34" formatCode="0.00E+00">
                  <c:v>3.4967725669114214E-4</c:v>
                </c:pt>
                <c:pt idx="35" formatCode="0.00E+00">
                  <c:v>3.5321999619703713E-4</c:v>
                </c:pt>
                <c:pt idx="36" formatCode="0.00E+00">
                  <c:v>3.5676273570293211E-4</c:v>
                </c:pt>
                <c:pt idx="37" formatCode="0.00E+00">
                  <c:v>3.603054752088271E-4</c:v>
                </c:pt>
                <c:pt idx="38" formatCode="0.00E+00">
                  <c:v>3.6384821471472208E-4</c:v>
                </c:pt>
                <c:pt idx="39" formatCode="0.00E+00">
                  <c:v>3.6739095422061706E-4</c:v>
                </c:pt>
                <c:pt idx="40" formatCode="0.00E+00">
                  <c:v>3.7093369372651205E-4</c:v>
                </c:pt>
                <c:pt idx="41" formatCode="0.00E+00">
                  <c:v>3.7447643323240698E-4</c:v>
                </c:pt>
                <c:pt idx="42" formatCode="0.00E+00">
                  <c:v>3.9011286777709445E-4</c:v>
                </c:pt>
                <c:pt idx="43" formatCode="0.00E+00">
                  <c:v>3.973908333465341E-4</c:v>
                </c:pt>
                <c:pt idx="44" formatCode="0.00E+00">
                  <c:v>3.9921116827982341E-4</c:v>
                </c:pt>
                <c:pt idx="45" formatCode="0.00E+00">
                  <c:v>4.0474968459162865E-4</c:v>
                </c:pt>
                <c:pt idx="46" formatCode="0.00E+00">
                  <c:v>4.0866714086181205E-4</c:v>
                </c:pt>
                <c:pt idx="47" formatCode="0.00E+00">
                  <c:v>4.1165739618674141E-4</c:v>
                </c:pt>
                <c:pt idx="48" formatCode="0.00E+00">
                  <c:v>4.1453743818293512E-4</c:v>
                </c:pt>
                <c:pt idx="49" formatCode="0.00E+00">
                  <c:v>4.1476226395269379E-4</c:v>
                </c:pt>
                <c:pt idx="50" formatCode="0.00E+00">
                  <c:v>4.1467751199658729E-4</c:v>
                </c:pt>
                <c:pt idx="51" formatCode="0.00E+00">
                  <c:v>4.1774836203476703E-4</c:v>
                </c:pt>
                <c:pt idx="52" formatCode="0.00E+00">
                  <c:v>4.1834632264550211E-4</c:v>
                </c:pt>
                <c:pt idx="53" formatCode="0.00E+00">
                  <c:v>4.1983822558637316E-4</c:v>
                </c:pt>
                <c:pt idx="54" formatCode="0.00E+00">
                  <c:v>4.2130104966706447E-4</c:v>
                </c:pt>
                <c:pt idx="55" formatCode="0.00E+00">
                  <c:v>4.2281184411175634E-4</c:v>
                </c:pt>
                <c:pt idx="56" formatCode="0.00E+00">
                  <c:v>4.2360951790740064E-4</c:v>
                </c:pt>
                <c:pt idx="57" formatCode="0.00E+00">
                  <c:v>4.2374431078237557E-4</c:v>
                </c:pt>
                <c:pt idx="58" formatCode="0.00E+00">
                  <c:v>4.2455978231601869E-4</c:v>
                </c:pt>
                <c:pt idx="59" formatCode="0.00E+00">
                  <c:v>4.2499271222158055E-4</c:v>
                </c:pt>
                <c:pt idx="60" formatCode="0.00E+00">
                  <c:v>4.255977010533903E-4</c:v>
                </c:pt>
                <c:pt idx="61" formatCode="0.00E+00">
                  <c:v>4.259134403023234E-4</c:v>
                </c:pt>
                <c:pt idx="62" formatCode="0.00E+00">
                  <c:v>4.2644140225411056E-4</c:v>
                </c:pt>
                <c:pt idx="63" formatCode="0.00E+00">
                  <c:v>4.2668500307371869E-4</c:v>
                </c:pt>
                <c:pt idx="64" formatCode="0.00E+00">
                  <c:v>4.2678409185942635E-4</c:v>
                </c:pt>
                <c:pt idx="65" formatCode="0.00E+00">
                  <c:v>4.2712969246070032E-4</c:v>
                </c:pt>
                <c:pt idx="66" formatCode="0.00E+00">
                  <c:v>4.274732939624897E-4</c:v>
                </c:pt>
                <c:pt idx="67" formatCode="0.00E+00">
                  <c:v>4.2842378634895789E-4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6.2736507518388511E-5</c:v>
                </c:pt>
                <c:pt idx="25" formatCode="0.00E+00">
                  <c:v>6.3701994710036553E-5</c:v>
                </c:pt>
                <c:pt idx="26" formatCode="0.00E+00">
                  <c:v>6.4667481901684379E-5</c:v>
                </c:pt>
                <c:pt idx="27" formatCode="0.00E+00">
                  <c:v>6.5632969093332421E-5</c:v>
                </c:pt>
                <c:pt idx="28" formatCode="0.00E+00">
                  <c:v>6.6598456284980246E-5</c:v>
                </c:pt>
                <c:pt idx="29" formatCode="0.00E+00">
                  <c:v>6.7563943476628288E-5</c:v>
                </c:pt>
                <c:pt idx="30" formatCode="0.00E+00">
                  <c:v>6.8529430668276114E-5</c:v>
                </c:pt>
                <c:pt idx="31" formatCode="0.00E+00">
                  <c:v>6.9494917859924156E-5</c:v>
                </c:pt>
                <c:pt idx="32" formatCode="0.00E+00">
                  <c:v>7.0460405051572198E-5</c:v>
                </c:pt>
                <c:pt idx="33" formatCode="0.00E+00">
                  <c:v>7.1425892243220023E-5</c:v>
                </c:pt>
                <c:pt idx="34" formatCode="0.00E+00">
                  <c:v>7.2391379434868066E-5</c:v>
                </c:pt>
                <c:pt idx="35" formatCode="0.00E+00">
                  <c:v>7.3356866626515891E-5</c:v>
                </c:pt>
                <c:pt idx="36" formatCode="0.00E+00">
                  <c:v>7.4322353818163933E-5</c:v>
                </c:pt>
                <c:pt idx="37" formatCode="0.00E+00">
                  <c:v>7.5287841009811758E-5</c:v>
                </c:pt>
                <c:pt idx="38" formatCode="0.00E+00">
                  <c:v>7.6253328201459801E-5</c:v>
                </c:pt>
                <c:pt idx="39" formatCode="0.00E+00">
                  <c:v>7.6915445435660028E-5</c:v>
                </c:pt>
                <c:pt idx="40" formatCode="0.00E+00">
                  <c:v>7.8010948323356793E-5</c:v>
                </c:pt>
                <c:pt idx="41" formatCode="0.00E+00">
                  <c:v>7.9492494824774367E-5</c:v>
                </c:pt>
                <c:pt idx="42" formatCode="0.00E+00">
                  <c:v>7.9975948644702701E-5</c:v>
                </c:pt>
                <c:pt idx="43" formatCode="0.00E+00">
                  <c:v>8.1024722706877106E-5</c:v>
                </c:pt>
                <c:pt idx="44" formatCode="0.00E+00">
                  <c:v>8.2072270340545126E-5</c:v>
                </c:pt>
                <c:pt idx="45" formatCode="0.00E+00">
                  <c:v>8.3921848415336979E-5</c:v>
                </c:pt>
                <c:pt idx="46" formatCode="0.00E+00">
                  <c:v>8.424008288356597E-5</c:v>
                </c:pt>
                <c:pt idx="47" formatCode="0.00E+00">
                  <c:v>8.5145457355772448E-5</c:v>
                </c:pt>
                <c:pt idx="48" formatCode="0.00E+00">
                  <c:v>8.6269511754863824E-5</c:v>
                </c:pt>
                <c:pt idx="49" formatCode="0.00E+00">
                  <c:v>8.7316787399673934E-5</c:v>
                </c:pt>
                <c:pt idx="50" formatCode="0.00E+00">
                  <c:v>8.7981217262129169E-5</c:v>
                </c:pt>
                <c:pt idx="51" formatCode="0.00E+00">
                  <c:v>8.8870744349267236E-5</c:v>
                </c:pt>
                <c:pt idx="52" formatCode="0.00E+00">
                  <c:v>8.9949247005972088E-5</c:v>
                </c:pt>
                <c:pt idx="53" formatCode="0.00E+00">
                  <c:v>9.0831024253729272E-5</c:v>
                </c:pt>
                <c:pt idx="54" formatCode="0.00E+00">
                  <c:v>9.1579110752047641E-5</c:v>
                </c:pt>
                <c:pt idx="55" formatCode="0.00E+00">
                  <c:v>9.2403640539502613E-5</c:v>
                </c:pt>
                <c:pt idx="56" formatCode="0.00E+00">
                  <c:v>9.319851514165077E-5</c:v>
                </c:pt>
                <c:pt idx="57" formatCode="0.00E+00">
                  <c:v>9.3891059740218658E-5</c:v>
                </c:pt>
                <c:pt idx="58" formatCode="0.00E+00">
                  <c:v>9.5047122599296139E-5</c:v>
                </c:pt>
                <c:pt idx="59" formatCode="0.00E+00">
                  <c:v>9.6059950070461278E-5</c:v>
                </c:pt>
                <c:pt idx="60" formatCode="0.00E+00">
                  <c:v>9.7048480369583043E-5</c:v>
                </c:pt>
                <c:pt idx="61" formatCode="0.00E+00">
                  <c:v>9.7649579603605602E-5</c:v>
                </c:pt>
                <c:pt idx="62" formatCode="0.00E+00">
                  <c:v>9.8224460923876486E-5</c:v>
                </c:pt>
                <c:pt idx="63" formatCode="0.00E+00">
                  <c:v>9.8795624738493866E-5</c:v>
                </c:pt>
                <c:pt idx="64" formatCode="0.00E+00">
                  <c:v>9.9479244599585216E-5</c:v>
                </c:pt>
                <c:pt idx="65" formatCode="0.00E+00">
                  <c:v>9.9975448040260604E-5</c:v>
                </c:pt>
                <c:pt idx="66" formatCode="0.00E+00">
                  <c:v>1.0044050579002983E-4</c:v>
                </c:pt>
                <c:pt idx="67" formatCode="0.00E+00">
                  <c:v>1.0101640935179317E-4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Extrapolations!$C$4:$BR$4</c:f>
              <c:numCache>
                <c:formatCode>General</c:formatCode>
                <c:ptCount val="68"/>
                <c:pt idx="9" formatCode="0.00E+00">
                  <c:v>9.8438896867039508E-4</c:v>
                </c:pt>
                <c:pt idx="10" formatCode="0.00E+00">
                  <c:v>9.8438896867039508E-4</c:v>
                </c:pt>
                <c:pt idx="11" formatCode="0.00E+00">
                  <c:v>9.8438896867039508E-4</c:v>
                </c:pt>
                <c:pt idx="12" formatCode="0.00E+00">
                  <c:v>9.8438896867039508E-4</c:v>
                </c:pt>
                <c:pt idx="13" formatCode="0.00E+00">
                  <c:v>9.8438896867039508E-4</c:v>
                </c:pt>
                <c:pt idx="14" formatCode="0.00E+00">
                  <c:v>9.8438896867039508E-4</c:v>
                </c:pt>
                <c:pt idx="15" formatCode="0.00E+00">
                  <c:v>9.8438896867039508E-4</c:v>
                </c:pt>
                <c:pt idx="16" formatCode="0.00E+00">
                  <c:v>9.8438896867039508E-4</c:v>
                </c:pt>
                <c:pt idx="17" formatCode="0.00E+00">
                  <c:v>9.8438896867039508E-4</c:v>
                </c:pt>
                <c:pt idx="18" formatCode="0.00E+00">
                  <c:v>9.8438896867039508E-4</c:v>
                </c:pt>
                <c:pt idx="19" formatCode="0.00E+00">
                  <c:v>9.8438896867039508E-4</c:v>
                </c:pt>
                <c:pt idx="20" formatCode="0.00E+00">
                  <c:v>9.8557760355181558E-4</c:v>
                </c:pt>
                <c:pt idx="21" formatCode="0.00E+00">
                  <c:v>9.8676623843323608E-4</c:v>
                </c:pt>
                <c:pt idx="22" formatCode="0.00E+00">
                  <c:v>9.8795487331465657E-4</c:v>
                </c:pt>
                <c:pt idx="23" formatCode="0.00E+00">
                  <c:v>9.8914350819607707E-4</c:v>
                </c:pt>
                <c:pt idx="24" formatCode="0.00E+00">
                  <c:v>9.9033214307749757E-4</c:v>
                </c:pt>
                <c:pt idx="25" formatCode="0.00E+00">
                  <c:v>9.9152077795891806E-4</c:v>
                </c:pt>
                <c:pt idx="26" formatCode="0.00E+00">
                  <c:v>9.9270941284033856E-4</c:v>
                </c:pt>
                <c:pt idx="27" formatCode="0.00E+00">
                  <c:v>9.9389804772175906E-4</c:v>
                </c:pt>
                <c:pt idx="28" formatCode="0.00E+00">
                  <c:v>9.9508668260317955E-4</c:v>
                </c:pt>
                <c:pt idx="29" formatCode="0.00E+00">
                  <c:v>9.9627531748460005E-4</c:v>
                </c:pt>
                <c:pt idx="30" formatCode="0.00E+00">
                  <c:v>9.9746395236602055E-4</c:v>
                </c:pt>
                <c:pt idx="31" formatCode="0.00E+00">
                  <c:v>9.9865258724744104E-4</c:v>
                </c:pt>
                <c:pt idx="32" formatCode="0.00E+00">
                  <c:v>9.9984122212886154E-4</c:v>
                </c:pt>
                <c:pt idx="33" formatCode="0.00E+00">
                  <c:v>1.001029857010282E-3</c:v>
                </c:pt>
                <c:pt idx="34" formatCode="0.00E+00">
                  <c:v>1.0022184918917025E-3</c:v>
                </c:pt>
                <c:pt idx="35" formatCode="0.00E+00">
                  <c:v>1.003407126773123E-3</c:v>
                </c:pt>
                <c:pt idx="36" formatCode="0.00E+00">
                  <c:v>1.0045957616545435E-3</c:v>
                </c:pt>
                <c:pt idx="37" formatCode="0.00E+00">
                  <c:v>1.005784396535964E-3</c:v>
                </c:pt>
                <c:pt idx="38" formatCode="0.00E+00">
                  <c:v>1.0069730314173845E-3</c:v>
                </c:pt>
                <c:pt idx="39" formatCode="0.00E+00">
                  <c:v>1.008161666298805E-3</c:v>
                </c:pt>
                <c:pt idx="40" formatCode="0.00E+00">
                  <c:v>1.0105389360616456E-3</c:v>
                </c:pt>
                <c:pt idx="41" formatCode="0.00E+00">
                  <c:v>1.0071619859986915E-3</c:v>
                </c:pt>
                <c:pt idx="42" formatCode="0.00E+00">
                  <c:v>1.0297946332597221E-3</c:v>
                </c:pt>
                <c:pt idx="43" formatCode="0.00E+00">
                  <c:v>1.0542694402792506E-3</c:v>
                </c:pt>
                <c:pt idx="44" formatCode="0.00E+00">
                  <c:v>1.0790300186124084E-3</c:v>
                </c:pt>
                <c:pt idx="45" formatCode="0.00E+00">
                  <c:v>1.1024390235193078E-3</c:v>
                </c:pt>
                <c:pt idx="46" formatCode="0.00E+00">
                  <c:v>1.1250162796311157E-3</c:v>
                </c:pt>
                <c:pt idx="47" formatCode="0.00E+00">
                  <c:v>1.1437364311026228E-3</c:v>
                </c:pt>
                <c:pt idx="48" formatCode="0.00E+00">
                  <c:v>1.1601755544794832E-3</c:v>
                </c:pt>
                <c:pt idx="49" formatCode="0.00E+00">
                  <c:v>1.1731175422229271E-3</c:v>
                </c:pt>
                <c:pt idx="50" formatCode="0.00E+00">
                  <c:v>1.1829709958873008E-3</c:v>
                </c:pt>
                <c:pt idx="51" formatCode="0.00E+00">
                  <c:v>1.1904376346468411E-3</c:v>
                </c:pt>
                <c:pt idx="52" formatCode="0.00E+00">
                  <c:v>1.1951266350083583E-3</c:v>
                </c:pt>
                <c:pt idx="53" formatCode="0.00E+00">
                  <c:v>1.1954817554531098E-3</c:v>
                </c:pt>
                <c:pt idx="54" formatCode="0.00E+00">
                  <c:v>1.1956768733474535E-3</c:v>
                </c:pt>
                <c:pt idx="55" formatCode="0.00E+00">
                  <c:v>1.1953490811620006E-3</c:v>
                </c:pt>
                <c:pt idx="56" formatCode="0.00E+00">
                  <c:v>1.195614135891968E-3</c:v>
                </c:pt>
                <c:pt idx="57" formatCode="0.00E+00">
                  <c:v>1.1955621240436263E-3</c:v>
                </c:pt>
                <c:pt idx="58" formatCode="0.00E+00">
                  <c:v>1.1954516355974314E-3</c:v>
                </c:pt>
                <c:pt idx="59" formatCode="0.00E+00">
                  <c:v>1.1954450239217949E-3</c:v>
                </c:pt>
                <c:pt idx="60" formatCode="0.00E+00">
                  <c:v>1.1950872588067892E-3</c:v>
                </c:pt>
                <c:pt idx="61" formatCode="0.00E+00">
                  <c:v>1.1949745664687152E-3</c:v>
                </c:pt>
                <c:pt idx="62" formatCode="0.00E+00">
                  <c:v>1.1948443899217356E-3</c:v>
                </c:pt>
                <c:pt idx="63" formatCode="0.00E+00">
                  <c:v>1.1946410441643772E-3</c:v>
                </c:pt>
                <c:pt idx="64" formatCode="0.00E+00">
                  <c:v>1.1944371107025177E-3</c:v>
                </c:pt>
                <c:pt idx="65" formatCode="0.00E+00">
                  <c:v>1.193589934664274E-3</c:v>
                </c:pt>
                <c:pt idx="66" formatCode="0.00E+00">
                  <c:v>1.1933357524675759E-3</c:v>
                </c:pt>
                <c:pt idx="67" formatCode="0.00E+00">
                  <c:v>1.1931159509841881E-3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7.8134709903309753E-4</c:v>
                </c:pt>
                <c:pt idx="21" formatCode="0.00E+00">
                  <c:v>7.8228942606352163E-4</c:v>
                </c:pt>
                <c:pt idx="22" formatCode="0.00E+00">
                  <c:v>7.8323175309394572E-4</c:v>
                </c:pt>
                <c:pt idx="23" formatCode="0.00E+00">
                  <c:v>7.8417408012436982E-4</c:v>
                </c:pt>
                <c:pt idx="24" formatCode="0.00E+00">
                  <c:v>7.8511640715479391E-4</c:v>
                </c:pt>
                <c:pt idx="25" formatCode="0.00E+00">
                  <c:v>7.8605873418521801E-4</c:v>
                </c:pt>
                <c:pt idx="26" formatCode="0.00E+00">
                  <c:v>7.870010612156421E-4</c:v>
                </c:pt>
                <c:pt idx="27" formatCode="0.00E+00">
                  <c:v>7.879433882460662E-4</c:v>
                </c:pt>
                <c:pt idx="28" formatCode="0.00E+00">
                  <c:v>7.8888571527649029E-4</c:v>
                </c:pt>
                <c:pt idx="29" formatCode="0.00E+00">
                  <c:v>7.8982804230691439E-4</c:v>
                </c:pt>
                <c:pt idx="30" formatCode="0.00E+00">
                  <c:v>7.9077036933733848E-4</c:v>
                </c:pt>
                <c:pt idx="31" formatCode="0.00E+00">
                  <c:v>7.9171269636776258E-4</c:v>
                </c:pt>
                <c:pt idx="32" formatCode="0.00E+00">
                  <c:v>7.9265502339818667E-4</c:v>
                </c:pt>
                <c:pt idx="33" formatCode="0.00E+00">
                  <c:v>7.9359735042861077E-4</c:v>
                </c:pt>
                <c:pt idx="34" formatCode="0.00E+00">
                  <c:v>7.9453967745903486E-4</c:v>
                </c:pt>
                <c:pt idx="35" formatCode="0.00E+00">
                  <c:v>7.9548200448945896E-4</c:v>
                </c:pt>
                <c:pt idx="36" formatCode="0.00E+00">
                  <c:v>7.9642433151988306E-4</c:v>
                </c:pt>
                <c:pt idx="37" formatCode="0.00E+00">
                  <c:v>7.9736665855030715E-4</c:v>
                </c:pt>
                <c:pt idx="38" formatCode="0.00E+00">
                  <c:v>7.9830898558073125E-4</c:v>
                </c:pt>
                <c:pt idx="39" formatCode="0.00E+00">
                  <c:v>7.9925131261115534E-4</c:v>
                </c:pt>
                <c:pt idx="40" formatCode="0.00E+00">
                  <c:v>8.0113596667200321E-4</c:v>
                </c:pt>
                <c:pt idx="41" formatCode="0.00E+00">
                  <c:v>7.9845878516365723E-4</c:v>
                </c:pt>
                <c:pt idx="42" formatCode="0.00E+00">
                  <c:v>8.1640151561645602E-4</c:v>
                </c:pt>
                <c:pt idx="43" formatCode="0.00E+00">
                  <c:v>8.3580467513954908E-4</c:v>
                </c:pt>
                <c:pt idx="44" formatCode="0.00E+00">
                  <c:v>8.5543438870170133E-4</c:v>
                </c:pt>
                <c:pt idx="45" formatCode="0.00E+00">
                  <c:v>8.7399260066729594E-4</c:v>
                </c:pt>
                <c:pt idx="46" formatCode="0.00E+00">
                  <c:v>8.9189141807499185E-4</c:v>
                </c:pt>
                <c:pt idx="47" formatCode="0.00E+00">
                  <c:v>9.0673239659663221E-4</c:v>
                </c:pt>
                <c:pt idx="48" formatCode="0.00E+00">
                  <c:v>9.1976501961370109E-4</c:v>
                </c:pt>
                <c:pt idx="49" formatCode="0.00E+00">
                  <c:v>9.3002518029777076E-4</c:v>
                </c:pt>
                <c:pt idx="50" formatCode="0.00E+00">
                  <c:v>9.3783681015661687E-4</c:v>
                </c:pt>
                <c:pt idx="51" formatCode="0.00E+00">
                  <c:v>9.4375621874836048E-4</c:v>
                </c:pt>
                <c:pt idx="52" formatCode="0.00E+00">
                  <c:v>9.4747356867254048E-4</c:v>
                </c:pt>
                <c:pt idx="53" formatCode="0.00E+00">
                  <c:v>9.4775510137814763E-4</c:v>
                </c:pt>
                <c:pt idx="54" formatCode="0.00E+00">
                  <c:v>9.4790978711792664E-4</c:v>
                </c:pt>
                <c:pt idx="55" formatCode="0.00E+00">
                  <c:v>9.4764991973430679E-4</c:v>
                </c:pt>
                <c:pt idx="56" formatCode="0.00E+00">
                  <c:v>9.4786005006153686E-4</c:v>
                </c:pt>
                <c:pt idx="57" formatCode="0.00E+00">
                  <c:v>9.4781881606162595E-4</c:v>
                </c:pt>
                <c:pt idx="58" formatCode="0.00E+00">
                  <c:v>9.4773122293187136E-4</c:v>
                </c:pt>
                <c:pt idx="59" formatCode="0.00E+00">
                  <c:v>9.4772598132171319E-4</c:v>
                </c:pt>
                <c:pt idx="60" formatCode="0.00E+00">
                  <c:v>9.4744235197204304E-4</c:v>
                </c:pt>
                <c:pt idx="61" formatCode="0.00E+00">
                  <c:v>9.4735301163890236E-4</c:v>
                </c:pt>
                <c:pt idx="62" formatCode="0.00E+00">
                  <c:v>9.4724981015889911E-4</c:v>
                </c:pt>
                <c:pt idx="63" formatCode="0.00E+00">
                  <c:v>9.4708860152647881E-4</c:v>
                </c:pt>
                <c:pt idx="64" formatCode="0.00E+00">
                  <c:v>9.4692692697315531E-4</c:v>
                </c:pt>
                <c:pt idx="65" formatCode="0.00E+00">
                  <c:v>9.4625530199155417E-4</c:v>
                </c:pt>
                <c:pt idx="66" formatCode="0.00E+00">
                  <c:v>9.4605379120102872E-4</c:v>
                </c:pt>
                <c:pt idx="67" formatCode="0.00E+00">
                  <c:v>9.4587953678332564E-4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4.3905417607014065E-4</c:v>
                </c:pt>
                <c:pt idx="14" formatCode="0.00E+00">
                  <c:v>4.3905417607014065E-4</c:v>
                </c:pt>
                <c:pt idx="15" formatCode="0.00E+00">
                  <c:v>4.3905417607014065E-4</c:v>
                </c:pt>
                <c:pt idx="16" formatCode="0.00E+00">
                  <c:v>4.3905417607014065E-4</c:v>
                </c:pt>
                <c:pt idx="17" formatCode="0.00E+00">
                  <c:v>4.3905417607014065E-4</c:v>
                </c:pt>
                <c:pt idx="18" formatCode="0.00E+00">
                  <c:v>4.3905417607014065E-4</c:v>
                </c:pt>
                <c:pt idx="19" formatCode="0.00E+00">
                  <c:v>4.3905417607014065E-4</c:v>
                </c:pt>
                <c:pt idx="20" formatCode="0.00E+00">
                  <c:v>4.3905417607014065E-4</c:v>
                </c:pt>
                <c:pt idx="21" formatCode="0.00E+00">
                  <c:v>4.3905417607014065E-4</c:v>
                </c:pt>
                <c:pt idx="22" formatCode="0.00E+00">
                  <c:v>4.3905417607014065E-4</c:v>
                </c:pt>
                <c:pt idx="23" formatCode="0.00E+00">
                  <c:v>4.3905417607014065E-4</c:v>
                </c:pt>
                <c:pt idx="24" formatCode="0.00E+00">
                  <c:v>4.3905417607014065E-4</c:v>
                </c:pt>
                <c:pt idx="25" formatCode="0.00E+00">
                  <c:v>4.3905417607014065E-4</c:v>
                </c:pt>
                <c:pt idx="26" formatCode="0.00E+00">
                  <c:v>4.3905417607014065E-4</c:v>
                </c:pt>
                <c:pt idx="27" formatCode="0.00E+00">
                  <c:v>4.3905417607014065E-4</c:v>
                </c:pt>
                <c:pt idx="28" formatCode="0.00E+00">
                  <c:v>4.3905417607014065E-4</c:v>
                </c:pt>
                <c:pt idx="29" formatCode="0.00E+00">
                  <c:v>4.3905417607014065E-4</c:v>
                </c:pt>
                <c:pt idx="30" formatCode="0.00E+00">
                  <c:v>4.3905417607014065E-4</c:v>
                </c:pt>
                <c:pt idx="31" formatCode="0.00E+00">
                  <c:v>4.3905417607014065E-4</c:v>
                </c:pt>
                <c:pt idx="32" formatCode="0.00E+00">
                  <c:v>4.3905417607014065E-4</c:v>
                </c:pt>
                <c:pt idx="33" formatCode="0.00E+00">
                  <c:v>4.3905417607014065E-4</c:v>
                </c:pt>
                <c:pt idx="34" formatCode="0.00E+00">
                  <c:v>4.3905417607014065E-4</c:v>
                </c:pt>
                <c:pt idx="35" formatCode="0.00E+00">
                  <c:v>4.3905417607014065E-4</c:v>
                </c:pt>
                <c:pt idx="36" formatCode="0.00E+00">
                  <c:v>4.3905417607014065E-4</c:v>
                </c:pt>
                <c:pt idx="37" formatCode="0.00E+00">
                  <c:v>4.3905417607014065E-4</c:v>
                </c:pt>
                <c:pt idx="38" formatCode="0.00E+00">
                  <c:v>4.3905417607014065E-4</c:v>
                </c:pt>
                <c:pt idx="39" formatCode="0.00E+00">
                  <c:v>4.3905417607014065E-4</c:v>
                </c:pt>
                <c:pt idx="40" formatCode="0.00E+00">
                  <c:v>4.390541760701407E-4</c:v>
                </c:pt>
                <c:pt idx="41" formatCode="0.00E+00">
                  <c:v>4.390541760701407E-4</c:v>
                </c:pt>
                <c:pt idx="42" formatCode="0.00E+00">
                  <c:v>4.390541760701407E-4</c:v>
                </c:pt>
                <c:pt idx="43" formatCode="0.00E+00">
                  <c:v>4.390541760701407E-4</c:v>
                </c:pt>
                <c:pt idx="44" formatCode="0.00E+00">
                  <c:v>4.390541760701407E-4</c:v>
                </c:pt>
                <c:pt idx="45" formatCode="0.00E+00">
                  <c:v>4.390541760701407E-4</c:v>
                </c:pt>
                <c:pt idx="46" formatCode="0.00E+00">
                  <c:v>4.390541760701407E-4</c:v>
                </c:pt>
                <c:pt idx="47" formatCode="0.00E+00">
                  <c:v>4.390541760701407E-4</c:v>
                </c:pt>
                <c:pt idx="48" formatCode="0.00E+00">
                  <c:v>4.390541760701407E-4</c:v>
                </c:pt>
                <c:pt idx="49" formatCode="0.00E+00">
                  <c:v>4.390541760701407E-4</c:v>
                </c:pt>
                <c:pt idx="50" formatCode="0.00E+00">
                  <c:v>4.390541760701407E-4</c:v>
                </c:pt>
                <c:pt idx="51" formatCode="0.00E+00">
                  <c:v>4.390541760701407E-4</c:v>
                </c:pt>
                <c:pt idx="52" formatCode="0.00E+00">
                  <c:v>4.390541760701407E-4</c:v>
                </c:pt>
                <c:pt idx="53" formatCode="0.00E+00">
                  <c:v>4.390541760701407E-4</c:v>
                </c:pt>
                <c:pt idx="54" formatCode="0.00E+00">
                  <c:v>4.390541760701407E-4</c:v>
                </c:pt>
                <c:pt idx="55" formatCode="0.00E+00">
                  <c:v>4.390541760701407E-4</c:v>
                </c:pt>
                <c:pt idx="56" formatCode="0.00E+00">
                  <c:v>4.390541760701407E-4</c:v>
                </c:pt>
                <c:pt idx="57" formatCode="0.00E+00">
                  <c:v>4.390541760701407E-4</c:v>
                </c:pt>
                <c:pt idx="58" formatCode="0.00E+00">
                  <c:v>4.390541760701407E-4</c:v>
                </c:pt>
                <c:pt idx="59" formatCode="0.00E+00">
                  <c:v>4.390541760701407E-4</c:v>
                </c:pt>
                <c:pt idx="60" formatCode="0.00E+00">
                  <c:v>4.390541760701407E-4</c:v>
                </c:pt>
                <c:pt idx="61" formatCode="0.00E+00">
                  <c:v>4.390541760701407E-4</c:v>
                </c:pt>
                <c:pt idx="62" formatCode="0.00E+00">
                  <c:v>4.390541760701407E-4</c:v>
                </c:pt>
                <c:pt idx="63" formatCode="0.00E+00">
                  <c:v>4.390541760701407E-4</c:v>
                </c:pt>
                <c:pt idx="64" formatCode="0.00E+00">
                  <c:v>4.390541760701407E-4</c:v>
                </c:pt>
                <c:pt idx="65" formatCode="0.00E+00">
                  <c:v>4.390541760701407E-4</c:v>
                </c:pt>
                <c:pt idx="66" formatCode="0.00E+00">
                  <c:v>4.390541760701407E-4</c:v>
                </c:pt>
                <c:pt idx="67" formatCode="0.00E+00">
                  <c:v>4.390541760701407E-4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1.5492656753114542E-4</c:v>
                </c:pt>
                <c:pt idx="14" formatCode="0.00E+00">
                  <c:v>1.5492656753114542E-4</c:v>
                </c:pt>
                <c:pt idx="15" formatCode="0.00E+00">
                  <c:v>1.5492656753114542E-4</c:v>
                </c:pt>
                <c:pt idx="16" formatCode="0.00E+00">
                  <c:v>1.5492656753114542E-4</c:v>
                </c:pt>
                <c:pt idx="17" formatCode="0.00E+00">
                  <c:v>1.5492656753114542E-4</c:v>
                </c:pt>
                <c:pt idx="18" formatCode="0.00E+00">
                  <c:v>1.5492656753114542E-4</c:v>
                </c:pt>
                <c:pt idx="19" formatCode="0.00E+00">
                  <c:v>1.5492656753114542E-4</c:v>
                </c:pt>
                <c:pt idx="20" formatCode="0.00E+00">
                  <c:v>1.5492656753114542E-4</c:v>
                </c:pt>
                <c:pt idx="21" formatCode="0.00E+00">
                  <c:v>1.5492656753114542E-4</c:v>
                </c:pt>
                <c:pt idx="22" formatCode="0.00E+00">
                  <c:v>1.5492656753114542E-4</c:v>
                </c:pt>
                <c:pt idx="23" formatCode="0.00E+00">
                  <c:v>1.5492656753114542E-4</c:v>
                </c:pt>
                <c:pt idx="24" formatCode="0.00E+00">
                  <c:v>1.5492656753114542E-4</c:v>
                </c:pt>
                <c:pt idx="25" formatCode="0.00E+00">
                  <c:v>1.5492656753114542E-4</c:v>
                </c:pt>
                <c:pt idx="26" formatCode="0.00E+00">
                  <c:v>1.5492656753114542E-4</c:v>
                </c:pt>
                <c:pt idx="27" formatCode="0.00E+00">
                  <c:v>1.5492656753114542E-4</c:v>
                </c:pt>
                <c:pt idx="28" formatCode="0.00E+00">
                  <c:v>1.5492656753114542E-4</c:v>
                </c:pt>
                <c:pt idx="29" formatCode="0.00E+00">
                  <c:v>1.5492656753114542E-4</c:v>
                </c:pt>
                <c:pt idx="30" formatCode="0.00E+00">
                  <c:v>1.5492656753114542E-4</c:v>
                </c:pt>
                <c:pt idx="31" formatCode="0.00E+00">
                  <c:v>1.5492656753114542E-4</c:v>
                </c:pt>
                <c:pt idx="32" formatCode="0.00E+00">
                  <c:v>1.5492656753114542E-4</c:v>
                </c:pt>
                <c:pt idx="33" formatCode="0.00E+00">
                  <c:v>1.5492656753114542E-4</c:v>
                </c:pt>
                <c:pt idx="34" formatCode="0.00E+00">
                  <c:v>1.5492656753114542E-4</c:v>
                </c:pt>
                <c:pt idx="35" formatCode="0.00E+00">
                  <c:v>1.5492656753114542E-4</c:v>
                </c:pt>
                <c:pt idx="36" formatCode="0.00E+00">
                  <c:v>1.5492656753114542E-4</c:v>
                </c:pt>
                <c:pt idx="37" formatCode="0.00E+00">
                  <c:v>1.5492656753114542E-4</c:v>
                </c:pt>
                <c:pt idx="38" formatCode="0.00E+00">
                  <c:v>1.5492656753114542E-4</c:v>
                </c:pt>
                <c:pt idx="39" formatCode="0.00E+00">
                  <c:v>1.5492656753114542E-4</c:v>
                </c:pt>
                <c:pt idx="40" formatCode="0.00E+00">
                  <c:v>1.5492656753114542E-4</c:v>
                </c:pt>
                <c:pt idx="41" formatCode="0.00E+00">
                  <c:v>1.5492656753114542E-4</c:v>
                </c:pt>
                <c:pt idx="42" formatCode="0.00E+00">
                  <c:v>1.5492656753114542E-4</c:v>
                </c:pt>
                <c:pt idx="43" formatCode="0.00E+00">
                  <c:v>1.5492656753114542E-4</c:v>
                </c:pt>
                <c:pt idx="44" formatCode="0.00E+00">
                  <c:v>1.5492656753114542E-4</c:v>
                </c:pt>
                <c:pt idx="45" formatCode="0.00E+00">
                  <c:v>1.5492656753114542E-4</c:v>
                </c:pt>
                <c:pt idx="46" formatCode="0.00E+00">
                  <c:v>1.5492656753114542E-4</c:v>
                </c:pt>
                <c:pt idx="47" formatCode="0.00E+00">
                  <c:v>1.5492656753114542E-4</c:v>
                </c:pt>
                <c:pt idx="48" formatCode="0.00E+00">
                  <c:v>1.5492656753114542E-4</c:v>
                </c:pt>
                <c:pt idx="49" formatCode="0.00E+00">
                  <c:v>1.5492656753114542E-4</c:v>
                </c:pt>
                <c:pt idx="50" formatCode="0.00E+00">
                  <c:v>1.5492656753114542E-4</c:v>
                </c:pt>
                <c:pt idx="51" formatCode="0.00E+00">
                  <c:v>1.5492656753114542E-4</c:v>
                </c:pt>
                <c:pt idx="52" formatCode="0.00E+00">
                  <c:v>1.5492656753114542E-4</c:v>
                </c:pt>
                <c:pt idx="53" formatCode="0.00E+00">
                  <c:v>1.5492656753114542E-4</c:v>
                </c:pt>
                <c:pt idx="54" formatCode="0.00E+00">
                  <c:v>1.5492656753114542E-4</c:v>
                </c:pt>
                <c:pt idx="55" formatCode="0.00E+00">
                  <c:v>1.5492656753114542E-4</c:v>
                </c:pt>
                <c:pt idx="56" formatCode="0.00E+00">
                  <c:v>1.5492656753114542E-4</c:v>
                </c:pt>
                <c:pt idx="57" formatCode="0.00E+00">
                  <c:v>1.5492656753114542E-4</c:v>
                </c:pt>
                <c:pt idx="58" formatCode="0.00E+00">
                  <c:v>1.5492656753114542E-4</c:v>
                </c:pt>
                <c:pt idx="59" formatCode="0.00E+00">
                  <c:v>1.5492656753114542E-4</c:v>
                </c:pt>
                <c:pt idx="60" formatCode="0.00E+00">
                  <c:v>1.5492656753114542E-4</c:v>
                </c:pt>
                <c:pt idx="61" formatCode="0.00E+00">
                  <c:v>1.5492656753114542E-4</c:v>
                </c:pt>
                <c:pt idx="62" formatCode="0.00E+00">
                  <c:v>1.5492656753114542E-4</c:v>
                </c:pt>
                <c:pt idx="63" formatCode="0.00E+00">
                  <c:v>1.5492656753114542E-4</c:v>
                </c:pt>
                <c:pt idx="64" formatCode="0.00E+00">
                  <c:v>1.5492656753114542E-4</c:v>
                </c:pt>
                <c:pt idx="65" formatCode="0.00E+00">
                  <c:v>1.5492656753114542E-4</c:v>
                </c:pt>
                <c:pt idx="66" formatCode="0.00E+00">
                  <c:v>1.5492656753114542E-4</c:v>
                </c:pt>
                <c:pt idx="67" formatCode="0.00E+00">
                  <c:v>1.5492656753114542E-4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7.1745362435245036E-5</c:v>
                </c:pt>
                <c:pt idx="4" formatCode="0.00E+00">
                  <c:v>7.1745362435245036E-5</c:v>
                </c:pt>
                <c:pt idx="5" formatCode="0.00E+00">
                  <c:v>7.1745362435245036E-5</c:v>
                </c:pt>
                <c:pt idx="6" formatCode="0.00E+00">
                  <c:v>7.1745362435245036E-5</c:v>
                </c:pt>
                <c:pt idx="7" formatCode="0.00E+00">
                  <c:v>7.1745362435245036E-5</c:v>
                </c:pt>
                <c:pt idx="8" formatCode="0.00E+00">
                  <c:v>7.1745362435245036E-5</c:v>
                </c:pt>
                <c:pt idx="9" formatCode="0.00E+00">
                  <c:v>7.1745362435245036E-5</c:v>
                </c:pt>
                <c:pt idx="10" formatCode="0.00E+00">
                  <c:v>7.1745362435245036E-5</c:v>
                </c:pt>
                <c:pt idx="11" formatCode="0.00E+00">
                  <c:v>7.1745362435245036E-5</c:v>
                </c:pt>
                <c:pt idx="12" formatCode="0.00E+00">
                  <c:v>7.1745362435245036E-5</c:v>
                </c:pt>
                <c:pt idx="13" formatCode="0.00E+00">
                  <c:v>7.1745362435245036E-5</c:v>
                </c:pt>
                <c:pt idx="14" formatCode="0.00E+00">
                  <c:v>7.1745362435245036E-5</c:v>
                </c:pt>
                <c:pt idx="15" formatCode="0.00E+00">
                  <c:v>7.1745362435245036E-5</c:v>
                </c:pt>
                <c:pt idx="16" formatCode="0.00E+00">
                  <c:v>7.1745362435245036E-5</c:v>
                </c:pt>
                <c:pt idx="17" formatCode="0.00E+00">
                  <c:v>7.1745362435245036E-5</c:v>
                </c:pt>
                <c:pt idx="18" formatCode="0.00E+00">
                  <c:v>7.1745362435245036E-5</c:v>
                </c:pt>
                <c:pt idx="19" formatCode="0.00E+00">
                  <c:v>7.1745362435245036E-5</c:v>
                </c:pt>
                <c:pt idx="20" formatCode="0.00E+00">
                  <c:v>7.1745362435245036E-5</c:v>
                </c:pt>
                <c:pt idx="21" formatCode="0.00E+00">
                  <c:v>7.1745362435245036E-5</c:v>
                </c:pt>
                <c:pt idx="22" formatCode="0.00E+00">
                  <c:v>7.1745362435245036E-5</c:v>
                </c:pt>
                <c:pt idx="23" formatCode="0.00E+00">
                  <c:v>7.1745362435245036E-5</c:v>
                </c:pt>
                <c:pt idx="24" formatCode="0.00E+00">
                  <c:v>7.1745362435245036E-5</c:v>
                </c:pt>
                <c:pt idx="25" formatCode="0.00E+00">
                  <c:v>7.1745362435245036E-5</c:v>
                </c:pt>
                <c:pt idx="26" formatCode="0.00E+00">
                  <c:v>7.1745362435245036E-5</c:v>
                </c:pt>
                <c:pt idx="27" formatCode="0.00E+00">
                  <c:v>7.1745362435245036E-5</c:v>
                </c:pt>
                <c:pt idx="28" formatCode="0.00E+00">
                  <c:v>7.1745362435245036E-5</c:v>
                </c:pt>
                <c:pt idx="29" formatCode="0.00E+00">
                  <c:v>7.1745362435245036E-5</c:v>
                </c:pt>
                <c:pt idx="30" formatCode="0.00E+00">
                  <c:v>7.1745362435245036E-5</c:v>
                </c:pt>
                <c:pt idx="31" formatCode="0.00E+00">
                  <c:v>7.1745362435245036E-5</c:v>
                </c:pt>
                <c:pt idx="32" formatCode="0.00E+00">
                  <c:v>7.1745362435245036E-5</c:v>
                </c:pt>
                <c:pt idx="33" formatCode="0.00E+00">
                  <c:v>7.1745362435245036E-5</c:v>
                </c:pt>
                <c:pt idx="34" formatCode="0.00E+00">
                  <c:v>7.1745362435245036E-5</c:v>
                </c:pt>
                <c:pt idx="35" formatCode="0.00E+00">
                  <c:v>7.1745362435245036E-5</c:v>
                </c:pt>
                <c:pt idx="36" formatCode="0.00E+00">
                  <c:v>7.1745362435245036E-5</c:v>
                </c:pt>
                <c:pt idx="37" formatCode="0.00E+00">
                  <c:v>7.1745362435245036E-5</c:v>
                </c:pt>
                <c:pt idx="38" formatCode="0.00E+00">
                  <c:v>7.1745362435245036E-5</c:v>
                </c:pt>
                <c:pt idx="39" formatCode="0.00E+00">
                  <c:v>7.1745362435245036E-5</c:v>
                </c:pt>
                <c:pt idx="40" formatCode="0.00E+00">
                  <c:v>7.1745362435245036E-5</c:v>
                </c:pt>
                <c:pt idx="41" formatCode="0.00E+00">
                  <c:v>7.1745362435245036E-5</c:v>
                </c:pt>
                <c:pt idx="42" formatCode="0.00E+00">
                  <c:v>7.1745362435245036E-5</c:v>
                </c:pt>
                <c:pt idx="43" formatCode="0.00E+00">
                  <c:v>7.1745362435245036E-5</c:v>
                </c:pt>
                <c:pt idx="44" formatCode="0.00E+00">
                  <c:v>7.1745362435245036E-5</c:v>
                </c:pt>
                <c:pt idx="45" formatCode="0.00E+00">
                  <c:v>7.1745362435245036E-5</c:v>
                </c:pt>
                <c:pt idx="46" formatCode="0.00E+00">
                  <c:v>7.1745362435245036E-5</c:v>
                </c:pt>
                <c:pt idx="47" formatCode="0.00E+00">
                  <c:v>7.1745362435245036E-5</c:v>
                </c:pt>
                <c:pt idx="48" formatCode="0.00E+00">
                  <c:v>7.1745362435245036E-5</c:v>
                </c:pt>
                <c:pt idx="49" formatCode="0.00E+00">
                  <c:v>7.1745362435245036E-5</c:v>
                </c:pt>
                <c:pt idx="50" formatCode="0.00E+00">
                  <c:v>7.1745362435245036E-5</c:v>
                </c:pt>
                <c:pt idx="51" formatCode="0.00E+00">
                  <c:v>7.1745362435245036E-5</c:v>
                </c:pt>
                <c:pt idx="52" formatCode="0.00E+00">
                  <c:v>7.1745362435245036E-5</c:v>
                </c:pt>
                <c:pt idx="53" formatCode="0.00E+00">
                  <c:v>7.1745362435245036E-5</c:v>
                </c:pt>
                <c:pt idx="54" formatCode="0.00E+00">
                  <c:v>7.1745362435245036E-5</c:v>
                </c:pt>
                <c:pt idx="55" formatCode="0.00E+00">
                  <c:v>7.1745362435245036E-5</c:v>
                </c:pt>
                <c:pt idx="56" formatCode="0.00E+00">
                  <c:v>7.1745362435245036E-5</c:v>
                </c:pt>
                <c:pt idx="57" formatCode="0.00E+00">
                  <c:v>7.1745362435245036E-5</c:v>
                </c:pt>
                <c:pt idx="58" formatCode="0.00E+00">
                  <c:v>7.1745362435245036E-5</c:v>
                </c:pt>
                <c:pt idx="59" formatCode="0.00E+00">
                  <c:v>7.1745362435245036E-5</c:v>
                </c:pt>
                <c:pt idx="60" formatCode="0.00E+00">
                  <c:v>7.1745362435245036E-5</c:v>
                </c:pt>
                <c:pt idx="61" formatCode="0.00E+00">
                  <c:v>7.1745362435245036E-5</c:v>
                </c:pt>
                <c:pt idx="62" formatCode="0.00E+00">
                  <c:v>7.1745362435245036E-5</c:v>
                </c:pt>
                <c:pt idx="63" formatCode="0.00E+00">
                  <c:v>7.1745362435245036E-5</c:v>
                </c:pt>
                <c:pt idx="64" formatCode="0.00E+00">
                  <c:v>7.1745362435245036E-5</c:v>
                </c:pt>
                <c:pt idx="65" formatCode="0.00E+00">
                  <c:v>7.1745362435245036E-5</c:v>
                </c:pt>
                <c:pt idx="66" formatCode="0.00E+00">
                  <c:v>7.1745362435245036E-5</c:v>
                </c:pt>
                <c:pt idx="67" formatCode="0.00E+00">
                  <c:v>7.1745362435245036E-5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3.2361562983312985E-3</c:v>
                </c:pt>
                <c:pt idx="4" formatCode="0.00E+00">
                  <c:v>3.2397638770858776E-3</c:v>
                </c:pt>
                <c:pt idx="5" formatCode="0.00E+00">
                  <c:v>3.2433714558404558E-3</c:v>
                </c:pt>
                <c:pt idx="6" formatCode="0.00E+00">
                  <c:v>3.2469790345950348E-3</c:v>
                </c:pt>
                <c:pt idx="7" formatCode="0.00E+00">
                  <c:v>3.2505866133496139E-3</c:v>
                </c:pt>
                <c:pt idx="8" formatCode="0.00E+00">
                  <c:v>3.2541941921041921E-3</c:v>
                </c:pt>
                <c:pt idx="9" formatCode="0.00E+00">
                  <c:v>3.2578017708587712E-3</c:v>
                </c:pt>
                <c:pt idx="10" formatCode="0.00E+00">
                  <c:v>3.2614093496133494E-3</c:v>
                </c:pt>
                <c:pt idx="11" formatCode="0.00E+00">
                  <c:v>3.2650169283679285E-3</c:v>
                </c:pt>
                <c:pt idx="12" formatCode="0.00E+00">
                  <c:v>3.2686245071225075E-3</c:v>
                </c:pt>
                <c:pt idx="13" formatCode="0.00E+00">
                  <c:v>3.2722320858770857E-3</c:v>
                </c:pt>
                <c:pt idx="14" formatCode="0.00E+00">
                  <c:v>3.2758396646316648E-3</c:v>
                </c:pt>
                <c:pt idx="15" formatCode="0.00E+00">
                  <c:v>3.2794472433862439E-3</c:v>
                </c:pt>
                <c:pt idx="16" formatCode="0.00E+00">
                  <c:v>3.2830548221408221E-3</c:v>
                </c:pt>
                <c:pt idx="17" formatCode="0.00E+00">
                  <c:v>3.2866624008954012E-3</c:v>
                </c:pt>
                <c:pt idx="18" formatCode="0.00E+00">
                  <c:v>3.2902699796499802E-3</c:v>
                </c:pt>
                <c:pt idx="19" formatCode="0.00E+00">
                  <c:v>3.2938775584045584E-3</c:v>
                </c:pt>
                <c:pt idx="20" formatCode="0.00E+00">
                  <c:v>3.2974851371591375E-3</c:v>
                </c:pt>
                <c:pt idx="21" formatCode="0.00E+00">
                  <c:v>3.3010927159137157E-3</c:v>
                </c:pt>
                <c:pt idx="22" formatCode="0.00E+00">
                  <c:v>3.3047002946682948E-3</c:v>
                </c:pt>
                <c:pt idx="23" formatCode="0.00E+00">
                  <c:v>3.3083078734228739E-3</c:v>
                </c:pt>
                <c:pt idx="24" formatCode="0.00E+00">
                  <c:v>3.3119154521774521E-3</c:v>
                </c:pt>
                <c:pt idx="25" formatCode="0.00E+00">
                  <c:v>3.3155230309320311E-3</c:v>
                </c:pt>
                <c:pt idx="26" formatCode="0.00E+00">
                  <c:v>3.3191306096866102E-3</c:v>
                </c:pt>
                <c:pt idx="27" formatCode="0.00E+00">
                  <c:v>3.3227381884411884E-3</c:v>
                </c:pt>
                <c:pt idx="28" formatCode="0.00E+00">
                  <c:v>3.3263457671957675E-3</c:v>
                </c:pt>
                <c:pt idx="29" formatCode="0.00E+00">
                  <c:v>3.3299533459503457E-3</c:v>
                </c:pt>
                <c:pt idx="30" formatCode="0.00E+00">
                  <c:v>3.3335609247049248E-3</c:v>
                </c:pt>
                <c:pt idx="31" formatCode="0.00E+00">
                  <c:v>3.3371685034595039E-3</c:v>
                </c:pt>
                <c:pt idx="32" formatCode="0.00E+00">
                  <c:v>3.3407760822140821E-3</c:v>
                </c:pt>
                <c:pt idx="33" formatCode="0.00E+00">
                  <c:v>3.3443836609686611E-3</c:v>
                </c:pt>
                <c:pt idx="34" formatCode="0.00E+00">
                  <c:v>3.3479912397232402E-3</c:v>
                </c:pt>
                <c:pt idx="35" formatCode="0.00E+00">
                  <c:v>3.3515988184778184E-3</c:v>
                </c:pt>
                <c:pt idx="36" formatCode="0.00E+00">
                  <c:v>3.3552063972323975E-3</c:v>
                </c:pt>
                <c:pt idx="37" formatCode="0.00E+00">
                  <c:v>3.3588139759869757E-3</c:v>
                </c:pt>
                <c:pt idx="38" formatCode="0.00E+00">
                  <c:v>3.3624215547415548E-3</c:v>
                </c:pt>
                <c:pt idx="39" formatCode="0.00E+00">
                  <c:v>3.3660291334961338E-3</c:v>
                </c:pt>
                <c:pt idx="40" formatCode="0.00E+00">
                  <c:v>3.369636712250712E-3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1.2375646625067687E-5</c:v>
                </c:pt>
                <c:pt idx="5" formatCode="0.00E+00">
                  <c:v>1.2375646625067687E-5</c:v>
                </c:pt>
                <c:pt idx="6" formatCode="0.00E+00">
                  <c:v>1.2375646625067687E-5</c:v>
                </c:pt>
                <c:pt idx="7" formatCode="0.00E+00">
                  <c:v>1.2375646625067687E-5</c:v>
                </c:pt>
                <c:pt idx="8" formatCode="0.00E+00">
                  <c:v>1.2375646625067687E-5</c:v>
                </c:pt>
                <c:pt idx="9" formatCode="0.00E+00">
                  <c:v>1.2375646625067687E-5</c:v>
                </c:pt>
                <c:pt idx="10" formatCode="0.00E+00">
                  <c:v>1.2375646625067687E-5</c:v>
                </c:pt>
                <c:pt idx="11" formatCode="0.00E+00">
                  <c:v>1.2375646625067687E-5</c:v>
                </c:pt>
                <c:pt idx="12" formatCode="0.00E+00">
                  <c:v>1.2375646625067687E-5</c:v>
                </c:pt>
                <c:pt idx="13" formatCode="0.00E+00">
                  <c:v>1.2375646625067687E-5</c:v>
                </c:pt>
                <c:pt idx="14" formatCode="0.00E+00">
                  <c:v>1.2375646625067687E-5</c:v>
                </c:pt>
                <c:pt idx="15" formatCode="0.00E+00">
                  <c:v>1.2375646625067687E-5</c:v>
                </c:pt>
                <c:pt idx="16" formatCode="0.00E+00">
                  <c:v>1.2375646625067687E-5</c:v>
                </c:pt>
                <c:pt idx="17" formatCode="0.00E+00">
                  <c:v>1.2375646625067687E-5</c:v>
                </c:pt>
                <c:pt idx="18" formatCode="0.00E+00">
                  <c:v>1.2375646625067687E-5</c:v>
                </c:pt>
                <c:pt idx="19" formatCode="0.00E+00">
                  <c:v>1.2375646625067687E-5</c:v>
                </c:pt>
                <c:pt idx="20" formatCode="0.00E+00">
                  <c:v>1.2375646625067687E-5</c:v>
                </c:pt>
                <c:pt idx="21" formatCode="0.00E+00">
                  <c:v>1.2375646625067687E-5</c:v>
                </c:pt>
                <c:pt idx="22" formatCode="0.00E+00">
                  <c:v>1.2375646625067687E-5</c:v>
                </c:pt>
                <c:pt idx="23" formatCode="0.00E+00">
                  <c:v>1.2375646625067687E-5</c:v>
                </c:pt>
                <c:pt idx="24" formatCode="0.00E+00">
                  <c:v>1.2375646625067687E-5</c:v>
                </c:pt>
                <c:pt idx="25" formatCode="0.00E+00">
                  <c:v>1.2375646625067687E-5</c:v>
                </c:pt>
                <c:pt idx="26" formatCode="0.00E+00">
                  <c:v>1.2375646625067687E-5</c:v>
                </c:pt>
                <c:pt idx="27" formatCode="0.00E+00">
                  <c:v>1.2375646625067687E-5</c:v>
                </c:pt>
                <c:pt idx="28" formatCode="0.00E+00">
                  <c:v>1.2375646625067687E-5</c:v>
                </c:pt>
                <c:pt idx="29" formatCode="0.00E+00">
                  <c:v>1.2375646625067687E-5</c:v>
                </c:pt>
                <c:pt idx="30" formatCode="0.00E+00">
                  <c:v>1.2375646625067687E-5</c:v>
                </c:pt>
                <c:pt idx="31" formatCode="0.00E+00">
                  <c:v>1.2375646625067687E-5</c:v>
                </c:pt>
                <c:pt idx="32" formatCode="0.00E+00">
                  <c:v>1.2375646625067687E-5</c:v>
                </c:pt>
                <c:pt idx="33" formatCode="0.00E+00">
                  <c:v>1.2375646625067687E-5</c:v>
                </c:pt>
                <c:pt idx="34" formatCode="0.00E+00">
                  <c:v>1.2375646625067687E-5</c:v>
                </c:pt>
                <c:pt idx="35" formatCode="0.00E+00">
                  <c:v>1.2375646625067687E-5</c:v>
                </c:pt>
                <c:pt idx="36" formatCode="0.00E+00">
                  <c:v>1.2375646625067687E-5</c:v>
                </c:pt>
                <c:pt idx="37" formatCode="0.00E+00">
                  <c:v>1.2375646625067687E-5</c:v>
                </c:pt>
                <c:pt idx="38" formatCode="0.00E+00">
                  <c:v>1.2375646625067687E-5</c:v>
                </c:pt>
                <c:pt idx="39" formatCode="0.00E+00">
                  <c:v>1.2375646625067687E-5</c:v>
                </c:pt>
                <c:pt idx="40" formatCode="0.00E+00">
                  <c:v>1.2375646625067687E-5</c:v>
                </c:pt>
                <c:pt idx="41" formatCode="0.00E+00">
                  <c:v>1.2375646625067684E-5</c:v>
                </c:pt>
                <c:pt idx="42" formatCode="0.00E+00">
                  <c:v>1.2375646625067684E-5</c:v>
                </c:pt>
                <c:pt idx="43" formatCode="0.00E+00">
                  <c:v>1.2375646625067684E-5</c:v>
                </c:pt>
                <c:pt idx="44" formatCode="0.00E+00">
                  <c:v>1.2375646625067684E-5</c:v>
                </c:pt>
                <c:pt idx="45" formatCode="0.00E+00">
                  <c:v>1.2375646625067684E-5</c:v>
                </c:pt>
                <c:pt idx="46" formatCode="0.00E+00">
                  <c:v>1.2375646625067684E-5</c:v>
                </c:pt>
                <c:pt idx="47" formatCode="0.00E+00">
                  <c:v>1.2375646625067684E-5</c:v>
                </c:pt>
                <c:pt idx="48" formatCode="0.00E+00">
                  <c:v>1.2375646625067684E-5</c:v>
                </c:pt>
                <c:pt idx="49" formatCode="0.00E+00">
                  <c:v>1.2375646625067684E-5</c:v>
                </c:pt>
                <c:pt idx="50" formatCode="0.00E+00">
                  <c:v>1.2375646625067684E-5</c:v>
                </c:pt>
                <c:pt idx="51" formatCode="0.00E+00">
                  <c:v>1.2375646625067684E-5</c:v>
                </c:pt>
                <c:pt idx="52" formatCode="0.00E+00">
                  <c:v>1.2375646625067684E-5</c:v>
                </c:pt>
                <c:pt idx="53" formatCode="0.00E+00">
                  <c:v>1.2375646625067684E-5</c:v>
                </c:pt>
                <c:pt idx="54" formatCode="0.00E+00">
                  <c:v>1.2375646625067684E-5</c:v>
                </c:pt>
                <c:pt idx="55" formatCode="0.00E+00">
                  <c:v>1.2375646625067684E-5</c:v>
                </c:pt>
                <c:pt idx="56" formatCode="0.00E+00">
                  <c:v>1.2375646625067684E-5</c:v>
                </c:pt>
                <c:pt idx="57" formatCode="0.00E+00">
                  <c:v>1.2375646625067684E-5</c:v>
                </c:pt>
                <c:pt idx="58" formatCode="0.00E+00">
                  <c:v>1.2375646625067684E-5</c:v>
                </c:pt>
                <c:pt idx="59" formatCode="0.00E+00">
                  <c:v>1.2375646625067684E-5</c:v>
                </c:pt>
                <c:pt idx="60" formatCode="0.00E+00">
                  <c:v>1.2375646625067684E-5</c:v>
                </c:pt>
                <c:pt idx="61" formatCode="0.00E+00">
                  <c:v>1.2375646625067684E-5</c:v>
                </c:pt>
                <c:pt idx="62" formatCode="0.00E+00">
                  <c:v>1.2375646625067684E-5</c:v>
                </c:pt>
                <c:pt idx="63" formatCode="0.00E+00">
                  <c:v>1.2375646625067684E-5</c:v>
                </c:pt>
                <c:pt idx="64" formatCode="0.00E+00">
                  <c:v>1.2375646625067684E-5</c:v>
                </c:pt>
                <c:pt idx="65" formatCode="0.00E+00">
                  <c:v>1.2375646625067684E-5</c:v>
                </c:pt>
                <c:pt idx="66" formatCode="0.00E+00">
                  <c:v>1.2375646625067684E-5</c:v>
                </c:pt>
                <c:pt idx="67" formatCode="0.00E+00">
                  <c:v>1.2375646625067684E-5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5.2112239143541636E-3</c:v>
                </c:pt>
                <c:pt idx="5" formatCode="0.00E+00">
                  <c:v>5.2112239143541636E-3</c:v>
                </c:pt>
                <c:pt idx="6" formatCode="0.00E+00">
                  <c:v>5.2112239143541636E-3</c:v>
                </c:pt>
                <c:pt idx="7" formatCode="0.00E+00">
                  <c:v>5.2112239143541636E-3</c:v>
                </c:pt>
                <c:pt idx="8" formatCode="0.00E+00">
                  <c:v>5.2112239143541636E-3</c:v>
                </c:pt>
                <c:pt idx="9" formatCode="0.00E+00">
                  <c:v>5.2112239143541636E-3</c:v>
                </c:pt>
                <c:pt idx="10" formatCode="0.00E+00">
                  <c:v>5.2112239143541636E-3</c:v>
                </c:pt>
                <c:pt idx="11" formatCode="0.00E+00">
                  <c:v>5.2112239143541636E-3</c:v>
                </c:pt>
                <c:pt idx="12" formatCode="0.00E+00">
                  <c:v>5.2112239143541636E-3</c:v>
                </c:pt>
                <c:pt idx="13" formatCode="0.00E+00">
                  <c:v>5.2112239143541636E-3</c:v>
                </c:pt>
                <c:pt idx="14" formatCode="0.00E+00">
                  <c:v>5.2112239143541636E-3</c:v>
                </c:pt>
                <c:pt idx="15" formatCode="0.00E+00">
                  <c:v>5.2112239143541636E-3</c:v>
                </c:pt>
                <c:pt idx="16" formatCode="0.00E+00">
                  <c:v>5.2112239143541636E-3</c:v>
                </c:pt>
                <c:pt idx="17" formatCode="0.00E+00">
                  <c:v>5.2112239143541636E-3</c:v>
                </c:pt>
                <c:pt idx="18" formatCode="0.00E+00">
                  <c:v>5.2112239143541636E-3</c:v>
                </c:pt>
                <c:pt idx="19" formatCode="0.00E+00">
                  <c:v>5.2112239143541636E-3</c:v>
                </c:pt>
                <c:pt idx="20" formatCode="0.00E+00">
                  <c:v>5.2112239143541636E-3</c:v>
                </c:pt>
                <c:pt idx="21" formatCode="0.00E+00">
                  <c:v>5.2112239143541636E-3</c:v>
                </c:pt>
                <c:pt idx="22" formatCode="0.00E+00">
                  <c:v>5.2112239143541636E-3</c:v>
                </c:pt>
                <c:pt idx="23" formatCode="0.00E+00">
                  <c:v>5.2112239143541636E-3</c:v>
                </c:pt>
                <c:pt idx="24" formatCode="0.00E+00">
                  <c:v>5.2112239143541636E-3</c:v>
                </c:pt>
                <c:pt idx="25" formatCode="0.00E+00">
                  <c:v>5.2112239143541636E-3</c:v>
                </c:pt>
                <c:pt idx="26" formatCode="0.00E+00">
                  <c:v>5.2112239143541636E-3</c:v>
                </c:pt>
                <c:pt idx="27" formatCode="0.00E+00">
                  <c:v>5.2112239143541636E-3</c:v>
                </c:pt>
                <c:pt idx="28" formatCode="0.00E+00">
                  <c:v>5.2112239143541636E-3</c:v>
                </c:pt>
                <c:pt idx="29" formatCode="0.00E+00">
                  <c:v>5.2112239143541636E-3</c:v>
                </c:pt>
                <c:pt idx="30" formatCode="0.00E+00">
                  <c:v>5.2112239143541636E-3</c:v>
                </c:pt>
                <c:pt idx="31" formatCode="0.00E+00">
                  <c:v>5.2112239143541636E-3</c:v>
                </c:pt>
                <c:pt idx="32" formatCode="0.00E+00">
                  <c:v>5.2112239143541636E-3</c:v>
                </c:pt>
                <c:pt idx="33" formatCode="0.00E+00">
                  <c:v>5.2112239143541636E-3</c:v>
                </c:pt>
                <c:pt idx="34" formatCode="0.00E+00">
                  <c:v>5.2112239143541636E-3</c:v>
                </c:pt>
                <c:pt idx="35" formatCode="0.00E+00">
                  <c:v>5.2112239143541636E-3</c:v>
                </c:pt>
                <c:pt idx="36" formatCode="0.00E+00">
                  <c:v>5.2112239143541636E-3</c:v>
                </c:pt>
                <c:pt idx="37" formatCode="0.00E+00">
                  <c:v>5.2112239143541636E-3</c:v>
                </c:pt>
                <c:pt idx="38" formatCode="0.00E+00">
                  <c:v>5.2112239143541636E-3</c:v>
                </c:pt>
                <c:pt idx="39" formatCode="0.00E+00">
                  <c:v>5.2112239143541636E-3</c:v>
                </c:pt>
                <c:pt idx="40" formatCode="0.00E+00">
                  <c:v>5.2112239143541636E-3</c:v>
                </c:pt>
                <c:pt idx="41" formatCode="0.00E+00">
                  <c:v>5.2112239143541636E-3</c:v>
                </c:pt>
                <c:pt idx="42" formatCode="0.00E+00">
                  <c:v>5.2112239143541636E-3</c:v>
                </c:pt>
                <c:pt idx="43" formatCode="0.00E+00">
                  <c:v>5.2112239143541636E-3</c:v>
                </c:pt>
                <c:pt idx="44" formatCode="0.00E+00">
                  <c:v>5.2112239143541636E-3</c:v>
                </c:pt>
                <c:pt idx="45" formatCode="0.00E+00">
                  <c:v>5.2112239143541636E-3</c:v>
                </c:pt>
                <c:pt idx="46" formatCode="0.00E+00">
                  <c:v>5.2112239143541636E-3</c:v>
                </c:pt>
                <c:pt idx="47" formatCode="0.00E+00">
                  <c:v>5.2112239143541636E-3</c:v>
                </c:pt>
                <c:pt idx="48" formatCode="0.00E+00">
                  <c:v>5.2112239143541636E-3</c:v>
                </c:pt>
                <c:pt idx="49" formatCode="0.00E+00">
                  <c:v>5.2112239143541636E-3</c:v>
                </c:pt>
                <c:pt idx="50" formatCode="0.00E+00">
                  <c:v>5.2112239143541636E-3</c:v>
                </c:pt>
                <c:pt idx="51" formatCode="0.00E+00">
                  <c:v>5.2112239143541636E-3</c:v>
                </c:pt>
                <c:pt idx="52" formatCode="0.00E+00">
                  <c:v>5.2112239143541636E-3</c:v>
                </c:pt>
                <c:pt idx="53" formatCode="0.00E+00">
                  <c:v>5.2112239143541636E-3</c:v>
                </c:pt>
                <c:pt idx="54" formatCode="0.00E+00">
                  <c:v>5.2112239143541636E-3</c:v>
                </c:pt>
                <c:pt idx="55" formatCode="0.00E+00">
                  <c:v>5.2112239143541636E-3</c:v>
                </c:pt>
                <c:pt idx="56" formatCode="0.00E+00">
                  <c:v>5.2112239143541636E-3</c:v>
                </c:pt>
                <c:pt idx="57" formatCode="0.00E+00">
                  <c:v>5.2112239143541636E-3</c:v>
                </c:pt>
                <c:pt idx="58" formatCode="0.00E+00">
                  <c:v>5.2112239143541636E-3</c:v>
                </c:pt>
                <c:pt idx="59" formatCode="0.00E+00">
                  <c:v>5.2112239143541636E-3</c:v>
                </c:pt>
                <c:pt idx="60" formatCode="0.00E+00">
                  <c:v>5.2112239143541636E-3</c:v>
                </c:pt>
                <c:pt idx="61" formatCode="0.00E+00">
                  <c:v>5.2112239143541636E-3</c:v>
                </c:pt>
                <c:pt idx="62" formatCode="0.00E+00">
                  <c:v>5.2112239143541636E-3</c:v>
                </c:pt>
                <c:pt idx="63" formatCode="0.00E+00">
                  <c:v>5.2112239143541636E-3</c:v>
                </c:pt>
                <c:pt idx="64" formatCode="0.00E+00">
                  <c:v>5.2112239143541636E-3</c:v>
                </c:pt>
                <c:pt idx="65" formatCode="0.00E+00">
                  <c:v>5.2112239143541636E-3</c:v>
                </c:pt>
                <c:pt idx="66" formatCode="0.00E+00">
                  <c:v>5.2112239143541636E-3</c:v>
                </c:pt>
                <c:pt idx="67" formatCode="0.00E+00">
                  <c:v>5.2112239143541636E-3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6.5093363580536728E-3</c:v>
                </c:pt>
                <c:pt idx="21">
                  <c:v>6.5093363580536728E-3</c:v>
                </c:pt>
                <c:pt idx="22">
                  <c:v>6.5093363580536728E-3</c:v>
                </c:pt>
                <c:pt idx="23">
                  <c:v>6.5093363580536728E-3</c:v>
                </c:pt>
                <c:pt idx="24">
                  <c:v>6.5093363580536728E-3</c:v>
                </c:pt>
                <c:pt idx="25">
                  <c:v>6.5093363580536728E-3</c:v>
                </c:pt>
                <c:pt idx="26">
                  <c:v>6.5093363580536728E-3</c:v>
                </c:pt>
                <c:pt idx="27">
                  <c:v>6.5093363580536728E-3</c:v>
                </c:pt>
                <c:pt idx="28">
                  <c:v>6.5093363580536728E-3</c:v>
                </c:pt>
                <c:pt idx="29">
                  <c:v>6.5093363580536728E-3</c:v>
                </c:pt>
                <c:pt idx="30">
                  <c:v>6.5093363580536728E-3</c:v>
                </c:pt>
                <c:pt idx="31">
                  <c:v>6.5093363580536728E-3</c:v>
                </c:pt>
                <c:pt idx="32">
                  <c:v>6.5093363580536728E-3</c:v>
                </c:pt>
                <c:pt idx="33">
                  <c:v>6.5093363580536728E-3</c:v>
                </c:pt>
                <c:pt idx="34">
                  <c:v>6.5093363580536728E-3</c:v>
                </c:pt>
                <c:pt idx="35">
                  <c:v>6.5093363580536728E-3</c:v>
                </c:pt>
                <c:pt idx="36">
                  <c:v>6.5093363580536728E-3</c:v>
                </c:pt>
                <c:pt idx="37">
                  <c:v>6.5093363580536728E-3</c:v>
                </c:pt>
                <c:pt idx="38">
                  <c:v>6.5093363580536728E-3</c:v>
                </c:pt>
                <c:pt idx="39">
                  <c:v>6.5093363580536728E-3</c:v>
                </c:pt>
                <c:pt idx="40">
                  <c:v>6.5093363580536728E-3</c:v>
                </c:pt>
                <c:pt idx="41">
                  <c:v>6.5093363580536684E-3</c:v>
                </c:pt>
                <c:pt idx="42">
                  <c:v>6.5093363580536684E-3</c:v>
                </c:pt>
                <c:pt idx="43">
                  <c:v>6.5093363580536684E-3</c:v>
                </c:pt>
                <c:pt idx="44">
                  <c:v>6.5093363580536684E-3</c:v>
                </c:pt>
                <c:pt idx="45">
                  <c:v>6.5093363580536684E-3</c:v>
                </c:pt>
                <c:pt idx="46">
                  <c:v>6.5093363580536684E-3</c:v>
                </c:pt>
                <c:pt idx="47">
                  <c:v>6.5093363580536684E-3</c:v>
                </c:pt>
                <c:pt idx="48">
                  <c:v>6.5093363580536684E-3</c:v>
                </c:pt>
                <c:pt idx="49">
                  <c:v>6.5093363580536684E-3</c:v>
                </c:pt>
                <c:pt idx="50">
                  <c:v>6.5093363580536684E-3</c:v>
                </c:pt>
                <c:pt idx="51">
                  <c:v>6.5093363580536684E-3</c:v>
                </c:pt>
                <c:pt idx="52">
                  <c:v>6.5093363580536684E-3</c:v>
                </c:pt>
                <c:pt idx="53">
                  <c:v>6.5093363580536684E-3</c:v>
                </c:pt>
                <c:pt idx="54">
                  <c:v>6.5093363580536684E-3</c:v>
                </c:pt>
                <c:pt idx="55">
                  <c:v>6.5093363580536684E-3</c:v>
                </c:pt>
                <c:pt idx="56">
                  <c:v>6.5093363580536684E-3</c:v>
                </c:pt>
                <c:pt idx="57">
                  <c:v>6.5093363580536684E-3</c:v>
                </c:pt>
                <c:pt idx="58">
                  <c:v>6.5093363580536684E-3</c:v>
                </c:pt>
                <c:pt idx="59">
                  <c:v>6.5093363580536684E-3</c:v>
                </c:pt>
                <c:pt idx="60">
                  <c:v>6.5093363580536684E-3</c:v>
                </c:pt>
                <c:pt idx="61">
                  <c:v>6.5093363580536684E-3</c:v>
                </c:pt>
                <c:pt idx="62">
                  <c:v>6.5093363580536684E-3</c:v>
                </c:pt>
                <c:pt idx="63">
                  <c:v>6.5093363580536684E-3</c:v>
                </c:pt>
                <c:pt idx="64">
                  <c:v>6.5093363580536684E-3</c:v>
                </c:pt>
                <c:pt idx="65">
                  <c:v>6.5093363580536684E-3</c:v>
                </c:pt>
                <c:pt idx="66">
                  <c:v>6.5093363580536684E-3</c:v>
                </c:pt>
                <c:pt idx="67">
                  <c:v>6.5093363580536684E-3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"/>
  <sheetViews>
    <sheetView topLeftCell="A31" workbookViewId="0">
      <selection activeCell="C36" sqref="C36"/>
    </sheetView>
  </sheetViews>
  <sheetFormatPr defaultRowHeight="15"/>
  <cols>
    <col min="1" max="1" width="13.42578125" customWidth="1"/>
    <col min="2" max="2" width="107.42578125" customWidth="1"/>
  </cols>
  <sheetData>
    <row r="1" spans="1:2">
      <c r="A1" s="1" t="s">
        <v>14</v>
      </c>
    </row>
    <row r="3" spans="1:2">
      <c r="A3" s="1" t="s">
        <v>0</v>
      </c>
      <c r="B3" s="2" t="s">
        <v>30</v>
      </c>
    </row>
    <row r="4" spans="1:2">
      <c r="B4" s="6" t="s">
        <v>32</v>
      </c>
    </row>
    <row r="5" spans="1:2">
      <c r="B5" s="5"/>
    </row>
    <row r="6" spans="1:2">
      <c r="B6" s="14" t="s">
        <v>15</v>
      </c>
    </row>
    <row r="7" spans="1:2">
      <c r="B7" s="5" t="s">
        <v>59</v>
      </c>
    </row>
    <row r="8" spans="1:2">
      <c r="B8" s="5">
        <v>2008</v>
      </c>
    </row>
    <row r="9" spans="1:2">
      <c r="B9" s="5" t="s">
        <v>72</v>
      </c>
    </row>
    <row r="10" spans="1:2">
      <c r="B10" s="5" t="s">
        <v>73</v>
      </c>
    </row>
    <row r="11" spans="1:2">
      <c r="B11" s="5" t="s">
        <v>74</v>
      </c>
    </row>
    <row r="12" spans="1:2">
      <c r="B12" s="5"/>
    </row>
    <row r="13" spans="1:2">
      <c r="B13" s="2" t="s">
        <v>9</v>
      </c>
    </row>
    <row r="14" spans="1:2">
      <c r="B14" s="6" t="s">
        <v>86</v>
      </c>
    </row>
    <row r="16" spans="1:2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workbookViewId="0">
      <selection activeCell="C34" sqref="C34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3.8560342544165043E-4</v>
      </c>
      <c r="E8" s="4">
        <v>3.938977091004229E-4</v>
      </c>
      <c r="F8" s="4">
        <v>4.0102815590911211E-4</v>
      </c>
      <c r="G8" s="4">
        <v>3.7447643323240698E-4</v>
      </c>
      <c r="H8" s="4">
        <v>3.9011286777709445E-4</v>
      </c>
      <c r="I8" s="4">
        <v>3.973908333465341E-4</v>
      </c>
      <c r="J8" s="4">
        <v>3.9921116827982341E-4</v>
      </c>
      <c r="K8" s="4">
        <v>4.0474968459162865E-4</v>
      </c>
      <c r="L8" s="4">
        <v>4.0866714086181205E-4</v>
      </c>
      <c r="M8" s="4">
        <v>4.1165739618674141E-4</v>
      </c>
      <c r="N8" s="4">
        <v>4.1453743818293512E-4</v>
      </c>
      <c r="O8" s="4">
        <v>4.1476226395269379E-4</v>
      </c>
      <c r="P8" s="4">
        <v>4.1467751199658729E-4</v>
      </c>
      <c r="Q8" s="4">
        <v>4.1774836203476703E-4</v>
      </c>
      <c r="R8" s="4">
        <v>4.1834632264550211E-4</v>
      </c>
      <c r="S8" s="4">
        <v>4.1983822558637316E-4</v>
      </c>
      <c r="T8" s="4">
        <v>4.2130104966706447E-4</v>
      </c>
      <c r="U8" s="4">
        <v>4.2281184411175634E-4</v>
      </c>
      <c r="V8" s="4">
        <v>4.2360951790740064E-4</v>
      </c>
      <c r="W8" s="4">
        <v>4.2374431078237557E-4</v>
      </c>
      <c r="X8" s="4">
        <v>4.2455978231601869E-4</v>
      </c>
      <c r="Y8" s="4">
        <v>4.2499271222158055E-4</v>
      </c>
      <c r="Z8" s="4">
        <v>4.255977010533903E-4</v>
      </c>
      <c r="AA8" s="4">
        <v>4.259134403023234E-4</v>
      </c>
      <c r="AB8" s="4">
        <v>4.2644140225411056E-4</v>
      </c>
      <c r="AC8" s="4">
        <v>4.2668500307371869E-4</v>
      </c>
      <c r="AD8" s="4">
        <v>4.2678409185942635E-4</v>
      </c>
      <c r="AE8" s="4">
        <v>4.2712969246070032E-4</v>
      </c>
      <c r="AF8" s="4">
        <v>4.274732939624897E-4</v>
      </c>
      <c r="AG8" s="4">
        <v>4.2842378634895789E-4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1.0420515928406728E-4</v>
      </c>
      <c r="E9" s="4">
        <v>1.0877081887028839E-4</v>
      </c>
      <c r="F9" s="4">
        <v>9.2955581997260681E-5</v>
      </c>
      <c r="G9" s="4">
        <v>7.9492494824774367E-5</v>
      </c>
      <c r="H9" s="4">
        <v>7.9975948644702701E-5</v>
      </c>
      <c r="I9" s="4">
        <v>8.1024722706877106E-5</v>
      </c>
      <c r="J9" s="4">
        <v>8.2072270340545126E-5</v>
      </c>
      <c r="K9" s="4">
        <v>8.3921848415336979E-5</v>
      </c>
      <c r="L9" s="4">
        <v>8.424008288356597E-5</v>
      </c>
      <c r="M9" s="4">
        <v>8.5145457355772448E-5</v>
      </c>
      <c r="N9" s="4">
        <v>8.6269511754863824E-5</v>
      </c>
      <c r="O9" s="4">
        <v>8.7316787399673934E-5</v>
      </c>
      <c r="P9" s="4">
        <v>8.7981217262129169E-5</v>
      </c>
      <c r="Q9" s="4">
        <v>8.8870744349267236E-5</v>
      </c>
      <c r="R9" s="4">
        <v>8.9949247005972088E-5</v>
      </c>
      <c r="S9" s="4">
        <v>9.0831024253729272E-5</v>
      </c>
      <c r="T9" s="4">
        <v>9.1579110752047641E-5</v>
      </c>
      <c r="U9" s="4">
        <v>9.2403640539502613E-5</v>
      </c>
      <c r="V9" s="4">
        <v>9.319851514165077E-5</v>
      </c>
      <c r="W9" s="4">
        <v>9.3891059740218658E-5</v>
      </c>
      <c r="X9" s="4">
        <v>9.5047122599296139E-5</v>
      </c>
      <c r="Y9" s="4">
        <v>9.6059950070461278E-5</v>
      </c>
      <c r="Z9" s="4">
        <v>9.7048480369583043E-5</v>
      </c>
      <c r="AA9" s="4">
        <v>9.7649579603605602E-5</v>
      </c>
      <c r="AB9" s="4">
        <v>9.8224460923876486E-5</v>
      </c>
      <c r="AC9" s="4">
        <v>9.8795624738493866E-5</v>
      </c>
      <c r="AD9" s="4">
        <v>9.9479244599585216E-5</v>
      </c>
      <c r="AE9" s="4">
        <v>9.9975448040260604E-5</v>
      </c>
      <c r="AF9" s="4">
        <v>1.0044050579002983E-4</v>
      </c>
      <c r="AG9" s="4">
        <v>1.0101640935179317E-4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1.0105389360616456E-3</v>
      </c>
      <c r="G10" s="4">
        <v>1.0071619859986915E-3</v>
      </c>
      <c r="H10" s="4">
        <v>1.0297946332597221E-3</v>
      </c>
      <c r="I10" s="4">
        <v>1.0542694402792506E-3</v>
      </c>
      <c r="J10" s="4">
        <v>1.0790300186124084E-3</v>
      </c>
      <c r="K10" s="4">
        <v>1.1024390235193078E-3</v>
      </c>
      <c r="L10" s="4">
        <v>1.1250162796311157E-3</v>
      </c>
      <c r="M10" s="4">
        <v>1.1437364311026228E-3</v>
      </c>
      <c r="N10" s="4">
        <v>1.1601755544794832E-3</v>
      </c>
      <c r="O10" s="4">
        <v>1.1731175422229271E-3</v>
      </c>
      <c r="P10" s="4">
        <v>1.1829709958873008E-3</v>
      </c>
      <c r="Q10" s="4">
        <v>1.1904376346468411E-3</v>
      </c>
      <c r="R10" s="4">
        <v>1.1951266350083583E-3</v>
      </c>
      <c r="S10" s="4">
        <v>1.1954817554531098E-3</v>
      </c>
      <c r="T10" s="4">
        <v>1.1956768733474535E-3</v>
      </c>
      <c r="U10" s="4">
        <v>1.1953490811620006E-3</v>
      </c>
      <c r="V10" s="4">
        <v>1.195614135891968E-3</v>
      </c>
      <c r="W10" s="4">
        <v>1.1955621240436263E-3</v>
      </c>
      <c r="X10" s="4">
        <v>1.1954516355974314E-3</v>
      </c>
      <c r="Y10" s="4">
        <v>1.1954450239217949E-3</v>
      </c>
      <c r="Z10" s="4">
        <v>1.1950872588067892E-3</v>
      </c>
      <c r="AA10" s="4">
        <v>1.1949745664687152E-3</v>
      </c>
      <c r="AB10" s="4">
        <v>1.1948443899217356E-3</v>
      </c>
      <c r="AC10" s="4">
        <v>1.1946410441643772E-3</v>
      </c>
      <c r="AD10" s="4">
        <v>1.1944371107025177E-3</v>
      </c>
      <c r="AE10" s="4">
        <v>1.193589934664274E-3</v>
      </c>
      <c r="AF10" s="4">
        <v>1.1933357524675759E-3</v>
      </c>
      <c r="AG10" s="4">
        <v>1.1931159509841881E-3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7.4742411935626142E-4</v>
      </c>
      <c r="E11" s="4">
        <v>7.9651924557390657E-4</v>
      </c>
      <c r="F11" s="4">
        <v>8.0113596667200321E-4</v>
      </c>
      <c r="G11" s="4">
        <v>7.9845878516365723E-4</v>
      </c>
      <c r="H11" s="4">
        <v>8.1640151561645602E-4</v>
      </c>
      <c r="I11" s="4">
        <v>8.3580467513954908E-4</v>
      </c>
      <c r="J11" s="4">
        <v>8.5543438870170133E-4</v>
      </c>
      <c r="K11" s="4">
        <v>8.7399260066729594E-4</v>
      </c>
      <c r="L11" s="4">
        <v>8.9189141807499185E-4</v>
      </c>
      <c r="M11" s="4">
        <v>9.0673239659663221E-4</v>
      </c>
      <c r="N11" s="4">
        <v>9.1976501961370109E-4</v>
      </c>
      <c r="O11" s="4">
        <v>9.3002518029777076E-4</v>
      </c>
      <c r="P11" s="4">
        <v>9.3783681015661687E-4</v>
      </c>
      <c r="Q11" s="4">
        <v>9.4375621874836048E-4</v>
      </c>
      <c r="R11" s="4">
        <v>9.4747356867254048E-4</v>
      </c>
      <c r="S11" s="4">
        <v>9.4775510137814763E-4</v>
      </c>
      <c r="T11" s="4">
        <v>9.4790978711792664E-4</v>
      </c>
      <c r="U11" s="4">
        <v>9.4764991973430679E-4</v>
      </c>
      <c r="V11" s="4">
        <v>9.4786005006153686E-4</v>
      </c>
      <c r="W11" s="4">
        <v>9.4781881606162595E-4</v>
      </c>
      <c r="X11" s="4">
        <v>9.4773122293187136E-4</v>
      </c>
      <c r="Y11" s="4">
        <v>9.4772598132171319E-4</v>
      </c>
      <c r="Z11" s="4">
        <v>9.4744235197204304E-4</v>
      </c>
      <c r="AA11" s="4">
        <v>9.4735301163890236E-4</v>
      </c>
      <c r="AB11" s="4">
        <v>9.4724981015889911E-4</v>
      </c>
      <c r="AC11" s="4">
        <v>9.4708860152647881E-4</v>
      </c>
      <c r="AD11" s="4">
        <v>9.4692692697315531E-4</v>
      </c>
      <c r="AE11" s="4">
        <v>9.4625530199155417E-4</v>
      </c>
      <c r="AF11" s="4">
        <v>9.4605379120102872E-4</v>
      </c>
      <c r="AG11" s="4">
        <v>9.4587953678332564E-4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4.390541760701407E-4</v>
      </c>
      <c r="G12" s="4">
        <v>4.390541760701407E-4</v>
      </c>
      <c r="H12" s="4">
        <v>4.390541760701407E-4</v>
      </c>
      <c r="I12" s="4">
        <v>4.390541760701407E-4</v>
      </c>
      <c r="J12" s="4">
        <v>4.390541760701407E-4</v>
      </c>
      <c r="K12" s="4">
        <v>4.390541760701407E-4</v>
      </c>
      <c r="L12" s="4">
        <v>4.390541760701407E-4</v>
      </c>
      <c r="M12" s="4">
        <v>4.390541760701407E-4</v>
      </c>
      <c r="N12" s="4">
        <v>4.390541760701407E-4</v>
      </c>
      <c r="O12" s="4">
        <v>4.390541760701407E-4</v>
      </c>
      <c r="P12" s="4">
        <v>4.390541760701407E-4</v>
      </c>
      <c r="Q12" s="4">
        <v>4.390541760701407E-4</v>
      </c>
      <c r="R12" s="4">
        <v>4.390541760701407E-4</v>
      </c>
      <c r="S12" s="4">
        <v>4.390541760701407E-4</v>
      </c>
      <c r="T12" s="4">
        <v>4.390541760701407E-4</v>
      </c>
      <c r="U12" s="4">
        <v>4.390541760701407E-4</v>
      </c>
      <c r="V12" s="4">
        <v>4.390541760701407E-4</v>
      </c>
      <c r="W12" s="4">
        <v>4.390541760701407E-4</v>
      </c>
      <c r="X12" s="4">
        <v>4.390541760701407E-4</v>
      </c>
      <c r="Y12" s="4">
        <v>4.390541760701407E-4</v>
      </c>
      <c r="Z12" s="4">
        <v>4.390541760701407E-4</v>
      </c>
      <c r="AA12" s="4">
        <v>4.390541760701407E-4</v>
      </c>
      <c r="AB12" s="4">
        <v>4.390541760701407E-4</v>
      </c>
      <c r="AC12" s="4">
        <v>4.390541760701407E-4</v>
      </c>
      <c r="AD12" s="4">
        <v>4.390541760701407E-4</v>
      </c>
      <c r="AE12" s="4">
        <v>4.390541760701407E-4</v>
      </c>
      <c r="AF12" s="4">
        <v>4.390541760701407E-4</v>
      </c>
      <c r="AG12" s="4">
        <v>4.390541760701407E-4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1.5492656753114542E-4</v>
      </c>
      <c r="G13" s="4">
        <v>1.5492656753114542E-4</v>
      </c>
      <c r="H13" s="4">
        <v>1.5492656753114542E-4</v>
      </c>
      <c r="I13" s="4">
        <v>1.5492656753114542E-4</v>
      </c>
      <c r="J13" s="4">
        <v>1.5492656753114542E-4</v>
      </c>
      <c r="K13" s="4">
        <v>1.5492656753114542E-4</v>
      </c>
      <c r="L13" s="4">
        <v>1.5492656753114542E-4</v>
      </c>
      <c r="M13" s="4">
        <v>1.5492656753114542E-4</v>
      </c>
      <c r="N13" s="4">
        <v>1.5492656753114542E-4</v>
      </c>
      <c r="O13" s="4">
        <v>1.5492656753114542E-4</v>
      </c>
      <c r="P13" s="4">
        <v>1.5492656753114542E-4</v>
      </c>
      <c r="Q13" s="4">
        <v>1.5492656753114542E-4</v>
      </c>
      <c r="R13" s="4">
        <v>1.5492656753114542E-4</v>
      </c>
      <c r="S13" s="4">
        <v>1.5492656753114542E-4</v>
      </c>
      <c r="T13" s="4">
        <v>1.5492656753114542E-4</v>
      </c>
      <c r="U13" s="4">
        <v>1.5492656753114542E-4</v>
      </c>
      <c r="V13" s="4">
        <v>1.5492656753114542E-4</v>
      </c>
      <c r="W13" s="4">
        <v>1.5492656753114542E-4</v>
      </c>
      <c r="X13" s="4">
        <v>1.5492656753114542E-4</v>
      </c>
      <c r="Y13" s="4">
        <v>1.5492656753114542E-4</v>
      </c>
      <c r="Z13" s="4">
        <v>1.5492656753114542E-4</v>
      </c>
      <c r="AA13" s="4">
        <v>1.5492656753114542E-4</v>
      </c>
      <c r="AB13" s="4">
        <v>1.5492656753114542E-4</v>
      </c>
      <c r="AC13" s="4">
        <v>1.5492656753114542E-4</v>
      </c>
      <c r="AD13" s="4">
        <v>1.5492656753114542E-4</v>
      </c>
      <c r="AE13" s="4">
        <v>1.5492656753114542E-4</v>
      </c>
      <c r="AF13" s="4">
        <v>1.5492656753114542E-4</v>
      </c>
      <c r="AG13" s="4">
        <v>1.5492656753114542E-4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7.1745362435245036E-5</v>
      </c>
      <c r="G14" s="4">
        <v>7.1745362435245036E-5</v>
      </c>
      <c r="H14" s="4">
        <v>7.1745362435245036E-5</v>
      </c>
      <c r="I14" s="4">
        <v>7.1745362435245036E-5</v>
      </c>
      <c r="J14" s="4">
        <v>7.1745362435245036E-5</v>
      </c>
      <c r="K14" s="4">
        <v>7.1745362435245036E-5</v>
      </c>
      <c r="L14" s="4">
        <v>7.1745362435245036E-5</v>
      </c>
      <c r="M14" s="4">
        <v>7.1745362435245036E-5</v>
      </c>
      <c r="N14" s="4">
        <v>7.1745362435245036E-5</v>
      </c>
      <c r="O14" s="4">
        <v>7.1745362435245036E-5</v>
      </c>
      <c r="P14" s="4">
        <v>7.1745362435245036E-5</v>
      </c>
      <c r="Q14" s="4">
        <v>7.1745362435245036E-5</v>
      </c>
      <c r="R14" s="4">
        <v>7.1745362435245036E-5</v>
      </c>
      <c r="S14" s="4">
        <v>7.1745362435245036E-5</v>
      </c>
      <c r="T14" s="4">
        <v>7.1745362435245036E-5</v>
      </c>
      <c r="U14" s="4">
        <v>7.1745362435245036E-5</v>
      </c>
      <c r="V14" s="4">
        <v>7.1745362435245036E-5</v>
      </c>
      <c r="W14" s="4">
        <v>7.1745362435245036E-5</v>
      </c>
      <c r="X14" s="4">
        <v>7.1745362435245036E-5</v>
      </c>
      <c r="Y14" s="4">
        <v>7.1745362435245036E-5</v>
      </c>
      <c r="Z14" s="4">
        <v>7.1745362435245036E-5</v>
      </c>
      <c r="AA14" s="4">
        <v>7.1745362435245036E-5</v>
      </c>
      <c r="AB14" s="4">
        <v>7.1745362435245036E-5</v>
      </c>
      <c r="AC14" s="4">
        <v>7.1745362435245036E-5</v>
      </c>
      <c r="AD14" s="4">
        <v>7.1745362435245036E-5</v>
      </c>
      <c r="AE14" s="4">
        <v>7.1745362435245036E-5</v>
      </c>
      <c r="AF14" s="4">
        <v>7.1745362435245036E-5</v>
      </c>
      <c r="AG14" s="4">
        <v>7.1745362435245036E-5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7.5686214263268839E-4</v>
      </c>
      <c r="G15" s="4">
        <v>7.5686214263268839E-4</v>
      </c>
      <c r="H15" s="4">
        <v>7.5686214263268839E-4</v>
      </c>
      <c r="I15" s="4">
        <v>7.5686214263268839E-4</v>
      </c>
      <c r="J15" s="4">
        <v>7.5686214263268839E-4</v>
      </c>
      <c r="K15" s="4">
        <v>7.5686214263268839E-4</v>
      </c>
      <c r="L15" s="4">
        <v>7.5686214263268839E-4</v>
      </c>
      <c r="M15" s="4">
        <v>7.5686214263268839E-4</v>
      </c>
      <c r="N15" s="4">
        <v>7.5686214263268839E-4</v>
      </c>
      <c r="O15" s="4">
        <v>7.5686214263268839E-4</v>
      </c>
      <c r="P15" s="4">
        <v>7.5686214263268839E-4</v>
      </c>
      <c r="Q15" s="4">
        <v>7.5686214263268839E-4</v>
      </c>
      <c r="R15" s="4">
        <v>7.5686214263268839E-4</v>
      </c>
      <c r="S15" s="4">
        <v>7.5686214263268839E-4</v>
      </c>
      <c r="T15" s="4">
        <v>7.5686214263268839E-4</v>
      </c>
      <c r="U15" s="4">
        <v>7.5686214263268839E-4</v>
      </c>
      <c r="V15" s="4">
        <v>7.5686214263268839E-4</v>
      </c>
      <c r="W15" s="4">
        <v>7.5686214263268839E-4</v>
      </c>
      <c r="X15" s="4">
        <v>7.5686214263268839E-4</v>
      </c>
      <c r="Y15" s="4">
        <v>7.5686214263268839E-4</v>
      </c>
      <c r="Z15" s="4">
        <v>7.5686214263268839E-4</v>
      </c>
      <c r="AA15" s="4">
        <v>7.5686214263268839E-4</v>
      </c>
      <c r="AB15" s="4">
        <v>7.5686214263268839E-4</v>
      </c>
      <c r="AC15" s="4">
        <v>7.5686214263268839E-4</v>
      </c>
      <c r="AD15" s="4">
        <v>7.5686214263268839E-4</v>
      </c>
      <c r="AE15" s="4">
        <v>7.5686214263268839E-4</v>
      </c>
      <c r="AF15" s="4">
        <v>7.5686214263268839E-4</v>
      </c>
      <c r="AG15" s="4">
        <v>7.5686214263268839E-4</v>
      </c>
      <c r="AH15" s="4"/>
      <c r="AI15" s="4"/>
      <c r="AJ15" s="4"/>
      <c r="AK15" s="4"/>
    </row>
    <row r="16" spans="1:37" s="31" customFormat="1">
      <c r="A16" s="31" t="s">
        <v>16</v>
      </c>
      <c r="B16" s="31" t="s">
        <v>22</v>
      </c>
      <c r="C16" s="31" t="s">
        <v>5</v>
      </c>
      <c r="D16" s="31">
        <v>3.5120030000000001E-3</v>
      </c>
      <c r="E16" s="31">
        <v>3.3663400000000002E-3</v>
      </c>
      <c r="F16" s="31">
        <v>3.3698929999999997E-3</v>
      </c>
      <c r="G16" s="31">
        <v>3.3734500000000001E-3</v>
      </c>
      <c r="H16" s="31">
        <v>3.3770099999999997E-3</v>
      </c>
      <c r="I16" s="31">
        <v>3.3805740000000003E-3</v>
      </c>
      <c r="J16" s="31">
        <v>3.3841420000000001E-3</v>
      </c>
      <c r="K16" s="31">
        <v>3.3877130000000001E-3</v>
      </c>
      <c r="L16" s="31">
        <v>3.391289E-3</v>
      </c>
      <c r="M16" s="31">
        <v>3.3948680000000001E-3</v>
      </c>
      <c r="N16" s="31">
        <v>3.3984510000000002E-3</v>
      </c>
      <c r="O16" s="31">
        <v>3.4020370000000001E-3</v>
      </c>
      <c r="P16" s="31">
        <v>3.405628E-3</v>
      </c>
      <c r="Q16" s="31">
        <v>3.4092220000000004E-3</v>
      </c>
      <c r="R16" s="31">
        <v>3.41282E-3</v>
      </c>
      <c r="S16" s="31">
        <v>3.4164219999999997E-3</v>
      </c>
      <c r="T16" s="31">
        <v>3.420027E-3</v>
      </c>
      <c r="U16" s="31">
        <v>3.4236369999999998E-3</v>
      </c>
      <c r="V16" s="31">
        <v>3.4272499999999997E-3</v>
      </c>
      <c r="W16" s="31">
        <v>3.4308670000000002E-3</v>
      </c>
      <c r="X16" s="31">
        <v>3.4344879999999999E-3</v>
      </c>
      <c r="Y16" s="31">
        <v>3.438113E-3</v>
      </c>
      <c r="Z16" s="31">
        <v>3.4417409999999999E-3</v>
      </c>
      <c r="AA16" s="31">
        <v>3.4453729999999998E-3</v>
      </c>
      <c r="AB16" s="31">
        <v>3.4490099999999997E-3</v>
      </c>
      <c r="AC16" s="31">
        <v>3.4526489999999999E-3</v>
      </c>
      <c r="AD16" s="31">
        <v>3.456293E-3</v>
      </c>
      <c r="AE16" s="31">
        <v>3.4599410000000002E-3</v>
      </c>
      <c r="AF16" s="31">
        <v>3.4635930000000001E-3</v>
      </c>
      <c r="AG16" s="31">
        <v>3.467248E-3</v>
      </c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1.2375646625067684E-5</v>
      </c>
      <c r="G17" s="4">
        <v>1.2375646625067684E-5</v>
      </c>
      <c r="H17" s="4">
        <v>1.2375646625067684E-5</v>
      </c>
      <c r="I17" s="4">
        <v>1.2375646625067684E-5</v>
      </c>
      <c r="J17" s="4">
        <v>1.2375646625067684E-5</v>
      </c>
      <c r="K17" s="4">
        <v>1.2375646625067684E-5</v>
      </c>
      <c r="L17" s="4">
        <v>1.2375646625067684E-5</v>
      </c>
      <c r="M17" s="4">
        <v>1.2375646625067684E-5</v>
      </c>
      <c r="N17" s="4">
        <v>1.2375646625067684E-5</v>
      </c>
      <c r="O17" s="4">
        <v>1.2375646625067684E-5</v>
      </c>
      <c r="P17" s="4">
        <v>1.2375646625067684E-5</v>
      </c>
      <c r="Q17" s="4">
        <v>1.2375646625067684E-5</v>
      </c>
      <c r="R17" s="4">
        <v>1.2375646625067684E-5</v>
      </c>
      <c r="S17" s="4">
        <v>1.2375646625067684E-5</v>
      </c>
      <c r="T17" s="4">
        <v>1.2375646625067684E-5</v>
      </c>
      <c r="U17" s="4">
        <v>1.2375646625067684E-5</v>
      </c>
      <c r="V17" s="4">
        <v>1.2375646625067684E-5</v>
      </c>
      <c r="W17" s="4">
        <v>1.2375646625067684E-5</v>
      </c>
      <c r="X17" s="4">
        <v>1.2375646625067684E-5</v>
      </c>
      <c r="Y17" s="4">
        <v>1.2375646625067684E-5</v>
      </c>
      <c r="Z17" s="4">
        <v>1.2375646625067684E-5</v>
      </c>
      <c r="AA17" s="4">
        <v>1.2375646625067684E-5</v>
      </c>
      <c r="AB17" s="4">
        <v>1.2375646625067684E-5</v>
      </c>
      <c r="AC17" s="4">
        <v>1.2375646625067684E-5</v>
      </c>
      <c r="AD17" s="4">
        <v>1.2375646625067684E-5</v>
      </c>
      <c r="AE17" s="4">
        <v>1.2375646625067684E-5</v>
      </c>
      <c r="AF17" s="4">
        <v>1.2375646625067684E-5</v>
      </c>
      <c r="AG17" s="4">
        <v>1.2375646625067684E-5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5.2112239143541636E-3</v>
      </c>
      <c r="G18" s="4">
        <v>5.2112239143541636E-3</v>
      </c>
      <c r="H18" s="4">
        <v>5.2112239143541636E-3</v>
      </c>
      <c r="I18" s="4">
        <v>5.2112239143541636E-3</v>
      </c>
      <c r="J18" s="4">
        <v>5.2112239143541636E-3</v>
      </c>
      <c r="K18" s="4">
        <v>5.2112239143541636E-3</v>
      </c>
      <c r="L18" s="4">
        <v>5.2112239143541636E-3</v>
      </c>
      <c r="M18" s="4">
        <v>5.2112239143541636E-3</v>
      </c>
      <c r="N18" s="4">
        <v>5.2112239143541636E-3</v>
      </c>
      <c r="O18" s="4">
        <v>5.2112239143541636E-3</v>
      </c>
      <c r="P18" s="4">
        <v>5.2112239143541636E-3</v>
      </c>
      <c r="Q18" s="4">
        <v>5.2112239143541636E-3</v>
      </c>
      <c r="R18" s="4">
        <v>5.2112239143541636E-3</v>
      </c>
      <c r="S18" s="4">
        <v>5.2112239143541636E-3</v>
      </c>
      <c r="T18" s="4">
        <v>5.2112239143541636E-3</v>
      </c>
      <c r="U18" s="4">
        <v>5.2112239143541636E-3</v>
      </c>
      <c r="V18" s="4">
        <v>5.2112239143541636E-3</v>
      </c>
      <c r="W18" s="4">
        <v>5.2112239143541636E-3</v>
      </c>
      <c r="X18" s="4">
        <v>5.2112239143541636E-3</v>
      </c>
      <c r="Y18" s="4">
        <v>5.2112239143541636E-3</v>
      </c>
      <c r="Z18" s="4">
        <v>5.2112239143541636E-3</v>
      </c>
      <c r="AA18" s="4">
        <v>5.2112239143541636E-3</v>
      </c>
      <c r="AB18" s="4">
        <v>5.2112239143541636E-3</v>
      </c>
      <c r="AC18" s="4">
        <v>5.2112239143541636E-3</v>
      </c>
      <c r="AD18" s="4">
        <v>5.2112239143541636E-3</v>
      </c>
      <c r="AE18" s="4">
        <v>5.2112239143541636E-3</v>
      </c>
      <c r="AF18" s="4">
        <v>5.2112239143541636E-3</v>
      </c>
      <c r="AG18" s="4">
        <v>5.2112239143541636E-3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6.5093363580536684E-3</v>
      </c>
      <c r="G19" s="4">
        <v>6.5093363580536684E-3</v>
      </c>
      <c r="H19" s="4">
        <v>6.5093363580536684E-3</v>
      </c>
      <c r="I19" s="4">
        <v>6.5093363580536684E-3</v>
      </c>
      <c r="J19" s="4">
        <v>6.5093363580536684E-3</v>
      </c>
      <c r="K19" s="4">
        <v>6.5093363580536684E-3</v>
      </c>
      <c r="L19" s="4">
        <v>6.5093363580536684E-3</v>
      </c>
      <c r="M19" s="4">
        <v>6.5093363580536684E-3</v>
      </c>
      <c r="N19" s="4">
        <v>6.5093363580536684E-3</v>
      </c>
      <c r="O19" s="4">
        <v>6.5093363580536684E-3</v>
      </c>
      <c r="P19" s="4">
        <v>6.5093363580536684E-3</v>
      </c>
      <c r="Q19" s="4">
        <v>6.5093363580536684E-3</v>
      </c>
      <c r="R19" s="4">
        <v>6.5093363580536684E-3</v>
      </c>
      <c r="S19" s="4">
        <v>6.5093363580536684E-3</v>
      </c>
      <c r="T19" s="4">
        <v>6.5093363580536684E-3</v>
      </c>
      <c r="U19" s="4">
        <v>6.5093363580536684E-3</v>
      </c>
      <c r="V19" s="4">
        <v>6.5093363580536684E-3</v>
      </c>
      <c r="W19" s="4">
        <v>6.5093363580536684E-3</v>
      </c>
      <c r="X19" s="4">
        <v>6.5093363580536684E-3</v>
      </c>
      <c r="Y19" s="4">
        <v>6.5093363580536684E-3</v>
      </c>
      <c r="Z19" s="4">
        <v>6.5093363580536684E-3</v>
      </c>
      <c r="AA19" s="4">
        <v>6.5093363580536684E-3</v>
      </c>
      <c r="AB19" s="4">
        <v>6.5093363580536684E-3</v>
      </c>
      <c r="AC19" s="4">
        <v>6.5093363580536684E-3</v>
      </c>
      <c r="AD19" s="4">
        <v>6.5093363580536684E-3</v>
      </c>
      <c r="AE19" s="4">
        <v>6.5093363580536684E-3</v>
      </c>
      <c r="AF19" s="4">
        <v>6.5093363580536684E-3</v>
      </c>
      <c r="AG19" s="4">
        <v>6.5093363580536684E-3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1.1058184387710214E-3</v>
      </c>
      <c r="C24">
        <v>1.1654653618777037E-3</v>
      </c>
      <c r="D24">
        <v>1.1704178038241025E-3</v>
      </c>
      <c r="E24">
        <v>1.8334104357125213E-3</v>
      </c>
      <c r="F24">
        <v>1.7925671059125295E-3</v>
      </c>
      <c r="G24">
        <v>1.7668363026725571E-3</v>
      </c>
      <c r="H24">
        <v>1.7681921690958103E-3</v>
      </c>
      <c r="I24">
        <v>1.7670165945916365E-3</v>
      </c>
      <c r="J24">
        <v>1.7671444744693351E-3</v>
      </c>
      <c r="K24">
        <v>1.8099401047807758E-3</v>
      </c>
      <c r="L24">
        <v>1.8030744017327107E-3</v>
      </c>
      <c r="M24">
        <v>1.7997833613826637E-3</v>
      </c>
      <c r="N24">
        <v>1.8127613642184425E-3</v>
      </c>
      <c r="O24">
        <v>1.8114477428031351E-3</v>
      </c>
      <c r="P24">
        <v>1.8071596629614477E-3</v>
      </c>
      <c r="Q24">
        <v>1.800753525050088E-3</v>
      </c>
      <c r="R24">
        <v>1.7964254092139211E-3</v>
      </c>
      <c r="S24">
        <v>1.7923091457866826E-3</v>
      </c>
      <c r="T24">
        <v>1.7901114370616183E-3</v>
      </c>
      <c r="U24">
        <v>1.7892885681960343E-3</v>
      </c>
      <c r="V24">
        <v>1.7859435878820093E-3</v>
      </c>
      <c r="W24">
        <v>1.7833320196472262E-3</v>
      </c>
      <c r="X24">
        <v>1.7807862284029365E-3</v>
      </c>
      <c r="Y24">
        <v>1.7785748390222685E-3</v>
      </c>
      <c r="Z24">
        <v>1.7765065511849726E-3</v>
      </c>
      <c r="AA24">
        <v>1.7746684088006685E-3</v>
      </c>
      <c r="AB24">
        <v>1.7729074711792267E-3</v>
      </c>
      <c r="AC24">
        <v>1.7711892428205265E-3</v>
      </c>
      <c r="AD24">
        <v>1.7696729758698506E-3</v>
      </c>
      <c r="AE24">
        <v>1.7681621651634465E-3</v>
      </c>
    </row>
    <row r="25" spans="1:37">
      <c r="A25" t="s">
        <v>3</v>
      </c>
      <c r="B25">
        <v>4.1435623124899391E-4</v>
      </c>
      <c r="C25">
        <v>4.1583860682125711E-4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7">
      <c r="A26" t="s">
        <v>4</v>
      </c>
      <c r="B26">
        <v>3.8560342544165043E-4</v>
      </c>
      <c r="C26">
        <v>3.938977091004229E-4</v>
      </c>
      <c r="D26">
        <v>4.0102815590911211E-4</v>
      </c>
      <c r="E26">
        <v>3.7447643323240698E-4</v>
      </c>
      <c r="F26">
        <v>3.9011286777709445E-4</v>
      </c>
      <c r="G26">
        <v>3.973908333465341E-4</v>
      </c>
      <c r="H26">
        <v>3.9921116827982341E-4</v>
      </c>
      <c r="I26">
        <v>4.0474968459162865E-4</v>
      </c>
      <c r="J26">
        <v>4.0866714086181205E-4</v>
      </c>
      <c r="K26">
        <v>4.1165739618674141E-4</v>
      </c>
      <c r="L26">
        <v>4.1453743818293512E-4</v>
      </c>
      <c r="M26">
        <v>4.1476226395269379E-4</v>
      </c>
      <c r="N26">
        <v>4.1467751199658729E-4</v>
      </c>
      <c r="O26">
        <v>4.1774836203476703E-4</v>
      </c>
      <c r="P26">
        <v>4.1834632264550211E-4</v>
      </c>
      <c r="Q26">
        <v>4.1983822558637316E-4</v>
      </c>
      <c r="R26">
        <v>4.2130104966706447E-4</v>
      </c>
      <c r="S26">
        <v>4.2281184411175634E-4</v>
      </c>
      <c r="T26">
        <v>4.2360951790740064E-4</v>
      </c>
      <c r="U26">
        <v>4.2374431078237557E-4</v>
      </c>
      <c r="V26">
        <v>4.2455978231601869E-4</v>
      </c>
      <c r="W26">
        <v>4.2499271222158055E-4</v>
      </c>
      <c r="X26">
        <v>4.255977010533903E-4</v>
      </c>
      <c r="Y26">
        <v>4.259134403023234E-4</v>
      </c>
      <c r="Z26">
        <v>4.2644140225411056E-4</v>
      </c>
      <c r="AA26">
        <v>4.2668500307371869E-4</v>
      </c>
      <c r="AB26">
        <v>4.2678409185942635E-4</v>
      </c>
      <c r="AC26">
        <v>4.2712969246070032E-4</v>
      </c>
      <c r="AD26">
        <v>4.274732939624897E-4</v>
      </c>
      <c r="AE26">
        <v>4.2842378634895789E-4</v>
      </c>
    </row>
    <row r="27" spans="1:37">
      <c r="A27" t="s">
        <v>5</v>
      </c>
      <c r="B27">
        <v>4.0465652197743196E-4</v>
      </c>
      <c r="C27">
        <v>4.1576202640994142E-4</v>
      </c>
      <c r="D27">
        <v>4.1870929984394776E-4</v>
      </c>
      <c r="E27">
        <v>3.4409208550507931E-4</v>
      </c>
      <c r="F27">
        <v>3.4419262087433795E-4</v>
      </c>
      <c r="G27">
        <v>3.4411556548873622E-4</v>
      </c>
      <c r="H27">
        <v>3.4385085191786675E-4</v>
      </c>
      <c r="I27">
        <v>3.4374428891511578E-4</v>
      </c>
      <c r="J27">
        <v>3.4388677191107174E-4</v>
      </c>
      <c r="K27">
        <v>3.4098770463444509E-4</v>
      </c>
      <c r="L27">
        <v>3.4083716341924594E-4</v>
      </c>
      <c r="M27">
        <v>3.4068376869670204E-4</v>
      </c>
      <c r="N27">
        <v>3.4100707001013305E-4</v>
      </c>
      <c r="O27">
        <v>3.408843157578416E-4</v>
      </c>
      <c r="P27">
        <v>3.4070375393540871E-4</v>
      </c>
      <c r="Q27">
        <v>3.4057489723857105E-4</v>
      </c>
      <c r="R27">
        <v>3.4046925334305474E-4</v>
      </c>
      <c r="S27">
        <v>3.4035874672902949E-4</v>
      </c>
      <c r="T27">
        <v>3.4024322777438746E-4</v>
      </c>
      <c r="U27">
        <v>3.4013551054394651E-4</v>
      </c>
      <c r="V27">
        <v>3.3986595562915498E-4</v>
      </c>
      <c r="W27">
        <v>3.3962863359133648E-4</v>
      </c>
      <c r="X27">
        <v>3.394067546925186E-4</v>
      </c>
      <c r="Y27">
        <v>3.3918821022924957E-4</v>
      </c>
      <c r="Z27">
        <v>3.3898614557244353E-4</v>
      </c>
      <c r="AA27">
        <v>3.3877409898357754E-4</v>
      </c>
      <c r="AB27">
        <v>3.3856412572963625E-4</v>
      </c>
      <c r="AC27">
        <v>3.3837354991326314E-4</v>
      </c>
      <c r="AD27">
        <v>3.3819694238939799E-4</v>
      </c>
      <c r="AE27">
        <v>3.3806951778987936E-4</v>
      </c>
    </row>
    <row r="28" spans="1:37">
      <c r="A28" t="s">
        <v>6</v>
      </c>
      <c r="B28">
        <v>6.5517280333083554E-4</v>
      </c>
      <c r="C28">
        <v>6.0514507559113824E-4</v>
      </c>
      <c r="D28">
        <v>6.0150704320725845E-4</v>
      </c>
      <c r="E28">
        <v>5.3583985164873816E-4</v>
      </c>
      <c r="F28">
        <v>5.5498411080249122E-4</v>
      </c>
      <c r="G28">
        <v>5.7874853156808677E-4</v>
      </c>
      <c r="H28">
        <v>5.7864870343463874E-4</v>
      </c>
      <c r="I28">
        <v>5.8194405794577159E-4</v>
      </c>
      <c r="J28">
        <v>5.8334787551745141E-4</v>
      </c>
      <c r="K28">
        <v>5.8826201754996798E-4</v>
      </c>
      <c r="L28">
        <v>5.895840420730642E-4</v>
      </c>
      <c r="M28">
        <v>5.8604151309520232E-4</v>
      </c>
      <c r="N28">
        <v>5.835181133931692E-4</v>
      </c>
      <c r="O28">
        <v>5.8539577311758086E-4</v>
      </c>
      <c r="P28">
        <v>5.835990908424402E-4</v>
      </c>
      <c r="Q28">
        <v>5.87484566242421E-4</v>
      </c>
      <c r="R28">
        <v>5.8791676602440283E-4</v>
      </c>
      <c r="S28">
        <v>5.8833775584053564E-4</v>
      </c>
      <c r="T28">
        <v>5.8730323704543933E-4</v>
      </c>
      <c r="U28">
        <v>5.8726122895937614E-4</v>
      </c>
      <c r="V28">
        <v>5.8728067976056427E-4</v>
      </c>
      <c r="W28">
        <v>5.8687042642141746E-4</v>
      </c>
      <c r="X28">
        <v>5.8656658050347586E-4</v>
      </c>
      <c r="Y28">
        <v>5.8613007006563344E-4</v>
      </c>
      <c r="Z28">
        <v>5.8581767396648633E-4</v>
      </c>
      <c r="AA28">
        <v>5.8536228181720518E-4</v>
      </c>
      <c r="AB28">
        <v>5.8489367662228398E-4</v>
      </c>
      <c r="AC28">
        <v>5.84480286558208E-4</v>
      </c>
      <c r="AD28">
        <v>5.8409024130029442E-4</v>
      </c>
      <c r="AE28">
        <v>5.8395244367653431E-4</v>
      </c>
    </row>
    <row r="29" spans="1:37">
      <c r="A29" t="s">
        <v>84</v>
      </c>
      <c r="B29">
        <v>3.6045503701553509E-4</v>
      </c>
      <c r="C29">
        <v>3.5950684514816466E-4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7">
      <c r="A30" t="s">
        <v>85</v>
      </c>
      <c r="B30">
        <v>5.8311378364830837E-4</v>
      </c>
      <c r="C30">
        <v>5.7223208730528745E-4</v>
      </c>
      <c r="D30">
        <v>5.6894733626181731E-4</v>
      </c>
      <c r="E30">
        <v>1.0820719047685537E-3</v>
      </c>
      <c r="F30">
        <v>1.0897685621878879E-3</v>
      </c>
      <c r="G30">
        <v>1.098089389605183E-3</v>
      </c>
      <c r="H30">
        <v>1.1061850143754047E-3</v>
      </c>
      <c r="I30">
        <v>1.1052682049088524E-3</v>
      </c>
      <c r="J30">
        <v>1.0725062427875806E-3</v>
      </c>
      <c r="K30">
        <v>1.078206620667866E-3</v>
      </c>
      <c r="L30">
        <v>1.0817165629494314E-3</v>
      </c>
      <c r="M30">
        <v>1.0843621383132857E-3</v>
      </c>
      <c r="N30">
        <v>1.0738877357722972E-3</v>
      </c>
      <c r="O30">
        <v>1.0783368346509688E-3</v>
      </c>
      <c r="P30">
        <v>1.0871886388675498E-3</v>
      </c>
      <c r="Q30">
        <v>1.0871623801876017E-3</v>
      </c>
      <c r="R30">
        <v>1.0881894290858439E-3</v>
      </c>
      <c r="S30">
        <v>1.0894788617249883E-3</v>
      </c>
      <c r="T30">
        <v>1.090807431232659E-3</v>
      </c>
      <c r="U30">
        <v>1.0923861689048466E-3</v>
      </c>
      <c r="V30">
        <v>1.0940314349786109E-3</v>
      </c>
      <c r="W30">
        <v>1.0953890311752267E-3</v>
      </c>
      <c r="X30">
        <v>1.0971447824884295E-3</v>
      </c>
      <c r="Y30">
        <v>1.097970183534309E-3</v>
      </c>
      <c r="Z30">
        <v>1.0992446219007771E-3</v>
      </c>
      <c r="AA30">
        <v>1.1001875190505823E-3</v>
      </c>
      <c r="AB30">
        <v>1.1006808979515952E-3</v>
      </c>
      <c r="AC30">
        <v>1.1016918838478178E-3</v>
      </c>
      <c r="AD30">
        <v>1.1025044922034664E-3</v>
      </c>
      <c r="AE30">
        <v>1.1044683251196742E-3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R26" sqref="R26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1.1869958916684679E-3</v>
      </c>
      <c r="C2">
        <v>3.0452303698896816E-4</v>
      </c>
      <c r="D2">
        <v>3.2946599147066076E-4</v>
      </c>
      <c r="E2">
        <v>3.9204179367786397E-4</v>
      </c>
      <c r="F2">
        <v>6.0116405303191475E-4</v>
      </c>
      <c r="G2">
        <v>2.3340357187499688E-4</v>
      </c>
      <c r="H2">
        <v>5.8116746400402948E-4</v>
      </c>
    </row>
    <row r="3" spans="1:8">
      <c r="A3" t="s">
        <v>8</v>
      </c>
      <c r="B3">
        <v>3.2473412441950682E-3</v>
      </c>
      <c r="C3">
        <v>2.5184995531410443E-3</v>
      </c>
      <c r="D3">
        <v>9.250377422058715E-4</v>
      </c>
      <c r="E3">
        <v>1.0105389360616456E-3</v>
      </c>
      <c r="F3">
        <v>2.2407802055350282E-3</v>
      </c>
      <c r="G3">
        <v>1.6954707688479299E-3</v>
      </c>
      <c r="H3">
        <v>3.0316168081849361E-3</v>
      </c>
    </row>
    <row r="4" spans="1:8">
      <c r="A4" t="s">
        <v>7</v>
      </c>
      <c r="B4">
        <v>1.3768785799698285E-3</v>
      </c>
      <c r="C4">
        <v>4.2847034255362628E-4</v>
      </c>
      <c r="D4">
        <v>4.2847034255362628E-4</v>
      </c>
      <c r="E4">
        <v>4.2847034255362628E-4</v>
      </c>
      <c r="F4">
        <v>0</v>
      </c>
      <c r="G4">
        <v>0</v>
      </c>
      <c r="H4">
        <v>1.2854110276608786E-3</v>
      </c>
    </row>
    <row r="5" spans="1:8">
      <c r="A5" t="s">
        <v>16</v>
      </c>
      <c r="B5">
        <v>7.5686214263268839E-4</v>
      </c>
      <c r="C5">
        <v>7.1745362435245036E-5</v>
      </c>
      <c r="D5">
        <v>7.1745362435245036E-5</v>
      </c>
      <c r="E5">
        <v>7.1745362435245036E-5</v>
      </c>
      <c r="F5">
        <v>0</v>
      </c>
      <c r="G5">
        <v>0</v>
      </c>
      <c r="H5">
        <v>2.1523608730573507E-4</v>
      </c>
    </row>
    <row r="6" spans="1:8">
      <c r="A6" t="s">
        <v>17</v>
      </c>
      <c r="B6">
        <v>3.9768826588502888E-5</v>
      </c>
      <c r="C6">
        <v>0</v>
      </c>
      <c r="D6">
        <v>1.2375644276775558E-5</v>
      </c>
      <c r="E6">
        <v>1.2375646625067684E-5</v>
      </c>
      <c r="F6">
        <v>0</v>
      </c>
      <c r="G6">
        <v>0</v>
      </c>
      <c r="H6">
        <v>3.7126939875203046E-5</v>
      </c>
    </row>
    <row r="7" spans="1:8">
      <c r="A7" t="s">
        <v>18</v>
      </c>
      <c r="B7">
        <v>2.0727097350644572E-2</v>
      </c>
      <c r="C7">
        <v>6.5093363580536684E-3</v>
      </c>
      <c r="D7">
        <v>6.5093363580536684E-3</v>
      </c>
      <c r="E7">
        <v>6.5093363580536684E-3</v>
      </c>
      <c r="F7">
        <v>1.4329104903978667E-2</v>
      </c>
      <c r="G7">
        <v>5.0447356774915931E-3</v>
      </c>
      <c r="H7">
        <v>1.9528009074161003E-2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1.3226441773833212E-4</v>
      </c>
      <c r="C10">
        <v>7.0204850469879831E-5</v>
      </c>
      <c r="D10">
        <v>9.2955581997260681E-5</v>
      </c>
      <c r="E10">
        <v>1.0087912753938768E-4</v>
      </c>
      <c r="F10">
        <v>1.7525323807361898E-4</v>
      </c>
      <c r="G10">
        <v>5.5270584840087177E-5</v>
      </c>
      <c r="H10">
        <v>8.379890176963306E-5</v>
      </c>
    </row>
    <row r="11" spans="1:8">
      <c r="A11" t="s">
        <v>8</v>
      </c>
      <c r="B11">
        <v>1.421389052178215E-3</v>
      </c>
      <c r="C11">
        <v>7.9458999302765691E-4</v>
      </c>
      <c r="D11">
        <v>7.5502679371825096E-4</v>
      </c>
      <c r="E11">
        <v>7.2905101417222013E-4</v>
      </c>
      <c r="F11">
        <v>0</v>
      </c>
      <c r="G11">
        <v>8.0334858395033032E-4</v>
      </c>
      <c r="H11">
        <v>0</v>
      </c>
    </row>
    <row r="12" spans="1:8">
      <c r="A12" t="s">
        <v>7</v>
      </c>
      <c r="B12">
        <v>5.4991909569712227E-4</v>
      </c>
      <c r="C12">
        <v>1.7112912259502911E-4</v>
      </c>
      <c r="D12">
        <v>1.7112912259502911E-4</v>
      </c>
      <c r="E12">
        <v>1.7112912259502911E-4</v>
      </c>
      <c r="F12">
        <v>0</v>
      </c>
      <c r="G12">
        <v>0</v>
      </c>
      <c r="H12">
        <v>5.1338736778508724E-4</v>
      </c>
    </row>
    <row r="13" spans="1:8">
      <c r="A13" t="s">
        <v>16</v>
      </c>
      <c r="B13">
        <v>1.0829065696442089E-2</v>
      </c>
      <c r="C13">
        <v>3.3698929999999997E-3</v>
      </c>
      <c r="D13">
        <v>3.3698929999999997E-3</v>
      </c>
      <c r="E13">
        <v>3.3698929999999997E-3</v>
      </c>
      <c r="F13">
        <v>0</v>
      </c>
      <c r="G13">
        <v>0</v>
      </c>
      <c r="H13">
        <v>1.0109678999999998E-2</v>
      </c>
    </row>
    <row r="14" spans="1:8">
      <c r="A14" t="s">
        <v>17</v>
      </c>
      <c r="B14">
        <v>1.5549894526873581E-2</v>
      </c>
      <c r="C14">
        <v>4.8389660000000001E-3</v>
      </c>
      <c r="D14">
        <v>4.8389660000000001E-3</v>
      </c>
      <c r="E14">
        <v>4.8389660000000001E-3</v>
      </c>
      <c r="F14">
        <v>0</v>
      </c>
      <c r="G14">
        <v>0</v>
      </c>
      <c r="H14">
        <v>1.4516897999999999E-2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12">
        <v>0.68595041322314043</v>
      </c>
    </row>
    <row r="3" spans="1:2">
      <c r="A3" t="s">
        <v>8</v>
      </c>
      <c r="B3" s="12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22" sqref="B22"/>
    </sheetView>
  </sheetViews>
  <sheetFormatPr defaultRowHeight="15"/>
  <cols>
    <col min="1" max="1" width="42.140625" customWidth="1"/>
    <col min="2" max="2" width="26.42578125" customWidth="1"/>
    <col min="3" max="3" width="42.8554687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13" customFormat="1">
      <c r="A14" s="13" t="s">
        <v>64</v>
      </c>
      <c r="C14" s="20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3.142498616321935E-4</v>
      </c>
      <c r="C16">
        <f>C15*$B$2/$B$9</f>
        <v>3.142498616321923E-4</v>
      </c>
      <c r="D16" s="4">
        <f>BNVFE!D8</f>
        <v>3.8560342544165043E-4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13" t="s">
        <v>68</v>
      </c>
      <c r="B20">
        <f>7.1/6.1</f>
        <v>1.1639344262295082</v>
      </c>
    </row>
    <row r="21" spans="1:4">
      <c r="A21" s="13" t="s">
        <v>69</v>
      </c>
      <c r="B21">
        <f>B19*$B$20</f>
        <v>6.7042622950819668</v>
      </c>
    </row>
    <row r="22" spans="1:4" ht="30">
      <c r="A22" s="13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5">
        <v>0.2</v>
      </c>
      <c r="D25" s="6" t="s">
        <v>82</v>
      </c>
    </row>
    <row r="26" spans="1:4">
      <c r="A26" t="s">
        <v>77</v>
      </c>
      <c r="B26" s="15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6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tabSelected="1" zoomScale="90" zoomScaleNormal="90" workbookViewId="0">
      <pane xSplit="2" topLeftCell="P1" activePane="topRight" state="frozen"/>
      <selection pane="topRight" activeCell="B6" sqref="B6"/>
    </sheetView>
  </sheetViews>
  <sheetFormatPr defaultRowHeight="15"/>
  <cols>
    <col min="1" max="1" width="14" customWidth="1"/>
    <col min="15" max="15" width="11.42578125" customWidth="1"/>
    <col min="43" max="43" width="9.140625" style="23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>
        <v>2019</v>
      </c>
      <c r="AN1">
        <v>2020</v>
      </c>
      <c r="AO1">
        <v>2021</v>
      </c>
      <c r="AP1">
        <v>2022</v>
      </c>
      <c r="AQ1" s="23">
        <v>2023</v>
      </c>
      <c r="AR1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9"/>
      <c r="D2" s="9"/>
      <c r="E2" s="9"/>
      <c r="F2" s="9"/>
      <c r="G2" s="9"/>
      <c r="H2" s="9"/>
      <c r="I2" s="9"/>
      <c r="J2" s="9"/>
      <c r="K2" s="9"/>
      <c r="L2" s="9"/>
      <c r="M2" s="8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4">
        <f>Calculations!C16</f>
        <v>3.142498616321923E-4</v>
      </c>
      <c r="AB2" s="26">
        <f t="shared" ref="AB2:AO2" si="0">($AR$2-$AA$2)/COUNT($AB$1:$AR$1)+AA2</f>
        <v>3.1779260113808729E-4</v>
      </c>
      <c r="AC2" s="26">
        <f t="shared" si="0"/>
        <v>3.2133534064398227E-4</v>
      </c>
      <c r="AD2" s="26">
        <f t="shared" si="0"/>
        <v>3.2487808014987726E-4</v>
      </c>
      <c r="AE2" s="26">
        <f t="shared" si="0"/>
        <v>3.2842081965577224E-4</v>
      </c>
      <c r="AF2" s="26">
        <f t="shared" si="0"/>
        <v>3.3196355916166722E-4</v>
      </c>
      <c r="AG2" s="26">
        <f t="shared" si="0"/>
        <v>3.3550629866756221E-4</v>
      </c>
      <c r="AH2" s="26">
        <f t="shared" si="0"/>
        <v>3.3904903817345719E-4</v>
      </c>
      <c r="AI2" s="26">
        <f t="shared" si="0"/>
        <v>3.4259177767935218E-4</v>
      </c>
      <c r="AJ2" s="26">
        <f t="shared" si="0"/>
        <v>3.4613451718524716E-4</v>
      </c>
      <c r="AK2" s="26">
        <f t="shared" si="0"/>
        <v>3.4967725669114214E-4</v>
      </c>
      <c r="AL2" s="26">
        <f t="shared" si="0"/>
        <v>3.5321999619703713E-4</v>
      </c>
      <c r="AM2" s="26">
        <f t="shared" si="0"/>
        <v>3.5676273570293211E-4</v>
      </c>
      <c r="AN2" s="26">
        <f t="shared" si="0"/>
        <v>3.603054752088271E-4</v>
      </c>
      <c r="AO2" s="26">
        <f t="shared" si="0"/>
        <v>3.6384821471472208E-4</v>
      </c>
      <c r="AP2" s="26">
        <f>($AR$2-$AA$2)/COUNT($AB$1:$AR$1)+AO2</f>
        <v>3.6739095422061706E-4</v>
      </c>
      <c r="AQ2" s="26">
        <f>($AR$2-$AA$2)/COUNT($AB$1:$AR$1)+AP2</f>
        <v>3.7093369372651205E-4</v>
      </c>
      <c r="AR2" s="10">
        <f>BNVFE!G8</f>
        <v>3.7447643323240698E-4</v>
      </c>
      <c r="AS2" s="10">
        <f>BNVFE!H8</f>
        <v>3.9011286777709445E-4</v>
      </c>
      <c r="AT2" s="10">
        <f>BNVFE!I8</f>
        <v>3.973908333465341E-4</v>
      </c>
      <c r="AU2" s="10">
        <f>BNVFE!J8</f>
        <v>3.9921116827982341E-4</v>
      </c>
      <c r="AV2" s="10">
        <f>BNVFE!K8</f>
        <v>4.0474968459162865E-4</v>
      </c>
      <c r="AW2" s="10">
        <f>BNVFE!L8</f>
        <v>4.0866714086181205E-4</v>
      </c>
      <c r="AX2" s="10">
        <f>BNVFE!M8</f>
        <v>4.1165739618674141E-4</v>
      </c>
      <c r="AY2" s="10">
        <f>BNVFE!N8</f>
        <v>4.1453743818293512E-4</v>
      </c>
      <c r="AZ2" s="10">
        <f>BNVFE!O8</f>
        <v>4.1476226395269379E-4</v>
      </c>
      <c r="BA2" s="10">
        <f>BNVFE!P8</f>
        <v>4.1467751199658729E-4</v>
      </c>
      <c r="BB2" s="10">
        <f>BNVFE!Q8</f>
        <v>4.1774836203476703E-4</v>
      </c>
      <c r="BC2" s="10">
        <f>BNVFE!R8</f>
        <v>4.1834632264550211E-4</v>
      </c>
      <c r="BD2" s="10">
        <f>BNVFE!S8</f>
        <v>4.1983822558637316E-4</v>
      </c>
      <c r="BE2" s="10">
        <f>BNVFE!T8</f>
        <v>4.2130104966706447E-4</v>
      </c>
      <c r="BF2" s="10">
        <f>BNVFE!U8</f>
        <v>4.2281184411175634E-4</v>
      </c>
      <c r="BG2" s="10">
        <f>BNVFE!V8</f>
        <v>4.2360951790740064E-4</v>
      </c>
      <c r="BH2" s="10">
        <f>BNVFE!W8</f>
        <v>4.2374431078237557E-4</v>
      </c>
      <c r="BI2" s="10">
        <f>BNVFE!X8</f>
        <v>4.2455978231601869E-4</v>
      </c>
      <c r="BJ2" s="10">
        <f>BNVFE!Y8</f>
        <v>4.2499271222158055E-4</v>
      </c>
      <c r="BK2" s="10">
        <f>BNVFE!Z8</f>
        <v>4.255977010533903E-4</v>
      </c>
      <c r="BL2" s="10">
        <f>BNVFE!AA8</f>
        <v>4.259134403023234E-4</v>
      </c>
      <c r="BM2" s="10">
        <f>BNVFE!AB8</f>
        <v>4.2644140225411056E-4</v>
      </c>
      <c r="BN2" s="10">
        <f>BNVFE!AC8</f>
        <v>4.2668500307371869E-4</v>
      </c>
      <c r="BO2" s="10">
        <f>BNVFE!AD8</f>
        <v>4.2678409185942635E-4</v>
      </c>
      <c r="BP2" s="10">
        <f>BNVFE!AE8</f>
        <v>4.2712969246070032E-4</v>
      </c>
      <c r="BQ2" s="10">
        <f>BNVFE!AF8</f>
        <v>4.274732939624897E-4</v>
      </c>
      <c r="BR2" s="10">
        <f>BNVFE!AG8</f>
        <v>4.2842378634895789E-4</v>
      </c>
      <c r="BS2" s="10"/>
      <c r="BT2" s="4"/>
    </row>
    <row r="3" spans="1:72">
      <c r="A3" t="s">
        <v>15</v>
      </c>
      <c r="B3" t="s">
        <v>22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4" cm="1">
        <f t="array" ref="AA3">TREND($AQ$3:$AU$3,$AQ$1:$AU$1,AA1)</f>
        <v>6.2736507518388511E-5</v>
      </c>
      <c r="AB3" s="4" cm="1">
        <f t="array" ref="AB3">TREND($AQ$3:$AU$3,$AQ$1:$AU$1,AB1)</f>
        <v>6.3701994710036553E-5</v>
      </c>
      <c r="AC3" s="4" cm="1">
        <f t="array" ref="AC3">TREND($AQ$3:$AU$3,$AQ$1:$AU$1,AC1)</f>
        <v>6.4667481901684379E-5</v>
      </c>
      <c r="AD3" s="4" cm="1">
        <f t="array" ref="AD3">TREND($AQ$3:$AU$3,$AQ$1:$AU$1,AD1)</f>
        <v>6.5632969093332421E-5</v>
      </c>
      <c r="AE3" s="4" cm="1">
        <f t="array" ref="AE3">TREND($AQ$3:$AU$3,$AQ$1:$AU$1,AE1)</f>
        <v>6.6598456284980246E-5</v>
      </c>
      <c r="AF3" s="4" cm="1">
        <f t="array" ref="AF3">TREND($AQ$3:$AU$3,$AQ$1:$AU$1,AF1)</f>
        <v>6.7563943476628288E-5</v>
      </c>
      <c r="AG3" s="4" cm="1">
        <f t="array" ref="AG3">TREND($AQ$3:$AU$3,$AQ$1:$AU$1,AG1)</f>
        <v>6.8529430668276114E-5</v>
      </c>
      <c r="AH3" s="4" cm="1">
        <f t="array" ref="AH3">TREND($AQ$3:$AU$3,$AQ$1:$AU$1,AH1)</f>
        <v>6.9494917859924156E-5</v>
      </c>
      <c r="AI3" s="4" cm="1">
        <f t="array" ref="AI3">TREND($AQ$3:$AU$3,$AQ$1:$AU$1,AI1)</f>
        <v>7.0460405051572198E-5</v>
      </c>
      <c r="AJ3" s="4" cm="1">
        <f t="array" ref="AJ3">TREND($AQ$3:$AU$3,$AQ$1:$AU$1,AJ1)</f>
        <v>7.1425892243220023E-5</v>
      </c>
      <c r="AK3" s="4" cm="1">
        <f t="array" ref="AK3">TREND($AQ$3:$AU$3,$AQ$1:$AU$1,AK1)</f>
        <v>7.2391379434868066E-5</v>
      </c>
      <c r="AL3" s="4" cm="1">
        <f t="array" ref="AL3">TREND($AQ$3:$AU$3,$AQ$1:$AU$1,AL1)</f>
        <v>7.3356866626515891E-5</v>
      </c>
      <c r="AM3" s="4" cm="1">
        <f t="array" ref="AM3">TREND($AQ$3:$AU$3,$AQ$1:$AU$1,AM1)</f>
        <v>7.4322353818163933E-5</v>
      </c>
      <c r="AN3" s="4" cm="1">
        <f t="array" ref="AN3">TREND($AQ$3:$AU$3,$AQ$1:$AU$1,AN1)</f>
        <v>7.5287841009811758E-5</v>
      </c>
      <c r="AO3" s="4" cm="1">
        <f t="array" ref="AO3">TREND($AQ$3:$AU$3,$AQ$1:$AU$1,AO1)</f>
        <v>7.6253328201459801E-5</v>
      </c>
      <c r="AP3" s="4" cm="1">
        <f t="array" ref="AP3">TREND($AR$3:$AV$3,$AR$1:$AV$1,AP1)</f>
        <v>7.6915445435660028E-5</v>
      </c>
      <c r="AQ3" s="4" cm="1">
        <f t="array" ref="AQ3">TREND($AR$3:$AV$3,$AR$1:$AV$1,AQ1)</f>
        <v>7.8010948323356793E-5</v>
      </c>
      <c r="AR3" s="10">
        <f>BNVFE!G9</f>
        <v>7.9492494824774367E-5</v>
      </c>
      <c r="AS3" s="10">
        <f>BNVFE!H9</f>
        <v>7.9975948644702701E-5</v>
      </c>
      <c r="AT3" s="10">
        <f>BNVFE!I9</f>
        <v>8.1024722706877106E-5</v>
      </c>
      <c r="AU3" s="10">
        <f>BNVFE!J9</f>
        <v>8.2072270340545126E-5</v>
      </c>
      <c r="AV3" s="10">
        <f>BNVFE!K9</f>
        <v>8.3921848415336979E-5</v>
      </c>
      <c r="AW3" s="10">
        <f>BNVFE!L9</f>
        <v>8.424008288356597E-5</v>
      </c>
      <c r="AX3" s="10">
        <f>BNVFE!M9</f>
        <v>8.5145457355772448E-5</v>
      </c>
      <c r="AY3" s="10">
        <f>BNVFE!N9</f>
        <v>8.6269511754863824E-5</v>
      </c>
      <c r="AZ3" s="10">
        <f>BNVFE!O9</f>
        <v>8.7316787399673934E-5</v>
      </c>
      <c r="BA3" s="10">
        <f>BNVFE!P9</f>
        <v>8.7981217262129169E-5</v>
      </c>
      <c r="BB3" s="10">
        <f>BNVFE!Q9</f>
        <v>8.8870744349267236E-5</v>
      </c>
      <c r="BC3" s="10">
        <f>BNVFE!R9</f>
        <v>8.9949247005972088E-5</v>
      </c>
      <c r="BD3" s="10">
        <f>BNVFE!S9</f>
        <v>9.0831024253729272E-5</v>
      </c>
      <c r="BE3" s="10">
        <f>BNVFE!T9</f>
        <v>9.1579110752047641E-5</v>
      </c>
      <c r="BF3" s="10">
        <f>BNVFE!U9</f>
        <v>9.2403640539502613E-5</v>
      </c>
      <c r="BG3" s="10">
        <f>BNVFE!V9</f>
        <v>9.319851514165077E-5</v>
      </c>
      <c r="BH3" s="10">
        <f>BNVFE!W9</f>
        <v>9.3891059740218658E-5</v>
      </c>
      <c r="BI3" s="10">
        <f>BNVFE!X9</f>
        <v>9.5047122599296139E-5</v>
      </c>
      <c r="BJ3" s="10">
        <f>BNVFE!Y9</f>
        <v>9.6059950070461278E-5</v>
      </c>
      <c r="BK3" s="10">
        <f>BNVFE!Z9</f>
        <v>9.7048480369583043E-5</v>
      </c>
      <c r="BL3" s="10">
        <f>BNVFE!AA9</f>
        <v>9.7649579603605602E-5</v>
      </c>
      <c r="BM3" s="10">
        <f>BNVFE!AB9</f>
        <v>9.8224460923876486E-5</v>
      </c>
      <c r="BN3" s="10">
        <f>BNVFE!AC9</f>
        <v>9.8795624738493866E-5</v>
      </c>
      <c r="BO3" s="10">
        <f>BNVFE!AD9</f>
        <v>9.9479244599585216E-5</v>
      </c>
      <c r="BP3" s="10">
        <f>BNVFE!AE9</f>
        <v>9.9975448040260604E-5</v>
      </c>
      <c r="BQ3" s="10">
        <f>BNVFE!AF9</f>
        <v>1.0044050579002983E-4</v>
      </c>
      <c r="BR3" s="10">
        <f>BNVFE!AG9</f>
        <v>1.0101640935179317E-4</v>
      </c>
      <c r="BS3" s="10"/>
      <c r="BT3" s="4"/>
    </row>
    <row r="4" spans="1:72">
      <c r="A4" t="s">
        <v>8</v>
      </c>
      <c r="B4" t="s">
        <v>21</v>
      </c>
      <c r="C4" s="9"/>
      <c r="D4" s="9"/>
      <c r="E4" s="9"/>
      <c r="F4" s="9"/>
      <c r="G4" s="9"/>
      <c r="H4" s="9"/>
      <c r="I4" s="9"/>
      <c r="J4" s="9"/>
      <c r="K4" s="9"/>
      <c r="L4" s="4">
        <f>L5/M5*M4</f>
        <v>9.8438896867039508E-4</v>
      </c>
      <c r="M4" s="4">
        <f t="shared" ref="M4:AI4" si="1">M5/N5*N4</f>
        <v>9.8438896867039508E-4</v>
      </c>
      <c r="N4" s="4">
        <f t="shared" si="1"/>
        <v>9.8438896867039508E-4</v>
      </c>
      <c r="O4" s="4">
        <f t="shared" si="1"/>
        <v>9.8438896867039508E-4</v>
      </c>
      <c r="P4" s="4">
        <f t="shared" si="1"/>
        <v>9.8438896867039508E-4</v>
      </c>
      <c r="Q4" s="4">
        <f t="shared" si="1"/>
        <v>9.8438896867039508E-4</v>
      </c>
      <c r="R4" s="4">
        <f t="shared" si="1"/>
        <v>9.8438896867039508E-4</v>
      </c>
      <c r="S4" s="4">
        <f t="shared" si="1"/>
        <v>9.8438896867039508E-4</v>
      </c>
      <c r="T4" s="4">
        <f t="shared" si="1"/>
        <v>9.8438896867039508E-4</v>
      </c>
      <c r="U4" s="4">
        <f t="shared" si="1"/>
        <v>9.8438896867039508E-4</v>
      </c>
      <c r="V4" s="4">
        <f t="shared" si="1"/>
        <v>9.8438896867039508E-4</v>
      </c>
      <c r="W4" s="4">
        <f t="shared" si="1"/>
        <v>9.8557760355181558E-4</v>
      </c>
      <c r="X4" s="4">
        <f t="shared" si="1"/>
        <v>9.8676623843323608E-4</v>
      </c>
      <c r="Y4" s="4">
        <f t="shared" si="1"/>
        <v>9.8795487331465657E-4</v>
      </c>
      <c r="Z4" s="4">
        <f t="shared" si="1"/>
        <v>9.8914350819607707E-4</v>
      </c>
      <c r="AA4" s="4">
        <f t="shared" si="1"/>
        <v>9.9033214307749757E-4</v>
      </c>
      <c r="AB4" s="4">
        <f t="shared" si="1"/>
        <v>9.9152077795891806E-4</v>
      </c>
      <c r="AC4" s="4">
        <f t="shared" si="1"/>
        <v>9.9270941284033856E-4</v>
      </c>
      <c r="AD4" s="4">
        <f t="shared" si="1"/>
        <v>9.9389804772175906E-4</v>
      </c>
      <c r="AE4" s="4">
        <f t="shared" si="1"/>
        <v>9.9508668260317955E-4</v>
      </c>
      <c r="AF4" s="4">
        <f t="shared" si="1"/>
        <v>9.9627531748460005E-4</v>
      </c>
      <c r="AG4" s="4">
        <f>AG5/AH5*AH4</f>
        <v>9.9746395236602055E-4</v>
      </c>
      <c r="AH4" s="4">
        <f t="shared" si="1"/>
        <v>9.9865258724744104E-4</v>
      </c>
      <c r="AI4" s="4">
        <f t="shared" si="1"/>
        <v>9.9984122212886154E-4</v>
      </c>
      <c r="AJ4" s="4">
        <f>AJ5/AK5*AK4</f>
        <v>1.001029857010282E-3</v>
      </c>
      <c r="AK4" s="19">
        <f>AK5/AL5*AL4</f>
        <v>1.0022184918917025E-3</v>
      </c>
      <c r="AL4" s="19">
        <f>AL5/AM5*AM4</f>
        <v>1.003407126773123E-3</v>
      </c>
      <c r="AM4" s="19">
        <f>AM5/AN5*AN4</f>
        <v>1.0045957616545435E-3</v>
      </c>
      <c r="AN4" s="19">
        <f t="shared" ref="AN4:AQ4" si="2">AN5/AO5*AO4</f>
        <v>1.005784396535964E-3</v>
      </c>
      <c r="AO4" s="19">
        <f t="shared" si="2"/>
        <v>1.0069730314173845E-3</v>
      </c>
      <c r="AP4" s="19">
        <f t="shared" si="2"/>
        <v>1.008161666298805E-3</v>
      </c>
      <c r="AQ4" s="19">
        <f t="shared" si="2"/>
        <v>1.0105389360616456E-3</v>
      </c>
      <c r="AR4" s="10">
        <f>BNVFE!G10</f>
        <v>1.0071619859986915E-3</v>
      </c>
      <c r="AS4" s="10">
        <f>BNVFE!H10</f>
        <v>1.0297946332597221E-3</v>
      </c>
      <c r="AT4" s="10">
        <f>BNVFE!I10</f>
        <v>1.0542694402792506E-3</v>
      </c>
      <c r="AU4" s="10">
        <f>BNVFE!J10</f>
        <v>1.0790300186124084E-3</v>
      </c>
      <c r="AV4" s="10">
        <f>BNVFE!K10</f>
        <v>1.1024390235193078E-3</v>
      </c>
      <c r="AW4" s="10">
        <f>BNVFE!L10</f>
        <v>1.1250162796311157E-3</v>
      </c>
      <c r="AX4" s="10">
        <f>BNVFE!M10</f>
        <v>1.1437364311026228E-3</v>
      </c>
      <c r="AY4" s="10">
        <f>BNVFE!N10</f>
        <v>1.1601755544794832E-3</v>
      </c>
      <c r="AZ4" s="10">
        <f>BNVFE!O10</f>
        <v>1.1731175422229271E-3</v>
      </c>
      <c r="BA4" s="10">
        <f>BNVFE!P10</f>
        <v>1.1829709958873008E-3</v>
      </c>
      <c r="BB4" s="10">
        <f>BNVFE!Q10</f>
        <v>1.1904376346468411E-3</v>
      </c>
      <c r="BC4" s="10">
        <f>BNVFE!R10</f>
        <v>1.1951266350083583E-3</v>
      </c>
      <c r="BD4" s="10">
        <f>BNVFE!S10</f>
        <v>1.1954817554531098E-3</v>
      </c>
      <c r="BE4" s="10">
        <f>BNVFE!T10</f>
        <v>1.1956768733474535E-3</v>
      </c>
      <c r="BF4" s="10">
        <f>BNVFE!U10</f>
        <v>1.1953490811620006E-3</v>
      </c>
      <c r="BG4" s="10">
        <f>BNVFE!V10</f>
        <v>1.195614135891968E-3</v>
      </c>
      <c r="BH4" s="10">
        <f>BNVFE!W10</f>
        <v>1.1955621240436263E-3</v>
      </c>
      <c r="BI4" s="10">
        <f>BNVFE!X10</f>
        <v>1.1954516355974314E-3</v>
      </c>
      <c r="BJ4" s="10">
        <f>BNVFE!Y10</f>
        <v>1.1954450239217949E-3</v>
      </c>
      <c r="BK4" s="10">
        <f>BNVFE!Z10</f>
        <v>1.1950872588067892E-3</v>
      </c>
      <c r="BL4" s="10">
        <f>BNVFE!AA10</f>
        <v>1.1949745664687152E-3</v>
      </c>
      <c r="BM4" s="10">
        <f>BNVFE!AB10</f>
        <v>1.1948443899217356E-3</v>
      </c>
      <c r="BN4" s="10">
        <f>BNVFE!AC10</f>
        <v>1.1946410441643772E-3</v>
      </c>
      <c r="BO4" s="10">
        <f>BNVFE!AD10</f>
        <v>1.1944371107025177E-3</v>
      </c>
      <c r="BP4" s="10">
        <f>BNVFE!AE10</f>
        <v>1.193589934664274E-3</v>
      </c>
      <c r="BQ4" s="10">
        <f>BNVFE!AF10</f>
        <v>1.1933357524675759E-3</v>
      </c>
      <c r="BR4" s="10">
        <f>BNVFE!AG10</f>
        <v>1.1931159509841881E-3</v>
      </c>
      <c r="BS4" s="10"/>
      <c r="BT4" s="4"/>
    </row>
    <row r="5" spans="1:72">
      <c r="A5" t="s">
        <v>8</v>
      </c>
      <c r="B5" t="s">
        <v>22</v>
      </c>
      <c r="C5" s="9"/>
      <c r="D5" s="9"/>
      <c r="E5" s="9"/>
      <c r="F5" s="9"/>
      <c r="G5" s="9"/>
      <c r="H5" s="9"/>
      <c r="I5" s="9"/>
      <c r="J5" s="9"/>
      <c r="K5" s="9"/>
      <c r="L5" s="4">
        <f>M5</f>
        <v>7.8040477200267344E-4</v>
      </c>
      <c r="M5" s="4">
        <f t="shared" ref="M5:T5" si="3">N5</f>
        <v>7.8040477200267344E-4</v>
      </c>
      <c r="N5" s="4">
        <f t="shared" si="3"/>
        <v>7.8040477200267344E-4</v>
      </c>
      <c r="O5" s="4">
        <f t="shared" si="3"/>
        <v>7.8040477200267344E-4</v>
      </c>
      <c r="P5" s="4">
        <f t="shared" si="3"/>
        <v>7.8040477200267344E-4</v>
      </c>
      <c r="Q5" s="4">
        <f t="shared" si="3"/>
        <v>7.8040477200267344E-4</v>
      </c>
      <c r="R5" s="4">
        <f t="shared" si="3"/>
        <v>7.8040477200267344E-4</v>
      </c>
      <c r="S5" s="4">
        <f t="shared" si="3"/>
        <v>7.8040477200267344E-4</v>
      </c>
      <c r="T5" s="4">
        <f t="shared" si="3"/>
        <v>7.8040477200267344E-4</v>
      </c>
      <c r="U5" s="4">
        <f>V5</f>
        <v>7.8040477200267344E-4</v>
      </c>
      <c r="V5" s="22">
        <f>Calculations!B22</f>
        <v>7.8040477200267344E-4</v>
      </c>
      <c r="W5" s="4">
        <f>($AQ$5-$V$5)/COUNT($V$1:$AQ$1)+V5</f>
        <v>7.8134709903309753E-4</v>
      </c>
      <c r="X5" s="4">
        <f t="shared" ref="X5:AN5" si="4">($AQ$5-$V$5)/COUNT($V$1:$AQ$1)+W5</f>
        <v>7.8228942606352163E-4</v>
      </c>
      <c r="Y5" s="4">
        <f t="shared" si="4"/>
        <v>7.8323175309394572E-4</v>
      </c>
      <c r="Z5" s="4">
        <f t="shared" si="4"/>
        <v>7.8417408012436982E-4</v>
      </c>
      <c r="AA5" s="4">
        <f t="shared" si="4"/>
        <v>7.8511640715479391E-4</v>
      </c>
      <c r="AB5" s="4">
        <f t="shared" si="4"/>
        <v>7.8605873418521801E-4</v>
      </c>
      <c r="AC5" s="4">
        <f t="shared" si="4"/>
        <v>7.870010612156421E-4</v>
      </c>
      <c r="AD5" s="4">
        <f t="shared" si="4"/>
        <v>7.879433882460662E-4</v>
      </c>
      <c r="AE5" s="4">
        <f t="shared" si="4"/>
        <v>7.8888571527649029E-4</v>
      </c>
      <c r="AF5" s="4">
        <f t="shared" si="4"/>
        <v>7.8982804230691439E-4</v>
      </c>
      <c r="AG5" s="4">
        <f t="shared" si="4"/>
        <v>7.9077036933733848E-4</v>
      </c>
      <c r="AH5" s="4">
        <f t="shared" si="4"/>
        <v>7.9171269636776258E-4</v>
      </c>
      <c r="AI5" s="4">
        <f t="shared" si="4"/>
        <v>7.9265502339818667E-4</v>
      </c>
      <c r="AJ5" s="4">
        <f t="shared" si="4"/>
        <v>7.9359735042861077E-4</v>
      </c>
      <c r="AK5" s="4">
        <f t="shared" si="4"/>
        <v>7.9453967745903486E-4</v>
      </c>
      <c r="AL5" s="4">
        <f t="shared" si="4"/>
        <v>7.9548200448945896E-4</v>
      </c>
      <c r="AM5" s="4">
        <f t="shared" si="4"/>
        <v>7.9642433151988306E-4</v>
      </c>
      <c r="AN5" s="4">
        <f t="shared" si="4"/>
        <v>7.9736665855030715E-4</v>
      </c>
      <c r="AO5" s="4">
        <f>($AQ$5-$V$5)/COUNT($V$1:$AQ$1)+AN5</f>
        <v>7.9830898558073125E-4</v>
      </c>
      <c r="AP5" s="4">
        <f>($AQ$5-$V$5)/COUNT($V$1:$AQ$1)+AO5</f>
        <v>7.9925131261115534E-4</v>
      </c>
      <c r="AQ5" s="28">
        <f>BNVFE!F11</f>
        <v>8.0113596667200321E-4</v>
      </c>
      <c r="AR5" s="10">
        <f>BNVFE!G11</f>
        <v>7.9845878516365723E-4</v>
      </c>
      <c r="AS5" s="10">
        <f>BNVFE!H11</f>
        <v>8.1640151561645602E-4</v>
      </c>
      <c r="AT5" s="10">
        <f>BNVFE!I11</f>
        <v>8.3580467513954908E-4</v>
      </c>
      <c r="AU5" s="10">
        <f>BNVFE!J11</f>
        <v>8.5543438870170133E-4</v>
      </c>
      <c r="AV5" s="10">
        <f>BNVFE!K11</f>
        <v>8.7399260066729594E-4</v>
      </c>
      <c r="AW5" s="10">
        <f>BNVFE!L11</f>
        <v>8.9189141807499185E-4</v>
      </c>
      <c r="AX5" s="10">
        <f>BNVFE!M11</f>
        <v>9.0673239659663221E-4</v>
      </c>
      <c r="AY5" s="10">
        <f>BNVFE!N11</f>
        <v>9.1976501961370109E-4</v>
      </c>
      <c r="AZ5" s="10">
        <f>BNVFE!O11</f>
        <v>9.3002518029777076E-4</v>
      </c>
      <c r="BA5" s="10">
        <f>BNVFE!P11</f>
        <v>9.3783681015661687E-4</v>
      </c>
      <c r="BB5" s="10">
        <f>BNVFE!Q11</f>
        <v>9.4375621874836048E-4</v>
      </c>
      <c r="BC5" s="10">
        <f>BNVFE!R11</f>
        <v>9.4747356867254048E-4</v>
      </c>
      <c r="BD5" s="10">
        <f>BNVFE!S11</f>
        <v>9.4775510137814763E-4</v>
      </c>
      <c r="BE5" s="10">
        <f>BNVFE!T11</f>
        <v>9.4790978711792664E-4</v>
      </c>
      <c r="BF5" s="10">
        <f>BNVFE!U11</f>
        <v>9.4764991973430679E-4</v>
      </c>
      <c r="BG5" s="10">
        <f>BNVFE!V11</f>
        <v>9.4786005006153686E-4</v>
      </c>
      <c r="BH5" s="10">
        <f>BNVFE!W11</f>
        <v>9.4781881606162595E-4</v>
      </c>
      <c r="BI5" s="10">
        <f>BNVFE!X11</f>
        <v>9.4773122293187136E-4</v>
      </c>
      <c r="BJ5" s="10">
        <f>BNVFE!Y11</f>
        <v>9.4772598132171319E-4</v>
      </c>
      <c r="BK5" s="10">
        <f>BNVFE!Z11</f>
        <v>9.4744235197204304E-4</v>
      </c>
      <c r="BL5" s="10">
        <f>BNVFE!AA11</f>
        <v>9.4735301163890236E-4</v>
      </c>
      <c r="BM5" s="10">
        <f>BNVFE!AB11</f>
        <v>9.4724981015889911E-4</v>
      </c>
      <c r="BN5" s="10">
        <f>BNVFE!AC11</f>
        <v>9.4708860152647881E-4</v>
      </c>
      <c r="BO5" s="10">
        <f>BNVFE!AD11</f>
        <v>9.4692692697315531E-4</v>
      </c>
      <c r="BP5" s="10">
        <f>BNVFE!AE11</f>
        <v>9.4625530199155417E-4</v>
      </c>
      <c r="BQ5" s="10">
        <f>BNVFE!AF11</f>
        <v>9.4605379120102872E-4</v>
      </c>
      <c r="BR5" s="10">
        <f>BNVFE!AG11</f>
        <v>9.4587953678332564E-4</v>
      </c>
      <c r="BS5" s="10"/>
      <c r="BT5" s="4"/>
    </row>
    <row r="6" spans="1:72">
      <c r="A6" t="s">
        <v>7</v>
      </c>
      <c r="B6" t="s">
        <v>21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4">
        <f t="shared" ref="P6:AM6" si="5">TREND($AQ6:$BR6,$AQ$1:$BR$1,P$1)</f>
        <v>4.3905417607014065E-4</v>
      </c>
      <c r="Q6" s="4">
        <f>TREND($AQ6:$BR6,$AQ$1:$BR$1,Q$1)</f>
        <v>4.3905417607014065E-4</v>
      </c>
      <c r="R6" s="4">
        <f t="shared" si="5"/>
        <v>4.3905417607014065E-4</v>
      </c>
      <c r="S6" s="4">
        <f t="shared" si="5"/>
        <v>4.3905417607014065E-4</v>
      </c>
      <c r="T6" s="4">
        <f t="shared" si="5"/>
        <v>4.3905417607014065E-4</v>
      </c>
      <c r="U6" s="4">
        <f t="shared" si="5"/>
        <v>4.3905417607014065E-4</v>
      </c>
      <c r="V6" s="4">
        <f t="shared" si="5"/>
        <v>4.3905417607014065E-4</v>
      </c>
      <c r="W6" s="4">
        <f t="shared" si="5"/>
        <v>4.3905417607014065E-4</v>
      </c>
      <c r="X6" s="4">
        <f t="shared" si="5"/>
        <v>4.3905417607014065E-4</v>
      </c>
      <c r="Y6" s="4">
        <f t="shared" si="5"/>
        <v>4.3905417607014065E-4</v>
      </c>
      <c r="Z6" s="4">
        <f t="shared" si="5"/>
        <v>4.3905417607014065E-4</v>
      </c>
      <c r="AA6" s="4">
        <f t="shared" si="5"/>
        <v>4.3905417607014065E-4</v>
      </c>
      <c r="AB6" s="4">
        <f t="shared" si="5"/>
        <v>4.3905417607014065E-4</v>
      </c>
      <c r="AC6" s="4">
        <f t="shared" si="5"/>
        <v>4.3905417607014065E-4</v>
      </c>
      <c r="AD6" s="4">
        <f t="shared" si="5"/>
        <v>4.3905417607014065E-4</v>
      </c>
      <c r="AE6" s="4">
        <f t="shared" si="5"/>
        <v>4.3905417607014065E-4</v>
      </c>
      <c r="AF6" s="4">
        <f t="shared" si="5"/>
        <v>4.3905417607014065E-4</v>
      </c>
      <c r="AG6" s="4">
        <f t="shared" si="5"/>
        <v>4.3905417607014065E-4</v>
      </c>
      <c r="AH6" s="4">
        <f t="shared" si="5"/>
        <v>4.3905417607014065E-4</v>
      </c>
      <c r="AI6" s="4">
        <f t="shared" si="5"/>
        <v>4.3905417607014065E-4</v>
      </c>
      <c r="AJ6" s="4">
        <f t="shared" si="5"/>
        <v>4.3905417607014065E-4</v>
      </c>
      <c r="AK6" s="4">
        <f t="shared" si="5"/>
        <v>4.3905417607014065E-4</v>
      </c>
      <c r="AL6" s="4">
        <f t="shared" si="5"/>
        <v>4.3905417607014065E-4</v>
      </c>
      <c r="AM6" s="4">
        <f t="shared" si="5"/>
        <v>4.3905417607014065E-4</v>
      </c>
      <c r="AN6" s="4">
        <f>TREND($AQ6:$BR6,$AQ$1:$BR$1,AN$1)</f>
        <v>4.3905417607014065E-4</v>
      </c>
      <c r="AO6" s="4">
        <f t="shared" ref="AO6:AP6" si="6">TREND($AQ6:$BR6,$AQ$1:$BR$1,AO$1)</f>
        <v>4.3905417607014065E-4</v>
      </c>
      <c r="AP6" s="4">
        <f t="shared" si="6"/>
        <v>4.3905417607014065E-4</v>
      </c>
      <c r="AQ6" s="28">
        <f>BNVFE!F12</f>
        <v>4.390541760701407E-4</v>
      </c>
      <c r="AR6" s="10">
        <f>BNVFE!G12</f>
        <v>4.390541760701407E-4</v>
      </c>
      <c r="AS6" s="10">
        <f>BNVFE!H12</f>
        <v>4.390541760701407E-4</v>
      </c>
      <c r="AT6" s="10">
        <f>BNVFE!I12</f>
        <v>4.390541760701407E-4</v>
      </c>
      <c r="AU6" s="10">
        <f>BNVFE!J12</f>
        <v>4.390541760701407E-4</v>
      </c>
      <c r="AV6" s="10">
        <f>BNVFE!K12</f>
        <v>4.390541760701407E-4</v>
      </c>
      <c r="AW6" s="10">
        <f>BNVFE!L12</f>
        <v>4.390541760701407E-4</v>
      </c>
      <c r="AX6" s="10">
        <f>BNVFE!M12</f>
        <v>4.390541760701407E-4</v>
      </c>
      <c r="AY6" s="10">
        <f>BNVFE!N12</f>
        <v>4.390541760701407E-4</v>
      </c>
      <c r="AZ6" s="10">
        <f>BNVFE!O12</f>
        <v>4.390541760701407E-4</v>
      </c>
      <c r="BA6" s="10">
        <f>BNVFE!P12</f>
        <v>4.390541760701407E-4</v>
      </c>
      <c r="BB6" s="10">
        <f>BNVFE!Q12</f>
        <v>4.390541760701407E-4</v>
      </c>
      <c r="BC6" s="10">
        <f>BNVFE!R12</f>
        <v>4.390541760701407E-4</v>
      </c>
      <c r="BD6" s="10">
        <f>BNVFE!S12</f>
        <v>4.390541760701407E-4</v>
      </c>
      <c r="BE6" s="10">
        <f>BNVFE!T12</f>
        <v>4.390541760701407E-4</v>
      </c>
      <c r="BF6" s="10">
        <f>BNVFE!U12</f>
        <v>4.390541760701407E-4</v>
      </c>
      <c r="BG6" s="10">
        <f>BNVFE!V12</f>
        <v>4.390541760701407E-4</v>
      </c>
      <c r="BH6" s="10">
        <f>BNVFE!W12</f>
        <v>4.390541760701407E-4</v>
      </c>
      <c r="BI6" s="10">
        <f>BNVFE!X12</f>
        <v>4.390541760701407E-4</v>
      </c>
      <c r="BJ6" s="10">
        <f>BNVFE!Y12</f>
        <v>4.390541760701407E-4</v>
      </c>
      <c r="BK6" s="10">
        <f>BNVFE!Z12</f>
        <v>4.390541760701407E-4</v>
      </c>
      <c r="BL6" s="10">
        <f>BNVFE!AA12</f>
        <v>4.390541760701407E-4</v>
      </c>
      <c r="BM6" s="10">
        <f>BNVFE!AB12</f>
        <v>4.390541760701407E-4</v>
      </c>
      <c r="BN6" s="10">
        <f>BNVFE!AC12</f>
        <v>4.390541760701407E-4</v>
      </c>
      <c r="BO6" s="10">
        <f>BNVFE!AD12</f>
        <v>4.390541760701407E-4</v>
      </c>
      <c r="BP6" s="10">
        <f>BNVFE!AE12</f>
        <v>4.390541760701407E-4</v>
      </c>
      <c r="BQ6" s="10">
        <f>BNVFE!AF12</f>
        <v>4.390541760701407E-4</v>
      </c>
      <c r="BR6" s="10">
        <f>BNVFE!AG12</f>
        <v>4.390541760701407E-4</v>
      </c>
      <c r="BS6" s="10"/>
      <c r="BT6" s="4"/>
    </row>
    <row r="7" spans="1:72">
      <c r="A7" t="s">
        <v>7</v>
      </c>
      <c r="B7" t="s">
        <v>22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28">
        <f t="shared" ref="P7:AP7" si="7">Q7</f>
        <v>1.5492656753114542E-4</v>
      </c>
      <c r="Q7" s="28">
        <f t="shared" si="7"/>
        <v>1.5492656753114542E-4</v>
      </c>
      <c r="R7" s="28">
        <f t="shared" si="7"/>
        <v>1.5492656753114542E-4</v>
      </c>
      <c r="S7" s="28">
        <f t="shared" si="7"/>
        <v>1.5492656753114542E-4</v>
      </c>
      <c r="T7" s="28">
        <f t="shared" si="7"/>
        <v>1.5492656753114542E-4</v>
      </c>
      <c r="U7" s="28">
        <f t="shared" si="7"/>
        <v>1.5492656753114542E-4</v>
      </c>
      <c r="V7" s="28">
        <f t="shared" si="7"/>
        <v>1.5492656753114542E-4</v>
      </c>
      <c r="W7" s="28">
        <f t="shared" si="7"/>
        <v>1.5492656753114542E-4</v>
      </c>
      <c r="X7" s="28">
        <f t="shared" si="7"/>
        <v>1.5492656753114542E-4</v>
      </c>
      <c r="Y7" s="28">
        <f t="shared" si="7"/>
        <v>1.5492656753114542E-4</v>
      </c>
      <c r="Z7" s="28">
        <f t="shared" si="7"/>
        <v>1.5492656753114542E-4</v>
      </c>
      <c r="AA7" s="28">
        <f t="shared" si="7"/>
        <v>1.5492656753114542E-4</v>
      </c>
      <c r="AB7" s="28">
        <f t="shared" si="7"/>
        <v>1.5492656753114542E-4</v>
      </c>
      <c r="AC7" s="28">
        <f t="shared" si="7"/>
        <v>1.5492656753114542E-4</v>
      </c>
      <c r="AD7" s="28">
        <f t="shared" si="7"/>
        <v>1.5492656753114542E-4</v>
      </c>
      <c r="AE7" s="28">
        <f t="shared" si="7"/>
        <v>1.5492656753114542E-4</v>
      </c>
      <c r="AF7" s="28">
        <f t="shared" si="7"/>
        <v>1.5492656753114542E-4</v>
      </c>
      <c r="AG7" s="28">
        <f t="shared" si="7"/>
        <v>1.5492656753114542E-4</v>
      </c>
      <c r="AH7" s="28">
        <f t="shared" si="7"/>
        <v>1.5492656753114542E-4</v>
      </c>
      <c r="AI7" s="28">
        <f t="shared" si="7"/>
        <v>1.5492656753114542E-4</v>
      </c>
      <c r="AJ7" s="28">
        <f t="shared" si="7"/>
        <v>1.5492656753114542E-4</v>
      </c>
      <c r="AK7" s="28">
        <f t="shared" si="7"/>
        <v>1.5492656753114542E-4</v>
      </c>
      <c r="AL7" s="28">
        <f t="shared" si="7"/>
        <v>1.5492656753114542E-4</v>
      </c>
      <c r="AM7" s="28">
        <f t="shared" si="7"/>
        <v>1.5492656753114542E-4</v>
      </c>
      <c r="AN7" s="28">
        <f t="shared" si="7"/>
        <v>1.5492656753114542E-4</v>
      </c>
      <c r="AO7" s="28">
        <f t="shared" si="7"/>
        <v>1.5492656753114542E-4</v>
      </c>
      <c r="AP7" s="28">
        <f t="shared" si="7"/>
        <v>1.5492656753114542E-4</v>
      </c>
      <c r="AQ7" s="28">
        <f>AR7</f>
        <v>1.5492656753114542E-4</v>
      </c>
      <c r="AR7" s="10">
        <f>BNVFE!G13</f>
        <v>1.5492656753114542E-4</v>
      </c>
      <c r="AS7" s="10">
        <f>BNVFE!H13</f>
        <v>1.5492656753114542E-4</v>
      </c>
      <c r="AT7" s="10">
        <f>BNVFE!I13</f>
        <v>1.5492656753114542E-4</v>
      </c>
      <c r="AU7" s="10">
        <f>BNVFE!J13</f>
        <v>1.5492656753114542E-4</v>
      </c>
      <c r="AV7" s="10">
        <f>BNVFE!K13</f>
        <v>1.5492656753114542E-4</v>
      </c>
      <c r="AW7" s="10">
        <f>BNVFE!L13</f>
        <v>1.5492656753114542E-4</v>
      </c>
      <c r="AX7" s="10">
        <f>BNVFE!M13</f>
        <v>1.5492656753114542E-4</v>
      </c>
      <c r="AY7" s="10">
        <f>BNVFE!N13</f>
        <v>1.5492656753114542E-4</v>
      </c>
      <c r="AZ7" s="10">
        <f>BNVFE!O13</f>
        <v>1.5492656753114542E-4</v>
      </c>
      <c r="BA7" s="10">
        <f>BNVFE!P13</f>
        <v>1.5492656753114542E-4</v>
      </c>
      <c r="BB7" s="10">
        <f>BNVFE!Q13</f>
        <v>1.5492656753114542E-4</v>
      </c>
      <c r="BC7" s="10">
        <f>BNVFE!R13</f>
        <v>1.5492656753114542E-4</v>
      </c>
      <c r="BD7" s="10">
        <f>BNVFE!S13</f>
        <v>1.5492656753114542E-4</v>
      </c>
      <c r="BE7" s="10">
        <f>BNVFE!T13</f>
        <v>1.5492656753114542E-4</v>
      </c>
      <c r="BF7" s="10">
        <f>BNVFE!U13</f>
        <v>1.5492656753114542E-4</v>
      </c>
      <c r="BG7" s="10">
        <f>BNVFE!V13</f>
        <v>1.5492656753114542E-4</v>
      </c>
      <c r="BH7" s="10">
        <f>BNVFE!W13</f>
        <v>1.5492656753114542E-4</v>
      </c>
      <c r="BI7" s="10">
        <f>BNVFE!X13</f>
        <v>1.5492656753114542E-4</v>
      </c>
      <c r="BJ7" s="10">
        <f>BNVFE!Y13</f>
        <v>1.5492656753114542E-4</v>
      </c>
      <c r="BK7" s="10">
        <f>BNVFE!Z13</f>
        <v>1.5492656753114542E-4</v>
      </c>
      <c r="BL7" s="10">
        <f>BNVFE!AA13</f>
        <v>1.5492656753114542E-4</v>
      </c>
      <c r="BM7" s="10">
        <f>BNVFE!AB13</f>
        <v>1.5492656753114542E-4</v>
      </c>
      <c r="BN7" s="10">
        <f>BNVFE!AC13</f>
        <v>1.5492656753114542E-4</v>
      </c>
      <c r="BO7" s="10">
        <f>BNVFE!AD13</f>
        <v>1.5492656753114542E-4</v>
      </c>
      <c r="BP7" s="10">
        <f>BNVFE!AE13</f>
        <v>1.5492656753114542E-4</v>
      </c>
      <c r="BQ7" s="10">
        <f>BNVFE!AF13</f>
        <v>1.5492656753114542E-4</v>
      </c>
      <c r="BR7" s="10">
        <f>BNVFE!AG13</f>
        <v>1.5492656753114542E-4</v>
      </c>
      <c r="BS7" s="10"/>
      <c r="BT7" s="4"/>
    </row>
    <row r="8" spans="1:72">
      <c r="A8" t="s">
        <v>16</v>
      </c>
      <c r="B8" t="s">
        <v>89</v>
      </c>
      <c r="C8" s="9"/>
      <c r="D8" s="9"/>
      <c r="E8" s="9"/>
      <c r="F8" s="4">
        <f>SYFAFE!$E$5</f>
        <v>7.1745362435245036E-5</v>
      </c>
      <c r="G8" s="4">
        <f>F8</f>
        <v>7.1745362435245036E-5</v>
      </c>
      <c r="H8" s="4">
        <f t="shared" ref="H8:BR8" si="8">G8</f>
        <v>7.1745362435245036E-5</v>
      </c>
      <c r="I8" s="4">
        <f t="shared" si="8"/>
        <v>7.1745362435245036E-5</v>
      </c>
      <c r="J8" s="4">
        <f t="shared" si="8"/>
        <v>7.1745362435245036E-5</v>
      </c>
      <c r="K8" s="4">
        <f t="shared" si="8"/>
        <v>7.1745362435245036E-5</v>
      </c>
      <c r="L8" s="4">
        <f t="shared" si="8"/>
        <v>7.1745362435245036E-5</v>
      </c>
      <c r="M8" s="4">
        <f t="shared" si="8"/>
        <v>7.1745362435245036E-5</v>
      </c>
      <c r="N8" s="4">
        <f t="shared" si="8"/>
        <v>7.1745362435245036E-5</v>
      </c>
      <c r="O8" s="4">
        <f t="shared" si="8"/>
        <v>7.1745362435245036E-5</v>
      </c>
      <c r="P8" s="4">
        <f t="shared" si="8"/>
        <v>7.1745362435245036E-5</v>
      </c>
      <c r="Q8" s="4">
        <f t="shared" si="8"/>
        <v>7.1745362435245036E-5</v>
      </c>
      <c r="R8" s="4">
        <f t="shared" si="8"/>
        <v>7.1745362435245036E-5</v>
      </c>
      <c r="S8" s="4">
        <f t="shared" si="8"/>
        <v>7.1745362435245036E-5</v>
      </c>
      <c r="T8" s="4">
        <f t="shared" si="8"/>
        <v>7.1745362435245036E-5</v>
      </c>
      <c r="U8" s="4">
        <f t="shared" si="8"/>
        <v>7.1745362435245036E-5</v>
      </c>
      <c r="V8" s="4">
        <f t="shared" si="8"/>
        <v>7.1745362435245036E-5</v>
      </c>
      <c r="W8" s="4">
        <f t="shared" si="8"/>
        <v>7.1745362435245036E-5</v>
      </c>
      <c r="X8" s="4">
        <f t="shared" si="8"/>
        <v>7.1745362435245036E-5</v>
      </c>
      <c r="Y8" s="4">
        <f t="shared" si="8"/>
        <v>7.1745362435245036E-5</v>
      </c>
      <c r="Z8" s="4">
        <f t="shared" si="8"/>
        <v>7.1745362435245036E-5</v>
      </c>
      <c r="AA8" s="4">
        <f t="shared" si="8"/>
        <v>7.1745362435245036E-5</v>
      </c>
      <c r="AB8" s="4">
        <f t="shared" si="8"/>
        <v>7.1745362435245036E-5</v>
      </c>
      <c r="AC8" s="4">
        <f t="shared" si="8"/>
        <v>7.1745362435245036E-5</v>
      </c>
      <c r="AD8" s="4">
        <f t="shared" si="8"/>
        <v>7.1745362435245036E-5</v>
      </c>
      <c r="AE8" s="4">
        <f t="shared" si="8"/>
        <v>7.1745362435245036E-5</v>
      </c>
      <c r="AF8" s="4">
        <f t="shared" si="8"/>
        <v>7.1745362435245036E-5</v>
      </c>
      <c r="AG8" s="4">
        <f t="shared" si="8"/>
        <v>7.1745362435245036E-5</v>
      </c>
      <c r="AH8" s="4">
        <f t="shared" si="8"/>
        <v>7.1745362435245036E-5</v>
      </c>
      <c r="AI8" s="4">
        <f t="shared" si="8"/>
        <v>7.1745362435245036E-5</v>
      </c>
      <c r="AJ8" s="4">
        <f t="shared" si="8"/>
        <v>7.1745362435245036E-5</v>
      </c>
      <c r="AK8" s="4">
        <f t="shared" si="8"/>
        <v>7.1745362435245036E-5</v>
      </c>
      <c r="AL8" s="4">
        <f t="shared" si="8"/>
        <v>7.1745362435245036E-5</v>
      </c>
      <c r="AM8" s="4">
        <f t="shared" si="8"/>
        <v>7.1745362435245036E-5</v>
      </c>
      <c r="AN8" s="4">
        <f t="shared" si="8"/>
        <v>7.1745362435245036E-5</v>
      </c>
      <c r="AO8" s="4">
        <f t="shared" si="8"/>
        <v>7.1745362435245036E-5</v>
      </c>
      <c r="AP8" s="4">
        <f>AO8</f>
        <v>7.1745362435245036E-5</v>
      </c>
      <c r="AQ8" s="27">
        <f>AP8</f>
        <v>7.1745362435245036E-5</v>
      </c>
      <c r="AR8" s="4">
        <f t="shared" si="8"/>
        <v>7.1745362435245036E-5</v>
      </c>
      <c r="AS8" s="4">
        <f t="shared" si="8"/>
        <v>7.1745362435245036E-5</v>
      </c>
      <c r="AT8" s="4">
        <f t="shared" si="8"/>
        <v>7.1745362435245036E-5</v>
      </c>
      <c r="AU8" s="4">
        <f t="shared" si="8"/>
        <v>7.1745362435245036E-5</v>
      </c>
      <c r="AV8" s="4">
        <f t="shared" si="8"/>
        <v>7.1745362435245036E-5</v>
      </c>
      <c r="AW8" s="4">
        <f t="shared" si="8"/>
        <v>7.1745362435245036E-5</v>
      </c>
      <c r="AX8" s="4">
        <f t="shared" si="8"/>
        <v>7.1745362435245036E-5</v>
      </c>
      <c r="AY8" s="4">
        <f t="shared" si="8"/>
        <v>7.1745362435245036E-5</v>
      </c>
      <c r="AZ8" s="4">
        <f t="shared" si="8"/>
        <v>7.1745362435245036E-5</v>
      </c>
      <c r="BA8" s="4">
        <f t="shared" si="8"/>
        <v>7.1745362435245036E-5</v>
      </c>
      <c r="BB8" s="4">
        <f t="shared" si="8"/>
        <v>7.1745362435245036E-5</v>
      </c>
      <c r="BC8" s="4">
        <f t="shared" si="8"/>
        <v>7.1745362435245036E-5</v>
      </c>
      <c r="BD8" s="4">
        <f t="shared" si="8"/>
        <v>7.1745362435245036E-5</v>
      </c>
      <c r="BE8" s="4">
        <f t="shared" si="8"/>
        <v>7.1745362435245036E-5</v>
      </c>
      <c r="BF8" s="4">
        <f t="shared" si="8"/>
        <v>7.1745362435245036E-5</v>
      </c>
      <c r="BG8" s="4">
        <f t="shared" si="8"/>
        <v>7.1745362435245036E-5</v>
      </c>
      <c r="BH8" s="4">
        <f t="shared" si="8"/>
        <v>7.1745362435245036E-5</v>
      </c>
      <c r="BI8" s="4">
        <f t="shared" si="8"/>
        <v>7.1745362435245036E-5</v>
      </c>
      <c r="BJ8" s="4">
        <f t="shared" si="8"/>
        <v>7.1745362435245036E-5</v>
      </c>
      <c r="BK8" s="4">
        <f t="shared" si="8"/>
        <v>7.1745362435245036E-5</v>
      </c>
      <c r="BL8" s="4">
        <f t="shared" si="8"/>
        <v>7.1745362435245036E-5</v>
      </c>
      <c r="BM8" s="4">
        <f t="shared" si="8"/>
        <v>7.1745362435245036E-5</v>
      </c>
      <c r="BN8" s="4">
        <f t="shared" si="8"/>
        <v>7.1745362435245036E-5</v>
      </c>
      <c r="BO8" s="4">
        <f t="shared" si="8"/>
        <v>7.1745362435245036E-5</v>
      </c>
      <c r="BP8" s="4">
        <f t="shared" si="8"/>
        <v>7.1745362435245036E-5</v>
      </c>
      <c r="BQ8" s="4">
        <f t="shared" si="8"/>
        <v>7.1745362435245036E-5</v>
      </c>
      <c r="BR8" s="4">
        <f t="shared" si="8"/>
        <v>7.1745362435245036E-5</v>
      </c>
      <c r="BS8" s="10"/>
      <c r="BT8" s="4"/>
    </row>
    <row r="9" spans="1:72">
      <c r="A9" t="s">
        <v>16</v>
      </c>
      <c r="B9" t="s">
        <v>90</v>
      </c>
      <c r="C9" s="9"/>
      <c r="D9" s="9"/>
      <c r="E9" s="9"/>
      <c r="F9" s="19">
        <f>SYFAFE!$B$5</f>
        <v>7.5686214263268839E-4</v>
      </c>
      <c r="G9" s="4">
        <f>F9</f>
        <v>7.5686214263268839E-4</v>
      </c>
      <c r="H9" s="4">
        <f t="shared" ref="H9:BR9" si="9">G9</f>
        <v>7.5686214263268839E-4</v>
      </c>
      <c r="I9" s="4">
        <f t="shared" si="9"/>
        <v>7.5686214263268839E-4</v>
      </c>
      <c r="J9" s="4">
        <f t="shared" si="9"/>
        <v>7.5686214263268839E-4</v>
      </c>
      <c r="K9" s="4">
        <f t="shared" si="9"/>
        <v>7.5686214263268839E-4</v>
      </c>
      <c r="L9" s="4">
        <f t="shared" si="9"/>
        <v>7.5686214263268839E-4</v>
      </c>
      <c r="M9" s="4">
        <f t="shared" si="9"/>
        <v>7.5686214263268839E-4</v>
      </c>
      <c r="N9" s="4">
        <f t="shared" si="9"/>
        <v>7.5686214263268839E-4</v>
      </c>
      <c r="O9" s="4">
        <f t="shared" si="9"/>
        <v>7.5686214263268839E-4</v>
      </c>
      <c r="P9" s="4">
        <f t="shared" si="9"/>
        <v>7.5686214263268839E-4</v>
      </c>
      <c r="Q9" s="4">
        <f t="shared" si="9"/>
        <v>7.5686214263268839E-4</v>
      </c>
      <c r="R9" s="4">
        <f t="shared" si="9"/>
        <v>7.5686214263268839E-4</v>
      </c>
      <c r="S9" s="4">
        <f t="shared" si="9"/>
        <v>7.5686214263268839E-4</v>
      </c>
      <c r="T9" s="4">
        <f t="shared" si="9"/>
        <v>7.5686214263268839E-4</v>
      </c>
      <c r="U9" s="4">
        <f t="shared" si="9"/>
        <v>7.5686214263268839E-4</v>
      </c>
      <c r="V9" s="4">
        <f t="shared" si="9"/>
        <v>7.5686214263268839E-4</v>
      </c>
      <c r="W9" s="4">
        <f t="shared" si="9"/>
        <v>7.5686214263268839E-4</v>
      </c>
      <c r="X9" s="4">
        <f t="shared" si="9"/>
        <v>7.5686214263268839E-4</v>
      </c>
      <c r="Y9" s="4">
        <f t="shared" si="9"/>
        <v>7.5686214263268839E-4</v>
      </c>
      <c r="Z9" s="4">
        <f t="shared" si="9"/>
        <v>7.5686214263268839E-4</v>
      </c>
      <c r="AA9" s="4">
        <f t="shared" si="9"/>
        <v>7.5686214263268839E-4</v>
      </c>
      <c r="AB9" s="4">
        <f t="shared" si="9"/>
        <v>7.5686214263268839E-4</v>
      </c>
      <c r="AC9" s="4">
        <f t="shared" si="9"/>
        <v>7.5686214263268839E-4</v>
      </c>
      <c r="AD9" s="4">
        <f t="shared" si="9"/>
        <v>7.5686214263268839E-4</v>
      </c>
      <c r="AE9" s="4">
        <f t="shared" si="9"/>
        <v>7.5686214263268839E-4</v>
      </c>
      <c r="AF9" s="4">
        <f t="shared" si="9"/>
        <v>7.5686214263268839E-4</v>
      </c>
      <c r="AG9" s="4">
        <f t="shared" si="9"/>
        <v>7.5686214263268839E-4</v>
      </c>
      <c r="AH9" s="4">
        <f t="shared" si="9"/>
        <v>7.5686214263268839E-4</v>
      </c>
      <c r="AI9" s="4">
        <f t="shared" si="9"/>
        <v>7.5686214263268839E-4</v>
      </c>
      <c r="AJ9" s="4">
        <f t="shared" si="9"/>
        <v>7.5686214263268839E-4</v>
      </c>
      <c r="AK9" s="4">
        <f t="shared" si="9"/>
        <v>7.5686214263268839E-4</v>
      </c>
      <c r="AL9" s="4">
        <f t="shared" si="9"/>
        <v>7.5686214263268839E-4</v>
      </c>
      <c r="AM9" s="4">
        <f t="shared" si="9"/>
        <v>7.5686214263268839E-4</v>
      </c>
      <c r="AN9" s="4">
        <f t="shared" si="9"/>
        <v>7.5686214263268839E-4</v>
      </c>
      <c r="AO9" s="4">
        <f t="shared" si="9"/>
        <v>7.5686214263268839E-4</v>
      </c>
      <c r="AP9" s="4">
        <f t="shared" si="9"/>
        <v>7.5686214263268839E-4</v>
      </c>
      <c r="AQ9" s="27">
        <f t="shared" si="9"/>
        <v>7.5686214263268839E-4</v>
      </c>
      <c r="AR9" s="4">
        <f t="shared" si="9"/>
        <v>7.5686214263268839E-4</v>
      </c>
      <c r="AS9" s="4">
        <f t="shared" si="9"/>
        <v>7.5686214263268839E-4</v>
      </c>
      <c r="AT9" s="4">
        <f t="shared" si="9"/>
        <v>7.5686214263268839E-4</v>
      </c>
      <c r="AU9" s="4">
        <f t="shared" si="9"/>
        <v>7.5686214263268839E-4</v>
      </c>
      <c r="AV9" s="4">
        <f t="shared" si="9"/>
        <v>7.5686214263268839E-4</v>
      </c>
      <c r="AW9" s="4">
        <f t="shared" si="9"/>
        <v>7.5686214263268839E-4</v>
      </c>
      <c r="AX9" s="4">
        <f t="shared" si="9"/>
        <v>7.5686214263268839E-4</v>
      </c>
      <c r="AY9" s="4">
        <f t="shared" si="9"/>
        <v>7.5686214263268839E-4</v>
      </c>
      <c r="AZ9" s="4">
        <f t="shared" si="9"/>
        <v>7.5686214263268839E-4</v>
      </c>
      <c r="BA9" s="4">
        <f t="shared" si="9"/>
        <v>7.5686214263268839E-4</v>
      </c>
      <c r="BB9" s="4">
        <f t="shared" si="9"/>
        <v>7.5686214263268839E-4</v>
      </c>
      <c r="BC9" s="4">
        <f t="shared" si="9"/>
        <v>7.5686214263268839E-4</v>
      </c>
      <c r="BD9" s="4">
        <f t="shared" si="9"/>
        <v>7.5686214263268839E-4</v>
      </c>
      <c r="BE9" s="4">
        <f t="shared" si="9"/>
        <v>7.5686214263268839E-4</v>
      </c>
      <c r="BF9" s="4">
        <f t="shared" si="9"/>
        <v>7.5686214263268839E-4</v>
      </c>
      <c r="BG9" s="4">
        <f t="shared" si="9"/>
        <v>7.5686214263268839E-4</v>
      </c>
      <c r="BH9" s="4">
        <f t="shared" si="9"/>
        <v>7.5686214263268839E-4</v>
      </c>
      <c r="BI9" s="4">
        <f t="shared" si="9"/>
        <v>7.5686214263268839E-4</v>
      </c>
      <c r="BJ9" s="4">
        <f t="shared" si="9"/>
        <v>7.5686214263268839E-4</v>
      </c>
      <c r="BK9" s="4">
        <f t="shared" si="9"/>
        <v>7.5686214263268839E-4</v>
      </c>
      <c r="BL9" s="4">
        <f t="shared" si="9"/>
        <v>7.5686214263268839E-4</v>
      </c>
      <c r="BM9" s="4">
        <f t="shared" si="9"/>
        <v>7.5686214263268839E-4</v>
      </c>
      <c r="BN9" s="4">
        <f t="shared" si="9"/>
        <v>7.5686214263268839E-4</v>
      </c>
      <c r="BO9" s="4">
        <f t="shared" si="9"/>
        <v>7.5686214263268839E-4</v>
      </c>
      <c r="BP9" s="4">
        <f t="shared" si="9"/>
        <v>7.5686214263268839E-4</v>
      </c>
      <c r="BQ9" s="4">
        <f t="shared" si="9"/>
        <v>7.5686214263268839E-4</v>
      </c>
      <c r="BR9" s="4">
        <f t="shared" si="9"/>
        <v>7.5686214263268839E-4</v>
      </c>
      <c r="BS9" s="10"/>
      <c r="BT9" s="4"/>
    </row>
    <row r="10" spans="1:72">
      <c r="A10" t="s">
        <v>16</v>
      </c>
      <c r="B10" t="s">
        <v>22</v>
      </c>
      <c r="C10" s="9"/>
      <c r="D10" s="9"/>
      <c r="E10" s="9"/>
      <c r="F10" s="4">
        <f>TREND($AR10:$BR10,$AR$1:$BR$1,F$1)</f>
        <v>3.2361562983312985E-3</v>
      </c>
      <c r="G10" s="4">
        <f t="shared" ref="G10:AQ13" si="10">TREND($AR10:$BR10,$AR$1:$BR$1,G$1)</f>
        <v>3.2397638770858776E-3</v>
      </c>
      <c r="H10" s="4">
        <f t="shared" si="10"/>
        <v>3.2433714558404558E-3</v>
      </c>
      <c r="I10" s="4">
        <f t="shared" si="10"/>
        <v>3.2469790345950348E-3</v>
      </c>
      <c r="J10" s="4">
        <f t="shared" si="10"/>
        <v>3.2505866133496139E-3</v>
      </c>
      <c r="K10" s="4">
        <f t="shared" si="10"/>
        <v>3.2541941921041921E-3</v>
      </c>
      <c r="L10" s="4">
        <f t="shared" si="10"/>
        <v>3.2578017708587712E-3</v>
      </c>
      <c r="M10" s="4">
        <f t="shared" si="10"/>
        <v>3.2614093496133494E-3</v>
      </c>
      <c r="N10" s="4">
        <f t="shared" si="10"/>
        <v>3.2650169283679285E-3</v>
      </c>
      <c r="O10" s="4">
        <f t="shared" si="10"/>
        <v>3.2686245071225075E-3</v>
      </c>
      <c r="P10" s="4">
        <f t="shared" si="10"/>
        <v>3.2722320858770857E-3</v>
      </c>
      <c r="Q10" s="4">
        <f t="shared" si="10"/>
        <v>3.2758396646316648E-3</v>
      </c>
      <c r="R10" s="4">
        <f t="shared" si="10"/>
        <v>3.2794472433862439E-3</v>
      </c>
      <c r="S10" s="4">
        <f t="shared" si="10"/>
        <v>3.2830548221408221E-3</v>
      </c>
      <c r="T10" s="4">
        <f t="shared" si="10"/>
        <v>3.2866624008954012E-3</v>
      </c>
      <c r="U10" s="4">
        <f t="shared" si="10"/>
        <v>3.2902699796499802E-3</v>
      </c>
      <c r="V10" s="4">
        <f t="shared" si="10"/>
        <v>3.2938775584045584E-3</v>
      </c>
      <c r="W10" s="4">
        <f t="shared" si="10"/>
        <v>3.2974851371591375E-3</v>
      </c>
      <c r="X10" s="4">
        <f t="shared" si="10"/>
        <v>3.3010927159137157E-3</v>
      </c>
      <c r="Y10" s="4">
        <f t="shared" si="10"/>
        <v>3.3047002946682948E-3</v>
      </c>
      <c r="Z10" s="4">
        <f t="shared" si="10"/>
        <v>3.3083078734228739E-3</v>
      </c>
      <c r="AA10" s="4">
        <f t="shared" si="10"/>
        <v>3.3119154521774521E-3</v>
      </c>
      <c r="AB10" s="4">
        <f t="shared" si="10"/>
        <v>3.3155230309320311E-3</v>
      </c>
      <c r="AC10" s="4">
        <f t="shared" si="10"/>
        <v>3.3191306096866102E-3</v>
      </c>
      <c r="AD10" s="4">
        <f t="shared" si="10"/>
        <v>3.3227381884411884E-3</v>
      </c>
      <c r="AE10" s="4">
        <f t="shared" si="10"/>
        <v>3.3263457671957675E-3</v>
      </c>
      <c r="AF10" s="4">
        <f t="shared" si="10"/>
        <v>3.3299533459503457E-3</v>
      </c>
      <c r="AG10" s="4">
        <f t="shared" si="10"/>
        <v>3.3335609247049248E-3</v>
      </c>
      <c r="AH10" s="4">
        <f t="shared" si="10"/>
        <v>3.3371685034595039E-3</v>
      </c>
      <c r="AI10" s="4">
        <f t="shared" si="10"/>
        <v>3.3407760822140821E-3</v>
      </c>
      <c r="AJ10" s="4">
        <f t="shared" si="10"/>
        <v>3.3443836609686611E-3</v>
      </c>
      <c r="AK10" s="4">
        <f t="shared" si="10"/>
        <v>3.3479912397232402E-3</v>
      </c>
      <c r="AL10" s="4">
        <f t="shared" si="10"/>
        <v>3.3515988184778184E-3</v>
      </c>
      <c r="AM10" s="4">
        <f t="shared" si="10"/>
        <v>3.3552063972323975E-3</v>
      </c>
      <c r="AN10" s="4">
        <f t="shared" si="10"/>
        <v>3.3588139759869757E-3</v>
      </c>
      <c r="AO10" s="4">
        <f t="shared" si="10"/>
        <v>3.3624215547415548E-3</v>
      </c>
      <c r="AP10" s="4">
        <f t="shared" si="10"/>
        <v>3.3660291334961338E-3</v>
      </c>
      <c r="AQ10" s="4">
        <f>TREND($AR10:$BR10,$AR$1:$BR$1,AQ$1)</f>
        <v>3.369636712250712E-3</v>
      </c>
      <c r="AR10" s="10">
        <f>BNVFE!G16</f>
        <v>3.3734500000000001E-3</v>
      </c>
      <c r="AS10" s="10">
        <f>BNVFE!H16</f>
        <v>3.3770099999999997E-3</v>
      </c>
      <c r="AT10" s="10">
        <f>BNVFE!I16</f>
        <v>3.3805740000000003E-3</v>
      </c>
      <c r="AU10" s="10">
        <f>BNVFE!J16</f>
        <v>3.3841420000000001E-3</v>
      </c>
      <c r="AV10" s="10">
        <f>BNVFE!K16</f>
        <v>3.3877130000000001E-3</v>
      </c>
      <c r="AW10" s="10">
        <f>BNVFE!L16</f>
        <v>3.391289E-3</v>
      </c>
      <c r="AX10" s="10">
        <f>BNVFE!M16</f>
        <v>3.3948680000000001E-3</v>
      </c>
      <c r="AY10" s="10">
        <f>BNVFE!N16</f>
        <v>3.3984510000000002E-3</v>
      </c>
      <c r="AZ10" s="10">
        <f>BNVFE!O16</f>
        <v>3.4020370000000001E-3</v>
      </c>
      <c r="BA10" s="10">
        <f>BNVFE!P16</f>
        <v>3.405628E-3</v>
      </c>
      <c r="BB10" s="10">
        <f>BNVFE!Q16</f>
        <v>3.4092220000000004E-3</v>
      </c>
      <c r="BC10" s="10">
        <f>BNVFE!R16</f>
        <v>3.41282E-3</v>
      </c>
      <c r="BD10" s="10">
        <f>BNVFE!S16</f>
        <v>3.4164219999999997E-3</v>
      </c>
      <c r="BE10" s="10">
        <f>BNVFE!T16</f>
        <v>3.420027E-3</v>
      </c>
      <c r="BF10" s="10">
        <f>BNVFE!U16</f>
        <v>3.4236369999999998E-3</v>
      </c>
      <c r="BG10" s="10">
        <f>BNVFE!V16</f>
        <v>3.4272499999999997E-3</v>
      </c>
      <c r="BH10" s="10">
        <f>BNVFE!W16</f>
        <v>3.4308670000000002E-3</v>
      </c>
      <c r="BI10" s="10">
        <f>BNVFE!X16</f>
        <v>3.4344879999999999E-3</v>
      </c>
      <c r="BJ10" s="10">
        <f>BNVFE!Y16</f>
        <v>3.438113E-3</v>
      </c>
      <c r="BK10" s="10">
        <f>BNVFE!Z16</f>
        <v>3.4417409999999999E-3</v>
      </c>
      <c r="BL10" s="10">
        <f>BNVFE!AA16</f>
        <v>3.4453729999999998E-3</v>
      </c>
      <c r="BM10" s="10">
        <f>BNVFE!AB16</f>
        <v>3.4490099999999997E-3</v>
      </c>
      <c r="BN10" s="10">
        <f>BNVFE!AC16</f>
        <v>3.4526489999999999E-3</v>
      </c>
      <c r="BO10" s="10">
        <f>BNVFE!AD16</f>
        <v>3.456293E-3</v>
      </c>
      <c r="BP10" s="10">
        <f>BNVFE!AE16</f>
        <v>3.4599410000000002E-3</v>
      </c>
      <c r="BQ10" s="10">
        <f>BNVFE!AF16</f>
        <v>3.4635930000000001E-3</v>
      </c>
      <c r="BR10" s="10">
        <f>BNVFE!AG16</f>
        <v>3.467248E-3</v>
      </c>
      <c r="BS10" s="10"/>
      <c r="BT10" s="4"/>
    </row>
    <row r="11" spans="1:72">
      <c r="A11" t="s">
        <v>17</v>
      </c>
      <c r="B11" t="s">
        <v>21</v>
      </c>
      <c r="C11" s="9"/>
      <c r="D11" s="9"/>
      <c r="E11" s="9"/>
      <c r="F11" s="9"/>
      <c r="G11" s="4">
        <f>TREND($AR11:$BR11,$AR$1:$BR$1,G$1)</f>
        <v>1.2375646625067687E-5</v>
      </c>
      <c r="H11" s="4">
        <f t="shared" si="10"/>
        <v>1.2375646625067687E-5</v>
      </c>
      <c r="I11" s="4">
        <f t="shared" si="10"/>
        <v>1.2375646625067687E-5</v>
      </c>
      <c r="J11" s="4">
        <f t="shared" si="10"/>
        <v>1.2375646625067687E-5</v>
      </c>
      <c r="K11" s="4">
        <f t="shared" si="10"/>
        <v>1.2375646625067687E-5</v>
      </c>
      <c r="L11" s="4">
        <f t="shared" si="10"/>
        <v>1.2375646625067687E-5</v>
      </c>
      <c r="M11" s="4">
        <f t="shared" si="10"/>
        <v>1.2375646625067687E-5</v>
      </c>
      <c r="N11" s="4">
        <f t="shared" si="10"/>
        <v>1.2375646625067687E-5</v>
      </c>
      <c r="O11" s="4">
        <f t="shared" si="10"/>
        <v>1.2375646625067687E-5</v>
      </c>
      <c r="P11" s="4">
        <f t="shared" si="10"/>
        <v>1.2375646625067687E-5</v>
      </c>
      <c r="Q11" s="4">
        <f t="shared" si="10"/>
        <v>1.2375646625067687E-5</v>
      </c>
      <c r="R11" s="4">
        <f t="shared" si="10"/>
        <v>1.2375646625067687E-5</v>
      </c>
      <c r="S11" s="4">
        <f t="shared" si="10"/>
        <v>1.2375646625067687E-5</v>
      </c>
      <c r="T11" s="4">
        <f t="shared" si="10"/>
        <v>1.2375646625067687E-5</v>
      </c>
      <c r="U11" s="4">
        <f t="shared" si="10"/>
        <v>1.2375646625067687E-5</v>
      </c>
      <c r="V11" s="4">
        <f t="shared" si="10"/>
        <v>1.2375646625067687E-5</v>
      </c>
      <c r="W11" s="4">
        <f t="shared" si="10"/>
        <v>1.2375646625067687E-5</v>
      </c>
      <c r="X11" s="4">
        <f t="shared" si="10"/>
        <v>1.2375646625067687E-5</v>
      </c>
      <c r="Y11" s="4">
        <f t="shared" si="10"/>
        <v>1.2375646625067687E-5</v>
      </c>
      <c r="Z11" s="4">
        <f t="shared" si="10"/>
        <v>1.2375646625067687E-5</v>
      </c>
      <c r="AA11" s="4">
        <f t="shared" si="10"/>
        <v>1.2375646625067687E-5</v>
      </c>
      <c r="AB11" s="4">
        <f t="shared" si="10"/>
        <v>1.2375646625067687E-5</v>
      </c>
      <c r="AC11" s="4">
        <f t="shared" si="10"/>
        <v>1.2375646625067687E-5</v>
      </c>
      <c r="AD11" s="4">
        <f t="shared" si="10"/>
        <v>1.2375646625067687E-5</v>
      </c>
      <c r="AE11" s="4">
        <f t="shared" si="10"/>
        <v>1.2375646625067687E-5</v>
      </c>
      <c r="AF11" s="4">
        <f t="shared" si="10"/>
        <v>1.2375646625067687E-5</v>
      </c>
      <c r="AG11" s="4">
        <f t="shared" si="10"/>
        <v>1.2375646625067687E-5</v>
      </c>
      <c r="AH11" s="4">
        <f t="shared" si="10"/>
        <v>1.2375646625067687E-5</v>
      </c>
      <c r="AI11" s="4">
        <f t="shared" si="10"/>
        <v>1.2375646625067687E-5</v>
      </c>
      <c r="AJ11" s="4">
        <f t="shared" si="10"/>
        <v>1.2375646625067687E-5</v>
      </c>
      <c r="AK11" s="4">
        <f t="shared" si="10"/>
        <v>1.2375646625067687E-5</v>
      </c>
      <c r="AL11" s="4">
        <f t="shared" si="10"/>
        <v>1.2375646625067687E-5</v>
      </c>
      <c r="AM11" s="4">
        <f t="shared" si="10"/>
        <v>1.2375646625067687E-5</v>
      </c>
      <c r="AN11" s="4">
        <f t="shared" si="10"/>
        <v>1.2375646625067687E-5</v>
      </c>
      <c r="AO11" s="4">
        <f t="shared" si="10"/>
        <v>1.2375646625067687E-5</v>
      </c>
      <c r="AP11" s="4">
        <f t="shared" si="10"/>
        <v>1.2375646625067687E-5</v>
      </c>
      <c r="AQ11" s="4">
        <f t="shared" si="10"/>
        <v>1.2375646625067687E-5</v>
      </c>
      <c r="AR11" s="10">
        <f>BNVFE!G17</f>
        <v>1.2375646625067684E-5</v>
      </c>
      <c r="AS11" s="10">
        <f>BNVFE!H17</f>
        <v>1.2375646625067684E-5</v>
      </c>
      <c r="AT11" s="10">
        <f>BNVFE!I17</f>
        <v>1.2375646625067684E-5</v>
      </c>
      <c r="AU11" s="10">
        <f>BNVFE!J17</f>
        <v>1.2375646625067684E-5</v>
      </c>
      <c r="AV11" s="10">
        <f>BNVFE!K17</f>
        <v>1.2375646625067684E-5</v>
      </c>
      <c r="AW11" s="10">
        <f>BNVFE!L17</f>
        <v>1.2375646625067684E-5</v>
      </c>
      <c r="AX11" s="10">
        <f>BNVFE!M17</f>
        <v>1.2375646625067684E-5</v>
      </c>
      <c r="AY11" s="10">
        <f>BNVFE!N17</f>
        <v>1.2375646625067684E-5</v>
      </c>
      <c r="AZ11" s="10">
        <f>BNVFE!O17</f>
        <v>1.2375646625067684E-5</v>
      </c>
      <c r="BA11" s="10">
        <f>BNVFE!P17</f>
        <v>1.2375646625067684E-5</v>
      </c>
      <c r="BB11" s="10">
        <f>BNVFE!Q17</f>
        <v>1.2375646625067684E-5</v>
      </c>
      <c r="BC11" s="10">
        <f>BNVFE!R17</f>
        <v>1.2375646625067684E-5</v>
      </c>
      <c r="BD11" s="10">
        <f>BNVFE!S17</f>
        <v>1.2375646625067684E-5</v>
      </c>
      <c r="BE11" s="10">
        <f>BNVFE!T17</f>
        <v>1.2375646625067684E-5</v>
      </c>
      <c r="BF11" s="10">
        <f>BNVFE!U17</f>
        <v>1.2375646625067684E-5</v>
      </c>
      <c r="BG11" s="10">
        <f>BNVFE!V17</f>
        <v>1.2375646625067684E-5</v>
      </c>
      <c r="BH11" s="10">
        <f>BNVFE!W17</f>
        <v>1.2375646625067684E-5</v>
      </c>
      <c r="BI11" s="10">
        <f>BNVFE!X17</f>
        <v>1.2375646625067684E-5</v>
      </c>
      <c r="BJ11" s="10">
        <f>BNVFE!Y17</f>
        <v>1.2375646625067684E-5</v>
      </c>
      <c r="BK11" s="10">
        <f>BNVFE!Z17</f>
        <v>1.2375646625067684E-5</v>
      </c>
      <c r="BL11" s="10">
        <f>BNVFE!AA17</f>
        <v>1.2375646625067684E-5</v>
      </c>
      <c r="BM11" s="10">
        <f>BNVFE!AB17</f>
        <v>1.2375646625067684E-5</v>
      </c>
      <c r="BN11" s="10">
        <f>BNVFE!AC17</f>
        <v>1.2375646625067684E-5</v>
      </c>
      <c r="BO11" s="10">
        <f>BNVFE!AD17</f>
        <v>1.2375646625067684E-5</v>
      </c>
      <c r="BP11" s="10">
        <f>BNVFE!AE17</f>
        <v>1.2375646625067684E-5</v>
      </c>
      <c r="BQ11" s="10">
        <f>BNVFE!AF17</f>
        <v>1.2375646625067684E-5</v>
      </c>
      <c r="BR11" s="10">
        <f>BNVFE!AG17</f>
        <v>1.2375646625067684E-5</v>
      </c>
      <c r="BS11" s="10"/>
      <c r="BT11" s="4"/>
    </row>
    <row r="12" spans="1:72">
      <c r="A12" t="s">
        <v>17</v>
      </c>
      <c r="B12" t="s">
        <v>22</v>
      </c>
      <c r="C12" s="9"/>
      <c r="D12" s="9"/>
      <c r="E12" s="9"/>
      <c r="F12" s="9"/>
      <c r="G12" s="4">
        <f t="shared" ref="G12" si="11">TREND($AR12:$BR12,$AR$1:$BR$1,G$1)</f>
        <v>5.2112239143541636E-3</v>
      </c>
      <c r="H12" s="4">
        <f t="shared" si="10"/>
        <v>5.2112239143541636E-3</v>
      </c>
      <c r="I12" s="4">
        <f t="shared" si="10"/>
        <v>5.2112239143541636E-3</v>
      </c>
      <c r="J12" s="4">
        <f t="shared" si="10"/>
        <v>5.2112239143541636E-3</v>
      </c>
      <c r="K12" s="4">
        <f t="shared" si="10"/>
        <v>5.2112239143541636E-3</v>
      </c>
      <c r="L12" s="4">
        <f t="shared" si="10"/>
        <v>5.2112239143541636E-3</v>
      </c>
      <c r="M12" s="4">
        <f t="shared" si="10"/>
        <v>5.2112239143541636E-3</v>
      </c>
      <c r="N12" s="4">
        <f t="shared" si="10"/>
        <v>5.2112239143541636E-3</v>
      </c>
      <c r="O12" s="4">
        <f t="shared" si="10"/>
        <v>5.2112239143541636E-3</v>
      </c>
      <c r="P12" s="4">
        <f t="shared" si="10"/>
        <v>5.2112239143541636E-3</v>
      </c>
      <c r="Q12" s="4">
        <f t="shared" si="10"/>
        <v>5.2112239143541636E-3</v>
      </c>
      <c r="R12" s="4">
        <f t="shared" si="10"/>
        <v>5.2112239143541636E-3</v>
      </c>
      <c r="S12" s="4">
        <f t="shared" si="10"/>
        <v>5.2112239143541636E-3</v>
      </c>
      <c r="T12" s="4">
        <f t="shared" si="10"/>
        <v>5.2112239143541636E-3</v>
      </c>
      <c r="U12" s="4">
        <f t="shared" si="10"/>
        <v>5.2112239143541636E-3</v>
      </c>
      <c r="V12" s="4">
        <f t="shared" si="10"/>
        <v>5.2112239143541636E-3</v>
      </c>
      <c r="W12" s="4">
        <f t="shared" si="10"/>
        <v>5.2112239143541636E-3</v>
      </c>
      <c r="X12" s="4">
        <f t="shared" si="10"/>
        <v>5.2112239143541636E-3</v>
      </c>
      <c r="Y12" s="4">
        <f t="shared" si="10"/>
        <v>5.2112239143541636E-3</v>
      </c>
      <c r="Z12" s="4">
        <f t="shared" si="10"/>
        <v>5.2112239143541636E-3</v>
      </c>
      <c r="AA12" s="4">
        <f t="shared" si="10"/>
        <v>5.2112239143541636E-3</v>
      </c>
      <c r="AB12" s="4">
        <f t="shared" si="10"/>
        <v>5.2112239143541636E-3</v>
      </c>
      <c r="AC12" s="4">
        <f t="shared" si="10"/>
        <v>5.2112239143541636E-3</v>
      </c>
      <c r="AD12" s="4">
        <f t="shared" si="10"/>
        <v>5.2112239143541636E-3</v>
      </c>
      <c r="AE12" s="4">
        <f t="shared" si="10"/>
        <v>5.2112239143541636E-3</v>
      </c>
      <c r="AF12" s="4">
        <f t="shared" si="10"/>
        <v>5.2112239143541636E-3</v>
      </c>
      <c r="AG12" s="4">
        <f t="shared" si="10"/>
        <v>5.2112239143541636E-3</v>
      </c>
      <c r="AH12" s="4">
        <f t="shared" si="10"/>
        <v>5.2112239143541636E-3</v>
      </c>
      <c r="AI12" s="4">
        <f t="shared" si="10"/>
        <v>5.2112239143541636E-3</v>
      </c>
      <c r="AJ12" s="4">
        <f t="shared" si="10"/>
        <v>5.2112239143541636E-3</v>
      </c>
      <c r="AK12" s="4">
        <f t="shared" si="10"/>
        <v>5.2112239143541636E-3</v>
      </c>
      <c r="AL12" s="4">
        <f t="shared" si="10"/>
        <v>5.2112239143541636E-3</v>
      </c>
      <c r="AM12" s="4">
        <f t="shared" si="10"/>
        <v>5.2112239143541636E-3</v>
      </c>
      <c r="AN12" s="4">
        <f t="shared" si="10"/>
        <v>5.2112239143541636E-3</v>
      </c>
      <c r="AO12" s="4">
        <f>TREND($AR12:$BR12,$AR$1:$BR$1,AO$1)</f>
        <v>5.2112239143541636E-3</v>
      </c>
      <c r="AP12" s="4">
        <f t="shared" si="10"/>
        <v>5.2112239143541636E-3</v>
      </c>
      <c r="AQ12" s="4">
        <f t="shared" si="10"/>
        <v>5.2112239143541636E-3</v>
      </c>
      <c r="AR12" s="10">
        <f>BNVFE!G18</f>
        <v>5.2112239143541636E-3</v>
      </c>
      <c r="AS12" s="10">
        <f>BNVFE!H18</f>
        <v>5.2112239143541636E-3</v>
      </c>
      <c r="AT12" s="10">
        <f>BNVFE!I18</f>
        <v>5.2112239143541636E-3</v>
      </c>
      <c r="AU12" s="10">
        <f>BNVFE!J18</f>
        <v>5.2112239143541636E-3</v>
      </c>
      <c r="AV12" s="10">
        <f>BNVFE!K18</f>
        <v>5.2112239143541636E-3</v>
      </c>
      <c r="AW12" s="10">
        <f>BNVFE!L18</f>
        <v>5.2112239143541636E-3</v>
      </c>
      <c r="AX12" s="10">
        <f>BNVFE!M18</f>
        <v>5.2112239143541636E-3</v>
      </c>
      <c r="AY12" s="10">
        <f>BNVFE!N18</f>
        <v>5.2112239143541636E-3</v>
      </c>
      <c r="AZ12" s="10">
        <f>BNVFE!O18</f>
        <v>5.2112239143541636E-3</v>
      </c>
      <c r="BA12" s="10">
        <f>BNVFE!P18</f>
        <v>5.2112239143541636E-3</v>
      </c>
      <c r="BB12" s="10">
        <f>BNVFE!Q18</f>
        <v>5.2112239143541636E-3</v>
      </c>
      <c r="BC12" s="10">
        <f>BNVFE!R18</f>
        <v>5.2112239143541636E-3</v>
      </c>
      <c r="BD12" s="10">
        <f>BNVFE!S18</f>
        <v>5.2112239143541636E-3</v>
      </c>
      <c r="BE12" s="10">
        <f>BNVFE!T18</f>
        <v>5.2112239143541636E-3</v>
      </c>
      <c r="BF12" s="10">
        <f>BNVFE!U18</f>
        <v>5.2112239143541636E-3</v>
      </c>
      <c r="BG12" s="10">
        <f>BNVFE!V18</f>
        <v>5.2112239143541636E-3</v>
      </c>
      <c r="BH12" s="10">
        <f>BNVFE!W18</f>
        <v>5.2112239143541636E-3</v>
      </c>
      <c r="BI12" s="10">
        <f>BNVFE!X18</f>
        <v>5.2112239143541636E-3</v>
      </c>
      <c r="BJ12" s="10">
        <f>BNVFE!Y18</f>
        <v>5.2112239143541636E-3</v>
      </c>
      <c r="BK12" s="10">
        <f>BNVFE!Z18</f>
        <v>5.2112239143541636E-3</v>
      </c>
      <c r="BL12" s="10">
        <f>BNVFE!AA18</f>
        <v>5.2112239143541636E-3</v>
      </c>
      <c r="BM12" s="10">
        <f>BNVFE!AB18</f>
        <v>5.2112239143541636E-3</v>
      </c>
      <c r="BN12" s="10">
        <f>BNVFE!AC18</f>
        <v>5.2112239143541636E-3</v>
      </c>
      <c r="BO12" s="10">
        <f>BNVFE!AD18</f>
        <v>5.2112239143541636E-3</v>
      </c>
      <c r="BP12" s="10">
        <f>BNVFE!AE18</f>
        <v>5.2112239143541636E-3</v>
      </c>
      <c r="BQ12" s="10">
        <f>BNVFE!AF18</f>
        <v>5.2112239143541636E-3</v>
      </c>
      <c r="BR12" s="10">
        <f>BNVFE!AG18</f>
        <v>5.2112239143541636E-3</v>
      </c>
      <c r="BS12" s="10"/>
      <c r="BT12" s="4"/>
    </row>
    <row r="13" spans="1:72">
      <c r="A13" t="s">
        <v>18</v>
      </c>
      <c r="B13" t="s">
        <v>21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">
        <f>TREND($AR13:$BR13,$AR$1:$BR$1,W$1)</f>
        <v>6.5093363580536728E-3</v>
      </c>
      <c r="X13" s="4">
        <f t="shared" si="10"/>
        <v>6.5093363580536728E-3</v>
      </c>
      <c r="Y13" s="4">
        <f t="shared" si="10"/>
        <v>6.5093363580536728E-3</v>
      </c>
      <c r="Z13" s="4">
        <f t="shared" si="10"/>
        <v>6.5093363580536728E-3</v>
      </c>
      <c r="AA13" s="4">
        <f t="shared" si="10"/>
        <v>6.5093363580536728E-3</v>
      </c>
      <c r="AB13" s="4">
        <f t="shared" si="10"/>
        <v>6.5093363580536728E-3</v>
      </c>
      <c r="AC13" s="4">
        <f t="shared" si="10"/>
        <v>6.5093363580536728E-3</v>
      </c>
      <c r="AD13" s="4">
        <f t="shared" si="10"/>
        <v>6.5093363580536728E-3</v>
      </c>
      <c r="AE13" s="4">
        <f t="shared" si="10"/>
        <v>6.5093363580536728E-3</v>
      </c>
      <c r="AF13" s="4">
        <f t="shared" si="10"/>
        <v>6.5093363580536728E-3</v>
      </c>
      <c r="AG13" s="4">
        <f t="shared" si="10"/>
        <v>6.5093363580536728E-3</v>
      </c>
      <c r="AH13" s="4">
        <f t="shared" si="10"/>
        <v>6.5093363580536728E-3</v>
      </c>
      <c r="AI13" s="4">
        <f t="shared" si="10"/>
        <v>6.5093363580536728E-3</v>
      </c>
      <c r="AJ13" s="4">
        <f t="shared" si="10"/>
        <v>6.5093363580536728E-3</v>
      </c>
      <c r="AK13" s="4">
        <f t="shared" si="10"/>
        <v>6.5093363580536728E-3</v>
      </c>
      <c r="AL13" s="4">
        <f t="shared" si="10"/>
        <v>6.5093363580536728E-3</v>
      </c>
      <c r="AM13" s="4">
        <f t="shared" si="10"/>
        <v>6.5093363580536728E-3</v>
      </c>
      <c r="AN13" s="4">
        <f t="shared" si="10"/>
        <v>6.5093363580536728E-3</v>
      </c>
      <c r="AO13" s="4">
        <f t="shared" si="10"/>
        <v>6.5093363580536728E-3</v>
      </c>
      <c r="AP13" s="4">
        <f t="shared" si="10"/>
        <v>6.5093363580536728E-3</v>
      </c>
      <c r="AQ13" s="4">
        <f t="shared" si="10"/>
        <v>6.5093363580536728E-3</v>
      </c>
      <c r="AR13" s="10">
        <f>BNVFE!G19</f>
        <v>6.5093363580536684E-3</v>
      </c>
      <c r="AS13" s="10">
        <f>BNVFE!H19</f>
        <v>6.5093363580536684E-3</v>
      </c>
      <c r="AT13" s="10">
        <f>BNVFE!I19</f>
        <v>6.5093363580536684E-3</v>
      </c>
      <c r="AU13" s="10">
        <f>BNVFE!J19</f>
        <v>6.5093363580536684E-3</v>
      </c>
      <c r="AV13" s="10">
        <f>BNVFE!K19</f>
        <v>6.5093363580536684E-3</v>
      </c>
      <c r="AW13" s="10">
        <f>BNVFE!L19</f>
        <v>6.5093363580536684E-3</v>
      </c>
      <c r="AX13" s="10">
        <f>BNVFE!M19</f>
        <v>6.5093363580536684E-3</v>
      </c>
      <c r="AY13" s="10">
        <f>BNVFE!N19</f>
        <v>6.5093363580536684E-3</v>
      </c>
      <c r="AZ13" s="10">
        <f>BNVFE!O19</f>
        <v>6.5093363580536684E-3</v>
      </c>
      <c r="BA13" s="10">
        <f>BNVFE!P19</f>
        <v>6.5093363580536684E-3</v>
      </c>
      <c r="BB13" s="10">
        <f>BNVFE!Q19</f>
        <v>6.5093363580536684E-3</v>
      </c>
      <c r="BC13" s="10">
        <f>BNVFE!R19</f>
        <v>6.5093363580536684E-3</v>
      </c>
      <c r="BD13" s="10">
        <f>BNVFE!S19</f>
        <v>6.5093363580536684E-3</v>
      </c>
      <c r="BE13" s="10">
        <f>BNVFE!T19</f>
        <v>6.5093363580536684E-3</v>
      </c>
      <c r="BF13" s="10">
        <f>BNVFE!U19</f>
        <v>6.5093363580536684E-3</v>
      </c>
      <c r="BG13" s="10">
        <f>BNVFE!V19</f>
        <v>6.5093363580536684E-3</v>
      </c>
      <c r="BH13" s="10">
        <f>BNVFE!W19</f>
        <v>6.5093363580536684E-3</v>
      </c>
      <c r="BI13" s="10">
        <f>BNVFE!X19</f>
        <v>6.5093363580536684E-3</v>
      </c>
      <c r="BJ13" s="10">
        <f>BNVFE!Y19</f>
        <v>6.5093363580536684E-3</v>
      </c>
      <c r="BK13" s="10">
        <f>BNVFE!Z19</f>
        <v>6.5093363580536684E-3</v>
      </c>
      <c r="BL13" s="10">
        <f>BNVFE!AA19</f>
        <v>6.5093363580536684E-3</v>
      </c>
      <c r="BM13" s="10">
        <f>BNVFE!AB19</f>
        <v>6.5093363580536684E-3</v>
      </c>
      <c r="BN13" s="10">
        <f>BNVFE!AC19</f>
        <v>6.5093363580536684E-3</v>
      </c>
      <c r="BO13" s="10">
        <f>BNVFE!AD19</f>
        <v>6.5093363580536684E-3</v>
      </c>
      <c r="BP13" s="10">
        <f>BNVFE!AE19</f>
        <v>6.5093363580536684E-3</v>
      </c>
      <c r="BQ13" s="10">
        <f>BNVFE!AF19</f>
        <v>6.5093363580536684E-3</v>
      </c>
      <c r="BR13" s="10">
        <f>BNVFE!AG19</f>
        <v>6.5093363580536684E-3</v>
      </c>
      <c r="BS13" s="10"/>
      <c r="BT13" s="4"/>
    </row>
    <row r="14" spans="1:72">
      <c r="A14" t="s">
        <v>18</v>
      </c>
      <c r="B14" t="s">
        <v>22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>
        <f t="shared" ref="W14:AM14" si="12">$AO14</f>
        <v>0</v>
      </c>
      <c r="X14">
        <f t="shared" si="12"/>
        <v>0</v>
      </c>
      <c r="Y14">
        <f t="shared" si="12"/>
        <v>0</v>
      </c>
      <c r="Z14">
        <f t="shared" si="12"/>
        <v>0</v>
      </c>
      <c r="AA14">
        <f t="shared" si="12"/>
        <v>0</v>
      </c>
      <c r="AB14">
        <f t="shared" si="12"/>
        <v>0</v>
      </c>
      <c r="AC14">
        <f t="shared" si="12"/>
        <v>0</v>
      </c>
      <c r="AD14">
        <f t="shared" si="12"/>
        <v>0</v>
      </c>
      <c r="AE14">
        <f t="shared" si="12"/>
        <v>0</v>
      </c>
      <c r="AF14">
        <f t="shared" si="12"/>
        <v>0</v>
      </c>
      <c r="AG14">
        <f t="shared" si="12"/>
        <v>0</v>
      </c>
      <c r="AH14">
        <f t="shared" si="12"/>
        <v>0</v>
      </c>
      <c r="AI14">
        <f t="shared" si="12"/>
        <v>0</v>
      </c>
      <c r="AJ14">
        <f t="shared" si="12"/>
        <v>0</v>
      </c>
      <c r="AK14" s="30">
        <f t="shared" si="12"/>
        <v>0</v>
      </c>
      <c r="AL14" s="30">
        <f t="shared" si="12"/>
        <v>0</v>
      </c>
      <c r="AM14" s="30">
        <f t="shared" si="12"/>
        <v>0</v>
      </c>
      <c r="AN14" s="30">
        <f>$AO14</f>
        <v>0</v>
      </c>
      <c r="AO14" s="11">
        <f>BNVFE!D20</f>
        <v>0</v>
      </c>
      <c r="AP14" s="11">
        <f>BNVFE!E20</f>
        <v>0</v>
      </c>
      <c r="AQ14" s="29">
        <f>BNVFE!F20</f>
        <v>0</v>
      </c>
      <c r="AR14" s="11">
        <f>BNVFE!G20</f>
        <v>0</v>
      </c>
      <c r="AS14" s="11">
        <f>BNVFE!H20</f>
        <v>0</v>
      </c>
      <c r="AT14" s="11">
        <f>BNVFE!I20</f>
        <v>0</v>
      </c>
      <c r="AU14" s="11">
        <f>BNVFE!J20</f>
        <v>0</v>
      </c>
      <c r="AV14" s="11">
        <f>BNVFE!K20</f>
        <v>0</v>
      </c>
      <c r="AW14" s="11">
        <f>BNVFE!L20</f>
        <v>0</v>
      </c>
      <c r="AX14" s="11">
        <f>BNVFE!M20</f>
        <v>0</v>
      </c>
      <c r="AY14" s="11">
        <f>BNVFE!N20</f>
        <v>0</v>
      </c>
      <c r="AZ14" s="11">
        <f>BNVFE!O20</f>
        <v>0</v>
      </c>
      <c r="BA14" s="11">
        <f>BNVFE!P20</f>
        <v>0</v>
      </c>
      <c r="BB14" s="11">
        <f>BNVFE!Q20</f>
        <v>0</v>
      </c>
      <c r="BC14" s="11">
        <f>BNVFE!R20</f>
        <v>0</v>
      </c>
      <c r="BD14" s="11">
        <f>BNVFE!S20</f>
        <v>0</v>
      </c>
      <c r="BE14" s="11">
        <f>BNVFE!T20</f>
        <v>0</v>
      </c>
      <c r="BF14" s="11">
        <f>BNVFE!U20</f>
        <v>0</v>
      </c>
      <c r="BG14" s="11">
        <f>BNVFE!V20</f>
        <v>0</v>
      </c>
      <c r="BH14" s="11">
        <f>BNVFE!W20</f>
        <v>0</v>
      </c>
      <c r="BI14" s="11">
        <f>BNVFE!X20</f>
        <v>0</v>
      </c>
      <c r="BJ14" s="11">
        <f>BNVFE!Y20</f>
        <v>0</v>
      </c>
      <c r="BK14" s="11">
        <f>BNVFE!Z20</f>
        <v>0</v>
      </c>
      <c r="BL14" s="11">
        <f>BNVFE!AA20</f>
        <v>0</v>
      </c>
      <c r="BM14" s="11">
        <f>BNVFE!AB20</f>
        <v>0</v>
      </c>
      <c r="BN14" s="11">
        <f>BNVFE!AC20</f>
        <v>0</v>
      </c>
      <c r="BO14" s="11">
        <f>BNVFE!AD20</f>
        <v>0</v>
      </c>
      <c r="BP14" s="11">
        <f>BNVFE!AE20</f>
        <v>0</v>
      </c>
      <c r="BQ14" s="11">
        <f>BNVFE!AF20</f>
        <v>0</v>
      </c>
      <c r="BR14" s="11">
        <f>BNVFE!AG20</f>
        <v>0</v>
      </c>
      <c r="BS14" s="11"/>
    </row>
    <row r="15" spans="1:72">
      <c r="E15" s="21"/>
      <c r="X15" s="4"/>
      <c r="AH15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1.1869958916684679E-3</v>
      </c>
      <c r="C2" s="4">
        <f>SYFAFE!$B$2</f>
        <v>1.1869958916684679E-3</v>
      </c>
      <c r="D2" s="4">
        <f>SYFAFE!$B$2</f>
        <v>1.1869958916684679E-3</v>
      </c>
      <c r="E2" s="4">
        <f>SYFAFE!$B$2</f>
        <v>1.1869958916684679E-3</v>
      </c>
      <c r="F2" s="4">
        <f>SYFAFE!$B$2</f>
        <v>1.1869958916684679E-3</v>
      </c>
      <c r="G2" s="4">
        <f>SYFAFE!$B$2</f>
        <v>1.1869958916684679E-3</v>
      </c>
      <c r="H2" s="4">
        <f>SYFAFE!$B$2</f>
        <v>1.1869958916684679E-3</v>
      </c>
      <c r="I2" s="4">
        <f>SYFAFE!$B$2</f>
        <v>1.1869958916684679E-3</v>
      </c>
      <c r="J2" s="4">
        <f>SYFAFE!$B$2</f>
        <v>1.1869958916684679E-3</v>
      </c>
      <c r="K2" s="4">
        <f>SYFAFE!$B$2</f>
        <v>1.1869958916684679E-3</v>
      </c>
      <c r="L2" s="4">
        <f>SYFAFE!$B$2</f>
        <v>1.1869958916684679E-3</v>
      </c>
      <c r="M2" s="4">
        <f>SYFAFE!$B$2</f>
        <v>1.1869958916684679E-3</v>
      </c>
      <c r="N2" s="4">
        <f>SYFAFE!$B$2</f>
        <v>1.1869958916684679E-3</v>
      </c>
      <c r="O2" s="4">
        <f>SYFAFE!$B$2</f>
        <v>1.1869958916684679E-3</v>
      </c>
      <c r="P2" s="4">
        <f>SYFAFE!$B$2</f>
        <v>1.1869958916684679E-3</v>
      </c>
      <c r="Q2" s="4">
        <f>SYFAFE!$B$2</f>
        <v>1.1869958916684679E-3</v>
      </c>
      <c r="R2" s="4">
        <f>SYFAFE!$B$2</f>
        <v>1.1869958916684679E-3</v>
      </c>
      <c r="S2" s="4">
        <f>SYFAFE!$B$2</f>
        <v>1.1869958916684679E-3</v>
      </c>
      <c r="T2" s="4">
        <f>SYFAFE!$B$2</f>
        <v>1.1869958916684679E-3</v>
      </c>
      <c r="U2" s="4">
        <f>SYFAFE!$B$2</f>
        <v>1.1869958916684679E-3</v>
      </c>
      <c r="V2" s="4">
        <f>SYFAFE!$B$2</f>
        <v>1.1869958916684679E-3</v>
      </c>
      <c r="W2" s="4">
        <f>SYFAFE!$B$2</f>
        <v>1.1869958916684679E-3</v>
      </c>
      <c r="X2" s="4">
        <f>SYFAFE!$B$2</f>
        <v>1.1869958916684679E-3</v>
      </c>
      <c r="Y2" s="4">
        <f>SYFAFE!$B$2</f>
        <v>1.1869958916684679E-3</v>
      </c>
      <c r="Z2" s="4">
        <f>SYFAFE!$B$2</f>
        <v>1.1869958916684679E-3</v>
      </c>
      <c r="AA2" s="4">
        <f>SYFAFE!$B$2</f>
        <v>1.1869958916684679E-3</v>
      </c>
      <c r="AB2" s="4">
        <f>SYFAFE!$B$2</f>
        <v>1.1869958916684679E-3</v>
      </c>
      <c r="AC2" s="4">
        <f>SYFAFE!$B$2</f>
        <v>1.1869958916684679E-3</v>
      </c>
      <c r="AD2" s="4">
        <f>SYFAFE!$B$2</f>
        <v>1.1869958916684679E-3</v>
      </c>
      <c r="AE2" s="4">
        <f>SYFAFE!$B$2</f>
        <v>1.1869958916684679E-3</v>
      </c>
      <c r="AG2" s="4"/>
      <c r="AH2" s="4"/>
    </row>
    <row r="3" spans="1:34">
      <c r="A3" t="s">
        <v>3</v>
      </c>
      <c r="B3" s="4">
        <f>BNVFE!B25*('BHNVFEAL-LDVs-psgr'!B$4/BNVFE!B$26)</f>
        <v>3.4148904246785101E-4</v>
      </c>
      <c r="C3" s="4">
        <f>BNVFE!C25*('BHNVFEAL-LDVs-psgr'!C$4/BNVFE!C$26)</f>
        <v>3.3923436793017949E-4</v>
      </c>
      <c r="D3" s="4">
        <f>BNVFE!D25*('BHNVFEAL-LDVs-psgr'!D$4/BNVFE!D$26)</f>
        <v>0</v>
      </c>
      <c r="E3" s="4">
        <f>BNVFE!E25*('BHNVFEAL-LDVs-psgr'!E$4/BNVFE!E$26)</f>
        <v>0</v>
      </c>
      <c r="F3" s="4">
        <f>BNVFE!F25*('BHNVFEAL-LDVs-psgr'!F$4/BNVFE!F$26)</f>
        <v>0</v>
      </c>
      <c r="G3" s="4">
        <f>BNVFE!G25*('BHNVFEAL-LDVs-psgr'!G$4/BNVFE!G$26)</f>
        <v>0</v>
      </c>
      <c r="H3" s="4">
        <f>BNVFE!H25*('BHNVFEAL-LDVs-psgr'!H$4/BNVFE!H$26)</f>
        <v>0</v>
      </c>
      <c r="I3" s="4">
        <f>BNVFE!I25*('BHNVFEAL-LDVs-psgr'!I$4/BNVFE!I$26)</f>
        <v>0</v>
      </c>
      <c r="J3" s="4">
        <f>BNVFE!J25*('BHNVFEAL-LDVs-psgr'!J$4/BNVFE!J$26)</f>
        <v>0</v>
      </c>
      <c r="K3" s="4">
        <f>BNVFE!K25*('BHNVFEAL-LDVs-psgr'!K$4/BNVFE!K$26)</f>
        <v>0</v>
      </c>
      <c r="L3" s="4">
        <f>BNVFE!L25*('BHNVFEAL-LDVs-psgr'!L$4/BNVFE!L$26)</f>
        <v>0</v>
      </c>
      <c r="M3" s="4">
        <f>BNVFE!M25*('BHNVFEAL-LDVs-psgr'!M$4/BNVFE!M$26)</f>
        <v>0</v>
      </c>
      <c r="N3" s="4">
        <f>BNVFE!N25*('BHNVFEAL-LDVs-psgr'!N$4/BNVFE!N$26)</f>
        <v>0</v>
      </c>
      <c r="O3" s="4">
        <f>BNVFE!O25*('BHNVFEAL-LDVs-psgr'!O$4/BNVFE!O$26)</f>
        <v>0</v>
      </c>
      <c r="P3" s="4">
        <f>BNVFE!P25*('BHNVFEAL-LDVs-psgr'!P$4/BNVFE!P$26)</f>
        <v>0</v>
      </c>
      <c r="Q3" s="4">
        <f>BNVFE!Q25*('BHNVFEAL-LDVs-psgr'!Q$4/BNVFE!Q$26)</f>
        <v>0</v>
      </c>
      <c r="R3" s="4">
        <f>BNVFE!R25*('BHNVFEAL-LDVs-psgr'!R$4/BNVFE!R$26)</f>
        <v>0</v>
      </c>
      <c r="S3" s="4">
        <f>BNVFE!S25*('BHNVFEAL-LDVs-psgr'!S$4/BNVFE!S$26)</f>
        <v>0</v>
      </c>
      <c r="T3" s="4">
        <f>BNVFE!T25*('BHNVFEAL-LDVs-psgr'!T$4/BNVFE!T$26)</f>
        <v>0</v>
      </c>
      <c r="U3" s="4">
        <f>BNVFE!U25*('BHNVFEAL-LDVs-psgr'!U$4/BNVFE!U$26)</f>
        <v>0</v>
      </c>
      <c r="V3" s="4">
        <f>BNVFE!V25*('BHNVFEAL-LDVs-psgr'!V$4/BNVFE!V$26)</f>
        <v>0</v>
      </c>
      <c r="W3" s="4">
        <f>BNVFE!W25*('BHNVFEAL-LDVs-psgr'!W$4/BNVFE!W$26)</f>
        <v>0</v>
      </c>
      <c r="X3" s="4">
        <f>BNVFE!X25*('BHNVFEAL-LDVs-psgr'!X$4/BNVFE!X$26)</f>
        <v>0</v>
      </c>
      <c r="Y3" s="4">
        <f>BNVFE!Y25*('BHNVFEAL-LDVs-psgr'!Y$4/BNVFE!Y$26)</f>
        <v>0</v>
      </c>
      <c r="Z3" s="4">
        <f>BNVFE!Z25*('BHNVFEAL-LDVs-psgr'!Z$4/BNVFE!Z$26)</f>
        <v>0</v>
      </c>
      <c r="AA3" s="4">
        <f>BNVFE!AA25*('BHNVFEAL-LDVs-psgr'!AA$4/BNVFE!AA$26)</f>
        <v>0</v>
      </c>
      <c r="AB3" s="4">
        <f>BNVFE!AB25*('BHNVFEAL-LDVs-psgr'!AB$4/BNVFE!AB$26)</f>
        <v>0</v>
      </c>
      <c r="AC3" s="4">
        <f>BNVFE!AC25*('BHNVFEAL-LDVs-psgr'!AC$4/BNVFE!AC$26)</f>
        <v>0</v>
      </c>
      <c r="AD3" s="4">
        <f>BNVFE!AD25*('BHNVFEAL-LDVs-psgr'!AD$4/BNVFE!AD$26)</f>
        <v>0</v>
      </c>
      <c r="AE3" s="4">
        <f>BNVFE!AE25*('BHNVFEAL-LDVs-psgr'!AE$4/BNVFE!AE$26)</f>
        <v>0</v>
      </c>
      <c r="AG3" s="4"/>
      <c r="AH3" s="4"/>
    </row>
    <row r="4" spans="1:34">
      <c r="A4" t="s">
        <v>4</v>
      </c>
      <c r="B4" s="4">
        <f>Extrapolations!AB2</f>
        <v>3.1779260113808729E-4</v>
      </c>
      <c r="C4" s="4">
        <f>Extrapolations!AC2</f>
        <v>3.2133534064398227E-4</v>
      </c>
      <c r="D4" s="4">
        <f>Extrapolations!AD2</f>
        <v>3.2487808014987726E-4</v>
      </c>
      <c r="E4" s="4">
        <f>Extrapolations!AE2</f>
        <v>3.2842081965577224E-4</v>
      </c>
      <c r="F4" s="4">
        <f>Extrapolations!AF2</f>
        <v>3.3196355916166722E-4</v>
      </c>
      <c r="G4" s="4">
        <f>Extrapolations!AG2</f>
        <v>3.3550629866756221E-4</v>
      </c>
      <c r="H4" s="4">
        <f>Extrapolations!AH2</f>
        <v>3.3904903817345719E-4</v>
      </c>
      <c r="I4" s="4">
        <f>Extrapolations!AI2</f>
        <v>3.4259177767935218E-4</v>
      </c>
      <c r="J4" s="4">
        <f>Extrapolations!AJ2</f>
        <v>3.4613451718524716E-4</v>
      </c>
      <c r="K4" s="4">
        <f>Extrapolations!AK2</f>
        <v>3.4967725669114214E-4</v>
      </c>
      <c r="L4" s="4">
        <f>Extrapolations!AL2</f>
        <v>3.5321999619703713E-4</v>
      </c>
      <c r="M4" s="4">
        <f>Extrapolations!AM2</f>
        <v>3.5676273570293211E-4</v>
      </c>
      <c r="N4" s="4">
        <f>Extrapolations!AN2</f>
        <v>3.603054752088271E-4</v>
      </c>
      <c r="O4" s="4">
        <f>Extrapolations!AO2</f>
        <v>3.6384821471472208E-4</v>
      </c>
      <c r="P4" s="4">
        <f>Extrapolations!AP2</f>
        <v>3.6739095422061706E-4</v>
      </c>
      <c r="Q4" s="4">
        <f>Extrapolations!AQ2</f>
        <v>3.7093369372651205E-4</v>
      </c>
      <c r="R4" s="4">
        <f>Extrapolations!AR2</f>
        <v>3.7447643323240698E-4</v>
      </c>
      <c r="S4" s="4">
        <f>Extrapolations!AS2</f>
        <v>3.9011286777709445E-4</v>
      </c>
      <c r="T4" s="4">
        <f>Extrapolations!AT2</f>
        <v>3.973908333465341E-4</v>
      </c>
      <c r="U4" s="4">
        <f>Extrapolations!AU2</f>
        <v>3.9921116827982341E-4</v>
      </c>
      <c r="V4" s="4">
        <f>Extrapolations!AV2</f>
        <v>4.0474968459162865E-4</v>
      </c>
      <c r="W4" s="4">
        <f>Extrapolations!AW2</f>
        <v>4.0866714086181205E-4</v>
      </c>
      <c r="X4" s="4">
        <f>Extrapolations!AX2</f>
        <v>4.1165739618674141E-4</v>
      </c>
      <c r="Y4" s="4">
        <f>Extrapolations!AY2</f>
        <v>4.1453743818293512E-4</v>
      </c>
      <c r="Z4" s="4">
        <f>Extrapolations!AZ2</f>
        <v>4.1476226395269379E-4</v>
      </c>
      <c r="AA4" s="4">
        <f>Extrapolations!BA2</f>
        <v>4.1467751199658729E-4</v>
      </c>
      <c r="AB4" s="4">
        <f>Extrapolations!BB2</f>
        <v>4.1774836203476703E-4</v>
      </c>
      <c r="AC4" s="4">
        <f>Extrapolations!BC2</f>
        <v>4.1834632264550211E-4</v>
      </c>
      <c r="AD4" s="4">
        <f>Extrapolations!BD2</f>
        <v>4.1983822558637316E-4</v>
      </c>
      <c r="AE4" s="4">
        <f>Extrapolations!BE2</f>
        <v>4.2130104966706447E-4</v>
      </c>
      <c r="AG4" s="4"/>
      <c r="AH4" s="4"/>
    </row>
    <row r="5" spans="1:34">
      <c r="A5" t="s">
        <v>5</v>
      </c>
      <c r="B5" s="4">
        <f>BNVFE!B27*('BHNVFEAL-LDVs-psgr'!B$4/BNVFE!B$26)</f>
        <v>3.3349508900085996E-4</v>
      </c>
      <c r="C5" s="4">
        <f>BNVFE!C27*('BHNVFEAL-LDVs-psgr'!C$4/BNVFE!C$26)</f>
        <v>3.3917189487692667E-4</v>
      </c>
      <c r="D5" s="4">
        <f>BNVFE!D27*('BHNVFEAL-LDVs-psgr'!D$4/BNVFE!D$26)</f>
        <v>3.3920180284057258E-4</v>
      </c>
      <c r="E5" s="4">
        <f>BNVFE!E27*('BHNVFEAL-LDVs-psgr'!E$4/BNVFE!E$26)</f>
        <v>3.0177334200496398E-4</v>
      </c>
      <c r="F5" s="4">
        <f>BNVFE!F27*('BHNVFEAL-LDVs-psgr'!F$4/BNVFE!F$26)</f>
        <v>2.9288807650383364E-4</v>
      </c>
      <c r="G5" s="4">
        <f>BNVFE!G27*('BHNVFEAL-LDVs-psgr'!G$4/BNVFE!G$26)</f>
        <v>2.9052743546890861E-4</v>
      </c>
      <c r="H5" s="4">
        <f>BNVFE!H27*('BHNVFEAL-LDVs-psgr'!H$4/BNVFE!H$26)</f>
        <v>2.9203166113869663E-4</v>
      </c>
      <c r="I5" s="4">
        <f>BNVFE!I27*('BHNVFEAL-LDVs-psgr'!I$4/BNVFE!I$26)</f>
        <v>2.9095505565463766E-4</v>
      </c>
      <c r="J5" s="4">
        <f>BNVFE!J27*('BHNVFEAL-LDVs-psgr'!J$4/BNVFE!J$26)</f>
        <v>2.9126658314347214E-4</v>
      </c>
      <c r="K5" s="4">
        <f>BNVFE!K27*('BHNVFEAL-LDVs-psgr'!K$4/BNVFE!K$26)</f>
        <v>2.8964776590068356E-4</v>
      </c>
      <c r="L5" s="4">
        <f>BNVFE!L27*('BHNVFEAL-LDVs-psgr'!L$4/BNVFE!L$26)</f>
        <v>2.904212996888033E-4</v>
      </c>
      <c r="M5" s="4">
        <f>BNVFE!M27*('BHNVFEAL-LDVs-psgr'!M$4/BNVFE!M$26)</f>
        <v>2.9304322956363052E-4</v>
      </c>
      <c r="N5" s="4">
        <f>BNVFE!N27*('BHNVFEAL-LDVs-psgr'!N$4/BNVFE!N$26)</f>
        <v>2.962946165515287E-4</v>
      </c>
      <c r="O5" s="4">
        <f>BNVFE!O27*('BHNVFEAL-LDVs-psgr'!O$4/BNVFE!O$26)</f>
        <v>2.9690158235119035E-4</v>
      </c>
      <c r="P5" s="4">
        <f>BNVFE!P27*('BHNVFEAL-LDVs-psgr'!P$4/BNVFE!P$26)</f>
        <v>2.992053963169262E-4</v>
      </c>
      <c r="Q5" s="4">
        <f>BNVFE!Q27*('BHNVFEAL-LDVs-psgr'!Q$4/BNVFE!Q$26)</f>
        <v>3.0090329304052489E-4</v>
      </c>
      <c r="R5" s="4">
        <f>BNVFE!R27*('BHNVFEAL-LDVs-psgr'!R$4/BNVFE!R$26)</f>
        <v>3.0262851639691778E-4</v>
      </c>
      <c r="S5" s="4">
        <f>BNVFE!S27*('BHNVFEAL-LDVs-psgr'!S$4/BNVFE!S$26)</f>
        <v>3.1403644105197751E-4</v>
      </c>
      <c r="T5" s="4">
        <f>BNVFE!T27*('BHNVFEAL-LDVs-psgr'!T$4/BNVFE!T$26)</f>
        <v>3.1918437643635461E-4</v>
      </c>
      <c r="U5" s="4">
        <f>BNVFE!U27*('BHNVFEAL-LDVs-psgr'!U$4/BNVFE!U$26)</f>
        <v>3.2044299140440686E-4</v>
      </c>
      <c r="V5" s="4">
        <f>BNVFE!V27*('BHNVFEAL-LDVs-psgr'!V$4/BNVFE!V$26)</f>
        <v>3.2400769944323284E-4</v>
      </c>
      <c r="W5" s="4">
        <f>BNVFE!W27*('BHNVFEAL-LDVs-psgr'!W$4/BNVFE!W$26)</f>
        <v>3.265822181256868E-4</v>
      </c>
      <c r="X5" s="4">
        <f>BNVFE!X27*('BHNVFEAL-LDVs-psgr'!X$4/BNVFE!X$26)</f>
        <v>3.2828960433549614E-4</v>
      </c>
      <c r="Y5" s="4">
        <f>BNVFE!Y27*('BHNVFEAL-LDVs-psgr'!Y$4/BNVFE!Y$26)</f>
        <v>3.3012860930259054E-4</v>
      </c>
      <c r="Z5" s="4">
        <f>BNVFE!Z27*('BHNVFEAL-LDVs-psgr'!Z$4/BNVFE!Z$26)</f>
        <v>3.2970218286273079E-4</v>
      </c>
      <c r="AA5" s="4">
        <f>BNVFE!AA27*('BHNVFEAL-LDVs-psgr'!AA$4/BNVFE!AA$26)</f>
        <v>3.2924053923480488E-4</v>
      </c>
      <c r="AB5" s="4">
        <f>BNVFE!AB27*('BHNVFEAL-LDVs-psgr'!AB$4/BNVFE!AB$26)</f>
        <v>3.3139615947511472E-4</v>
      </c>
      <c r="AC5" s="4">
        <f>BNVFE!AC27*('BHNVFEAL-LDVs-psgr'!AC$4/BNVFE!AC$26)</f>
        <v>3.3141533540130184E-4</v>
      </c>
      <c r="AD5" s="4">
        <f>BNVFE!AD27*('BHNVFEAL-LDVs-psgr'!AD$4/BNVFE!AD$26)</f>
        <v>3.3215643221904057E-4</v>
      </c>
      <c r="AE5" s="4">
        <f>BNVFE!AE27*('BHNVFEAL-LDVs-psgr'!AE$4/BNVFE!AE$26)</f>
        <v>3.3244896115386044E-4</v>
      </c>
      <c r="AG5" s="4"/>
      <c r="AH5" s="4"/>
    </row>
    <row r="6" spans="1:34">
      <c r="A6" t="s">
        <v>6</v>
      </c>
      <c r="B6" s="4">
        <f>BNVFE!B28*('BHNVFEAL-LDVs-psgr'!B$4/BNVFE!B$26)</f>
        <v>5.3995648282161056E-4</v>
      </c>
      <c r="C6" s="4">
        <f>BNVFE!C28*('BHNVFEAL-LDVs-psgr'!C$4/BNVFE!C$26)</f>
        <v>4.936675043076508E-4</v>
      </c>
      <c r="D6" s="4">
        <f>BNVFE!D28*('BHNVFEAL-LDVs-psgr'!D$4/BNVFE!D$26)</f>
        <v>4.8728861182029327E-4</v>
      </c>
      <c r="E6" s="4">
        <f>BNVFE!E28*('BHNVFEAL-LDVs-psgr'!E$4/BNVFE!E$26)</f>
        <v>4.6993868683183315E-4</v>
      </c>
      <c r="F6" s="4">
        <f>BNVFE!F28*('BHNVFEAL-LDVs-psgr'!F$4/BNVFE!F$26)</f>
        <v>4.7225948159556046E-4</v>
      </c>
      <c r="G6" s="4">
        <f>BNVFE!G28*('BHNVFEAL-LDVs-psgr'!G$4/BNVFE!G$26)</f>
        <v>4.8862168271599632E-4</v>
      </c>
      <c r="H6" s="4">
        <f>BNVFE!H28*('BHNVFEAL-LDVs-psgr'!H$4/BNVFE!H$26)</f>
        <v>4.9144488413288719E-4</v>
      </c>
      <c r="I6" s="4">
        <f>BNVFE!I28*('BHNVFEAL-LDVs-psgr'!I$4/BNVFE!I$26)</f>
        <v>4.9257419316516829E-4</v>
      </c>
      <c r="J6" s="4">
        <f>BNVFE!J28*('BHNVFEAL-LDVs-psgr'!J$4/BNVFE!J$26)</f>
        <v>4.9408629922499561E-4</v>
      </c>
      <c r="K6" s="4">
        <f>BNVFE!K28*('BHNVFEAL-LDVs-psgr'!K$4/BNVFE!K$26)</f>
        <v>4.9969185642702784E-4</v>
      </c>
      <c r="L6" s="4">
        <f>BNVFE!L28*('BHNVFEAL-LDVs-psgr'!L$4/BNVFE!L$26)</f>
        <v>5.0237410162934338E-4</v>
      </c>
      <c r="M6" s="4">
        <f>BNVFE!M28*('BHNVFEAL-LDVs-psgr'!M$4/BNVFE!M$26)</f>
        <v>5.0409063605452958E-4</v>
      </c>
      <c r="N6" s="4">
        <f>BNVFE!N28*('BHNVFEAL-LDVs-psgr'!N$4/BNVFE!N$26)</f>
        <v>5.070078918116359E-4</v>
      </c>
      <c r="O6" s="4">
        <f>BNVFE!O28*('BHNVFEAL-LDVs-psgr'!O$4/BNVFE!O$26)</f>
        <v>5.0986485240281994E-4</v>
      </c>
      <c r="P6" s="4">
        <f>BNVFE!P28*('BHNVFEAL-LDVs-psgr'!P$4/BNVFE!P$26)</f>
        <v>5.125156246409136E-4</v>
      </c>
      <c r="Q6" s="4">
        <f>BNVFE!Q28*('BHNVFEAL-LDVs-psgr'!Q$4/BNVFE!Q$26)</f>
        <v>5.1905187970738222E-4</v>
      </c>
      <c r="R6" s="4">
        <f>BNVFE!R28*('BHNVFEAL-LDVs-psgr'!R$4/BNVFE!R$26)</f>
        <v>5.2257399726949021E-4</v>
      </c>
      <c r="S6" s="4">
        <f>BNVFE!S28*('BHNVFEAL-LDVs-psgr'!S$4/BNVFE!S$26)</f>
        <v>5.4283751117394389E-4</v>
      </c>
      <c r="T6" s="4">
        <f>BNVFE!T28*('BHNVFEAL-LDVs-psgr'!T$4/BNVFE!T$26)</f>
        <v>5.509529718537205E-4</v>
      </c>
      <c r="U6" s="4">
        <f>BNVFE!U28*('BHNVFEAL-LDVs-psgr'!U$4/BNVFE!U$26)</f>
        <v>5.5326109479902972E-4</v>
      </c>
      <c r="V6" s="4">
        <f>BNVFE!V28*('BHNVFEAL-LDVs-psgr'!V$4/BNVFE!V$26)</f>
        <v>5.5987797196229425E-4</v>
      </c>
      <c r="W6" s="4">
        <f>BNVFE!W28*('BHNVFEAL-LDVs-psgr'!W$4/BNVFE!W$26)</f>
        <v>5.6432652213798278E-4</v>
      </c>
      <c r="X6" s="4">
        <f>BNVFE!X28*('BHNVFEAL-LDVs-psgr'!X$4/BNVFE!X$26)</f>
        <v>5.6735379590297725E-4</v>
      </c>
      <c r="Y6" s="4">
        <f>BNVFE!Y28*('BHNVFEAL-LDVs-psgr'!Y$4/BNVFE!Y$26)</f>
        <v>5.7047473663785788E-4</v>
      </c>
      <c r="Z6" s="4">
        <f>BNVFE!Z28*('BHNVFEAL-LDVs-psgr'!Z$4/BNVFE!Z$26)</f>
        <v>5.6977362759222762E-4</v>
      </c>
      <c r="AA6" s="4">
        <f>BNVFE!AA28*('BHNVFEAL-LDVs-psgr'!AA$4/BNVFE!AA$26)</f>
        <v>5.6888939824928885E-4</v>
      </c>
      <c r="AB6" s="4">
        <f>BNVFE!AB28*('BHNVFEAL-LDVs-psgr'!AB$4/BNVFE!AB$26)</f>
        <v>5.7251050363407577E-4</v>
      </c>
      <c r="AC6" s="4">
        <f>BNVFE!AC28*('BHNVFEAL-LDVs-psgr'!AC$4/BNVFE!AC$26)</f>
        <v>5.7246120524134054E-4</v>
      </c>
      <c r="AD6" s="4">
        <f>BNVFE!AD28*('BHNVFEAL-LDVs-psgr'!AD$4/BNVFE!AD$26)</f>
        <v>5.7365784939854096E-4</v>
      </c>
      <c r="AE6" s="4">
        <f>BNVFE!AE28*('BHNVFEAL-LDVs-psgr'!AE$4/BNVFE!AE$26)</f>
        <v>5.7424397364385434E-4</v>
      </c>
      <c r="AG6" s="4"/>
      <c r="AH6" s="4"/>
    </row>
    <row r="7" spans="1:34">
      <c r="A7" t="s">
        <v>84</v>
      </c>
      <c r="B7" s="4">
        <f>BNVFE!B29*('BHNVFEAL-LDVs-psgr'!B$4/BNVFE!B$26)</f>
        <v>2.9706671738014977E-4</v>
      </c>
      <c r="C7" s="4">
        <f>BNVFE!C29*('BHNVFEAL-LDVs-psgr'!C$4/BNVFE!C$26)</f>
        <v>2.9327983352164376E-4</v>
      </c>
      <c r="D7" s="4">
        <f>BNVFE!D29*('BHNVFEAL-LDVs-psgr'!D$4/BNVFE!D$26)</f>
        <v>0</v>
      </c>
      <c r="E7" s="4">
        <f>BNVFE!E29*('BHNVFEAL-LDVs-psgr'!E$4/BNVFE!E$26)</f>
        <v>0</v>
      </c>
      <c r="F7" s="4">
        <f>BNVFE!F29*('BHNVFEAL-LDVs-psgr'!F$4/BNVFE!F$26)</f>
        <v>0</v>
      </c>
      <c r="G7" s="4">
        <f>BNVFE!G29*('BHNVFEAL-LDVs-psgr'!G$4/BNVFE!G$26)</f>
        <v>0</v>
      </c>
      <c r="H7" s="4">
        <f>BNVFE!H29*('BHNVFEAL-LDVs-psgr'!H$4/BNVFE!H$26)</f>
        <v>0</v>
      </c>
      <c r="I7" s="4">
        <f>BNVFE!I29*('BHNVFEAL-LDVs-psgr'!I$4/BNVFE!I$26)</f>
        <v>0</v>
      </c>
      <c r="J7" s="4">
        <f>BNVFE!J29*('BHNVFEAL-LDVs-psgr'!J$4/BNVFE!J$26)</f>
        <v>0</v>
      </c>
      <c r="K7" s="4">
        <f>BNVFE!K29*('BHNVFEAL-LDVs-psgr'!K$4/BNVFE!K$26)</f>
        <v>0</v>
      </c>
      <c r="L7" s="4">
        <f>BNVFE!L29*('BHNVFEAL-LDVs-psgr'!L$4/BNVFE!L$26)</f>
        <v>0</v>
      </c>
      <c r="M7" s="4">
        <f>BNVFE!M29*('BHNVFEAL-LDVs-psgr'!M$4/BNVFE!M$26)</f>
        <v>0</v>
      </c>
      <c r="N7" s="4">
        <f>BNVFE!N29*('BHNVFEAL-LDVs-psgr'!N$4/BNVFE!N$26)</f>
        <v>0</v>
      </c>
      <c r="O7" s="4">
        <f>BNVFE!O29*('BHNVFEAL-LDVs-psgr'!O$4/BNVFE!O$26)</f>
        <v>0</v>
      </c>
      <c r="P7" s="4">
        <f>BNVFE!P29*('BHNVFEAL-LDVs-psgr'!P$4/BNVFE!P$26)</f>
        <v>0</v>
      </c>
      <c r="Q7" s="4">
        <f>BNVFE!Q29*('BHNVFEAL-LDVs-psgr'!Q$4/BNVFE!Q$26)</f>
        <v>0</v>
      </c>
      <c r="R7" s="4">
        <f>BNVFE!R29*('BHNVFEAL-LDVs-psgr'!R$4/BNVFE!R$26)</f>
        <v>0</v>
      </c>
      <c r="S7" s="4">
        <f>BNVFE!S29*('BHNVFEAL-LDVs-psgr'!S$4/BNVFE!S$26)</f>
        <v>0</v>
      </c>
      <c r="T7" s="4">
        <f>BNVFE!T29*('BHNVFEAL-LDVs-psgr'!T$4/BNVFE!T$26)</f>
        <v>0</v>
      </c>
      <c r="U7" s="4">
        <f>BNVFE!U29*('BHNVFEAL-LDVs-psgr'!U$4/BNVFE!U$26)</f>
        <v>0</v>
      </c>
      <c r="V7" s="4">
        <f>BNVFE!V29*('BHNVFEAL-LDVs-psgr'!V$4/BNVFE!V$26)</f>
        <v>0</v>
      </c>
      <c r="W7" s="4">
        <f>BNVFE!W29*('BHNVFEAL-LDVs-psgr'!W$4/BNVFE!W$26)</f>
        <v>0</v>
      </c>
      <c r="X7" s="4">
        <f>BNVFE!X29*('BHNVFEAL-LDVs-psgr'!X$4/BNVFE!X$26)</f>
        <v>0</v>
      </c>
      <c r="Y7" s="4">
        <f>BNVFE!Y29*('BHNVFEAL-LDVs-psgr'!Y$4/BNVFE!Y$26)</f>
        <v>0</v>
      </c>
      <c r="Z7" s="4">
        <f>BNVFE!Z29*('BHNVFEAL-LDVs-psgr'!Z$4/BNVFE!Z$26)</f>
        <v>0</v>
      </c>
      <c r="AA7" s="4">
        <f>BNVFE!AA29*('BHNVFEAL-LDVs-psgr'!AA$4/BNVFE!AA$26)</f>
        <v>0</v>
      </c>
      <c r="AB7" s="4">
        <f>BNVFE!AB29*('BHNVFEAL-LDVs-psgr'!AB$4/BNVFE!AB$26)</f>
        <v>0</v>
      </c>
      <c r="AC7" s="4">
        <f>BNVFE!AC29*('BHNVFEAL-LDVs-psgr'!AC$4/BNVFE!AC$26)</f>
        <v>0</v>
      </c>
      <c r="AD7" s="4">
        <f>BNVFE!AD29*('BHNVFEAL-LDVs-psgr'!AD$4/BNVFE!AD$26)</f>
        <v>0</v>
      </c>
      <c r="AE7" s="4">
        <f>BNVFE!AE29*('BHNVFEAL-LDVs-psgr'!AE$4/BNVFE!AE$26)</f>
        <v>0</v>
      </c>
      <c r="AG7" s="4"/>
      <c r="AH7" s="4"/>
    </row>
    <row r="8" spans="1:34">
      <c r="A8" t="s">
        <v>85</v>
      </c>
      <c r="B8" s="4">
        <f>SYFAFE!$H$2</f>
        <v>5.8116746400402948E-4</v>
      </c>
      <c r="C8" s="4">
        <f t="shared" ref="C8:AE8" si="0">B8</f>
        <v>5.8116746400402948E-4</v>
      </c>
      <c r="D8" s="4">
        <f t="shared" si="0"/>
        <v>5.8116746400402948E-4</v>
      </c>
      <c r="E8" s="4">
        <f t="shared" si="0"/>
        <v>5.8116746400402948E-4</v>
      </c>
      <c r="F8" s="4">
        <f t="shared" si="0"/>
        <v>5.8116746400402948E-4</v>
      </c>
      <c r="G8" s="4">
        <f t="shared" si="0"/>
        <v>5.8116746400402948E-4</v>
      </c>
      <c r="H8" s="4">
        <f t="shared" si="0"/>
        <v>5.8116746400402948E-4</v>
      </c>
      <c r="I8" s="4">
        <f t="shared" si="0"/>
        <v>5.8116746400402948E-4</v>
      </c>
      <c r="J8" s="4">
        <f t="shared" si="0"/>
        <v>5.8116746400402948E-4</v>
      </c>
      <c r="K8" s="4">
        <f t="shared" si="0"/>
        <v>5.8116746400402948E-4</v>
      </c>
      <c r="L8" s="4">
        <f t="shared" si="0"/>
        <v>5.8116746400402948E-4</v>
      </c>
      <c r="M8" s="4">
        <f t="shared" si="0"/>
        <v>5.8116746400402948E-4</v>
      </c>
      <c r="N8" s="4">
        <f t="shared" si="0"/>
        <v>5.8116746400402948E-4</v>
      </c>
      <c r="O8" s="4">
        <f t="shared" si="0"/>
        <v>5.8116746400402948E-4</v>
      </c>
      <c r="P8" s="4">
        <f t="shared" si="0"/>
        <v>5.8116746400402948E-4</v>
      </c>
      <c r="Q8" s="4">
        <f t="shared" si="0"/>
        <v>5.8116746400402948E-4</v>
      </c>
      <c r="R8" s="4">
        <f t="shared" si="0"/>
        <v>5.8116746400402948E-4</v>
      </c>
      <c r="S8" s="4">
        <f t="shared" si="0"/>
        <v>5.8116746400402948E-4</v>
      </c>
      <c r="T8" s="4">
        <f t="shared" si="0"/>
        <v>5.8116746400402948E-4</v>
      </c>
      <c r="U8" s="4">
        <f t="shared" si="0"/>
        <v>5.8116746400402948E-4</v>
      </c>
      <c r="V8" s="4">
        <f t="shared" si="0"/>
        <v>5.8116746400402948E-4</v>
      </c>
      <c r="W8" s="4">
        <f t="shared" si="0"/>
        <v>5.8116746400402948E-4</v>
      </c>
      <c r="X8" s="4">
        <f t="shared" si="0"/>
        <v>5.8116746400402948E-4</v>
      </c>
      <c r="Y8" s="4">
        <f t="shared" si="0"/>
        <v>5.8116746400402948E-4</v>
      </c>
      <c r="Z8" s="4">
        <f t="shared" si="0"/>
        <v>5.8116746400402948E-4</v>
      </c>
      <c r="AA8" s="4">
        <f t="shared" si="0"/>
        <v>5.8116746400402948E-4</v>
      </c>
      <c r="AB8" s="4">
        <f t="shared" si="0"/>
        <v>5.8116746400402948E-4</v>
      </c>
      <c r="AC8" s="4">
        <f t="shared" si="0"/>
        <v>5.8116746400402948E-4</v>
      </c>
      <c r="AD8" s="4">
        <f t="shared" si="0"/>
        <v>5.8116746400402948E-4</v>
      </c>
      <c r="AE8" s="4">
        <f t="shared" si="0"/>
        <v>5.8116746400402948E-4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1.3226441773833212E-4</v>
      </c>
      <c r="C2" s="4">
        <f>B2</f>
        <v>1.3226441773833212E-4</v>
      </c>
      <c r="D2" s="4">
        <f t="shared" ref="D2:AE8" si="0">C2</f>
        <v>1.3226441773833212E-4</v>
      </c>
      <c r="E2" s="4">
        <f t="shared" si="0"/>
        <v>1.3226441773833212E-4</v>
      </c>
      <c r="F2" s="4">
        <f t="shared" si="0"/>
        <v>1.3226441773833212E-4</v>
      </c>
      <c r="G2" s="4">
        <f t="shared" si="0"/>
        <v>1.3226441773833212E-4</v>
      </c>
      <c r="H2" s="4">
        <f t="shared" si="0"/>
        <v>1.3226441773833212E-4</v>
      </c>
      <c r="I2" s="4">
        <f t="shared" si="0"/>
        <v>1.3226441773833212E-4</v>
      </c>
      <c r="J2" s="4">
        <f t="shared" si="0"/>
        <v>1.3226441773833212E-4</v>
      </c>
      <c r="K2" s="4">
        <f t="shared" si="0"/>
        <v>1.3226441773833212E-4</v>
      </c>
      <c r="L2" s="4">
        <f t="shared" si="0"/>
        <v>1.3226441773833212E-4</v>
      </c>
      <c r="M2" s="4">
        <f t="shared" si="0"/>
        <v>1.3226441773833212E-4</v>
      </c>
      <c r="N2" s="4">
        <f t="shared" si="0"/>
        <v>1.3226441773833212E-4</v>
      </c>
      <c r="O2" s="4">
        <f t="shared" si="0"/>
        <v>1.3226441773833212E-4</v>
      </c>
      <c r="P2" s="4">
        <f t="shared" si="0"/>
        <v>1.3226441773833212E-4</v>
      </c>
      <c r="Q2" s="4">
        <f t="shared" si="0"/>
        <v>1.3226441773833212E-4</v>
      </c>
      <c r="R2" s="4">
        <f t="shared" si="0"/>
        <v>1.3226441773833212E-4</v>
      </c>
      <c r="S2" s="4">
        <f t="shared" si="0"/>
        <v>1.3226441773833212E-4</v>
      </c>
      <c r="T2" s="4">
        <f t="shared" si="0"/>
        <v>1.3226441773833212E-4</v>
      </c>
      <c r="U2" s="4">
        <f t="shared" si="0"/>
        <v>1.3226441773833212E-4</v>
      </c>
      <c r="V2" s="4">
        <f t="shared" si="0"/>
        <v>1.3226441773833212E-4</v>
      </c>
      <c r="W2" s="4">
        <f t="shared" si="0"/>
        <v>1.3226441773833212E-4</v>
      </c>
      <c r="X2" s="4">
        <f t="shared" si="0"/>
        <v>1.3226441773833212E-4</v>
      </c>
      <c r="Y2" s="4">
        <f t="shared" si="0"/>
        <v>1.3226441773833212E-4</v>
      </c>
      <c r="Z2" s="4">
        <f t="shared" si="0"/>
        <v>1.3226441773833212E-4</v>
      </c>
      <c r="AA2" s="4">
        <f t="shared" si="0"/>
        <v>1.3226441773833212E-4</v>
      </c>
      <c r="AB2" s="4">
        <f t="shared" si="0"/>
        <v>1.3226441773833212E-4</v>
      </c>
      <c r="AC2" s="4">
        <f t="shared" si="0"/>
        <v>1.3226441773833212E-4</v>
      </c>
      <c r="AD2" s="4">
        <f t="shared" si="0"/>
        <v>1.3226441773833212E-4</v>
      </c>
      <c r="AE2" s="4">
        <f t="shared" si="0"/>
        <v>1.3226441773833212E-4</v>
      </c>
      <c r="AG2" s="4"/>
      <c r="AH2" s="4"/>
    </row>
    <row r="3" spans="1:34">
      <c r="A3" t="s">
        <v>3</v>
      </c>
      <c r="B3" s="4">
        <v>7.0204850469879831E-5</v>
      </c>
      <c r="C3" s="4">
        <f t="shared" ref="C3:C8" si="1">B3</f>
        <v>7.0204850469879831E-5</v>
      </c>
      <c r="D3" s="4">
        <f t="shared" ref="D3:Q3" si="2">C3</f>
        <v>7.0204850469879831E-5</v>
      </c>
      <c r="E3" s="4">
        <f t="shared" si="2"/>
        <v>7.0204850469879831E-5</v>
      </c>
      <c r="F3" s="4">
        <f t="shared" si="2"/>
        <v>7.0204850469879831E-5</v>
      </c>
      <c r="G3" s="4">
        <f t="shared" si="2"/>
        <v>7.0204850469879831E-5</v>
      </c>
      <c r="H3" s="4">
        <f t="shared" si="2"/>
        <v>7.0204850469879831E-5</v>
      </c>
      <c r="I3" s="4">
        <f t="shared" si="2"/>
        <v>7.0204850469879831E-5</v>
      </c>
      <c r="J3" s="4">
        <f t="shared" si="2"/>
        <v>7.0204850469879831E-5</v>
      </c>
      <c r="K3" s="4">
        <f t="shared" si="2"/>
        <v>7.0204850469879831E-5</v>
      </c>
      <c r="L3" s="4">
        <f t="shared" si="2"/>
        <v>7.0204850469879831E-5</v>
      </c>
      <c r="M3" s="4">
        <f t="shared" si="2"/>
        <v>7.0204850469879831E-5</v>
      </c>
      <c r="N3" s="4">
        <f t="shared" si="2"/>
        <v>7.0204850469879831E-5</v>
      </c>
      <c r="O3" s="4">
        <f t="shared" si="2"/>
        <v>7.0204850469879831E-5</v>
      </c>
      <c r="P3" s="4">
        <f t="shared" si="2"/>
        <v>7.0204850469879831E-5</v>
      </c>
      <c r="Q3" s="4">
        <f t="shared" si="2"/>
        <v>7.0204850469879831E-5</v>
      </c>
      <c r="R3" s="4">
        <f t="shared" si="0"/>
        <v>7.0204850469879831E-5</v>
      </c>
      <c r="S3" s="4">
        <f t="shared" si="0"/>
        <v>7.0204850469879831E-5</v>
      </c>
      <c r="T3" s="4">
        <f t="shared" si="0"/>
        <v>7.0204850469879831E-5</v>
      </c>
      <c r="U3" s="4">
        <f t="shared" si="0"/>
        <v>7.0204850469879831E-5</v>
      </c>
      <c r="V3" s="4">
        <f t="shared" si="0"/>
        <v>7.0204850469879831E-5</v>
      </c>
      <c r="W3" s="4">
        <f t="shared" si="0"/>
        <v>7.0204850469879831E-5</v>
      </c>
      <c r="X3" s="4">
        <f t="shared" si="0"/>
        <v>7.0204850469879831E-5</v>
      </c>
      <c r="Y3" s="4">
        <f t="shared" si="0"/>
        <v>7.0204850469879831E-5</v>
      </c>
      <c r="Z3" s="4">
        <f t="shared" si="0"/>
        <v>7.0204850469879831E-5</v>
      </c>
      <c r="AA3" s="4">
        <f t="shared" si="0"/>
        <v>7.0204850469879831E-5</v>
      </c>
      <c r="AB3" s="4">
        <f t="shared" si="0"/>
        <v>7.0204850469879831E-5</v>
      </c>
      <c r="AC3" s="4">
        <f t="shared" si="0"/>
        <v>7.0204850469879831E-5</v>
      </c>
      <c r="AD3" s="4">
        <f t="shared" si="0"/>
        <v>7.0204850469879831E-5</v>
      </c>
      <c r="AE3" s="4">
        <f t="shared" si="0"/>
        <v>7.0204850469879831E-5</v>
      </c>
      <c r="AG3" s="4"/>
      <c r="AH3" s="4"/>
    </row>
    <row r="4" spans="1:34">
      <c r="A4" t="s">
        <v>4</v>
      </c>
      <c r="B4" s="4">
        <v>9.2955581997260681E-5</v>
      </c>
      <c r="C4" s="4">
        <f t="shared" si="1"/>
        <v>9.2955581997260681E-5</v>
      </c>
      <c r="D4" s="4">
        <f t="shared" si="0"/>
        <v>9.2955581997260681E-5</v>
      </c>
      <c r="E4" s="4">
        <f t="shared" si="0"/>
        <v>9.2955581997260681E-5</v>
      </c>
      <c r="F4" s="4">
        <f t="shared" si="0"/>
        <v>9.2955581997260681E-5</v>
      </c>
      <c r="G4" s="4">
        <f t="shared" si="0"/>
        <v>9.2955581997260681E-5</v>
      </c>
      <c r="H4" s="4">
        <f t="shared" si="0"/>
        <v>9.2955581997260681E-5</v>
      </c>
      <c r="I4" s="4">
        <f t="shared" si="0"/>
        <v>9.2955581997260681E-5</v>
      </c>
      <c r="J4" s="4">
        <f t="shared" si="0"/>
        <v>9.2955581997260681E-5</v>
      </c>
      <c r="K4" s="4">
        <f t="shared" si="0"/>
        <v>9.2955581997260681E-5</v>
      </c>
      <c r="L4" s="4">
        <f t="shared" si="0"/>
        <v>9.2955581997260681E-5</v>
      </c>
      <c r="M4" s="4">
        <f t="shared" si="0"/>
        <v>9.2955581997260681E-5</v>
      </c>
      <c r="N4" s="4">
        <f t="shared" si="0"/>
        <v>9.2955581997260681E-5</v>
      </c>
      <c r="O4" s="4">
        <f t="shared" si="0"/>
        <v>9.2955581997260681E-5</v>
      </c>
      <c r="P4" s="4">
        <f t="shared" si="0"/>
        <v>9.2955581997260681E-5</v>
      </c>
      <c r="Q4" s="4">
        <f t="shared" si="0"/>
        <v>9.2955581997260681E-5</v>
      </c>
      <c r="R4" s="4">
        <f t="shared" si="0"/>
        <v>9.2955581997260681E-5</v>
      </c>
      <c r="S4" s="4">
        <f t="shared" si="0"/>
        <v>9.2955581997260681E-5</v>
      </c>
      <c r="T4" s="4">
        <f t="shared" si="0"/>
        <v>9.2955581997260681E-5</v>
      </c>
      <c r="U4" s="4">
        <f t="shared" si="0"/>
        <v>9.2955581997260681E-5</v>
      </c>
      <c r="V4" s="4">
        <f t="shared" si="0"/>
        <v>9.2955581997260681E-5</v>
      </c>
      <c r="W4" s="4">
        <f t="shared" si="0"/>
        <v>9.2955581997260681E-5</v>
      </c>
      <c r="X4" s="4">
        <f t="shared" si="0"/>
        <v>9.2955581997260681E-5</v>
      </c>
      <c r="Y4" s="4">
        <f t="shared" si="0"/>
        <v>9.2955581997260681E-5</v>
      </c>
      <c r="Z4" s="4">
        <f t="shared" si="0"/>
        <v>9.2955581997260681E-5</v>
      </c>
      <c r="AA4" s="4">
        <f t="shared" si="0"/>
        <v>9.2955581997260681E-5</v>
      </c>
      <c r="AB4" s="4">
        <f t="shared" si="0"/>
        <v>9.2955581997260681E-5</v>
      </c>
      <c r="AC4" s="4">
        <f t="shared" si="0"/>
        <v>9.2955581997260681E-5</v>
      </c>
      <c r="AD4" s="4">
        <f t="shared" si="0"/>
        <v>9.2955581997260681E-5</v>
      </c>
      <c r="AE4" s="4">
        <f t="shared" si="0"/>
        <v>9.2955581997260681E-5</v>
      </c>
      <c r="AG4" s="4"/>
      <c r="AH4" s="4"/>
    </row>
    <row r="5" spans="1:34">
      <c r="A5" t="s">
        <v>5</v>
      </c>
      <c r="B5" s="4">
        <v>1.0087912753938768E-4</v>
      </c>
      <c r="C5" s="4">
        <f t="shared" si="1"/>
        <v>1.0087912753938768E-4</v>
      </c>
      <c r="D5" s="4">
        <f t="shared" si="0"/>
        <v>1.0087912753938768E-4</v>
      </c>
      <c r="E5" s="4">
        <f t="shared" si="0"/>
        <v>1.0087912753938768E-4</v>
      </c>
      <c r="F5" s="4">
        <f t="shared" si="0"/>
        <v>1.0087912753938768E-4</v>
      </c>
      <c r="G5" s="4">
        <f t="shared" si="0"/>
        <v>1.0087912753938768E-4</v>
      </c>
      <c r="H5" s="4">
        <f t="shared" si="0"/>
        <v>1.0087912753938768E-4</v>
      </c>
      <c r="I5" s="4">
        <f t="shared" si="0"/>
        <v>1.0087912753938768E-4</v>
      </c>
      <c r="J5" s="4">
        <f t="shared" si="0"/>
        <v>1.0087912753938768E-4</v>
      </c>
      <c r="K5" s="4">
        <f t="shared" si="0"/>
        <v>1.0087912753938768E-4</v>
      </c>
      <c r="L5" s="4">
        <f t="shared" si="0"/>
        <v>1.0087912753938768E-4</v>
      </c>
      <c r="M5" s="4">
        <f t="shared" si="0"/>
        <v>1.0087912753938768E-4</v>
      </c>
      <c r="N5" s="4">
        <f t="shared" si="0"/>
        <v>1.0087912753938768E-4</v>
      </c>
      <c r="O5" s="4">
        <f t="shared" si="0"/>
        <v>1.0087912753938768E-4</v>
      </c>
      <c r="P5" s="4">
        <f t="shared" si="0"/>
        <v>1.0087912753938768E-4</v>
      </c>
      <c r="Q5" s="4">
        <f t="shared" si="0"/>
        <v>1.0087912753938768E-4</v>
      </c>
      <c r="R5" s="4">
        <f t="shared" si="0"/>
        <v>1.0087912753938768E-4</v>
      </c>
      <c r="S5" s="4">
        <f t="shared" si="0"/>
        <v>1.0087912753938768E-4</v>
      </c>
      <c r="T5" s="4">
        <f t="shared" si="0"/>
        <v>1.0087912753938768E-4</v>
      </c>
      <c r="U5" s="4">
        <f t="shared" si="0"/>
        <v>1.0087912753938768E-4</v>
      </c>
      <c r="V5" s="4">
        <f t="shared" si="0"/>
        <v>1.0087912753938768E-4</v>
      </c>
      <c r="W5" s="4">
        <f t="shared" si="0"/>
        <v>1.0087912753938768E-4</v>
      </c>
      <c r="X5" s="4">
        <f t="shared" si="0"/>
        <v>1.0087912753938768E-4</v>
      </c>
      <c r="Y5" s="4">
        <f t="shared" si="0"/>
        <v>1.0087912753938768E-4</v>
      </c>
      <c r="Z5" s="4">
        <f t="shared" si="0"/>
        <v>1.0087912753938768E-4</v>
      </c>
      <c r="AA5" s="4">
        <f t="shared" si="0"/>
        <v>1.0087912753938768E-4</v>
      </c>
      <c r="AB5" s="4">
        <f t="shared" si="0"/>
        <v>1.0087912753938768E-4</v>
      </c>
      <c r="AC5" s="4">
        <f t="shared" si="0"/>
        <v>1.0087912753938768E-4</v>
      </c>
      <c r="AD5" s="4">
        <f t="shared" si="0"/>
        <v>1.0087912753938768E-4</v>
      </c>
      <c r="AE5" s="4">
        <f t="shared" si="0"/>
        <v>1.0087912753938768E-4</v>
      </c>
      <c r="AG5" s="4"/>
      <c r="AH5" s="4"/>
    </row>
    <row r="6" spans="1:34">
      <c r="A6" t="s">
        <v>6</v>
      </c>
      <c r="B6" s="4">
        <v>1.7525323807361898E-4</v>
      </c>
      <c r="C6" s="4">
        <f t="shared" si="1"/>
        <v>1.7525323807361898E-4</v>
      </c>
      <c r="D6" s="4">
        <f t="shared" si="0"/>
        <v>1.7525323807361898E-4</v>
      </c>
      <c r="E6" s="4">
        <f t="shared" si="0"/>
        <v>1.7525323807361898E-4</v>
      </c>
      <c r="F6" s="4">
        <f t="shared" si="0"/>
        <v>1.7525323807361898E-4</v>
      </c>
      <c r="G6" s="4">
        <f t="shared" si="0"/>
        <v>1.7525323807361898E-4</v>
      </c>
      <c r="H6" s="4">
        <f t="shared" si="0"/>
        <v>1.7525323807361898E-4</v>
      </c>
      <c r="I6" s="4">
        <f t="shared" si="0"/>
        <v>1.7525323807361898E-4</v>
      </c>
      <c r="J6" s="4">
        <f t="shared" si="0"/>
        <v>1.7525323807361898E-4</v>
      </c>
      <c r="K6" s="4">
        <f t="shared" si="0"/>
        <v>1.7525323807361898E-4</v>
      </c>
      <c r="L6" s="4">
        <f t="shared" si="0"/>
        <v>1.7525323807361898E-4</v>
      </c>
      <c r="M6" s="4">
        <f t="shared" si="0"/>
        <v>1.7525323807361898E-4</v>
      </c>
      <c r="N6" s="4">
        <f t="shared" si="0"/>
        <v>1.7525323807361898E-4</v>
      </c>
      <c r="O6" s="4">
        <f t="shared" si="0"/>
        <v>1.7525323807361898E-4</v>
      </c>
      <c r="P6" s="4">
        <f t="shared" si="0"/>
        <v>1.7525323807361898E-4</v>
      </c>
      <c r="Q6" s="4">
        <f t="shared" si="0"/>
        <v>1.7525323807361898E-4</v>
      </c>
      <c r="R6" s="4">
        <f t="shared" si="0"/>
        <v>1.7525323807361898E-4</v>
      </c>
      <c r="S6" s="4">
        <f t="shared" si="0"/>
        <v>1.7525323807361898E-4</v>
      </c>
      <c r="T6" s="4">
        <f t="shared" si="0"/>
        <v>1.7525323807361898E-4</v>
      </c>
      <c r="U6" s="4">
        <f t="shared" si="0"/>
        <v>1.7525323807361898E-4</v>
      </c>
      <c r="V6" s="4">
        <f t="shared" si="0"/>
        <v>1.7525323807361898E-4</v>
      </c>
      <c r="W6" s="4">
        <f t="shared" si="0"/>
        <v>1.7525323807361898E-4</v>
      </c>
      <c r="X6" s="4">
        <f t="shared" si="0"/>
        <v>1.7525323807361898E-4</v>
      </c>
      <c r="Y6" s="4">
        <f t="shared" si="0"/>
        <v>1.7525323807361898E-4</v>
      </c>
      <c r="Z6" s="4">
        <f t="shared" si="0"/>
        <v>1.7525323807361898E-4</v>
      </c>
      <c r="AA6" s="4">
        <f t="shared" si="0"/>
        <v>1.7525323807361898E-4</v>
      </c>
      <c r="AB6" s="4">
        <f t="shared" si="0"/>
        <v>1.7525323807361898E-4</v>
      </c>
      <c r="AC6" s="4">
        <f t="shared" si="0"/>
        <v>1.7525323807361898E-4</v>
      </c>
      <c r="AD6" s="4">
        <f t="shared" si="0"/>
        <v>1.7525323807361898E-4</v>
      </c>
      <c r="AE6" s="4">
        <f t="shared" si="0"/>
        <v>1.7525323807361898E-4</v>
      </c>
      <c r="AG6" s="4"/>
      <c r="AH6" s="4"/>
    </row>
    <row r="7" spans="1:34">
      <c r="A7" t="s">
        <v>84</v>
      </c>
      <c r="B7" s="4">
        <v>5.5270584840087177E-5</v>
      </c>
      <c r="C7" s="4">
        <f t="shared" si="1"/>
        <v>5.5270584840087177E-5</v>
      </c>
      <c r="D7" s="4">
        <f t="shared" si="0"/>
        <v>5.5270584840087177E-5</v>
      </c>
      <c r="E7" s="4">
        <f t="shared" si="0"/>
        <v>5.5270584840087177E-5</v>
      </c>
      <c r="F7" s="4">
        <f t="shared" si="0"/>
        <v>5.5270584840087177E-5</v>
      </c>
      <c r="G7" s="4">
        <f t="shared" si="0"/>
        <v>5.5270584840087177E-5</v>
      </c>
      <c r="H7" s="4">
        <f t="shared" si="0"/>
        <v>5.5270584840087177E-5</v>
      </c>
      <c r="I7" s="4">
        <f t="shared" si="0"/>
        <v>5.5270584840087177E-5</v>
      </c>
      <c r="J7" s="4">
        <f t="shared" si="0"/>
        <v>5.5270584840087177E-5</v>
      </c>
      <c r="K7" s="4">
        <f t="shared" si="0"/>
        <v>5.5270584840087177E-5</v>
      </c>
      <c r="L7" s="4">
        <f t="shared" si="0"/>
        <v>5.5270584840087177E-5</v>
      </c>
      <c r="M7" s="4">
        <f t="shared" si="0"/>
        <v>5.5270584840087177E-5</v>
      </c>
      <c r="N7" s="4">
        <f t="shared" si="0"/>
        <v>5.5270584840087177E-5</v>
      </c>
      <c r="O7" s="4">
        <f t="shared" si="0"/>
        <v>5.5270584840087177E-5</v>
      </c>
      <c r="P7" s="4">
        <f t="shared" si="0"/>
        <v>5.5270584840087177E-5</v>
      </c>
      <c r="Q7" s="4">
        <f t="shared" si="0"/>
        <v>5.5270584840087177E-5</v>
      </c>
      <c r="R7" s="4">
        <f t="shared" si="0"/>
        <v>5.5270584840087177E-5</v>
      </c>
      <c r="S7" s="4">
        <f t="shared" si="0"/>
        <v>5.5270584840087177E-5</v>
      </c>
      <c r="T7" s="4">
        <f t="shared" si="0"/>
        <v>5.5270584840087177E-5</v>
      </c>
      <c r="U7" s="4">
        <f t="shared" si="0"/>
        <v>5.5270584840087177E-5</v>
      </c>
      <c r="V7" s="4">
        <f t="shared" si="0"/>
        <v>5.5270584840087177E-5</v>
      </c>
      <c r="W7" s="4">
        <f t="shared" si="0"/>
        <v>5.5270584840087177E-5</v>
      </c>
      <c r="X7" s="4">
        <f t="shared" si="0"/>
        <v>5.5270584840087177E-5</v>
      </c>
      <c r="Y7" s="4">
        <f t="shared" si="0"/>
        <v>5.5270584840087177E-5</v>
      </c>
      <c r="Z7" s="4">
        <f t="shared" si="0"/>
        <v>5.5270584840087177E-5</v>
      </c>
      <c r="AA7" s="4">
        <f t="shared" si="0"/>
        <v>5.5270584840087177E-5</v>
      </c>
      <c r="AB7" s="4">
        <f t="shared" si="0"/>
        <v>5.5270584840087177E-5</v>
      </c>
      <c r="AC7" s="4">
        <f t="shared" si="0"/>
        <v>5.5270584840087177E-5</v>
      </c>
      <c r="AD7" s="4">
        <f t="shared" si="0"/>
        <v>5.5270584840087177E-5</v>
      </c>
      <c r="AE7" s="4">
        <f t="shared" si="0"/>
        <v>5.5270584840087177E-5</v>
      </c>
      <c r="AG7" s="4"/>
      <c r="AH7" s="4"/>
    </row>
    <row r="8" spans="1:34">
      <c r="A8" t="s">
        <v>85</v>
      </c>
      <c r="B8" s="4">
        <v>8.379890176963306E-5</v>
      </c>
      <c r="C8" s="4">
        <f t="shared" si="1"/>
        <v>8.379890176963306E-5</v>
      </c>
      <c r="D8" s="4">
        <f t="shared" si="0"/>
        <v>8.379890176963306E-5</v>
      </c>
      <c r="E8" s="4">
        <f t="shared" si="0"/>
        <v>8.379890176963306E-5</v>
      </c>
      <c r="F8" s="4">
        <f t="shared" si="0"/>
        <v>8.379890176963306E-5</v>
      </c>
      <c r="G8" s="4">
        <f t="shared" si="0"/>
        <v>8.379890176963306E-5</v>
      </c>
      <c r="H8" s="4">
        <f t="shared" si="0"/>
        <v>8.379890176963306E-5</v>
      </c>
      <c r="I8" s="4">
        <f t="shared" si="0"/>
        <v>8.379890176963306E-5</v>
      </c>
      <c r="J8" s="4">
        <f t="shared" si="0"/>
        <v>8.379890176963306E-5</v>
      </c>
      <c r="K8" s="4">
        <f t="shared" si="0"/>
        <v>8.379890176963306E-5</v>
      </c>
      <c r="L8" s="4">
        <f t="shared" si="0"/>
        <v>8.379890176963306E-5</v>
      </c>
      <c r="M8" s="4">
        <f t="shared" si="0"/>
        <v>8.379890176963306E-5</v>
      </c>
      <c r="N8" s="4">
        <f t="shared" si="0"/>
        <v>8.379890176963306E-5</v>
      </c>
      <c r="O8" s="4">
        <f t="shared" si="0"/>
        <v>8.379890176963306E-5</v>
      </c>
      <c r="P8" s="4">
        <f t="shared" si="0"/>
        <v>8.379890176963306E-5</v>
      </c>
      <c r="Q8" s="4">
        <f t="shared" si="0"/>
        <v>8.379890176963306E-5</v>
      </c>
      <c r="R8" s="4">
        <f t="shared" si="0"/>
        <v>8.379890176963306E-5</v>
      </c>
      <c r="S8" s="4">
        <f t="shared" si="0"/>
        <v>8.379890176963306E-5</v>
      </c>
      <c r="T8" s="4">
        <f t="shared" si="0"/>
        <v>8.379890176963306E-5</v>
      </c>
      <c r="U8" s="4">
        <f t="shared" si="0"/>
        <v>8.379890176963306E-5</v>
      </c>
      <c r="V8" s="4">
        <f t="shared" si="0"/>
        <v>8.379890176963306E-5</v>
      </c>
      <c r="W8" s="4">
        <f t="shared" si="0"/>
        <v>8.379890176963306E-5</v>
      </c>
      <c r="X8" s="4">
        <f t="shared" si="0"/>
        <v>8.379890176963306E-5</v>
      </c>
      <c r="Y8" s="4">
        <f t="shared" si="0"/>
        <v>8.379890176963306E-5</v>
      </c>
      <c r="Z8" s="4">
        <f t="shared" si="0"/>
        <v>8.379890176963306E-5</v>
      </c>
      <c r="AA8" s="4">
        <f t="shared" si="0"/>
        <v>8.379890176963306E-5</v>
      </c>
      <c r="AB8" s="4">
        <f t="shared" si="0"/>
        <v>8.379890176963306E-5</v>
      </c>
      <c r="AC8" s="4">
        <f t="shared" si="0"/>
        <v>8.379890176963306E-5</v>
      </c>
      <c r="AD8" s="4">
        <f t="shared" si="0"/>
        <v>8.379890176963306E-5</v>
      </c>
      <c r="AE8" s="4">
        <f t="shared" si="0"/>
        <v>8.379890176963306E-5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3.2473412441950682E-3</v>
      </c>
      <c r="C2" s="4">
        <f>B2</f>
        <v>3.2473412441950682E-3</v>
      </c>
      <c r="D2" s="4">
        <f t="shared" ref="D2:AE8" si="0">C2</f>
        <v>3.2473412441950682E-3</v>
      </c>
      <c r="E2" s="4">
        <f t="shared" si="0"/>
        <v>3.2473412441950682E-3</v>
      </c>
      <c r="F2" s="4">
        <f t="shared" si="0"/>
        <v>3.2473412441950682E-3</v>
      </c>
      <c r="G2" s="4">
        <f t="shared" si="0"/>
        <v>3.2473412441950682E-3</v>
      </c>
      <c r="H2" s="4">
        <f t="shared" si="0"/>
        <v>3.2473412441950682E-3</v>
      </c>
      <c r="I2" s="4">
        <f t="shared" si="0"/>
        <v>3.2473412441950682E-3</v>
      </c>
      <c r="J2" s="4">
        <f t="shared" si="0"/>
        <v>3.2473412441950682E-3</v>
      </c>
      <c r="K2" s="4">
        <f t="shared" si="0"/>
        <v>3.2473412441950682E-3</v>
      </c>
      <c r="L2" s="4">
        <f t="shared" si="0"/>
        <v>3.2473412441950682E-3</v>
      </c>
      <c r="M2" s="4">
        <f t="shared" si="0"/>
        <v>3.2473412441950682E-3</v>
      </c>
      <c r="N2" s="4">
        <f t="shared" si="0"/>
        <v>3.2473412441950682E-3</v>
      </c>
      <c r="O2" s="4">
        <f t="shared" si="0"/>
        <v>3.2473412441950682E-3</v>
      </c>
      <c r="P2" s="4">
        <f t="shared" si="0"/>
        <v>3.2473412441950682E-3</v>
      </c>
      <c r="Q2" s="4">
        <f t="shared" si="0"/>
        <v>3.2473412441950682E-3</v>
      </c>
      <c r="R2" s="4">
        <f t="shared" si="0"/>
        <v>3.2473412441950682E-3</v>
      </c>
      <c r="S2" s="4">
        <f t="shared" si="0"/>
        <v>3.2473412441950682E-3</v>
      </c>
      <c r="T2" s="4">
        <f t="shared" si="0"/>
        <v>3.2473412441950682E-3</v>
      </c>
      <c r="U2" s="4">
        <f t="shared" si="0"/>
        <v>3.2473412441950682E-3</v>
      </c>
      <c r="V2" s="4">
        <f t="shared" si="0"/>
        <v>3.2473412441950682E-3</v>
      </c>
      <c r="W2" s="4">
        <f t="shared" si="0"/>
        <v>3.2473412441950682E-3</v>
      </c>
      <c r="X2" s="4">
        <f t="shared" si="0"/>
        <v>3.2473412441950682E-3</v>
      </c>
      <c r="Y2" s="4">
        <f t="shared" si="0"/>
        <v>3.2473412441950682E-3</v>
      </c>
      <c r="Z2" s="4">
        <f t="shared" si="0"/>
        <v>3.2473412441950682E-3</v>
      </c>
      <c r="AA2" s="4">
        <f t="shared" si="0"/>
        <v>3.2473412441950682E-3</v>
      </c>
      <c r="AB2" s="4">
        <f t="shared" si="0"/>
        <v>3.2473412441950682E-3</v>
      </c>
      <c r="AC2" s="4">
        <f t="shared" si="0"/>
        <v>3.2473412441950682E-3</v>
      </c>
      <c r="AD2" s="4">
        <f t="shared" si="0"/>
        <v>3.2473412441950682E-3</v>
      </c>
      <c r="AE2" s="4">
        <f t="shared" si="0"/>
        <v>3.2473412441950682E-3</v>
      </c>
      <c r="AG2" s="4"/>
      <c r="AH2" s="4"/>
    </row>
    <row r="3" spans="1:34">
      <c r="A3" t="s">
        <v>3</v>
      </c>
      <c r="B3" s="4">
        <v>2.5184995531410443E-3</v>
      </c>
      <c r="C3" s="4">
        <f t="shared" ref="C3:C8" si="1">B3</f>
        <v>2.5184995531410443E-3</v>
      </c>
      <c r="D3" s="4">
        <f t="shared" ref="D3:Q3" si="2">C3</f>
        <v>2.5184995531410443E-3</v>
      </c>
      <c r="E3" s="4">
        <f t="shared" si="2"/>
        <v>2.5184995531410443E-3</v>
      </c>
      <c r="F3" s="4">
        <f t="shared" si="2"/>
        <v>2.5184995531410443E-3</v>
      </c>
      <c r="G3" s="4">
        <f t="shared" si="2"/>
        <v>2.5184995531410443E-3</v>
      </c>
      <c r="H3" s="4">
        <f t="shared" si="2"/>
        <v>2.5184995531410443E-3</v>
      </c>
      <c r="I3" s="4">
        <f t="shared" si="2"/>
        <v>2.5184995531410443E-3</v>
      </c>
      <c r="J3" s="4">
        <f t="shared" si="2"/>
        <v>2.5184995531410443E-3</v>
      </c>
      <c r="K3" s="4">
        <f t="shared" si="2"/>
        <v>2.5184995531410443E-3</v>
      </c>
      <c r="L3" s="4">
        <f t="shared" si="2"/>
        <v>2.5184995531410443E-3</v>
      </c>
      <c r="M3" s="4">
        <f t="shared" si="2"/>
        <v>2.5184995531410443E-3</v>
      </c>
      <c r="N3" s="4">
        <f t="shared" si="2"/>
        <v>2.5184995531410443E-3</v>
      </c>
      <c r="O3" s="4">
        <f t="shared" si="2"/>
        <v>2.5184995531410443E-3</v>
      </c>
      <c r="P3" s="4">
        <f t="shared" si="2"/>
        <v>2.5184995531410443E-3</v>
      </c>
      <c r="Q3" s="4">
        <f t="shared" si="2"/>
        <v>2.5184995531410443E-3</v>
      </c>
      <c r="R3" s="4">
        <f t="shared" si="0"/>
        <v>2.5184995531410443E-3</v>
      </c>
      <c r="S3" s="4">
        <f t="shared" si="0"/>
        <v>2.5184995531410443E-3</v>
      </c>
      <c r="T3" s="4">
        <f t="shared" si="0"/>
        <v>2.5184995531410443E-3</v>
      </c>
      <c r="U3" s="4">
        <f t="shared" si="0"/>
        <v>2.5184995531410443E-3</v>
      </c>
      <c r="V3" s="4">
        <f t="shared" si="0"/>
        <v>2.5184995531410443E-3</v>
      </c>
      <c r="W3" s="4">
        <f t="shared" si="0"/>
        <v>2.5184995531410443E-3</v>
      </c>
      <c r="X3" s="4">
        <f t="shared" si="0"/>
        <v>2.5184995531410443E-3</v>
      </c>
      <c r="Y3" s="4">
        <f t="shared" si="0"/>
        <v>2.5184995531410443E-3</v>
      </c>
      <c r="Z3" s="4">
        <f t="shared" si="0"/>
        <v>2.5184995531410443E-3</v>
      </c>
      <c r="AA3" s="4">
        <f t="shared" si="0"/>
        <v>2.5184995531410443E-3</v>
      </c>
      <c r="AB3" s="4">
        <f t="shared" si="0"/>
        <v>2.5184995531410443E-3</v>
      </c>
      <c r="AC3" s="4">
        <f t="shared" si="0"/>
        <v>2.5184995531410443E-3</v>
      </c>
      <c r="AD3" s="4">
        <f t="shared" si="0"/>
        <v>2.5184995531410443E-3</v>
      </c>
      <c r="AE3" s="4">
        <f t="shared" si="0"/>
        <v>2.5184995531410443E-3</v>
      </c>
      <c r="AG3" s="4"/>
      <c r="AH3" s="4"/>
    </row>
    <row r="4" spans="1:34">
      <c r="A4" t="s">
        <v>4</v>
      </c>
      <c r="B4" s="4">
        <v>9.250377422058715E-4</v>
      </c>
      <c r="C4" s="4">
        <f t="shared" si="1"/>
        <v>9.250377422058715E-4</v>
      </c>
      <c r="D4" s="4">
        <f t="shared" si="0"/>
        <v>9.250377422058715E-4</v>
      </c>
      <c r="E4" s="4">
        <f t="shared" si="0"/>
        <v>9.250377422058715E-4</v>
      </c>
      <c r="F4" s="4">
        <f t="shared" si="0"/>
        <v>9.250377422058715E-4</v>
      </c>
      <c r="G4" s="4">
        <f t="shared" si="0"/>
        <v>9.250377422058715E-4</v>
      </c>
      <c r="H4" s="4">
        <f t="shared" si="0"/>
        <v>9.250377422058715E-4</v>
      </c>
      <c r="I4" s="4">
        <f t="shared" si="0"/>
        <v>9.250377422058715E-4</v>
      </c>
      <c r="J4" s="4">
        <f t="shared" si="0"/>
        <v>9.250377422058715E-4</v>
      </c>
      <c r="K4" s="4">
        <f t="shared" si="0"/>
        <v>9.250377422058715E-4</v>
      </c>
      <c r="L4" s="4">
        <f t="shared" si="0"/>
        <v>9.250377422058715E-4</v>
      </c>
      <c r="M4" s="4">
        <f t="shared" si="0"/>
        <v>9.250377422058715E-4</v>
      </c>
      <c r="N4" s="4">
        <f t="shared" si="0"/>
        <v>9.250377422058715E-4</v>
      </c>
      <c r="O4" s="4">
        <f t="shared" si="0"/>
        <v>9.250377422058715E-4</v>
      </c>
      <c r="P4" s="4">
        <f t="shared" si="0"/>
        <v>9.250377422058715E-4</v>
      </c>
      <c r="Q4" s="4">
        <f t="shared" si="0"/>
        <v>9.250377422058715E-4</v>
      </c>
      <c r="R4" s="4">
        <f t="shared" si="0"/>
        <v>9.250377422058715E-4</v>
      </c>
      <c r="S4" s="4">
        <f t="shared" si="0"/>
        <v>9.250377422058715E-4</v>
      </c>
      <c r="T4" s="4">
        <f t="shared" si="0"/>
        <v>9.250377422058715E-4</v>
      </c>
      <c r="U4" s="4">
        <f t="shared" si="0"/>
        <v>9.250377422058715E-4</v>
      </c>
      <c r="V4" s="4">
        <f t="shared" si="0"/>
        <v>9.250377422058715E-4</v>
      </c>
      <c r="W4" s="4">
        <f t="shared" si="0"/>
        <v>9.250377422058715E-4</v>
      </c>
      <c r="X4" s="4">
        <f t="shared" si="0"/>
        <v>9.250377422058715E-4</v>
      </c>
      <c r="Y4" s="4">
        <f t="shared" si="0"/>
        <v>9.250377422058715E-4</v>
      </c>
      <c r="Z4" s="4">
        <f t="shared" si="0"/>
        <v>9.250377422058715E-4</v>
      </c>
      <c r="AA4" s="4">
        <f t="shared" si="0"/>
        <v>9.250377422058715E-4</v>
      </c>
      <c r="AB4" s="4">
        <f t="shared" si="0"/>
        <v>9.250377422058715E-4</v>
      </c>
      <c r="AC4" s="4">
        <f t="shared" si="0"/>
        <v>9.250377422058715E-4</v>
      </c>
      <c r="AD4" s="4">
        <f t="shared" si="0"/>
        <v>9.250377422058715E-4</v>
      </c>
      <c r="AE4" s="4">
        <f t="shared" si="0"/>
        <v>9.250377422058715E-4</v>
      </c>
      <c r="AG4" s="4"/>
      <c r="AH4" s="4"/>
    </row>
    <row r="5" spans="1:34">
      <c r="A5" t="s">
        <v>5</v>
      </c>
      <c r="B5" s="4">
        <v>1.0105389360616456E-3</v>
      </c>
      <c r="C5" s="4">
        <f t="shared" si="1"/>
        <v>1.0105389360616456E-3</v>
      </c>
      <c r="D5" s="4">
        <f t="shared" si="0"/>
        <v>1.0105389360616456E-3</v>
      </c>
      <c r="E5" s="4">
        <f t="shared" si="0"/>
        <v>1.0105389360616456E-3</v>
      </c>
      <c r="F5" s="4">
        <f t="shared" si="0"/>
        <v>1.0105389360616456E-3</v>
      </c>
      <c r="G5" s="4">
        <f t="shared" si="0"/>
        <v>1.0105389360616456E-3</v>
      </c>
      <c r="H5" s="4">
        <f t="shared" si="0"/>
        <v>1.0105389360616456E-3</v>
      </c>
      <c r="I5" s="4">
        <f t="shared" si="0"/>
        <v>1.0105389360616456E-3</v>
      </c>
      <c r="J5" s="4">
        <f t="shared" si="0"/>
        <v>1.0105389360616456E-3</v>
      </c>
      <c r="K5" s="4">
        <f t="shared" si="0"/>
        <v>1.0105389360616456E-3</v>
      </c>
      <c r="L5" s="4">
        <f t="shared" si="0"/>
        <v>1.0105389360616456E-3</v>
      </c>
      <c r="M5" s="4">
        <f t="shared" si="0"/>
        <v>1.0105389360616456E-3</v>
      </c>
      <c r="N5" s="4">
        <f t="shared" si="0"/>
        <v>1.0105389360616456E-3</v>
      </c>
      <c r="O5" s="4">
        <f t="shared" si="0"/>
        <v>1.0105389360616456E-3</v>
      </c>
      <c r="P5" s="4">
        <f t="shared" si="0"/>
        <v>1.0105389360616456E-3</v>
      </c>
      <c r="Q5" s="4">
        <f t="shared" si="0"/>
        <v>1.0105389360616456E-3</v>
      </c>
      <c r="R5" s="4">
        <f t="shared" si="0"/>
        <v>1.0105389360616456E-3</v>
      </c>
      <c r="S5" s="4">
        <f t="shared" si="0"/>
        <v>1.0105389360616456E-3</v>
      </c>
      <c r="T5" s="4">
        <f t="shared" si="0"/>
        <v>1.0105389360616456E-3</v>
      </c>
      <c r="U5" s="4">
        <f t="shared" si="0"/>
        <v>1.0105389360616456E-3</v>
      </c>
      <c r="V5" s="4">
        <f t="shared" si="0"/>
        <v>1.0105389360616456E-3</v>
      </c>
      <c r="W5" s="4">
        <f t="shared" si="0"/>
        <v>1.0105389360616456E-3</v>
      </c>
      <c r="X5" s="4">
        <f t="shared" si="0"/>
        <v>1.0105389360616456E-3</v>
      </c>
      <c r="Y5" s="4">
        <f t="shared" si="0"/>
        <v>1.0105389360616456E-3</v>
      </c>
      <c r="Z5" s="4">
        <f t="shared" si="0"/>
        <v>1.0105389360616456E-3</v>
      </c>
      <c r="AA5" s="4">
        <f t="shared" si="0"/>
        <v>1.0105389360616456E-3</v>
      </c>
      <c r="AB5" s="4">
        <f t="shared" si="0"/>
        <v>1.0105389360616456E-3</v>
      </c>
      <c r="AC5" s="4">
        <f t="shared" si="0"/>
        <v>1.0105389360616456E-3</v>
      </c>
      <c r="AD5" s="4">
        <f t="shared" si="0"/>
        <v>1.0105389360616456E-3</v>
      </c>
      <c r="AE5" s="4">
        <f t="shared" si="0"/>
        <v>1.0105389360616456E-3</v>
      </c>
      <c r="AG5" s="4"/>
      <c r="AH5" s="4"/>
    </row>
    <row r="6" spans="1:34">
      <c r="A6" t="s">
        <v>6</v>
      </c>
      <c r="B6" s="4">
        <v>2.2407802055350282E-3</v>
      </c>
      <c r="C6" s="4">
        <f t="shared" si="1"/>
        <v>2.2407802055350282E-3</v>
      </c>
      <c r="D6" s="4">
        <f t="shared" si="0"/>
        <v>2.2407802055350282E-3</v>
      </c>
      <c r="E6" s="4">
        <f t="shared" si="0"/>
        <v>2.2407802055350282E-3</v>
      </c>
      <c r="F6" s="4">
        <f t="shared" si="0"/>
        <v>2.2407802055350282E-3</v>
      </c>
      <c r="G6" s="4">
        <f t="shared" si="0"/>
        <v>2.2407802055350282E-3</v>
      </c>
      <c r="H6" s="4">
        <f t="shared" si="0"/>
        <v>2.2407802055350282E-3</v>
      </c>
      <c r="I6" s="4">
        <f t="shared" si="0"/>
        <v>2.2407802055350282E-3</v>
      </c>
      <c r="J6" s="4">
        <f t="shared" si="0"/>
        <v>2.2407802055350282E-3</v>
      </c>
      <c r="K6" s="4">
        <f t="shared" si="0"/>
        <v>2.2407802055350282E-3</v>
      </c>
      <c r="L6" s="4">
        <f t="shared" si="0"/>
        <v>2.2407802055350282E-3</v>
      </c>
      <c r="M6" s="4">
        <f t="shared" si="0"/>
        <v>2.2407802055350282E-3</v>
      </c>
      <c r="N6" s="4">
        <f t="shared" si="0"/>
        <v>2.2407802055350282E-3</v>
      </c>
      <c r="O6" s="4">
        <f t="shared" si="0"/>
        <v>2.2407802055350282E-3</v>
      </c>
      <c r="P6" s="4">
        <f t="shared" si="0"/>
        <v>2.2407802055350282E-3</v>
      </c>
      <c r="Q6" s="4">
        <f t="shared" si="0"/>
        <v>2.2407802055350282E-3</v>
      </c>
      <c r="R6" s="4">
        <f t="shared" si="0"/>
        <v>2.2407802055350282E-3</v>
      </c>
      <c r="S6" s="4">
        <f t="shared" si="0"/>
        <v>2.2407802055350282E-3</v>
      </c>
      <c r="T6" s="4">
        <f t="shared" si="0"/>
        <v>2.2407802055350282E-3</v>
      </c>
      <c r="U6" s="4">
        <f t="shared" si="0"/>
        <v>2.2407802055350282E-3</v>
      </c>
      <c r="V6" s="4">
        <f t="shared" si="0"/>
        <v>2.2407802055350282E-3</v>
      </c>
      <c r="W6" s="4">
        <f t="shared" si="0"/>
        <v>2.2407802055350282E-3</v>
      </c>
      <c r="X6" s="4">
        <f t="shared" si="0"/>
        <v>2.2407802055350282E-3</v>
      </c>
      <c r="Y6" s="4">
        <f t="shared" si="0"/>
        <v>2.2407802055350282E-3</v>
      </c>
      <c r="Z6" s="4">
        <f t="shared" si="0"/>
        <v>2.2407802055350282E-3</v>
      </c>
      <c r="AA6" s="4">
        <f t="shared" si="0"/>
        <v>2.2407802055350282E-3</v>
      </c>
      <c r="AB6" s="4">
        <f t="shared" si="0"/>
        <v>2.2407802055350282E-3</v>
      </c>
      <c r="AC6" s="4">
        <f t="shared" si="0"/>
        <v>2.2407802055350282E-3</v>
      </c>
      <c r="AD6" s="4">
        <f t="shared" si="0"/>
        <v>2.2407802055350282E-3</v>
      </c>
      <c r="AE6" s="4">
        <f t="shared" si="0"/>
        <v>2.2407802055350282E-3</v>
      </c>
      <c r="AG6" s="4"/>
      <c r="AH6" s="4"/>
    </row>
    <row r="7" spans="1:34">
      <c r="A7" t="s">
        <v>84</v>
      </c>
      <c r="B7" s="4">
        <v>1.6954707688479299E-3</v>
      </c>
      <c r="C7" s="4">
        <f t="shared" si="1"/>
        <v>1.6954707688479299E-3</v>
      </c>
      <c r="D7" s="4">
        <f t="shared" si="0"/>
        <v>1.6954707688479299E-3</v>
      </c>
      <c r="E7" s="4">
        <f t="shared" si="0"/>
        <v>1.6954707688479299E-3</v>
      </c>
      <c r="F7" s="4">
        <f t="shared" si="0"/>
        <v>1.6954707688479299E-3</v>
      </c>
      <c r="G7" s="4">
        <f t="shared" si="0"/>
        <v>1.6954707688479299E-3</v>
      </c>
      <c r="H7" s="4">
        <f t="shared" si="0"/>
        <v>1.6954707688479299E-3</v>
      </c>
      <c r="I7" s="4">
        <f t="shared" si="0"/>
        <v>1.6954707688479299E-3</v>
      </c>
      <c r="J7" s="4">
        <f t="shared" si="0"/>
        <v>1.6954707688479299E-3</v>
      </c>
      <c r="K7" s="4">
        <f t="shared" si="0"/>
        <v>1.6954707688479299E-3</v>
      </c>
      <c r="L7" s="4">
        <f t="shared" si="0"/>
        <v>1.6954707688479299E-3</v>
      </c>
      <c r="M7" s="4">
        <f t="shared" si="0"/>
        <v>1.6954707688479299E-3</v>
      </c>
      <c r="N7" s="4">
        <f t="shared" si="0"/>
        <v>1.6954707688479299E-3</v>
      </c>
      <c r="O7" s="4">
        <f t="shared" si="0"/>
        <v>1.6954707688479299E-3</v>
      </c>
      <c r="P7" s="4">
        <f t="shared" si="0"/>
        <v>1.6954707688479299E-3</v>
      </c>
      <c r="Q7" s="4">
        <f t="shared" si="0"/>
        <v>1.6954707688479299E-3</v>
      </c>
      <c r="R7" s="4">
        <f t="shared" si="0"/>
        <v>1.6954707688479299E-3</v>
      </c>
      <c r="S7" s="4">
        <f t="shared" si="0"/>
        <v>1.6954707688479299E-3</v>
      </c>
      <c r="T7" s="4">
        <f t="shared" si="0"/>
        <v>1.6954707688479299E-3</v>
      </c>
      <c r="U7" s="4">
        <f t="shared" si="0"/>
        <v>1.6954707688479299E-3</v>
      </c>
      <c r="V7" s="4">
        <f t="shared" si="0"/>
        <v>1.6954707688479299E-3</v>
      </c>
      <c r="W7" s="4">
        <f t="shared" si="0"/>
        <v>1.6954707688479299E-3</v>
      </c>
      <c r="X7" s="4">
        <f t="shared" si="0"/>
        <v>1.6954707688479299E-3</v>
      </c>
      <c r="Y7" s="4">
        <f t="shared" si="0"/>
        <v>1.6954707688479299E-3</v>
      </c>
      <c r="Z7" s="4">
        <f t="shared" si="0"/>
        <v>1.6954707688479299E-3</v>
      </c>
      <c r="AA7" s="4">
        <f t="shared" si="0"/>
        <v>1.6954707688479299E-3</v>
      </c>
      <c r="AB7" s="4">
        <f t="shared" si="0"/>
        <v>1.6954707688479299E-3</v>
      </c>
      <c r="AC7" s="4">
        <f t="shared" si="0"/>
        <v>1.6954707688479299E-3</v>
      </c>
      <c r="AD7" s="4">
        <f t="shared" si="0"/>
        <v>1.6954707688479299E-3</v>
      </c>
      <c r="AE7" s="4">
        <f t="shared" si="0"/>
        <v>1.6954707688479299E-3</v>
      </c>
      <c r="AG7" s="4"/>
      <c r="AH7" s="4"/>
    </row>
    <row r="8" spans="1:34">
      <c r="A8" t="s">
        <v>85</v>
      </c>
      <c r="B8" s="4">
        <v>3.0316168081849361E-3</v>
      </c>
      <c r="C8" s="4">
        <f t="shared" si="1"/>
        <v>3.0316168081849361E-3</v>
      </c>
      <c r="D8" s="4">
        <f t="shared" si="0"/>
        <v>3.0316168081849361E-3</v>
      </c>
      <c r="E8" s="4">
        <f t="shared" si="0"/>
        <v>3.0316168081849361E-3</v>
      </c>
      <c r="F8" s="4">
        <f t="shared" si="0"/>
        <v>3.0316168081849361E-3</v>
      </c>
      <c r="G8" s="4">
        <f t="shared" si="0"/>
        <v>3.0316168081849361E-3</v>
      </c>
      <c r="H8" s="4">
        <f t="shared" si="0"/>
        <v>3.0316168081849361E-3</v>
      </c>
      <c r="I8" s="4">
        <f t="shared" si="0"/>
        <v>3.0316168081849361E-3</v>
      </c>
      <c r="J8" s="4">
        <f t="shared" si="0"/>
        <v>3.0316168081849361E-3</v>
      </c>
      <c r="K8" s="4">
        <f t="shared" si="0"/>
        <v>3.0316168081849361E-3</v>
      </c>
      <c r="L8" s="4">
        <f t="shared" si="0"/>
        <v>3.0316168081849361E-3</v>
      </c>
      <c r="M8" s="4">
        <f t="shared" si="0"/>
        <v>3.0316168081849361E-3</v>
      </c>
      <c r="N8" s="4">
        <f t="shared" si="0"/>
        <v>3.0316168081849361E-3</v>
      </c>
      <c r="O8" s="4">
        <f t="shared" si="0"/>
        <v>3.0316168081849361E-3</v>
      </c>
      <c r="P8" s="4">
        <f t="shared" si="0"/>
        <v>3.0316168081849361E-3</v>
      </c>
      <c r="Q8" s="4">
        <f t="shared" si="0"/>
        <v>3.0316168081849361E-3</v>
      </c>
      <c r="R8" s="4">
        <f t="shared" si="0"/>
        <v>3.0316168081849361E-3</v>
      </c>
      <c r="S8" s="4">
        <f t="shared" si="0"/>
        <v>3.0316168081849361E-3</v>
      </c>
      <c r="T8" s="4">
        <f t="shared" si="0"/>
        <v>3.0316168081849361E-3</v>
      </c>
      <c r="U8" s="4">
        <f t="shared" si="0"/>
        <v>3.0316168081849361E-3</v>
      </c>
      <c r="V8" s="4">
        <f t="shared" si="0"/>
        <v>3.0316168081849361E-3</v>
      </c>
      <c r="W8" s="4">
        <f t="shared" si="0"/>
        <v>3.0316168081849361E-3</v>
      </c>
      <c r="X8" s="4">
        <f t="shared" si="0"/>
        <v>3.0316168081849361E-3</v>
      </c>
      <c r="Y8" s="4">
        <f t="shared" si="0"/>
        <v>3.0316168081849361E-3</v>
      </c>
      <c r="Z8" s="4">
        <f t="shared" si="0"/>
        <v>3.0316168081849361E-3</v>
      </c>
      <c r="AA8" s="4">
        <f t="shared" si="0"/>
        <v>3.0316168081849361E-3</v>
      </c>
      <c r="AB8" s="4">
        <f t="shared" si="0"/>
        <v>3.0316168081849361E-3</v>
      </c>
      <c r="AC8" s="4">
        <f t="shared" si="0"/>
        <v>3.0316168081849361E-3</v>
      </c>
      <c r="AD8" s="4">
        <f t="shared" si="0"/>
        <v>3.0316168081849361E-3</v>
      </c>
      <c r="AE8" s="4">
        <f t="shared" si="0"/>
        <v>3.0316168081849361E-3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1.421389052178215E-3</v>
      </c>
      <c r="C2" s="4">
        <f>B2</f>
        <v>1.421389052178215E-3</v>
      </c>
      <c r="D2" s="4">
        <f t="shared" ref="D2:AE8" si="0">C2</f>
        <v>1.421389052178215E-3</v>
      </c>
      <c r="E2" s="4">
        <f t="shared" si="0"/>
        <v>1.421389052178215E-3</v>
      </c>
      <c r="F2" s="4">
        <f t="shared" si="0"/>
        <v>1.421389052178215E-3</v>
      </c>
      <c r="G2" s="4">
        <f t="shared" si="0"/>
        <v>1.421389052178215E-3</v>
      </c>
      <c r="H2" s="4">
        <f t="shared" si="0"/>
        <v>1.421389052178215E-3</v>
      </c>
      <c r="I2" s="4">
        <f t="shared" si="0"/>
        <v>1.421389052178215E-3</v>
      </c>
      <c r="J2" s="4">
        <f t="shared" si="0"/>
        <v>1.421389052178215E-3</v>
      </c>
      <c r="K2" s="4">
        <f t="shared" si="0"/>
        <v>1.421389052178215E-3</v>
      </c>
      <c r="L2" s="4">
        <f t="shared" si="0"/>
        <v>1.421389052178215E-3</v>
      </c>
      <c r="M2" s="4">
        <f t="shared" si="0"/>
        <v>1.421389052178215E-3</v>
      </c>
      <c r="N2" s="4">
        <f t="shared" si="0"/>
        <v>1.421389052178215E-3</v>
      </c>
      <c r="O2" s="4">
        <f t="shared" si="0"/>
        <v>1.421389052178215E-3</v>
      </c>
      <c r="P2" s="4">
        <f t="shared" si="0"/>
        <v>1.421389052178215E-3</v>
      </c>
      <c r="Q2" s="4">
        <f t="shared" si="0"/>
        <v>1.421389052178215E-3</v>
      </c>
      <c r="R2" s="4">
        <f t="shared" si="0"/>
        <v>1.421389052178215E-3</v>
      </c>
      <c r="S2" s="4">
        <f t="shared" si="0"/>
        <v>1.421389052178215E-3</v>
      </c>
      <c r="T2" s="4">
        <f t="shared" si="0"/>
        <v>1.421389052178215E-3</v>
      </c>
      <c r="U2" s="4">
        <f t="shared" si="0"/>
        <v>1.421389052178215E-3</v>
      </c>
      <c r="V2" s="4">
        <f t="shared" si="0"/>
        <v>1.421389052178215E-3</v>
      </c>
      <c r="W2" s="4">
        <f t="shared" si="0"/>
        <v>1.421389052178215E-3</v>
      </c>
      <c r="X2" s="4">
        <f t="shared" si="0"/>
        <v>1.421389052178215E-3</v>
      </c>
      <c r="Y2" s="4">
        <f t="shared" si="0"/>
        <v>1.421389052178215E-3</v>
      </c>
      <c r="Z2" s="4">
        <f t="shared" si="0"/>
        <v>1.421389052178215E-3</v>
      </c>
      <c r="AA2" s="4">
        <f t="shared" si="0"/>
        <v>1.421389052178215E-3</v>
      </c>
      <c r="AB2" s="4">
        <f t="shared" si="0"/>
        <v>1.421389052178215E-3</v>
      </c>
      <c r="AC2" s="4">
        <f t="shared" si="0"/>
        <v>1.421389052178215E-3</v>
      </c>
      <c r="AD2" s="4">
        <f t="shared" si="0"/>
        <v>1.421389052178215E-3</v>
      </c>
      <c r="AE2" s="4">
        <f t="shared" si="0"/>
        <v>1.421389052178215E-3</v>
      </c>
      <c r="AG2" s="4"/>
      <c r="AH2" s="4"/>
    </row>
    <row r="3" spans="1:34">
      <c r="A3" t="s">
        <v>3</v>
      </c>
      <c r="B3" s="4">
        <v>7.9458999302765691E-4</v>
      </c>
      <c r="C3" s="4">
        <f t="shared" ref="C3:C8" si="1">B3</f>
        <v>7.9458999302765691E-4</v>
      </c>
      <c r="D3" s="4">
        <f t="shared" ref="D3:Q3" si="2">C3</f>
        <v>7.9458999302765691E-4</v>
      </c>
      <c r="E3" s="4">
        <f t="shared" si="2"/>
        <v>7.9458999302765691E-4</v>
      </c>
      <c r="F3" s="4">
        <f t="shared" si="2"/>
        <v>7.9458999302765691E-4</v>
      </c>
      <c r="G3" s="4">
        <f t="shared" si="2"/>
        <v>7.9458999302765691E-4</v>
      </c>
      <c r="H3" s="4">
        <f t="shared" si="2"/>
        <v>7.9458999302765691E-4</v>
      </c>
      <c r="I3" s="4">
        <f t="shared" si="2"/>
        <v>7.9458999302765691E-4</v>
      </c>
      <c r="J3" s="4">
        <f t="shared" si="2"/>
        <v>7.9458999302765691E-4</v>
      </c>
      <c r="K3" s="4">
        <f t="shared" si="2"/>
        <v>7.9458999302765691E-4</v>
      </c>
      <c r="L3" s="4">
        <f t="shared" si="2"/>
        <v>7.9458999302765691E-4</v>
      </c>
      <c r="M3" s="4">
        <f t="shared" si="2"/>
        <v>7.9458999302765691E-4</v>
      </c>
      <c r="N3" s="4">
        <f t="shared" si="2"/>
        <v>7.9458999302765691E-4</v>
      </c>
      <c r="O3" s="4">
        <f t="shared" si="2"/>
        <v>7.9458999302765691E-4</v>
      </c>
      <c r="P3" s="4">
        <f t="shared" si="2"/>
        <v>7.9458999302765691E-4</v>
      </c>
      <c r="Q3" s="4">
        <f t="shared" si="2"/>
        <v>7.9458999302765691E-4</v>
      </c>
      <c r="R3" s="4">
        <f t="shared" si="0"/>
        <v>7.9458999302765691E-4</v>
      </c>
      <c r="S3" s="4">
        <f t="shared" si="0"/>
        <v>7.9458999302765691E-4</v>
      </c>
      <c r="T3" s="4">
        <f t="shared" si="0"/>
        <v>7.9458999302765691E-4</v>
      </c>
      <c r="U3" s="4">
        <f t="shared" si="0"/>
        <v>7.9458999302765691E-4</v>
      </c>
      <c r="V3" s="4">
        <f t="shared" si="0"/>
        <v>7.9458999302765691E-4</v>
      </c>
      <c r="W3" s="4">
        <f t="shared" si="0"/>
        <v>7.9458999302765691E-4</v>
      </c>
      <c r="X3" s="4">
        <f t="shared" si="0"/>
        <v>7.9458999302765691E-4</v>
      </c>
      <c r="Y3" s="4">
        <f t="shared" si="0"/>
        <v>7.9458999302765691E-4</v>
      </c>
      <c r="Z3" s="4">
        <f t="shared" si="0"/>
        <v>7.9458999302765691E-4</v>
      </c>
      <c r="AA3" s="4">
        <f t="shared" si="0"/>
        <v>7.9458999302765691E-4</v>
      </c>
      <c r="AB3" s="4">
        <f t="shared" si="0"/>
        <v>7.9458999302765691E-4</v>
      </c>
      <c r="AC3" s="4">
        <f t="shared" si="0"/>
        <v>7.9458999302765691E-4</v>
      </c>
      <c r="AD3" s="4">
        <f t="shared" si="0"/>
        <v>7.9458999302765691E-4</v>
      </c>
      <c r="AE3" s="4">
        <f t="shared" si="0"/>
        <v>7.9458999302765691E-4</v>
      </c>
      <c r="AG3" s="4"/>
      <c r="AH3" s="4"/>
    </row>
    <row r="4" spans="1:34">
      <c r="A4" t="s">
        <v>4</v>
      </c>
      <c r="B4" s="4">
        <v>7.5502679371825096E-4</v>
      </c>
      <c r="C4" s="4">
        <f t="shared" si="1"/>
        <v>7.5502679371825096E-4</v>
      </c>
      <c r="D4" s="4">
        <f t="shared" si="0"/>
        <v>7.5502679371825096E-4</v>
      </c>
      <c r="E4" s="4">
        <f t="shared" si="0"/>
        <v>7.5502679371825096E-4</v>
      </c>
      <c r="F4" s="4">
        <f t="shared" si="0"/>
        <v>7.5502679371825096E-4</v>
      </c>
      <c r="G4" s="4">
        <f t="shared" si="0"/>
        <v>7.5502679371825096E-4</v>
      </c>
      <c r="H4" s="4">
        <f t="shared" si="0"/>
        <v>7.5502679371825096E-4</v>
      </c>
      <c r="I4" s="4">
        <f t="shared" si="0"/>
        <v>7.5502679371825096E-4</v>
      </c>
      <c r="J4" s="4">
        <f t="shared" si="0"/>
        <v>7.5502679371825096E-4</v>
      </c>
      <c r="K4" s="4">
        <f t="shared" si="0"/>
        <v>7.5502679371825096E-4</v>
      </c>
      <c r="L4" s="4">
        <f t="shared" si="0"/>
        <v>7.5502679371825096E-4</v>
      </c>
      <c r="M4" s="4">
        <f t="shared" si="0"/>
        <v>7.5502679371825096E-4</v>
      </c>
      <c r="N4" s="4">
        <f t="shared" si="0"/>
        <v>7.5502679371825096E-4</v>
      </c>
      <c r="O4" s="4">
        <f t="shared" si="0"/>
        <v>7.5502679371825096E-4</v>
      </c>
      <c r="P4" s="4">
        <f t="shared" si="0"/>
        <v>7.5502679371825096E-4</v>
      </c>
      <c r="Q4" s="4">
        <f t="shared" si="0"/>
        <v>7.5502679371825096E-4</v>
      </c>
      <c r="R4" s="4">
        <f t="shared" si="0"/>
        <v>7.5502679371825096E-4</v>
      </c>
      <c r="S4" s="4">
        <f t="shared" si="0"/>
        <v>7.5502679371825096E-4</v>
      </c>
      <c r="T4" s="4">
        <f t="shared" si="0"/>
        <v>7.5502679371825096E-4</v>
      </c>
      <c r="U4" s="4">
        <f t="shared" si="0"/>
        <v>7.5502679371825096E-4</v>
      </c>
      <c r="V4" s="4">
        <f t="shared" si="0"/>
        <v>7.5502679371825096E-4</v>
      </c>
      <c r="W4" s="4">
        <f t="shared" si="0"/>
        <v>7.5502679371825096E-4</v>
      </c>
      <c r="X4" s="4">
        <f t="shared" si="0"/>
        <v>7.5502679371825096E-4</v>
      </c>
      <c r="Y4" s="4">
        <f t="shared" si="0"/>
        <v>7.5502679371825096E-4</v>
      </c>
      <c r="Z4" s="4">
        <f t="shared" si="0"/>
        <v>7.5502679371825096E-4</v>
      </c>
      <c r="AA4" s="4">
        <f t="shared" si="0"/>
        <v>7.5502679371825096E-4</v>
      </c>
      <c r="AB4" s="4">
        <f t="shared" si="0"/>
        <v>7.5502679371825096E-4</v>
      </c>
      <c r="AC4" s="4">
        <f t="shared" si="0"/>
        <v>7.5502679371825096E-4</v>
      </c>
      <c r="AD4" s="4">
        <f t="shared" si="0"/>
        <v>7.5502679371825096E-4</v>
      </c>
      <c r="AE4" s="4">
        <f t="shared" si="0"/>
        <v>7.5502679371825096E-4</v>
      </c>
      <c r="AG4" s="4"/>
      <c r="AH4" s="4"/>
    </row>
    <row r="5" spans="1:34">
      <c r="A5" t="s">
        <v>5</v>
      </c>
      <c r="B5" s="4">
        <v>7.2905101417222013E-4</v>
      </c>
      <c r="C5" s="4">
        <f t="shared" si="1"/>
        <v>7.2905101417222013E-4</v>
      </c>
      <c r="D5" s="4">
        <f t="shared" si="0"/>
        <v>7.2905101417222013E-4</v>
      </c>
      <c r="E5" s="4">
        <f t="shared" si="0"/>
        <v>7.2905101417222013E-4</v>
      </c>
      <c r="F5" s="4">
        <f t="shared" si="0"/>
        <v>7.2905101417222013E-4</v>
      </c>
      <c r="G5" s="4">
        <f t="shared" si="0"/>
        <v>7.2905101417222013E-4</v>
      </c>
      <c r="H5" s="4">
        <f t="shared" si="0"/>
        <v>7.2905101417222013E-4</v>
      </c>
      <c r="I5" s="4">
        <f t="shared" si="0"/>
        <v>7.2905101417222013E-4</v>
      </c>
      <c r="J5" s="4">
        <f t="shared" si="0"/>
        <v>7.2905101417222013E-4</v>
      </c>
      <c r="K5" s="4">
        <f t="shared" si="0"/>
        <v>7.2905101417222013E-4</v>
      </c>
      <c r="L5" s="4">
        <f t="shared" si="0"/>
        <v>7.2905101417222013E-4</v>
      </c>
      <c r="M5" s="4">
        <f t="shared" si="0"/>
        <v>7.2905101417222013E-4</v>
      </c>
      <c r="N5" s="4">
        <f t="shared" si="0"/>
        <v>7.2905101417222013E-4</v>
      </c>
      <c r="O5" s="4">
        <f t="shared" si="0"/>
        <v>7.2905101417222013E-4</v>
      </c>
      <c r="P5" s="4">
        <f t="shared" si="0"/>
        <v>7.2905101417222013E-4</v>
      </c>
      <c r="Q5" s="4">
        <f t="shared" si="0"/>
        <v>7.2905101417222013E-4</v>
      </c>
      <c r="R5" s="4">
        <f t="shared" si="0"/>
        <v>7.2905101417222013E-4</v>
      </c>
      <c r="S5" s="4">
        <f t="shared" si="0"/>
        <v>7.2905101417222013E-4</v>
      </c>
      <c r="T5" s="4">
        <f t="shared" si="0"/>
        <v>7.2905101417222013E-4</v>
      </c>
      <c r="U5" s="4">
        <f t="shared" si="0"/>
        <v>7.2905101417222013E-4</v>
      </c>
      <c r="V5" s="4">
        <f t="shared" si="0"/>
        <v>7.2905101417222013E-4</v>
      </c>
      <c r="W5" s="4">
        <f t="shared" si="0"/>
        <v>7.2905101417222013E-4</v>
      </c>
      <c r="X5" s="4">
        <f t="shared" si="0"/>
        <v>7.2905101417222013E-4</v>
      </c>
      <c r="Y5" s="4">
        <f t="shared" si="0"/>
        <v>7.2905101417222013E-4</v>
      </c>
      <c r="Z5" s="4">
        <f t="shared" si="0"/>
        <v>7.2905101417222013E-4</v>
      </c>
      <c r="AA5" s="4">
        <f t="shared" si="0"/>
        <v>7.2905101417222013E-4</v>
      </c>
      <c r="AB5" s="4">
        <f t="shared" si="0"/>
        <v>7.2905101417222013E-4</v>
      </c>
      <c r="AC5" s="4">
        <f t="shared" si="0"/>
        <v>7.2905101417222013E-4</v>
      </c>
      <c r="AD5" s="4">
        <f t="shared" si="0"/>
        <v>7.2905101417222013E-4</v>
      </c>
      <c r="AE5" s="4">
        <f t="shared" si="0"/>
        <v>7.2905101417222013E-4</v>
      </c>
      <c r="AG5" s="4"/>
      <c r="AH5" s="4"/>
    </row>
    <row r="6" spans="1:34">
      <c r="A6" t="s">
        <v>6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G6" s="4"/>
      <c r="AH6" s="4"/>
    </row>
    <row r="7" spans="1:34">
      <c r="A7" t="s">
        <v>84</v>
      </c>
      <c r="B7" s="4">
        <v>8.0334858395033032E-4</v>
      </c>
      <c r="C7" s="4">
        <f t="shared" si="1"/>
        <v>8.0334858395033032E-4</v>
      </c>
      <c r="D7" s="4">
        <f t="shared" si="0"/>
        <v>8.0334858395033032E-4</v>
      </c>
      <c r="E7" s="4">
        <f t="shared" si="0"/>
        <v>8.0334858395033032E-4</v>
      </c>
      <c r="F7" s="4">
        <f t="shared" si="0"/>
        <v>8.0334858395033032E-4</v>
      </c>
      <c r="G7" s="4">
        <f t="shared" si="0"/>
        <v>8.0334858395033032E-4</v>
      </c>
      <c r="H7" s="4">
        <f t="shared" si="0"/>
        <v>8.0334858395033032E-4</v>
      </c>
      <c r="I7" s="4">
        <f t="shared" si="0"/>
        <v>8.0334858395033032E-4</v>
      </c>
      <c r="J7" s="4">
        <f t="shared" si="0"/>
        <v>8.0334858395033032E-4</v>
      </c>
      <c r="K7" s="4">
        <f t="shared" si="0"/>
        <v>8.0334858395033032E-4</v>
      </c>
      <c r="L7" s="4">
        <f t="shared" si="0"/>
        <v>8.0334858395033032E-4</v>
      </c>
      <c r="M7" s="4">
        <f t="shared" si="0"/>
        <v>8.0334858395033032E-4</v>
      </c>
      <c r="N7" s="4">
        <f t="shared" si="0"/>
        <v>8.0334858395033032E-4</v>
      </c>
      <c r="O7" s="4">
        <f t="shared" si="0"/>
        <v>8.0334858395033032E-4</v>
      </c>
      <c r="P7" s="4">
        <f t="shared" si="0"/>
        <v>8.0334858395033032E-4</v>
      </c>
      <c r="Q7" s="4">
        <f t="shared" si="0"/>
        <v>8.0334858395033032E-4</v>
      </c>
      <c r="R7" s="4">
        <f t="shared" si="0"/>
        <v>8.0334858395033032E-4</v>
      </c>
      <c r="S7" s="4">
        <f t="shared" si="0"/>
        <v>8.0334858395033032E-4</v>
      </c>
      <c r="T7" s="4">
        <f t="shared" si="0"/>
        <v>8.0334858395033032E-4</v>
      </c>
      <c r="U7" s="4">
        <f t="shared" si="0"/>
        <v>8.0334858395033032E-4</v>
      </c>
      <c r="V7" s="4">
        <f t="shared" si="0"/>
        <v>8.0334858395033032E-4</v>
      </c>
      <c r="W7" s="4">
        <f t="shared" si="0"/>
        <v>8.0334858395033032E-4</v>
      </c>
      <c r="X7" s="4">
        <f t="shared" si="0"/>
        <v>8.0334858395033032E-4</v>
      </c>
      <c r="Y7" s="4">
        <f t="shared" si="0"/>
        <v>8.0334858395033032E-4</v>
      </c>
      <c r="Z7" s="4">
        <f t="shared" si="0"/>
        <v>8.0334858395033032E-4</v>
      </c>
      <c r="AA7" s="4">
        <f t="shared" si="0"/>
        <v>8.0334858395033032E-4</v>
      </c>
      <c r="AB7" s="4">
        <f t="shared" si="0"/>
        <v>8.0334858395033032E-4</v>
      </c>
      <c r="AC7" s="4">
        <f t="shared" si="0"/>
        <v>8.0334858395033032E-4</v>
      </c>
      <c r="AD7" s="4">
        <f t="shared" si="0"/>
        <v>8.0334858395033032E-4</v>
      </c>
      <c r="AE7" s="4">
        <f t="shared" si="0"/>
        <v>8.0334858395033032E-4</v>
      </c>
      <c r="AG7" s="4"/>
      <c r="AH7" s="4"/>
    </row>
    <row r="8" spans="1:34">
      <c r="A8" t="s">
        <v>85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B5" sqref="B5"/>
    </sheetView>
  </sheetViews>
  <sheetFormatPr defaultRowHeight="15"/>
  <cols>
    <col min="1" max="1" width="31.140625" customWidth="1"/>
    <col min="2" max="2" width="21.28515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1.4108894605736162E-3</v>
      </c>
      <c r="C2" s="4">
        <f>C$5/(1-'Other Values'!$B$3)</f>
        <v>1.4108894605736162E-3</v>
      </c>
      <c r="D2" s="4">
        <f>D$5/(1-'Other Values'!$B$3)</f>
        <v>1.4108894605736162E-3</v>
      </c>
      <c r="E2" s="4">
        <f>E$5/(1-'Other Values'!$B$3)</f>
        <v>1.4108894605736162E-3</v>
      </c>
      <c r="F2" s="4">
        <f>F$5/(1-'Other Values'!$B$3)</f>
        <v>1.4108894605736162E-3</v>
      </c>
      <c r="G2" s="4">
        <f>G$5/(1-'Other Values'!$B$3)</f>
        <v>1.4108894605736162E-3</v>
      </c>
      <c r="H2" s="4">
        <f>H$5/(1-'Other Values'!$B$3)</f>
        <v>1.4108894605736162E-3</v>
      </c>
      <c r="I2" s="4">
        <f>I$5/(1-'Other Values'!$B$3)</f>
        <v>1.4108894605736162E-3</v>
      </c>
      <c r="J2" s="4">
        <f>J$5/(1-'Other Values'!$B$3)</f>
        <v>1.4108894605736162E-3</v>
      </c>
      <c r="K2" s="4">
        <f>K$5/(1-'Other Values'!$B$3)</f>
        <v>1.4108894605736162E-3</v>
      </c>
      <c r="L2" s="4">
        <f>L$5/(1-'Other Values'!$B$3)</f>
        <v>1.4108894605736162E-3</v>
      </c>
      <c r="M2" s="4">
        <f>M$5/(1-'Other Values'!$B$3)</f>
        <v>1.4108894605736162E-3</v>
      </c>
      <c r="N2" s="4">
        <f>N$5/(1-'Other Values'!$B$3)</f>
        <v>1.4108894605736162E-3</v>
      </c>
      <c r="O2" s="4">
        <f>O$5/(1-'Other Values'!$B$3)</f>
        <v>1.4108894605736162E-3</v>
      </c>
      <c r="P2" s="4">
        <f>P$5/(1-'Other Values'!$B$3)</f>
        <v>1.4108894605736162E-3</v>
      </c>
      <c r="Q2" s="4">
        <f>Q$5/(1-'Other Values'!$B$3)</f>
        <v>1.4108894605736162E-3</v>
      </c>
      <c r="R2" s="4">
        <f>R$5/(1-'Other Values'!$B$3)</f>
        <v>1.4108894605736162E-3</v>
      </c>
      <c r="S2" s="4">
        <f>S$5/(1-'Other Values'!$B$3)</f>
        <v>1.4108894605736162E-3</v>
      </c>
      <c r="T2" s="4">
        <f>T$5/(1-'Other Values'!$B$3)</f>
        <v>1.4108894605736162E-3</v>
      </c>
      <c r="U2" s="4">
        <f>U$5/(1-'Other Values'!$B$3)</f>
        <v>1.4108894605736162E-3</v>
      </c>
      <c r="V2" s="4">
        <f>V$5/(1-'Other Values'!$B$3)</f>
        <v>1.4108894605736162E-3</v>
      </c>
      <c r="W2" s="4">
        <f>W$5/(1-'Other Values'!$B$3)</f>
        <v>1.4108894605736162E-3</v>
      </c>
      <c r="X2" s="4">
        <f>X$5/(1-'Other Values'!$B$3)</f>
        <v>1.4108894605736162E-3</v>
      </c>
      <c r="Y2" s="4">
        <f>Y$5/(1-'Other Values'!$B$3)</f>
        <v>1.4108894605736162E-3</v>
      </c>
      <c r="Z2" s="4">
        <f>Z$5/(1-'Other Values'!$B$3)</f>
        <v>1.4108894605736162E-3</v>
      </c>
      <c r="AA2" s="4">
        <f>AA$5/(1-'Other Values'!$B$3)</f>
        <v>1.4108894605736162E-3</v>
      </c>
      <c r="AB2" s="4">
        <f>AB$5/(1-'Other Values'!$B$3)</f>
        <v>1.4108894605736164E-3</v>
      </c>
      <c r="AC2" s="4">
        <f>AC$5/(1-'Other Values'!$B$3)</f>
        <v>1.4108894605736164E-3</v>
      </c>
      <c r="AD2" s="4">
        <f>AD$5/(1-'Other Values'!$B$3)</f>
        <v>1.4108894605736164E-3</v>
      </c>
      <c r="AE2" s="4">
        <f>AE$5/(1-'Other Values'!$B$3)</f>
        <v>1.4108894605736164E-3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32">
        <f>Extrapolations!Q6</f>
        <v>4.3905417607014065E-4</v>
      </c>
      <c r="C5" s="4">
        <f>Extrapolations!R6</f>
        <v>4.3905417607014065E-4</v>
      </c>
      <c r="D5" s="4">
        <f>Extrapolations!S6</f>
        <v>4.3905417607014065E-4</v>
      </c>
      <c r="E5" s="4">
        <f>Extrapolations!T6</f>
        <v>4.3905417607014065E-4</v>
      </c>
      <c r="F5" s="4">
        <f>Extrapolations!U6</f>
        <v>4.3905417607014065E-4</v>
      </c>
      <c r="G5" s="4">
        <f>Extrapolations!V6</f>
        <v>4.3905417607014065E-4</v>
      </c>
      <c r="H5" s="4">
        <f>Extrapolations!W6</f>
        <v>4.3905417607014065E-4</v>
      </c>
      <c r="I5" s="4">
        <f>Extrapolations!X6</f>
        <v>4.3905417607014065E-4</v>
      </c>
      <c r="J5" s="4">
        <f>Extrapolations!Y6</f>
        <v>4.3905417607014065E-4</v>
      </c>
      <c r="K5" s="4">
        <f>Extrapolations!Z6</f>
        <v>4.3905417607014065E-4</v>
      </c>
      <c r="L5" s="4">
        <f>Extrapolations!AA6</f>
        <v>4.3905417607014065E-4</v>
      </c>
      <c r="M5" s="4">
        <f>Extrapolations!AB6</f>
        <v>4.3905417607014065E-4</v>
      </c>
      <c r="N5" s="4">
        <f>Extrapolations!AC6</f>
        <v>4.3905417607014065E-4</v>
      </c>
      <c r="O5" s="4">
        <f>Extrapolations!AD6</f>
        <v>4.3905417607014065E-4</v>
      </c>
      <c r="P5" s="4">
        <f>Extrapolations!AE6</f>
        <v>4.3905417607014065E-4</v>
      </c>
      <c r="Q5" s="4">
        <f>Extrapolations!AF6</f>
        <v>4.3905417607014065E-4</v>
      </c>
      <c r="R5" s="4">
        <f>Extrapolations!AG6</f>
        <v>4.3905417607014065E-4</v>
      </c>
      <c r="S5" s="4">
        <f>Extrapolations!AH6</f>
        <v>4.3905417607014065E-4</v>
      </c>
      <c r="T5" s="4">
        <f>Extrapolations!AI6</f>
        <v>4.3905417607014065E-4</v>
      </c>
      <c r="U5" s="4">
        <f>Extrapolations!AJ6</f>
        <v>4.3905417607014065E-4</v>
      </c>
      <c r="V5" s="4">
        <f>Extrapolations!AK6</f>
        <v>4.3905417607014065E-4</v>
      </c>
      <c r="W5" s="4">
        <f>Extrapolations!AL6</f>
        <v>4.3905417607014065E-4</v>
      </c>
      <c r="X5" s="4">
        <f>Extrapolations!AM6</f>
        <v>4.3905417607014065E-4</v>
      </c>
      <c r="Y5" s="4">
        <f>Extrapolations!AN6</f>
        <v>4.3905417607014065E-4</v>
      </c>
      <c r="Z5" s="4">
        <f>Extrapolations!AO6</f>
        <v>4.3905417607014065E-4</v>
      </c>
      <c r="AA5" s="4">
        <f>Extrapolations!AP6</f>
        <v>4.3905417607014065E-4</v>
      </c>
      <c r="AB5" s="4">
        <f>Extrapolations!AQ6</f>
        <v>4.390541760701407E-4</v>
      </c>
      <c r="AC5" s="4">
        <f>Extrapolations!AR6</f>
        <v>4.390541760701407E-4</v>
      </c>
      <c r="AD5" s="4">
        <f>Extrapolations!AS6</f>
        <v>4.390541760701407E-4</v>
      </c>
      <c r="AE5" s="4">
        <f>Extrapolations!AT6</f>
        <v>4.390541760701407E-4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1.3171625282104218E-3</v>
      </c>
      <c r="C8" s="4">
        <f>C$5*Calculations!$B$27</f>
        <v>1.3171625282104218E-3</v>
      </c>
      <c r="D8" s="4">
        <f>D$5*Calculations!$B$27</f>
        <v>1.3171625282104218E-3</v>
      </c>
      <c r="E8" s="4">
        <f>E$5*Calculations!$B$27</f>
        <v>1.3171625282104218E-3</v>
      </c>
      <c r="F8" s="4">
        <f>F$5*Calculations!$B$27</f>
        <v>1.3171625282104218E-3</v>
      </c>
      <c r="G8" s="4">
        <f>G$5*Calculations!$B$27</f>
        <v>1.3171625282104218E-3</v>
      </c>
      <c r="H8" s="4">
        <f>H$5*Calculations!$B$27</f>
        <v>1.3171625282104218E-3</v>
      </c>
      <c r="I8" s="4">
        <f>I$5*Calculations!$B$27</f>
        <v>1.3171625282104218E-3</v>
      </c>
      <c r="J8" s="4">
        <f>J$5*Calculations!$B$27</f>
        <v>1.3171625282104218E-3</v>
      </c>
      <c r="K8" s="4">
        <f>K$5*Calculations!$B$27</f>
        <v>1.3171625282104218E-3</v>
      </c>
      <c r="L8" s="4">
        <f>L$5*Calculations!$B$27</f>
        <v>1.3171625282104218E-3</v>
      </c>
      <c r="M8" s="4">
        <f>M$5*Calculations!$B$27</f>
        <v>1.3171625282104218E-3</v>
      </c>
      <c r="N8" s="4">
        <f>N$5*Calculations!$B$27</f>
        <v>1.3171625282104218E-3</v>
      </c>
      <c r="O8" s="4">
        <f>O$5*Calculations!$B$27</f>
        <v>1.3171625282104218E-3</v>
      </c>
      <c r="P8" s="4">
        <f>P$5*Calculations!$B$27</f>
        <v>1.3171625282104218E-3</v>
      </c>
      <c r="Q8" s="4">
        <f>Q$5*Calculations!$B$27</f>
        <v>1.3171625282104218E-3</v>
      </c>
      <c r="R8" s="4">
        <f>R$5*Calculations!$B$27</f>
        <v>1.3171625282104218E-3</v>
      </c>
      <c r="S8" s="4">
        <f>S$5*Calculations!$B$27</f>
        <v>1.3171625282104218E-3</v>
      </c>
      <c r="T8" s="4">
        <f>T$5*Calculations!$B$27</f>
        <v>1.3171625282104218E-3</v>
      </c>
      <c r="U8" s="4">
        <f>U$5*Calculations!$B$27</f>
        <v>1.3171625282104218E-3</v>
      </c>
      <c r="V8" s="4">
        <f>V$5*Calculations!$B$27</f>
        <v>1.3171625282104218E-3</v>
      </c>
      <c r="W8" s="4">
        <f>W$5*Calculations!$B$27</f>
        <v>1.3171625282104218E-3</v>
      </c>
      <c r="X8" s="4">
        <f>X$5*Calculations!$B$27</f>
        <v>1.3171625282104218E-3</v>
      </c>
      <c r="Y8" s="4">
        <f>Y$5*Calculations!$B$27</f>
        <v>1.3171625282104218E-3</v>
      </c>
      <c r="Z8" s="4">
        <f>Z$5*Calculations!$B$27</f>
        <v>1.3171625282104218E-3</v>
      </c>
      <c r="AA8" s="4">
        <f>AA$5*Calculations!$B$27</f>
        <v>1.3171625282104218E-3</v>
      </c>
      <c r="AB8" s="4">
        <f>AB$5*Calculations!$B$27</f>
        <v>1.317162528210422E-3</v>
      </c>
      <c r="AC8" s="4">
        <f>AC$5*Calculations!$B$27</f>
        <v>1.317162528210422E-3</v>
      </c>
      <c r="AD8" s="4">
        <f>AD$5*Calculations!$B$27</f>
        <v>1.317162528210422E-3</v>
      </c>
      <c r="AE8" s="4">
        <f>AE$5*Calculations!$B$27</f>
        <v>1.317162528210422E-3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/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4.9785259588925983E-4</v>
      </c>
      <c r="C2" s="4">
        <f>C$5/(1-'Other Values'!$B$3)</f>
        <v>4.9785259588925983E-4</v>
      </c>
      <c r="D2" s="4">
        <f>D$5/(1-'Other Values'!$B$3)</f>
        <v>4.9785259588925983E-4</v>
      </c>
      <c r="E2" s="4">
        <f>E$5/(1-'Other Values'!$B$3)</f>
        <v>4.9785259588925983E-4</v>
      </c>
      <c r="F2" s="4">
        <f>F$5/(1-'Other Values'!$B$3)</f>
        <v>4.9785259588925983E-4</v>
      </c>
      <c r="G2" s="4">
        <f>G$5/(1-'Other Values'!$B$3)</f>
        <v>4.9785259588925983E-4</v>
      </c>
      <c r="H2" s="4">
        <f>H$5/(1-'Other Values'!$B$3)</f>
        <v>4.9785259588925983E-4</v>
      </c>
      <c r="I2" s="4">
        <f>I$5/(1-'Other Values'!$B$3)</f>
        <v>4.9785259588925983E-4</v>
      </c>
      <c r="J2" s="4">
        <f>J$5/(1-'Other Values'!$B$3)</f>
        <v>4.9785259588925983E-4</v>
      </c>
      <c r="K2" s="4">
        <f>K$5/(1-'Other Values'!$B$3)</f>
        <v>4.9785259588925983E-4</v>
      </c>
      <c r="L2" s="4">
        <f>L$5/(1-'Other Values'!$B$3)</f>
        <v>4.9785259588925983E-4</v>
      </c>
      <c r="M2" s="4">
        <f>M$5/(1-'Other Values'!$B$3)</f>
        <v>4.9785259588925983E-4</v>
      </c>
      <c r="N2" s="4">
        <f>N$5/(1-'Other Values'!$B$3)</f>
        <v>4.9785259588925983E-4</v>
      </c>
      <c r="O2" s="4">
        <f>O$5/(1-'Other Values'!$B$3)</f>
        <v>4.9785259588925983E-4</v>
      </c>
      <c r="P2" s="4">
        <f>P$5/(1-'Other Values'!$B$3)</f>
        <v>4.9785259588925983E-4</v>
      </c>
      <c r="Q2" s="4">
        <f>Q$5/(1-'Other Values'!$B$3)</f>
        <v>4.9785259588925983E-4</v>
      </c>
      <c r="R2" s="4">
        <f>R$5/(1-'Other Values'!$B$3)</f>
        <v>4.9785259588925983E-4</v>
      </c>
      <c r="S2" s="4">
        <f>S$5/(1-'Other Values'!$B$3)</f>
        <v>4.9785259588925983E-4</v>
      </c>
      <c r="T2" s="4">
        <f>T$5/(1-'Other Values'!$B$3)</f>
        <v>4.9785259588925983E-4</v>
      </c>
      <c r="U2" s="4">
        <f>U$5/(1-'Other Values'!$B$3)</f>
        <v>4.9785259588925983E-4</v>
      </c>
      <c r="V2" s="4">
        <f>V$5/(1-'Other Values'!$B$3)</f>
        <v>4.9785259588925983E-4</v>
      </c>
      <c r="W2" s="4">
        <f>W$5/(1-'Other Values'!$B$3)</f>
        <v>4.9785259588925983E-4</v>
      </c>
      <c r="X2" s="4">
        <f>X$5/(1-'Other Values'!$B$3)</f>
        <v>4.9785259588925983E-4</v>
      </c>
      <c r="Y2" s="4">
        <f>Y$5/(1-'Other Values'!$B$3)</f>
        <v>4.9785259588925983E-4</v>
      </c>
      <c r="Z2" s="4">
        <f>Z$5/(1-'Other Values'!$B$3)</f>
        <v>4.9785259588925983E-4</v>
      </c>
      <c r="AA2" s="4">
        <f>AA$5/(1-'Other Values'!$B$3)</f>
        <v>4.9785259588925983E-4</v>
      </c>
      <c r="AB2" s="4">
        <f>AB$5/(1-'Other Values'!$B$3)</f>
        <v>4.9785259588925983E-4</v>
      </c>
      <c r="AC2" s="4">
        <f>AC$5/(1-'Other Values'!$B$3)</f>
        <v>4.9785259588925983E-4</v>
      </c>
      <c r="AD2" s="4">
        <f>AD$5/(1-'Other Values'!$B$3)</f>
        <v>4.9785259588925983E-4</v>
      </c>
      <c r="AE2" s="4">
        <f>AE$5/(1-'Other Values'!$B$3)</f>
        <v>4.9785259588925983E-4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1.5492656753114542E-4</v>
      </c>
      <c r="C5" s="4">
        <f>Extrapolations!R7</f>
        <v>1.5492656753114542E-4</v>
      </c>
      <c r="D5" s="4">
        <f>Extrapolations!S7</f>
        <v>1.5492656753114542E-4</v>
      </c>
      <c r="E5" s="4">
        <f>Extrapolations!T7</f>
        <v>1.5492656753114542E-4</v>
      </c>
      <c r="F5" s="4">
        <f>Extrapolations!U7</f>
        <v>1.5492656753114542E-4</v>
      </c>
      <c r="G5" s="4">
        <f>Extrapolations!V7</f>
        <v>1.5492656753114542E-4</v>
      </c>
      <c r="H5" s="4">
        <f>Extrapolations!W7</f>
        <v>1.5492656753114542E-4</v>
      </c>
      <c r="I5" s="4">
        <f>Extrapolations!X7</f>
        <v>1.5492656753114542E-4</v>
      </c>
      <c r="J5" s="4">
        <f>Extrapolations!Y7</f>
        <v>1.5492656753114542E-4</v>
      </c>
      <c r="K5" s="4">
        <f>Extrapolations!Z7</f>
        <v>1.5492656753114542E-4</v>
      </c>
      <c r="L5" s="4">
        <f>Extrapolations!AA7</f>
        <v>1.5492656753114542E-4</v>
      </c>
      <c r="M5" s="4">
        <f>Extrapolations!AB7</f>
        <v>1.5492656753114542E-4</v>
      </c>
      <c r="N5" s="4">
        <f>Extrapolations!AC7</f>
        <v>1.5492656753114542E-4</v>
      </c>
      <c r="O5" s="4">
        <f>Extrapolations!AD7</f>
        <v>1.5492656753114542E-4</v>
      </c>
      <c r="P5" s="4">
        <f>Extrapolations!AE7</f>
        <v>1.5492656753114542E-4</v>
      </c>
      <c r="Q5" s="4">
        <f>Extrapolations!AF7</f>
        <v>1.5492656753114542E-4</v>
      </c>
      <c r="R5" s="4">
        <f>Extrapolations!AG7</f>
        <v>1.5492656753114542E-4</v>
      </c>
      <c r="S5" s="4">
        <f>Extrapolations!AH7</f>
        <v>1.5492656753114542E-4</v>
      </c>
      <c r="T5" s="4">
        <f>Extrapolations!AI7</f>
        <v>1.5492656753114542E-4</v>
      </c>
      <c r="U5" s="4">
        <f>Extrapolations!AJ7</f>
        <v>1.5492656753114542E-4</v>
      </c>
      <c r="V5" s="4">
        <f>Extrapolations!AK7</f>
        <v>1.5492656753114542E-4</v>
      </c>
      <c r="W5" s="4">
        <f>Extrapolations!AL7</f>
        <v>1.5492656753114542E-4</v>
      </c>
      <c r="X5" s="4">
        <f>Extrapolations!AM7</f>
        <v>1.5492656753114542E-4</v>
      </c>
      <c r="Y5" s="4">
        <f>Extrapolations!AN7</f>
        <v>1.5492656753114542E-4</v>
      </c>
      <c r="Z5" s="4">
        <f>Extrapolations!AO7</f>
        <v>1.5492656753114542E-4</v>
      </c>
      <c r="AA5" s="4">
        <f>Extrapolations!AP7</f>
        <v>1.5492656753114542E-4</v>
      </c>
      <c r="AB5" s="4">
        <f>Extrapolations!AQ7</f>
        <v>1.5492656753114542E-4</v>
      </c>
      <c r="AC5" s="4">
        <f>Extrapolations!AR7</f>
        <v>1.5492656753114542E-4</v>
      </c>
      <c r="AD5" s="4">
        <f>Extrapolations!AS7</f>
        <v>1.5492656753114542E-4</v>
      </c>
      <c r="AE5" s="4">
        <f>Extrapolations!AT7</f>
        <v>1.5492656753114542E-4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4.6477970259343619E-4</v>
      </c>
      <c r="C8" s="4">
        <f>C$5*Calculations!$B$27</f>
        <v>4.6477970259343619E-4</v>
      </c>
      <c r="D8" s="4">
        <f>D$5*Calculations!$B$27</f>
        <v>4.6477970259343619E-4</v>
      </c>
      <c r="E8" s="4">
        <f>E$5*Calculations!$B$27</f>
        <v>4.6477970259343619E-4</v>
      </c>
      <c r="F8" s="4">
        <f>F$5*Calculations!$B$27</f>
        <v>4.6477970259343619E-4</v>
      </c>
      <c r="G8" s="4">
        <f>G$5*Calculations!$B$27</f>
        <v>4.6477970259343619E-4</v>
      </c>
      <c r="H8" s="4">
        <f>H$5*Calculations!$B$27</f>
        <v>4.6477970259343619E-4</v>
      </c>
      <c r="I8" s="4">
        <f>I$5*Calculations!$B$27</f>
        <v>4.6477970259343619E-4</v>
      </c>
      <c r="J8" s="4">
        <f>J$5*Calculations!$B$27</f>
        <v>4.6477970259343619E-4</v>
      </c>
      <c r="K8" s="4">
        <f>K$5*Calculations!$B$27</f>
        <v>4.6477970259343619E-4</v>
      </c>
      <c r="L8" s="4">
        <f>L$5*Calculations!$B$27</f>
        <v>4.6477970259343619E-4</v>
      </c>
      <c r="M8" s="4">
        <f>M$5*Calculations!$B$27</f>
        <v>4.6477970259343619E-4</v>
      </c>
      <c r="N8" s="4">
        <f>N$5*Calculations!$B$27</f>
        <v>4.6477970259343619E-4</v>
      </c>
      <c r="O8" s="4">
        <f>O$5*Calculations!$B$27</f>
        <v>4.6477970259343619E-4</v>
      </c>
      <c r="P8" s="4">
        <f>P$5*Calculations!$B$27</f>
        <v>4.6477970259343619E-4</v>
      </c>
      <c r="Q8" s="4">
        <f>Q$5*Calculations!$B$27</f>
        <v>4.6477970259343619E-4</v>
      </c>
      <c r="R8" s="4">
        <f>R$5*Calculations!$B$27</f>
        <v>4.6477970259343619E-4</v>
      </c>
      <c r="S8" s="4">
        <f>S$5*Calculations!$B$27</f>
        <v>4.6477970259343619E-4</v>
      </c>
      <c r="T8" s="4">
        <f>T$5*Calculations!$B$27</f>
        <v>4.6477970259343619E-4</v>
      </c>
      <c r="U8" s="4">
        <f>U$5*Calculations!$B$27</f>
        <v>4.6477970259343619E-4</v>
      </c>
      <c r="V8" s="4">
        <f>V$5*Calculations!$B$27</f>
        <v>4.6477970259343619E-4</v>
      </c>
      <c r="W8" s="4">
        <f>W$5*Calculations!$B$27</f>
        <v>4.6477970259343619E-4</v>
      </c>
      <c r="X8" s="4">
        <f>X$5*Calculations!$B$27</f>
        <v>4.6477970259343619E-4</v>
      </c>
      <c r="Y8" s="4">
        <f>Y$5*Calculations!$B$27</f>
        <v>4.6477970259343619E-4</v>
      </c>
      <c r="Z8" s="4">
        <f>Z$5*Calculations!$B$27</f>
        <v>4.6477970259343619E-4</v>
      </c>
      <c r="AA8" s="4">
        <f>AA$5*Calculations!$B$27</f>
        <v>4.6477970259343619E-4</v>
      </c>
      <c r="AB8" s="4">
        <f>AB$5*Calculations!$B$27</f>
        <v>4.6477970259343619E-4</v>
      </c>
      <c r="AC8" s="4">
        <f>AC$5*Calculations!$B$27</f>
        <v>4.6477970259343619E-4</v>
      </c>
      <c r="AD8" s="4">
        <f>AD$5*Calculations!$B$27</f>
        <v>4.6477970259343619E-4</v>
      </c>
      <c r="AE8" s="4">
        <f>AE$5*Calculations!$B$27</f>
        <v>4.6477970259343619E-4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5"/>
  <cols>
    <col min="1" max="1" width="31.140625" customWidth="1"/>
    <col min="2" max="2" width="10.42578125" customWidth="1"/>
    <col min="3" max="3" width="10.7109375" customWidth="1"/>
  </cols>
  <sheetData>
    <row r="1" spans="1:32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7.5686214263268839E-4</v>
      </c>
      <c r="C2" s="4">
        <f>Extrapolations!H9</f>
        <v>7.5686214263268839E-4</v>
      </c>
      <c r="D2" s="4">
        <f>Extrapolations!I9</f>
        <v>7.5686214263268839E-4</v>
      </c>
      <c r="E2" s="4">
        <f>Extrapolations!J9</f>
        <v>7.5686214263268839E-4</v>
      </c>
      <c r="F2" s="4">
        <f>Extrapolations!K9</f>
        <v>7.5686214263268839E-4</v>
      </c>
      <c r="G2" s="4">
        <f>Extrapolations!L9</f>
        <v>7.5686214263268839E-4</v>
      </c>
      <c r="H2" s="4">
        <f>Extrapolations!M9</f>
        <v>7.5686214263268839E-4</v>
      </c>
      <c r="I2" s="4">
        <f>Extrapolations!N9</f>
        <v>7.5686214263268839E-4</v>
      </c>
      <c r="J2" s="4">
        <f>Extrapolations!O9</f>
        <v>7.5686214263268839E-4</v>
      </c>
      <c r="K2" s="4">
        <f>Extrapolations!P9</f>
        <v>7.5686214263268839E-4</v>
      </c>
      <c r="L2" s="4">
        <f>Extrapolations!Q9</f>
        <v>7.5686214263268839E-4</v>
      </c>
      <c r="M2" s="4">
        <f>Extrapolations!R9</f>
        <v>7.5686214263268839E-4</v>
      </c>
      <c r="N2" s="4">
        <f>Extrapolations!S9</f>
        <v>7.5686214263268839E-4</v>
      </c>
      <c r="O2" s="4">
        <f>Extrapolations!T9</f>
        <v>7.5686214263268839E-4</v>
      </c>
      <c r="P2" s="4">
        <f>Extrapolations!U9</f>
        <v>7.5686214263268839E-4</v>
      </c>
      <c r="Q2" s="4">
        <f>Extrapolations!V9</f>
        <v>7.5686214263268839E-4</v>
      </c>
      <c r="R2" s="4">
        <f>Extrapolations!W9</f>
        <v>7.5686214263268839E-4</v>
      </c>
      <c r="S2" s="4">
        <f>Extrapolations!X9</f>
        <v>7.5686214263268839E-4</v>
      </c>
      <c r="T2" s="4">
        <f>Extrapolations!Y9</f>
        <v>7.5686214263268839E-4</v>
      </c>
      <c r="U2" s="4">
        <f>Extrapolations!Z9</f>
        <v>7.5686214263268839E-4</v>
      </c>
      <c r="V2" s="4">
        <f>Extrapolations!AA9</f>
        <v>7.5686214263268839E-4</v>
      </c>
      <c r="W2" s="4">
        <f>Extrapolations!AB9</f>
        <v>7.5686214263268839E-4</v>
      </c>
      <c r="X2" s="4">
        <f>Extrapolations!AC9</f>
        <v>7.5686214263268839E-4</v>
      </c>
      <c r="Y2" s="4">
        <f>Extrapolations!AD9</f>
        <v>7.5686214263268839E-4</v>
      </c>
      <c r="Z2" s="4">
        <f>Extrapolations!AE9</f>
        <v>7.5686214263268839E-4</v>
      </c>
      <c r="AA2" s="4">
        <f>Extrapolations!AF9</f>
        <v>7.5686214263268839E-4</v>
      </c>
      <c r="AB2" s="4">
        <f>Extrapolations!AG9</f>
        <v>7.5686214263268839E-4</v>
      </c>
      <c r="AC2" s="4">
        <f>Extrapolations!AH9</f>
        <v>7.5686214263268839E-4</v>
      </c>
      <c r="AD2" s="4">
        <f>Extrapolations!AI9</f>
        <v>7.5686214263268839E-4</v>
      </c>
      <c r="AE2" s="4">
        <f>Extrapolations!AJ9</f>
        <v>7.5686214263268839E-4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24">
        <f>Extrapolations!G8</f>
        <v>7.1745362435245036E-5</v>
      </c>
      <c r="C5" s="24">
        <f>Extrapolations!H8</f>
        <v>7.1745362435245036E-5</v>
      </c>
      <c r="D5" s="24">
        <f>Extrapolations!I8</f>
        <v>7.1745362435245036E-5</v>
      </c>
      <c r="E5" s="24">
        <f>Extrapolations!J8</f>
        <v>7.1745362435245036E-5</v>
      </c>
      <c r="F5" s="24">
        <f>Extrapolations!K8</f>
        <v>7.1745362435245036E-5</v>
      </c>
      <c r="G5" s="24">
        <f>Extrapolations!L8</f>
        <v>7.1745362435245036E-5</v>
      </c>
      <c r="H5" s="24">
        <f>Extrapolations!M8</f>
        <v>7.1745362435245036E-5</v>
      </c>
      <c r="I5" s="24">
        <f>Extrapolations!N8</f>
        <v>7.1745362435245036E-5</v>
      </c>
      <c r="J5" s="24">
        <f>Extrapolations!O8</f>
        <v>7.1745362435245036E-5</v>
      </c>
      <c r="K5" s="24">
        <f>Extrapolations!P8</f>
        <v>7.1745362435245036E-5</v>
      </c>
      <c r="L5" s="24">
        <f>Extrapolations!Q8</f>
        <v>7.1745362435245036E-5</v>
      </c>
      <c r="M5" s="24">
        <f>Extrapolations!R8</f>
        <v>7.1745362435245036E-5</v>
      </c>
      <c r="N5" s="24">
        <f>Extrapolations!S8</f>
        <v>7.1745362435245036E-5</v>
      </c>
      <c r="O5" s="24">
        <f>Extrapolations!T8</f>
        <v>7.1745362435245036E-5</v>
      </c>
      <c r="P5" s="24">
        <f>Extrapolations!U8</f>
        <v>7.1745362435245036E-5</v>
      </c>
      <c r="Q5" s="24">
        <f>Extrapolations!V8</f>
        <v>7.1745362435245036E-5</v>
      </c>
      <c r="R5" s="24">
        <f>Extrapolations!W8</f>
        <v>7.1745362435245036E-5</v>
      </c>
      <c r="S5" s="24">
        <f>Extrapolations!X8</f>
        <v>7.1745362435245036E-5</v>
      </c>
      <c r="T5" s="24">
        <f>Extrapolations!Y8</f>
        <v>7.1745362435245036E-5</v>
      </c>
      <c r="U5" s="24">
        <f>Extrapolations!Z8</f>
        <v>7.1745362435245036E-5</v>
      </c>
      <c r="V5" s="24">
        <f>Extrapolations!AA8</f>
        <v>7.1745362435245036E-5</v>
      </c>
      <c r="W5" s="24">
        <f>Extrapolations!AB8</f>
        <v>7.1745362435245036E-5</v>
      </c>
      <c r="X5" s="24">
        <f>Extrapolations!AC8</f>
        <v>7.1745362435245036E-5</v>
      </c>
      <c r="Y5" s="24">
        <f>Extrapolations!AD8</f>
        <v>7.1745362435245036E-5</v>
      </c>
      <c r="Z5" s="24">
        <f>Extrapolations!AE8</f>
        <v>7.1745362435245036E-5</v>
      </c>
      <c r="AA5" s="24">
        <f>Extrapolations!AF8</f>
        <v>7.1745362435245036E-5</v>
      </c>
      <c r="AB5" s="24">
        <f>Extrapolations!AG8</f>
        <v>7.1745362435245036E-5</v>
      </c>
      <c r="AC5" s="24">
        <f>Extrapolations!AH8</f>
        <v>7.1745362435245036E-5</v>
      </c>
      <c r="AD5" s="24">
        <f>Extrapolations!AI8</f>
        <v>7.1745362435245036E-5</v>
      </c>
      <c r="AE5" s="24">
        <f>Extrapolations!AJ8</f>
        <v>7.1745362435245036E-5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2.1523608730573507E-4</v>
      </c>
      <c r="C8" s="4">
        <f>C$5*Calculations!$B$27</f>
        <v>2.1523608730573507E-4</v>
      </c>
      <c r="D8" s="4">
        <f>D$5*Calculations!$B$27</f>
        <v>2.1523608730573507E-4</v>
      </c>
      <c r="E8" s="4">
        <f>E$5*Calculations!$B$27</f>
        <v>2.1523608730573507E-4</v>
      </c>
      <c r="F8" s="4">
        <f>F$5*Calculations!$B$27</f>
        <v>2.1523608730573507E-4</v>
      </c>
      <c r="G8" s="4">
        <f>G$5*Calculations!$B$27</f>
        <v>2.1523608730573507E-4</v>
      </c>
      <c r="H8" s="4">
        <f>H$5*Calculations!$B$27</f>
        <v>2.1523608730573507E-4</v>
      </c>
      <c r="I8" s="4">
        <f>I$5*Calculations!$B$27</f>
        <v>2.1523608730573507E-4</v>
      </c>
      <c r="J8" s="4">
        <f>J$5*Calculations!$B$27</f>
        <v>2.1523608730573507E-4</v>
      </c>
      <c r="K8" s="4">
        <f>K$5*Calculations!$B$27</f>
        <v>2.1523608730573507E-4</v>
      </c>
      <c r="L8" s="4">
        <f>L$5*Calculations!$B$27</f>
        <v>2.1523608730573507E-4</v>
      </c>
      <c r="M8" s="4">
        <f>M$5*Calculations!$B$27</f>
        <v>2.1523608730573507E-4</v>
      </c>
      <c r="N8" s="4">
        <f>N$5*Calculations!$B$27</f>
        <v>2.1523608730573507E-4</v>
      </c>
      <c r="O8" s="4">
        <f>O$5*Calculations!$B$27</f>
        <v>2.1523608730573507E-4</v>
      </c>
      <c r="P8" s="4">
        <f>P$5*Calculations!$B$27</f>
        <v>2.1523608730573507E-4</v>
      </c>
      <c r="Q8" s="4">
        <f>Q$5*Calculations!$B$27</f>
        <v>2.1523608730573507E-4</v>
      </c>
      <c r="R8" s="4">
        <f>R$5*Calculations!$B$27</f>
        <v>2.1523608730573507E-4</v>
      </c>
      <c r="S8" s="4">
        <f>S$5*Calculations!$B$27</f>
        <v>2.1523608730573507E-4</v>
      </c>
      <c r="T8" s="4">
        <f>T$5*Calculations!$B$27</f>
        <v>2.1523608730573507E-4</v>
      </c>
      <c r="U8" s="4">
        <f>U$5*Calculations!$B$27</f>
        <v>2.1523608730573507E-4</v>
      </c>
      <c r="V8" s="4">
        <f>V$5*Calculations!$B$27</f>
        <v>2.1523608730573507E-4</v>
      </c>
      <c r="W8" s="4">
        <f>W$5*Calculations!$B$27</f>
        <v>2.1523608730573507E-4</v>
      </c>
      <c r="X8" s="4">
        <f>X$5*Calculations!$B$27</f>
        <v>2.1523608730573507E-4</v>
      </c>
      <c r="Y8" s="4">
        <f>Y$5*Calculations!$B$27</f>
        <v>2.1523608730573507E-4</v>
      </c>
      <c r="Z8" s="4">
        <f>Z$5*Calculations!$B$27</f>
        <v>2.1523608730573507E-4</v>
      </c>
      <c r="AA8" s="4">
        <f>AA$5*Calculations!$B$27</f>
        <v>2.1523608730573507E-4</v>
      </c>
      <c r="AB8" s="4">
        <f>AB$5*Calculations!$B$27</f>
        <v>2.1523608730573507E-4</v>
      </c>
      <c r="AC8" s="4">
        <f>AC$5*Calculations!$B$27</f>
        <v>2.1523608730573507E-4</v>
      </c>
      <c r="AD8" s="4">
        <f>AD$5*Calculations!$B$27</f>
        <v>2.1523608730573507E-4</v>
      </c>
      <c r="AE8" s="4">
        <f>AE$5*Calculations!$B$27</f>
        <v>2.1523608730573507E-4</v>
      </c>
    </row>
    <row r="13" spans="1:32"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1.0410899059976948E-2</v>
      </c>
      <c r="C2" s="4">
        <f>C$5/(1-'Other Values'!$B$3)</f>
        <v>1.0422491922818118E-2</v>
      </c>
      <c r="D2" s="4">
        <f>D$5/(1-'Other Values'!$B$3)</f>
        <v>1.0434084785659291E-2</v>
      </c>
      <c r="E2" s="4">
        <f>E$5/(1-'Other Values'!$B$3)</f>
        <v>1.0445677648500462E-2</v>
      </c>
      <c r="F2" s="4">
        <f>F$5/(1-'Other Values'!$B$3)</f>
        <v>1.0457270511341632E-2</v>
      </c>
      <c r="G2" s="4">
        <f>G$5/(1-'Other Values'!$B$3)</f>
        <v>1.0468863374182803E-2</v>
      </c>
      <c r="H2" s="4">
        <f>H$5/(1-'Other Values'!$B$3)</f>
        <v>1.0480456237023972E-2</v>
      </c>
      <c r="I2" s="4">
        <f>I$5/(1-'Other Values'!$B$3)</f>
        <v>1.0492049099865144E-2</v>
      </c>
      <c r="J2" s="4">
        <f>J$5/(1-'Other Values'!$B$3)</f>
        <v>1.0503641962706317E-2</v>
      </c>
      <c r="K2" s="4">
        <f>K$5/(1-'Other Values'!$B$3)</f>
        <v>1.0515234825547486E-2</v>
      </c>
      <c r="L2" s="4">
        <f>L$5/(1-'Other Values'!$B$3)</f>
        <v>1.0526827688388658E-2</v>
      </c>
      <c r="M2" s="4">
        <f>M$5/(1-'Other Values'!$B$3)</f>
        <v>1.0538420551229829E-2</v>
      </c>
      <c r="N2" s="4">
        <f>N$5/(1-'Other Values'!$B$3)</f>
        <v>1.0550013414070998E-2</v>
      </c>
      <c r="O2" s="4">
        <f>O$5/(1-'Other Values'!$B$3)</f>
        <v>1.0561606276912171E-2</v>
      </c>
      <c r="P2" s="4">
        <f>P$5/(1-'Other Values'!$B$3)</f>
        <v>1.0573199139753343E-2</v>
      </c>
      <c r="Q2" s="4">
        <f>Q$5/(1-'Other Values'!$B$3)</f>
        <v>1.0584792002594512E-2</v>
      </c>
      <c r="R2" s="4">
        <f>R$5/(1-'Other Values'!$B$3)</f>
        <v>1.0596384865435684E-2</v>
      </c>
      <c r="S2" s="4">
        <f>S$5/(1-'Other Values'!$B$3)</f>
        <v>1.0607977728276853E-2</v>
      </c>
      <c r="T2" s="4">
        <f>T$5/(1-'Other Values'!$B$3)</f>
        <v>1.0619570591118024E-2</v>
      </c>
      <c r="U2" s="4">
        <f>U$5/(1-'Other Values'!$B$3)</f>
        <v>1.0631163453959197E-2</v>
      </c>
      <c r="V2" s="4">
        <f>V$5/(1-'Other Values'!$B$3)</f>
        <v>1.0642756316800365E-2</v>
      </c>
      <c r="W2" s="4">
        <f>W$5/(1-'Other Values'!$B$3)</f>
        <v>1.0654349179641538E-2</v>
      </c>
      <c r="X2" s="4">
        <f>X$5/(1-'Other Values'!$B$3)</f>
        <v>1.0665942042482709E-2</v>
      </c>
      <c r="Y2" s="4">
        <f>Y$5/(1-'Other Values'!$B$3)</f>
        <v>1.0677534905323879E-2</v>
      </c>
      <c r="Z2" s="4">
        <f>Z$5/(1-'Other Values'!$B$3)</f>
        <v>1.068912776816505E-2</v>
      </c>
      <c r="AA2" s="4">
        <f>AA$5/(1-'Other Values'!$B$3)</f>
        <v>1.070072063100622E-2</v>
      </c>
      <c r="AB2" s="4">
        <f>AB$5/(1-'Other Values'!$B$3)</f>
        <v>1.0712313493847393E-2</v>
      </c>
      <c r="AC2" s="4">
        <f>AC$5/(1-'Other Values'!$B$3)</f>
        <v>1.0723906356688564E-2</v>
      </c>
      <c r="AD2" s="4">
        <f>AD$5/(1-'Other Values'!$B$3)</f>
        <v>1.0735499219529734E-2</v>
      </c>
      <c r="AE2" s="4">
        <f>AE$5/(1-'Other Values'!$B$3)</f>
        <v>1.0747092082370905E-2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3.2397638770858776E-3</v>
      </c>
      <c r="C5" s="4">
        <f>Extrapolations!H10</f>
        <v>3.2433714558404558E-3</v>
      </c>
      <c r="D5" s="4">
        <f>Extrapolations!I10</f>
        <v>3.2469790345950348E-3</v>
      </c>
      <c r="E5" s="4">
        <f>Extrapolations!J10</f>
        <v>3.2505866133496139E-3</v>
      </c>
      <c r="F5" s="4">
        <f>Extrapolations!K10</f>
        <v>3.2541941921041921E-3</v>
      </c>
      <c r="G5" s="4">
        <f>Extrapolations!L10</f>
        <v>3.2578017708587712E-3</v>
      </c>
      <c r="H5" s="4">
        <f>Extrapolations!M10</f>
        <v>3.2614093496133494E-3</v>
      </c>
      <c r="I5" s="4">
        <f>Extrapolations!N10</f>
        <v>3.2650169283679285E-3</v>
      </c>
      <c r="J5" s="4">
        <f>Extrapolations!O10</f>
        <v>3.2686245071225075E-3</v>
      </c>
      <c r="K5" s="4">
        <f>Extrapolations!P10</f>
        <v>3.2722320858770857E-3</v>
      </c>
      <c r="L5" s="4">
        <f>Extrapolations!Q10</f>
        <v>3.2758396646316648E-3</v>
      </c>
      <c r="M5" s="4">
        <f>Extrapolations!R10</f>
        <v>3.2794472433862439E-3</v>
      </c>
      <c r="N5" s="4">
        <f>Extrapolations!S10</f>
        <v>3.2830548221408221E-3</v>
      </c>
      <c r="O5" s="4">
        <f>Extrapolations!T10</f>
        <v>3.2866624008954012E-3</v>
      </c>
      <c r="P5" s="4">
        <f>Extrapolations!U10</f>
        <v>3.2902699796499802E-3</v>
      </c>
      <c r="Q5" s="4">
        <f>Extrapolations!V10</f>
        <v>3.2938775584045584E-3</v>
      </c>
      <c r="R5" s="4">
        <f>Extrapolations!W10</f>
        <v>3.2974851371591375E-3</v>
      </c>
      <c r="S5" s="4">
        <f>Extrapolations!X10</f>
        <v>3.3010927159137157E-3</v>
      </c>
      <c r="T5" s="4">
        <f>Extrapolations!Y10</f>
        <v>3.3047002946682948E-3</v>
      </c>
      <c r="U5" s="4">
        <f>Extrapolations!Z10</f>
        <v>3.3083078734228739E-3</v>
      </c>
      <c r="V5" s="4">
        <f>Extrapolations!AA10</f>
        <v>3.3119154521774521E-3</v>
      </c>
      <c r="W5" s="4">
        <f>Extrapolations!AB10</f>
        <v>3.3155230309320311E-3</v>
      </c>
      <c r="X5" s="4">
        <f>Extrapolations!AC10</f>
        <v>3.3191306096866102E-3</v>
      </c>
      <c r="Y5" s="4">
        <f>Extrapolations!AD10</f>
        <v>3.3227381884411884E-3</v>
      </c>
      <c r="Z5" s="4">
        <f>Extrapolations!AE10</f>
        <v>3.3263457671957675E-3</v>
      </c>
      <c r="AA5" s="4">
        <f>Extrapolations!AF10</f>
        <v>3.3299533459503457E-3</v>
      </c>
      <c r="AB5" s="4">
        <f>Extrapolations!AG10</f>
        <v>3.3335609247049248E-3</v>
      </c>
      <c r="AC5" s="4">
        <f>Extrapolations!AH10</f>
        <v>3.3371685034595039E-3</v>
      </c>
      <c r="AD5" s="4">
        <f>Extrapolations!AI10</f>
        <v>3.3407760822140821E-3</v>
      </c>
      <c r="AE5" s="4">
        <f>Extrapolations!AJ10</f>
        <v>3.3443836609686611E-3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9.7192916312576309E-3</v>
      </c>
      <c r="C8" s="4">
        <f>C$5*Calculations!$B$27</f>
        <v>9.7301143675213655E-3</v>
      </c>
      <c r="D8" s="4">
        <f>D$5*Calculations!$B$27</f>
        <v>9.7409371037851036E-3</v>
      </c>
      <c r="E8" s="4">
        <f>E$5*Calculations!$B$27</f>
        <v>9.75175984004884E-3</v>
      </c>
      <c r="F8" s="4">
        <f>F$5*Calculations!$B$27</f>
        <v>9.7625825763125746E-3</v>
      </c>
      <c r="G8" s="4">
        <f>G$5*Calculations!$B$27</f>
        <v>9.7734053125763127E-3</v>
      </c>
      <c r="H8" s="4">
        <f>H$5*Calculations!$B$27</f>
        <v>9.7842280488400473E-3</v>
      </c>
      <c r="I8" s="4">
        <f>I$5*Calculations!$B$27</f>
        <v>9.7950507851037837E-3</v>
      </c>
      <c r="J8" s="4">
        <f>J$5*Calculations!$B$27</f>
        <v>9.8058735213675217E-3</v>
      </c>
      <c r="K8" s="4">
        <f>K$5*Calculations!$B$27</f>
        <v>9.8166962576312564E-3</v>
      </c>
      <c r="L8" s="4">
        <f>L$5*Calculations!$B$27</f>
        <v>9.8275189938949927E-3</v>
      </c>
      <c r="M8" s="4">
        <f>M$5*Calculations!$B$27</f>
        <v>9.8383417301587308E-3</v>
      </c>
      <c r="N8" s="4">
        <f>N$5*Calculations!$B$27</f>
        <v>9.8491644664224654E-3</v>
      </c>
      <c r="O8" s="4">
        <f>O$5*Calculations!$B$27</f>
        <v>9.8599872026862018E-3</v>
      </c>
      <c r="P8" s="4">
        <f>P$5*Calculations!$B$27</f>
        <v>9.8708099389499399E-3</v>
      </c>
      <c r="Q8" s="4">
        <f>Q$5*Calculations!$B$27</f>
        <v>9.8816326752136745E-3</v>
      </c>
      <c r="R8" s="4">
        <f>R$5*Calculations!$B$27</f>
        <v>9.8924554114774108E-3</v>
      </c>
      <c r="S8" s="4">
        <f>S$5*Calculations!$B$27</f>
        <v>9.9032781477411454E-3</v>
      </c>
      <c r="T8" s="4">
        <f>T$5*Calculations!$B$27</f>
        <v>9.9141008840048835E-3</v>
      </c>
      <c r="U8" s="4">
        <f>U$5*Calculations!$B$27</f>
        <v>9.9249236202686199E-3</v>
      </c>
      <c r="V8" s="4">
        <f>V$5*Calculations!$B$27</f>
        <v>9.9357463565323545E-3</v>
      </c>
      <c r="W8" s="4">
        <f>W$5*Calculations!$B$27</f>
        <v>9.9465690927960926E-3</v>
      </c>
      <c r="X8" s="4">
        <f>X$5*Calculations!$B$27</f>
        <v>9.9573918290598289E-3</v>
      </c>
      <c r="Y8" s="4">
        <f>Y$5*Calculations!$B$27</f>
        <v>9.9682145653235636E-3</v>
      </c>
      <c r="Z8" s="4">
        <f>Z$5*Calculations!$B$27</f>
        <v>9.9790373015873016E-3</v>
      </c>
      <c r="AA8" s="4">
        <f>AA$5*Calculations!$B$27</f>
        <v>9.9898600378510363E-3</v>
      </c>
      <c r="AB8" s="4">
        <f>AB$5*Calculations!$B$27</f>
        <v>1.0000682774114773E-2</v>
      </c>
      <c r="AC8" s="4">
        <f>AC$5*Calculations!$B$27</f>
        <v>1.0011505510378511E-2</v>
      </c>
      <c r="AD8" s="4">
        <f>AD$5*Calculations!$B$27</f>
        <v>1.0022328246642245E-2</v>
      </c>
      <c r="AE8" s="4">
        <f>AE$5*Calculations!$B$27</f>
        <v>1.0033150982905982E-2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3.9768826588502888E-5</v>
      </c>
      <c r="C2" s="4">
        <f>B2</f>
        <v>3.9768826588502888E-5</v>
      </c>
      <c r="D2" s="4">
        <f t="shared" ref="D2:AE8" si="0">C2</f>
        <v>3.9768826588502888E-5</v>
      </c>
      <c r="E2" s="4">
        <f t="shared" si="0"/>
        <v>3.9768826588502888E-5</v>
      </c>
      <c r="F2" s="4">
        <f t="shared" si="0"/>
        <v>3.9768826588502888E-5</v>
      </c>
      <c r="G2" s="4">
        <f t="shared" si="0"/>
        <v>3.9768826588502888E-5</v>
      </c>
      <c r="H2" s="4">
        <f t="shared" si="0"/>
        <v>3.9768826588502888E-5</v>
      </c>
      <c r="I2" s="4">
        <f t="shared" si="0"/>
        <v>3.9768826588502888E-5</v>
      </c>
      <c r="J2" s="4">
        <f t="shared" si="0"/>
        <v>3.9768826588502888E-5</v>
      </c>
      <c r="K2" s="4">
        <f t="shared" si="0"/>
        <v>3.9768826588502888E-5</v>
      </c>
      <c r="L2" s="4">
        <f t="shared" si="0"/>
        <v>3.9768826588502888E-5</v>
      </c>
      <c r="M2" s="4">
        <f t="shared" si="0"/>
        <v>3.9768826588502888E-5</v>
      </c>
      <c r="N2" s="4">
        <f t="shared" si="0"/>
        <v>3.9768826588502888E-5</v>
      </c>
      <c r="O2" s="4">
        <f t="shared" si="0"/>
        <v>3.9768826588502888E-5</v>
      </c>
      <c r="P2" s="4">
        <f t="shared" si="0"/>
        <v>3.9768826588502888E-5</v>
      </c>
      <c r="Q2" s="4">
        <f t="shared" si="0"/>
        <v>3.9768826588502888E-5</v>
      </c>
      <c r="R2" s="4">
        <f t="shared" si="0"/>
        <v>3.9768826588502888E-5</v>
      </c>
      <c r="S2" s="4">
        <f t="shared" si="0"/>
        <v>3.9768826588502888E-5</v>
      </c>
      <c r="T2" s="4">
        <f t="shared" si="0"/>
        <v>3.9768826588502888E-5</v>
      </c>
      <c r="U2" s="4">
        <f t="shared" si="0"/>
        <v>3.9768826588502888E-5</v>
      </c>
      <c r="V2" s="4">
        <f t="shared" si="0"/>
        <v>3.9768826588502888E-5</v>
      </c>
      <c r="W2" s="4">
        <f t="shared" si="0"/>
        <v>3.9768826588502888E-5</v>
      </c>
      <c r="X2" s="4">
        <f t="shared" si="0"/>
        <v>3.9768826588502888E-5</v>
      </c>
      <c r="Y2" s="4">
        <f t="shared" si="0"/>
        <v>3.9768826588502888E-5</v>
      </c>
      <c r="Z2" s="4">
        <f t="shared" si="0"/>
        <v>3.9768826588502888E-5</v>
      </c>
      <c r="AA2" s="4">
        <f t="shared" si="0"/>
        <v>3.9768826588502888E-5</v>
      </c>
      <c r="AB2" s="4">
        <f t="shared" si="0"/>
        <v>3.9768826588502888E-5</v>
      </c>
      <c r="AC2" s="4">
        <f t="shared" si="0"/>
        <v>3.9768826588502888E-5</v>
      </c>
      <c r="AD2" s="4">
        <f t="shared" si="0"/>
        <v>3.9768826588502888E-5</v>
      </c>
      <c r="AE2" s="4">
        <f t="shared" si="0"/>
        <v>3.9768826588502888E-5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1.2375644276775558E-5</v>
      </c>
      <c r="C4" s="4">
        <f t="shared" si="1"/>
        <v>1.2375644276775558E-5</v>
      </c>
      <c r="D4" s="4">
        <f t="shared" si="0"/>
        <v>1.2375644276775558E-5</v>
      </c>
      <c r="E4" s="4">
        <f t="shared" si="0"/>
        <v>1.2375644276775558E-5</v>
      </c>
      <c r="F4" s="4">
        <f t="shared" si="0"/>
        <v>1.2375644276775558E-5</v>
      </c>
      <c r="G4" s="4">
        <f t="shared" si="0"/>
        <v>1.2375644276775558E-5</v>
      </c>
      <c r="H4" s="4">
        <f t="shared" si="0"/>
        <v>1.2375644276775558E-5</v>
      </c>
      <c r="I4" s="4">
        <f t="shared" si="0"/>
        <v>1.2375644276775558E-5</v>
      </c>
      <c r="J4" s="4">
        <f t="shared" si="0"/>
        <v>1.2375644276775558E-5</v>
      </c>
      <c r="K4" s="4">
        <f t="shared" si="0"/>
        <v>1.2375644276775558E-5</v>
      </c>
      <c r="L4" s="4">
        <f t="shared" si="0"/>
        <v>1.2375644276775558E-5</v>
      </c>
      <c r="M4" s="4">
        <f t="shared" si="0"/>
        <v>1.2375644276775558E-5</v>
      </c>
      <c r="N4" s="4">
        <f t="shared" si="0"/>
        <v>1.2375644276775558E-5</v>
      </c>
      <c r="O4" s="4">
        <f t="shared" si="0"/>
        <v>1.2375644276775558E-5</v>
      </c>
      <c r="P4" s="4">
        <f t="shared" si="0"/>
        <v>1.2375644276775558E-5</v>
      </c>
      <c r="Q4" s="4">
        <f t="shared" si="0"/>
        <v>1.2375644276775558E-5</v>
      </c>
      <c r="R4" s="4">
        <f t="shared" si="0"/>
        <v>1.2375644276775558E-5</v>
      </c>
      <c r="S4" s="4">
        <f t="shared" si="0"/>
        <v>1.2375644276775558E-5</v>
      </c>
      <c r="T4" s="4">
        <f t="shared" si="0"/>
        <v>1.2375644276775558E-5</v>
      </c>
      <c r="U4" s="4">
        <f t="shared" si="0"/>
        <v>1.2375644276775558E-5</v>
      </c>
      <c r="V4" s="4">
        <f t="shared" si="0"/>
        <v>1.2375644276775558E-5</v>
      </c>
      <c r="W4" s="4">
        <f t="shared" si="0"/>
        <v>1.2375644276775558E-5</v>
      </c>
      <c r="X4" s="4">
        <f t="shared" si="0"/>
        <v>1.2375644276775558E-5</v>
      </c>
      <c r="Y4" s="4">
        <f t="shared" si="0"/>
        <v>1.2375644276775558E-5</v>
      </c>
      <c r="Z4" s="4">
        <f t="shared" si="0"/>
        <v>1.2375644276775558E-5</v>
      </c>
      <c r="AA4" s="4">
        <f t="shared" si="0"/>
        <v>1.2375644276775558E-5</v>
      </c>
      <c r="AB4" s="4">
        <f t="shared" si="0"/>
        <v>1.2375644276775558E-5</v>
      </c>
      <c r="AC4" s="4">
        <f t="shared" si="0"/>
        <v>1.2375644276775558E-5</v>
      </c>
      <c r="AD4" s="4">
        <f t="shared" si="0"/>
        <v>1.2375644276775558E-5</v>
      </c>
      <c r="AE4" s="4">
        <f t="shared" si="0"/>
        <v>1.2375644276775558E-5</v>
      </c>
    </row>
    <row r="5" spans="1:34">
      <c r="A5" t="s">
        <v>5</v>
      </c>
      <c r="B5" s="4">
        <v>1.2375646625067684E-5</v>
      </c>
      <c r="C5" s="4">
        <f t="shared" si="1"/>
        <v>1.2375646625067684E-5</v>
      </c>
      <c r="D5" s="4">
        <f t="shared" si="0"/>
        <v>1.2375646625067684E-5</v>
      </c>
      <c r="E5" s="4">
        <f t="shared" si="0"/>
        <v>1.2375646625067684E-5</v>
      </c>
      <c r="F5" s="4">
        <f t="shared" si="0"/>
        <v>1.2375646625067684E-5</v>
      </c>
      <c r="G5" s="4">
        <f t="shared" si="0"/>
        <v>1.2375646625067684E-5</v>
      </c>
      <c r="H5" s="4">
        <f t="shared" si="0"/>
        <v>1.2375646625067684E-5</v>
      </c>
      <c r="I5" s="4">
        <f t="shared" si="0"/>
        <v>1.2375646625067684E-5</v>
      </c>
      <c r="J5" s="4">
        <f t="shared" si="0"/>
        <v>1.2375646625067684E-5</v>
      </c>
      <c r="K5" s="4">
        <f t="shared" si="0"/>
        <v>1.2375646625067684E-5</v>
      </c>
      <c r="L5" s="4">
        <f t="shared" si="0"/>
        <v>1.2375646625067684E-5</v>
      </c>
      <c r="M5" s="4">
        <f t="shared" si="0"/>
        <v>1.2375646625067684E-5</v>
      </c>
      <c r="N5" s="4">
        <f t="shared" si="0"/>
        <v>1.2375646625067684E-5</v>
      </c>
      <c r="O5" s="4">
        <f t="shared" si="0"/>
        <v>1.2375646625067684E-5</v>
      </c>
      <c r="P5" s="4">
        <f t="shared" si="0"/>
        <v>1.2375646625067684E-5</v>
      </c>
      <c r="Q5" s="4">
        <f t="shared" si="0"/>
        <v>1.2375646625067684E-5</v>
      </c>
      <c r="R5" s="4">
        <f t="shared" si="0"/>
        <v>1.2375646625067684E-5</v>
      </c>
      <c r="S5" s="4">
        <f t="shared" si="0"/>
        <v>1.2375646625067684E-5</v>
      </c>
      <c r="T5" s="4">
        <f t="shared" si="0"/>
        <v>1.2375646625067684E-5</v>
      </c>
      <c r="U5" s="4">
        <f t="shared" si="0"/>
        <v>1.2375646625067684E-5</v>
      </c>
      <c r="V5" s="4">
        <f t="shared" si="0"/>
        <v>1.2375646625067684E-5</v>
      </c>
      <c r="W5" s="4">
        <f t="shared" si="0"/>
        <v>1.2375646625067684E-5</v>
      </c>
      <c r="X5" s="4">
        <f t="shared" si="0"/>
        <v>1.2375646625067684E-5</v>
      </c>
      <c r="Y5" s="4">
        <f t="shared" si="0"/>
        <v>1.2375646625067684E-5</v>
      </c>
      <c r="Z5" s="4">
        <f t="shared" si="0"/>
        <v>1.2375646625067684E-5</v>
      </c>
      <c r="AA5" s="4">
        <f t="shared" si="0"/>
        <v>1.2375646625067684E-5</v>
      </c>
      <c r="AB5" s="4">
        <f t="shared" si="0"/>
        <v>1.2375646625067684E-5</v>
      </c>
      <c r="AC5" s="4">
        <f t="shared" si="0"/>
        <v>1.2375646625067684E-5</v>
      </c>
      <c r="AD5" s="4">
        <f t="shared" si="0"/>
        <v>1.2375646625067684E-5</v>
      </c>
      <c r="AE5" s="4">
        <f t="shared" si="0"/>
        <v>1.2375646625067684E-5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3.7126939875203046E-5</v>
      </c>
      <c r="C8" s="4">
        <f t="shared" si="1"/>
        <v>3.7126939875203046E-5</v>
      </c>
      <c r="D8" s="4">
        <f t="shared" si="0"/>
        <v>3.7126939875203046E-5</v>
      </c>
      <c r="E8" s="4">
        <f t="shared" si="0"/>
        <v>3.7126939875203046E-5</v>
      </c>
      <c r="F8" s="4">
        <f t="shared" si="0"/>
        <v>3.7126939875203046E-5</v>
      </c>
      <c r="G8" s="4">
        <f t="shared" si="0"/>
        <v>3.7126939875203046E-5</v>
      </c>
      <c r="H8" s="4">
        <f t="shared" si="0"/>
        <v>3.7126939875203046E-5</v>
      </c>
      <c r="I8" s="4">
        <f t="shared" si="0"/>
        <v>3.7126939875203046E-5</v>
      </c>
      <c r="J8" s="4">
        <f t="shared" si="0"/>
        <v>3.7126939875203046E-5</v>
      </c>
      <c r="K8" s="4">
        <f t="shared" si="0"/>
        <v>3.7126939875203046E-5</v>
      </c>
      <c r="L8" s="4">
        <f t="shared" si="0"/>
        <v>3.7126939875203046E-5</v>
      </c>
      <c r="M8" s="4">
        <f t="shared" si="0"/>
        <v>3.7126939875203046E-5</v>
      </c>
      <c r="N8" s="4">
        <f t="shared" si="0"/>
        <v>3.7126939875203046E-5</v>
      </c>
      <c r="O8" s="4">
        <f t="shared" si="0"/>
        <v>3.7126939875203046E-5</v>
      </c>
      <c r="P8" s="4">
        <f t="shared" si="0"/>
        <v>3.7126939875203046E-5</v>
      </c>
      <c r="Q8" s="4">
        <f t="shared" si="0"/>
        <v>3.7126939875203046E-5</v>
      </c>
      <c r="R8" s="4">
        <f t="shared" si="0"/>
        <v>3.7126939875203046E-5</v>
      </c>
      <c r="S8" s="4">
        <f t="shared" si="0"/>
        <v>3.7126939875203046E-5</v>
      </c>
      <c r="T8" s="4">
        <f t="shared" si="0"/>
        <v>3.7126939875203046E-5</v>
      </c>
      <c r="U8" s="4">
        <f t="shared" si="0"/>
        <v>3.7126939875203046E-5</v>
      </c>
      <c r="V8" s="4">
        <f t="shared" si="0"/>
        <v>3.7126939875203046E-5</v>
      </c>
      <c r="W8" s="4">
        <f t="shared" si="0"/>
        <v>3.7126939875203046E-5</v>
      </c>
      <c r="X8" s="4">
        <f t="shared" si="0"/>
        <v>3.7126939875203046E-5</v>
      </c>
      <c r="Y8" s="4">
        <f t="shared" si="0"/>
        <v>3.7126939875203046E-5</v>
      </c>
      <c r="Z8" s="4">
        <f t="shared" si="0"/>
        <v>3.7126939875203046E-5</v>
      </c>
      <c r="AA8" s="4">
        <f t="shared" si="0"/>
        <v>3.7126939875203046E-5</v>
      </c>
      <c r="AB8" s="4">
        <f t="shared" si="0"/>
        <v>3.7126939875203046E-5</v>
      </c>
      <c r="AC8" s="4">
        <f t="shared" si="0"/>
        <v>3.7126939875203046E-5</v>
      </c>
      <c r="AD8" s="4">
        <f t="shared" si="0"/>
        <v>3.7126939875203046E-5</v>
      </c>
      <c r="AE8" s="4">
        <f t="shared" si="0"/>
        <v>3.7126939875203046E-5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1.6746135894347786E-2</v>
      </c>
      <c r="C2" s="4">
        <f>C$5/(1-'Other Values'!$B$3)</f>
        <v>1.6746135894347786E-2</v>
      </c>
      <c r="D2" s="4">
        <f>D$5/(1-'Other Values'!$B$3)</f>
        <v>1.6746135894347786E-2</v>
      </c>
      <c r="E2" s="4">
        <f>E$5/(1-'Other Values'!$B$3)</f>
        <v>1.6746135894347786E-2</v>
      </c>
      <c r="F2" s="4">
        <f>F$5/(1-'Other Values'!$B$3)</f>
        <v>1.6746135894347786E-2</v>
      </c>
      <c r="G2" s="4">
        <f>G$5/(1-'Other Values'!$B$3)</f>
        <v>1.6746135894347786E-2</v>
      </c>
      <c r="H2" s="4">
        <f>H$5/(1-'Other Values'!$B$3)</f>
        <v>1.6746135894347786E-2</v>
      </c>
      <c r="I2" s="4">
        <f>I$5/(1-'Other Values'!$B$3)</f>
        <v>1.6746135894347786E-2</v>
      </c>
      <c r="J2" s="4">
        <f>J$5/(1-'Other Values'!$B$3)</f>
        <v>1.6746135894347786E-2</v>
      </c>
      <c r="K2" s="4">
        <f>K$5/(1-'Other Values'!$B$3)</f>
        <v>1.6746135894347786E-2</v>
      </c>
      <c r="L2" s="4">
        <f>L$5/(1-'Other Values'!$B$3)</f>
        <v>1.6746135894347786E-2</v>
      </c>
      <c r="M2" s="4">
        <f>M$5/(1-'Other Values'!$B$3)</f>
        <v>1.6746135894347786E-2</v>
      </c>
      <c r="N2" s="4">
        <f>N$5/(1-'Other Values'!$B$3)</f>
        <v>1.6746135894347786E-2</v>
      </c>
      <c r="O2" s="4">
        <f>O$5/(1-'Other Values'!$B$3)</f>
        <v>1.6746135894347786E-2</v>
      </c>
      <c r="P2" s="4">
        <f>P$5/(1-'Other Values'!$B$3)</f>
        <v>1.6746135894347786E-2</v>
      </c>
      <c r="Q2" s="4">
        <f>Q$5/(1-'Other Values'!$B$3)</f>
        <v>1.6746135894347786E-2</v>
      </c>
      <c r="R2" s="4">
        <f>R$5/(1-'Other Values'!$B$3)</f>
        <v>1.6746135894347786E-2</v>
      </c>
      <c r="S2" s="4">
        <f>S$5/(1-'Other Values'!$B$3)</f>
        <v>1.6746135894347786E-2</v>
      </c>
      <c r="T2" s="4">
        <f>T$5/(1-'Other Values'!$B$3)</f>
        <v>1.6746135894347786E-2</v>
      </c>
      <c r="U2" s="4">
        <f>U$5/(1-'Other Values'!$B$3)</f>
        <v>1.6746135894347786E-2</v>
      </c>
      <c r="V2" s="4">
        <f>V$5/(1-'Other Values'!$B$3)</f>
        <v>1.6746135894347786E-2</v>
      </c>
      <c r="W2" s="4">
        <f>W$5/(1-'Other Values'!$B$3)</f>
        <v>1.6746135894347786E-2</v>
      </c>
      <c r="X2" s="4">
        <f>X$5/(1-'Other Values'!$B$3)</f>
        <v>1.6746135894347786E-2</v>
      </c>
      <c r="Y2" s="4">
        <f>Y$5/(1-'Other Values'!$B$3)</f>
        <v>1.6746135894347786E-2</v>
      </c>
      <c r="Z2" s="4">
        <f>Z$5/(1-'Other Values'!$B$3)</f>
        <v>1.6746135894347786E-2</v>
      </c>
      <c r="AA2" s="4">
        <f>AA$5/(1-'Other Values'!$B$3)</f>
        <v>1.6746135894347786E-2</v>
      </c>
      <c r="AB2" s="4">
        <f>AB$5/(1-'Other Values'!$B$3)</f>
        <v>1.6746135894347786E-2</v>
      </c>
      <c r="AC2" s="4">
        <f>AC$5/(1-'Other Values'!$B$3)</f>
        <v>1.6746135894347786E-2</v>
      </c>
      <c r="AD2" s="4">
        <f>AD$5/(1-'Other Values'!$B$3)</f>
        <v>1.6746135894347786E-2</v>
      </c>
      <c r="AE2" s="4">
        <f>AE$5/(1-'Other Values'!$B$3)</f>
        <v>1.6746135894347786E-2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5.2112239143541636E-3</v>
      </c>
      <c r="C5" s="4">
        <f>Extrapolations!I12</f>
        <v>5.2112239143541636E-3</v>
      </c>
      <c r="D5" s="4">
        <f>Extrapolations!J12</f>
        <v>5.2112239143541636E-3</v>
      </c>
      <c r="E5" s="4">
        <f>Extrapolations!K12</f>
        <v>5.2112239143541636E-3</v>
      </c>
      <c r="F5" s="4">
        <f>Extrapolations!L12</f>
        <v>5.2112239143541636E-3</v>
      </c>
      <c r="G5" s="4">
        <f>Extrapolations!M12</f>
        <v>5.2112239143541636E-3</v>
      </c>
      <c r="H5" s="4">
        <f>Extrapolations!N12</f>
        <v>5.2112239143541636E-3</v>
      </c>
      <c r="I5" s="4">
        <f>Extrapolations!O12</f>
        <v>5.2112239143541636E-3</v>
      </c>
      <c r="J5" s="4">
        <f>Extrapolations!P12</f>
        <v>5.2112239143541636E-3</v>
      </c>
      <c r="K5" s="4">
        <f>Extrapolations!Q12</f>
        <v>5.2112239143541636E-3</v>
      </c>
      <c r="L5" s="4">
        <f>Extrapolations!R12</f>
        <v>5.2112239143541636E-3</v>
      </c>
      <c r="M5" s="4">
        <f>Extrapolations!S12</f>
        <v>5.2112239143541636E-3</v>
      </c>
      <c r="N5" s="4">
        <f>Extrapolations!T12</f>
        <v>5.2112239143541636E-3</v>
      </c>
      <c r="O5" s="4">
        <f>Extrapolations!U12</f>
        <v>5.2112239143541636E-3</v>
      </c>
      <c r="P5" s="4">
        <f>Extrapolations!V12</f>
        <v>5.2112239143541636E-3</v>
      </c>
      <c r="Q5" s="4">
        <f>Extrapolations!W12</f>
        <v>5.2112239143541636E-3</v>
      </c>
      <c r="R5" s="4">
        <f>Extrapolations!X12</f>
        <v>5.2112239143541636E-3</v>
      </c>
      <c r="S5" s="4">
        <f>Extrapolations!Y12</f>
        <v>5.2112239143541636E-3</v>
      </c>
      <c r="T5" s="4">
        <f>Extrapolations!Z12</f>
        <v>5.2112239143541636E-3</v>
      </c>
      <c r="U5" s="4">
        <f>Extrapolations!AA12</f>
        <v>5.2112239143541636E-3</v>
      </c>
      <c r="V5" s="4">
        <f>Extrapolations!AB12</f>
        <v>5.2112239143541636E-3</v>
      </c>
      <c r="W5" s="4">
        <f>Extrapolations!AC12</f>
        <v>5.2112239143541636E-3</v>
      </c>
      <c r="X5" s="4">
        <f>Extrapolations!AD12</f>
        <v>5.2112239143541636E-3</v>
      </c>
      <c r="Y5" s="4">
        <f>Extrapolations!AE12</f>
        <v>5.2112239143541636E-3</v>
      </c>
      <c r="Z5" s="4">
        <f>Extrapolations!AF12</f>
        <v>5.2112239143541636E-3</v>
      </c>
      <c r="AA5" s="4">
        <f>Extrapolations!AG12</f>
        <v>5.2112239143541636E-3</v>
      </c>
      <c r="AB5" s="4">
        <f>Extrapolations!AH12</f>
        <v>5.2112239143541636E-3</v>
      </c>
      <c r="AC5" s="4">
        <f>Extrapolations!AI12</f>
        <v>5.2112239143541636E-3</v>
      </c>
      <c r="AD5" s="4">
        <f>Extrapolations!AJ12</f>
        <v>5.2112239143541636E-3</v>
      </c>
      <c r="AE5" s="4">
        <f>Extrapolations!AK12</f>
        <v>5.2112239143541636E-3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1.5633671743062488E-2</v>
      </c>
      <c r="C8" s="4">
        <f>C$5*Calculations!$B$27</f>
        <v>1.5633671743062488E-2</v>
      </c>
      <c r="D8" s="4">
        <f>D$5*Calculations!$B$27</f>
        <v>1.5633671743062488E-2</v>
      </c>
      <c r="E8" s="4">
        <f>E$5*Calculations!$B$27</f>
        <v>1.5633671743062488E-2</v>
      </c>
      <c r="F8" s="4">
        <f>F$5*Calculations!$B$27</f>
        <v>1.5633671743062488E-2</v>
      </c>
      <c r="G8" s="4">
        <f>G$5*Calculations!$B$27</f>
        <v>1.5633671743062488E-2</v>
      </c>
      <c r="H8" s="4">
        <f>H$5*Calculations!$B$27</f>
        <v>1.5633671743062488E-2</v>
      </c>
      <c r="I8" s="4">
        <f>I$5*Calculations!$B$27</f>
        <v>1.5633671743062488E-2</v>
      </c>
      <c r="J8" s="4">
        <f>J$5*Calculations!$B$27</f>
        <v>1.5633671743062488E-2</v>
      </c>
      <c r="K8" s="4">
        <f>K$5*Calculations!$B$27</f>
        <v>1.5633671743062488E-2</v>
      </c>
      <c r="L8" s="4">
        <f>L$5*Calculations!$B$27</f>
        <v>1.5633671743062488E-2</v>
      </c>
      <c r="M8" s="4">
        <f>M$5*Calculations!$B$27</f>
        <v>1.5633671743062488E-2</v>
      </c>
      <c r="N8" s="4">
        <f>N$5*Calculations!$B$27</f>
        <v>1.5633671743062488E-2</v>
      </c>
      <c r="O8" s="4">
        <f>O$5*Calculations!$B$27</f>
        <v>1.5633671743062488E-2</v>
      </c>
      <c r="P8" s="4">
        <f>P$5*Calculations!$B$27</f>
        <v>1.5633671743062488E-2</v>
      </c>
      <c r="Q8" s="4">
        <f>Q$5*Calculations!$B$27</f>
        <v>1.5633671743062488E-2</v>
      </c>
      <c r="R8" s="4">
        <f>R$5*Calculations!$B$27</f>
        <v>1.5633671743062488E-2</v>
      </c>
      <c r="S8" s="4">
        <f>S$5*Calculations!$B$27</f>
        <v>1.5633671743062488E-2</v>
      </c>
      <c r="T8" s="4">
        <f>T$5*Calculations!$B$27</f>
        <v>1.5633671743062488E-2</v>
      </c>
      <c r="U8" s="4">
        <f>U$5*Calculations!$B$27</f>
        <v>1.5633671743062488E-2</v>
      </c>
      <c r="V8" s="4">
        <f>V$5*Calculations!$B$27</f>
        <v>1.5633671743062488E-2</v>
      </c>
      <c r="W8" s="4">
        <f>W$5*Calculations!$B$27</f>
        <v>1.5633671743062488E-2</v>
      </c>
      <c r="X8" s="4">
        <f>X$5*Calculations!$B$27</f>
        <v>1.5633671743062488E-2</v>
      </c>
      <c r="Y8" s="4">
        <f>Y$5*Calculations!$B$27</f>
        <v>1.5633671743062488E-2</v>
      </c>
      <c r="Z8" s="4">
        <f>Z$5*Calculations!$B$27</f>
        <v>1.5633671743062488E-2</v>
      </c>
      <c r="AA8" s="4">
        <f>AA$5*Calculations!$B$27</f>
        <v>1.5633671743062488E-2</v>
      </c>
      <c r="AB8" s="4">
        <f>AB$5*Calculations!$B$27</f>
        <v>1.5633671743062488E-2</v>
      </c>
      <c r="AC8" s="4">
        <f>AC$5*Calculations!$B$27</f>
        <v>1.5633671743062488E-2</v>
      </c>
      <c r="AD8" s="4">
        <f>AD$5*Calculations!$B$27</f>
        <v>1.5633671743062488E-2</v>
      </c>
      <c r="AE8" s="4">
        <f>AE$5*Calculations!$B$27</f>
        <v>1.5633671743062488E-2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2.0727097350644572E-2</v>
      </c>
      <c r="C2" s="4">
        <f>B2</f>
        <v>2.0727097350644572E-2</v>
      </c>
      <c r="D2" s="4">
        <f t="shared" ref="D2:AE8" si="0">C2</f>
        <v>2.0727097350644572E-2</v>
      </c>
      <c r="E2" s="4">
        <f t="shared" si="0"/>
        <v>2.0727097350644572E-2</v>
      </c>
      <c r="F2" s="4">
        <f t="shared" si="0"/>
        <v>2.0727097350644572E-2</v>
      </c>
      <c r="G2" s="4">
        <f t="shared" si="0"/>
        <v>2.0727097350644572E-2</v>
      </c>
      <c r="H2" s="4">
        <f t="shared" si="0"/>
        <v>2.0727097350644572E-2</v>
      </c>
      <c r="I2" s="4">
        <f t="shared" si="0"/>
        <v>2.0727097350644572E-2</v>
      </c>
      <c r="J2" s="4">
        <f t="shared" si="0"/>
        <v>2.0727097350644572E-2</v>
      </c>
      <c r="K2" s="4">
        <f t="shared" si="0"/>
        <v>2.0727097350644572E-2</v>
      </c>
      <c r="L2" s="4">
        <f t="shared" si="0"/>
        <v>2.0727097350644572E-2</v>
      </c>
      <c r="M2" s="4">
        <f t="shared" si="0"/>
        <v>2.0727097350644572E-2</v>
      </c>
      <c r="N2" s="4">
        <f t="shared" si="0"/>
        <v>2.0727097350644572E-2</v>
      </c>
      <c r="O2" s="4">
        <f t="shared" si="0"/>
        <v>2.0727097350644572E-2</v>
      </c>
      <c r="P2" s="4">
        <f t="shared" si="0"/>
        <v>2.0727097350644572E-2</v>
      </c>
      <c r="Q2" s="4">
        <f t="shared" si="0"/>
        <v>2.0727097350644572E-2</v>
      </c>
      <c r="R2" s="4">
        <f t="shared" si="0"/>
        <v>2.0727097350644572E-2</v>
      </c>
      <c r="S2" s="4">
        <f t="shared" si="0"/>
        <v>2.0727097350644572E-2</v>
      </c>
      <c r="T2" s="4">
        <f t="shared" si="0"/>
        <v>2.0727097350644572E-2</v>
      </c>
      <c r="U2" s="4">
        <f t="shared" si="0"/>
        <v>2.0727097350644572E-2</v>
      </c>
      <c r="V2" s="4">
        <f t="shared" si="0"/>
        <v>2.0727097350644572E-2</v>
      </c>
      <c r="W2" s="4">
        <f t="shared" si="0"/>
        <v>2.0727097350644572E-2</v>
      </c>
      <c r="X2" s="4">
        <f t="shared" si="0"/>
        <v>2.0727097350644572E-2</v>
      </c>
      <c r="Y2" s="4">
        <f t="shared" si="0"/>
        <v>2.0727097350644572E-2</v>
      </c>
      <c r="Z2" s="4">
        <f t="shared" si="0"/>
        <v>2.0727097350644572E-2</v>
      </c>
      <c r="AA2" s="4">
        <f t="shared" si="0"/>
        <v>2.0727097350644572E-2</v>
      </c>
      <c r="AB2" s="4">
        <f t="shared" si="0"/>
        <v>2.0727097350644572E-2</v>
      </c>
      <c r="AC2" s="4">
        <f t="shared" si="0"/>
        <v>2.0727097350644572E-2</v>
      </c>
      <c r="AD2" s="4">
        <f t="shared" si="0"/>
        <v>2.0727097350644572E-2</v>
      </c>
      <c r="AE2" s="4">
        <f t="shared" si="0"/>
        <v>2.0727097350644572E-2</v>
      </c>
      <c r="AG2" s="4"/>
      <c r="AH2" s="4"/>
    </row>
    <row r="3" spans="1:34">
      <c r="A3" t="s">
        <v>3</v>
      </c>
      <c r="B3" s="4">
        <v>6.5093363580536684E-3</v>
      </c>
      <c r="C3" s="4">
        <f t="shared" ref="C3:C8" si="1">B3</f>
        <v>6.5093363580536684E-3</v>
      </c>
      <c r="D3" s="4">
        <f t="shared" ref="D3:Q3" si="2">C3</f>
        <v>6.5093363580536684E-3</v>
      </c>
      <c r="E3" s="4">
        <f t="shared" si="2"/>
        <v>6.5093363580536684E-3</v>
      </c>
      <c r="F3" s="4">
        <f t="shared" si="2"/>
        <v>6.5093363580536684E-3</v>
      </c>
      <c r="G3" s="4">
        <f t="shared" si="2"/>
        <v>6.5093363580536684E-3</v>
      </c>
      <c r="H3" s="4">
        <f t="shared" si="2"/>
        <v>6.5093363580536684E-3</v>
      </c>
      <c r="I3" s="4">
        <f t="shared" si="2"/>
        <v>6.5093363580536684E-3</v>
      </c>
      <c r="J3" s="4">
        <f t="shared" si="2"/>
        <v>6.5093363580536684E-3</v>
      </c>
      <c r="K3" s="4">
        <f t="shared" si="2"/>
        <v>6.5093363580536684E-3</v>
      </c>
      <c r="L3" s="4">
        <f t="shared" si="2"/>
        <v>6.5093363580536684E-3</v>
      </c>
      <c r="M3" s="4">
        <f t="shared" si="2"/>
        <v>6.5093363580536684E-3</v>
      </c>
      <c r="N3" s="4">
        <f t="shared" si="2"/>
        <v>6.5093363580536684E-3</v>
      </c>
      <c r="O3" s="4">
        <f t="shared" si="2"/>
        <v>6.5093363580536684E-3</v>
      </c>
      <c r="P3" s="4">
        <f t="shared" si="2"/>
        <v>6.5093363580536684E-3</v>
      </c>
      <c r="Q3" s="4">
        <f t="shared" si="2"/>
        <v>6.5093363580536684E-3</v>
      </c>
      <c r="R3" s="4">
        <f t="shared" si="0"/>
        <v>6.5093363580536684E-3</v>
      </c>
      <c r="S3" s="4">
        <f t="shared" si="0"/>
        <v>6.5093363580536684E-3</v>
      </c>
      <c r="T3" s="4">
        <f t="shared" si="0"/>
        <v>6.5093363580536684E-3</v>
      </c>
      <c r="U3" s="4">
        <f t="shared" si="0"/>
        <v>6.5093363580536684E-3</v>
      </c>
      <c r="V3" s="4">
        <f t="shared" si="0"/>
        <v>6.5093363580536684E-3</v>
      </c>
      <c r="W3" s="4">
        <f t="shared" si="0"/>
        <v>6.5093363580536684E-3</v>
      </c>
      <c r="X3" s="4">
        <f t="shared" si="0"/>
        <v>6.5093363580536684E-3</v>
      </c>
      <c r="Y3" s="4">
        <f t="shared" si="0"/>
        <v>6.5093363580536684E-3</v>
      </c>
      <c r="Z3" s="4">
        <f t="shared" si="0"/>
        <v>6.5093363580536684E-3</v>
      </c>
      <c r="AA3" s="4">
        <f t="shared" si="0"/>
        <v>6.5093363580536684E-3</v>
      </c>
      <c r="AB3" s="4">
        <f t="shared" si="0"/>
        <v>6.5093363580536684E-3</v>
      </c>
      <c r="AC3" s="4">
        <f t="shared" si="0"/>
        <v>6.5093363580536684E-3</v>
      </c>
      <c r="AD3" s="4">
        <f t="shared" si="0"/>
        <v>6.5093363580536684E-3</v>
      </c>
      <c r="AE3" s="4">
        <f t="shared" si="0"/>
        <v>6.5093363580536684E-3</v>
      </c>
      <c r="AG3" s="4"/>
      <c r="AH3" s="4"/>
    </row>
    <row r="4" spans="1:34">
      <c r="A4" t="s">
        <v>4</v>
      </c>
      <c r="B4" s="4">
        <v>6.5093363580536684E-3</v>
      </c>
      <c r="C4" s="4">
        <f t="shared" si="1"/>
        <v>6.5093363580536684E-3</v>
      </c>
      <c r="D4" s="4">
        <f t="shared" si="0"/>
        <v>6.5093363580536684E-3</v>
      </c>
      <c r="E4" s="4">
        <f t="shared" si="0"/>
        <v>6.5093363580536684E-3</v>
      </c>
      <c r="F4" s="4">
        <f t="shared" si="0"/>
        <v>6.5093363580536684E-3</v>
      </c>
      <c r="G4" s="4">
        <f t="shared" si="0"/>
        <v>6.5093363580536684E-3</v>
      </c>
      <c r="H4" s="4">
        <f t="shared" si="0"/>
        <v>6.5093363580536684E-3</v>
      </c>
      <c r="I4" s="4">
        <f t="shared" si="0"/>
        <v>6.5093363580536684E-3</v>
      </c>
      <c r="J4" s="4">
        <f t="shared" si="0"/>
        <v>6.5093363580536684E-3</v>
      </c>
      <c r="K4" s="4">
        <f t="shared" si="0"/>
        <v>6.5093363580536684E-3</v>
      </c>
      <c r="L4" s="4">
        <f t="shared" si="0"/>
        <v>6.5093363580536684E-3</v>
      </c>
      <c r="M4" s="4">
        <f t="shared" si="0"/>
        <v>6.5093363580536684E-3</v>
      </c>
      <c r="N4" s="4">
        <f t="shared" si="0"/>
        <v>6.5093363580536684E-3</v>
      </c>
      <c r="O4" s="4">
        <f t="shared" si="0"/>
        <v>6.5093363580536684E-3</v>
      </c>
      <c r="P4" s="4">
        <f t="shared" si="0"/>
        <v>6.5093363580536684E-3</v>
      </c>
      <c r="Q4" s="4">
        <f t="shared" si="0"/>
        <v>6.5093363580536684E-3</v>
      </c>
      <c r="R4" s="4">
        <f t="shared" si="0"/>
        <v>6.5093363580536684E-3</v>
      </c>
      <c r="S4" s="4">
        <f t="shared" si="0"/>
        <v>6.5093363580536684E-3</v>
      </c>
      <c r="T4" s="4">
        <f t="shared" si="0"/>
        <v>6.5093363580536684E-3</v>
      </c>
      <c r="U4" s="4">
        <f t="shared" si="0"/>
        <v>6.5093363580536684E-3</v>
      </c>
      <c r="V4" s="4">
        <f t="shared" si="0"/>
        <v>6.5093363580536684E-3</v>
      </c>
      <c r="W4" s="4">
        <f t="shared" si="0"/>
        <v>6.5093363580536684E-3</v>
      </c>
      <c r="X4" s="4">
        <f t="shared" si="0"/>
        <v>6.5093363580536684E-3</v>
      </c>
      <c r="Y4" s="4">
        <f t="shared" si="0"/>
        <v>6.5093363580536684E-3</v>
      </c>
      <c r="Z4" s="4">
        <f t="shared" si="0"/>
        <v>6.5093363580536684E-3</v>
      </c>
      <c r="AA4" s="4">
        <f t="shared" si="0"/>
        <v>6.5093363580536684E-3</v>
      </c>
      <c r="AB4" s="4">
        <f t="shared" si="0"/>
        <v>6.5093363580536684E-3</v>
      </c>
      <c r="AC4" s="4">
        <f t="shared" si="0"/>
        <v>6.5093363580536684E-3</v>
      </c>
      <c r="AD4" s="4">
        <f t="shared" si="0"/>
        <v>6.5093363580536684E-3</v>
      </c>
      <c r="AE4" s="4">
        <f t="shared" si="0"/>
        <v>6.5093363580536684E-3</v>
      </c>
      <c r="AG4" s="4"/>
      <c r="AH4" s="4"/>
    </row>
    <row r="5" spans="1:34">
      <c r="A5" t="s">
        <v>5</v>
      </c>
      <c r="B5" s="4">
        <v>6.5093363580536684E-3</v>
      </c>
      <c r="C5" s="4">
        <f t="shared" si="1"/>
        <v>6.5093363580536684E-3</v>
      </c>
      <c r="D5" s="4">
        <f t="shared" si="0"/>
        <v>6.5093363580536684E-3</v>
      </c>
      <c r="E5" s="4">
        <f t="shared" si="0"/>
        <v>6.5093363580536684E-3</v>
      </c>
      <c r="F5" s="4">
        <f t="shared" si="0"/>
        <v>6.5093363580536684E-3</v>
      </c>
      <c r="G5" s="4">
        <f t="shared" si="0"/>
        <v>6.5093363580536684E-3</v>
      </c>
      <c r="H5" s="4">
        <f t="shared" si="0"/>
        <v>6.5093363580536684E-3</v>
      </c>
      <c r="I5" s="4">
        <f t="shared" si="0"/>
        <v>6.5093363580536684E-3</v>
      </c>
      <c r="J5" s="4">
        <f t="shared" si="0"/>
        <v>6.5093363580536684E-3</v>
      </c>
      <c r="K5" s="4">
        <f t="shared" si="0"/>
        <v>6.5093363580536684E-3</v>
      </c>
      <c r="L5" s="4">
        <f t="shared" si="0"/>
        <v>6.5093363580536684E-3</v>
      </c>
      <c r="M5" s="4">
        <f t="shared" si="0"/>
        <v>6.5093363580536684E-3</v>
      </c>
      <c r="N5" s="4">
        <f t="shared" si="0"/>
        <v>6.5093363580536684E-3</v>
      </c>
      <c r="O5" s="4">
        <f t="shared" si="0"/>
        <v>6.5093363580536684E-3</v>
      </c>
      <c r="P5" s="4">
        <f t="shared" si="0"/>
        <v>6.5093363580536684E-3</v>
      </c>
      <c r="Q5" s="4">
        <f t="shared" si="0"/>
        <v>6.5093363580536684E-3</v>
      </c>
      <c r="R5" s="4">
        <f t="shared" si="0"/>
        <v>6.5093363580536684E-3</v>
      </c>
      <c r="S5" s="4">
        <f t="shared" si="0"/>
        <v>6.5093363580536684E-3</v>
      </c>
      <c r="T5" s="4">
        <f t="shared" si="0"/>
        <v>6.5093363580536684E-3</v>
      </c>
      <c r="U5" s="4">
        <f t="shared" si="0"/>
        <v>6.5093363580536684E-3</v>
      </c>
      <c r="V5" s="4">
        <f t="shared" si="0"/>
        <v>6.5093363580536684E-3</v>
      </c>
      <c r="W5" s="4">
        <f t="shared" si="0"/>
        <v>6.5093363580536684E-3</v>
      </c>
      <c r="X5" s="4">
        <f t="shared" si="0"/>
        <v>6.5093363580536684E-3</v>
      </c>
      <c r="Y5" s="4">
        <f t="shared" si="0"/>
        <v>6.5093363580536684E-3</v>
      </c>
      <c r="Z5" s="4">
        <f t="shared" si="0"/>
        <v>6.5093363580536684E-3</v>
      </c>
      <c r="AA5" s="4">
        <f t="shared" si="0"/>
        <v>6.5093363580536684E-3</v>
      </c>
      <c r="AB5" s="4">
        <f t="shared" si="0"/>
        <v>6.5093363580536684E-3</v>
      </c>
      <c r="AC5" s="4">
        <f t="shared" si="0"/>
        <v>6.5093363580536684E-3</v>
      </c>
      <c r="AD5" s="4">
        <f t="shared" si="0"/>
        <v>6.5093363580536684E-3</v>
      </c>
      <c r="AE5" s="4">
        <f t="shared" si="0"/>
        <v>6.5093363580536684E-3</v>
      </c>
      <c r="AG5" s="4"/>
      <c r="AH5" s="4"/>
    </row>
    <row r="6" spans="1:34">
      <c r="A6" t="s">
        <v>6</v>
      </c>
      <c r="B6" s="4">
        <v>1.4329104903978667E-2</v>
      </c>
      <c r="C6" s="4">
        <f t="shared" si="1"/>
        <v>1.4329104903978667E-2</v>
      </c>
      <c r="D6" s="4">
        <f t="shared" si="0"/>
        <v>1.4329104903978667E-2</v>
      </c>
      <c r="E6" s="4">
        <f t="shared" si="0"/>
        <v>1.4329104903978667E-2</v>
      </c>
      <c r="F6" s="4">
        <f t="shared" si="0"/>
        <v>1.4329104903978667E-2</v>
      </c>
      <c r="G6" s="4">
        <f t="shared" si="0"/>
        <v>1.4329104903978667E-2</v>
      </c>
      <c r="H6" s="4">
        <f t="shared" si="0"/>
        <v>1.4329104903978667E-2</v>
      </c>
      <c r="I6" s="4">
        <f t="shared" si="0"/>
        <v>1.4329104903978667E-2</v>
      </c>
      <c r="J6" s="4">
        <f t="shared" si="0"/>
        <v>1.4329104903978667E-2</v>
      </c>
      <c r="K6" s="4">
        <f t="shared" si="0"/>
        <v>1.4329104903978667E-2</v>
      </c>
      <c r="L6" s="4">
        <f t="shared" si="0"/>
        <v>1.4329104903978667E-2</v>
      </c>
      <c r="M6" s="4">
        <f t="shared" si="0"/>
        <v>1.4329104903978667E-2</v>
      </c>
      <c r="N6" s="4">
        <f t="shared" si="0"/>
        <v>1.4329104903978667E-2</v>
      </c>
      <c r="O6" s="4">
        <f t="shared" si="0"/>
        <v>1.4329104903978667E-2</v>
      </c>
      <c r="P6" s="4">
        <f t="shared" si="0"/>
        <v>1.4329104903978667E-2</v>
      </c>
      <c r="Q6" s="4">
        <f t="shared" si="0"/>
        <v>1.4329104903978667E-2</v>
      </c>
      <c r="R6" s="4">
        <f t="shared" si="0"/>
        <v>1.4329104903978667E-2</v>
      </c>
      <c r="S6" s="4">
        <f t="shared" si="0"/>
        <v>1.4329104903978667E-2</v>
      </c>
      <c r="T6" s="4">
        <f t="shared" si="0"/>
        <v>1.4329104903978667E-2</v>
      </c>
      <c r="U6" s="4">
        <f t="shared" si="0"/>
        <v>1.4329104903978667E-2</v>
      </c>
      <c r="V6" s="4">
        <f t="shared" si="0"/>
        <v>1.4329104903978667E-2</v>
      </c>
      <c r="W6" s="4">
        <f t="shared" si="0"/>
        <v>1.4329104903978667E-2</v>
      </c>
      <c r="X6" s="4">
        <f t="shared" si="0"/>
        <v>1.4329104903978667E-2</v>
      </c>
      <c r="Y6" s="4">
        <f t="shared" si="0"/>
        <v>1.4329104903978667E-2</v>
      </c>
      <c r="Z6" s="4">
        <f t="shared" si="0"/>
        <v>1.4329104903978667E-2</v>
      </c>
      <c r="AA6" s="4">
        <f t="shared" si="0"/>
        <v>1.4329104903978667E-2</v>
      </c>
      <c r="AB6" s="4">
        <f t="shared" si="0"/>
        <v>1.4329104903978667E-2</v>
      </c>
      <c r="AC6" s="4">
        <f t="shared" si="0"/>
        <v>1.4329104903978667E-2</v>
      </c>
      <c r="AD6" s="4">
        <f t="shared" si="0"/>
        <v>1.4329104903978667E-2</v>
      </c>
      <c r="AE6" s="4">
        <f t="shared" si="0"/>
        <v>1.4329104903978667E-2</v>
      </c>
      <c r="AG6" s="4"/>
      <c r="AH6" s="4"/>
    </row>
    <row r="7" spans="1:34">
      <c r="A7" t="s">
        <v>84</v>
      </c>
      <c r="B7" s="4">
        <v>5.0447356774915931E-3</v>
      </c>
      <c r="C7" s="4">
        <f t="shared" si="1"/>
        <v>5.0447356774915931E-3</v>
      </c>
      <c r="D7" s="4">
        <f t="shared" si="0"/>
        <v>5.0447356774915931E-3</v>
      </c>
      <c r="E7" s="4">
        <f t="shared" si="0"/>
        <v>5.0447356774915931E-3</v>
      </c>
      <c r="F7" s="4">
        <f t="shared" si="0"/>
        <v>5.0447356774915931E-3</v>
      </c>
      <c r="G7" s="4">
        <f t="shared" si="0"/>
        <v>5.0447356774915931E-3</v>
      </c>
      <c r="H7" s="4">
        <f t="shared" si="0"/>
        <v>5.0447356774915931E-3</v>
      </c>
      <c r="I7" s="4">
        <f t="shared" si="0"/>
        <v>5.0447356774915931E-3</v>
      </c>
      <c r="J7" s="4">
        <f t="shared" si="0"/>
        <v>5.0447356774915931E-3</v>
      </c>
      <c r="K7" s="4">
        <f t="shared" si="0"/>
        <v>5.0447356774915931E-3</v>
      </c>
      <c r="L7" s="4">
        <f t="shared" si="0"/>
        <v>5.0447356774915931E-3</v>
      </c>
      <c r="M7" s="4">
        <f t="shared" si="0"/>
        <v>5.0447356774915931E-3</v>
      </c>
      <c r="N7" s="4">
        <f t="shared" si="0"/>
        <v>5.0447356774915931E-3</v>
      </c>
      <c r="O7" s="4">
        <f t="shared" si="0"/>
        <v>5.0447356774915931E-3</v>
      </c>
      <c r="P7" s="4">
        <f t="shared" si="0"/>
        <v>5.0447356774915931E-3</v>
      </c>
      <c r="Q7" s="4">
        <f t="shared" si="0"/>
        <v>5.0447356774915931E-3</v>
      </c>
      <c r="R7" s="4">
        <f t="shared" si="0"/>
        <v>5.0447356774915931E-3</v>
      </c>
      <c r="S7" s="4">
        <f t="shared" si="0"/>
        <v>5.0447356774915931E-3</v>
      </c>
      <c r="T7" s="4">
        <f t="shared" si="0"/>
        <v>5.0447356774915931E-3</v>
      </c>
      <c r="U7" s="4">
        <f t="shared" si="0"/>
        <v>5.0447356774915931E-3</v>
      </c>
      <c r="V7" s="4">
        <f t="shared" si="0"/>
        <v>5.0447356774915931E-3</v>
      </c>
      <c r="W7" s="4">
        <f t="shared" si="0"/>
        <v>5.0447356774915931E-3</v>
      </c>
      <c r="X7" s="4">
        <f t="shared" si="0"/>
        <v>5.0447356774915931E-3</v>
      </c>
      <c r="Y7" s="4">
        <f t="shared" si="0"/>
        <v>5.0447356774915931E-3</v>
      </c>
      <c r="Z7" s="4">
        <f t="shared" si="0"/>
        <v>5.0447356774915931E-3</v>
      </c>
      <c r="AA7" s="4">
        <f t="shared" si="0"/>
        <v>5.0447356774915931E-3</v>
      </c>
      <c r="AB7" s="4">
        <f t="shared" si="0"/>
        <v>5.0447356774915931E-3</v>
      </c>
      <c r="AC7" s="4">
        <f t="shared" si="0"/>
        <v>5.0447356774915931E-3</v>
      </c>
      <c r="AD7" s="4">
        <f t="shared" si="0"/>
        <v>5.0447356774915931E-3</v>
      </c>
      <c r="AE7" s="4">
        <f t="shared" si="0"/>
        <v>5.0447356774915931E-3</v>
      </c>
      <c r="AG7" s="4"/>
      <c r="AH7" s="4"/>
    </row>
    <row r="8" spans="1:34">
      <c r="A8" t="s">
        <v>85</v>
      </c>
      <c r="B8" s="4">
        <v>1.9528009074161003E-2</v>
      </c>
      <c r="C8" s="4">
        <f t="shared" si="1"/>
        <v>1.9528009074161003E-2</v>
      </c>
      <c r="D8" s="4">
        <f t="shared" si="0"/>
        <v>1.9528009074161003E-2</v>
      </c>
      <c r="E8" s="4">
        <f t="shared" si="0"/>
        <v>1.9528009074161003E-2</v>
      </c>
      <c r="F8" s="4">
        <f t="shared" si="0"/>
        <v>1.9528009074161003E-2</v>
      </c>
      <c r="G8" s="4">
        <f t="shared" si="0"/>
        <v>1.9528009074161003E-2</v>
      </c>
      <c r="H8" s="4">
        <f t="shared" si="0"/>
        <v>1.9528009074161003E-2</v>
      </c>
      <c r="I8" s="4">
        <f t="shared" si="0"/>
        <v>1.9528009074161003E-2</v>
      </c>
      <c r="J8" s="4">
        <f t="shared" si="0"/>
        <v>1.9528009074161003E-2</v>
      </c>
      <c r="K8" s="4">
        <f t="shared" si="0"/>
        <v>1.9528009074161003E-2</v>
      </c>
      <c r="L8" s="4">
        <f t="shared" si="0"/>
        <v>1.9528009074161003E-2</v>
      </c>
      <c r="M8" s="4">
        <f t="shared" si="0"/>
        <v>1.9528009074161003E-2</v>
      </c>
      <c r="N8" s="4">
        <f t="shared" si="0"/>
        <v>1.9528009074161003E-2</v>
      </c>
      <c r="O8" s="4">
        <f t="shared" si="0"/>
        <v>1.9528009074161003E-2</v>
      </c>
      <c r="P8" s="4">
        <f t="shared" si="0"/>
        <v>1.9528009074161003E-2</v>
      </c>
      <c r="Q8" s="4">
        <f t="shared" si="0"/>
        <v>1.9528009074161003E-2</v>
      </c>
      <c r="R8" s="4">
        <f t="shared" si="0"/>
        <v>1.9528009074161003E-2</v>
      </c>
      <c r="S8" s="4">
        <f t="shared" si="0"/>
        <v>1.9528009074161003E-2</v>
      </c>
      <c r="T8" s="4">
        <f t="shared" si="0"/>
        <v>1.9528009074161003E-2</v>
      </c>
      <c r="U8" s="4">
        <f t="shared" si="0"/>
        <v>1.9528009074161003E-2</v>
      </c>
      <c r="V8" s="4">
        <f t="shared" si="0"/>
        <v>1.9528009074161003E-2</v>
      </c>
      <c r="W8" s="4">
        <f t="shared" si="0"/>
        <v>1.9528009074161003E-2</v>
      </c>
      <c r="X8" s="4">
        <f t="shared" si="0"/>
        <v>1.9528009074161003E-2</v>
      </c>
      <c r="Y8" s="4">
        <f t="shared" si="0"/>
        <v>1.9528009074161003E-2</v>
      </c>
      <c r="Z8" s="4">
        <f t="shared" si="0"/>
        <v>1.9528009074161003E-2</v>
      </c>
      <c r="AA8" s="4">
        <f t="shared" si="0"/>
        <v>1.9528009074161003E-2</v>
      </c>
      <c r="AB8" s="4">
        <f t="shared" si="0"/>
        <v>1.9528009074161003E-2</v>
      </c>
      <c r="AC8" s="4">
        <f t="shared" si="0"/>
        <v>1.9528009074161003E-2</v>
      </c>
      <c r="AD8" s="4">
        <f t="shared" si="0"/>
        <v>1.9528009074161003E-2</v>
      </c>
      <c r="AE8" s="4">
        <f t="shared" si="0"/>
        <v>1.9528009074161003E-2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5"/>
  <cols>
    <col min="1" max="1" width="31.140625" customWidth="1"/>
  </cols>
  <sheetData>
    <row r="1" spans="1:31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2026-01-09T01:27:20Z</dcterms:modified>
</cp:coreProperties>
</file>