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trans\BHNVFEAL\"/>
    </mc:Choice>
  </mc:AlternateContent>
  <xr:revisionPtr revIDLastSave="0" documentId="13_ncr:1_{F78C7657-5FEF-479C-AB5D-811D6ABB0F6D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3" i="24" l="1"/>
  <c r="AR4" i="24"/>
  <c r="AR5" i="24"/>
  <c r="AR6" i="24"/>
  <c r="AR7" i="24"/>
  <c r="AR8" i="24"/>
  <c r="AR9" i="24"/>
  <c r="AR10" i="24"/>
  <c r="AR11" i="24"/>
  <c r="AR12" i="24"/>
  <c r="AR13" i="24"/>
  <c r="AR14" i="24"/>
  <c r="AQ5" i="24" l="1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AB2" i="24" l="1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W5" i="24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Q4" i="24"/>
  <c r="AP4" i="24" s="1"/>
  <c r="AO4" i="24" s="1"/>
  <c r="AN4" i="24" s="1"/>
  <c r="AM4" i="24" s="1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Q7" i="24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6" i="24" l="1"/>
  <c r="U6" i="24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N8" i="24"/>
  <c r="H5" i="10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AB7" i="2"/>
  <c r="AB3" i="2"/>
  <c r="AB6" i="2"/>
  <c r="AB5" i="2"/>
  <c r="S3" i="2"/>
  <c r="S6" i="2"/>
  <c r="S5" i="2"/>
  <c r="S7" i="2"/>
  <c r="Y5" i="2"/>
  <c r="Y3" i="2"/>
  <c r="Y6" i="2"/>
  <c r="Y7" i="2"/>
  <c r="X5" i="2"/>
  <c r="X7" i="2"/>
  <c r="X3" i="2"/>
  <c r="X6" i="2"/>
  <c r="AD7" i="2"/>
  <c r="AD5" i="2"/>
  <c r="AD3" i="2"/>
  <c r="AD6" i="2"/>
  <c r="V7" i="2"/>
  <c r="V3" i="2"/>
  <c r="V5" i="2"/>
  <c r="V6" i="2"/>
  <c r="O8" i="24" l="1"/>
  <c r="I5" i="10"/>
  <c r="B16" i="26"/>
  <c r="C16" i="26"/>
  <c r="AA2" i="24" s="1"/>
  <c r="P8" i="24" l="1"/>
  <c r="J5" i="10"/>
  <c r="Q8" i="24" l="1"/>
  <c r="K5" i="10"/>
  <c r="X5" i="8"/>
  <c r="R8" i="24" l="1"/>
  <c r="L5" i="10"/>
  <c r="Y5" i="9"/>
  <c r="Z5" i="9"/>
  <c r="AA5" i="9"/>
  <c r="AC5" i="9"/>
  <c r="AD5" i="9"/>
  <c r="AE5" i="9"/>
  <c r="S8" i="24" l="1"/>
  <c r="M5" i="10"/>
  <c r="AB5" i="8"/>
  <c r="AA5" i="8"/>
  <c r="AE5" i="8"/>
  <c r="AD5" i="8"/>
  <c r="Z5" i="8"/>
  <c r="AC5" i="8"/>
  <c r="AB5" i="9"/>
  <c r="Y5" i="8"/>
  <c r="B31" i="26"/>
  <c r="B27" i="26"/>
  <c r="T8" i="24" l="1"/>
  <c r="N5" i="10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B21" i="26"/>
  <c r="B22" i="26" s="1"/>
  <c r="V8" i="24" l="1"/>
  <c r="P5" i="10"/>
  <c r="W8" i="24" l="1"/>
  <c r="Q5" i="10"/>
  <c r="X8" i="24" l="1"/>
  <c r="R5" i="10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S8" i="10" s="1"/>
  <c r="H8" i="8"/>
  <c r="H2" i="8"/>
  <c r="K8" i="8"/>
  <c r="K2" i="8"/>
  <c r="C8" i="10"/>
  <c r="V8" i="8"/>
  <c r="V2" i="8"/>
  <c r="L8" i="8"/>
  <c r="L2" i="8"/>
  <c r="I2" i="8"/>
  <c r="I8" i="8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L4" i="24" l="1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L12" i="24"/>
  <c r="T12" i="24"/>
  <c r="AB12" i="24"/>
  <c r="AJ12" i="24"/>
  <c r="AD5" i="13" s="1"/>
  <c r="W12" i="24"/>
  <c r="Y12" i="24"/>
  <c r="S12" i="24"/>
  <c r="M5" i="13" s="1"/>
  <c r="M12" i="24"/>
  <c r="U12" i="24"/>
  <c r="O5" i="13" s="1"/>
  <c r="AC12" i="24"/>
  <c r="W5" i="13" s="1"/>
  <c r="AM12" i="24"/>
  <c r="Q12" i="24"/>
  <c r="N12" i="24"/>
  <c r="AD12" i="24"/>
  <c r="X5" i="13" s="1"/>
  <c r="G12" i="24"/>
  <c r="AQ12" i="24"/>
  <c r="P12" i="24"/>
  <c r="AF12" i="24"/>
  <c r="Z5" i="13" s="1"/>
  <c r="I12" i="24"/>
  <c r="R12" i="24"/>
  <c r="L5" i="13" s="1"/>
  <c r="AH12" i="24"/>
  <c r="AB5" i="13" s="1"/>
  <c r="X11" i="24"/>
  <c r="K11" i="24"/>
  <c r="I11" i="24"/>
  <c r="AQ11" i="24"/>
  <c r="AB11" i="24"/>
  <c r="V11" i="24"/>
  <c r="AH13" i="24"/>
  <c r="AK13" i="24"/>
  <c r="AB13" i="24"/>
  <c r="AE13" i="24"/>
  <c r="AG13" i="24"/>
  <c r="AK12" i="24"/>
  <c r="AE5" i="13" s="1"/>
  <c r="J12" i="24"/>
  <c r="D5" i="13" s="1"/>
  <c r="P11" i="24"/>
  <c r="AI11" i="24"/>
  <c r="S11" i="24"/>
  <c r="AJ11" i="24"/>
  <c r="AL11" i="24"/>
  <c r="AI13" i="24"/>
  <c r="AL13" i="24"/>
  <c r="K12" i="24"/>
  <c r="E5" i="13" s="1"/>
  <c r="AI12" i="24"/>
  <c r="AC5" i="13" s="1"/>
  <c r="H11" i="24"/>
  <c r="AF11" i="24"/>
  <c r="AE11" i="24"/>
  <c r="W11" i="24"/>
  <c r="G11" i="24"/>
  <c r="Z13" i="24"/>
  <c r="AQ13" i="24"/>
  <c r="AD13" i="24"/>
  <c r="AN13" i="24"/>
  <c r="Y11" i="24"/>
  <c r="AG11" i="24"/>
  <c r="AO11" i="24"/>
  <c r="AP11" i="24"/>
  <c r="AA11" i="24"/>
  <c r="M11" i="24"/>
  <c r="AM11" i="24"/>
  <c r="J11" i="24"/>
  <c r="R11" i="24"/>
  <c r="Z11" i="24"/>
  <c r="AH11" i="24"/>
  <c r="AC11" i="24"/>
  <c r="AK11" i="24"/>
  <c r="AQ3" i="24" a="1"/>
  <c r="AQ3" i="24" s="1"/>
  <c r="AC13" i="24"/>
  <c r="X13" i="24"/>
  <c r="T10" i="24"/>
  <c r="O5" i="11" s="1"/>
  <c r="AC10" i="24"/>
  <c r="X5" i="11" s="1"/>
  <c r="AK10" i="24"/>
  <c r="F10" i="24"/>
  <c r="V10" i="24"/>
  <c r="Q5" i="11" s="1"/>
  <c r="AD10" i="24"/>
  <c r="Y5" i="11" s="1"/>
  <c r="AL10" i="24"/>
  <c r="Q10" i="24"/>
  <c r="L5" i="11" s="1"/>
  <c r="W10" i="24"/>
  <c r="R5" i="11" s="1"/>
  <c r="AE10" i="24"/>
  <c r="Z5" i="11" s="1"/>
  <c r="AM10" i="24"/>
  <c r="T11" i="24"/>
  <c r="N11" i="24"/>
  <c r="AP3" i="24" a="1"/>
  <c r="AP3" i="24" s="1"/>
  <c r="AJ13" i="24"/>
  <c r="AF13" i="24"/>
  <c r="AO13" i="24"/>
  <c r="AQ10" i="24"/>
  <c r="X10" i="24"/>
  <c r="AF10" i="24"/>
  <c r="AN10" i="24"/>
  <c r="N10" i="24"/>
  <c r="I5" i="11" s="1"/>
  <c r="Y10" i="24"/>
  <c r="T5" i="11" s="1"/>
  <c r="AG10" i="24"/>
  <c r="AB5" i="11" s="1"/>
  <c r="AO10" i="24"/>
  <c r="AA10" i="24"/>
  <c r="V5" i="11" s="1"/>
  <c r="AJ10" i="24"/>
  <c r="AE5" i="11" s="1"/>
  <c r="L10" i="24"/>
  <c r="G5" i="11" s="1"/>
  <c r="Z10" i="24"/>
  <c r="U5" i="11" s="1"/>
  <c r="AH10" i="24"/>
  <c r="AC5" i="11" s="1"/>
  <c r="AP10" i="24"/>
  <c r="AI10" i="24"/>
  <c r="AD5" i="11" s="1"/>
  <c r="AB10" i="24"/>
  <c r="W5" i="11" s="1"/>
  <c r="S10" i="24"/>
  <c r="N5" i="11" s="1"/>
  <c r="P10" i="24"/>
  <c r="K5" i="11" s="1"/>
  <c r="O10" i="24"/>
  <c r="J5" i="11" s="1"/>
  <c r="K10" i="24"/>
  <c r="F5" i="11" s="1"/>
  <c r="I10" i="24"/>
  <c r="D5" i="11" s="1"/>
  <c r="R10" i="24"/>
  <c r="U10" i="24"/>
  <c r="G10" i="24"/>
  <c r="B5" i="11" s="1"/>
  <c r="J10" i="24"/>
  <c r="E5" i="11" s="1"/>
  <c r="M10" i="24"/>
  <c r="H5" i="11" s="1"/>
  <c r="H10" i="24"/>
  <c r="C5" i="11" s="1"/>
  <c r="O12" i="24"/>
  <c r="I5" i="13" s="1"/>
  <c r="AA12" i="24"/>
  <c r="U5" i="13" s="1"/>
  <c r="V12" i="24"/>
  <c r="P5" i="13" s="1"/>
  <c r="AL12" i="24"/>
  <c r="AE12" i="24"/>
  <c r="Y5" i="13" s="1"/>
  <c r="AG12" i="24"/>
  <c r="AA5" i="13" s="1"/>
  <c r="H12" i="24"/>
  <c r="B5" i="13" s="1"/>
  <c r="X12" i="24"/>
  <c r="R5" i="13" s="1"/>
  <c r="AN12" i="24"/>
  <c r="AO12" i="24"/>
  <c r="Z12" i="24"/>
  <c r="T5" i="13" s="1"/>
  <c r="AP12" i="24"/>
  <c r="AN11" i="24"/>
  <c r="U11" i="24"/>
  <c r="Q11" i="24"/>
  <c r="L11" i="24"/>
  <c r="O11" i="24"/>
  <c r="AD11" i="24"/>
  <c r="AP13" i="24"/>
  <c r="AA13" i="24"/>
  <c r="W13" i="24"/>
  <c r="AM13" i="24"/>
  <c r="Y13" i="24"/>
  <c r="M5" i="11"/>
  <c r="M8" i="11" s="1"/>
  <c r="M2" i="11"/>
  <c r="P5" i="11"/>
  <c r="P8" i="11" s="1"/>
  <c r="P2" i="11"/>
  <c r="S5" i="11"/>
  <c r="S8" i="11" s="1"/>
  <c r="S2" i="11"/>
  <c r="AA5" i="11"/>
  <c r="AA8" i="11" s="1"/>
  <c r="AA2" i="11"/>
  <c r="C5" i="13"/>
  <c r="C8" i="13" s="1"/>
  <c r="C2" i="13"/>
  <c r="F5" i="13"/>
  <c r="F8" i="13" s="1"/>
  <c r="F2" i="13"/>
  <c r="G5" i="13"/>
  <c r="G8" i="13" s="1"/>
  <c r="G2" i="13"/>
  <c r="H5" i="13"/>
  <c r="H8" i="13" s="1"/>
  <c r="H2" i="13"/>
  <c r="J5" i="13"/>
  <c r="J8" i="13" s="1"/>
  <c r="J2" i="13"/>
  <c r="K5" i="13"/>
  <c r="K8" i="13" s="1"/>
  <c r="K2" i="13"/>
  <c r="N5" i="13"/>
  <c r="N8" i="13" s="1"/>
  <c r="N2" i="13"/>
  <c r="Q5" i="13"/>
  <c r="Q8" i="13" s="1"/>
  <c r="Q2" i="13"/>
  <c r="S5" i="13"/>
  <c r="S8" i="13" s="1"/>
  <c r="S2" i="13"/>
  <c r="V5" i="13"/>
  <c r="R2" i="11" l="1"/>
  <c r="R8" i="11"/>
  <c r="AD8" i="13"/>
  <c r="AD2" i="13"/>
  <c r="M8" i="13"/>
  <c r="M2" i="13"/>
  <c r="O8" i="13"/>
  <c r="O2" i="13"/>
  <c r="W8" i="13"/>
  <c r="W2" i="13"/>
  <c r="X8" i="13"/>
  <c r="X2" i="13"/>
  <c r="Z8" i="13"/>
  <c r="Z2" i="13"/>
  <c r="L8" i="13"/>
  <c r="L2" i="13"/>
  <c r="AB8" i="13"/>
  <c r="AB2" i="13"/>
  <c r="AE8" i="13"/>
  <c r="AE2" i="13"/>
  <c r="D8" i="13"/>
  <c r="D2" i="13"/>
  <c r="E8" i="13"/>
  <c r="E2" i="13"/>
  <c r="AC8" i="13"/>
  <c r="AC2" i="13"/>
  <c r="O8" i="11"/>
  <c r="O2" i="11"/>
  <c r="X8" i="11"/>
  <c r="X2" i="11"/>
  <c r="Q8" i="11"/>
  <c r="Q2" i="11"/>
  <c r="Y8" i="11"/>
  <c r="Y2" i="11"/>
  <c r="L8" i="11"/>
  <c r="L2" i="11"/>
  <c r="I8" i="11"/>
  <c r="I2" i="11"/>
  <c r="J8" i="11"/>
  <c r="J2" i="11"/>
  <c r="F8" i="11"/>
  <c r="F2" i="11"/>
  <c r="D8" i="11"/>
  <c r="D2" i="11"/>
  <c r="B8" i="11"/>
  <c r="B2" i="11"/>
  <c r="E8" i="11"/>
  <c r="E2" i="11"/>
  <c r="H8" i="11"/>
  <c r="H2" i="11"/>
  <c r="C8" i="11"/>
  <c r="C2" i="11"/>
  <c r="I8" i="13"/>
  <c r="I2" i="13"/>
  <c r="U8" i="13"/>
  <c r="U2" i="13"/>
  <c r="P8" i="13"/>
  <c r="P2" i="13"/>
  <c r="Y8" i="13"/>
  <c r="Y2" i="13"/>
  <c r="AA8" i="13"/>
  <c r="AA2" i="13"/>
  <c r="B8" i="13"/>
  <c r="B2" i="13"/>
  <c r="R8" i="13"/>
  <c r="R2" i="13"/>
  <c r="T8" i="13"/>
  <c r="T2" i="13"/>
  <c r="Z2" i="11"/>
  <c r="Z8" i="11"/>
  <c r="V2" i="13"/>
  <c r="V8" i="13"/>
  <c r="AJ3" i="24" a="1"/>
  <c r="AJ3" i="24" s="1"/>
  <c r="AO3" i="24" a="1"/>
  <c r="AO3" i="24" s="1"/>
  <c r="AC3" i="24" a="1"/>
  <c r="AC3" i="24" s="1"/>
  <c r="AK3" i="24" a="1"/>
  <c r="AK3" i="24" s="1"/>
  <c r="AF3" i="24" a="1"/>
  <c r="AF3" i="24" s="1"/>
  <c r="AA3" i="24" a="1"/>
  <c r="AA3" i="24" s="1"/>
  <c r="AD3" i="24" a="1"/>
  <c r="AD3" i="24" s="1"/>
  <c r="AL3" i="24" a="1"/>
  <c r="AL3" i="24" s="1"/>
  <c r="AE3" i="24" a="1"/>
  <c r="AE3" i="24" s="1"/>
  <c r="AB3" i="24" a="1"/>
  <c r="AB3" i="24" s="1"/>
  <c r="AG3" i="24" a="1"/>
  <c r="AG3" i="24" s="1"/>
  <c r="AM3" i="24" a="1"/>
  <c r="AM3" i="24" s="1"/>
  <c r="AN3" i="24" a="1"/>
  <c r="AN3" i="24" s="1"/>
  <c r="AI3" i="24" a="1"/>
  <c r="AI3" i="24" s="1"/>
  <c r="AH3" i="24" a="1"/>
  <c r="AH3" i="24" s="1"/>
  <c r="T8" i="11"/>
  <c r="T2" i="11"/>
  <c r="AB8" i="11"/>
  <c r="AB2" i="11"/>
  <c r="V8" i="11"/>
  <c r="V2" i="11"/>
  <c r="AE8" i="11"/>
  <c r="AE2" i="11"/>
  <c r="G8" i="11"/>
  <c r="G2" i="11"/>
  <c r="U8" i="11"/>
  <c r="U2" i="11"/>
  <c r="AC8" i="11"/>
  <c r="AC2" i="11"/>
  <c r="AD8" i="11"/>
  <c r="AD2" i="11"/>
  <c r="W8" i="11"/>
  <c r="W2" i="11"/>
  <c r="N8" i="11"/>
  <c r="N2" i="11"/>
  <c r="K8" i="11"/>
  <c r="K2" i="11"/>
  <c r="R4" i="2" l="1"/>
  <c r="R3" i="2"/>
  <c r="C4" i="2"/>
  <c r="F4" i="2"/>
  <c r="G4" i="2"/>
  <c r="G5" i="2" s="1"/>
  <c r="F6" i="2"/>
  <c r="F3" i="2"/>
  <c r="G3" i="2"/>
  <c r="O4" i="2"/>
  <c r="O5" i="2"/>
  <c r="L4" i="2"/>
  <c r="L5" i="2"/>
  <c r="Q4" i="2"/>
  <c r="D4" i="2"/>
  <c r="D6" i="2"/>
  <c r="I4" i="2"/>
  <c r="H4" i="2"/>
  <c r="J4" i="2"/>
  <c r="J7" i="2" s="1"/>
  <c r="K4" i="2"/>
  <c r="K5" i="2" s="1"/>
  <c r="B4" i="2"/>
  <c r="M4" i="2"/>
  <c r="N4" i="2"/>
  <c r="N5" i="2" s="1"/>
  <c r="P4" i="2"/>
  <c r="P3" i="2" s="1"/>
  <c r="E4" i="2"/>
  <c r="B6" i="2"/>
  <c r="B5" i="2"/>
  <c r="B3" i="2"/>
  <c r="B7" i="2"/>
  <c r="D7" i="2"/>
  <c r="E3" i="2"/>
  <c r="E7" i="2"/>
  <c r="E6" i="2"/>
  <c r="E5" i="2"/>
  <c r="J5" i="2"/>
  <c r="J3" i="2"/>
  <c r="L3" i="2"/>
  <c r="M7" i="2"/>
  <c r="M5" i="2"/>
  <c r="N7" i="2"/>
  <c r="P7" i="2"/>
  <c r="Q5" i="2"/>
  <c r="J6" i="2"/>
  <c r="M3" i="2"/>
  <c r="N6" i="2"/>
  <c r="P6" i="2"/>
  <c r="M6" i="2"/>
  <c r="N3" i="2"/>
  <c r="P5" i="2"/>
  <c r="F7" i="2" l="1"/>
  <c r="F5" i="2"/>
  <c r="C6" i="2"/>
  <c r="C7" i="2"/>
  <c r="G6" i="2"/>
  <c r="G7" i="2"/>
  <c r="I3" i="2"/>
  <c r="I5" i="2"/>
  <c r="R5" i="2"/>
  <c r="R6" i="2"/>
  <c r="R7" i="2"/>
  <c r="C3" i="2"/>
  <c r="C5" i="2"/>
  <c r="O3" i="2"/>
  <c r="O6" i="2"/>
  <c r="O7" i="2"/>
  <c r="L6" i="2"/>
  <c r="L7" i="2"/>
  <c r="Q7" i="2"/>
  <c r="Q3" i="2"/>
  <c r="Q6" i="2"/>
  <c r="D5" i="2"/>
  <c r="D3" i="2"/>
  <c r="I7" i="2"/>
  <c r="I6" i="2"/>
  <c r="H5" i="2"/>
  <c r="H7" i="2"/>
  <c r="H6" i="2"/>
  <c r="H3" i="2"/>
  <c r="K6" i="2"/>
  <c r="K3" i="2"/>
  <c r="K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<sst xmlns="http://schemas.openxmlformats.org/spreadsheetml/2006/main" count="291" uniqueCount="99">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</sst>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43" fontId="0" fillId="0" borderId="0" xfId="154" applyFont="1"/>
    <xf numFmtId="0" fontId="0" fillId="28" borderId="0" xfId="0" applyFill="1"/>
    <xf numFmtId="11" fontId="0" fillId="28" borderId="0" xfId="0" applyNumberFormat="1" applyFill="1"/>
    <xf numFmtId="11" fontId="0" fillId="30" borderId="0" xfId="0" applyNumberFormat="1" applyFill="1"/>
    <xf numFmtId="11" fontId="41" fillId="0" borderId="0" xfId="0" applyNumberFormat="1" applyFont="1"/>
    <xf numFmtId="11" fontId="43" fillId="0" borderId="0" xfId="0" applyNumberFormat="1" applyFont="1"/>
    <xf numFmtId="11" fontId="0" fillId="29" borderId="0" xfId="0" applyNumberFormat="1" applyFill="1"/>
    <xf numFmtId="0" fontId="43" fillId="0" borderId="0" xfId="0" applyFont="1"/>
    <xf numFmtId="0" fontId="41" fillId="0" borderId="0" xfId="0" applyFont="1"/>
    <xf numFmtId="167" fontId="0" fillId="0" borderId="0" xfId="155" applyNumberFormat="1" applyFont="1" applyBorder="1"/>
    <xf numFmtId="11" fontId="0" fillId="30" borderId="19" xfId="0" applyNumberFormat="1" applyFill="1" applyBorder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3.1844100144032408E-4</c:v>
                </c:pt>
                <c:pt idx="26" formatCode="0.00E+00">
                  <c:v>3.2263214124845585E-4</c:v>
                </c:pt>
                <c:pt idx="27" formatCode="0.00E+00">
                  <c:v>3.2682328105658763E-4</c:v>
                </c:pt>
                <c:pt idx="28" formatCode="0.00E+00">
                  <c:v>3.310144208647194E-4</c:v>
                </c:pt>
                <c:pt idx="29" formatCode="0.00E+00">
                  <c:v>3.3520556067285118E-4</c:v>
                </c:pt>
                <c:pt idx="30" formatCode="0.00E+00">
                  <c:v>3.3939670048098295E-4</c:v>
                </c:pt>
                <c:pt idx="31" formatCode="0.00E+00">
                  <c:v>3.4358784028911473E-4</c:v>
                </c:pt>
                <c:pt idx="32" formatCode="0.00E+00">
                  <c:v>3.477789800972465E-4</c:v>
                </c:pt>
                <c:pt idx="33" formatCode="0.00E+00">
                  <c:v>3.5197011990537828E-4</c:v>
                </c:pt>
                <c:pt idx="34" formatCode="0.00E+00">
                  <c:v>3.5616125971351005E-4</c:v>
                </c:pt>
                <c:pt idx="35" formatCode="0.00E+00">
                  <c:v>3.6035239952164183E-4</c:v>
                </c:pt>
                <c:pt idx="36" formatCode="0.00E+00">
                  <c:v>3.645435393297736E-4</c:v>
                </c:pt>
                <c:pt idx="37" formatCode="0.00E+00">
                  <c:v>3.6873467913790537E-4</c:v>
                </c:pt>
                <c:pt idx="38" formatCode="0.00E+00">
                  <c:v>3.7292581894603715E-4</c:v>
                </c:pt>
                <c:pt idx="39" formatCode="0.00E+00">
                  <c:v>3.7711695875416892E-4</c:v>
                </c:pt>
                <c:pt idx="40" formatCode="0.00E+00">
                  <c:v>3.813080985623007E-4</c:v>
                </c:pt>
                <c:pt idx="41" formatCode="0.00E+00">
                  <c:v>3.8549923837043247E-4</c:v>
                </c:pt>
                <c:pt idx="42" formatCode="0.00E+00">
                  <c:v>3.8969037817856381E-4</c:v>
                </c:pt>
                <c:pt idx="43" formatCode="0.00E+00">
                  <c:v>3.9985001436006255E-4</c:v>
                </c:pt>
                <c:pt idx="44" formatCode="0.00E+00">
                  <c:v>4.0645495978422236E-4</c:v>
                </c:pt>
                <c:pt idx="45" formatCode="0.00E+00">
                  <c:v>4.1222868457836193E-4</c:v>
                </c:pt>
                <c:pt idx="46" formatCode="0.00E+00">
                  <c:v>4.1315950014361388E-4</c:v>
                </c:pt>
                <c:pt idx="47" formatCode="0.00E+00">
                  <c:v>4.1586031572729884E-4</c:v>
                </c:pt>
                <c:pt idx="48" formatCode="0.00E+00">
                  <c:v>4.1791006177450995E-4</c:v>
                </c:pt>
                <c:pt idx="49" formatCode="0.00E+00">
                  <c:v>4.1868747861134429E-4</c:v>
                </c:pt>
                <c:pt idx="50" formatCode="0.00E+00">
                  <c:v>4.2132009406936789E-4</c:v>
                </c:pt>
                <c:pt idx="51" formatCode="0.00E+00">
                  <c:v>4.224153063913546E-4</c:v>
                </c:pt>
                <c:pt idx="52" formatCode="0.00E+00">
                  <c:v>4.2414977562549528E-4</c:v>
                </c:pt>
                <c:pt idx="53" formatCode="0.00E+00">
                  <c:v>4.2551597947059568E-4</c:v>
                </c:pt>
                <c:pt idx="54" formatCode="0.00E+00">
                  <c:v>4.2699017471707065E-4</c:v>
                </c:pt>
                <c:pt idx="55" formatCode="0.00E+00">
                  <c:v>4.278185027990744E-4</c:v>
                </c:pt>
                <c:pt idx="56" formatCode="0.00E+00">
                  <c:v>4.2962147676115707E-4</c:v>
                </c:pt>
                <c:pt idx="57" formatCode="0.00E+00">
                  <c:v>4.3041495518616422E-4</c:v>
                </c:pt>
                <c:pt idx="58" formatCode="0.00E+00">
                  <c:v>4.3058027955271102E-4</c:v>
                </c:pt>
                <c:pt idx="59" formatCode="0.00E+00">
                  <c:v>4.3088934374883934E-4</c:v>
                </c:pt>
                <c:pt idx="60" formatCode="0.00E+00">
                  <c:v>4.3093489146882265E-4</c:v>
                </c:pt>
                <c:pt idx="61" formatCode="0.00E+00">
                  <c:v>4.3107618325306866E-4</c:v>
                </c:pt>
                <c:pt idx="62" formatCode="0.00E+00">
                  <c:v>4.3159356456922571E-4</c:v>
                </c:pt>
                <c:pt idx="63" formatCode="0.00E+00">
                  <c:v>4.3137509125134069E-4</c:v>
                </c:pt>
                <c:pt idx="64" formatCode="0.00E+00">
                  <c:v>4.3181432059055414E-4</c:v>
                </c:pt>
                <c:pt idx="65" formatCode="0.00E+00">
                  <c:v>4.3184298375304391E-4</c:v>
                </c:pt>
                <c:pt idx="66" formatCode="0.00E+00">
                  <c:v>4.3221033154474715E-4</c:v>
                </c:pt>
                <c:pt idx="67" formatCode="0.00E+00">
                  <c:v>4.3232208233433581E-4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5.9551063413003282E-5</c:v>
                </c:pt>
                <c:pt idx="25" formatCode="0.00E+00">
                  <c:v>6.0878373147410427E-5</c:v>
                </c:pt>
                <c:pt idx="26" formatCode="0.00E+00">
                  <c:v>6.2205682881817138E-5</c:v>
                </c:pt>
                <c:pt idx="27" formatCode="0.00E+00">
                  <c:v>6.3532992616224283E-5</c:v>
                </c:pt>
                <c:pt idx="28" formatCode="0.00E+00">
                  <c:v>6.4860302350631428E-5</c:v>
                </c:pt>
                <c:pt idx="29" formatCode="0.00E+00">
                  <c:v>6.618761208503814E-5</c:v>
                </c:pt>
                <c:pt idx="30" formatCode="0.00E+00">
                  <c:v>6.7514921819445285E-5</c:v>
                </c:pt>
                <c:pt idx="31" formatCode="0.00E+00">
                  <c:v>6.8842231553851996E-5</c:v>
                </c:pt>
                <c:pt idx="32" formatCode="0.00E+00">
                  <c:v>7.0169541288259141E-5</c:v>
                </c:pt>
                <c:pt idx="33" formatCode="0.00E+00">
                  <c:v>7.1496851022665852E-5</c:v>
                </c:pt>
                <c:pt idx="34" formatCode="0.00E+00">
                  <c:v>7.2824160757072997E-5</c:v>
                </c:pt>
                <c:pt idx="35" formatCode="0.00E+00">
                  <c:v>7.4151470491480142E-5</c:v>
                </c:pt>
                <c:pt idx="36" formatCode="0.00E+00">
                  <c:v>7.5478780225886853E-5</c:v>
                </c:pt>
                <c:pt idx="37" formatCode="0.00E+00">
                  <c:v>7.6806089960293998E-5</c:v>
                </c:pt>
                <c:pt idx="38" formatCode="0.00E+00">
                  <c:v>7.8133399694700709E-5</c:v>
                </c:pt>
                <c:pt idx="39" formatCode="0.00E+00">
                  <c:v>7.977578850124848E-5</c:v>
                </c:pt>
                <c:pt idx="40" formatCode="0.00E+00">
                  <c:v>8.0968064347595233E-5</c:v>
                </c:pt>
                <c:pt idx="41" formatCode="0.00E+00">
                  <c:v>8.132511630401103E-5</c:v>
                </c:pt>
                <c:pt idx="42" formatCode="0.00E+00">
                  <c:v>8.4161072514692597E-5</c:v>
                </c:pt>
                <c:pt idx="43" formatCode="0.00E+00">
                  <c:v>8.498353764742068E-5</c:v>
                </c:pt>
                <c:pt idx="44" formatCode="0.00E+00">
                  <c:v>8.5775402347925225E-5</c:v>
                </c:pt>
                <c:pt idx="45" formatCode="0.00E+00">
                  <c:v>8.6479330619128737E-5</c:v>
                </c:pt>
                <c:pt idx="46" formatCode="0.00E+00">
                  <c:v>8.7180851987329484E-5</c:v>
                </c:pt>
                <c:pt idx="47" formatCode="0.00E+00">
                  <c:v>8.7676327828293231E-5</c:v>
                </c:pt>
                <c:pt idx="48" formatCode="0.00E+00">
                  <c:v>8.808308415773043E-5</c:v>
                </c:pt>
                <c:pt idx="49" formatCode="0.00E+00">
                  <c:v>8.8443349127241298E-5</c:v>
                </c:pt>
                <c:pt idx="50" formatCode="0.00E+00">
                  <c:v>8.877490666338608E-5</c:v>
                </c:pt>
                <c:pt idx="51" formatCode="0.00E+00">
                  <c:v>8.9036788024627383E-5</c:v>
                </c:pt>
                <c:pt idx="52" formatCode="0.00E+00">
                  <c:v>8.9408940248032558E-5</c:v>
                </c:pt>
                <c:pt idx="53" formatCode="0.00E+00">
                  <c:v>8.9726171714716883E-5</c:v>
                </c:pt>
                <c:pt idx="54" formatCode="0.00E+00">
                  <c:v>8.9993423792437643E-5</c:v>
                </c:pt>
                <c:pt idx="55" formatCode="0.00E+00">
                  <c:v>9.0174807564025167E-5</c:v>
                </c:pt>
                <c:pt idx="56" formatCode="0.00E+00">
                  <c:v>9.038234516069701E-5</c:v>
                </c:pt>
                <c:pt idx="57" formatCode="0.00E+00">
                  <c:v>9.0953441555838329E-5</c:v>
                </c:pt>
                <c:pt idx="58" formatCode="0.00E+00">
                  <c:v>9.1765196895077241E-5</c:v>
                </c:pt>
                <c:pt idx="59" formatCode="0.00E+00">
                  <c:v>9.2611810298042204E-5</c:v>
                </c:pt>
                <c:pt idx="60" formatCode="0.00E+00">
                  <c:v>9.3647517531163859E-5</c:v>
                </c:pt>
                <c:pt idx="61" formatCode="0.00E+00">
                  <c:v>9.5050006294872494E-5</c:v>
                </c:pt>
                <c:pt idx="62" formatCode="0.00E+00">
                  <c:v>9.645662760019035E-5</c:v>
                </c:pt>
                <c:pt idx="63" formatCode="0.00E+00">
                  <c:v>9.7387214206997634E-5</c:v>
                </c:pt>
                <c:pt idx="64" formatCode="0.00E+00">
                  <c:v>9.8272881152577143E-5</c:v>
                </c:pt>
                <c:pt idx="65" formatCode="0.00E+00">
                  <c:v>9.9315311676914197E-5</c:v>
                </c:pt>
                <c:pt idx="66" formatCode="0.00E+00">
                  <c:v>1.0022913979744075E-4</c:v>
                </c:pt>
                <c:pt idx="67" formatCode="0.00E+00">
                  <c:v>1.0111291012785455E-4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1.0741724290607476E-3</c:v>
                </c:pt>
                <c:pt idx="10" formatCode="0.00E+00">
                  <c:v>1.0741724290607476E-3</c:v>
                </c:pt>
                <c:pt idx="11" formatCode="0.00E+00">
                  <c:v>1.0741724290607476E-3</c:v>
                </c:pt>
                <c:pt idx="12" formatCode="0.00E+00">
                  <c:v>1.0741724290607476E-3</c:v>
                </c:pt>
                <c:pt idx="13" formatCode="0.00E+00">
                  <c:v>1.0741724290607476E-3</c:v>
                </c:pt>
                <c:pt idx="14" formatCode="0.00E+00">
                  <c:v>1.0741724290607476E-3</c:v>
                </c:pt>
                <c:pt idx="15" formatCode="0.00E+00">
                  <c:v>1.0741724290607476E-3</c:v>
                </c:pt>
                <c:pt idx="16" formatCode="0.00E+00">
                  <c:v>1.0741724290607476E-3</c:v>
                </c:pt>
                <c:pt idx="17" formatCode="0.00E+00">
                  <c:v>1.0741724290607476E-3</c:v>
                </c:pt>
                <c:pt idx="18" formatCode="0.00E+00">
                  <c:v>1.0741724290607476E-3</c:v>
                </c:pt>
                <c:pt idx="19" formatCode="0.00E+00">
                  <c:v>1.0741724290607476E-3</c:v>
                </c:pt>
                <c:pt idx="20" formatCode="0.00E+00">
                  <c:v>1.0723072716534118E-3</c:v>
                </c:pt>
                <c:pt idx="21" formatCode="0.00E+00">
                  <c:v>1.0704421142460759E-3</c:v>
                </c:pt>
                <c:pt idx="22" formatCode="0.00E+00">
                  <c:v>1.0685769568387401E-3</c:v>
                </c:pt>
                <c:pt idx="23" formatCode="0.00E+00">
                  <c:v>1.0667117994314045E-3</c:v>
                </c:pt>
                <c:pt idx="24" formatCode="0.00E+00">
                  <c:v>1.0648466420240688E-3</c:v>
                </c:pt>
                <c:pt idx="25" formatCode="0.00E+00">
                  <c:v>1.0629814846167332E-3</c:v>
                </c:pt>
                <c:pt idx="26" formatCode="0.00E+00">
                  <c:v>1.0611163272093976E-3</c:v>
                </c:pt>
                <c:pt idx="27" formatCode="0.00E+00">
                  <c:v>1.0592511698020617E-3</c:v>
                </c:pt>
                <c:pt idx="28" formatCode="0.00E+00">
                  <c:v>1.0573860123947261E-3</c:v>
                </c:pt>
                <c:pt idx="29" formatCode="0.00E+00">
                  <c:v>1.0555208549873905E-3</c:v>
                </c:pt>
                <c:pt idx="30" formatCode="0.00E+00">
                  <c:v>1.0536556975800548E-3</c:v>
                </c:pt>
                <c:pt idx="31" formatCode="0.00E+00">
                  <c:v>1.0517905401727192E-3</c:v>
                </c:pt>
                <c:pt idx="32" formatCode="0.00E+00">
                  <c:v>1.0499253827653836E-3</c:v>
                </c:pt>
                <c:pt idx="33" formatCode="0.00E+00">
                  <c:v>1.0480602253580479E-3</c:v>
                </c:pt>
                <c:pt idx="34" formatCode="0.00E+00">
                  <c:v>1.0461950679507121E-3</c:v>
                </c:pt>
                <c:pt idx="35" formatCode="0.00E+00">
                  <c:v>1.0443299105433765E-3</c:v>
                </c:pt>
                <c:pt idx="36" formatCode="0.00E+00">
                  <c:v>1.0424647531360406E-3</c:v>
                </c:pt>
                <c:pt idx="37" formatCode="0.00E+00">
                  <c:v>1.040599595728705E-3</c:v>
                </c:pt>
                <c:pt idx="38" formatCode="0.00E+00">
                  <c:v>1.0387344383213694E-3</c:v>
                </c:pt>
                <c:pt idx="39" formatCode="0.00E+00">
                  <c:v>1.0368692809140337E-3</c:v>
                </c:pt>
                <c:pt idx="40" formatCode="0.00E+00">
                  <c:v>1.0331389660993618E-3</c:v>
                </c:pt>
                <c:pt idx="41" formatCode="0.00E+00">
                  <c:v>1.0995181101032814E-3</c:v>
                </c:pt>
                <c:pt idx="42" formatCode="0.00E+00">
                  <c:v>1.1178720570179867E-3</c:v>
                </c:pt>
                <c:pt idx="43" formatCode="0.00E+00">
                  <c:v>1.139337361078613E-3</c:v>
                </c:pt>
                <c:pt idx="44" formatCode="0.00E+00">
                  <c:v>1.1689067098604232E-3</c:v>
                </c:pt>
                <c:pt idx="45" formatCode="0.00E+00">
                  <c:v>1.1886355244649762E-3</c:v>
                </c:pt>
                <c:pt idx="46" formatCode="0.00E+00">
                  <c:v>1.2005104013829389E-3</c:v>
                </c:pt>
                <c:pt idx="47" formatCode="0.00E+00">
                  <c:v>1.2150324713986361E-3</c:v>
                </c:pt>
                <c:pt idx="48" formatCode="0.00E+00">
                  <c:v>1.2281657343830318E-3</c:v>
                </c:pt>
                <c:pt idx="49" formatCode="0.00E+00">
                  <c:v>1.2718191053697899E-3</c:v>
                </c:pt>
                <c:pt idx="50" formatCode="0.00E+00">
                  <c:v>1.2872919346060385E-3</c:v>
                </c:pt>
                <c:pt idx="51" formatCode="0.00E+00">
                  <c:v>1.294373280286983E-3</c:v>
                </c:pt>
                <c:pt idx="52" formatCode="0.00E+00">
                  <c:v>1.2991392532857248E-3</c:v>
                </c:pt>
                <c:pt idx="53" formatCode="0.00E+00">
                  <c:v>1.2994994330511106E-3</c:v>
                </c:pt>
                <c:pt idx="54" formatCode="0.00E+00">
                  <c:v>1.2998067394523606E-3</c:v>
                </c:pt>
                <c:pt idx="55" formatCode="0.00E+00">
                  <c:v>1.29969410316452E-3</c:v>
                </c:pt>
                <c:pt idx="56" formatCode="0.00E+00">
                  <c:v>1.299580986209732E-3</c:v>
                </c:pt>
                <c:pt idx="57" formatCode="0.00E+00">
                  <c:v>1.2991434190659293E-3</c:v>
                </c:pt>
                <c:pt idx="58" formatCode="0.00E+00">
                  <c:v>1.2988513337846576E-3</c:v>
                </c:pt>
                <c:pt idx="59" formatCode="0.00E+00">
                  <c:v>1.2983562468295675E-3</c:v>
                </c:pt>
                <c:pt idx="60" formatCode="0.00E+00">
                  <c:v>1.2980781008897497E-3</c:v>
                </c:pt>
                <c:pt idx="61" formatCode="0.00E+00">
                  <c:v>1.2978283142997872E-3</c:v>
                </c:pt>
                <c:pt idx="62" formatCode="0.00E+00">
                  <c:v>1.2973135199998824E-3</c:v>
                </c:pt>
                <c:pt idx="63" formatCode="0.00E+00">
                  <c:v>1.2970622914090792E-3</c:v>
                </c:pt>
                <c:pt idx="64" formatCode="0.00E+00">
                  <c:v>1.2965591933382112E-3</c:v>
                </c:pt>
                <c:pt idx="65" formatCode="0.00E+00">
                  <c:v>1.2964217225914581E-3</c:v>
                </c:pt>
                <c:pt idx="66" formatCode="0.00E+00">
                  <c:v>1.2961902013454692E-3</c:v>
                </c:pt>
                <c:pt idx="67" formatCode="0.00E+00">
                  <c:v>1.2958891436145262E-3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7.7904970301948082E-4</c:v>
                </c:pt>
                <c:pt idx="21" formatCode="0.00E+00">
                  <c:v>7.7769463403628821E-4</c:v>
                </c:pt>
                <c:pt idx="22" formatCode="0.00E+00">
                  <c:v>7.7633956505309559E-4</c:v>
                </c:pt>
                <c:pt idx="23" formatCode="0.00E+00">
                  <c:v>7.7498449606990298E-4</c:v>
                </c:pt>
                <c:pt idx="24" formatCode="0.00E+00">
                  <c:v>7.7362942708671036E-4</c:v>
                </c:pt>
                <c:pt idx="25" formatCode="0.00E+00">
                  <c:v>7.7227435810351774E-4</c:v>
                </c:pt>
                <c:pt idx="26" formatCode="0.00E+00">
                  <c:v>7.7091928912032513E-4</c:v>
                </c:pt>
                <c:pt idx="27" formatCode="0.00E+00">
                  <c:v>7.6956422013713251E-4</c:v>
                </c:pt>
                <c:pt idx="28" formatCode="0.00E+00">
                  <c:v>7.682091511539399E-4</c:v>
                </c:pt>
                <c:pt idx="29" formatCode="0.00E+00">
                  <c:v>7.6685408217074728E-4</c:v>
                </c:pt>
                <c:pt idx="30" formatCode="0.00E+00">
                  <c:v>7.6549901318755467E-4</c:v>
                </c:pt>
                <c:pt idx="31" formatCode="0.00E+00">
                  <c:v>7.6414394420436205E-4</c:v>
                </c:pt>
                <c:pt idx="32" formatCode="0.00E+00">
                  <c:v>7.6278887522116944E-4</c:v>
                </c:pt>
                <c:pt idx="33" formatCode="0.00E+00">
                  <c:v>7.6143380623797682E-4</c:v>
                </c:pt>
                <c:pt idx="34" formatCode="0.00E+00">
                  <c:v>7.6007873725478421E-4</c:v>
                </c:pt>
                <c:pt idx="35" formatCode="0.00E+00">
                  <c:v>7.5872366827159159E-4</c:v>
                </c:pt>
                <c:pt idx="36" formatCode="0.00E+00">
                  <c:v>7.5736859928839898E-4</c:v>
                </c:pt>
                <c:pt idx="37" formatCode="0.00E+00">
                  <c:v>7.5601353030520636E-4</c:v>
                </c:pt>
                <c:pt idx="38" formatCode="0.00E+00">
                  <c:v>7.5465846132201375E-4</c:v>
                </c:pt>
                <c:pt idx="39" formatCode="0.00E+00">
                  <c:v>7.5330339233882113E-4</c:v>
                </c:pt>
                <c:pt idx="40" formatCode="0.00E+00">
                  <c:v>7.5059325437243547E-4</c:v>
                </c:pt>
                <c:pt idx="41" formatCode="0.00E+00">
                  <c:v>7.9881884585164282E-4</c:v>
                </c:pt>
                <c:pt idx="42" formatCode="0.00E+00">
                  <c:v>8.1215330442627252E-4</c:v>
                </c:pt>
                <c:pt idx="43" formatCode="0.00E+00">
                  <c:v>8.277482175595845E-4</c:v>
                </c:pt>
                <c:pt idx="44" formatCode="0.00E+00">
                  <c:v>8.4923085877251694E-4</c:v>
                </c:pt>
                <c:pt idx="45" formatCode="0.00E+00">
                  <c:v>8.6356418240549429E-4</c:v>
                </c:pt>
                <c:pt idx="46" formatCode="0.00E+00">
                  <c:v>8.721914850275005E-4</c:v>
                </c:pt>
                <c:pt idx="47" formatCode="0.00E+00">
                  <c:v>8.8274201903209843E-4</c:v>
                </c:pt>
                <c:pt idx="48" formatCode="0.00E+00">
                  <c:v>8.9228356080668159E-4</c:v>
                </c:pt>
                <c:pt idx="49" formatCode="0.00E+00">
                  <c:v>9.2399848674446351E-4</c:v>
                </c:pt>
                <c:pt idx="50" formatCode="0.00E+00">
                  <c:v>9.3523976369932777E-4</c:v>
                </c:pt>
                <c:pt idx="51" formatCode="0.00E+00">
                  <c:v>9.4038448331053737E-4</c:v>
                </c:pt>
                <c:pt idx="52" formatCode="0.00E+00">
                  <c:v>9.4384704478654366E-4</c:v>
                </c:pt>
                <c:pt idx="53" formatCode="0.00E+00">
                  <c:v>9.4410872159008232E-4</c:v>
                </c:pt>
                <c:pt idx="54" formatCode="0.00E+00">
                  <c:v>9.443319849838489E-4</c:v>
                </c:pt>
                <c:pt idx="55" formatCode="0.00E+00">
                  <c:v>9.4425015278060706E-4</c:v>
                </c:pt>
                <c:pt idx="56" formatCode="0.00E+00">
                  <c:v>9.4416797136454901E-4</c:v>
                </c:pt>
                <c:pt idx="57" formatCode="0.00E+00">
                  <c:v>9.4385007129761667E-4</c:v>
                </c:pt>
                <c:pt idx="58" formatCode="0.00E+00">
                  <c:v>9.4363786630969357E-4</c:v>
                </c:pt>
                <c:pt idx="59" formatCode="0.00E+00">
                  <c:v>9.4327817710909993E-4</c:v>
                </c:pt>
                <c:pt idx="60" formatCode="0.00E+00">
                  <c:v>9.4307609929284396E-4</c:v>
                </c:pt>
                <c:pt idx="61" formatCode="0.00E+00">
                  <c:v>9.4289462503273878E-4</c:v>
                </c:pt>
                <c:pt idx="62" formatCode="0.00E+00">
                  <c:v>9.4252061810668451E-4</c:v>
                </c:pt>
                <c:pt idx="63" formatCode="0.00E+00">
                  <c:v>9.4233809620813079E-4</c:v>
                </c:pt>
                <c:pt idx="64" formatCode="0.00E+00">
                  <c:v>9.4197258679393529E-4</c:v>
                </c:pt>
                <c:pt idx="65" formatCode="0.00E+00">
                  <c:v>9.4187271192852781E-4</c:v>
                </c:pt>
                <c:pt idx="66" formatCode="0.00E+00">
                  <c:v>9.4170450775543462E-4</c:v>
                </c:pt>
                <c:pt idx="67" formatCode="0.00E+00">
                  <c:v>9.4148578412827765E-4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3.3000958546164708E-4</c:v>
                </c:pt>
                <c:pt idx="14" formatCode="0.00E+00">
                  <c:v>3.3397333498517805E-4</c:v>
                </c:pt>
                <c:pt idx="15" formatCode="0.00E+00">
                  <c:v>3.3793708450870902E-4</c:v>
                </c:pt>
                <c:pt idx="16" formatCode="0.00E+00">
                  <c:v>3.4190083403223999E-4</c:v>
                </c:pt>
                <c:pt idx="17" formatCode="0.00E+00">
                  <c:v>3.4586458355577096E-4</c:v>
                </c:pt>
                <c:pt idx="18" formatCode="0.00E+00">
                  <c:v>3.4982833307930193E-4</c:v>
                </c:pt>
                <c:pt idx="19" formatCode="0.00E+00">
                  <c:v>3.537920826028329E-4</c:v>
                </c:pt>
                <c:pt idx="20" formatCode="0.00E+00">
                  <c:v>3.5775583212636387E-4</c:v>
                </c:pt>
                <c:pt idx="21" formatCode="0.00E+00">
                  <c:v>3.6171958164989484E-4</c:v>
                </c:pt>
                <c:pt idx="22" formatCode="0.00E+00">
                  <c:v>3.6568333117342582E-4</c:v>
                </c:pt>
                <c:pt idx="23" formatCode="0.00E+00">
                  <c:v>3.6964708069695679E-4</c:v>
                </c:pt>
                <c:pt idx="24" formatCode="0.00E+00">
                  <c:v>3.7361083022048776E-4</c:v>
                </c:pt>
                <c:pt idx="25" formatCode="0.00E+00">
                  <c:v>3.7757457974401873E-4</c:v>
                </c:pt>
                <c:pt idx="26" formatCode="0.00E+00">
                  <c:v>3.815383292675497E-4</c:v>
                </c:pt>
                <c:pt idx="27" formatCode="0.00E+00">
                  <c:v>3.8550207879108067E-4</c:v>
                </c:pt>
                <c:pt idx="28" formatCode="0.00E+00">
                  <c:v>3.8946582831461164E-4</c:v>
                </c:pt>
                <c:pt idx="29" formatCode="0.00E+00">
                  <c:v>3.9342957783814261E-4</c:v>
                </c:pt>
                <c:pt idx="30" formatCode="0.00E+00">
                  <c:v>3.9739332736167358E-4</c:v>
                </c:pt>
                <c:pt idx="31" formatCode="0.00E+00">
                  <c:v>4.0135707688520629E-4</c:v>
                </c:pt>
                <c:pt idx="32" formatCode="0.00E+00">
                  <c:v>4.0532082640873726E-4</c:v>
                </c:pt>
                <c:pt idx="33" formatCode="0.00E+00">
                  <c:v>4.0928457593226823E-4</c:v>
                </c:pt>
                <c:pt idx="34" formatCode="0.00E+00">
                  <c:v>4.132483254557992E-4</c:v>
                </c:pt>
                <c:pt idx="35" formatCode="0.00E+00">
                  <c:v>4.1721207497933017E-4</c:v>
                </c:pt>
                <c:pt idx="36" formatCode="0.00E+00">
                  <c:v>4.2117582450286115E-4</c:v>
                </c:pt>
                <c:pt idx="37" formatCode="0.00E+00">
                  <c:v>4.2513957402639212E-4</c:v>
                </c:pt>
                <c:pt idx="38" formatCode="0.00E+00">
                  <c:v>4.2910332354992309E-4</c:v>
                </c:pt>
                <c:pt idx="39" formatCode="0.00E+00">
                  <c:v>4.3306707307345406E-4</c:v>
                </c:pt>
                <c:pt idx="40" formatCode="0.00E+00">
                  <c:v>4.3956547255263602E-4</c:v>
                </c:pt>
                <c:pt idx="41" formatCode="0.00E+00">
                  <c:v>4.4366680476890972E-4</c:v>
                </c:pt>
                <c:pt idx="42" formatCode="0.00E+00">
                  <c:v>4.4597245060431232E-4</c:v>
                </c:pt>
                <c:pt idx="43" formatCode="0.00E+00">
                  <c:v>4.4931411605150481E-4</c:v>
                </c:pt>
                <c:pt idx="44" formatCode="0.00E+00">
                  <c:v>4.5288823478004158E-4</c:v>
                </c:pt>
                <c:pt idx="45" formatCode="0.00E+00">
                  <c:v>4.5662840926832999E-4</c:v>
                </c:pt>
                <c:pt idx="46" formatCode="0.00E+00">
                  <c:v>4.6040875969022651E-4</c:v>
                </c:pt>
                <c:pt idx="47" formatCode="0.00E+00">
                  <c:v>4.6419842254086203E-4</c:v>
                </c:pt>
                <c:pt idx="48" formatCode="0.00E+00">
                  <c:v>4.6802171784268048E-4</c:v>
                </c:pt>
                <c:pt idx="49" formatCode="0.00E+00">
                  <c:v>4.718495549789862E-4</c:v>
                </c:pt>
                <c:pt idx="50" formatCode="0.00E+00">
                  <c:v>4.7569706545502331E-4</c:v>
                </c:pt>
                <c:pt idx="51" formatCode="0.00E+00">
                  <c:v>4.7956228574948121E-4</c:v>
                </c:pt>
                <c:pt idx="52" formatCode="0.00E+00">
                  <c:v>4.8344561142611898E-4</c:v>
                </c:pt>
                <c:pt idx="53" formatCode="0.00E+00">
                  <c:v>4.8740041976327717E-4</c:v>
                </c:pt>
                <c:pt idx="54" formatCode="0.00E+00">
                  <c:v>4.9138744510057676E-4</c:v>
                </c:pt>
                <c:pt idx="55" formatCode="0.00E+00">
                  <c:v>4.9540734035651132E-4</c:v>
                </c:pt>
                <c:pt idx="56" formatCode="0.00E+00">
                  <c:v>4.9946276009751292E-4</c:v>
                </c:pt>
                <c:pt idx="57" formatCode="0.00E+00">
                  <c:v>5.0354741343006288E-4</c:v>
                </c:pt>
                <c:pt idx="58" formatCode="0.00E+00">
                  <c:v>5.076679534506399E-4</c:v>
                </c:pt>
                <c:pt idx="59" formatCode="0.00E+00">
                  <c:v>5.1181172688478038E-4</c:v>
                </c:pt>
                <c:pt idx="60" formatCode="0.00E+00">
                  <c:v>5.1597913882790009E-4</c:v>
                </c:pt>
                <c:pt idx="61" formatCode="0.00E+00">
                  <c:v>5.2017698058550235E-4</c:v>
                </c:pt>
                <c:pt idx="62" formatCode="0.00E+00">
                  <c:v>5.2440413218790766E-4</c:v>
                </c:pt>
                <c:pt idx="63" formatCode="0.00E+00">
                  <c:v>5.2866665576887042E-4</c:v>
                </c:pt>
                <c:pt idx="64" formatCode="0.00E+00">
                  <c:v>5.3296936481509794E-4</c:v>
                </c:pt>
                <c:pt idx="65" formatCode="0.00E+00">
                  <c:v>5.3730424796901105E-4</c:v>
                </c:pt>
                <c:pt idx="66" formatCode="0.00E+00">
                  <c:v>5.4167698609809006E-4</c:v>
                </c:pt>
                <c:pt idx="67" formatCode="0.00E+00">
                  <c:v>5.4607888156546253E-4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1.8223851973329149E-4</c:v>
                </c:pt>
                <c:pt idx="14" formatCode="0.00E+00">
                  <c:v>1.8223851973329149E-4</c:v>
                </c:pt>
                <c:pt idx="15" formatCode="0.00E+00">
                  <c:v>1.8223851973329149E-4</c:v>
                </c:pt>
                <c:pt idx="16" formatCode="0.00E+00">
                  <c:v>1.8223851973329149E-4</c:v>
                </c:pt>
                <c:pt idx="17" formatCode="0.00E+00">
                  <c:v>1.8223851973329149E-4</c:v>
                </c:pt>
                <c:pt idx="18" formatCode="0.00E+00">
                  <c:v>1.8223851973329149E-4</c:v>
                </c:pt>
                <c:pt idx="19" formatCode="0.00E+00">
                  <c:v>1.8223851973329149E-4</c:v>
                </c:pt>
                <c:pt idx="20" formatCode="0.00E+00">
                  <c:v>1.8223851973329149E-4</c:v>
                </c:pt>
                <c:pt idx="21" formatCode="0.00E+00">
                  <c:v>1.8223851973329149E-4</c:v>
                </c:pt>
                <c:pt idx="22" formatCode="0.00E+00">
                  <c:v>1.8223851973329149E-4</c:v>
                </c:pt>
                <c:pt idx="23" formatCode="0.00E+00">
                  <c:v>1.8223851973329149E-4</c:v>
                </c:pt>
                <c:pt idx="24" formatCode="0.00E+00">
                  <c:v>1.8223851973329149E-4</c:v>
                </c:pt>
                <c:pt idx="25" formatCode="0.00E+00">
                  <c:v>1.8223851973329149E-4</c:v>
                </c:pt>
                <c:pt idx="26" formatCode="0.00E+00">
                  <c:v>1.8223851973329149E-4</c:v>
                </c:pt>
                <c:pt idx="27" formatCode="0.00E+00">
                  <c:v>1.8223851973329149E-4</c:v>
                </c:pt>
                <c:pt idx="28" formatCode="0.00E+00">
                  <c:v>1.8223851973329149E-4</c:v>
                </c:pt>
                <c:pt idx="29" formatCode="0.00E+00">
                  <c:v>1.8223851973329149E-4</c:v>
                </c:pt>
                <c:pt idx="30" formatCode="0.00E+00">
                  <c:v>1.8223851973329149E-4</c:v>
                </c:pt>
                <c:pt idx="31" formatCode="0.00E+00">
                  <c:v>1.8223851973329149E-4</c:v>
                </c:pt>
                <c:pt idx="32" formatCode="0.00E+00">
                  <c:v>1.8223851973329149E-4</c:v>
                </c:pt>
                <c:pt idx="33" formatCode="0.00E+00">
                  <c:v>1.8223851973329149E-4</c:v>
                </c:pt>
                <c:pt idx="34" formatCode="0.00E+00">
                  <c:v>1.8223851973329149E-4</c:v>
                </c:pt>
                <c:pt idx="35" formatCode="0.00E+00">
                  <c:v>1.8223851973329149E-4</c:v>
                </c:pt>
                <c:pt idx="36" formatCode="0.00E+00">
                  <c:v>1.8223851973329149E-4</c:v>
                </c:pt>
                <c:pt idx="37" formatCode="0.00E+00">
                  <c:v>1.8223851973329149E-4</c:v>
                </c:pt>
                <c:pt idx="38" formatCode="0.00E+00">
                  <c:v>1.8223851973329149E-4</c:v>
                </c:pt>
                <c:pt idx="39" formatCode="0.00E+00">
                  <c:v>1.8223851973329149E-4</c:v>
                </c:pt>
                <c:pt idx="40" formatCode="0.00E+00">
                  <c:v>1.8223851973329149E-4</c:v>
                </c:pt>
                <c:pt idx="41" formatCode="0.00E+00">
                  <c:v>1.8223851973329149E-4</c:v>
                </c:pt>
                <c:pt idx="42" formatCode="0.00E+00">
                  <c:v>1.8223851973329149E-4</c:v>
                </c:pt>
                <c:pt idx="43" formatCode="0.00E+00">
                  <c:v>1.8223851973329149E-4</c:v>
                </c:pt>
                <c:pt idx="44" formatCode="0.00E+00">
                  <c:v>1.8223851973329149E-4</c:v>
                </c:pt>
                <c:pt idx="45" formatCode="0.00E+00">
                  <c:v>1.8223851973329149E-4</c:v>
                </c:pt>
                <c:pt idx="46" formatCode="0.00E+00">
                  <c:v>1.8223851973329149E-4</c:v>
                </c:pt>
                <c:pt idx="47" formatCode="0.00E+00">
                  <c:v>1.8223851973329149E-4</c:v>
                </c:pt>
                <c:pt idx="48" formatCode="0.00E+00">
                  <c:v>1.8223851973329149E-4</c:v>
                </c:pt>
                <c:pt idx="49" formatCode="0.00E+00">
                  <c:v>1.8223851973329149E-4</c:v>
                </c:pt>
                <c:pt idx="50" formatCode="0.00E+00">
                  <c:v>1.8223851973329149E-4</c:v>
                </c:pt>
                <c:pt idx="51" formatCode="0.00E+00">
                  <c:v>1.8223851973329149E-4</c:v>
                </c:pt>
                <c:pt idx="52" formatCode="0.00E+00">
                  <c:v>1.8223851973329149E-4</c:v>
                </c:pt>
                <c:pt idx="53" formatCode="0.00E+00">
                  <c:v>1.8223851973329149E-4</c:v>
                </c:pt>
                <c:pt idx="54" formatCode="0.00E+00">
                  <c:v>1.8223851973329149E-4</c:v>
                </c:pt>
                <c:pt idx="55" formatCode="0.00E+00">
                  <c:v>1.8223851973329149E-4</c:v>
                </c:pt>
                <c:pt idx="56" formatCode="0.00E+00">
                  <c:v>1.8223851973329149E-4</c:v>
                </c:pt>
                <c:pt idx="57" formatCode="0.00E+00">
                  <c:v>1.8223851973329149E-4</c:v>
                </c:pt>
                <c:pt idx="58" formatCode="0.00E+00">
                  <c:v>1.8223851973329149E-4</c:v>
                </c:pt>
                <c:pt idx="59" formatCode="0.00E+00">
                  <c:v>1.8223851973329149E-4</c:v>
                </c:pt>
                <c:pt idx="60" formatCode="0.00E+00">
                  <c:v>1.8223851973329149E-4</c:v>
                </c:pt>
                <c:pt idx="61" formatCode="0.00E+00">
                  <c:v>1.8223851973329149E-4</c:v>
                </c:pt>
                <c:pt idx="62" formatCode="0.00E+00">
                  <c:v>1.8223851973329149E-4</c:v>
                </c:pt>
                <c:pt idx="63" formatCode="0.00E+00">
                  <c:v>1.8223851973329149E-4</c:v>
                </c:pt>
                <c:pt idx="64" formatCode="0.00E+00">
                  <c:v>1.8223851973329149E-4</c:v>
                </c:pt>
                <c:pt idx="65" formatCode="0.00E+00">
                  <c:v>1.8223851973329149E-4</c:v>
                </c:pt>
                <c:pt idx="66" formatCode="0.00E+00">
                  <c:v>1.8223851973329149E-4</c:v>
                </c:pt>
                <c:pt idx="67" formatCode="0.00E+00">
                  <c:v>1.8223851973329149E-4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5.0586266198922429E-5</c:v>
                </c:pt>
                <c:pt idx="4" formatCode="0.00E+00">
                  <c:v>5.0586266198922429E-5</c:v>
                </c:pt>
                <c:pt idx="5" formatCode="0.00E+00">
                  <c:v>5.0586266198922429E-5</c:v>
                </c:pt>
                <c:pt idx="6" formatCode="0.00E+00">
                  <c:v>5.0586266198922429E-5</c:v>
                </c:pt>
                <c:pt idx="7" formatCode="0.00E+00">
                  <c:v>5.0586266198922429E-5</c:v>
                </c:pt>
                <c:pt idx="8" formatCode="0.00E+00">
                  <c:v>5.0586266198922429E-5</c:v>
                </c:pt>
                <c:pt idx="9" formatCode="0.00E+00">
                  <c:v>5.0586266198922429E-5</c:v>
                </c:pt>
                <c:pt idx="10" formatCode="0.00E+00">
                  <c:v>5.0586266198922429E-5</c:v>
                </c:pt>
                <c:pt idx="11" formatCode="0.00E+00">
                  <c:v>5.0586266198922429E-5</c:v>
                </c:pt>
                <c:pt idx="12" formatCode="0.00E+00">
                  <c:v>5.0586266198922429E-5</c:v>
                </c:pt>
                <c:pt idx="13" formatCode="0.00E+00">
                  <c:v>5.0586266198922429E-5</c:v>
                </c:pt>
                <c:pt idx="14" formatCode="0.00E+00">
                  <c:v>5.0586266198922429E-5</c:v>
                </c:pt>
                <c:pt idx="15" formatCode="0.00E+00">
                  <c:v>5.0586266198922429E-5</c:v>
                </c:pt>
                <c:pt idx="16" formatCode="0.00E+00">
                  <c:v>5.0586266198922429E-5</c:v>
                </c:pt>
                <c:pt idx="17" formatCode="0.00E+00">
                  <c:v>5.0586266198922429E-5</c:v>
                </c:pt>
                <c:pt idx="18" formatCode="0.00E+00">
                  <c:v>5.0586266198922429E-5</c:v>
                </c:pt>
                <c:pt idx="19" formatCode="0.00E+00">
                  <c:v>5.0586266198922429E-5</c:v>
                </c:pt>
                <c:pt idx="20" formatCode="0.00E+00">
                  <c:v>5.0586266198922429E-5</c:v>
                </c:pt>
                <c:pt idx="21" formatCode="0.00E+00">
                  <c:v>5.0586266198922429E-5</c:v>
                </c:pt>
                <c:pt idx="22" formatCode="0.00E+00">
                  <c:v>5.0586266198922429E-5</c:v>
                </c:pt>
                <c:pt idx="23" formatCode="0.00E+00">
                  <c:v>5.0586266198922429E-5</c:v>
                </c:pt>
                <c:pt idx="24" formatCode="0.00E+00">
                  <c:v>5.0586266198922429E-5</c:v>
                </c:pt>
                <c:pt idx="25" formatCode="0.00E+00">
                  <c:v>5.0586266198922429E-5</c:v>
                </c:pt>
                <c:pt idx="26" formatCode="0.00E+00">
                  <c:v>5.0586266198922429E-5</c:v>
                </c:pt>
                <c:pt idx="27" formatCode="0.00E+00">
                  <c:v>5.0586266198922429E-5</c:v>
                </c:pt>
                <c:pt idx="28" formatCode="0.00E+00">
                  <c:v>5.0586266198922429E-5</c:v>
                </c:pt>
                <c:pt idx="29" formatCode="0.00E+00">
                  <c:v>5.0586266198922429E-5</c:v>
                </c:pt>
                <c:pt idx="30" formatCode="0.00E+00">
                  <c:v>5.0586266198922429E-5</c:v>
                </c:pt>
                <c:pt idx="31" formatCode="0.00E+00">
                  <c:v>5.0586266198922429E-5</c:v>
                </c:pt>
                <c:pt idx="32" formatCode="0.00E+00">
                  <c:v>5.0586266198922429E-5</c:v>
                </c:pt>
                <c:pt idx="33" formatCode="0.00E+00">
                  <c:v>5.0586266198922429E-5</c:v>
                </c:pt>
                <c:pt idx="34" formatCode="0.00E+00">
                  <c:v>5.0586266198922429E-5</c:v>
                </c:pt>
                <c:pt idx="35" formatCode="0.00E+00">
                  <c:v>5.0586266198922429E-5</c:v>
                </c:pt>
                <c:pt idx="36" formatCode="0.00E+00">
                  <c:v>5.0586266198922429E-5</c:v>
                </c:pt>
                <c:pt idx="37" formatCode="0.00E+00">
                  <c:v>5.0586266198922429E-5</c:v>
                </c:pt>
                <c:pt idx="38" formatCode="0.00E+00">
                  <c:v>5.0586266198922429E-5</c:v>
                </c:pt>
                <c:pt idx="39" formatCode="0.00E+00">
                  <c:v>5.0586266198922429E-5</c:v>
                </c:pt>
                <c:pt idx="40" formatCode="0.00E+00">
                  <c:v>5.0586266198922429E-5</c:v>
                </c:pt>
                <c:pt idx="41" formatCode="0.00E+00">
                  <c:v>5.0586266198922429E-5</c:v>
                </c:pt>
                <c:pt idx="42" formatCode="0.00E+00">
                  <c:v>5.0586266198922429E-5</c:v>
                </c:pt>
                <c:pt idx="43" formatCode="0.00E+00">
                  <c:v>5.0586266198922429E-5</c:v>
                </c:pt>
                <c:pt idx="44" formatCode="0.00E+00">
                  <c:v>5.0586266198922429E-5</c:v>
                </c:pt>
                <c:pt idx="45" formatCode="0.00E+00">
                  <c:v>5.0586266198922429E-5</c:v>
                </c:pt>
                <c:pt idx="46" formatCode="0.00E+00">
                  <c:v>5.0586266198922429E-5</c:v>
                </c:pt>
                <c:pt idx="47" formatCode="0.00E+00">
                  <c:v>5.0586266198922429E-5</c:v>
                </c:pt>
                <c:pt idx="48" formatCode="0.00E+00">
                  <c:v>5.0586266198922429E-5</c:v>
                </c:pt>
                <c:pt idx="49" formatCode="0.00E+00">
                  <c:v>5.0586266198922429E-5</c:v>
                </c:pt>
                <c:pt idx="50" formatCode="0.00E+00">
                  <c:v>5.0586266198922429E-5</c:v>
                </c:pt>
                <c:pt idx="51" formatCode="0.00E+00">
                  <c:v>5.0586266198922429E-5</c:v>
                </c:pt>
                <c:pt idx="52" formatCode="0.00E+00">
                  <c:v>5.0586266198922429E-5</c:v>
                </c:pt>
                <c:pt idx="53" formatCode="0.00E+00">
                  <c:v>5.0586266198922429E-5</c:v>
                </c:pt>
                <c:pt idx="54" formatCode="0.00E+00">
                  <c:v>5.0586266198922429E-5</c:v>
                </c:pt>
                <c:pt idx="55" formatCode="0.00E+00">
                  <c:v>5.0586266198922429E-5</c:v>
                </c:pt>
                <c:pt idx="56" formatCode="0.00E+00">
                  <c:v>5.0586266198922429E-5</c:v>
                </c:pt>
                <c:pt idx="57" formatCode="0.00E+00">
                  <c:v>5.0586266198922429E-5</c:v>
                </c:pt>
                <c:pt idx="58" formatCode="0.00E+00">
                  <c:v>5.0586266198922429E-5</c:v>
                </c:pt>
                <c:pt idx="59" formatCode="0.00E+00">
                  <c:v>5.0586266198922429E-5</c:v>
                </c:pt>
                <c:pt idx="60" formatCode="0.00E+00">
                  <c:v>5.0586266198922429E-5</c:v>
                </c:pt>
                <c:pt idx="61" formatCode="0.00E+00">
                  <c:v>5.0586266198922429E-5</c:v>
                </c:pt>
                <c:pt idx="62" formatCode="0.00E+00">
                  <c:v>5.0586266198922429E-5</c:v>
                </c:pt>
                <c:pt idx="63" formatCode="0.00E+00">
                  <c:v>5.0586266198922429E-5</c:v>
                </c:pt>
                <c:pt idx="64" formatCode="0.00E+00">
                  <c:v>5.0586266198922429E-5</c:v>
                </c:pt>
                <c:pt idx="65" formatCode="0.00E+00">
                  <c:v>5.0586266198922429E-5</c:v>
                </c:pt>
                <c:pt idx="66" formatCode="0.00E+00">
                  <c:v>5.0586266198922429E-5</c:v>
                </c:pt>
                <c:pt idx="67" formatCode="0.00E+00">
                  <c:v>5.0586266198922429E-5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1.187239917321092E-5</c:v>
                </c:pt>
                <c:pt idx="5" formatCode="0.00E+00">
                  <c:v>1.187239917321092E-5</c:v>
                </c:pt>
                <c:pt idx="6" formatCode="0.00E+00">
                  <c:v>1.187239917321092E-5</c:v>
                </c:pt>
                <c:pt idx="7" formatCode="0.00E+00">
                  <c:v>1.187239917321092E-5</c:v>
                </c:pt>
                <c:pt idx="8" formatCode="0.00E+00">
                  <c:v>1.187239917321092E-5</c:v>
                </c:pt>
                <c:pt idx="9" formatCode="0.00E+00">
                  <c:v>1.187239917321092E-5</c:v>
                </c:pt>
                <c:pt idx="10" formatCode="0.00E+00">
                  <c:v>1.187239917321092E-5</c:v>
                </c:pt>
                <c:pt idx="11" formatCode="0.00E+00">
                  <c:v>1.187239917321092E-5</c:v>
                </c:pt>
                <c:pt idx="12" formatCode="0.00E+00">
                  <c:v>1.187239917321092E-5</c:v>
                </c:pt>
                <c:pt idx="13" formatCode="0.00E+00">
                  <c:v>1.187239917321092E-5</c:v>
                </c:pt>
                <c:pt idx="14" formatCode="0.00E+00">
                  <c:v>1.187239917321092E-5</c:v>
                </c:pt>
                <c:pt idx="15" formatCode="0.00E+00">
                  <c:v>1.187239917321092E-5</c:v>
                </c:pt>
                <c:pt idx="16" formatCode="0.00E+00">
                  <c:v>1.187239917321092E-5</c:v>
                </c:pt>
                <c:pt idx="17" formatCode="0.00E+00">
                  <c:v>1.187239917321092E-5</c:v>
                </c:pt>
                <c:pt idx="18" formatCode="0.00E+00">
                  <c:v>1.187239917321092E-5</c:v>
                </c:pt>
                <c:pt idx="19" formatCode="0.00E+00">
                  <c:v>1.187239917321092E-5</c:v>
                </c:pt>
                <c:pt idx="20" formatCode="0.00E+00">
                  <c:v>1.187239917321092E-5</c:v>
                </c:pt>
                <c:pt idx="21" formatCode="0.00E+00">
                  <c:v>1.187239917321092E-5</c:v>
                </c:pt>
                <c:pt idx="22" formatCode="0.00E+00">
                  <c:v>1.187239917321092E-5</c:v>
                </c:pt>
                <c:pt idx="23" formatCode="0.00E+00">
                  <c:v>1.187239917321092E-5</c:v>
                </c:pt>
                <c:pt idx="24" formatCode="0.00E+00">
                  <c:v>1.187239917321092E-5</c:v>
                </c:pt>
                <c:pt idx="25" formatCode="0.00E+00">
                  <c:v>1.187239917321092E-5</c:v>
                </c:pt>
                <c:pt idx="26" formatCode="0.00E+00">
                  <c:v>1.187239917321092E-5</c:v>
                </c:pt>
                <c:pt idx="27" formatCode="0.00E+00">
                  <c:v>1.187239917321092E-5</c:v>
                </c:pt>
                <c:pt idx="28" formatCode="0.00E+00">
                  <c:v>1.187239917321092E-5</c:v>
                </c:pt>
                <c:pt idx="29" formatCode="0.00E+00">
                  <c:v>1.187239917321092E-5</c:v>
                </c:pt>
                <c:pt idx="30" formatCode="0.00E+00">
                  <c:v>1.187239917321092E-5</c:v>
                </c:pt>
                <c:pt idx="31" formatCode="0.00E+00">
                  <c:v>1.187239917321092E-5</c:v>
                </c:pt>
                <c:pt idx="32" formatCode="0.00E+00">
                  <c:v>1.187239917321092E-5</c:v>
                </c:pt>
                <c:pt idx="33" formatCode="0.00E+00">
                  <c:v>1.187239917321092E-5</c:v>
                </c:pt>
                <c:pt idx="34" formatCode="0.00E+00">
                  <c:v>1.187239917321092E-5</c:v>
                </c:pt>
                <c:pt idx="35" formatCode="0.00E+00">
                  <c:v>1.187239917321092E-5</c:v>
                </c:pt>
                <c:pt idx="36" formatCode="0.00E+00">
                  <c:v>1.187239917321092E-5</c:v>
                </c:pt>
                <c:pt idx="37" formatCode="0.00E+00">
                  <c:v>1.187239917321092E-5</c:v>
                </c:pt>
                <c:pt idx="38" formatCode="0.00E+00">
                  <c:v>1.187239917321092E-5</c:v>
                </c:pt>
                <c:pt idx="39" formatCode="0.00E+00">
                  <c:v>1.187239917321092E-5</c:v>
                </c:pt>
                <c:pt idx="40" formatCode="0.00E+00">
                  <c:v>1.187239917321092E-5</c:v>
                </c:pt>
                <c:pt idx="41" formatCode="0.00E+00">
                  <c:v>1.1872399173210917E-5</c:v>
                </c:pt>
                <c:pt idx="42" formatCode="0.00E+00">
                  <c:v>1.1872399173210917E-5</c:v>
                </c:pt>
                <c:pt idx="43" formatCode="0.00E+00">
                  <c:v>1.1872399173210917E-5</c:v>
                </c:pt>
                <c:pt idx="44" formatCode="0.00E+00">
                  <c:v>1.1872399173210917E-5</c:v>
                </c:pt>
                <c:pt idx="45" formatCode="0.00E+00">
                  <c:v>1.1872399173210917E-5</c:v>
                </c:pt>
                <c:pt idx="46" formatCode="0.00E+00">
                  <c:v>1.1872399173210917E-5</c:v>
                </c:pt>
                <c:pt idx="47" formatCode="0.00E+00">
                  <c:v>1.1872399173210917E-5</c:v>
                </c:pt>
                <c:pt idx="48" formatCode="0.00E+00">
                  <c:v>1.1872399173210917E-5</c:v>
                </c:pt>
                <c:pt idx="49" formatCode="0.00E+00">
                  <c:v>1.1872399173210917E-5</c:v>
                </c:pt>
                <c:pt idx="50" formatCode="0.00E+00">
                  <c:v>1.1872399173210917E-5</c:v>
                </c:pt>
                <c:pt idx="51" formatCode="0.00E+00">
                  <c:v>1.1872399173210917E-5</c:v>
                </c:pt>
                <c:pt idx="52" formatCode="0.00E+00">
                  <c:v>1.1872399173210917E-5</c:v>
                </c:pt>
                <c:pt idx="53" formatCode="0.00E+00">
                  <c:v>1.1872399173210917E-5</c:v>
                </c:pt>
                <c:pt idx="54" formatCode="0.00E+00">
                  <c:v>1.1872399173210917E-5</c:v>
                </c:pt>
                <c:pt idx="55" formatCode="0.00E+00">
                  <c:v>1.1872399173210917E-5</c:v>
                </c:pt>
                <c:pt idx="56" formatCode="0.00E+00">
                  <c:v>1.1872399173210917E-5</c:v>
                </c:pt>
                <c:pt idx="57" formatCode="0.00E+00">
                  <c:v>1.1872399173210917E-5</c:v>
                </c:pt>
                <c:pt idx="58" formatCode="0.00E+00">
                  <c:v>1.1872399173210917E-5</c:v>
                </c:pt>
                <c:pt idx="59" formatCode="0.00E+00">
                  <c:v>1.1872399173210917E-5</c:v>
                </c:pt>
                <c:pt idx="60" formatCode="0.00E+00">
                  <c:v>1.1872399173210917E-5</c:v>
                </c:pt>
                <c:pt idx="61" formatCode="0.00E+00">
                  <c:v>1.1872399173210917E-5</c:v>
                </c:pt>
                <c:pt idx="62" formatCode="0.00E+00">
                  <c:v>1.1872399173210917E-5</c:v>
                </c:pt>
                <c:pt idx="63" formatCode="0.00E+00">
                  <c:v>1.1872399173210917E-5</c:v>
                </c:pt>
                <c:pt idx="64" formatCode="0.00E+00">
                  <c:v>1.1872399173210917E-5</c:v>
                </c:pt>
                <c:pt idx="65" formatCode="0.00E+00">
                  <c:v>1.1872399173210917E-5</c:v>
                </c:pt>
                <c:pt idx="66" formatCode="0.00E+00">
                  <c:v>1.1872399173210917E-5</c:v>
                </c:pt>
                <c:pt idx="67" formatCode="0.00E+00">
                  <c:v>1.1872399173210917E-5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4.1199493300773313E-3</c:v>
                </c:pt>
                <c:pt idx="5" formatCode="0.00E+00">
                  <c:v>4.139779079772081E-3</c:v>
                </c:pt>
                <c:pt idx="6" formatCode="0.00E+00">
                  <c:v>4.1596088294668307E-3</c:v>
                </c:pt>
                <c:pt idx="7" formatCode="0.00E+00">
                  <c:v>4.1794385791615804E-3</c:v>
                </c:pt>
                <c:pt idx="8" formatCode="0.00E+00">
                  <c:v>4.1992683288563301E-3</c:v>
                </c:pt>
                <c:pt idx="9" formatCode="0.00E+00">
                  <c:v>4.2190980785510798E-3</c:v>
                </c:pt>
                <c:pt idx="10" formatCode="0.00E+00">
                  <c:v>4.2389278282458295E-3</c:v>
                </c:pt>
                <c:pt idx="11" formatCode="0.00E+00">
                  <c:v>4.2587575779405792E-3</c:v>
                </c:pt>
                <c:pt idx="12" formatCode="0.00E+00">
                  <c:v>4.278587327635329E-3</c:v>
                </c:pt>
                <c:pt idx="13" formatCode="0.00E+00">
                  <c:v>4.2984170773300787E-3</c:v>
                </c:pt>
                <c:pt idx="14" formatCode="0.00E+00">
                  <c:v>4.3182468270248284E-3</c:v>
                </c:pt>
                <c:pt idx="15" formatCode="0.00E+00">
                  <c:v>4.3380765767195781E-3</c:v>
                </c:pt>
                <c:pt idx="16" formatCode="0.00E+00">
                  <c:v>4.3579063264143278E-3</c:v>
                </c:pt>
                <c:pt idx="17" formatCode="0.00E+00">
                  <c:v>4.3777360761090775E-3</c:v>
                </c:pt>
                <c:pt idx="18" formatCode="0.00E+00">
                  <c:v>4.3975658258038272E-3</c:v>
                </c:pt>
                <c:pt idx="19" formatCode="0.00E+00">
                  <c:v>4.4173955754985769E-3</c:v>
                </c:pt>
                <c:pt idx="20" formatCode="0.00E+00">
                  <c:v>4.4372253251933266E-3</c:v>
                </c:pt>
                <c:pt idx="21" formatCode="0.00E+00">
                  <c:v>4.4570550748880763E-3</c:v>
                </c:pt>
                <c:pt idx="22" formatCode="0.00E+00">
                  <c:v>4.4768848245828261E-3</c:v>
                </c:pt>
                <c:pt idx="23" formatCode="0.00E+00">
                  <c:v>4.4967145742775758E-3</c:v>
                </c:pt>
                <c:pt idx="24" formatCode="0.00E+00">
                  <c:v>4.5165443239723255E-3</c:v>
                </c:pt>
                <c:pt idx="25" formatCode="0.00E+00">
                  <c:v>4.5363740736670752E-3</c:v>
                </c:pt>
                <c:pt idx="26" formatCode="0.00E+00">
                  <c:v>4.5562038233618249E-3</c:v>
                </c:pt>
                <c:pt idx="27" formatCode="0.00E+00">
                  <c:v>4.5760335730565746E-3</c:v>
                </c:pt>
                <c:pt idx="28" formatCode="0.00E+00">
                  <c:v>4.5958633227513243E-3</c:v>
                </c:pt>
                <c:pt idx="29" formatCode="0.00E+00">
                  <c:v>4.615693072446074E-3</c:v>
                </c:pt>
                <c:pt idx="30" formatCode="0.00E+00">
                  <c:v>4.6355228221408237E-3</c:v>
                </c:pt>
                <c:pt idx="31" formatCode="0.00E+00">
                  <c:v>4.6553525718355734E-3</c:v>
                </c:pt>
                <c:pt idx="32" formatCode="0.00E+00">
                  <c:v>4.6751823215303231E-3</c:v>
                </c:pt>
                <c:pt idx="33" formatCode="0.00E+00">
                  <c:v>4.6950120712250729E-3</c:v>
                </c:pt>
                <c:pt idx="34" formatCode="0.00E+00">
                  <c:v>4.7148418209198226E-3</c:v>
                </c:pt>
                <c:pt idx="35" formatCode="0.00E+00">
                  <c:v>4.7346715706145723E-3</c:v>
                </c:pt>
                <c:pt idx="36" formatCode="0.00E+00">
                  <c:v>4.754501320309322E-3</c:v>
                </c:pt>
                <c:pt idx="37" formatCode="0.00E+00">
                  <c:v>4.7743310700040717E-3</c:v>
                </c:pt>
                <c:pt idx="38" formatCode="0.00E+00">
                  <c:v>4.7941608196988214E-3</c:v>
                </c:pt>
                <c:pt idx="39" formatCode="0.00E+00">
                  <c:v>4.8139905693935711E-3</c:v>
                </c:pt>
                <c:pt idx="40" formatCode="0.00E+00">
                  <c:v>4.8338203190883208E-3</c:v>
                </c:pt>
                <c:pt idx="41" formatCode="0.00E+00">
                  <c:v>4.8577789999999996E-3</c:v>
                </c:pt>
                <c:pt idx="42" formatCode="0.00E+00">
                  <c:v>4.8766649999999996E-3</c:v>
                </c:pt>
                <c:pt idx="43" formatCode="0.00E+00">
                  <c:v>4.8956239999999995E-3</c:v>
                </c:pt>
                <c:pt idx="44" formatCode="0.00E+00">
                  <c:v>4.9146570000000002E-3</c:v>
                </c:pt>
                <c:pt idx="45" formatCode="0.00E+00">
                  <c:v>4.9337640000000002E-3</c:v>
                </c:pt>
                <c:pt idx="46" formatCode="0.00E+00">
                  <c:v>4.9529449999999994E-3</c:v>
                </c:pt>
                <c:pt idx="47" formatCode="0.00E+00">
                  <c:v>4.9721999999999995E-3</c:v>
                </c:pt>
                <c:pt idx="48" formatCode="0.00E+00">
                  <c:v>4.9915310000000004E-3</c:v>
                </c:pt>
                <c:pt idx="49" formatCode="0.00E+00">
                  <c:v>5.010937E-3</c:v>
                </c:pt>
                <c:pt idx="50" formatCode="0.00E+00">
                  <c:v>5.030418E-3</c:v>
                </c:pt>
                <c:pt idx="51" formatCode="0.00E+00">
                  <c:v>5.049975E-3</c:v>
                </c:pt>
                <c:pt idx="52" formatCode="0.00E+00">
                  <c:v>5.0696079999999998E-3</c:v>
                </c:pt>
                <c:pt idx="53" formatCode="0.00E+00">
                  <c:v>5.0893170000000003E-3</c:v>
                </c:pt>
                <c:pt idx="54" formatCode="0.00E+00">
                  <c:v>5.1091030000000003E-3</c:v>
                </c:pt>
                <c:pt idx="55" formatCode="0.00E+00">
                  <c:v>5.1289660000000004E-3</c:v>
                </c:pt>
                <c:pt idx="56" formatCode="0.00E+00">
                  <c:v>5.148906E-3</c:v>
                </c:pt>
                <c:pt idx="57" formatCode="0.00E+00">
                  <c:v>5.1689230000000006E-3</c:v>
                </c:pt>
                <c:pt idx="58" formatCode="0.00E+00">
                  <c:v>5.1890190000000004E-3</c:v>
                </c:pt>
                <c:pt idx="59" formatCode="0.00E+00">
                  <c:v>5.2091919999999996E-3</c:v>
                </c:pt>
                <c:pt idx="60" formatCode="0.00E+00">
                  <c:v>5.2294450000000001E-3</c:v>
                </c:pt>
                <c:pt idx="61" formatCode="0.00E+00">
                  <c:v>5.2497749999999999E-3</c:v>
                </c:pt>
                <c:pt idx="62" formatCode="0.00E+00">
                  <c:v>5.2701849999999993E-3</c:v>
                </c:pt>
                <c:pt idx="63" formatCode="0.00E+00">
                  <c:v>5.2906740000000004E-3</c:v>
                </c:pt>
                <c:pt idx="64" formatCode="0.00E+00">
                  <c:v>5.3112430000000002E-3</c:v>
                </c:pt>
                <c:pt idx="65" formatCode="0.00E+00">
                  <c:v>5.3318919999999995E-3</c:v>
                </c:pt>
                <c:pt idx="66" formatCode="0.00E+00">
                  <c:v>5.3526210000000001E-3</c:v>
                </c:pt>
                <c:pt idx="67" formatCode="0.00E+00">
                  <c:v>5.3734300000000002E-3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1.8223914406069761E-3</c:v>
                </c:pt>
                <c:pt idx="21">
                  <c:v>1.8223914406069761E-3</c:v>
                </c:pt>
                <c:pt idx="22">
                  <c:v>1.8223914406069761E-3</c:v>
                </c:pt>
                <c:pt idx="23">
                  <c:v>1.8223914406069761E-3</c:v>
                </c:pt>
                <c:pt idx="24">
                  <c:v>1.8223914406069761E-3</c:v>
                </c:pt>
                <c:pt idx="25">
                  <c:v>1.8223914406069761E-3</c:v>
                </c:pt>
                <c:pt idx="26">
                  <c:v>1.8223914406069761E-3</c:v>
                </c:pt>
                <c:pt idx="27">
                  <c:v>1.8223914406069761E-3</c:v>
                </c:pt>
                <c:pt idx="28">
                  <c:v>1.8223914406069761E-3</c:v>
                </c:pt>
                <c:pt idx="29">
                  <c:v>1.8223914406069761E-3</c:v>
                </c:pt>
                <c:pt idx="30">
                  <c:v>1.8223914406069761E-3</c:v>
                </c:pt>
                <c:pt idx="31">
                  <c:v>1.8223914406069761E-3</c:v>
                </c:pt>
                <c:pt idx="32">
                  <c:v>1.8223914406069761E-3</c:v>
                </c:pt>
                <c:pt idx="33">
                  <c:v>1.8223914406069761E-3</c:v>
                </c:pt>
                <c:pt idx="34">
                  <c:v>1.8223914406069761E-3</c:v>
                </c:pt>
                <c:pt idx="35">
                  <c:v>1.8223914406069761E-3</c:v>
                </c:pt>
                <c:pt idx="36">
                  <c:v>1.8223914406069761E-3</c:v>
                </c:pt>
                <c:pt idx="37">
                  <c:v>1.8223914406069761E-3</c:v>
                </c:pt>
                <c:pt idx="38">
                  <c:v>1.8223914406069761E-3</c:v>
                </c:pt>
                <c:pt idx="39">
                  <c:v>1.8223914406069761E-3</c:v>
                </c:pt>
                <c:pt idx="40">
                  <c:v>1.8223914406069761E-3</c:v>
                </c:pt>
                <c:pt idx="41">
                  <c:v>1.8223914406069774E-3</c:v>
                </c:pt>
                <c:pt idx="42">
                  <c:v>1.8223914406069774E-3</c:v>
                </c:pt>
                <c:pt idx="43">
                  <c:v>1.8223914406069774E-3</c:v>
                </c:pt>
                <c:pt idx="44">
                  <c:v>1.8223914406069774E-3</c:v>
                </c:pt>
                <c:pt idx="45">
                  <c:v>1.8223914406069774E-3</c:v>
                </c:pt>
                <c:pt idx="46">
                  <c:v>1.8223914406069774E-3</c:v>
                </c:pt>
                <c:pt idx="47">
                  <c:v>1.8223914406069774E-3</c:v>
                </c:pt>
                <c:pt idx="48">
                  <c:v>1.8223914406069774E-3</c:v>
                </c:pt>
                <c:pt idx="49">
                  <c:v>1.8223914406069774E-3</c:v>
                </c:pt>
                <c:pt idx="50">
                  <c:v>1.8223914406069774E-3</c:v>
                </c:pt>
                <c:pt idx="51">
                  <c:v>1.8223914406069774E-3</c:v>
                </c:pt>
                <c:pt idx="52">
                  <c:v>1.8223914406069774E-3</c:v>
                </c:pt>
                <c:pt idx="53">
                  <c:v>1.8223914406069774E-3</c:v>
                </c:pt>
                <c:pt idx="54">
                  <c:v>1.8223914406069774E-3</c:v>
                </c:pt>
                <c:pt idx="55">
                  <c:v>1.8223914406069774E-3</c:v>
                </c:pt>
                <c:pt idx="56">
                  <c:v>1.8223914406069774E-3</c:v>
                </c:pt>
                <c:pt idx="57">
                  <c:v>1.8223914406069774E-3</c:v>
                </c:pt>
                <c:pt idx="58">
                  <c:v>1.8223914406069774E-3</c:v>
                </c:pt>
                <c:pt idx="59">
                  <c:v>1.8223914406069774E-3</c:v>
                </c:pt>
                <c:pt idx="60">
                  <c:v>1.8223914406069774E-3</c:v>
                </c:pt>
                <c:pt idx="61">
                  <c:v>1.8223914406069774E-3</c:v>
                </c:pt>
                <c:pt idx="62">
                  <c:v>1.8223914406069774E-3</c:v>
                </c:pt>
                <c:pt idx="63">
                  <c:v>1.8223914406069774E-3</c:v>
                </c:pt>
                <c:pt idx="64">
                  <c:v>1.8223914406069774E-3</c:v>
                </c:pt>
                <c:pt idx="65">
                  <c:v>1.8223914406069774E-3</c:v>
                </c:pt>
                <c:pt idx="66">
                  <c:v>1.8223914406069774E-3</c:v>
                </c:pt>
                <c:pt idx="67">
                  <c:v>1.8223914406069774E-3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0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tabSelected="1" workbookViewId="0">
      <selection activeCell="F9" sqref="F9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3.8969037817856381E-4</v>
      </c>
      <c r="I8" s="4">
        <v>3.9985001436006255E-4</v>
      </c>
      <c r="J8" s="4">
        <v>4.0645495978422236E-4</v>
      </c>
      <c r="K8" s="4">
        <v>4.1222868457836193E-4</v>
      </c>
      <c r="L8" s="4">
        <v>4.1315950014361388E-4</v>
      </c>
      <c r="M8" s="4">
        <v>4.1586031572729884E-4</v>
      </c>
      <c r="N8" s="4">
        <v>4.1791006177450995E-4</v>
      </c>
      <c r="O8" s="4">
        <v>4.1868747861134429E-4</v>
      </c>
      <c r="P8" s="4">
        <v>4.2132009406936789E-4</v>
      </c>
      <c r="Q8" s="4">
        <v>4.224153063913546E-4</v>
      </c>
      <c r="R8" s="4">
        <v>4.2414977562549528E-4</v>
      </c>
      <c r="S8" s="4">
        <v>4.2551597947059568E-4</v>
      </c>
      <c r="T8" s="4">
        <v>4.2699017471707065E-4</v>
      </c>
      <c r="U8" s="4">
        <v>4.278185027990744E-4</v>
      </c>
      <c r="V8" s="4">
        <v>4.2962147676115707E-4</v>
      </c>
      <c r="W8" s="4">
        <v>4.3041495518616422E-4</v>
      </c>
      <c r="X8" s="4">
        <v>4.3058027955271102E-4</v>
      </c>
      <c r="Y8" s="4">
        <v>4.3088934374883934E-4</v>
      </c>
      <c r="Z8" s="4">
        <v>4.3093489146882265E-4</v>
      </c>
      <c r="AA8" s="4">
        <v>4.3107618325306866E-4</v>
      </c>
      <c r="AB8" s="4">
        <v>4.3159356456922571E-4</v>
      </c>
      <c r="AC8" s="4">
        <v>4.3137509125134069E-4</v>
      </c>
      <c r="AD8" s="4">
        <v>4.3181432059055414E-4</v>
      </c>
      <c r="AE8" s="4">
        <v>4.3184298375304391E-4</v>
      </c>
      <c r="AF8" s="4">
        <v>4.3221033154474715E-4</v>
      </c>
      <c r="AG8" s="4">
        <v>4.3232208233433581E-4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9.5098581742816967E-5</v>
      </c>
      <c r="G9" s="4">
        <v>8.132511630401103E-5</v>
      </c>
      <c r="H9" s="4">
        <v>8.4161072514692597E-5</v>
      </c>
      <c r="I9" s="4">
        <v>8.498353764742068E-5</v>
      </c>
      <c r="J9" s="4">
        <v>8.5775402347925225E-5</v>
      </c>
      <c r="K9" s="4">
        <v>8.6479330619128737E-5</v>
      </c>
      <c r="L9" s="4">
        <v>8.7180851987329484E-5</v>
      </c>
      <c r="M9" s="4">
        <v>8.7676327828293231E-5</v>
      </c>
      <c r="N9" s="4">
        <v>8.808308415773043E-5</v>
      </c>
      <c r="O9" s="4">
        <v>8.8443349127241298E-5</v>
      </c>
      <c r="P9" s="4">
        <v>8.877490666338608E-5</v>
      </c>
      <c r="Q9" s="4">
        <v>8.9036788024627383E-5</v>
      </c>
      <c r="R9" s="4">
        <v>8.9408940248032558E-5</v>
      </c>
      <c r="S9" s="4">
        <v>8.9726171714716883E-5</v>
      </c>
      <c r="T9" s="4">
        <v>8.9993423792437643E-5</v>
      </c>
      <c r="U9" s="4">
        <v>9.0174807564025167E-5</v>
      </c>
      <c r="V9" s="4">
        <v>9.038234516069701E-5</v>
      </c>
      <c r="W9" s="4">
        <v>9.0953441555838329E-5</v>
      </c>
      <c r="X9" s="4">
        <v>9.1765196895077241E-5</v>
      </c>
      <c r="Y9" s="4">
        <v>9.2611810298042204E-5</v>
      </c>
      <c r="Z9" s="4">
        <v>9.3647517531163859E-5</v>
      </c>
      <c r="AA9" s="4">
        <v>9.5050006294872494E-5</v>
      </c>
      <c r="AB9" s="4">
        <v>9.645662760019035E-5</v>
      </c>
      <c r="AC9" s="4">
        <v>9.7387214206997634E-5</v>
      </c>
      <c r="AD9" s="4">
        <v>9.8272881152577143E-5</v>
      </c>
      <c r="AE9" s="4">
        <v>9.9315311676914197E-5</v>
      </c>
      <c r="AF9" s="4">
        <v>1.0022913979744075E-4</v>
      </c>
      <c r="AG9" s="4">
        <v>1.0111291012785455E-4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1.0331389660993618E-3</v>
      </c>
      <c r="G10" s="4">
        <v>1.0995181101032814E-3</v>
      </c>
      <c r="H10" s="4">
        <v>1.1178720570179867E-3</v>
      </c>
      <c r="I10" s="4">
        <v>1.139337361078613E-3</v>
      </c>
      <c r="J10" s="4">
        <v>1.1689067098604232E-3</v>
      </c>
      <c r="K10" s="4">
        <v>1.1886355244649762E-3</v>
      </c>
      <c r="L10" s="4">
        <v>1.2005104013829389E-3</v>
      </c>
      <c r="M10" s="4">
        <v>1.2150324713986361E-3</v>
      </c>
      <c r="N10" s="4">
        <v>1.2281657343830318E-3</v>
      </c>
      <c r="O10" s="4">
        <v>1.2718191053697899E-3</v>
      </c>
      <c r="P10" s="4">
        <v>1.2872919346060385E-3</v>
      </c>
      <c r="Q10" s="4">
        <v>1.294373280286983E-3</v>
      </c>
      <c r="R10" s="4">
        <v>1.2991392532857248E-3</v>
      </c>
      <c r="S10" s="4">
        <v>1.2994994330511106E-3</v>
      </c>
      <c r="T10" s="4">
        <v>1.2998067394523606E-3</v>
      </c>
      <c r="U10" s="4">
        <v>1.29969410316452E-3</v>
      </c>
      <c r="V10" s="4">
        <v>1.299580986209732E-3</v>
      </c>
      <c r="W10" s="4">
        <v>1.2991434190659293E-3</v>
      </c>
      <c r="X10" s="4">
        <v>1.2988513337846576E-3</v>
      </c>
      <c r="Y10" s="4">
        <v>1.2983562468295675E-3</v>
      </c>
      <c r="Z10" s="4">
        <v>1.2980781008897497E-3</v>
      </c>
      <c r="AA10" s="4">
        <v>1.2978283142997872E-3</v>
      </c>
      <c r="AB10" s="4">
        <v>1.2973135199998824E-3</v>
      </c>
      <c r="AC10" s="4">
        <v>1.2970622914090792E-3</v>
      </c>
      <c r="AD10" s="4">
        <v>1.2965591933382112E-3</v>
      </c>
      <c r="AE10" s="4">
        <v>1.2964217225914581E-3</v>
      </c>
      <c r="AF10" s="4">
        <v>1.2961902013454692E-3</v>
      </c>
      <c r="AG10" s="4">
        <v>1.2958891436145262E-3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7.5059325437243547E-4</v>
      </c>
      <c r="G11" s="4">
        <v>7.9881884585164282E-4</v>
      </c>
      <c r="H11" s="4">
        <v>8.1215330442627252E-4</v>
      </c>
      <c r="I11" s="4">
        <v>8.277482175595845E-4</v>
      </c>
      <c r="J11" s="4">
        <v>8.4923085877251694E-4</v>
      </c>
      <c r="K11" s="4">
        <v>8.6356418240549429E-4</v>
      </c>
      <c r="L11" s="4">
        <v>8.721914850275005E-4</v>
      </c>
      <c r="M11" s="4">
        <v>8.8274201903209843E-4</v>
      </c>
      <c r="N11" s="4">
        <v>8.9228356080668159E-4</v>
      </c>
      <c r="O11" s="4">
        <v>9.2399848674446351E-4</v>
      </c>
      <c r="P11" s="4">
        <v>9.3523976369932777E-4</v>
      </c>
      <c r="Q11" s="4">
        <v>9.4038448331053737E-4</v>
      </c>
      <c r="R11" s="4">
        <v>9.4384704478654366E-4</v>
      </c>
      <c r="S11" s="4">
        <v>9.4410872159008232E-4</v>
      </c>
      <c r="T11" s="4">
        <v>9.443319849838489E-4</v>
      </c>
      <c r="U11" s="4">
        <v>9.4425015278060706E-4</v>
      </c>
      <c r="V11" s="4">
        <v>9.4416797136454901E-4</v>
      </c>
      <c r="W11" s="4">
        <v>9.4385007129761667E-4</v>
      </c>
      <c r="X11" s="4">
        <v>9.4363786630969357E-4</v>
      </c>
      <c r="Y11" s="4">
        <v>9.4327817710909993E-4</v>
      </c>
      <c r="Z11" s="4">
        <v>9.4307609929284396E-4</v>
      </c>
      <c r="AA11" s="4">
        <v>9.4289462503273878E-4</v>
      </c>
      <c r="AB11" s="4">
        <v>9.4252061810668451E-4</v>
      </c>
      <c r="AC11" s="4">
        <v>9.4233809620813079E-4</v>
      </c>
      <c r="AD11" s="4">
        <v>9.4197258679393529E-4</v>
      </c>
      <c r="AE11" s="4">
        <v>9.4187271192852781E-4</v>
      </c>
      <c r="AF11" s="4">
        <v>9.4170450775543462E-4</v>
      </c>
      <c r="AG11" s="4">
        <v>9.4148578412827765E-4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4.3956547255263602E-4</v>
      </c>
      <c r="G12" s="4">
        <v>4.4366680476890972E-4</v>
      </c>
      <c r="H12" s="4">
        <v>4.4597245060431232E-4</v>
      </c>
      <c r="I12" s="4">
        <v>4.4931411605150481E-4</v>
      </c>
      <c r="J12" s="4">
        <v>4.5288823478004158E-4</v>
      </c>
      <c r="K12" s="4">
        <v>4.5662840926832999E-4</v>
      </c>
      <c r="L12" s="4">
        <v>4.6040875969022651E-4</v>
      </c>
      <c r="M12" s="4">
        <v>4.6419842254086203E-4</v>
      </c>
      <c r="N12" s="4">
        <v>4.6802171784268048E-4</v>
      </c>
      <c r="O12" s="4">
        <v>4.718495549789862E-4</v>
      </c>
      <c r="P12" s="4">
        <v>4.7569706545502331E-4</v>
      </c>
      <c r="Q12" s="4">
        <v>4.7956228574948121E-4</v>
      </c>
      <c r="R12" s="4">
        <v>4.8344561142611898E-4</v>
      </c>
      <c r="S12" s="4">
        <v>4.8740041976327717E-4</v>
      </c>
      <c r="T12" s="4">
        <v>4.9138744510057676E-4</v>
      </c>
      <c r="U12" s="4">
        <v>4.9540734035651132E-4</v>
      </c>
      <c r="V12" s="4">
        <v>4.9946276009751292E-4</v>
      </c>
      <c r="W12" s="4">
        <v>5.0354741343006288E-4</v>
      </c>
      <c r="X12" s="4">
        <v>5.076679534506399E-4</v>
      </c>
      <c r="Y12" s="4">
        <v>5.1181172688478038E-4</v>
      </c>
      <c r="Z12" s="4">
        <v>5.1597913882790009E-4</v>
      </c>
      <c r="AA12" s="4">
        <v>5.2017698058550235E-4</v>
      </c>
      <c r="AB12" s="4">
        <v>5.2440413218790766E-4</v>
      </c>
      <c r="AC12" s="4">
        <v>5.2866665576887042E-4</v>
      </c>
      <c r="AD12" s="4">
        <v>5.3296936481509794E-4</v>
      </c>
      <c r="AE12" s="4">
        <v>5.3730424796901105E-4</v>
      </c>
      <c r="AF12" s="4">
        <v>5.4167698609809006E-4</v>
      </c>
      <c r="AG12" s="4">
        <v>5.4607888156546253E-4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1.8223851973329149E-4</v>
      </c>
      <c r="G13" s="4">
        <v>1.8223851973329149E-4</v>
      </c>
      <c r="H13" s="4">
        <v>1.8223851973329149E-4</v>
      </c>
      <c r="I13" s="4">
        <v>1.8223851973329149E-4</v>
      </c>
      <c r="J13" s="4">
        <v>1.8223851973329149E-4</v>
      </c>
      <c r="K13" s="4">
        <v>1.8223851973329149E-4</v>
      </c>
      <c r="L13" s="4">
        <v>1.8223851973329149E-4</v>
      </c>
      <c r="M13" s="4">
        <v>1.8223851973329149E-4</v>
      </c>
      <c r="N13" s="4">
        <v>1.8223851973329149E-4</v>
      </c>
      <c r="O13" s="4">
        <v>1.8223851973329149E-4</v>
      </c>
      <c r="P13" s="4">
        <v>1.8223851973329149E-4</v>
      </c>
      <c r="Q13" s="4">
        <v>1.8223851973329149E-4</v>
      </c>
      <c r="R13" s="4">
        <v>1.8223851973329149E-4</v>
      </c>
      <c r="S13" s="4">
        <v>1.8223851973329149E-4</v>
      </c>
      <c r="T13" s="4">
        <v>1.8223851973329149E-4</v>
      </c>
      <c r="U13" s="4">
        <v>1.8223851973329149E-4</v>
      </c>
      <c r="V13" s="4">
        <v>1.8223851973329149E-4</v>
      </c>
      <c r="W13" s="4">
        <v>1.8223851973329149E-4</v>
      </c>
      <c r="X13" s="4">
        <v>1.8223851973329149E-4</v>
      </c>
      <c r="Y13" s="4">
        <v>1.8223851973329149E-4</v>
      </c>
      <c r="Z13" s="4">
        <v>1.8223851973329149E-4</v>
      </c>
      <c r="AA13" s="4">
        <v>1.8223851973329149E-4</v>
      </c>
      <c r="AB13" s="4">
        <v>1.8223851973329149E-4</v>
      </c>
      <c r="AC13" s="4">
        <v>1.8223851973329149E-4</v>
      </c>
      <c r="AD13" s="4">
        <v>1.8223851973329149E-4</v>
      </c>
      <c r="AE13" s="4">
        <v>1.8223851973329149E-4</v>
      </c>
      <c r="AF13" s="4">
        <v>1.8223851973329149E-4</v>
      </c>
      <c r="AG13" s="4">
        <v>1.8223851973329149E-4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5.0586266198922429E-5</v>
      </c>
      <c r="G14" s="4">
        <v>5.0586266198922429E-5</v>
      </c>
      <c r="H14" s="4">
        <v>5.1607763219151746E-5</v>
      </c>
      <c r="I14" s="4">
        <v>5.2629260239381077E-5</v>
      </c>
      <c r="J14" s="4">
        <v>5.4315695977812021E-5</v>
      </c>
      <c r="K14" s="4">
        <v>5.5626780365259058E-5</v>
      </c>
      <c r="L14" s="4">
        <v>5.6861759359938993E-5</v>
      </c>
      <c r="M14" s="4">
        <v>5.7923231309231095E-5</v>
      </c>
      <c r="N14" s="4">
        <v>5.8817476564532313E-5</v>
      </c>
      <c r="O14" s="4">
        <v>5.9511660757725099E-5</v>
      </c>
      <c r="P14" s="4">
        <v>6.0132920814753527E-5</v>
      </c>
      <c r="Q14" s="4">
        <v>6.0543687105745991E-5</v>
      </c>
      <c r="R14" s="4">
        <v>6.0696700859761384E-5</v>
      </c>
      <c r="S14" s="4">
        <v>6.0676349696673325E-5</v>
      </c>
      <c r="T14" s="4">
        <v>6.0651204628472715E-5</v>
      </c>
      <c r="U14" s="4">
        <v>6.0632042704044597E-5</v>
      </c>
      <c r="V14" s="4">
        <v>6.0615121724603387E-5</v>
      </c>
      <c r="W14" s="4">
        <v>6.0605519529419925E-5</v>
      </c>
      <c r="X14" s="4">
        <v>6.0584843231000183E-5</v>
      </c>
      <c r="Y14" s="4">
        <v>6.0560038316745274E-5</v>
      </c>
      <c r="Z14" s="4">
        <v>6.053924600778776E-5</v>
      </c>
      <c r="AA14" s="4">
        <v>6.0520785449807174E-5</v>
      </c>
      <c r="AB14" s="4">
        <v>6.0503250434459527E-5</v>
      </c>
      <c r="AC14" s="4">
        <v>6.0481613540855517E-5</v>
      </c>
      <c r="AD14" s="4">
        <v>6.0452272752739302E-5</v>
      </c>
      <c r="AE14" s="4">
        <v>6.0421795403817555E-5</v>
      </c>
      <c r="AF14" s="4">
        <v>6.0390916490618554E-5</v>
      </c>
      <c r="AG14" s="4">
        <v>6.0369352823591006E-5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6.7428486606874269E-4</v>
      </c>
      <c r="G15" s="4">
        <v>6.7428486606874269E-4</v>
      </c>
      <c r="H15" s="4">
        <v>6.8790081429402638E-4</v>
      </c>
      <c r="I15" s="4">
        <v>7.0151676251931018E-4</v>
      </c>
      <c r="J15" s="4">
        <v>7.2399594869901036E-4</v>
      </c>
      <c r="K15" s="4">
        <v>7.4147192443357402E-4</v>
      </c>
      <c r="L15" s="4">
        <v>7.5793346051039969E-4</v>
      </c>
      <c r="M15" s="4">
        <v>7.7208225078382372E-4</v>
      </c>
      <c r="N15" s="4">
        <v>7.8400200860568551E-4</v>
      </c>
      <c r="O15" s="4">
        <v>7.9325507136175839E-4</v>
      </c>
      <c r="P15" s="4">
        <v>8.0153609872005344E-4</v>
      </c>
      <c r="Q15" s="4">
        <v>8.0701136926914386E-4</v>
      </c>
      <c r="R15" s="4">
        <v>8.0905095167728652E-4</v>
      </c>
      <c r="S15" s="4">
        <v>8.0877968276759445E-4</v>
      </c>
      <c r="T15" s="4">
        <v>8.0844451395166992E-4</v>
      </c>
      <c r="U15" s="4">
        <v>8.0818909688657511E-4</v>
      </c>
      <c r="V15" s="4">
        <v>8.0796355028640886E-4</v>
      </c>
      <c r="W15" s="4">
        <v>8.0783555873099769E-4</v>
      </c>
      <c r="X15" s="4">
        <v>8.0755995596055552E-4</v>
      </c>
      <c r="Y15" s="4">
        <v>8.0722932119458072E-4</v>
      </c>
      <c r="Z15" s="4">
        <v>8.0695217207261245E-4</v>
      </c>
      <c r="AA15" s="4">
        <v>8.067061038054559E-4</v>
      </c>
      <c r="AB15" s="4">
        <v>8.0647237247156566E-4</v>
      </c>
      <c r="AC15" s="4">
        <v>8.0618396553817874E-4</v>
      </c>
      <c r="AD15" s="4">
        <v>8.0579287026920799E-4</v>
      </c>
      <c r="AE15" s="4">
        <v>8.0538662532013395E-4</v>
      </c>
      <c r="AF15" s="4">
        <v>8.0497502775788527E-4</v>
      </c>
      <c r="AG15" s="4">
        <v>8.0468759689124563E-4</v>
      </c>
      <c r="AH15" s="4"/>
      <c r="AI15" s="4"/>
      <c r="AJ15" s="4"/>
      <c r="AK15" s="4"/>
    </row>
    <row r="16" spans="1:37" s="22" customFormat="1">
      <c r="A16" s="22" t="s">
        <v>16</v>
      </c>
      <c r="B16" s="22" t="s">
        <v>22</v>
      </c>
      <c r="C16" s="22" t="s">
        <v>5</v>
      </c>
      <c r="D16" s="22">
        <v>3.5120030000000001E-3</v>
      </c>
      <c r="E16" s="22">
        <v>3.3663400000000002E-3</v>
      </c>
      <c r="F16" s="22">
        <v>3.3698929999999997E-3</v>
      </c>
      <c r="G16" s="22">
        <v>3.3734500000000001E-3</v>
      </c>
      <c r="H16" s="22">
        <v>3.3770099999999997E-3</v>
      </c>
      <c r="I16" s="22">
        <v>3.3805740000000003E-3</v>
      </c>
      <c r="J16" s="22">
        <v>3.3841420000000001E-3</v>
      </c>
      <c r="K16" s="22">
        <v>3.3877130000000001E-3</v>
      </c>
      <c r="L16" s="22">
        <v>3.391289E-3</v>
      </c>
      <c r="M16" s="22">
        <v>3.3948680000000001E-3</v>
      </c>
      <c r="N16" s="22">
        <v>3.3984510000000002E-3</v>
      </c>
      <c r="O16" s="22">
        <v>3.4020370000000001E-3</v>
      </c>
      <c r="P16" s="22">
        <v>3.405628E-3</v>
      </c>
      <c r="Q16" s="22">
        <v>3.4092220000000004E-3</v>
      </c>
      <c r="R16" s="22">
        <v>3.41282E-3</v>
      </c>
      <c r="S16" s="22">
        <v>3.4164219999999997E-3</v>
      </c>
      <c r="T16" s="22">
        <v>3.420027E-3</v>
      </c>
      <c r="U16" s="22">
        <v>3.4236369999999998E-3</v>
      </c>
      <c r="V16" s="22">
        <v>3.4272499999999997E-3</v>
      </c>
      <c r="W16" s="22">
        <v>3.4308670000000002E-3</v>
      </c>
      <c r="X16" s="22">
        <v>3.4344879999999999E-3</v>
      </c>
      <c r="Y16" s="22">
        <v>3.438113E-3</v>
      </c>
      <c r="Z16" s="22">
        <v>3.4417409999999999E-3</v>
      </c>
      <c r="AA16" s="22">
        <v>3.4453729999999998E-3</v>
      </c>
      <c r="AB16" s="22">
        <v>3.4490099999999997E-3</v>
      </c>
      <c r="AC16" s="22">
        <v>3.4526489999999999E-3</v>
      </c>
      <c r="AD16" s="22">
        <v>3.456293E-3</v>
      </c>
      <c r="AE16" s="22">
        <v>3.4599410000000002E-3</v>
      </c>
      <c r="AF16" s="22">
        <v>3.4635930000000001E-3</v>
      </c>
      <c r="AG16" s="22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1.1872399173210917E-5</v>
      </c>
      <c r="G17" s="4">
        <v>1.1872399173210917E-5</v>
      </c>
      <c r="H17" s="4">
        <v>1.1872399173210917E-5</v>
      </c>
      <c r="I17" s="4">
        <v>1.1872399173210917E-5</v>
      </c>
      <c r="J17" s="4">
        <v>1.1872399173210917E-5</v>
      </c>
      <c r="K17" s="4">
        <v>1.1872399173210917E-5</v>
      </c>
      <c r="L17" s="4">
        <v>1.1872399173210917E-5</v>
      </c>
      <c r="M17" s="4">
        <v>1.1872399173210917E-5</v>
      </c>
      <c r="N17" s="4">
        <v>1.1872399173210917E-5</v>
      </c>
      <c r="O17" s="4">
        <v>1.1872399173210917E-5</v>
      </c>
      <c r="P17" s="4">
        <v>1.1872399173210917E-5</v>
      </c>
      <c r="Q17" s="4">
        <v>1.1872399173210917E-5</v>
      </c>
      <c r="R17" s="4">
        <v>1.1872399173210917E-5</v>
      </c>
      <c r="S17" s="4">
        <v>1.1872399173210917E-5</v>
      </c>
      <c r="T17" s="4">
        <v>1.1872399173210917E-5</v>
      </c>
      <c r="U17" s="4">
        <v>1.1872399173210917E-5</v>
      </c>
      <c r="V17" s="4">
        <v>1.1872399173210917E-5</v>
      </c>
      <c r="W17" s="4">
        <v>1.1872399173210917E-5</v>
      </c>
      <c r="X17" s="4">
        <v>1.1872399173210917E-5</v>
      </c>
      <c r="Y17" s="4">
        <v>1.1872399173210917E-5</v>
      </c>
      <c r="Z17" s="4">
        <v>1.1872399173210917E-5</v>
      </c>
      <c r="AA17" s="4">
        <v>1.1872399173210917E-5</v>
      </c>
      <c r="AB17" s="4">
        <v>1.1872399173210917E-5</v>
      </c>
      <c r="AC17" s="4">
        <v>1.1872399173210917E-5</v>
      </c>
      <c r="AD17" s="4">
        <v>1.1872399173210917E-5</v>
      </c>
      <c r="AE17" s="4">
        <v>1.1872399173210917E-5</v>
      </c>
      <c r="AF17" s="4">
        <v>1.1872399173210917E-5</v>
      </c>
      <c r="AG17" s="4">
        <v>1.1872399173210917E-5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4.8577789999999996E-3</v>
      </c>
      <c r="G18" s="4">
        <v>4.8577789999999996E-3</v>
      </c>
      <c r="H18" s="4">
        <v>4.8766649999999996E-3</v>
      </c>
      <c r="I18" s="4">
        <v>4.8956239999999995E-3</v>
      </c>
      <c r="J18" s="4">
        <v>4.9146570000000002E-3</v>
      </c>
      <c r="K18" s="4">
        <v>4.9337640000000002E-3</v>
      </c>
      <c r="L18" s="4">
        <v>4.9529449999999994E-3</v>
      </c>
      <c r="M18" s="4">
        <v>4.9721999999999995E-3</v>
      </c>
      <c r="N18" s="4">
        <v>4.9915310000000004E-3</v>
      </c>
      <c r="O18" s="4">
        <v>5.010937E-3</v>
      </c>
      <c r="P18" s="4">
        <v>5.030418E-3</v>
      </c>
      <c r="Q18" s="4">
        <v>5.049975E-3</v>
      </c>
      <c r="R18" s="4">
        <v>5.0696079999999998E-3</v>
      </c>
      <c r="S18" s="4">
        <v>5.0893170000000003E-3</v>
      </c>
      <c r="T18" s="4">
        <v>5.1091030000000003E-3</v>
      </c>
      <c r="U18" s="4">
        <v>5.1289660000000004E-3</v>
      </c>
      <c r="V18" s="4">
        <v>5.148906E-3</v>
      </c>
      <c r="W18" s="4">
        <v>5.1689230000000006E-3</v>
      </c>
      <c r="X18" s="4">
        <v>5.1890190000000004E-3</v>
      </c>
      <c r="Y18" s="4">
        <v>5.2091919999999996E-3</v>
      </c>
      <c r="Z18" s="4">
        <v>5.2294450000000001E-3</v>
      </c>
      <c r="AA18" s="4">
        <v>5.2497749999999999E-3</v>
      </c>
      <c r="AB18" s="4">
        <v>5.2701849999999993E-3</v>
      </c>
      <c r="AC18" s="4">
        <v>5.2906740000000004E-3</v>
      </c>
      <c r="AD18" s="4">
        <v>5.3112430000000002E-3</v>
      </c>
      <c r="AE18" s="4">
        <v>5.3318919999999995E-3</v>
      </c>
      <c r="AF18" s="4">
        <v>5.3526210000000001E-3</v>
      </c>
      <c r="AG18" s="4">
        <v>5.3734300000000002E-3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1.8223914406069774E-3</v>
      </c>
      <c r="G19" s="4">
        <v>1.8223914406069774E-3</v>
      </c>
      <c r="H19" s="4">
        <v>1.8223914406069774E-3</v>
      </c>
      <c r="I19" s="4">
        <v>1.8223914406069774E-3</v>
      </c>
      <c r="J19" s="4">
        <v>1.8223914406069774E-3</v>
      </c>
      <c r="K19" s="4">
        <v>1.8223914406069774E-3</v>
      </c>
      <c r="L19" s="4">
        <v>1.8223914406069774E-3</v>
      </c>
      <c r="M19" s="4">
        <v>1.8223914406069774E-3</v>
      </c>
      <c r="N19" s="4">
        <v>1.8223914406069774E-3</v>
      </c>
      <c r="O19" s="4">
        <v>1.8223914406069774E-3</v>
      </c>
      <c r="P19" s="4">
        <v>1.8223914406069774E-3</v>
      </c>
      <c r="Q19" s="4">
        <v>1.8223914406069774E-3</v>
      </c>
      <c r="R19" s="4">
        <v>1.8223914406069774E-3</v>
      </c>
      <c r="S19" s="4">
        <v>1.8223914406069774E-3</v>
      </c>
      <c r="T19" s="4">
        <v>1.8223914406069774E-3</v>
      </c>
      <c r="U19" s="4">
        <v>1.8223914406069774E-3</v>
      </c>
      <c r="V19" s="4">
        <v>1.8223914406069774E-3</v>
      </c>
      <c r="W19" s="4">
        <v>1.8223914406069774E-3</v>
      </c>
      <c r="X19" s="4">
        <v>1.8223914406069774E-3</v>
      </c>
      <c r="Y19" s="4">
        <v>1.8223914406069774E-3</v>
      </c>
      <c r="Z19" s="4">
        <v>1.8223914406069774E-3</v>
      </c>
      <c r="AA19" s="4">
        <v>1.8223914406069774E-3</v>
      </c>
      <c r="AB19" s="4">
        <v>1.8223914406069774E-3</v>
      </c>
      <c r="AC19" s="4">
        <v>1.8223914406069774E-3</v>
      </c>
      <c r="AD19" s="4">
        <v>1.8223914406069774E-3</v>
      </c>
      <c r="AE19" s="4">
        <v>1.8223914406069774E-3</v>
      </c>
      <c r="AF19" s="4">
        <v>1.8223914406069774E-3</v>
      </c>
      <c r="AG19" s="4">
        <v>1.8223914406069774E-3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9" sqref="A9:H15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1.4644871483406822E-3</v>
      </c>
      <c r="C2">
        <v>2.8599578430961074E-4</v>
      </c>
      <c r="D2">
        <v>3.0811518665027502E-4</v>
      </c>
      <c r="E2">
        <v>3.4955084322389854E-4</v>
      </c>
      <c r="F2">
        <v>5.4440152139639993E-4</v>
      </c>
      <c r="G2">
        <v>2.4597247808457096E-4</v>
      </c>
      <c r="H2">
        <v>9.5477617242703441E-4</v>
      </c>
    </row>
    <row r="3" spans="1:8">
      <c r="A3" t="s">
        <v>8</v>
      </c>
      <c r="B3">
        <v>3.3199658675940884E-3</v>
      </c>
      <c r="C3">
        <v>2.3489662423758803E-3</v>
      </c>
      <c r="D3">
        <v>8.5179832440752728E-4</v>
      </c>
      <c r="E3">
        <v>1.0331389660993618E-3</v>
      </c>
      <c r="F3">
        <v>2.2908937619214613E-3</v>
      </c>
      <c r="G3">
        <v>1.8294441155202029E-3</v>
      </c>
      <c r="H3">
        <v>3.099416898298085E-3</v>
      </c>
    </row>
    <row r="4" spans="1:8">
      <c r="A4" t="s">
        <v>7</v>
      </c>
      <c r="B4">
        <v>1.3074072528197812E-3</v>
      </c>
      <c r="C4">
        <v>4.0685158562424757E-4</v>
      </c>
      <c r="D4">
        <v>4.0685158562424757E-4</v>
      </c>
      <c r="E4">
        <v>4.0685158562424757E-4</v>
      </c>
      <c r="F4">
        <v>0</v>
      </c>
      <c r="G4">
        <v>0</v>
      </c>
      <c r="H4">
        <v>1.2205547568727424E-3</v>
      </c>
    </row>
    <row r="5" spans="1:8">
      <c r="A5" t="s">
        <v>16</v>
      </c>
      <c r="B5">
        <v>6.7428486606874269E-4</v>
      </c>
      <c r="C5" s="4">
        <v>5.0586266198922429E-5</v>
      </c>
      <c r="D5" s="4">
        <v>5.0586266198922429E-5</v>
      </c>
      <c r="E5" s="4">
        <v>5.0586266198922429E-5</v>
      </c>
      <c r="F5">
        <v>0</v>
      </c>
      <c r="G5">
        <v>0</v>
      </c>
      <c r="H5">
        <v>1.5175879859676727E-4</v>
      </c>
    </row>
    <row r="6" spans="1:8">
      <c r="A6" t="s">
        <v>17</v>
      </c>
      <c r="B6" s="4">
        <v>3.8151653664103207E-5</v>
      </c>
      <c r="C6">
        <v>0</v>
      </c>
      <c r="D6" s="4">
        <v>1.1872400950049923E-5</v>
      </c>
      <c r="E6" s="4">
        <v>1.1872399173210917E-5</v>
      </c>
      <c r="F6">
        <v>0</v>
      </c>
      <c r="G6">
        <v>0</v>
      </c>
      <c r="H6" s="4">
        <v>3.5617197519632745E-5</v>
      </c>
    </row>
    <row r="7" spans="1:8">
      <c r="A7" t="s">
        <v>18</v>
      </c>
      <c r="B7">
        <v>5.8028780082485321E-3</v>
      </c>
      <c r="C7">
        <v>1.8223914406069774E-3</v>
      </c>
      <c r="D7">
        <v>1.8223914406069774E-3</v>
      </c>
      <c r="E7">
        <v>1.8223914406069774E-3</v>
      </c>
      <c r="F7">
        <v>4.0116590528098328E-3</v>
      </c>
      <c r="G7">
        <v>1.4123533664704075E-3</v>
      </c>
      <c r="H7">
        <v>5.467174321820931E-3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3.0636736837912965E-4</v>
      </c>
      <c r="C10" s="4">
        <v>7.273085411263018E-5</v>
      </c>
      <c r="D10" s="4">
        <v>9.5098581742816967E-5</v>
      </c>
      <c r="E10" s="4">
        <v>9.3478062847081558E-5</v>
      </c>
      <c r="F10">
        <v>3.8357149864294821E-5</v>
      </c>
      <c r="G10" s="4">
        <v>1.4090027704705712E-3</v>
      </c>
      <c r="H10" s="4">
        <v>8.379890176963306E-5</v>
      </c>
    </row>
    <row r="11" spans="1:8">
      <c r="A11" t="s">
        <v>8</v>
      </c>
      <c r="B11">
        <v>1.6283396676658034E-3</v>
      </c>
      <c r="C11">
        <v>7.7263481523290941E-4</v>
      </c>
      <c r="D11">
        <v>6.720672001062452E-4</v>
      </c>
      <c r="E11">
        <v>7.5059325437243547E-4</v>
      </c>
      <c r="F11">
        <v>0</v>
      </c>
      <c r="G11">
        <v>6.8755018426906603E-4</v>
      </c>
      <c r="H11">
        <v>0</v>
      </c>
    </row>
    <row r="12" spans="1:8">
      <c r="A12" t="s">
        <v>7</v>
      </c>
      <c r="B12">
        <v>5.437858374844844E-4</v>
      </c>
      <c r="C12">
        <v>1.6922051621130835E-4</v>
      </c>
      <c r="D12">
        <v>1.6922051621130835E-4</v>
      </c>
      <c r="E12">
        <v>1.6922051621130835E-4</v>
      </c>
      <c r="F12">
        <v>0</v>
      </c>
      <c r="G12">
        <v>0</v>
      </c>
      <c r="H12">
        <v>5.0766154863392504E-4</v>
      </c>
    </row>
    <row r="13" spans="1:8">
      <c r="A13" t="s">
        <v>16</v>
      </c>
      <c r="B13">
        <v>1.0840496025738076E-2</v>
      </c>
      <c r="C13">
        <v>3.3734500000000001E-3</v>
      </c>
      <c r="D13">
        <v>3.3734500000000001E-3</v>
      </c>
      <c r="E13">
        <v>3.3734500000000001E-3</v>
      </c>
      <c r="F13">
        <v>0</v>
      </c>
      <c r="G13">
        <v>0</v>
      </c>
      <c r="H13">
        <v>1.0120349999999998E-2</v>
      </c>
    </row>
    <row r="14" spans="1:8">
      <c r="A14" t="s">
        <v>17</v>
      </c>
      <c r="B14">
        <v>1.5610349625283874E-2</v>
      </c>
      <c r="C14">
        <v>4.8577789999999996E-3</v>
      </c>
      <c r="D14">
        <v>4.8577789999999996E-3</v>
      </c>
      <c r="E14">
        <v>4.8577789999999996E-3</v>
      </c>
      <c r="F14">
        <v>0</v>
      </c>
      <c r="G14">
        <v>0</v>
      </c>
      <c r="H14">
        <v>1.4573336999999997E-2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8">
        <v>0.68595041322314043</v>
      </c>
    </row>
    <row r="3" spans="1:2">
      <c r="A3" t="s">
        <v>8</v>
      </c>
      <c r="B3" s="8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9" customFormat="1">
      <c r="A14" s="9" t="s">
        <v>64</v>
      </c>
      <c r="C14" s="15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9" t="s">
        <v>68</v>
      </c>
      <c r="B20">
        <f>7.1/6.1</f>
        <v>1.1639344262295082</v>
      </c>
    </row>
    <row r="21" spans="1:4">
      <c r="A21" s="9" t="s">
        <v>69</v>
      </c>
      <c r="B21">
        <f>B19*$B$20</f>
        <v>6.7042622950819668</v>
      </c>
    </row>
    <row r="22" spans="1:4" ht="30">
      <c r="A22" s="9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1">
        <v>0.2</v>
      </c>
      <c r="D25" s="6" t="s">
        <v>82</v>
      </c>
    </row>
    <row r="26" spans="1:4">
      <c r="A26" t="s">
        <v>77</v>
      </c>
      <c r="B26" s="11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2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zoomScale="90" zoomScaleNormal="90" workbookViewId="0">
      <pane xSplit="2" topLeftCell="AF1" activePane="topRight" state="frozen"/>
      <selection pane="topRight" activeCell="AR15" sqref="AR15"/>
    </sheetView>
  </sheetViews>
  <sheetFormatPr defaultRowHeight="15"/>
  <cols>
    <col min="1" max="1" width="14" customWidth="1"/>
    <col min="15" max="15" width="11.42578125" customWidth="1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>
        <v>2020</v>
      </c>
      <c r="AO1">
        <v>2021</v>
      </c>
      <c r="AP1">
        <v>2022</v>
      </c>
      <c r="AQ1">
        <v>2023</v>
      </c>
      <c r="AR1" s="16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4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">
        <f>Calculations!C16</f>
        <v>3.142498616321923E-4</v>
      </c>
      <c r="AB2" s="25">
        <f t="shared" ref="AB2:AQ2" si="0">($AS$2-$AA$2)/COUNT($AB$1:$AS$1)+AA2</f>
        <v>3.1844100144032408E-4</v>
      </c>
      <c r="AC2" s="25">
        <f t="shared" si="0"/>
        <v>3.2263214124845585E-4</v>
      </c>
      <c r="AD2" s="25">
        <f t="shared" si="0"/>
        <v>3.2682328105658763E-4</v>
      </c>
      <c r="AE2" s="25">
        <f t="shared" si="0"/>
        <v>3.310144208647194E-4</v>
      </c>
      <c r="AF2" s="25">
        <f t="shared" si="0"/>
        <v>3.3520556067285118E-4</v>
      </c>
      <c r="AG2" s="25">
        <f t="shared" si="0"/>
        <v>3.3939670048098295E-4</v>
      </c>
      <c r="AH2" s="25">
        <f t="shared" si="0"/>
        <v>3.4358784028911473E-4</v>
      </c>
      <c r="AI2" s="25">
        <f t="shared" si="0"/>
        <v>3.477789800972465E-4</v>
      </c>
      <c r="AJ2" s="25">
        <f t="shared" si="0"/>
        <v>3.5197011990537828E-4</v>
      </c>
      <c r="AK2" s="25">
        <f t="shared" si="0"/>
        <v>3.5616125971351005E-4</v>
      </c>
      <c r="AL2" s="25">
        <f t="shared" si="0"/>
        <v>3.6035239952164183E-4</v>
      </c>
      <c r="AM2" s="25">
        <f t="shared" si="0"/>
        <v>3.645435393297736E-4</v>
      </c>
      <c r="AN2" s="25">
        <f t="shared" si="0"/>
        <v>3.6873467913790537E-4</v>
      </c>
      <c r="AO2" s="25">
        <f t="shared" si="0"/>
        <v>3.7292581894603715E-4</v>
      </c>
      <c r="AP2" s="25">
        <f t="shared" si="0"/>
        <v>3.7711695875416892E-4</v>
      </c>
      <c r="AQ2" s="25">
        <f t="shared" si="0"/>
        <v>3.813080985623007E-4</v>
      </c>
      <c r="AR2" s="32">
        <f>($AS$2-$AA$2)/COUNT($AB$1:$AS$1)+AQ2</f>
        <v>3.8549923837043247E-4</v>
      </c>
      <c r="AS2" s="26">
        <f>BNVFE!H8</f>
        <v>3.8969037817856381E-4</v>
      </c>
      <c r="AT2" s="26">
        <f>BNVFE!I8</f>
        <v>3.9985001436006255E-4</v>
      </c>
      <c r="AU2" s="26">
        <f>BNVFE!J8</f>
        <v>4.0645495978422236E-4</v>
      </c>
      <c r="AV2" s="26">
        <f>BNVFE!K8</f>
        <v>4.1222868457836193E-4</v>
      </c>
      <c r="AW2" s="26">
        <f>BNVFE!L8</f>
        <v>4.1315950014361388E-4</v>
      </c>
      <c r="AX2" s="26">
        <f>BNVFE!M8</f>
        <v>4.1586031572729884E-4</v>
      </c>
      <c r="AY2" s="26">
        <f>BNVFE!N8</f>
        <v>4.1791006177450995E-4</v>
      </c>
      <c r="AZ2" s="26">
        <f>BNVFE!O8</f>
        <v>4.1868747861134429E-4</v>
      </c>
      <c r="BA2" s="26">
        <f>BNVFE!P8</f>
        <v>4.2132009406936789E-4</v>
      </c>
      <c r="BB2" s="26">
        <f>BNVFE!Q8</f>
        <v>4.224153063913546E-4</v>
      </c>
      <c r="BC2" s="26">
        <f>BNVFE!R8</f>
        <v>4.2414977562549528E-4</v>
      </c>
      <c r="BD2" s="26">
        <f>BNVFE!S8</f>
        <v>4.2551597947059568E-4</v>
      </c>
      <c r="BE2" s="26">
        <f>BNVFE!T8</f>
        <v>4.2699017471707065E-4</v>
      </c>
      <c r="BF2" s="26">
        <f>BNVFE!U8</f>
        <v>4.278185027990744E-4</v>
      </c>
      <c r="BG2" s="26">
        <f>BNVFE!V8</f>
        <v>4.2962147676115707E-4</v>
      </c>
      <c r="BH2" s="26">
        <f>BNVFE!W8</f>
        <v>4.3041495518616422E-4</v>
      </c>
      <c r="BI2" s="26">
        <f>BNVFE!X8</f>
        <v>4.3058027955271102E-4</v>
      </c>
      <c r="BJ2" s="26">
        <f>BNVFE!Y8</f>
        <v>4.3088934374883934E-4</v>
      </c>
      <c r="BK2" s="26">
        <f>BNVFE!Z8</f>
        <v>4.3093489146882265E-4</v>
      </c>
      <c r="BL2" s="26">
        <f>BNVFE!AA8</f>
        <v>4.3107618325306866E-4</v>
      </c>
      <c r="BM2" s="26">
        <f>BNVFE!AB8</f>
        <v>4.3159356456922571E-4</v>
      </c>
      <c r="BN2" s="26">
        <f>BNVFE!AC8</f>
        <v>4.3137509125134069E-4</v>
      </c>
      <c r="BO2" s="26">
        <f>BNVFE!AD8</f>
        <v>4.3181432059055414E-4</v>
      </c>
      <c r="BP2" s="26">
        <f>BNVFE!AE8</f>
        <v>4.3184298375304391E-4</v>
      </c>
      <c r="BQ2" s="26">
        <f>BNVFE!AF8</f>
        <v>4.3221033154474715E-4</v>
      </c>
      <c r="BR2" s="26">
        <f>BNVFE!AG8</f>
        <v>4.3232208233433581E-4</v>
      </c>
      <c r="BS2" s="26"/>
      <c r="BT2" s="4"/>
    </row>
    <row r="3" spans="1:72">
      <c r="A3" t="s">
        <v>15</v>
      </c>
      <c r="B3" t="s">
        <v>22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" cm="1">
        <f t="array" ref="AA3">TREND($AQ$3:$AU$3,$AQ$1:$AU$1,AA1)</f>
        <v>5.9551063413003282E-5</v>
      </c>
      <c r="AB3" s="4" cm="1">
        <f t="array" ref="AB3">TREND($AQ$3:$AU$3,$AQ$1:$AU$1,AB1)</f>
        <v>6.0878373147410427E-5</v>
      </c>
      <c r="AC3" s="4" cm="1">
        <f t="array" ref="AC3">TREND($AQ$3:$AU$3,$AQ$1:$AU$1,AC1)</f>
        <v>6.2205682881817138E-5</v>
      </c>
      <c r="AD3" s="4" cm="1">
        <f t="array" ref="AD3">TREND($AQ$3:$AU$3,$AQ$1:$AU$1,AD1)</f>
        <v>6.3532992616224283E-5</v>
      </c>
      <c r="AE3" s="4" cm="1">
        <f t="array" ref="AE3">TREND($AQ$3:$AU$3,$AQ$1:$AU$1,AE1)</f>
        <v>6.4860302350631428E-5</v>
      </c>
      <c r="AF3" s="4" cm="1">
        <f t="array" ref="AF3">TREND($AQ$3:$AU$3,$AQ$1:$AU$1,AF1)</f>
        <v>6.618761208503814E-5</v>
      </c>
      <c r="AG3" s="4" cm="1">
        <f t="array" ref="AG3">TREND($AQ$3:$AU$3,$AQ$1:$AU$1,AG1)</f>
        <v>6.7514921819445285E-5</v>
      </c>
      <c r="AH3" s="4" cm="1">
        <f t="array" ref="AH3">TREND($AQ$3:$AU$3,$AQ$1:$AU$1,AH1)</f>
        <v>6.8842231553851996E-5</v>
      </c>
      <c r="AI3" s="4" cm="1">
        <f t="array" ref="AI3">TREND($AQ$3:$AU$3,$AQ$1:$AU$1,AI1)</f>
        <v>7.0169541288259141E-5</v>
      </c>
      <c r="AJ3" s="4" cm="1">
        <f t="array" ref="AJ3">TREND($AQ$3:$AU$3,$AQ$1:$AU$1,AJ1)</f>
        <v>7.1496851022665852E-5</v>
      </c>
      <c r="AK3" s="4" cm="1">
        <f t="array" ref="AK3">TREND($AQ$3:$AU$3,$AQ$1:$AU$1,AK1)</f>
        <v>7.2824160757072997E-5</v>
      </c>
      <c r="AL3" s="4" cm="1">
        <f t="array" ref="AL3">TREND($AQ$3:$AU$3,$AQ$1:$AU$1,AL1)</f>
        <v>7.4151470491480142E-5</v>
      </c>
      <c r="AM3" s="4" cm="1">
        <f t="array" ref="AM3">TREND($AQ$3:$AU$3,$AQ$1:$AU$1,AM1)</f>
        <v>7.5478780225886853E-5</v>
      </c>
      <c r="AN3" s="4" cm="1">
        <f t="array" ref="AN3">TREND($AQ$3:$AU$3,$AQ$1:$AU$1,AN1)</f>
        <v>7.6806089960293998E-5</v>
      </c>
      <c r="AO3" s="4" cm="1">
        <f t="array" ref="AO3">TREND($AQ$3:$AU$3,$AQ$1:$AU$1,AO1)</f>
        <v>7.8133399694700709E-5</v>
      </c>
      <c r="AP3" s="4" cm="1">
        <f t="array" ref="AP3">TREND($AR$3:$AV$3,$AR$1:$AV$1,AP1)</f>
        <v>7.977578850124848E-5</v>
      </c>
      <c r="AQ3" s="4" cm="1">
        <f t="array" ref="AQ3">TREND($AR$3:$AV$3,$AR$1:$AV$1,AQ1)</f>
        <v>8.0968064347595233E-5</v>
      </c>
      <c r="AR3" s="20">
        <f>BNVFE!G9</f>
        <v>8.132511630401103E-5</v>
      </c>
      <c r="AS3" s="26">
        <f>BNVFE!H9</f>
        <v>8.4161072514692597E-5</v>
      </c>
      <c r="AT3" s="26">
        <f>BNVFE!I9</f>
        <v>8.498353764742068E-5</v>
      </c>
      <c r="AU3" s="26">
        <f>BNVFE!J9</f>
        <v>8.5775402347925225E-5</v>
      </c>
      <c r="AV3" s="26">
        <f>BNVFE!K9</f>
        <v>8.6479330619128737E-5</v>
      </c>
      <c r="AW3" s="26">
        <f>BNVFE!L9</f>
        <v>8.7180851987329484E-5</v>
      </c>
      <c r="AX3" s="26">
        <f>BNVFE!M9</f>
        <v>8.7676327828293231E-5</v>
      </c>
      <c r="AY3" s="26">
        <f>BNVFE!N9</f>
        <v>8.808308415773043E-5</v>
      </c>
      <c r="AZ3" s="26">
        <f>BNVFE!O9</f>
        <v>8.8443349127241298E-5</v>
      </c>
      <c r="BA3" s="26">
        <f>BNVFE!P9</f>
        <v>8.877490666338608E-5</v>
      </c>
      <c r="BB3" s="26">
        <f>BNVFE!Q9</f>
        <v>8.9036788024627383E-5</v>
      </c>
      <c r="BC3" s="26">
        <f>BNVFE!R9</f>
        <v>8.9408940248032558E-5</v>
      </c>
      <c r="BD3" s="26">
        <f>BNVFE!S9</f>
        <v>8.9726171714716883E-5</v>
      </c>
      <c r="BE3" s="26">
        <f>BNVFE!T9</f>
        <v>8.9993423792437643E-5</v>
      </c>
      <c r="BF3" s="26">
        <f>BNVFE!U9</f>
        <v>9.0174807564025167E-5</v>
      </c>
      <c r="BG3" s="26">
        <f>BNVFE!V9</f>
        <v>9.038234516069701E-5</v>
      </c>
      <c r="BH3" s="26">
        <f>BNVFE!W9</f>
        <v>9.0953441555838329E-5</v>
      </c>
      <c r="BI3" s="26">
        <f>BNVFE!X9</f>
        <v>9.1765196895077241E-5</v>
      </c>
      <c r="BJ3" s="26">
        <f>BNVFE!Y9</f>
        <v>9.2611810298042204E-5</v>
      </c>
      <c r="BK3" s="26">
        <f>BNVFE!Z9</f>
        <v>9.3647517531163859E-5</v>
      </c>
      <c r="BL3" s="26">
        <f>BNVFE!AA9</f>
        <v>9.5050006294872494E-5</v>
      </c>
      <c r="BM3" s="26">
        <f>BNVFE!AB9</f>
        <v>9.645662760019035E-5</v>
      </c>
      <c r="BN3" s="26">
        <f>BNVFE!AC9</f>
        <v>9.7387214206997634E-5</v>
      </c>
      <c r="BO3" s="26">
        <f>BNVFE!AD9</f>
        <v>9.8272881152577143E-5</v>
      </c>
      <c r="BP3" s="26">
        <f>BNVFE!AE9</f>
        <v>9.9315311676914197E-5</v>
      </c>
      <c r="BQ3" s="26">
        <f>BNVFE!AF9</f>
        <v>1.0022913979744075E-4</v>
      </c>
      <c r="BR3" s="26">
        <f>BNVFE!AG9</f>
        <v>1.0111291012785455E-4</v>
      </c>
      <c r="BS3" s="26"/>
      <c r="BT3" s="4"/>
    </row>
    <row r="4" spans="1:72">
      <c r="A4" t="s">
        <v>8</v>
      </c>
      <c r="B4" t="s">
        <v>21</v>
      </c>
      <c r="C4" s="23"/>
      <c r="D4" s="23"/>
      <c r="E4" s="23"/>
      <c r="F4" s="23"/>
      <c r="G4" s="23"/>
      <c r="H4" s="23"/>
      <c r="I4" s="23"/>
      <c r="J4" s="23"/>
      <c r="K4" s="23"/>
      <c r="L4" s="4">
        <f>L5/M5*M4</f>
        <v>1.0741724290607476E-3</v>
      </c>
      <c r="M4" s="4">
        <f t="shared" ref="M4:AI4" si="1">M5/N5*N4</f>
        <v>1.0741724290607476E-3</v>
      </c>
      <c r="N4" s="4">
        <f t="shared" si="1"/>
        <v>1.0741724290607476E-3</v>
      </c>
      <c r="O4" s="4">
        <f t="shared" si="1"/>
        <v>1.0741724290607476E-3</v>
      </c>
      <c r="P4" s="4">
        <f t="shared" si="1"/>
        <v>1.0741724290607476E-3</v>
      </c>
      <c r="Q4" s="4">
        <f t="shared" si="1"/>
        <v>1.0741724290607476E-3</v>
      </c>
      <c r="R4" s="4">
        <f t="shared" si="1"/>
        <v>1.0741724290607476E-3</v>
      </c>
      <c r="S4" s="4">
        <f t="shared" si="1"/>
        <v>1.0741724290607476E-3</v>
      </c>
      <c r="T4" s="4">
        <f t="shared" si="1"/>
        <v>1.0741724290607476E-3</v>
      </c>
      <c r="U4" s="4">
        <f t="shared" si="1"/>
        <v>1.0741724290607476E-3</v>
      </c>
      <c r="V4" s="4">
        <f t="shared" si="1"/>
        <v>1.0741724290607476E-3</v>
      </c>
      <c r="W4" s="4">
        <f t="shared" si="1"/>
        <v>1.0723072716534118E-3</v>
      </c>
      <c r="X4" s="4">
        <f t="shared" si="1"/>
        <v>1.0704421142460759E-3</v>
      </c>
      <c r="Y4" s="4">
        <f t="shared" si="1"/>
        <v>1.0685769568387401E-3</v>
      </c>
      <c r="Z4" s="4">
        <f t="shared" si="1"/>
        <v>1.0667117994314045E-3</v>
      </c>
      <c r="AA4" s="4">
        <f t="shared" si="1"/>
        <v>1.0648466420240688E-3</v>
      </c>
      <c r="AB4" s="4">
        <f t="shared" si="1"/>
        <v>1.0629814846167332E-3</v>
      </c>
      <c r="AC4" s="4">
        <f t="shared" si="1"/>
        <v>1.0611163272093976E-3</v>
      </c>
      <c r="AD4" s="4">
        <f t="shared" si="1"/>
        <v>1.0592511698020617E-3</v>
      </c>
      <c r="AE4" s="4">
        <f t="shared" si="1"/>
        <v>1.0573860123947261E-3</v>
      </c>
      <c r="AF4" s="4">
        <f t="shared" si="1"/>
        <v>1.0555208549873905E-3</v>
      </c>
      <c r="AG4" s="4">
        <f>AG5/AH5*AH4</f>
        <v>1.0536556975800548E-3</v>
      </c>
      <c r="AH4" s="4">
        <f t="shared" si="1"/>
        <v>1.0517905401727192E-3</v>
      </c>
      <c r="AI4" s="4">
        <f t="shared" si="1"/>
        <v>1.0499253827653836E-3</v>
      </c>
      <c r="AJ4" s="4">
        <f>AJ5/AK5*AK4</f>
        <v>1.0480602253580479E-3</v>
      </c>
      <c r="AK4" s="27">
        <f>AK5/AL5*AL4</f>
        <v>1.0461950679507121E-3</v>
      </c>
      <c r="AL4" s="27">
        <f>AL5/AM5*AM4</f>
        <v>1.0443299105433765E-3</v>
      </c>
      <c r="AM4" s="27">
        <f>AM5/AN5*AN4</f>
        <v>1.0424647531360406E-3</v>
      </c>
      <c r="AN4" s="27">
        <f t="shared" ref="AN4:AQ4" si="2">AN5/AO5*AO4</f>
        <v>1.040599595728705E-3</v>
      </c>
      <c r="AO4" s="27">
        <f t="shared" si="2"/>
        <v>1.0387344383213694E-3</v>
      </c>
      <c r="AP4" s="27">
        <f t="shared" si="2"/>
        <v>1.0368692809140337E-3</v>
      </c>
      <c r="AQ4" s="27">
        <f t="shared" si="2"/>
        <v>1.0331389660993618E-3</v>
      </c>
      <c r="AR4" s="20">
        <f>BNVFE!G10</f>
        <v>1.0995181101032814E-3</v>
      </c>
      <c r="AS4" s="26">
        <f>BNVFE!H10</f>
        <v>1.1178720570179867E-3</v>
      </c>
      <c r="AT4" s="26">
        <f>BNVFE!I10</f>
        <v>1.139337361078613E-3</v>
      </c>
      <c r="AU4" s="26">
        <f>BNVFE!J10</f>
        <v>1.1689067098604232E-3</v>
      </c>
      <c r="AV4" s="26">
        <f>BNVFE!K10</f>
        <v>1.1886355244649762E-3</v>
      </c>
      <c r="AW4" s="26">
        <f>BNVFE!L10</f>
        <v>1.2005104013829389E-3</v>
      </c>
      <c r="AX4" s="26">
        <f>BNVFE!M10</f>
        <v>1.2150324713986361E-3</v>
      </c>
      <c r="AY4" s="26">
        <f>BNVFE!N10</f>
        <v>1.2281657343830318E-3</v>
      </c>
      <c r="AZ4" s="26">
        <f>BNVFE!O10</f>
        <v>1.2718191053697899E-3</v>
      </c>
      <c r="BA4" s="26">
        <f>BNVFE!P10</f>
        <v>1.2872919346060385E-3</v>
      </c>
      <c r="BB4" s="26">
        <f>BNVFE!Q10</f>
        <v>1.294373280286983E-3</v>
      </c>
      <c r="BC4" s="26">
        <f>BNVFE!R10</f>
        <v>1.2991392532857248E-3</v>
      </c>
      <c r="BD4" s="26">
        <f>BNVFE!S10</f>
        <v>1.2994994330511106E-3</v>
      </c>
      <c r="BE4" s="26">
        <f>BNVFE!T10</f>
        <v>1.2998067394523606E-3</v>
      </c>
      <c r="BF4" s="26">
        <f>BNVFE!U10</f>
        <v>1.29969410316452E-3</v>
      </c>
      <c r="BG4" s="26">
        <f>BNVFE!V10</f>
        <v>1.299580986209732E-3</v>
      </c>
      <c r="BH4" s="26">
        <f>BNVFE!W10</f>
        <v>1.2991434190659293E-3</v>
      </c>
      <c r="BI4" s="26">
        <f>BNVFE!X10</f>
        <v>1.2988513337846576E-3</v>
      </c>
      <c r="BJ4" s="26">
        <f>BNVFE!Y10</f>
        <v>1.2983562468295675E-3</v>
      </c>
      <c r="BK4" s="26">
        <f>BNVFE!Z10</f>
        <v>1.2980781008897497E-3</v>
      </c>
      <c r="BL4" s="26">
        <f>BNVFE!AA10</f>
        <v>1.2978283142997872E-3</v>
      </c>
      <c r="BM4" s="26">
        <f>BNVFE!AB10</f>
        <v>1.2973135199998824E-3</v>
      </c>
      <c r="BN4" s="26">
        <f>BNVFE!AC10</f>
        <v>1.2970622914090792E-3</v>
      </c>
      <c r="BO4" s="26">
        <f>BNVFE!AD10</f>
        <v>1.2965591933382112E-3</v>
      </c>
      <c r="BP4" s="26">
        <f>BNVFE!AE10</f>
        <v>1.2964217225914581E-3</v>
      </c>
      <c r="BQ4" s="26">
        <f>BNVFE!AF10</f>
        <v>1.2961902013454692E-3</v>
      </c>
      <c r="BR4" s="26">
        <f>BNVFE!AG10</f>
        <v>1.2958891436145262E-3</v>
      </c>
      <c r="BS4" s="26"/>
      <c r="BT4" s="4"/>
    </row>
    <row r="5" spans="1:72">
      <c r="A5" t="s">
        <v>8</v>
      </c>
      <c r="B5" t="s">
        <v>22</v>
      </c>
      <c r="C5" s="23"/>
      <c r="D5" s="23"/>
      <c r="E5" s="23"/>
      <c r="F5" s="23"/>
      <c r="G5" s="23"/>
      <c r="H5" s="23"/>
      <c r="I5" s="23"/>
      <c r="J5" s="23"/>
      <c r="K5" s="23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8">
        <f>Calculations!B22</f>
        <v>7.8040477200267344E-4</v>
      </c>
      <c r="W5" s="4">
        <f>($AQ$5-$V$5)/COUNT($V$1:$AQ$1)+V5</f>
        <v>7.7904970301948082E-4</v>
      </c>
      <c r="X5" s="4">
        <f t="shared" ref="X5:AN5" si="4">($AQ$5-$V$5)/COUNT($V$1:$AQ$1)+W5</f>
        <v>7.7769463403628821E-4</v>
      </c>
      <c r="Y5" s="4">
        <f t="shared" si="4"/>
        <v>7.7633956505309559E-4</v>
      </c>
      <c r="Z5" s="4">
        <f t="shared" si="4"/>
        <v>7.7498449606990298E-4</v>
      </c>
      <c r="AA5" s="4">
        <f t="shared" si="4"/>
        <v>7.7362942708671036E-4</v>
      </c>
      <c r="AB5" s="4">
        <f t="shared" si="4"/>
        <v>7.7227435810351774E-4</v>
      </c>
      <c r="AC5" s="4">
        <f t="shared" si="4"/>
        <v>7.7091928912032513E-4</v>
      </c>
      <c r="AD5" s="4">
        <f t="shared" si="4"/>
        <v>7.6956422013713251E-4</v>
      </c>
      <c r="AE5" s="4">
        <f t="shared" si="4"/>
        <v>7.682091511539399E-4</v>
      </c>
      <c r="AF5" s="4">
        <f t="shared" si="4"/>
        <v>7.6685408217074728E-4</v>
      </c>
      <c r="AG5" s="4">
        <f t="shared" si="4"/>
        <v>7.6549901318755467E-4</v>
      </c>
      <c r="AH5" s="4">
        <f t="shared" si="4"/>
        <v>7.6414394420436205E-4</v>
      </c>
      <c r="AI5" s="4">
        <f t="shared" si="4"/>
        <v>7.6278887522116944E-4</v>
      </c>
      <c r="AJ5" s="4">
        <f t="shared" si="4"/>
        <v>7.6143380623797682E-4</v>
      </c>
      <c r="AK5" s="4">
        <f t="shared" si="4"/>
        <v>7.6007873725478421E-4</v>
      </c>
      <c r="AL5" s="4">
        <f t="shared" si="4"/>
        <v>7.5872366827159159E-4</v>
      </c>
      <c r="AM5" s="4">
        <f t="shared" si="4"/>
        <v>7.5736859928839898E-4</v>
      </c>
      <c r="AN5" s="4">
        <f t="shared" si="4"/>
        <v>7.5601353030520636E-4</v>
      </c>
      <c r="AO5" s="4">
        <f>($AQ$5-$V$5)/COUNT($V$1:$AQ$1)+AN5</f>
        <v>7.5465846132201375E-4</v>
      </c>
      <c r="AP5" s="4">
        <f>($AQ$5-$V$5)/COUNT($V$1:$AQ$1)+AO5</f>
        <v>7.5330339233882113E-4</v>
      </c>
      <c r="AQ5" s="26">
        <f>BNVFE!F11</f>
        <v>7.5059325437243547E-4</v>
      </c>
      <c r="AR5" s="20">
        <f>BNVFE!G11</f>
        <v>7.9881884585164282E-4</v>
      </c>
      <c r="AS5" s="26">
        <f>BNVFE!H11</f>
        <v>8.1215330442627252E-4</v>
      </c>
      <c r="AT5" s="26">
        <f>BNVFE!I11</f>
        <v>8.277482175595845E-4</v>
      </c>
      <c r="AU5" s="26">
        <f>BNVFE!J11</f>
        <v>8.4923085877251694E-4</v>
      </c>
      <c r="AV5" s="26">
        <f>BNVFE!K11</f>
        <v>8.6356418240549429E-4</v>
      </c>
      <c r="AW5" s="26">
        <f>BNVFE!L11</f>
        <v>8.721914850275005E-4</v>
      </c>
      <c r="AX5" s="26">
        <f>BNVFE!M11</f>
        <v>8.8274201903209843E-4</v>
      </c>
      <c r="AY5" s="26">
        <f>BNVFE!N11</f>
        <v>8.9228356080668159E-4</v>
      </c>
      <c r="AZ5" s="26">
        <f>BNVFE!O11</f>
        <v>9.2399848674446351E-4</v>
      </c>
      <c r="BA5" s="26">
        <f>BNVFE!P11</f>
        <v>9.3523976369932777E-4</v>
      </c>
      <c r="BB5" s="26">
        <f>BNVFE!Q11</f>
        <v>9.4038448331053737E-4</v>
      </c>
      <c r="BC5" s="26">
        <f>BNVFE!R11</f>
        <v>9.4384704478654366E-4</v>
      </c>
      <c r="BD5" s="26">
        <f>BNVFE!S11</f>
        <v>9.4410872159008232E-4</v>
      </c>
      <c r="BE5" s="26">
        <f>BNVFE!T11</f>
        <v>9.443319849838489E-4</v>
      </c>
      <c r="BF5" s="26">
        <f>BNVFE!U11</f>
        <v>9.4425015278060706E-4</v>
      </c>
      <c r="BG5" s="26">
        <f>BNVFE!V11</f>
        <v>9.4416797136454901E-4</v>
      </c>
      <c r="BH5" s="26">
        <f>BNVFE!W11</f>
        <v>9.4385007129761667E-4</v>
      </c>
      <c r="BI5" s="26">
        <f>BNVFE!X11</f>
        <v>9.4363786630969357E-4</v>
      </c>
      <c r="BJ5" s="26">
        <f>BNVFE!Y11</f>
        <v>9.4327817710909993E-4</v>
      </c>
      <c r="BK5" s="26">
        <f>BNVFE!Z11</f>
        <v>9.4307609929284396E-4</v>
      </c>
      <c r="BL5" s="26">
        <f>BNVFE!AA11</f>
        <v>9.4289462503273878E-4</v>
      </c>
      <c r="BM5" s="26">
        <f>BNVFE!AB11</f>
        <v>9.4252061810668451E-4</v>
      </c>
      <c r="BN5" s="26">
        <f>BNVFE!AC11</f>
        <v>9.4233809620813079E-4</v>
      </c>
      <c r="BO5" s="26">
        <f>BNVFE!AD11</f>
        <v>9.4197258679393529E-4</v>
      </c>
      <c r="BP5" s="26">
        <f>BNVFE!AE11</f>
        <v>9.4187271192852781E-4</v>
      </c>
      <c r="BQ5" s="26">
        <f>BNVFE!AF11</f>
        <v>9.4170450775543462E-4</v>
      </c>
      <c r="BR5" s="26">
        <f>BNVFE!AG11</f>
        <v>9.4148578412827765E-4</v>
      </c>
      <c r="BS5" s="26"/>
      <c r="BT5" s="4"/>
    </row>
    <row r="6" spans="1:72">
      <c r="A6" t="s">
        <v>7</v>
      </c>
      <c r="B6" t="s">
        <v>21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4">
        <f t="shared" ref="P6:AM6" si="5">TREND($AQ6:$BR6,$AQ$1:$BR$1,P$1)</f>
        <v>3.3000958546164708E-4</v>
      </c>
      <c r="Q6" s="4">
        <f>TREND($AQ6:$BR6,$AQ$1:$BR$1,Q$1)</f>
        <v>3.3397333498517805E-4</v>
      </c>
      <c r="R6" s="4">
        <f t="shared" si="5"/>
        <v>3.3793708450870902E-4</v>
      </c>
      <c r="S6" s="4">
        <f t="shared" si="5"/>
        <v>3.4190083403223999E-4</v>
      </c>
      <c r="T6" s="4">
        <f t="shared" si="5"/>
        <v>3.4586458355577096E-4</v>
      </c>
      <c r="U6" s="4">
        <f t="shared" si="5"/>
        <v>3.4982833307930193E-4</v>
      </c>
      <c r="V6" s="4">
        <f t="shared" si="5"/>
        <v>3.537920826028329E-4</v>
      </c>
      <c r="W6" s="4">
        <f t="shared" si="5"/>
        <v>3.5775583212636387E-4</v>
      </c>
      <c r="X6" s="4">
        <f t="shared" si="5"/>
        <v>3.6171958164989484E-4</v>
      </c>
      <c r="Y6" s="4">
        <f t="shared" si="5"/>
        <v>3.6568333117342582E-4</v>
      </c>
      <c r="Z6" s="4">
        <f t="shared" si="5"/>
        <v>3.6964708069695679E-4</v>
      </c>
      <c r="AA6" s="4">
        <f t="shared" si="5"/>
        <v>3.7361083022048776E-4</v>
      </c>
      <c r="AB6" s="4">
        <f t="shared" si="5"/>
        <v>3.7757457974401873E-4</v>
      </c>
      <c r="AC6" s="4">
        <f t="shared" si="5"/>
        <v>3.815383292675497E-4</v>
      </c>
      <c r="AD6" s="4">
        <f t="shared" si="5"/>
        <v>3.8550207879108067E-4</v>
      </c>
      <c r="AE6" s="4">
        <f t="shared" si="5"/>
        <v>3.8946582831461164E-4</v>
      </c>
      <c r="AF6" s="4">
        <f t="shared" si="5"/>
        <v>3.9342957783814261E-4</v>
      </c>
      <c r="AG6" s="4">
        <f t="shared" si="5"/>
        <v>3.9739332736167358E-4</v>
      </c>
      <c r="AH6" s="4">
        <f t="shared" si="5"/>
        <v>4.0135707688520629E-4</v>
      </c>
      <c r="AI6" s="4">
        <f t="shared" si="5"/>
        <v>4.0532082640873726E-4</v>
      </c>
      <c r="AJ6" s="4">
        <f t="shared" si="5"/>
        <v>4.0928457593226823E-4</v>
      </c>
      <c r="AK6" s="4">
        <f t="shared" si="5"/>
        <v>4.132483254557992E-4</v>
      </c>
      <c r="AL6" s="4">
        <f t="shared" si="5"/>
        <v>4.1721207497933017E-4</v>
      </c>
      <c r="AM6" s="4">
        <f t="shared" si="5"/>
        <v>4.2117582450286115E-4</v>
      </c>
      <c r="AN6" s="4">
        <f>TREND($AQ6:$BR6,$AQ$1:$BR$1,AN$1)</f>
        <v>4.2513957402639212E-4</v>
      </c>
      <c r="AO6" s="4">
        <f t="shared" ref="AO6:AP6" si="6">TREND($AQ6:$BR6,$AQ$1:$BR$1,AO$1)</f>
        <v>4.2910332354992309E-4</v>
      </c>
      <c r="AP6" s="4">
        <f t="shared" si="6"/>
        <v>4.3306707307345406E-4</v>
      </c>
      <c r="AQ6" s="26">
        <f>BNVFE!F12</f>
        <v>4.3956547255263602E-4</v>
      </c>
      <c r="AR6" s="20">
        <f>BNVFE!G12</f>
        <v>4.4366680476890972E-4</v>
      </c>
      <c r="AS6" s="26">
        <f>BNVFE!H12</f>
        <v>4.4597245060431232E-4</v>
      </c>
      <c r="AT6" s="26">
        <f>BNVFE!I12</f>
        <v>4.4931411605150481E-4</v>
      </c>
      <c r="AU6" s="26">
        <f>BNVFE!J12</f>
        <v>4.5288823478004158E-4</v>
      </c>
      <c r="AV6" s="26">
        <f>BNVFE!K12</f>
        <v>4.5662840926832999E-4</v>
      </c>
      <c r="AW6" s="26">
        <f>BNVFE!L12</f>
        <v>4.6040875969022651E-4</v>
      </c>
      <c r="AX6" s="26">
        <f>BNVFE!M12</f>
        <v>4.6419842254086203E-4</v>
      </c>
      <c r="AY6" s="26">
        <f>BNVFE!N12</f>
        <v>4.6802171784268048E-4</v>
      </c>
      <c r="AZ6" s="26">
        <f>BNVFE!O12</f>
        <v>4.718495549789862E-4</v>
      </c>
      <c r="BA6" s="26">
        <f>BNVFE!P12</f>
        <v>4.7569706545502331E-4</v>
      </c>
      <c r="BB6" s="26">
        <f>BNVFE!Q12</f>
        <v>4.7956228574948121E-4</v>
      </c>
      <c r="BC6" s="26">
        <f>BNVFE!R12</f>
        <v>4.8344561142611898E-4</v>
      </c>
      <c r="BD6" s="26">
        <f>BNVFE!S12</f>
        <v>4.8740041976327717E-4</v>
      </c>
      <c r="BE6" s="26">
        <f>BNVFE!T12</f>
        <v>4.9138744510057676E-4</v>
      </c>
      <c r="BF6" s="26">
        <f>BNVFE!U12</f>
        <v>4.9540734035651132E-4</v>
      </c>
      <c r="BG6" s="26">
        <f>BNVFE!V12</f>
        <v>4.9946276009751292E-4</v>
      </c>
      <c r="BH6" s="26">
        <f>BNVFE!W12</f>
        <v>5.0354741343006288E-4</v>
      </c>
      <c r="BI6" s="26">
        <f>BNVFE!X12</f>
        <v>5.076679534506399E-4</v>
      </c>
      <c r="BJ6" s="26">
        <f>BNVFE!Y12</f>
        <v>5.1181172688478038E-4</v>
      </c>
      <c r="BK6" s="26">
        <f>BNVFE!Z12</f>
        <v>5.1597913882790009E-4</v>
      </c>
      <c r="BL6" s="26">
        <f>BNVFE!AA12</f>
        <v>5.2017698058550235E-4</v>
      </c>
      <c r="BM6" s="26">
        <f>BNVFE!AB12</f>
        <v>5.2440413218790766E-4</v>
      </c>
      <c r="BN6" s="26">
        <f>BNVFE!AC12</f>
        <v>5.2866665576887042E-4</v>
      </c>
      <c r="BO6" s="26">
        <f>BNVFE!AD12</f>
        <v>5.3296936481509794E-4</v>
      </c>
      <c r="BP6" s="26">
        <f>BNVFE!AE12</f>
        <v>5.3730424796901105E-4</v>
      </c>
      <c r="BQ6" s="26">
        <f>BNVFE!AF12</f>
        <v>5.4167698609809006E-4</v>
      </c>
      <c r="BR6" s="26">
        <f>BNVFE!AG12</f>
        <v>5.4607888156546253E-4</v>
      </c>
      <c r="BS6" s="26"/>
      <c r="BT6" s="4"/>
    </row>
    <row r="7" spans="1:72">
      <c r="A7" t="s">
        <v>7</v>
      </c>
      <c r="B7" t="s">
        <v>22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6">
        <f t="shared" ref="P7:AP7" si="7">Q7</f>
        <v>1.8223851973329149E-4</v>
      </c>
      <c r="Q7" s="26">
        <f t="shared" si="7"/>
        <v>1.8223851973329149E-4</v>
      </c>
      <c r="R7" s="26">
        <f t="shared" si="7"/>
        <v>1.8223851973329149E-4</v>
      </c>
      <c r="S7" s="26">
        <f t="shared" si="7"/>
        <v>1.8223851973329149E-4</v>
      </c>
      <c r="T7" s="26">
        <f t="shared" si="7"/>
        <v>1.8223851973329149E-4</v>
      </c>
      <c r="U7" s="26">
        <f t="shared" si="7"/>
        <v>1.8223851973329149E-4</v>
      </c>
      <c r="V7" s="26">
        <f t="shared" si="7"/>
        <v>1.8223851973329149E-4</v>
      </c>
      <c r="W7" s="26">
        <f t="shared" si="7"/>
        <v>1.8223851973329149E-4</v>
      </c>
      <c r="X7" s="26">
        <f t="shared" si="7"/>
        <v>1.8223851973329149E-4</v>
      </c>
      <c r="Y7" s="26">
        <f t="shared" si="7"/>
        <v>1.8223851973329149E-4</v>
      </c>
      <c r="Z7" s="26">
        <f t="shared" si="7"/>
        <v>1.8223851973329149E-4</v>
      </c>
      <c r="AA7" s="26">
        <f t="shared" si="7"/>
        <v>1.8223851973329149E-4</v>
      </c>
      <c r="AB7" s="26">
        <f t="shared" si="7"/>
        <v>1.8223851973329149E-4</v>
      </c>
      <c r="AC7" s="26">
        <f t="shared" si="7"/>
        <v>1.8223851973329149E-4</v>
      </c>
      <c r="AD7" s="26">
        <f t="shared" si="7"/>
        <v>1.8223851973329149E-4</v>
      </c>
      <c r="AE7" s="26">
        <f t="shared" si="7"/>
        <v>1.8223851973329149E-4</v>
      </c>
      <c r="AF7" s="26">
        <f t="shared" si="7"/>
        <v>1.8223851973329149E-4</v>
      </c>
      <c r="AG7" s="26">
        <f t="shared" si="7"/>
        <v>1.8223851973329149E-4</v>
      </c>
      <c r="AH7" s="26">
        <f t="shared" si="7"/>
        <v>1.8223851973329149E-4</v>
      </c>
      <c r="AI7" s="26">
        <f t="shared" si="7"/>
        <v>1.8223851973329149E-4</v>
      </c>
      <c r="AJ7" s="26">
        <f t="shared" si="7"/>
        <v>1.8223851973329149E-4</v>
      </c>
      <c r="AK7" s="26">
        <f t="shared" si="7"/>
        <v>1.8223851973329149E-4</v>
      </c>
      <c r="AL7" s="26">
        <f t="shared" si="7"/>
        <v>1.8223851973329149E-4</v>
      </c>
      <c r="AM7" s="26">
        <f t="shared" si="7"/>
        <v>1.8223851973329149E-4</v>
      </c>
      <c r="AN7" s="26">
        <f t="shared" si="7"/>
        <v>1.8223851973329149E-4</v>
      </c>
      <c r="AO7" s="26">
        <f t="shared" si="7"/>
        <v>1.8223851973329149E-4</v>
      </c>
      <c r="AP7" s="26">
        <f t="shared" si="7"/>
        <v>1.8223851973329149E-4</v>
      </c>
      <c r="AQ7" s="26">
        <f>AR7</f>
        <v>1.8223851973329149E-4</v>
      </c>
      <c r="AR7" s="20">
        <f>BNVFE!G13</f>
        <v>1.8223851973329149E-4</v>
      </c>
      <c r="AS7" s="26">
        <f>BNVFE!H13</f>
        <v>1.8223851973329149E-4</v>
      </c>
      <c r="AT7" s="26">
        <f>BNVFE!I13</f>
        <v>1.8223851973329149E-4</v>
      </c>
      <c r="AU7" s="26">
        <f>BNVFE!J13</f>
        <v>1.8223851973329149E-4</v>
      </c>
      <c r="AV7" s="26">
        <f>BNVFE!K13</f>
        <v>1.8223851973329149E-4</v>
      </c>
      <c r="AW7" s="26">
        <f>BNVFE!L13</f>
        <v>1.8223851973329149E-4</v>
      </c>
      <c r="AX7" s="26">
        <f>BNVFE!M13</f>
        <v>1.8223851973329149E-4</v>
      </c>
      <c r="AY7" s="26">
        <f>BNVFE!N13</f>
        <v>1.8223851973329149E-4</v>
      </c>
      <c r="AZ7" s="26">
        <f>BNVFE!O13</f>
        <v>1.8223851973329149E-4</v>
      </c>
      <c r="BA7" s="26">
        <f>BNVFE!P13</f>
        <v>1.8223851973329149E-4</v>
      </c>
      <c r="BB7" s="26">
        <f>BNVFE!Q13</f>
        <v>1.8223851973329149E-4</v>
      </c>
      <c r="BC7" s="26">
        <f>BNVFE!R13</f>
        <v>1.8223851973329149E-4</v>
      </c>
      <c r="BD7" s="26">
        <f>BNVFE!S13</f>
        <v>1.8223851973329149E-4</v>
      </c>
      <c r="BE7" s="26">
        <f>BNVFE!T13</f>
        <v>1.8223851973329149E-4</v>
      </c>
      <c r="BF7" s="26">
        <f>BNVFE!U13</f>
        <v>1.8223851973329149E-4</v>
      </c>
      <c r="BG7" s="26">
        <f>BNVFE!V13</f>
        <v>1.8223851973329149E-4</v>
      </c>
      <c r="BH7" s="26">
        <f>BNVFE!W13</f>
        <v>1.8223851973329149E-4</v>
      </c>
      <c r="BI7" s="26">
        <f>BNVFE!X13</f>
        <v>1.8223851973329149E-4</v>
      </c>
      <c r="BJ7" s="26">
        <f>BNVFE!Y13</f>
        <v>1.8223851973329149E-4</v>
      </c>
      <c r="BK7" s="26">
        <f>BNVFE!Z13</f>
        <v>1.8223851973329149E-4</v>
      </c>
      <c r="BL7" s="26">
        <f>BNVFE!AA13</f>
        <v>1.8223851973329149E-4</v>
      </c>
      <c r="BM7" s="26">
        <f>BNVFE!AB13</f>
        <v>1.8223851973329149E-4</v>
      </c>
      <c r="BN7" s="26">
        <f>BNVFE!AC13</f>
        <v>1.8223851973329149E-4</v>
      </c>
      <c r="BO7" s="26">
        <f>BNVFE!AD13</f>
        <v>1.8223851973329149E-4</v>
      </c>
      <c r="BP7" s="26">
        <f>BNVFE!AE13</f>
        <v>1.8223851973329149E-4</v>
      </c>
      <c r="BQ7" s="26">
        <f>BNVFE!AF13</f>
        <v>1.8223851973329149E-4</v>
      </c>
      <c r="BR7" s="26">
        <f>BNVFE!AG13</f>
        <v>1.8223851973329149E-4</v>
      </c>
      <c r="BS7" s="26"/>
      <c r="BT7" s="4"/>
    </row>
    <row r="8" spans="1:72">
      <c r="A8" t="s">
        <v>16</v>
      </c>
      <c r="B8" t="s">
        <v>89</v>
      </c>
      <c r="C8" s="23"/>
      <c r="D8" s="23"/>
      <c r="E8" s="23"/>
      <c r="F8" s="4">
        <f>SYFAFE!$E$5</f>
        <v>5.0586266198922429E-5</v>
      </c>
      <c r="G8" s="4">
        <f>F8</f>
        <v>5.0586266198922429E-5</v>
      </c>
      <c r="H8" s="4">
        <f t="shared" ref="H8:BR8" si="8">G8</f>
        <v>5.0586266198922429E-5</v>
      </c>
      <c r="I8" s="4">
        <f t="shared" si="8"/>
        <v>5.0586266198922429E-5</v>
      </c>
      <c r="J8" s="4">
        <f t="shared" si="8"/>
        <v>5.0586266198922429E-5</v>
      </c>
      <c r="K8" s="4">
        <f t="shared" si="8"/>
        <v>5.0586266198922429E-5</v>
      </c>
      <c r="L8" s="4">
        <f t="shared" si="8"/>
        <v>5.0586266198922429E-5</v>
      </c>
      <c r="M8" s="4">
        <f t="shared" si="8"/>
        <v>5.0586266198922429E-5</v>
      </c>
      <c r="N8" s="4">
        <f t="shared" si="8"/>
        <v>5.0586266198922429E-5</v>
      </c>
      <c r="O8" s="4">
        <f t="shared" si="8"/>
        <v>5.0586266198922429E-5</v>
      </c>
      <c r="P8" s="4">
        <f t="shared" si="8"/>
        <v>5.0586266198922429E-5</v>
      </c>
      <c r="Q8" s="4">
        <f t="shared" si="8"/>
        <v>5.0586266198922429E-5</v>
      </c>
      <c r="R8" s="4">
        <f t="shared" si="8"/>
        <v>5.0586266198922429E-5</v>
      </c>
      <c r="S8" s="4">
        <f t="shared" si="8"/>
        <v>5.0586266198922429E-5</v>
      </c>
      <c r="T8" s="4">
        <f t="shared" si="8"/>
        <v>5.0586266198922429E-5</v>
      </c>
      <c r="U8" s="4">
        <f t="shared" si="8"/>
        <v>5.0586266198922429E-5</v>
      </c>
      <c r="V8" s="4">
        <f t="shared" si="8"/>
        <v>5.0586266198922429E-5</v>
      </c>
      <c r="W8" s="4">
        <f t="shared" si="8"/>
        <v>5.0586266198922429E-5</v>
      </c>
      <c r="X8" s="4">
        <f t="shared" si="8"/>
        <v>5.0586266198922429E-5</v>
      </c>
      <c r="Y8" s="4">
        <f t="shared" si="8"/>
        <v>5.0586266198922429E-5</v>
      </c>
      <c r="Z8" s="4">
        <f t="shared" si="8"/>
        <v>5.0586266198922429E-5</v>
      </c>
      <c r="AA8" s="4">
        <f t="shared" si="8"/>
        <v>5.0586266198922429E-5</v>
      </c>
      <c r="AB8" s="4">
        <f t="shared" si="8"/>
        <v>5.0586266198922429E-5</v>
      </c>
      <c r="AC8" s="4">
        <f t="shared" si="8"/>
        <v>5.0586266198922429E-5</v>
      </c>
      <c r="AD8" s="4">
        <f t="shared" si="8"/>
        <v>5.0586266198922429E-5</v>
      </c>
      <c r="AE8" s="4">
        <f t="shared" si="8"/>
        <v>5.0586266198922429E-5</v>
      </c>
      <c r="AF8" s="4">
        <f t="shared" si="8"/>
        <v>5.0586266198922429E-5</v>
      </c>
      <c r="AG8" s="4">
        <f t="shared" si="8"/>
        <v>5.0586266198922429E-5</v>
      </c>
      <c r="AH8" s="4">
        <f t="shared" si="8"/>
        <v>5.0586266198922429E-5</v>
      </c>
      <c r="AI8" s="4">
        <f t="shared" si="8"/>
        <v>5.0586266198922429E-5</v>
      </c>
      <c r="AJ8" s="4">
        <f t="shared" si="8"/>
        <v>5.0586266198922429E-5</v>
      </c>
      <c r="AK8" s="4">
        <f t="shared" si="8"/>
        <v>5.0586266198922429E-5</v>
      </c>
      <c r="AL8" s="4">
        <f t="shared" si="8"/>
        <v>5.0586266198922429E-5</v>
      </c>
      <c r="AM8" s="4">
        <f t="shared" si="8"/>
        <v>5.0586266198922429E-5</v>
      </c>
      <c r="AN8" s="4">
        <f t="shared" si="8"/>
        <v>5.0586266198922429E-5</v>
      </c>
      <c r="AO8" s="4">
        <f t="shared" si="8"/>
        <v>5.0586266198922429E-5</v>
      </c>
      <c r="AP8" s="4">
        <f>AO8</f>
        <v>5.0586266198922429E-5</v>
      </c>
      <c r="AQ8" s="4">
        <f>AP8</f>
        <v>5.0586266198922429E-5</v>
      </c>
      <c r="AR8" s="19">
        <f t="shared" si="8"/>
        <v>5.0586266198922429E-5</v>
      </c>
      <c r="AS8" s="4">
        <f t="shared" si="8"/>
        <v>5.0586266198922429E-5</v>
      </c>
      <c r="AT8" s="4">
        <f t="shared" si="8"/>
        <v>5.0586266198922429E-5</v>
      </c>
      <c r="AU8" s="4">
        <f t="shared" si="8"/>
        <v>5.0586266198922429E-5</v>
      </c>
      <c r="AV8" s="4">
        <f t="shared" si="8"/>
        <v>5.0586266198922429E-5</v>
      </c>
      <c r="AW8" s="4">
        <f t="shared" si="8"/>
        <v>5.0586266198922429E-5</v>
      </c>
      <c r="AX8" s="4">
        <f t="shared" si="8"/>
        <v>5.0586266198922429E-5</v>
      </c>
      <c r="AY8" s="4">
        <f t="shared" si="8"/>
        <v>5.0586266198922429E-5</v>
      </c>
      <c r="AZ8" s="4">
        <f t="shared" si="8"/>
        <v>5.0586266198922429E-5</v>
      </c>
      <c r="BA8" s="4">
        <f t="shared" si="8"/>
        <v>5.0586266198922429E-5</v>
      </c>
      <c r="BB8" s="4">
        <f t="shared" si="8"/>
        <v>5.0586266198922429E-5</v>
      </c>
      <c r="BC8" s="4">
        <f t="shared" si="8"/>
        <v>5.0586266198922429E-5</v>
      </c>
      <c r="BD8" s="4">
        <f t="shared" si="8"/>
        <v>5.0586266198922429E-5</v>
      </c>
      <c r="BE8" s="4">
        <f t="shared" si="8"/>
        <v>5.0586266198922429E-5</v>
      </c>
      <c r="BF8" s="4">
        <f t="shared" si="8"/>
        <v>5.0586266198922429E-5</v>
      </c>
      <c r="BG8" s="4">
        <f t="shared" si="8"/>
        <v>5.0586266198922429E-5</v>
      </c>
      <c r="BH8" s="4">
        <f t="shared" si="8"/>
        <v>5.0586266198922429E-5</v>
      </c>
      <c r="BI8" s="4">
        <f t="shared" si="8"/>
        <v>5.0586266198922429E-5</v>
      </c>
      <c r="BJ8" s="4">
        <f t="shared" si="8"/>
        <v>5.0586266198922429E-5</v>
      </c>
      <c r="BK8" s="4">
        <f t="shared" si="8"/>
        <v>5.0586266198922429E-5</v>
      </c>
      <c r="BL8" s="4">
        <f t="shared" si="8"/>
        <v>5.0586266198922429E-5</v>
      </c>
      <c r="BM8" s="4">
        <f t="shared" si="8"/>
        <v>5.0586266198922429E-5</v>
      </c>
      <c r="BN8" s="4">
        <f t="shared" si="8"/>
        <v>5.0586266198922429E-5</v>
      </c>
      <c r="BO8" s="4">
        <f t="shared" si="8"/>
        <v>5.0586266198922429E-5</v>
      </c>
      <c r="BP8" s="4">
        <f t="shared" si="8"/>
        <v>5.0586266198922429E-5</v>
      </c>
      <c r="BQ8" s="4">
        <f t="shared" si="8"/>
        <v>5.0586266198922429E-5</v>
      </c>
      <c r="BR8" s="4">
        <f t="shared" si="8"/>
        <v>5.0586266198922429E-5</v>
      </c>
      <c r="BS8" s="26"/>
      <c r="BT8" s="4"/>
    </row>
    <row r="9" spans="1:72">
      <c r="A9" t="s">
        <v>16</v>
      </c>
      <c r="B9" t="s">
        <v>90</v>
      </c>
      <c r="C9" s="23"/>
      <c r="D9" s="23"/>
      <c r="E9" s="23"/>
      <c r="F9" s="27">
        <f>SYFAFE!$B$5</f>
        <v>6.7428486606874269E-4</v>
      </c>
      <c r="G9" s="4">
        <f>F9</f>
        <v>6.7428486606874269E-4</v>
      </c>
      <c r="H9" s="4">
        <f t="shared" ref="H9:BR9" si="9">G9</f>
        <v>6.7428486606874269E-4</v>
      </c>
      <c r="I9" s="4">
        <f t="shared" si="9"/>
        <v>6.7428486606874269E-4</v>
      </c>
      <c r="J9" s="4">
        <f t="shared" si="9"/>
        <v>6.7428486606874269E-4</v>
      </c>
      <c r="K9" s="4">
        <f t="shared" si="9"/>
        <v>6.7428486606874269E-4</v>
      </c>
      <c r="L9" s="4">
        <f t="shared" si="9"/>
        <v>6.7428486606874269E-4</v>
      </c>
      <c r="M9" s="4">
        <f t="shared" si="9"/>
        <v>6.7428486606874269E-4</v>
      </c>
      <c r="N9" s="4">
        <f t="shared" si="9"/>
        <v>6.7428486606874269E-4</v>
      </c>
      <c r="O9" s="4">
        <f t="shared" si="9"/>
        <v>6.7428486606874269E-4</v>
      </c>
      <c r="P9" s="4">
        <f t="shared" si="9"/>
        <v>6.7428486606874269E-4</v>
      </c>
      <c r="Q9" s="4">
        <f t="shared" si="9"/>
        <v>6.7428486606874269E-4</v>
      </c>
      <c r="R9" s="4">
        <f t="shared" si="9"/>
        <v>6.7428486606874269E-4</v>
      </c>
      <c r="S9" s="4">
        <f t="shared" si="9"/>
        <v>6.7428486606874269E-4</v>
      </c>
      <c r="T9" s="4">
        <f t="shared" si="9"/>
        <v>6.7428486606874269E-4</v>
      </c>
      <c r="U9" s="4">
        <f t="shared" si="9"/>
        <v>6.7428486606874269E-4</v>
      </c>
      <c r="V9" s="4">
        <f t="shared" si="9"/>
        <v>6.7428486606874269E-4</v>
      </c>
      <c r="W9" s="4">
        <f t="shared" si="9"/>
        <v>6.7428486606874269E-4</v>
      </c>
      <c r="X9" s="4">
        <f t="shared" si="9"/>
        <v>6.7428486606874269E-4</v>
      </c>
      <c r="Y9" s="4">
        <f t="shared" si="9"/>
        <v>6.7428486606874269E-4</v>
      </c>
      <c r="Z9" s="4">
        <f t="shared" si="9"/>
        <v>6.7428486606874269E-4</v>
      </c>
      <c r="AA9" s="4">
        <f t="shared" si="9"/>
        <v>6.7428486606874269E-4</v>
      </c>
      <c r="AB9" s="4">
        <f t="shared" si="9"/>
        <v>6.7428486606874269E-4</v>
      </c>
      <c r="AC9" s="4">
        <f t="shared" si="9"/>
        <v>6.7428486606874269E-4</v>
      </c>
      <c r="AD9" s="4">
        <f t="shared" si="9"/>
        <v>6.7428486606874269E-4</v>
      </c>
      <c r="AE9" s="4">
        <f t="shared" si="9"/>
        <v>6.7428486606874269E-4</v>
      </c>
      <c r="AF9" s="4">
        <f t="shared" si="9"/>
        <v>6.7428486606874269E-4</v>
      </c>
      <c r="AG9" s="4">
        <f t="shared" si="9"/>
        <v>6.7428486606874269E-4</v>
      </c>
      <c r="AH9" s="4">
        <f t="shared" si="9"/>
        <v>6.7428486606874269E-4</v>
      </c>
      <c r="AI9" s="4">
        <f t="shared" si="9"/>
        <v>6.7428486606874269E-4</v>
      </c>
      <c r="AJ9" s="4">
        <f t="shared" si="9"/>
        <v>6.7428486606874269E-4</v>
      </c>
      <c r="AK9" s="4">
        <f t="shared" si="9"/>
        <v>6.7428486606874269E-4</v>
      </c>
      <c r="AL9" s="4">
        <f t="shared" si="9"/>
        <v>6.7428486606874269E-4</v>
      </c>
      <c r="AM9" s="4">
        <f t="shared" si="9"/>
        <v>6.7428486606874269E-4</v>
      </c>
      <c r="AN9" s="4">
        <f t="shared" si="9"/>
        <v>6.7428486606874269E-4</v>
      </c>
      <c r="AO9" s="4">
        <f t="shared" si="9"/>
        <v>6.7428486606874269E-4</v>
      </c>
      <c r="AP9" s="4">
        <f t="shared" si="9"/>
        <v>6.7428486606874269E-4</v>
      </c>
      <c r="AQ9" s="4">
        <f t="shared" si="9"/>
        <v>6.7428486606874269E-4</v>
      </c>
      <c r="AR9" s="19">
        <f t="shared" si="9"/>
        <v>6.7428486606874269E-4</v>
      </c>
      <c r="AS9" s="4">
        <f t="shared" si="9"/>
        <v>6.7428486606874269E-4</v>
      </c>
      <c r="AT9" s="4">
        <f t="shared" si="9"/>
        <v>6.7428486606874269E-4</v>
      </c>
      <c r="AU9" s="4">
        <f t="shared" si="9"/>
        <v>6.7428486606874269E-4</v>
      </c>
      <c r="AV9" s="4">
        <f t="shared" si="9"/>
        <v>6.7428486606874269E-4</v>
      </c>
      <c r="AW9" s="4">
        <f t="shared" si="9"/>
        <v>6.7428486606874269E-4</v>
      </c>
      <c r="AX9" s="4">
        <f t="shared" si="9"/>
        <v>6.7428486606874269E-4</v>
      </c>
      <c r="AY9" s="4">
        <f t="shared" si="9"/>
        <v>6.7428486606874269E-4</v>
      </c>
      <c r="AZ9" s="4">
        <f t="shared" si="9"/>
        <v>6.7428486606874269E-4</v>
      </c>
      <c r="BA9" s="4">
        <f t="shared" si="9"/>
        <v>6.7428486606874269E-4</v>
      </c>
      <c r="BB9" s="4">
        <f t="shared" si="9"/>
        <v>6.7428486606874269E-4</v>
      </c>
      <c r="BC9" s="4">
        <f t="shared" si="9"/>
        <v>6.7428486606874269E-4</v>
      </c>
      <c r="BD9" s="4">
        <f t="shared" si="9"/>
        <v>6.7428486606874269E-4</v>
      </c>
      <c r="BE9" s="4">
        <f t="shared" si="9"/>
        <v>6.7428486606874269E-4</v>
      </c>
      <c r="BF9" s="4">
        <f t="shared" si="9"/>
        <v>6.7428486606874269E-4</v>
      </c>
      <c r="BG9" s="4">
        <f t="shared" si="9"/>
        <v>6.7428486606874269E-4</v>
      </c>
      <c r="BH9" s="4">
        <f t="shared" si="9"/>
        <v>6.7428486606874269E-4</v>
      </c>
      <c r="BI9" s="4">
        <f t="shared" si="9"/>
        <v>6.7428486606874269E-4</v>
      </c>
      <c r="BJ9" s="4">
        <f t="shared" si="9"/>
        <v>6.7428486606874269E-4</v>
      </c>
      <c r="BK9" s="4">
        <f t="shared" si="9"/>
        <v>6.7428486606874269E-4</v>
      </c>
      <c r="BL9" s="4">
        <f t="shared" si="9"/>
        <v>6.7428486606874269E-4</v>
      </c>
      <c r="BM9" s="4">
        <f t="shared" si="9"/>
        <v>6.7428486606874269E-4</v>
      </c>
      <c r="BN9" s="4">
        <f t="shared" si="9"/>
        <v>6.7428486606874269E-4</v>
      </c>
      <c r="BO9" s="4">
        <f t="shared" si="9"/>
        <v>6.7428486606874269E-4</v>
      </c>
      <c r="BP9" s="4">
        <f t="shared" si="9"/>
        <v>6.7428486606874269E-4</v>
      </c>
      <c r="BQ9" s="4">
        <f t="shared" si="9"/>
        <v>6.7428486606874269E-4</v>
      </c>
      <c r="BR9" s="4">
        <f t="shared" si="9"/>
        <v>6.7428486606874269E-4</v>
      </c>
      <c r="BS9" s="26"/>
      <c r="BT9" s="4"/>
    </row>
    <row r="10" spans="1:72">
      <c r="A10" t="s">
        <v>16</v>
      </c>
      <c r="B10" t="s">
        <v>22</v>
      </c>
      <c r="C10" s="23"/>
      <c r="D10" s="23"/>
      <c r="E10" s="23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20">
        <f>BNVFE!G16</f>
        <v>3.3734500000000001E-3</v>
      </c>
      <c r="AS10" s="26">
        <f>BNVFE!H16</f>
        <v>3.3770099999999997E-3</v>
      </c>
      <c r="AT10" s="26">
        <f>BNVFE!I16</f>
        <v>3.3805740000000003E-3</v>
      </c>
      <c r="AU10" s="26">
        <f>BNVFE!J16</f>
        <v>3.3841420000000001E-3</v>
      </c>
      <c r="AV10" s="26">
        <f>BNVFE!K16</f>
        <v>3.3877130000000001E-3</v>
      </c>
      <c r="AW10" s="26">
        <f>BNVFE!L16</f>
        <v>3.391289E-3</v>
      </c>
      <c r="AX10" s="26">
        <f>BNVFE!M16</f>
        <v>3.3948680000000001E-3</v>
      </c>
      <c r="AY10" s="26">
        <f>BNVFE!N16</f>
        <v>3.3984510000000002E-3</v>
      </c>
      <c r="AZ10" s="26">
        <f>BNVFE!O16</f>
        <v>3.4020370000000001E-3</v>
      </c>
      <c r="BA10" s="26">
        <f>BNVFE!P16</f>
        <v>3.405628E-3</v>
      </c>
      <c r="BB10" s="26">
        <f>BNVFE!Q16</f>
        <v>3.4092220000000004E-3</v>
      </c>
      <c r="BC10" s="26">
        <f>BNVFE!R16</f>
        <v>3.41282E-3</v>
      </c>
      <c r="BD10" s="26">
        <f>BNVFE!S16</f>
        <v>3.4164219999999997E-3</v>
      </c>
      <c r="BE10" s="26">
        <f>BNVFE!T16</f>
        <v>3.420027E-3</v>
      </c>
      <c r="BF10" s="26">
        <f>BNVFE!U16</f>
        <v>3.4236369999999998E-3</v>
      </c>
      <c r="BG10" s="26">
        <f>BNVFE!V16</f>
        <v>3.4272499999999997E-3</v>
      </c>
      <c r="BH10" s="26">
        <f>BNVFE!W16</f>
        <v>3.4308670000000002E-3</v>
      </c>
      <c r="BI10" s="26">
        <f>BNVFE!X16</f>
        <v>3.4344879999999999E-3</v>
      </c>
      <c r="BJ10" s="26">
        <f>BNVFE!Y16</f>
        <v>3.438113E-3</v>
      </c>
      <c r="BK10" s="26">
        <f>BNVFE!Z16</f>
        <v>3.4417409999999999E-3</v>
      </c>
      <c r="BL10" s="26">
        <f>BNVFE!AA16</f>
        <v>3.4453729999999998E-3</v>
      </c>
      <c r="BM10" s="26">
        <f>BNVFE!AB16</f>
        <v>3.4490099999999997E-3</v>
      </c>
      <c r="BN10" s="26">
        <f>BNVFE!AC16</f>
        <v>3.4526489999999999E-3</v>
      </c>
      <c r="BO10" s="26">
        <f>BNVFE!AD16</f>
        <v>3.456293E-3</v>
      </c>
      <c r="BP10" s="26">
        <f>BNVFE!AE16</f>
        <v>3.4599410000000002E-3</v>
      </c>
      <c r="BQ10" s="26">
        <f>BNVFE!AF16</f>
        <v>3.4635930000000001E-3</v>
      </c>
      <c r="BR10" s="26">
        <f>BNVFE!AG16</f>
        <v>3.467248E-3</v>
      </c>
      <c r="BS10" s="26"/>
      <c r="BT10" s="4"/>
    </row>
    <row r="11" spans="1:72">
      <c r="A11" t="s">
        <v>17</v>
      </c>
      <c r="B11" t="s">
        <v>21</v>
      </c>
      <c r="C11" s="23"/>
      <c r="D11" s="23"/>
      <c r="E11" s="23"/>
      <c r="F11" s="23"/>
      <c r="G11" s="4">
        <f>TREND($AR11:$BR11,$AR$1:$BR$1,G$1)</f>
        <v>1.187239917321092E-5</v>
      </c>
      <c r="H11" s="4">
        <f t="shared" si="10"/>
        <v>1.187239917321092E-5</v>
      </c>
      <c r="I11" s="4">
        <f t="shared" si="10"/>
        <v>1.187239917321092E-5</v>
      </c>
      <c r="J11" s="4">
        <f t="shared" si="10"/>
        <v>1.187239917321092E-5</v>
      </c>
      <c r="K11" s="4">
        <f t="shared" si="10"/>
        <v>1.187239917321092E-5</v>
      </c>
      <c r="L11" s="4">
        <f t="shared" si="10"/>
        <v>1.187239917321092E-5</v>
      </c>
      <c r="M11" s="4">
        <f t="shared" si="10"/>
        <v>1.187239917321092E-5</v>
      </c>
      <c r="N11" s="4">
        <f t="shared" si="10"/>
        <v>1.187239917321092E-5</v>
      </c>
      <c r="O11" s="4">
        <f t="shared" si="10"/>
        <v>1.187239917321092E-5</v>
      </c>
      <c r="P11" s="4">
        <f t="shared" si="10"/>
        <v>1.187239917321092E-5</v>
      </c>
      <c r="Q11" s="4">
        <f t="shared" si="10"/>
        <v>1.187239917321092E-5</v>
      </c>
      <c r="R11" s="4">
        <f t="shared" si="10"/>
        <v>1.187239917321092E-5</v>
      </c>
      <c r="S11" s="4">
        <f t="shared" si="10"/>
        <v>1.187239917321092E-5</v>
      </c>
      <c r="T11" s="4">
        <f t="shared" si="10"/>
        <v>1.187239917321092E-5</v>
      </c>
      <c r="U11" s="4">
        <f t="shared" si="10"/>
        <v>1.187239917321092E-5</v>
      </c>
      <c r="V11" s="4">
        <f t="shared" si="10"/>
        <v>1.187239917321092E-5</v>
      </c>
      <c r="W11" s="4">
        <f t="shared" si="10"/>
        <v>1.187239917321092E-5</v>
      </c>
      <c r="X11" s="4">
        <f t="shared" si="10"/>
        <v>1.187239917321092E-5</v>
      </c>
      <c r="Y11" s="4">
        <f t="shared" si="10"/>
        <v>1.187239917321092E-5</v>
      </c>
      <c r="Z11" s="4">
        <f t="shared" si="10"/>
        <v>1.187239917321092E-5</v>
      </c>
      <c r="AA11" s="4">
        <f t="shared" si="10"/>
        <v>1.187239917321092E-5</v>
      </c>
      <c r="AB11" s="4">
        <f t="shared" si="10"/>
        <v>1.187239917321092E-5</v>
      </c>
      <c r="AC11" s="4">
        <f t="shared" si="10"/>
        <v>1.187239917321092E-5</v>
      </c>
      <c r="AD11" s="4">
        <f t="shared" si="10"/>
        <v>1.187239917321092E-5</v>
      </c>
      <c r="AE11" s="4">
        <f t="shared" si="10"/>
        <v>1.187239917321092E-5</v>
      </c>
      <c r="AF11" s="4">
        <f t="shared" si="10"/>
        <v>1.187239917321092E-5</v>
      </c>
      <c r="AG11" s="4">
        <f t="shared" si="10"/>
        <v>1.187239917321092E-5</v>
      </c>
      <c r="AH11" s="4">
        <f t="shared" si="10"/>
        <v>1.187239917321092E-5</v>
      </c>
      <c r="AI11" s="4">
        <f t="shared" si="10"/>
        <v>1.187239917321092E-5</v>
      </c>
      <c r="AJ11" s="4">
        <f t="shared" si="10"/>
        <v>1.187239917321092E-5</v>
      </c>
      <c r="AK11" s="4">
        <f t="shared" si="10"/>
        <v>1.187239917321092E-5</v>
      </c>
      <c r="AL11" s="4">
        <f t="shared" si="10"/>
        <v>1.187239917321092E-5</v>
      </c>
      <c r="AM11" s="4">
        <f t="shared" si="10"/>
        <v>1.187239917321092E-5</v>
      </c>
      <c r="AN11" s="4">
        <f t="shared" si="10"/>
        <v>1.187239917321092E-5</v>
      </c>
      <c r="AO11" s="4">
        <f t="shared" si="10"/>
        <v>1.187239917321092E-5</v>
      </c>
      <c r="AP11" s="4">
        <f t="shared" si="10"/>
        <v>1.187239917321092E-5</v>
      </c>
      <c r="AQ11" s="4">
        <f t="shared" si="10"/>
        <v>1.187239917321092E-5</v>
      </c>
      <c r="AR11" s="20">
        <f>BNVFE!G17</f>
        <v>1.1872399173210917E-5</v>
      </c>
      <c r="AS11" s="26">
        <f>BNVFE!H17</f>
        <v>1.1872399173210917E-5</v>
      </c>
      <c r="AT11" s="26">
        <f>BNVFE!I17</f>
        <v>1.1872399173210917E-5</v>
      </c>
      <c r="AU11" s="26">
        <f>BNVFE!J17</f>
        <v>1.1872399173210917E-5</v>
      </c>
      <c r="AV11" s="26">
        <f>BNVFE!K17</f>
        <v>1.1872399173210917E-5</v>
      </c>
      <c r="AW11" s="26">
        <f>BNVFE!L17</f>
        <v>1.1872399173210917E-5</v>
      </c>
      <c r="AX11" s="26">
        <f>BNVFE!M17</f>
        <v>1.1872399173210917E-5</v>
      </c>
      <c r="AY11" s="26">
        <f>BNVFE!N17</f>
        <v>1.1872399173210917E-5</v>
      </c>
      <c r="AZ11" s="26">
        <f>BNVFE!O17</f>
        <v>1.1872399173210917E-5</v>
      </c>
      <c r="BA11" s="26">
        <f>BNVFE!P17</f>
        <v>1.1872399173210917E-5</v>
      </c>
      <c r="BB11" s="26">
        <f>BNVFE!Q17</f>
        <v>1.1872399173210917E-5</v>
      </c>
      <c r="BC11" s="26">
        <f>BNVFE!R17</f>
        <v>1.1872399173210917E-5</v>
      </c>
      <c r="BD11" s="26">
        <f>BNVFE!S17</f>
        <v>1.1872399173210917E-5</v>
      </c>
      <c r="BE11" s="26">
        <f>BNVFE!T17</f>
        <v>1.1872399173210917E-5</v>
      </c>
      <c r="BF11" s="26">
        <f>BNVFE!U17</f>
        <v>1.1872399173210917E-5</v>
      </c>
      <c r="BG11" s="26">
        <f>BNVFE!V17</f>
        <v>1.1872399173210917E-5</v>
      </c>
      <c r="BH11" s="26">
        <f>BNVFE!W17</f>
        <v>1.1872399173210917E-5</v>
      </c>
      <c r="BI11" s="26">
        <f>BNVFE!X17</f>
        <v>1.1872399173210917E-5</v>
      </c>
      <c r="BJ11" s="26">
        <f>BNVFE!Y17</f>
        <v>1.1872399173210917E-5</v>
      </c>
      <c r="BK11" s="26">
        <f>BNVFE!Z17</f>
        <v>1.1872399173210917E-5</v>
      </c>
      <c r="BL11" s="26">
        <f>BNVFE!AA17</f>
        <v>1.1872399173210917E-5</v>
      </c>
      <c r="BM11" s="26">
        <f>BNVFE!AB17</f>
        <v>1.1872399173210917E-5</v>
      </c>
      <c r="BN11" s="26">
        <f>BNVFE!AC17</f>
        <v>1.1872399173210917E-5</v>
      </c>
      <c r="BO11" s="26">
        <f>BNVFE!AD17</f>
        <v>1.1872399173210917E-5</v>
      </c>
      <c r="BP11" s="26">
        <f>BNVFE!AE17</f>
        <v>1.1872399173210917E-5</v>
      </c>
      <c r="BQ11" s="26">
        <f>BNVFE!AF17</f>
        <v>1.1872399173210917E-5</v>
      </c>
      <c r="BR11" s="26">
        <f>BNVFE!AG17</f>
        <v>1.1872399173210917E-5</v>
      </c>
      <c r="BS11" s="26"/>
      <c r="BT11" s="4"/>
    </row>
    <row r="12" spans="1:72">
      <c r="A12" t="s">
        <v>17</v>
      </c>
      <c r="B12" t="s">
        <v>22</v>
      </c>
      <c r="C12" s="23"/>
      <c r="D12" s="23"/>
      <c r="E12" s="23"/>
      <c r="F12" s="23"/>
      <c r="G12" s="4">
        <f t="shared" ref="G12" si="11">TREND($AR12:$BR12,$AR$1:$BR$1,G$1)</f>
        <v>4.1199493300773313E-3</v>
      </c>
      <c r="H12" s="4">
        <f t="shared" si="10"/>
        <v>4.139779079772081E-3</v>
      </c>
      <c r="I12" s="4">
        <f t="shared" si="10"/>
        <v>4.1596088294668307E-3</v>
      </c>
      <c r="J12" s="4">
        <f t="shared" si="10"/>
        <v>4.1794385791615804E-3</v>
      </c>
      <c r="K12" s="4">
        <f t="shared" si="10"/>
        <v>4.1992683288563301E-3</v>
      </c>
      <c r="L12" s="4">
        <f t="shared" si="10"/>
        <v>4.2190980785510798E-3</v>
      </c>
      <c r="M12" s="4">
        <f t="shared" si="10"/>
        <v>4.2389278282458295E-3</v>
      </c>
      <c r="N12" s="4">
        <f t="shared" si="10"/>
        <v>4.2587575779405792E-3</v>
      </c>
      <c r="O12" s="4">
        <f t="shared" si="10"/>
        <v>4.278587327635329E-3</v>
      </c>
      <c r="P12" s="4">
        <f t="shared" si="10"/>
        <v>4.2984170773300787E-3</v>
      </c>
      <c r="Q12" s="4">
        <f t="shared" si="10"/>
        <v>4.3182468270248284E-3</v>
      </c>
      <c r="R12" s="4">
        <f t="shared" si="10"/>
        <v>4.3380765767195781E-3</v>
      </c>
      <c r="S12" s="4">
        <f t="shared" si="10"/>
        <v>4.3579063264143278E-3</v>
      </c>
      <c r="T12" s="4">
        <f t="shared" si="10"/>
        <v>4.3777360761090775E-3</v>
      </c>
      <c r="U12" s="4">
        <f t="shared" si="10"/>
        <v>4.3975658258038272E-3</v>
      </c>
      <c r="V12" s="4">
        <f t="shared" si="10"/>
        <v>4.4173955754985769E-3</v>
      </c>
      <c r="W12" s="4">
        <f t="shared" si="10"/>
        <v>4.4372253251933266E-3</v>
      </c>
      <c r="X12" s="4">
        <f t="shared" si="10"/>
        <v>4.4570550748880763E-3</v>
      </c>
      <c r="Y12" s="4">
        <f t="shared" si="10"/>
        <v>4.4768848245828261E-3</v>
      </c>
      <c r="Z12" s="4">
        <f t="shared" si="10"/>
        <v>4.4967145742775758E-3</v>
      </c>
      <c r="AA12" s="4">
        <f t="shared" si="10"/>
        <v>4.5165443239723255E-3</v>
      </c>
      <c r="AB12" s="4">
        <f t="shared" si="10"/>
        <v>4.5363740736670752E-3</v>
      </c>
      <c r="AC12" s="4">
        <f t="shared" si="10"/>
        <v>4.5562038233618249E-3</v>
      </c>
      <c r="AD12" s="4">
        <f t="shared" si="10"/>
        <v>4.5760335730565746E-3</v>
      </c>
      <c r="AE12" s="4">
        <f t="shared" si="10"/>
        <v>4.5958633227513243E-3</v>
      </c>
      <c r="AF12" s="4">
        <f t="shared" si="10"/>
        <v>4.615693072446074E-3</v>
      </c>
      <c r="AG12" s="4">
        <f t="shared" si="10"/>
        <v>4.6355228221408237E-3</v>
      </c>
      <c r="AH12" s="4">
        <f t="shared" si="10"/>
        <v>4.6553525718355734E-3</v>
      </c>
      <c r="AI12" s="4">
        <f t="shared" si="10"/>
        <v>4.6751823215303231E-3</v>
      </c>
      <c r="AJ12" s="4">
        <f t="shared" si="10"/>
        <v>4.6950120712250729E-3</v>
      </c>
      <c r="AK12" s="4">
        <f t="shared" si="10"/>
        <v>4.7148418209198226E-3</v>
      </c>
      <c r="AL12" s="4">
        <f t="shared" si="10"/>
        <v>4.7346715706145723E-3</v>
      </c>
      <c r="AM12" s="4">
        <f t="shared" si="10"/>
        <v>4.754501320309322E-3</v>
      </c>
      <c r="AN12" s="4">
        <f t="shared" si="10"/>
        <v>4.7743310700040717E-3</v>
      </c>
      <c r="AO12" s="4">
        <f>TREND($AR12:$BR12,$AR$1:$BR$1,AO$1)</f>
        <v>4.7941608196988214E-3</v>
      </c>
      <c r="AP12" s="4">
        <f t="shared" si="10"/>
        <v>4.8139905693935711E-3</v>
      </c>
      <c r="AQ12" s="4">
        <f t="shared" si="10"/>
        <v>4.8338203190883208E-3</v>
      </c>
      <c r="AR12" s="20">
        <f>BNVFE!G18</f>
        <v>4.8577789999999996E-3</v>
      </c>
      <c r="AS12" s="26">
        <f>BNVFE!H18</f>
        <v>4.8766649999999996E-3</v>
      </c>
      <c r="AT12" s="26">
        <f>BNVFE!I18</f>
        <v>4.8956239999999995E-3</v>
      </c>
      <c r="AU12" s="26">
        <f>BNVFE!J18</f>
        <v>4.9146570000000002E-3</v>
      </c>
      <c r="AV12" s="26">
        <f>BNVFE!K18</f>
        <v>4.9337640000000002E-3</v>
      </c>
      <c r="AW12" s="26">
        <f>BNVFE!L18</f>
        <v>4.9529449999999994E-3</v>
      </c>
      <c r="AX12" s="26">
        <f>BNVFE!M18</f>
        <v>4.9721999999999995E-3</v>
      </c>
      <c r="AY12" s="26">
        <f>BNVFE!N18</f>
        <v>4.9915310000000004E-3</v>
      </c>
      <c r="AZ12" s="26">
        <f>BNVFE!O18</f>
        <v>5.010937E-3</v>
      </c>
      <c r="BA12" s="26">
        <f>BNVFE!P18</f>
        <v>5.030418E-3</v>
      </c>
      <c r="BB12" s="26">
        <f>BNVFE!Q18</f>
        <v>5.049975E-3</v>
      </c>
      <c r="BC12" s="26">
        <f>BNVFE!R18</f>
        <v>5.0696079999999998E-3</v>
      </c>
      <c r="BD12" s="26">
        <f>BNVFE!S18</f>
        <v>5.0893170000000003E-3</v>
      </c>
      <c r="BE12" s="26">
        <f>BNVFE!T18</f>
        <v>5.1091030000000003E-3</v>
      </c>
      <c r="BF12" s="26">
        <f>BNVFE!U18</f>
        <v>5.1289660000000004E-3</v>
      </c>
      <c r="BG12" s="26">
        <f>BNVFE!V18</f>
        <v>5.148906E-3</v>
      </c>
      <c r="BH12" s="26">
        <f>BNVFE!W18</f>
        <v>5.1689230000000006E-3</v>
      </c>
      <c r="BI12" s="26">
        <f>BNVFE!X18</f>
        <v>5.1890190000000004E-3</v>
      </c>
      <c r="BJ12" s="26">
        <f>BNVFE!Y18</f>
        <v>5.2091919999999996E-3</v>
      </c>
      <c r="BK12" s="26">
        <f>BNVFE!Z18</f>
        <v>5.2294450000000001E-3</v>
      </c>
      <c r="BL12" s="26">
        <f>BNVFE!AA18</f>
        <v>5.2497749999999999E-3</v>
      </c>
      <c r="BM12" s="26">
        <f>BNVFE!AB18</f>
        <v>5.2701849999999993E-3</v>
      </c>
      <c r="BN12" s="26">
        <f>BNVFE!AC18</f>
        <v>5.2906740000000004E-3</v>
      </c>
      <c r="BO12" s="26">
        <f>BNVFE!AD18</f>
        <v>5.3112430000000002E-3</v>
      </c>
      <c r="BP12" s="26">
        <f>BNVFE!AE18</f>
        <v>5.3318919999999995E-3</v>
      </c>
      <c r="BQ12" s="26">
        <f>BNVFE!AF18</f>
        <v>5.3526210000000001E-3</v>
      </c>
      <c r="BR12" s="26">
        <f>BNVFE!AG18</f>
        <v>5.3734300000000002E-3</v>
      </c>
      <c r="BS12" s="26"/>
      <c r="BT12" s="4"/>
    </row>
    <row r="13" spans="1:72">
      <c r="A13" t="s">
        <v>18</v>
      </c>
      <c r="B13" t="s">
        <v>21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4">
        <f>TREND($AR13:$BR13,$AR$1:$BR$1,W$1)</f>
        <v>1.8223914406069761E-3</v>
      </c>
      <c r="X13" s="4">
        <f t="shared" si="10"/>
        <v>1.8223914406069761E-3</v>
      </c>
      <c r="Y13" s="4">
        <f t="shared" si="10"/>
        <v>1.8223914406069761E-3</v>
      </c>
      <c r="Z13" s="4">
        <f t="shared" si="10"/>
        <v>1.8223914406069761E-3</v>
      </c>
      <c r="AA13" s="4">
        <f t="shared" si="10"/>
        <v>1.8223914406069761E-3</v>
      </c>
      <c r="AB13" s="4">
        <f t="shared" si="10"/>
        <v>1.8223914406069761E-3</v>
      </c>
      <c r="AC13" s="4">
        <f t="shared" si="10"/>
        <v>1.8223914406069761E-3</v>
      </c>
      <c r="AD13" s="4">
        <f t="shared" si="10"/>
        <v>1.8223914406069761E-3</v>
      </c>
      <c r="AE13" s="4">
        <f t="shared" si="10"/>
        <v>1.8223914406069761E-3</v>
      </c>
      <c r="AF13" s="4">
        <f t="shared" si="10"/>
        <v>1.8223914406069761E-3</v>
      </c>
      <c r="AG13" s="4">
        <f t="shared" si="10"/>
        <v>1.8223914406069761E-3</v>
      </c>
      <c r="AH13" s="4">
        <f t="shared" si="10"/>
        <v>1.8223914406069761E-3</v>
      </c>
      <c r="AI13" s="4">
        <f t="shared" si="10"/>
        <v>1.8223914406069761E-3</v>
      </c>
      <c r="AJ13" s="4">
        <f t="shared" si="10"/>
        <v>1.8223914406069761E-3</v>
      </c>
      <c r="AK13" s="4">
        <f t="shared" si="10"/>
        <v>1.8223914406069761E-3</v>
      </c>
      <c r="AL13" s="4">
        <f t="shared" si="10"/>
        <v>1.8223914406069761E-3</v>
      </c>
      <c r="AM13" s="4">
        <f t="shared" si="10"/>
        <v>1.8223914406069761E-3</v>
      </c>
      <c r="AN13" s="4">
        <f t="shared" si="10"/>
        <v>1.8223914406069761E-3</v>
      </c>
      <c r="AO13" s="4">
        <f t="shared" si="10"/>
        <v>1.8223914406069761E-3</v>
      </c>
      <c r="AP13" s="4">
        <f t="shared" si="10"/>
        <v>1.8223914406069761E-3</v>
      </c>
      <c r="AQ13" s="4">
        <f t="shared" si="10"/>
        <v>1.8223914406069761E-3</v>
      </c>
      <c r="AR13" s="20">
        <f>BNVFE!G19</f>
        <v>1.8223914406069774E-3</v>
      </c>
      <c r="AS13" s="26">
        <f>BNVFE!H19</f>
        <v>1.8223914406069774E-3</v>
      </c>
      <c r="AT13" s="26">
        <f>BNVFE!I19</f>
        <v>1.8223914406069774E-3</v>
      </c>
      <c r="AU13" s="26">
        <f>BNVFE!J19</f>
        <v>1.8223914406069774E-3</v>
      </c>
      <c r="AV13" s="26">
        <f>BNVFE!K19</f>
        <v>1.8223914406069774E-3</v>
      </c>
      <c r="AW13" s="26">
        <f>BNVFE!L19</f>
        <v>1.8223914406069774E-3</v>
      </c>
      <c r="AX13" s="26">
        <f>BNVFE!M19</f>
        <v>1.8223914406069774E-3</v>
      </c>
      <c r="AY13" s="26">
        <f>BNVFE!N19</f>
        <v>1.8223914406069774E-3</v>
      </c>
      <c r="AZ13" s="26">
        <f>BNVFE!O19</f>
        <v>1.8223914406069774E-3</v>
      </c>
      <c r="BA13" s="26">
        <f>BNVFE!P19</f>
        <v>1.8223914406069774E-3</v>
      </c>
      <c r="BB13" s="26">
        <f>BNVFE!Q19</f>
        <v>1.8223914406069774E-3</v>
      </c>
      <c r="BC13" s="26">
        <f>BNVFE!R19</f>
        <v>1.8223914406069774E-3</v>
      </c>
      <c r="BD13" s="26">
        <f>BNVFE!S19</f>
        <v>1.8223914406069774E-3</v>
      </c>
      <c r="BE13" s="26">
        <f>BNVFE!T19</f>
        <v>1.8223914406069774E-3</v>
      </c>
      <c r="BF13" s="26">
        <f>BNVFE!U19</f>
        <v>1.8223914406069774E-3</v>
      </c>
      <c r="BG13" s="26">
        <f>BNVFE!V19</f>
        <v>1.8223914406069774E-3</v>
      </c>
      <c r="BH13" s="26">
        <f>BNVFE!W19</f>
        <v>1.8223914406069774E-3</v>
      </c>
      <c r="BI13" s="26">
        <f>BNVFE!X19</f>
        <v>1.8223914406069774E-3</v>
      </c>
      <c r="BJ13" s="26">
        <f>BNVFE!Y19</f>
        <v>1.8223914406069774E-3</v>
      </c>
      <c r="BK13" s="26">
        <f>BNVFE!Z19</f>
        <v>1.8223914406069774E-3</v>
      </c>
      <c r="BL13" s="26">
        <f>BNVFE!AA19</f>
        <v>1.8223914406069774E-3</v>
      </c>
      <c r="BM13" s="26">
        <f>BNVFE!AB19</f>
        <v>1.8223914406069774E-3</v>
      </c>
      <c r="BN13" s="26">
        <f>BNVFE!AC19</f>
        <v>1.8223914406069774E-3</v>
      </c>
      <c r="BO13" s="26">
        <f>BNVFE!AD19</f>
        <v>1.8223914406069774E-3</v>
      </c>
      <c r="BP13" s="26">
        <f>BNVFE!AE19</f>
        <v>1.8223914406069774E-3</v>
      </c>
      <c r="BQ13" s="26">
        <f>BNVFE!AF19</f>
        <v>1.8223914406069774E-3</v>
      </c>
      <c r="BR13" s="26">
        <f>BNVFE!AG19</f>
        <v>1.8223914406069774E-3</v>
      </c>
      <c r="BS13" s="26"/>
      <c r="BT13" s="4"/>
    </row>
    <row r="14" spans="1:72">
      <c r="A14" t="s">
        <v>18</v>
      </c>
      <c r="B14" t="s">
        <v>22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>
        <f t="shared" si="12"/>
        <v>0</v>
      </c>
      <c r="AC14">
        <f t="shared" si="12"/>
        <v>0</v>
      </c>
      <c r="AD14">
        <f t="shared" si="12"/>
        <v>0</v>
      </c>
      <c r="AE14">
        <f t="shared" si="12"/>
        <v>0</v>
      </c>
      <c r="AF14">
        <f t="shared" si="12"/>
        <v>0</v>
      </c>
      <c r="AG14">
        <f t="shared" si="12"/>
        <v>0</v>
      </c>
      <c r="AH14">
        <f t="shared" si="12"/>
        <v>0</v>
      </c>
      <c r="AI14">
        <f t="shared" si="12"/>
        <v>0</v>
      </c>
      <c r="AJ14">
        <f t="shared" si="12"/>
        <v>0</v>
      </c>
      <c r="AK14" s="29">
        <f t="shared" si="12"/>
        <v>0</v>
      </c>
      <c r="AL14" s="29">
        <f t="shared" si="12"/>
        <v>0</v>
      </c>
      <c r="AM14" s="29">
        <f t="shared" si="12"/>
        <v>0</v>
      </c>
      <c r="AN14" s="29">
        <f>$AO14</f>
        <v>0</v>
      </c>
      <c r="AO14" s="30">
        <f>BNVFE!D20</f>
        <v>0</v>
      </c>
      <c r="AP14" s="30">
        <f>BNVFE!E20</f>
        <v>0</v>
      </c>
      <c r="AQ14" s="30">
        <f>BNVFE!F20</f>
        <v>0</v>
      </c>
      <c r="AR14" s="21">
        <f>BNVFE!G20</f>
        <v>0</v>
      </c>
      <c r="AS14" s="30">
        <f>BNVFE!H20</f>
        <v>0</v>
      </c>
      <c r="AT14" s="30">
        <f>BNVFE!I20</f>
        <v>0</v>
      </c>
      <c r="AU14" s="30">
        <f>BNVFE!J20</f>
        <v>0</v>
      </c>
      <c r="AV14" s="30">
        <f>BNVFE!K20</f>
        <v>0</v>
      </c>
      <c r="AW14" s="30">
        <f>BNVFE!L20</f>
        <v>0</v>
      </c>
      <c r="AX14" s="30">
        <f>BNVFE!M20</f>
        <v>0</v>
      </c>
      <c r="AY14" s="30">
        <f>BNVFE!N20</f>
        <v>0</v>
      </c>
      <c r="AZ14" s="30">
        <f>BNVFE!O20</f>
        <v>0</v>
      </c>
      <c r="BA14" s="30">
        <f>BNVFE!P20</f>
        <v>0</v>
      </c>
      <c r="BB14" s="30">
        <f>BNVFE!Q20</f>
        <v>0</v>
      </c>
      <c r="BC14" s="30">
        <f>BNVFE!R20</f>
        <v>0</v>
      </c>
      <c r="BD14" s="30">
        <f>BNVFE!S20</f>
        <v>0</v>
      </c>
      <c r="BE14" s="30">
        <f>BNVFE!T20</f>
        <v>0</v>
      </c>
      <c r="BF14" s="30">
        <f>BNVFE!U20</f>
        <v>0</v>
      </c>
      <c r="BG14" s="30">
        <f>BNVFE!V20</f>
        <v>0</v>
      </c>
      <c r="BH14" s="30">
        <f>BNVFE!W20</f>
        <v>0</v>
      </c>
      <c r="BI14" s="30">
        <f>BNVFE!X20</f>
        <v>0</v>
      </c>
      <c r="BJ14" s="30">
        <f>BNVFE!Y20</f>
        <v>0</v>
      </c>
      <c r="BK14" s="30">
        <f>BNVFE!Z20</f>
        <v>0</v>
      </c>
      <c r="BL14" s="30">
        <f>BNVFE!AA20</f>
        <v>0</v>
      </c>
      <c r="BM14" s="30">
        <f>BNVFE!AB20</f>
        <v>0</v>
      </c>
      <c r="BN14" s="30">
        <f>BNVFE!AC20</f>
        <v>0</v>
      </c>
      <c r="BO14" s="30">
        <f>BNVFE!AD20</f>
        <v>0</v>
      </c>
      <c r="BP14" s="30">
        <f>BNVFE!AE20</f>
        <v>0</v>
      </c>
      <c r="BQ14" s="30">
        <f>BNVFE!AF20</f>
        <v>0</v>
      </c>
      <c r="BR14" s="30">
        <f>BNVFE!AG20</f>
        <v>0</v>
      </c>
      <c r="BS14" s="30"/>
    </row>
    <row r="15" spans="1:72">
      <c r="E15" s="31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1.4644871483406822E-3</v>
      </c>
      <c r="C2" s="4">
        <f>SYFAFE!$B$2</f>
        <v>1.4644871483406822E-3</v>
      </c>
      <c r="D2" s="4">
        <f>SYFAFE!$B$2</f>
        <v>1.4644871483406822E-3</v>
      </c>
      <c r="E2" s="4">
        <f>SYFAFE!$B$2</f>
        <v>1.4644871483406822E-3</v>
      </c>
      <c r="F2" s="4">
        <f>SYFAFE!$B$2</f>
        <v>1.4644871483406822E-3</v>
      </c>
      <c r="G2" s="4">
        <f>SYFAFE!$B$2</f>
        <v>1.4644871483406822E-3</v>
      </c>
      <c r="H2" s="4">
        <f>SYFAFE!$B$2</f>
        <v>1.4644871483406822E-3</v>
      </c>
      <c r="I2" s="4">
        <f>SYFAFE!$B$2</f>
        <v>1.4644871483406822E-3</v>
      </c>
      <c r="J2" s="4">
        <f>SYFAFE!$B$2</f>
        <v>1.4644871483406822E-3</v>
      </c>
      <c r="K2" s="4">
        <f>SYFAFE!$B$2</f>
        <v>1.4644871483406822E-3</v>
      </c>
      <c r="L2" s="4">
        <f>SYFAFE!$B$2</f>
        <v>1.4644871483406822E-3</v>
      </c>
      <c r="M2" s="4">
        <f>SYFAFE!$B$2</f>
        <v>1.4644871483406822E-3</v>
      </c>
      <c r="N2" s="4">
        <f>SYFAFE!$B$2</f>
        <v>1.4644871483406822E-3</v>
      </c>
      <c r="O2" s="4">
        <f>SYFAFE!$B$2</f>
        <v>1.4644871483406822E-3</v>
      </c>
      <c r="P2" s="4">
        <f>SYFAFE!$B$2</f>
        <v>1.4644871483406822E-3</v>
      </c>
      <c r="Q2" s="4">
        <f>SYFAFE!$B$2</f>
        <v>1.4644871483406822E-3</v>
      </c>
      <c r="R2" s="4">
        <f>SYFAFE!$B$2</f>
        <v>1.4644871483406822E-3</v>
      </c>
      <c r="S2" s="4">
        <f>SYFAFE!$B$2</f>
        <v>1.4644871483406822E-3</v>
      </c>
      <c r="T2" s="4">
        <f>SYFAFE!$B$2</f>
        <v>1.4644871483406822E-3</v>
      </c>
      <c r="U2" s="4">
        <f>SYFAFE!$B$2</f>
        <v>1.4644871483406822E-3</v>
      </c>
      <c r="V2" s="4">
        <f>SYFAFE!$B$2</f>
        <v>1.4644871483406822E-3</v>
      </c>
      <c r="W2" s="4">
        <f>SYFAFE!$B$2</f>
        <v>1.4644871483406822E-3</v>
      </c>
      <c r="X2" s="4">
        <f>SYFAFE!$B$2</f>
        <v>1.4644871483406822E-3</v>
      </c>
      <c r="Y2" s="4">
        <f>SYFAFE!$B$2</f>
        <v>1.4644871483406822E-3</v>
      </c>
      <c r="Z2" s="4">
        <f>SYFAFE!$B$2</f>
        <v>1.4644871483406822E-3</v>
      </c>
      <c r="AA2" s="4">
        <f>SYFAFE!$B$2</f>
        <v>1.4644871483406822E-3</v>
      </c>
      <c r="AB2" s="4">
        <f>SYFAFE!$B$2</f>
        <v>1.4644871483406822E-3</v>
      </c>
      <c r="AC2" s="4">
        <f>SYFAFE!$B$2</f>
        <v>1.4644871483406822E-3</v>
      </c>
      <c r="AD2" s="4">
        <f>SYFAFE!$B$2</f>
        <v>1.4644871483406822E-3</v>
      </c>
      <c r="AE2" s="4">
        <f>SYFAFE!$B$2</f>
        <v>1.4644871483406822E-3</v>
      </c>
      <c r="AG2" s="4"/>
      <c r="AH2" s="4"/>
    </row>
    <row r="3" spans="1:34">
      <c r="A3" t="s">
        <v>3</v>
      </c>
      <c r="B3" s="4">
        <f>BNVFE!B25*('BHNVFEAL-LDVs-psgr'!B$4/BNVFE!B$26)</f>
        <v>3.421857912201937E-4</v>
      </c>
      <c r="C3" s="4">
        <f>BNVFE!C25*('BHNVFEAL-LDVs-psgr'!C$4/BNVFE!C$26)</f>
        <v>3.4060340294670902E-4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3.1844100144032408E-4</v>
      </c>
      <c r="C4" s="4">
        <f>Extrapolations!AC2</f>
        <v>3.2263214124845585E-4</v>
      </c>
      <c r="D4" s="4">
        <f>Extrapolations!AD2</f>
        <v>3.2682328105658763E-4</v>
      </c>
      <c r="E4" s="4">
        <f>Extrapolations!AE2</f>
        <v>3.310144208647194E-4</v>
      </c>
      <c r="F4" s="4">
        <f>Extrapolations!AF2</f>
        <v>3.3520556067285118E-4</v>
      </c>
      <c r="G4" s="4">
        <f>Extrapolations!AG2</f>
        <v>3.3939670048098295E-4</v>
      </c>
      <c r="H4" s="4">
        <f>Extrapolations!AH2</f>
        <v>3.4358784028911473E-4</v>
      </c>
      <c r="I4" s="4">
        <f>Extrapolations!AI2</f>
        <v>3.477789800972465E-4</v>
      </c>
      <c r="J4" s="4">
        <f>Extrapolations!AJ2</f>
        <v>3.5197011990537828E-4</v>
      </c>
      <c r="K4" s="4">
        <f>Extrapolations!AK2</f>
        <v>3.5616125971351005E-4</v>
      </c>
      <c r="L4" s="4">
        <f>Extrapolations!AL2</f>
        <v>3.6035239952164183E-4</v>
      </c>
      <c r="M4" s="4">
        <f>Extrapolations!AM2</f>
        <v>3.645435393297736E-4</v>
      </c>
      <c r="N4" s="4">
        <f>Extrapolations!AN2</f>
        <v>3.6873467913790537E-4</v>
      </c>
      <c r="O4" s="4">
        <f>Extrapolations!AO2</f>
        <v>3.7292581894603715E-4</v>
      </c>
      <c r="P4" s="4">
        <f>Extrapolations!AP2</f>
        <v>3.7711695875416892E-4</v>
      </c>
      <c r="Q4" s="4">
        <f>Extrapolations!AQ2</f>
        <v>3.813080985623007E-4</v>
      </c>
      <c r="R4" s="4">
        <f>Extrapolations!AR2</f>
        <v>3.8549923837043247E-4</v>
      </c>
      <c r="S4" s="4">
        <f>Extrapolations!AS2</f>
        <v>3.8969037817856381E-4</v>
      </c>
      <c r="T4" s="4">
        <f>Extrapolations!AT2</f>
        <v>3.9985001436006255E-4</v>
      </c>
      <c r="U4" s="4">
        <f>Extrapolations!AU2</f>
        <v>4.0645495978422236E-4</v>
      </c>
      <c r="V4" s="4">
        <f>Extrapolations!AV2</f>
        <v>4.1222868457836193E-4</v>
      </c>
      <c r="W4" s="4">
        <f>Extrapolations!AW2</f>
        <v>4.1315950014361388E-4</v>
      </c>
      <c r="X4" s="4">
        <f>Extrapolations!AX2</f>
        <v>4.1586031572729884E-4</v>
      </c>
      <c r="Y4" s="4">
        <f>Extrapolations!AY2</f>
        <v>4.1791006177450995E-4</v>
      </c>
      <c r="Z4" s="4">
        <f>Extrapolations!AZ2</f>
        <v>4.1868747861134429E-4</v>
      </c>
      <c r="AA4" s="4">
        <f>Extrapolations!BA2</f>
        <v>4.2132009406936789E-4</v>
      </c>
      <c r="AB4" s="4">
        <f>Extrapolations!BB2</f>
        <v>4.224153063913546E-4</v>
      </c>
      <c r="AC4" s="4">
        <f>Extrapolations!BC2</f>
        <v>4.2414977562549528E-4</v>
      </c>
      <c r="AD4" s="4">
        <f>Extrapolations!BD2</f>
        <v>4.2551597947059568E-4</v>
      </c>
      <c r="AE4" s="4">
        <f>Extrapolations!BE2</f>
        <v>4.2699017471707065E-4</v>
      </c>
      <c r="AG4" s="4"/>
      <c r="AH4" s="4"/>
    </row>
    <row r="5" spans="1:34">
      <c r="A5" t="s">
        <v>5</v>
      </c>
      <c r="B5" s="4">
        <f>BNVFE!B27*('BHNVFEAL-LDVs-psgr'!B$4/BNVFE!B$26)</f>
        <v>3.3417552748724462E-4</v>
      </c>
      <c r="C5" s="4">
        <f>BNVFE!C27*('BHNVFEAL-LDVs-psgr'!C$4/BNVFE!C$26)</f>
        <v>3.4054067777337178E-4</v>
      </c>
      <c r="D5" s="4">
        <f>BNVFE!D27*('BHNVFEAL-LDVs-psgr'!D$4/BNVFE!D$26)</f>
        <v>3.4123276674598253E-4</v>
      </c>
      <c r="E5" s="4">
        <f>BNVFE!E27*('BHNVFEAL-LDVs-psgr'!E$4/BNVFE!E$26)</f>
        <v>3.0415650305264802E-4</v>
      </c>
      <c r="F5" s="4">
        <f>BNVFE!F27*('BHNVFEAL-LDVs-psgr'!F$4/BNVFE!F$26)</f>
        <v>2.9574846150823335E-4</v>
      </c>
      <c r="G5" s="4">
        <f>BNVFE!G27*('BHNVFEAL-LDVs-psgr'!G$4/BNVFE!G$26)</f>
        <v>2.9389627970904806E-4</v>
      </c>
      <c r="H5" s="4">
        <f>BNVFE!H27*('BHNVFEAL-LDVs-psgr'!H$4/BNVFE!H$26)</f>
        <v>2.9594104819537719E-4</v>
      </c>
      <c r="I5" s="4">
        <f>BNVFE!I27*('BHNVFEAL-LDVs-psgr'!I$4/BNVFE!I$26)</f>
        <v>2.9536042340284701E-4</v>
      </c>
      <c r="J5" s="4">
        <f>BNVFE!J27*('BHNVFEAL-LDVs-psgr'!J$4/BNVFE!J$26)</f>
        <v>2.9617714819979007E-4</v>
      </c>
      <c r="K5" s="4">
        <f>BNVFE!K27*('BHNVFEAL-LDVs-psgr'!K$4/BNVFE!K$26)</f>
        <v>2.9501865277875404E-4</v>
      </c>
      <c r="L5" s="4">
        <f>BNVFE!L27*('BHNVFEAL-LDVs-psgr'!L$4/BNVFE!L$26)</f>
        <v>2.9628563881381969E-4</v>
      </c>
      <c r="M5" s="4">
        <f>BNVFE!M27*('BHNVFEAL-LDVs-psgr'!M$4/BNVFE!M$26)</f>
        <v>2.9943434498917379E-4</v>
      </c>
      <c r="N5" s="4">
        <f>BNVFE!N27*('BHNVFEAL-LDVs-psgr'!N$4/BNVFE!N$26)</f>
        <v>3.032263117875041E-4</v>
      </c>
      <c r="O5" s="4">
        <f>BNVFE!O27*('BHNVFEAL-LDVs-psgr'!O$4/BNVFE!O$26)</f>
        <v>3.0430894330896906E-4</v>
      </c>
      <c r="P5" s="4">
        <f>BNVFE!P27*('BHNVFEAL-LDVs-psgr'!P$4/BNVFE!P$26)</f>
        <v>3.0712631273473786E-4</v>
      </c>
      <c r="Q5" s="4">
        <f>BNVFE!Q27*('BHNVFEAL-LDVs-psgr'!Q$4/BNVFE!Q$26)</f>
        <v>3.0931906284310839E-4</v>
      </c>
      <c r="R5" s="4">
        <f>BNVFE!R27*('BHNVFEAL-LDVs-psgr'!R$4/BNVFE!R$26)</f>
        <v>3.1153646058090524E-4</v>
      </c>
      <c r="S5" s="4">
        <f>BNVFE!S27*('BHNVFEAL-LDVs-psgr'!S$4/BNVFE!S$26)</f>
        <v>3.1369634170929224E-4</v>
      </c>
      <c r="T5" s="4">
        <f>BNVFE!T27*('BHNVFEAL-LDVs-psgr'!T$4/BNVFE!T$26)</f>
        <v>3.2115959099210335E-4</v>
      </c>
      <c r="U5" s="4">
        <f>BNVFE!U27*('BHNVFEAL-LDVs-psgr'!U$4/BNVFE!U$26)</f>
        <v>3.2625751365031856E-4</v>
      </c>
      <c r="V5" s="4">
        <f>BNVFE!V27*('BHNVFEAL-LDVs-psgr'!V$4/BNVFE!V$26)</f>
        <v>3.2999474198356824E-4</v>
      </c>
      <c r="W5" s="4">
        <f>BNVFE!W27*('BHNVFEAL-LDVs-psgr'!W$4/BNVFE!W$26)</f>
        <v>3.3017224167339467E-4</v>
      </c>
      <c r="X5" s="4">
        <f>BNVFE!X27*('BHNVFEAL-LDVs-psgr'!X$4/BNVFE!X$26)</f>
        <v>3.3164135947412514E-4</v>
      </c>
      <c r="Y5" s="4">
        <f>BNVFE!Y27*('BHNVFEAL-LDVs-psgr'!Y$4/BNVFE!Y$26)</f>
        <v>3.3281449345546254E-4</v>
      </c>
      <c r="Z5" s="4">
        <f>BNVFE!Z27*('BHNVFEAL-LDVs-psgr'!Z$4/BNVFE!Z$26)</f>
        <v>3.3282240848024131E-4</v>
      </c>
      <c r="AA5" s="4">
        <f>BNVFE!AA27*('BHNVFEAL-LDVs-psgr'!AA$4/BNVFE!AA$26)</f>
        <v>3.3451453466567296E-4</v>
      </c>
      <c r="AB5" s="4">
        <f>BNVFE!AB27*('BHNVFEAL-LDVs-psgr'!AB$4/BNVFE!AB$26)</f>
        <v>3.3509840603503891E-4</v>
      </c>
      <c r="AC5" s="4">
        <f>BNVFE!AC27*('BHNVFEAL-LDVs-psgr'!AC$4/BNVFE!AC$26)</f>
        <v>3.3601284997651642E-4</v>
      </c>
      <c r="AD5" s="4">
        <f>BNVFE!AD27*('BHNVFEAL-LDVs-psgr'!AD$4/BNVFE!AD$26)</f>
        <v>3.3664840640878276E-4</v>
      </c>
      <c r="AE5" s="4">
        <f>BNVFE!AE27*('BHNVFEAL-LDVs-psgr'!AE$4/BNVFE!AE$26)</f>
        <v>3.3693825382057372E-4</v>
      </c>
      <c r="AG5" s="4"/>
      <c r="AH5" s="4"/>
    </row>
    <row r="6" spans="1:34">
      <c r="A6" t="s">
        <v>6</v>
      </c>
      <c r="B6" s="4">
        <f>BNVFE!B28*('BHNVFEAL-LDVs-psgr'!B$4/BNVFE!B$26)</f>
        <v>5.4105816972496333E-4</v>
      </c>
      <c r="C6" s="4">
        <f>BNVFE!C28*('BHNVFEAL-LDVs-psgr'!C$4/BNVFE!C$26)</f>
        <v>4.9565977915893894E-4</v>
      </c>
      <c r="D6" s="4">
        <f>BNVFE!D28*('BHNVFEAL-LDVs-psgr'!D$4/BNVFE!D$26)</f>
        <v>4.9020624248686585E-4</v>
      </c>
      <c r="E6" s="4">
        <f>BNVFE!E28*('BHNVFEAL-LDVs-psgr'!E$4/BNVFE!E$26)</f>
        <v>4.7364988135225239E-4</v>
      </c>
      <c r="F6" s="4">
        <f>BNVFE!F28*('BHNVFEAL-LDVs-psgr'!F$4/BNVFE!F$26)</f>
        <v>4.7687163226917741E-4</v>
      </c>
      <c r="G6" s="4">
        <f>BNVFE!G28*('BHNVFEAL-LDVs-psgr'!G$4/BNVFE!G$26)</f>
        <v>4.9428755154786157E-4</v>
      </c>
      <c r="H6" s="4">
        <f>BNVFE!H28*('BHNVFEAL-LDVs-psgr'!H$4/BNVFE!H$26)</f>
        <v>4.9802378815175144E-4</v>
      </c>
      <c r="I6" s="4">
        <f>BNVFE!I28*('BHNVFEAL-LDVs-psgr'!I$4/BNVFE!I$26)</f>
        <v>5.0003228822829656E-4</v>
      </c>
      <c r="J6" s="4">
        <f>BNVFE!J28*('BHNVFEAL-LDVs-psgr'!J$4/BNVFE!J$26)</f>
        <v>5.0241627271386841E-4</v>
      </c>
      <c r="K6" s="4">
        <f>BNVFE!K28*('BHNVFEAL-LDVs-psgr'!K$4/BNVFE!K$26)</f>
        <v>5.0895755342426571E-4</v>
      </c>
      <c r="L6" s="4">
        <f>BNVFE!L28*('BHNVFEAL-LDVs-psgr'!L$4/BNVFE!L$26)</f>
        <v>5.1251830283888548E-4</v>
      </c>
      <c r="M6" s="4">
        <f>BNVFE!M28*('BHNVFEAL-LDVs-psgr'!M$4/BNVFE!M$26)</f>
        <v>5.1508458204931485E-4</v>
      </c>
      <c r="N6" s="4">
        <f>BNVFE!N28*('BHNVFEAL-LDVs-psgr'!N$4/BNVFE!N$26)</f>
        <v>5.1886914069011985E-4</v>
      </c>
      <c r="O6" s="4">
        <f>BNVFE!O28*('BHNVFEAL-LDVs-psgr'!O$4/BNVFE!O$26)</f>
        <v>5.2258540771789709E-4</v>
      </c>
      <c r="P6" s="4">
        <f>BNVFE!P28*('BHNVFEAL-LDVs-psgr'!P$4/BNVFE!P$26)</f>
        <v>5.2608353977738793E-4</v>
      </c>
      <c r="Q6" s="4">
        <f>BNVFE!Q28*('BHNVFEAL-LDVs-psgr'!Q$4/BNVFE!Q$26)</f>
        <v>5.3356890639418323E-4</v>
      </c>
      <c r="R6" s="4">
        <f>BNVFE!R28*('BHNVFEAL-LDVs-psgr'!R$4/BNVFE!R$26)</f>
        <v>5.3795609032239477E-4</v>
      </c>
      <c r="S6" s="4">
        <f>BNVFE!S28*('BHNVFEAL-LDVs-psgr'!S$4/BNVFE!S$26)</f>
        <v>5.4224962181907569E-4</v>
      </c>
      <c r="T6" s="4">
        <f>BNVFE!T28*('BHNVFEAL-LDVs-psgr'!T$4/BNVFE!T$26)</f>
        <v>5.5436244427742949E-4</v>
      </c>
      <c r="U6" s="4">
        <f>BNVFE!U28*('BHNVFEAL-LDVs-psgr'!U$4/BNVFE!U$26)</f>
        <v>5.6330016268254775E-4</v>
      </c>
      <c r="V6" s="4">
        <f>BNVFE!V28*('BHNVFEAL-LDVs-psgr'!V$4/BNVFE!V$26)</f>
        <v>5.7022344597817411E-4</v>
      </c>
      <c r="W6" s="4">
        <f>BNVFE!W28*('BHNVFEAL-LDVs-psgr'!W$4/BNVFE!W$26)</f>
        <v>5.7052999982485351E-4</v>
      </c>
      <c r="X6" s="4">
        <f>BNVFE!X28*('BHNVFEAL-LDVs-psgr'!X$4/BNVFE!X$26)</f>
        <v>5.7314633692689303E-4</v>
      </c>
      <c r="Y6" s="4">
        <f>BNVFE!Y28*('BHNVFEAL-LDVs-psgr'!Y$4/BNVFE!Y$26)</f>
        <v>5.751160461504941E-4</v>
      </c>
      <c r="Z6" s="4">
        <f>BNVFE!Z28*('BHNVFEAL-LDVs-psgr'!Z$4/BNVFE!Z$26)</f>
        <v>5.7516583413923543E-4</v>
      </c>
      <c r="AA6" s="4">
        <f>BNVFE!AA28*('BHNVFEAL-LDVs-psgr'!AA$4/BNVFE!AA$26)</f>
        <v>5.7800224958287356E-4</v>
      </c>
      <c r="AB6" s="4">
        <f>BNVFE!AB28*('BHNVFEAL-LDVs-psgr'!AB$4/BNVFE!AB$26)</f>
        <v>5.7890639864371268E-4</v>
      </c>
      <c r="AC6" s="4">
        <f>BNVFE!AC28*('BHNVFEAL-LDVs-psgr'!AC$4/BNVFE!AC$26)</f>
        <v>5.8040259615994448E-4</v>
      </c>
      <c r="AD6" s="4">
        <f>BNVFE!AD28*('BHNVFEAL-LDVs-psgr'!AD$4/BNVFE!AD$26)</f>
        <v>5.8141580921291527E-4</v>
      </c>
      <c r="AE6" s="4">
        <f>BNVFE!AE28*('BHNVFEAL-LDVs-psgr'!AE$4/BNVFE!AE$26)</f>
        <v>5.8199839480623709E-4</v>
      </c>
      <c r="AG6" s="4"/>
      <c r="AH6" s="4"/>
    </row>
    <row r="7" spans="1:34">
      <c r="A7" t="s">
        <v>84</v>
      </c>
      <c r="B7" s="4">
        <f>BNVFE!B29*('BHNVFEAL-LDVs-psgr'!B$4/BNVFE!B$26)</f>
        <v>2.9767283013621765E-4</v>
      </c>
      <c r="C7" s="4">
        <f>BNVFE!C29*('BHNVFEAL-LDVs-psgr'!C$4/BNVFE!C$26)</f>
        <v>2.9446341160125543E-4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9.5477617242703441E-4</v>
      </c>
      <c r="C8" s="4">
        <f t="shared" ref="C8:AE8" si="0">B8</f>
        <v>9.5477617242703441E-4</v>
      </c>
      <c r="D8" s="4">
        <f t="shared" si="0"/>
        <v>9.5477617242703441E-4</v>
      </c>
      <c r="E8" s="4">
        <f t="shared" si="0"/>
        <v>9.5477617242703441E-4</v>
      </c>
      <c r="F8" s="4">
        <f t="shared" si="0"/>
        <v>9.5477617242703441E-4</v>
      </c>
      <c r="G8" s="4">
        <f t="shared" si="0"/>
        <v>9.5477617242703441E-4</v>
      </c>
      <c r="H8" s="4">
        <f t="shared" si="0"/>
        <v>9.5477617242703441E-4</v>
      </c>
      <c r="I8" s="4">
        <f t="shared" si="0"/>
        <v>9.5477617242703441E-4</v>
      </c>
      <c r="J8" s="4">
        <f t="shared" si="0"/>
        <v>9.5477617242703441E-4</v>
      </c>
      <c r="K8" s="4">
        <f t="shared" si="0"/>
        <v>9.5477617242703441E-4</v>
      </c>
      <c r="L8" s="4">
        <f t="shared" si="0"/>
        <v>9.5477617242703441E-4</v>
      </c>
      <c r="M8" s="4">
        <f t="shared" si="0"/>
        <v>9.5477617242703441E-4</v>
      </c>
      <c r="N8" s="4">
        <f t="shared" si="0"/>
        <v>9.5477617242703441E-4</v>
      </c>
      <c r="O8" s="4">
        <f t="shared" si="0"/>
        <v>9.5477617242703441E-4</v>
      </c>
      <c r="P8" s="4">
        <f t="shared" si="0"/>
        <v>9.5477617242703441E-4</v>
      </c>
      <c r="Q8" s="4">
        <f t="shared" si="0"/>
        <v>9.5477617242703441E-4</v>
      </c>
      <c r="R8" s="4">
        <f t="shared" si="0"/>
        <v>9.5477617242703441E-4</v>
      </c>
      <c r="S8" s="4">
        <f t="shared" si="0"/>
        <v>9.5477617242703441E-4</v>
      </c>
      <c r="T8" s="4">
        <f t="shared" si="0"/>
        <v>9.5477617242703441E-4</v>
      </c>
      <c r="U8" s="4">
        <f t="shared" si="0"/>
        <v>9.5477617242703441E-4</v>
      </c>
      <c r="V8" s="4">
        <f t="shared" si="0"/>
        <v>9.5477617242703441E-4</v>
      </c>
      <c r="W8" s="4">
        <f t="shared" si="0"/>
        <v>9.5477617242703441E-4</v>
      </c>
      <c r="X8" s="4">
        <f t="shared" si="0"/>
        <v>9.5477617242703441E-4</v>
      </c>
      <c r="Y8" s="4">
        <f t="shared" si="0"/>
        <v>9.5477617242703441E-4</v>
      </c>
      <c r="Z8" s="4">
        <f t="shared" si="0"/>
        <v>9.5477617242703441E-4</v>
      </c>
      <c r="AA8" s="4">
        <f t="shared" si="0"/>
        <v>9.5477617242703441E-4</v>
      </c>
      <c r="AB8" s="4">
        <f t="shared" si="0"/>
        <v>9.5477617242703441E-4</v>
      </c>
      <c r="AC8" s="4">
        <f t="shared" si="0"/>
        <v>9.5477617242703441E-4</v>
      </c>
      <c r="AD8" s="4">
        <f t="shared" si="0"/>
        <v>9.5477617242703441E-4</v>
      </c>
      <c r="AE8" s="4">
        <f t="shared" si="0"/>
        <v>9.5477617242703441E-4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3.0636736837912965E-4</v>
      </c>
      <c r="C2" s="4">
        <f>B2</f>
        <v>3.0636736837912965E-4</v>
      </c>
      <c r="D2" s="4">
        <f t="shared" ref="D2:AE8" si="0">C2</f>
        <v>3.0636736837912965E-4</v>
      </c>
      <c r="E2" s="4">
        <f t="shared" si="0"/>
        <v>3.0636736837912965E-4</v>
      </c>
      <c r="F2" s="4">
        <f t="shared" si="0"/>
        <v>3.0636736837912965E-4</v>
      </c>
      <c r="G2" s="4">
        <f t="shared" si="0"/>
        <v>3.0636736837912965E-4</v>
      </c>
      <c r="H2" s="4">
        <f t="shared" si="0"/>
        <v>3.0636736837912965E-4</v>
      </c>
      <c r="I2" s="4">
        <f t="shared" si="0"/>
        <v>3.0636736837912965E-4</v>
      </c>
      <c r="J2" s="4">
        <f t="shared" si="0"/>
        <v>3.0636736837912965E-4</v>
      </c>
      <c r="K2" s="4">
        <f t="shared" si="0"/>
        <v>3.0636736837912965E-4</v>
      </c>
      <c r="L2" s="4">
        <f t="shared" si="0"/>
        <v>3.0636736837912965E-4</v>
      </c>
      <c r="M2" s="4">
        <f t="shared" si="0"/>
        <v>3.0636736837912965E-4</v>
      </c>
      <c r="N2" s="4">
        <f t="shared" si="0"/>
        <v>3.0636736837912965E-4</v>
      </c>
      <c r="O2" s="4">
        <f t="shared" si="0"/>
        <v>3.0636736837912965E-4</v>
      </c>
      <c r="P2" s="4">
        <f t="shared" si="0"/>
        <v>3.0636736837912965E-4</v>
      </c>
      <c r="Q2" s="4">
        <f t="shared" si="0"/>
        <v>3.0636736837912965E-4</v>
      </c>
      <c r="R2" s="4">
        <f t="shared" si="0"/>
        <v>3.0636736837912965E-4</v>
      </c>
      <c r="S2" s="4">
        <f t="shared" si="0"/>
        <v>3.0636736837912965E-4</v>
      </c>
      <c r="T2" s="4">
        <f t="shared" si="0"/>
        <v>3.0636736837912965E-4</v>
      </c>
      <c r="U2" s="4">
        <f t="shared" si="0"/>
        <v>3.0636736837912965E-4</v>
      </c>
      <c r="V2" s="4">
        <f t="shared" si="0"/>
        <v>3.0636736837912965E-4</v>
      </c>
      <c r="W2" s="4">
        <f t="shared" si="0"/>
        <v>3.0636736837912965E-4</v>
      </c>
      <c r="X2" s="4">
        <f t="shared" si="0"/>
        <v>3.0636736837912965E-4</v>
      </c>
      <c r="Y2" s="4">
        <f t="shared" si="0"/>
        <v>3.0636736837912965E-4</v>
      </c>
      <c r="Z2" s="4">
        <f t="shared" si="0"/>
        <v>3.0636736837912965E-4</v>
      </c>
      <c r="AA2" s="4">
        <f t="shared" si="0"/>
        <v>3.0636736837912965E-4</v>
      </c>
      <c r="AB2" s="4">
        <f t="shared" si="0"/>
        <v>3.0636736837912965E-4</v>
      </c>
      <c r="AC2" s="4">
        <f t="shared" si="0"/>
        <v>3.0636736837912965E-4</v>
      </c>
      <c r="AD2" s="4">
        <f t="shared" si="0"/>
        <v>3.0636736837912965E-4</v>
      </c>
      <c r="AE2" s="4">
        <f t="shared" si="0"/>
        <v>3.0636736837912965E-4</v>
      </c>
      <c r="AG2" s="4"/>
      <c r="AH2" s="4"/>
    </row>
    <row r="3" spans="1:34">
      <c r="A3" t="s">
        <v>3</v>
      </c>
      <c r="B3" s="4">
        <v>7.273085411263018E-5</v>
      </c>
      <c r="C3" s="4">
        <f t="shared" ref="C3:C8" si="1">B3</f>
        <v>7.273085411263018E-5</v>
      </c>
      <c r="D3" s="4">
        <f t="shared" ref="D3:Q3" si="2">C3</f>
        <v>7.273085411263018E-5</v>
      </c>
      <c r="E3" s="4">
        <f t="shared" si="2"/>
        <v>7.273085411263018E-5</v>
      </c>
      <c r="F3" s="4">
        <f t="shared" si="2"/>
        <v>7.273085411263018E-5</v>
      </c>
      <c r="G3" s="4">
        <f t="shared" si="2"/>
        <v>7.273085411263018E-5</v>
      </c>
      <c r="H3" s="4">
        <f t="shared" si="2"/>
        <v>7.273085411263018E-5</v>
      </c>
      <c r="I3" s="4">
        <f t="shared" si="2"/>
        <v>7.273085411263018E-5</v>
      </c>
      <c r="J3" s="4">
        <f t="shared" si="2"/>
        <v>7.273085411263018E-5</v>
      </c>
      <c r="K3" s="4">
        <f t="shared" si="2"/>
        <v>7.273085411263018E-5</v>
      </c>
      <c r="L3" s="4">
        <f t="shared" si="2"/>
        <v>7.273085411263018E-5</v>
      </c>
      <c r="M3" s="4">
        <f t="shared" si="2"/>
        <v>7.273085411263018E-5</v>
      </c>
      <c r="N3" s="4">
        <f t="shared" si="2"/>
        <v>7.273085411263018E-5</v>
      </c>
      <c r="O3" s="4">
        <f t="shared" si="2"/>
        <v>7.273085411263018E-5</v>
      </c>
      <c r="P3" s="4">
        <f t="shared" si="2"/>
        <v>7.273085411263018E-5</v>
      </c>
      <c r="Q3" s="4">
        <f t="shared" si="2"/>
        <v>7.273085411263018E-5</v>
      </c>
      <c r="R3" s="4">
        <f t="shared" si="0"/>
        <v>7.273085411263018E-5</v>
      </c>
      <c r="S3" s="4">
        <f t="shared" si="0"/>
        <v>7.273085411263018E-5</v>
      </c>
      <c r="T3" s="4">
        <f t="shared" si="0"/>
        <v>7.273085411263018E-5</v>
      </c>
      <c r="U3" s="4">
        <f t="shared" si="0"/>
        <v>7.273085411263018E-5</v>
      </c>
      <c r="V3" s="4">
        <f t="shared" si="0"/>
        <v>7.273085411263018E-5</v>
      </c>
      <c r="W3" s="4">
        <f t="shared" si="0"/>
        <v>7.273085411263018E-5</v>
      </c>
      <c r="X3" s="4">
        <f t="shared" si="0"/>
        <v>7.273085411263018E-5</v>
      </c>
      <c r="Y3" s="4">
        <f t="shared" si="0"/>
        <v>7.273085411263018E-5</v>
      </c>
      <c r="Z3" s="4">
        <f t="shared" si="0"/>
        <v>7.273085411263018E-5</v>
      </c>
      <c r="AA3" s="4">
        <f t="shared" si="0"/>
        <v>7.273085411263018E-5</v>
      </c>
      <c r="AB3" s="4">
        <f t="shared" si="0"/>
        <v>7.273085411263018E-5</v>
      </c>
      <c r="AC3" s="4">
        <f t="shared" si="0"/>
        <v>7.273085411263018E-5</v>
      </c>
      <c r="AD3" s="4">
        <f t="shared" si="0"/>
        <v>7.273085411263018E-5</v>
      </c>
      <c r="AE3" s="4">
        <f t="shared" si="0"/>
        <v>7.273085411263018E-5</v>
      </c>
      <c r="AG3" s="4"/>
      <c r="AH3" s="4"/>
    </row>
    <row r="4" spans="1:34">
      <c r="A4" t="s">
        <v>4</v>
      </c>
      <c r="B4" s="4">
        <v>9.5098581742816967E-5</v>
      </c>
      <c r="C4" s="4">
        <f t="shared" si="1"/>
        <v>9.5098581742816967E-5</v>
      </c>
      <c r="D4" s="4">
        <f t="shared" si="0"/>
        <v>9.5098581742816967E-5</v>
      </c>
      <c r="E4" s="4">
        <f t="shared" si="0"/>
        <v>9.5098581742816967E-5</v>
      </c>
      <c r="F4" s="4">
        <f t="shared" si="0"/>
        <v>9.5098581742816967E-5</v>
      </c>
      <c r="G4" s="4">
        <f t="shared" si="0"/>
        <v>9.5098581742816967E-5</v>
      </c>
      <c r="H4" s="4">
        <f t="shared" si="0"/>
        <v>9.5098581742816967E-5</v>
      </c>
      <c r="I4" s="4">
        <f t="shared" si="0"/>
        <v>9.5098581742816967E-5</v>
      </c>
      <c r="J4" s="4">
        <f t="shared" si="0"/>
        <v>9.5098581742816967E-5</v>
      </c>
      <c r="K4" s="4">
        <f t="shared" si="0"/>
        <v>9.5098581742816967E-5</v>
      </c>
      <c r="L4" s="4">
        <f t="shared" si="0"/>
        <v>9.5098581742816967E-5</v>
      </c>
      <c r="M4" s="4">
        <f t="shared" si="0"/>
        <v>9.5098581742816967E-5</v>
      </c>
      <c r="N4" s="4">
        <f t="shared" si="0"/>
        <v>9.5098581742816967E-5</v>
      </c>
      <c r="O4" s="4">
        <f t="shared" si="0"/>
        <v>9.5098581742816967E-5</v>
      </c>
      <c r="P4" s="4">
        <f t="shared" si="0"/>
        <v>9.5098581742816967E-5</v>
      </c>
      <c r="Q4" s="4">
        <f t="shared" si="0"/>
        <v>9.5098581742816967E-5</v>
      </c>
      <c r="R4" s="4">
        <f t="shared" si="0"/>
        <v>9.5098581742816967E-5</v>
      </c>
      <c r="S4" s="4">
        <f t="shared" si="0"/>
        <v>9.5098581742816967E-5</v>
      </c>
      <c r="T4" s="4">
        <f t="shared" si="0"/>
        <v>9.5098581742816967E-5</v>
      </c>
      <c r="U4" s="4">
        <f t="shared" si="0"/>
        <v>9.5098581742816967E-5</v>
      </c>
      <c r="V4" s="4">
        <f t="shared" si="0"/>
        <v>9.5098581742816967E-5</v>
      </c>
      <c r="W4" s="4">
        <f t="shared" si="0"/>
        <v>9.5098581742816967E-5</v>
      </c>
      <c r="X4" s="4">
        <f t="shared" si="0"/>
        <v>9.5098581742816967E-5</v>
      </c>
      <c r="Y4" s="4">
        <f t="shared" si="0"/>
        <v>9.5098581742816967E-5</v>
      </c>
      <c r="Z4" s="4">
        <f t="shared" si="0"/>
        <v>9.5098581742816967E-5</v>
      </c>
      <c r="AA4" s="4">
        <f t="shared" si="0"/>
        <v>9.5098581742816967E-5</v>
      </c>
      <c r="AB4" s="4">
        <f t="shared" si="0"/>
        <v>9.5098581742816967E-5</v>
      </c>
      <c r="AC4" s="4">
        <f t="shared" si="0"/>
        <v>9.5098581742816967E-5</v>
      </c>
      <c r="AD4" s="4">
        <f t="shared" si="0"/>
        <v>9.5098581742816967E-5</v>
      </c>
      <c r="AE4" s="4">
        <f t="shared" si="0"/>
        <v>9.5098581742816967E-5</v>
      </c>
      <c r="AG4" s="4"/>
      <c r="AH4" s="4"/>
    </row>
    <row r="5" spans="1:34">
      <c r="A5" t="s">
        <v>5</v>
      </c>
      <c r="B5" s="4">
        <v>9.3478062847081558E-5</v>
      </c>
      <c r="C5" s="4">
        <f t="shared" si="1"/>
        <v>9.3478062847081558E-5</v>
      </c>
      <c r="D5" s="4">
        <f t="shared" si="0"/>
        <v>9.3478062847081558E-5</v>
      </c>
      <c r="E5" s="4">
        <f t="shared" si="0"/>
        <v>9.3478062847081558E-5</v>
      </c>
      <c r="F5" s="4">
        <f t="shared" si="0"/>
        <v>9.3478062847081558E-5</v>
      </c>
      <c r="G5" s="4">
        <f t="shared" si="0"/>
        <v>9.3478062847081558E-5</v>
      </c>
      <c r="H5" s="4">
        <f t="shared" si="0"/>
        <v>9.3478062847081558E-5</v>
      </c>
      <c r="I5" s="4">
        <f t="shared" si="0"/>
        <v>9.3478062847081558E-5</v>
      </c>
      <c r="J5" s="4">
        <f t="shared" si="0"/>
        <v>9.3478062847081558E-5</v>
      </c>
      <c r="K5" s="4">
        <f t="shared" si="0"/>
        <v>9.3478062847081558E-5</v>
      </c>
      <c r="L5" s="4">
        <f t="shared" si="0"/>
        <v>9.3478062847081558E-5</v>
      </c>
      <c r="M5" s="4">
        <f t="shared" si="0"/>
        <v>9.3478062847081558E-5</v>
      </c>
      <c r="N5" s="4">
        <f t="shared" si="0"/>
        <v>9.3478062847081558E-5</v>
      </c>
      <c r="O5" s="4">
        <f t="shared" si="0"/>
        <v>9.3478062847081558E-5</v>
      </c>
      <c r="P5" s="4">
        <f t="shared" si="0"/>
        <v>9.3478062847081558E-5</v>
      </c>
      <c r="Q5" s="4">
        <f t="shared" si="0"/>
        <v>9.3478062847081558E-5</v>
      </c>
      <c r="R5" s="4">
        <f t="shared" si="0"/>
        <v>9.3478062847081558E-5</v>
      </c>
      <c r="S5" s="4">
        <f t="shared" si="0"/>
        <v>9.3478062847081558E-5</v>
      </c>
      <c r="T5" s="4">
        <f t="shared" si="0"/>
        <v>9.3478062847081558E-5</v>
      </c>
      <c r="U5" s="4">
        <f t="shared" si="0"/>
        <v>9.3478062847081558E-5</v>
      </c>
      <c r="V5" s="4">
        <f t="shared" si="0"/>
        <v>9.3478062847081558E-5</v>
      </c>
      <c r="W5" s="4">
        <f t="shared" si="0"/>
        <v>9.3478062847081558E-5</v>
      </c>
      <c r="X5" s="4">
        <f t="shared" si="0"/>
        <v>9.3478062847081558E-5</v>
      </c>
      <c r="Y5" s="4">
        <f t="shared" si="0"/>
        <v>9.3478062847081558E-5</v>
      </c>
      <c r="Z5" s="4">
        <f t="shared" si="0"/>
        <v>9.3478062847081558E-5</v>
      </c>
      <c r="AA5" s="4">
        <f t="shared" si="0"/>
        <v>9.3478062847081558E-5</v>
      </c>
      <c r="AB5" s="4">
        <f t="shared" si="0"/>
        <v>9.3478062847081558E-5</v>
      </c>
      <c r="AC5" s="4">
        <f t="shared" si="0"/>
        <v>9.3478062847081558E-5</v>
      </c>
      <c r="AD5" s="4">
        <f t="shared" si="0"/>
        <v>9.3478062847081558E-5</v>
      </c>
      <c r="AE5" s="4">
        <f t="shared" si="0"/>
        <v>9.3478062847081558E-5</v>
      </c>
      <c r="AG5" s="4"/>
      <c r="AH5" s="4"/>
    </row>
    <row r="6" spans="1:34">
      <c r="A6" t="s">
        <v>6</v>
      </c>
      <c r="B6" s="4">
        <v>3.8357149864294821E-5</v>
      </c>
      <c r="C6" s="4">
        <f t="shared" si="1"/>
        <v>3.8357149864294821E-5</v>
      </c>
      <c r="D6" s="4">
        <f t="shared" si="0"/>
        <v>3.8357149864294821E-5</v>
      </c>
      <c r="E6" s="4">
        <f t="shared" si="0"/>
        <v>3.8357149864294821E-5</v>
      </c>
      <c r="F6" s="4">
        <f t="shared" si="0"/>
        <v>3.8357149864294821E-5</v>
      </c>
      <c r="G6" s="4">
        <f t="shared" si="0"/>
        <v>3.8357149864294821E-5</v>
      </c>
      <c r="H6" s="4">
        <f t="shared" si="0"/>
        <v>3.8357149864294821E-5</v>
      </c>
      <c r="I6" s="4">
        <f t="shared" si="0"/>
        <v>3.8357149864294821E-5</v>
      </c>
      <c r="J6" s="4">
        <f t="shared" si="0"/>
        <v>3.8357149864294821E-5</v>
      </c>
      <c r="K6" s="4">
        <f t="shared" si="0"/>
        <v>3.8357149864294821E-5</v>
      </c>
      <c r="L6" s="4">
        <f t="shared" si="0"/>
        <v>3.8357149864294821E-5</v>
      </c>
      <c r="M6" s="4">
        <f t="shared" si="0"/>
        <v>3.8357149864294821E-5</v>
      </c>
      <c r="N6" s="4">
        <f t="shared" si="0"/>
        <v>3.8357149864294821E-5</v>
      </c>
      <c r="O6" s="4">
        <f t="shared" si="0"/>
        <v>3.8357149864294821E-5</v>
      </c>
      <c r="P6" s="4">
        <f t="shared" si="0"/>
        <v>3.8357149864294821E-5</v>
      </c>
      <c r="Q6" s="4">
        <f t="shared" si="0"/>
        <v>3.8357149864294821E-5</v>
      </c>
      <c r="R6" s="4">
        <f t="shared" si="0"/>
        <v>3.8357149864294821E-5</v>
      </c>
      <c r="S6" s="4">
        <f t="shared" si="0"/>
        <v>3.8357149864294821E-5</v>
      </c>
      <c r="T6" s="4">
        <f t="shared" si="0"/>
        <v>3.8357149864294821E-5</v>
      </c>
      <c r="U6" s="4">
        <f t="shared" si="0"/>
        <v>3.8357149864294821E-5</v>
      </c>
      <c r="V6" s="4">
        <f t="shared" si="0"/>
        <v>3.8357149864294821E-5</v>
      </c>
      <c r="W6" s="4">
        <f t="shared" si="0"/>
        <v>3.8357149864294821E-5</v>
      </c>
      <c r="X6" s="4">
        <f t="shared" si="0"/>
        <v>3.8357149864294821E-5</v>
      </c>
      <c r="Y6" s="4">
        <f t="shared" si="0"/>
        <v>3.8357149864294821E-5</v>
      </c>
      <c r="Z6" s="4">
        <f t="shared" si="0"/>
        <v>3.8357149864294821E-5</v>
      </c>
      <c r="AA6" s="4">
        <f t="shared" si="0"/>
        <v>3.8357149864294821E-5</v>
      </c>
      <c r="AB6" s="4">
        <f t="shared" si="0"/>
        <v>3.8357149864294821E-5</v>
      </c>
      <c r="AC6" s="4">
        <f t="shared" si="0"/>
        <v>3.8357149864294821E-5</v>
      </c>
      <c r="AD6" s="4">
        <f t="shared" si="0"/>
        <v>3.8357149864294821E-5</v>
      </c>
      <c r="AE6" s="4">
        <f t="shared" si="0"/>
        <v>3.8357149864294821E-5</v>
      </c>
      <c r="AG6" s="4"/>
      <c r="AH6" s="4"/>
    </row>
    <row r="7" spans="1:34">
      <c r="A7" t="s">
        <v>84</v>
      </c>
      <c r="B7" s="4">
        <v>1.4090027704705712E-3</v>
      </c>
      <c r="C7" s="4">
        <f t="shared" si="1"/>
        <v>1.4090027704705712E-3</v>
      </c>
      <c r="D7" s="4">
        <f t="shared" si="0"/>
        <v>1.4090027704705712E-3</v>
      </c>
      <c r="E7" s="4">
        <f t="shared" si="0"/>
        <v>1.4090027704705712E-3</v>
      </c>
      <c r="F7" s="4">
        <f t="shared" si="0"/>
        <v>1.4090027704705712E-3</v>
      </c>
      <c r="G7" s="4">
        <f t="shared" si="0"/>
        <v>1.4090027704705712E-3</v>
      </c>
      <c r="H7" s="4">
        <f t="shared" si="0"/>
        <v>1.4090027704705712E-3</v>
      </c>
      <c r="I7" s="4">
        <f t="shared" si="0"/>
        <v>1.4090027704705712E-3</v>
      </c>
      <c r="J7" s="4">
        <f t="shared" si="0"/>
        <v>1.4090027704705712E-3</v>
      </c>
      <c r="K7" s="4">
        <f t="shared" si="0"/>
        <v>1.4090027704705712E-3</v>
      </c>
      <c r="L7" s="4">
        <f t="shared" si="0"/>
        <v>1.4090027704705712E-3</v>
      </c>
      <c r="M7" s="4">
        <f t="shared" si="0"/>
        <v>1.4090027704705712E-3</v>
      </c>
      <c r="N7" s="4">
        <f t="shared" si="0"/>
        <v>1.4090027704705712E-3</v>
      </c>
      <c r="O7" s="4">
        <f t="shared" si="0"/>
        <v>1.4090027704705712E-3</v>
      </c>
      <c r="P7" s="4">
        <f t="shared" si="0"/>
        <v>1.4090027704705712E-3</v>
      </c>
      <c r="Q7" s="4">
        <f t="shared" si="0"/>
        <v>1.4090027704705712E-3</v>
      </c>
      <c r="R7" s="4">
        <f t="shared" si="0"/>
        <v>1.4090027704705712E-3</v>
      </c>
      <c r="S7" s="4">
        <f t="shared" si="0"/>
        <v>1.4090027704705712E-3</v>
      </c>
      <c r="T7" s="4">
        <f t="shared" si="0"/>
        <v>1.4090027704705712E-3</v>
      </c>
      <c r="U7" s="4">
        <f t="shared" si="0"/>
        <v>1.4090027704705712E-3</v>
      </c>
      <c r="V7" s="4">
        <f t="shared" si="0"/>
        <v>1.4090027704705712E-3</v>
      </c>
      <c r="W7" s="4">
        <f t="shared" si="0"/>
        <v>1.4090027704705712E-3</v>
      </c>
      <c r="X7" s="4">
        <f t="shared" si="0"/>
        <v>1.4090027704705712E-3</v>
      </c>
      <c r="Y7" s="4">
        <f t="shared" si="0"/>
        <v>1.4090027704705712E-3</v>
      </c>
      <c r="Z7" s="4">
        <f t="shared" si="0"/>
        <v>1.4090027704705712E-3</v>
      </c>
      <c r="AA7" s="4">
        <f t="shared" si="0"/>
        <v>1.4090027704705712E-3</v>
      </c>
      <c r="AB7" s="4">
        <f t="shared" si="0"/>
        <v>1.4090027704705712E-3</v>
      </c>
      <c r="AC7" s="4">
        <f t="shared" si="0"/>
        <v>1.4090027704705712E-3</v>
      </c>
      <c r="AD7" s="4">
        <f t="shared" si="0"/>
        <v>1.4090027704705712E-3</v>
      </c>
      <c r="AE7" s="4">
        <f t="shared" si="0"/>
        <v>1.4090027704705712E-3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3.3199658675940884E-3</v>
      </c>
      <c r="C2" s="4">
        <f>B2</f>
        <v>3.3199658675940884E-3</v>
      </c>
      <c r="D2" s="4">
        <f t="shared" ref="D2:AE8" si="0">C2</f>
        <v>3.3199658675940884E-3</v>
      </c>
      <c r="E2" s="4">
        <f t="shared" si="0"/>
        <v>3.3199658675940884E-3</v>
      </c>
      <c r="F2" s="4">
        <f t="shared" si="0"/>
        <v>3.3199658675940884E-3</v>
      </c>
      <c r="G2" s="4">
        <f t="shared" si="0"/>
        <v>3.3199658675940884E-3</v>
      </c>
      <c r="H2" s="4">
        <f t="shared" si="0"/>
        <v>3.3199658675940884E-3</v>
      </c>
      <c r="I2" s="4">
        <f t="shared" si="0"/>
        <v>3.3199658675940884E-3</v>
      </c>
      <c r="J2" s="4">
        <f t="shared" si="0"/>
        <v>3.3199658675940884E-3</v>
      </c>
      <c r="K2" s="4">
        <f t="shared" si="0"/>
        <v>3.3199658675940884E-3</v>
      </c>
      <c r="L2" s="4">
        <f t="shared" si="0"/>
        <v>3.3199658675940884E-3</v>
      </c>
      <c r="M2" s="4">
        <f t="shared" si="0"/>
        <v>3.3199658675940884E-3</v>
      </c>
      <c r="N2" s="4">
        <f t="shared" si="0"/>
        <v>3.3199658675940884E-3</v>
      </c>
      <c r="O2" s="4">
        <f t="shared" si="0"/>
        <v>3.3199658675940884E-3</v>
      </c>
      <c r="P2" s="4">
        <f t="shared" si="0"/>
        <v>3.3199658675940884E-3</v>
      </c>
      <c r="Q2" s="4">
        <f t="shared" si="0"/>
        <v>3.3199658675940884E-3</v>
      </c>
      <c r="R2" s="4">
        <f t="shared" si="0"/>
        <v>3.3199658675940884E-3</v>
      </c>
      <c r="S2" s="4">
        <f t="shared" si="0"/>
        <v>3.3199658675940884E-3</v>
      </c>
      <c r="T2" s="4">
        <f t="shared" si="0"/>
        <v>3.3199658675940884E-3</v>
      </c>
      <c r="U2" s="4">
        <f t="shared" si="0"/>
        <v>3.3199658675940884E-3</v>
      </c>
      <c r="V2" s="4">
        <f t="shared" si="0"/>
        <v>3.3199658675940884E-3</v>
      </c>
      <c r="W2" s="4">
        <f t="shared" si="0"/>
        <v>3.3199658675940884E-3</v>
      </c>
      <c r="X2" s="4">
        <f t="shared" si="0"/>
        <v>3.3199658675940884E-3</v>
      </c>
      <c r="Y2" s="4">
        <f t="shared" si="0"/>
        <v>3.3199658675940884E-3</v>
      </c>
      <c r="Z2" s="4">
        <f t="shared" si="0"/>
        <v>3.3199658675940884E-3</v>
      </c>
      <c r="AA2" s="4">
        <f t="shared" si="0"/>
        <v>3.3199658675940884E-3</v>
      </c>
      <c r="AB2" s="4">
        <f t="shared" si="0"/>
        <v>3.3199658675940884E-3</v>
      </c>
      <c r="AC2" s="4">
        <f t="shared" si="0"/>
        <v>3.3199658675940884E-3</v>
      </c>
      <c r="AD2" s="4">
        <f t="shared" si="0"/>
        <v>3.3199658675940884E-3</v>
      </c>
      <c r="AE2" s="4">
        <f t="shared" si="0"/>
        <v>3.3199658675940884E-3</v>
      </c>
      <c r="AG2" s="4"/>
      <c r="AH2" s="4"/>
    </row>
    <row r="3" spans="1:34">
      <c r="A3" t="s">
        <v>3</v>
      </c>
      <c r="B3" s="4">
        <v>2.3489662423758803E-3</v>
      </c>
      <c r="C3" s="4">
        <f t="shared" ref="C3:C8" si="1">B3</f>
        <v>2.3489662423758803E-3</v>
      </c>
      <c r="D3" s="4">
        <f t="shared" ref="D3:Q3" si="2">C3</f>
        <v>2.3489662423758803E-3</v>
      </c>
      <c r="E3" s="4">
        <f t="shared" si="2"/>
        <v>2.3489662423758803E-3</v>
      </c>
      <c r="F3" s="4">
        <f t="shared" si="2"/>
        <v>2.3489662423758803E-3</v>
      </c>
      <c r="G3" s="4">
        <f t="shared" si="2"/>
        <v>2.3489662423758803E-3</v>
      </c>
      <c r="H3" s="4">
        <f t="shared" si="2"/>
        <v>2.3489662423758803E-3</v>
      </c>
      <c r="I3" s="4">
        <f t="shared" si="2"/>
        <v>2.3489662423758803E-3</v>
      </c>
      <c r="J3" s="4">
        <f t="shared" si="2"/>
        <v>2.3489662423758803E-3</v>
      </c>
      <c r="K3" s="4">
        <f t="shared" si="2"/>
        <v>2.3489662423758803E-3</v>
      </c>
      <c r="L3" s="4">
        <f t="shared" si="2"/>
        <v>2.3489662423758803E-3</v>
      </c>
      <c r="M3" s="4">
        <f t="shared" si="2"/>
        <v>2.3489662423758803E-3</v>
      </c>
      <c r="N3" s="4">
        <f t="shared" si="2"/>
        <v>2.3489662423758803E-3</v>
      </c>
      <c r="O3" s="4">
        <f t="shared" si="2"/>
        <v>2.3489662423758803E-3</v>
      </c>
      <c r="P3" s="4">
        <f t="shared" si="2"/>
        <v>2.3489662423758803E-3</v>
      </c>
      <c r="Q3" s="4">
        <f t="shared" si="2"/>
        <v>2.3489662423758803E-3</v>
      </c>
      <c r="R3" s="4">
        <f t="shared" si="0"/>
        <v>2.3489662423758803E-3</v>
      </c>
      <c r="S3" s="4">
        <f t="shared" si="0"/>
        <v>2.3489662423758803E-3</v>
      </c>
      <c r="T3" s="4">
        <f t="shared" si="0"/>
        <v>2.3489662423758803E-3</v>
      </c>
      <c r="U3" s="4">
        <f t="shared" si="0"/>
        <v>2.3489662423758803E-3</v>
      </c>
      <c r="V3" s="4">
        <f t="shared" si="0"/>
        <v>2.3489662423758803E-3</v>
      </c>
      <c r="W3" s="4">
        <f t="shared" si="0"/>
        <v>2.3489662423758803E-3</v>
      </c>
      <c r="X3" s="4">
        <f t="shared" si="0"/>
        <v>2.3489662423758803E-3</v>
      </c>
      <c r="Y3" s="4">
        <f t="shared" si="0"/>
        <v>2.3489662423758803E-3</v>
      </c>
      <c r="Z3" s="4">
        <f t="shared" si="0"/>
        <v>2.3489662423758803E-3</v>
      </c>
      <c r="AA3" s="4">
        <f t="shared" si="0"/>
        <v>2.3489662423758803E-3</v>
      </c>
      <c r="AB3" s="4">
        <f t="shared" si="0"/>
        <v>2.3489662423758803E-3</v>
      </c>
      <c r="AC3" s="4">
        <f t="shared" si="0"/>
        <v>2.3489662423758803E-3</v>
      </c>
      <c r="AD3" s="4">
        <f t="shared" si="0"/>
        <v>2.3489662423758803E-3</v>
      </c>
      <c r="AE3" s="4">
        <f t="shared" si="0"/>
        <v>2.3489662423758803E-3</v>
      </c>
      <c r="AG3" s="4"/>
      <c r="AH3" s="4"/>
    </row>
    <row r="4" spans="1:34">
      <c r="A4" t="s">
        <v>4</v>
      </c>
      <c r="B4" s="4">
        <v>8.5179832440752728E-4</v>
      </c>
      <c r="C4" s="4">
        <f t="shared" si="1"/>
        <v>8.5179832440752728E-4</v>
      </c>
      <c r="D4" s="4">
        <f t="shared" si="0"/>
        <v>8.5179832440752728E-4</v>
      </c>
      <c r="E4" s="4">
        <f t="shared" si="0"/>
        <v>8.5179832440752728E-4</v>
      </c>
      <c r="F4" s="4">
        <f t="shared" si="0"/>
        <v>8.5179832440752728E-4</v>
      </c>
      <c r="G4" s="4">
        <f t="shared" si="0"/>
        <v>8.5179832440752728E-4</v>
      </c>
      <c r="H4" s="4">
        <f t="shared" si="0"/>
        <v>8.5179832440752728E-4</v>
      </c>
      <c r="I4" s="4">
        <f t="shared" si="0"/>
        <v>8.5179832440752728E-4</v>
      </c>
      <c r="J4" s="4">
        <f t="shared" si="0"/>
        <v>8.5179832440752728E-4</v>
      </c>
      <c r="K4" s="4">
        <f t="shared" si="0"/>
        <v>8.5179832440752728E-4</v>
      </c>
      <c r="L4" s="4">
        <f t="shared" si="0"/>
        <v>8.5179832440752728E-4</v>
      </c>
      <c r="M4" s="4">
        <f t="shared" si="0"/>
        <v>8.5179832440752728E-4</v>
      </c>
      <c r="N4" s="4">
        <f t="shared" si="0"/>
        <v>8.5179832440752728E-4</v>
      </c>
      <c r="O4" s="4">
        <f t="shared" si="0"/>
        <v>8.5179832440752728E-4</v>
      </c>
      <c r="P4" s="4">
        <f t="shared" si="0"/>
        <v>8.5179832440752728E-4</v>
      </c>
      <c r="Q4" s="4">
        <f t="shared" si="0"/>
        <v>8.5179832440752728E-4</v>
      </c>
      <c r="R4" s="4">
        <f t="shared" si="0"/>
        <v>8.5179832440752728E-4</v>
      </c>
      <c r="S4" s="4">
        <f t="shared" si="0"/>
        <v>8.5179832440752728E-4</v>
      </c>
      <c r="T4" s="4">
        <f t="shared" si="0"/>
        <v>8.5179832440752728E-4</v>
      </c>
      <c r="U4" s="4">
        <f t="shared" si="0"/>
        <v>8.5179832440752728E-4</v>
      </c>
      <c r="V4" s="4">
        <f t="shared" si="0"/>
        <v>8.5179832440752728E-4</v>
      </c>
      <c r="W4" s="4">
        <f t="shared" si="0"/>
        <v>8.5179832440752728E-4</v>
      </c>
      <c r="X4" s="4">
        <f t="shared" si="0"/>
        <v>8.5179832440752728E-4</v>
      </c>
      <c r="Y4" s="4">
        <f t="shared" si="0"/>
        <v>8.5179832440752728E-4</v>
      </c>
      <c r="Z4" s="4">
        <f t="shared" si="0"/>
        <v>8.5179832440752728E-4</v>
      </c>
      <c r="AA4" s="4">
        <f t="shared" si="0"/>
        <v>8.5179832440752728E-4</v>
      </c>
      <c r="AB4" s="4">
        <f t="shared" si="0"/>
        <v>8.5179832440752728E-4</v>
      </c>
      <c r="AC4" s="4">
        <f t="shared" si="0"/>
        <v>8.5179832440752728E-4</v>
      </c>
      <c r="AD4" s="4">
        <f t="shared" si="0"/>
        <v>8.5179832440752728E-4</v>
      </c>
      <c r="AE4" s="4">
        <f t="shared" si="0"/>
        <v>8.5179832440752728E-4</v>
      </c>
      <c r="AG4" s="4"/>
      <c r="AH4" s="4"/>
    </row>
    <row r="5" spans="1:34">
      <c r="A5" t="s">
        <v>5</v>
      </c>
      <c r="B5" s="4">
        <v>1.0331389660993618E-3</v>
      </c>
      <c r="C5" s="4">
        <f t="shared" si="1"/>
        <v>1.0331389660993618E-3</v>
      </c>
      <c r="D5" s="4">
        <f t="shared" si="0"/>
        <v>1.0331389660993618E-3</v>
      </c>
      <c r="E5" s="4">
        <f t="shared" si="0"/>
        <v>1.0331389660993618E-3</v>
      </c>
      <c r="F5" s="4">
        <f t="shared" si="0"/>
        <v>1.0331389660993618E-3</v>
      </c>
      <c r="G5" s="4">
        <f t="shared" si="0"/>
        <v>1.0331389660993618E-3</v>
      </c>
      <c r="H5" s="4">
        <f t="shared" si="0"/>
        <v>1.0331389660993618E-3</v>
      </c>
      <c r="I5" s="4">
        <f t="shared" si="0"/>
        <v>1.0331389660993618E-3</v>
      </c>
      <c r="J5" s="4">
        <f t="shared" si="0"/>
        <v>1.0331389660993618E-3</v>
      </c>
      <c r="K5" s="4">
        <f t="shared" si="0"/>
        <v>1.0331389660993618E-3</v>
      </c>
      <c r="L5" s="4">
        <f t="shared" si="0"/>
        <v>1.0331389660993618E-3</v>
      </c>
      <c r="M5" s="4">
        <f t="shared" si="0"/>
        <v>1.0331389660993618E-3</v>
      </c>
      <c r="N5" s="4">
        <f t="shared" si="0"/>
        <v>1.0331389660993618E-3</v>
      </c>
      <c r="O5" s="4">
        <f t="shared" si="0"/>
        <v>1.0331389660993618E-3</v>
      </c>
      <c r="P5" s="4">
        <f t="shared" si="0"/>
        <v>1.0331389660993618E-3</v>
      </c>
      <c r="Q5" s="4">
        <f t="shared" si="0"/>
        <v>1.0331389660993618E-3</v>
      </c>
      <c r="R5" s="4">
        <f t="shared" si="0"/>
        <v>1.0331389660993618E-3</v>
      </c>
      <c r="S5" s="4">
        <f t="shared" si="0"/>
        <v>1.0331389660993618E-3</v>
      </c>
      <c r="T5" s="4">
        <f t="shared" si="0"/>
        <v>1.0331389660993618E-3</v>
      </c>
      <c r="U5" s="4">
        <f t="shared" si="0"/>
        <v>1.0331389660993618E-3</v>
      </c>
      <c r="V5" s="4">
        <f t="shared" si="0"/>
        <v>1.0331389660993618E-3</v>
      </c>
      <c r="W5" s="4">
        <f t="shared" si="0"/>
        <v>1.0331389660993618E-3</v>
      </c>
      <c r="X5" s="4">
        <f t="shared" si="0"/>
        <v>1.0331389660993618E-3</v>
      </c>
      <c r="Y5" s="4">
        <f t="shared" si="0"/>
        <v>1.0331389660993618E-3</v>
      </c>
      <c r="Z5" s="4">
        <f t="shared" si="0"/>
        <v>1.0331389660993618E-3</v>
      </c>
      <c r="AA5" s="4">
        <f t="shared" si="0"/>
        <v>1.0331389660993618E-3</v>
      </c>
      <c r="AB5" s="4">
        <f t="shared" si="0"/>
        <v>1.0331389660993618E-3</v>
      </c>
      <c r="AC5" s="4">
        <f t="shared" si="0"/>
        <v>1.0331389660993618E-3</v>
      </c>
      <c r="AD5" s="4">
        <f t="shared" si="0"/>
        <v>1.0331389660993618E-3</v>
      </c>
      <c r="AE5" s="4">
        <f t="shared" si="0"/>
        <v>1.0331389660993618E-3</v>
      </c>
      <c r="AG5" s="4"/>
      <c r="AH5" s="4"/>
    </row>
    <row r="6" spans="1:34">
      <c r="A6" t="s">
        <v>6</v>
      </c>
      <c r="B6" s="4">
        <v>2.2908937619214613E-3</v>
      </c>
      <c r="C6" s="4">
        <f t="shared" si="1"/>
        <v>2.2908937619214613E-3</v>
      </c>
      <c r="D6" s="4">
        <f t="shared" si="0"/>
        <v>2.2908937619214613E-3</v>
      </c>
      <c r="E6" s="4">
        <f t="shared" si="0"/>
        <v>2.2908937619214613E-3</v>
      </c>
      <c r="F6" s="4">
        <f t="shared" si="0"/>
        <v>2.2908937619214613E-3</v>
      </c>
      <c r="G6" s="4">
        <f t="shared" si="0"/>
        <v>2.2908937619214613E-3</v>
      </c>
      <c r="H6" s="4">
        <f t="shared" si="0"/>
        <v>2.2908937619214613E-3</v>
      </c>
      <c r="I6" s="4">
        <f t="shared" si="0"/>
        <v>2.2908937619214613E-3</v>
      </c>
      <c r="J6" s="4">
        <f t="shared" si="0"/>
        <v>2.2908937619214613E-3</v>
      </c>
      <c r="K6" s="4">
        <f t="shared" si="0"/>
        <v>2.2908937619214613E-3</v>
      </c>
      <c r="L6" s="4">
        <f t="shared" si="0"/>
        <v>2.2908937619214613E-3</v>
      </c>
      <c r="M6" s="4">
        <f t="shared" si="0"/>
        <v>2.2908937619214613E-3</v>
      </c>
      <c r="N6" s="4">
        <f t="shared" si="0"/>
        <v>2.2908937619214613E-3</v>
      </c>
      <c r="O6" s="4">
        <f t="shared" si="0"/>
        <v>2.2908937619214613E-3</v>
      </c>
      <c r="P6" s="4">
        <f t="shared" si="0"/>
        <v>2.2908937619214613E-3</v>
      </c>
      <c r="Q6" s="4">
        <f t="shared" si="0"/>
        <v>2.2908937619214613E-3</v>
      </c>
      <c r="R6" s="4">
        <f t="shared" si="0"/>
        <v>2.2908937619214613E-3</v>
      </c>
      <c r="S6" s="4">
        <f t="shared" si="0"/>
        <v>2.2908937619214613E-3</v>
      </c>
      <c r="T6" s="4">
        <f t="shared" si="0"/>
        <v>2.2908937619214613E-3</v>
      </c>
      <c r="U6" s="4">
        <f t="shared" si="0"/>
        <v>2.2908937619214613E-3</v>
      </c>
      <c r="V6" s="4">
        <f t="shared" si="0"/>
        <v>2.2908937619214613E-3</v>
      </c>
      <c r="W6" s="4">
        <f t="shared" si="0"/>
        <v>2.2908937619214613E-3</v>
      </c>
      <c r="X6" s="4">
        <f t="shared" si="0"/>
        <v>2.2908937619214613E-3</v>
      </c>
      <c r="Y6" s="4">
        <f t="shared" si="0"/>
        <v>2.2908937619214613E-3</v>
      </c>
      <c r="Z6" s="4">
        <f t="shared" si="0"/>
        <v>2.2908937619214613E-3</v>
      </c>
      <c r="AA6" s="4">
        <f t="shared" si="0"/>
        <v>2.2908937619214613E-3</v>
      </c>
      <c r="AB6" s="4">
        <f t="shared" si="0"/>
        <v>2.2908937619214613E-3</v>
      </c>
      <c r="AC6" s="4">
        <f t="shared" si="0"/>
        <v>2.2908937619214613E-3</v>
      </c>
      <c r="AD6" s="4">
        <f t="shared" si="0"/>
        <v>2.2908937619214613E-3</v>
      </c>
      <c r="AE6" s="4">
        <f t="shared" si="0"/>
        <v>2.2908937619214613E-3</v>
      </c>
      <c r="AG6" s="4"/>
      <c r="AH6" s="4"/>
    </row>
    <row r="7" spans="1:34">
      <c r="A7" t="s">
        <v>84</v>
      </c>
      <c r="B7" s="4">
        <v>1.8294441155202029E-3</v>
      </c>
      <c r="C7" s="4">
        <f t="shared" si="1"/>
        <v>1.8294441155202029E-3</v>
      </c>
      <c r="D7" s="4">
        <f t="shared" si="0"/>
        <v>1.8294441155202029E-3</v>
      </c>
      <c r="E7" s="4">
        <f t="shared" si="0"/>
        <v>1.8294441155202029E-3</v>
      </c>
      <c r="F7" s="4">
        <f t="shared" si="0"/>
        <v>1.8294441155202029E-3</v>
      </c>
      <c r="G7" s="4">
        <f t="shared" si="0"/>
        <v>1.8294441155202029E-3</v>
      </c>
      <c r="H7" s="4">
        <f t="shared" si="0"/>
        <v>1.8294441155202029E-3</v>
      </c>
      <c r="I7" s="4">
        <f t="shared" si="0"/>
        <v>1.8294441155202029E-3</v>
      </c>
      <c r="J7" s="4">
        <f t="shared" si="0"/>
        <v>1.8294441155202029E-3</v>
      </c>
      <c r="K7" s="4">
        <f t="shared" si="0"/>
        <v>1.8294441155202029E-3</v>
      </c>
      <c r="L7" s="4">
        <f t="shared" si="0"/>
        <v>1.8294441155202029E-3</v>
      </c>
      <c r="M7" s="4">
        <f t="shared" si="0"/>
        <v>1.8294441155202029E-3</v>
      </c>
      <c r="N7" s="4">
        <f t="shared" si="0"/>
        <v>1.8294441155202029E-3</v>
      </c>
      <c r="O7" s="4">
        <f t="shared" si="0"/>
        <v>1.8294441155202029E-3</v>
      </c>
      <c r="P7" s="4">
        <f t="shared" si="0"/>
        <v>1.8294441155202029E-3</v>
      </c>
      <c r="Q7" s="4">
        <f t="shared" si="0"/>
        <v>1.8294441155202029E-3</v>
      </c>
      <c r="R7" s="4">
        <f t="shared" si="0"/>
        <v>1.8294441155202029E-3</v>
      </c>
      <c r="S7" s="4">
        <f t="shared" si="0"/>
        <v>1.8294441155202029E-3</v>
      </c>
      <c r="T7" s="4">
        <f t="shared" si="0"/>
        <v>1.8294441155202029E-3</v>
      </c>
      <c r="U7" s="4">
        <f t="shared" si="0"/>
        <v>1.8294441155202029E-3</v>
      </c>
      <c r="V7" s="4">
        <f t="shared" si="0"/>
        <v>1.8294441155202029E-3</v>
      </c>
      <c r="W7" s="4">
        <f t="shared" si="0"/>
        <v>1.8294441155202029E-3</v>
      </c>
      <c r="X7" s="4">
        <f t="shared" si="0"/>
        <v>1.8294441155202029E-3</v>
      </c>
      <c r="Y7" s="4">
        <f t="shared" si="0"/>
        <v>1.8294441155202029E-3</v>
      </c>
      <c r="Z7" s="4">
        <f t="shared" si="0"/>
        <v>1.8294441155202029E-3</v>
      </c>
      <c r="AA7" s="4">
        <f t="shared" si="0"/>
        <v>1.8294441155202029E-3</v>
      </c>
      <c r="AB7" s="4">
        <f t="shared" si="0"/>
        <v>1.8294441155202029E-3</v>
      </c>
      <c r="AC7" s="4">
        <f t="shared" si="0"/>
        <v>1.8294441155202029E-3</v>
      </c>
      <c r="AD7" s="4">
        <f t="shared" si="0"/>
        <v>1.8294441155202029E-3</v>
      </c>
      <c r="AE7" s="4">
        <f t="shared" si="0"/>
        <v>1.8294441155202029E-3</v>
      </c>
      <c r="AG7" s="4"/>
      <c r="AH7" s="4"/>
    </row>
    <row r="8" spans="1:34">
      <c r="A8" t="s">
        <v>85</v>
      </c>
      <c r="B8" s="4">
        <v>3.099416898298085E-3</v>
      </c>
      <c r="C8" s="4">
        <f t="shared" si="1"/>
        <v>3.099416898298085E-3</v>
      </c>
      <c r="D8" s="4">
        <f t="shared" si="0"/>
        <v>3.099416898298085E-3</v>
      </c>
      <c r="E8" s="4">
        <f t="shared" si="0"/>
        <v>3.099416898298085E-3</v>
      </c>
      <c r="F8" s="4">
        <f t="shared" si="0"/>
        <v>3.099416898298085E-3</v>
      </c>
      <c r="G8" s="4">
        <f t="shared" si="0"/>
        <v>3.099416898298085E-3</v>
      </c>
      <c r="H8" s="4">
        <f t="shared" si="0"/>
        <v>3.099416898298085E-3</v>
      </c>
      <c r="I8" s="4">
        <f t="shared" si="0"/>
        <v>3.099416898298085E-3</v>
      </c>
      <c r="J8" s="4">
        <f t="shared" si="0"/>
        <v>3.099416898298085E-3</v>
      </c>
      <c r="K8" s="4">
        <f t="shared" si="0"/>
        <v>3.099416898298085E-3</v>
      </c>
      <c r="L8" s="4">
        <f t="shared" si="0"/>
        <v>3.099416898298085E-3</v>
      </c>
      <c r="M8" s="4">
        <f t="shared" si="0"/>
        <v>3.099416898298085E-3</v>
      </c>
      <c r="N8" s="4">
        <f t="shared" si="0"/>
        <v>3.099416898298085E-3</v>
      </c>
      <c r="O8" s="4">
        <f t="shared" si="0"/>
        <v>3.099416898298085E-3</v>
      </c>
      <c r="P8" s="4">
        <f t="shared" si="0"/>
        <v>3.099416898298085E-3</v>
      </c>
      <c r="Q8" s="4">
        <f t="shared" si="0"/>
        <v>3.099416898298085E-3</v>
      </c>
      <c r="R8" s="4">
        <f t="shared" si="0"/>
        <v>3.099416898298085E-3</v>
      </c>
      <c r="S8" s="4">
        <f t="shared" si="0"/>
        <v>3.099416898298085E-3</v>
      </c>
      <c r="T8" s="4">
        <f t="shared" si="0"/>
        <v>3.099416898298085E-3</v>
      </c>
      <c r="U8" s="4">
        <f t="shared" si="0"/>
        <v>3.099416898298085E-3</v>
      </c>
      <c r="V8" s="4">
        <f t="shared" si="0"/>
        <v>3.099416898298085E-3</v>
      </c>
      <c r="W8" s="4">
        <f t="shared" si="0"/>
        <v>3.099416898298085E-3</v>
      </c>
      <c r="X8" s="4">
        <f t="shared" si="0"/>
        <v>3.099416898298085E-3</v>
      </c>
      <c r="Y8" s="4">
        <f t="shared" si="0"/>
        <v>3.099416898298085E-3</v>
      </c>
      <c r="Z8" s="4">
        <f t="shared" si="0"/>
        <v>3.099416898298085E-3</v>
      </c>
      <c r="AA8" s="4">
        <f t="shared" si="0"/>
        <v>3.099416898298085E-3</v>
      </c>
      <c r="AB8" s="4">
        <f t="shared" si="0"/>
        <v>3.099416898298085E-3</v>
      </c>
      <c r="AC8" s="4">
        <f t="shared" si="0"/>
        <v>3.099416898298085E-3</v>
      </c>
      <c r="AD8" s="4">
        <f t="shared" si="0"/>
        <v>3.099416898298085E-3</v>
      </c>
      <c r="AE8" s="4">
        <f t="shared" si="0"/>
        <v>3.099416898298085E-3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1.6283396676658034E-3</v>
      </c>
      <c r="C2" s="4">
        <f>B2</f>
        <v>1.6283396676658034E-3</v>
      </c>
      <c r="D2" s="4">
        <f t="shared" ref="D2:AE8" si="0">C2</f>
        <v>1.6283396676658034E-3</v>
      </c>
      <c r="E2" s="4">
        <f t="shared" si="0"/>
        <v>1.6283396676658034E-3</v>
      </c>
      <c r="F2" s="4">
        <f t="shared" si="0"/>
        <v>1.6283396676658034E-3</v>
      </c>
      <c r="G2" s="4">
        <f t="shared" si="0"/>
        <v>1.6283396676658034E-3</v>
      </c>
      <c r="H2" s="4">
        <f t="shared" si="0"/>
        <v>1.6283396676658034E-3</v>
      </c>
      <c r="I2" s="4">
        <f t="shared" si="0"/>
        <v>1.6283396676658034E-3</v>
      </c>
      <c r="J2" s="4">
        <f t="shared" si="0"/>
        <v>1.6283396676658034E-3</v>
      </c>
      <c r="K2" s="4">
        <f t="shared" si="0"/>
        <v>1.6283396676658034E-3</v>
      </c>
      <c r="L2" s="4">
        <f t="shared" si="0"/>
        <v>1.6283396676658034E-3</v>
      </c>
      <c r="M2" s="4">
        <f t="shared" si="0"/>
        <v>1.6283396676658034E-3</v>
      </c>
      <c r="N2" s="4">
        <f t="shared" si="0"/>
        <v>1.6283396676658034E-3</v>
      </c>
      <c r="O2" s="4">
        <f t="shared" si="0"/>
        <v>1.6283396676658034E-3</v>
      </c>
      <c r="P2" s="4">
        <f t="shared" si="0"/>
        <v>1.6283396676658034E-3</v>
      </c>
      <c r="Q2" s="4">
        <f t="shared" si="0"/>
        <v>1.6283396676658034E-3</v>
      </c>
      <c r="R2" s="4">
        <f t="shared" si="0"/>
        <v>1.6283396676658034E-3</v>
      </c>
      <c r="S2" s="4">
        <f t="shared" si="0"/>
        <v>1.6283396676658034E-3</v>
      </c>
      <c r="T2" s="4">
        <f t="shared" si="0"/>
        <v>1.6283396676658034E-3</v>
      </c>
      <c r="U2" s="4">
        <f t="shared" si="0"/>
        <v>1.6283396676658034E-3</v>
      </c>
      <c r="V2" s="4">
        <f t="shared" si="0"/>
        <v>1.6283396676658034E-3</v>
      </c>
      <c r="W2" s="4">
        <f t="shared" si="0"/>
        <v>1.6283396676658034E-3</v>
      </c>
      <c r="X2" s="4">
        <f t="shared" si="0"/>
        <v>1.6283396676658034E-3</v>
      </c>
      <c r="Y2" s="4">
        <f t="shared" si="0"/>
        <v>1.6283396676658034E-3</v>
      </c>
      <c r="Z2" s="4">
        <f t="shared" si="0"/>
        <v>1.6283396676658034E-3</v>
      </c>
      <c r="AA2" s="4">
        <f t="shared" si="0"/>
        <v>1.6283396676658034E-3</v>
      </c>
      <c r="AB2" s="4">
        <f t="shared" si="0"/>
        <v>1.6283396676658034E-3</v>
      </c>
      <c r="AC2" s="4">
        <f t="shared" si="0"/>
        <v>1.6283396676658034E-3</v>
      </c>
      <c r="AD2" s="4">
        <f t="shared" si="0"/>
        <v>1.6283396676658034E-3</v>
      </c>
      <c r="AE2" s="4">
        <f t="shared" si="0"/>
        <v>1.6283396676658034E-3</v>
      </c>
      <c r="AG2" s="4"/>
      <c r="AH2" s="4"/>
    </row>
    <row r="3" spans="1:34">
      <c r="A3" t="s">
        <v>3</v>
      </c>
      <c r="B3" s="4">
        <v>7.7263481523290941E-4</v>
      </c>
      <c r="C3" s="4">
        <f t="shared" ref="C3:C8" si="1">B3</f>
        <v>7.7263481523290941E-4</v>
      </c>
      <c r="D3" s="4">
        <f t="shared" ref="D3:Q3" si="2">C3</f>
        <v>7.7263481523290941E-4</v>
      </c>
      <c r="E3" s="4">
        <f t="shared" si="2"/>
        <v>7.7263481523290941E-4</v>
      </c>
      <c r="F3" s="4">
        <f t="shared" si="2"/>
        <v>7.7263481523290941E-4</v>
      </c>
      <c r="G3" s="4">
        <f t="shared" si="2"/>
        <v>7.7263481523290941E-4</v>
      </c>
      <c r="H3" s="4">
        <f t="shared" si="2"/>
        <v>7.7263481523290941E-4</v>
      </c>
      <c r="I3" s="4">
        <f t="shared" si="2"/>
        <v>7.7263481523290941E-4</v>
      </c>
      <c r="J3" s="4">
        <f t="shared" si="2"/>
        <v>7.7263481523290941E-4</v>
      </c>
      <c r="K3" s="4">
        <f t="shared" si="2"/>
        <v>7.7263481523290941E-4</v>
      </c>
      <c r="L3" s="4">
        <f t="shared" si="2"/>
        <v>7.7263481523290941E-4</v>
      </c>
      <c r="M3" s="4">
        <f t="shared" si="2"/>
        <v>7.7263481523290941E-4</v>
      </c>
      <c r="N3" s="4">
        <f t="shared" si="2"/>
        <v>7.7263481523290941E-4</v>
      </c>
      <c r="O3" s="4">
        <f t="shared" si="2"/>
        <v>7.7263481523290941E-4</v>
      </c>
      <c r="P3" s="4">
        <f t="shared" si="2"/>
        <v>7.7263481523290941E-4</v>
      </c>
      <c r="Q3" s="4">
        <f t="shared" si="2"/>
        <v>7.7263481523290941E-4</v>
      </c>
      <c r="R3" s="4">
        <f t="shared" si="0"/>
        <v>7.7263481523290941E-4</v>
      </c>
      <c r="S3" s="4">
        <f t="shared" si="0"/>
        <v>7.7263481523290941E-4</v>
      </c>
      <c r="T3" s="4">
        <f t="shared" si="0"/>
        <v>7.7263481523290941E-4</v>
      </c>
      <c r="U3" s="4">
        <f t="shared" si="0"/>
        <v>7.7263481523290941E-4</v>
      </c>
      <c r="V3" s="4">
        <f t="shared" si="0"/>
        <v>7.7263481523290941E-4</v>
      </c>
      <c r="W3" s="4">
        <f t="shared" si="0"/>
        <v>7.7263481523290941E-4</v>
      </c>
      <c r="X3" s="4">
        <f t="shared" si="0"/>
        <v>7.7263481523290941E-4</v>
      </c>
      <c r="Y3" s="4">
        <f t="shared" si="0"/>
        <v>7.7263481523290941E-4</v>
      </c>
      <c r="Z3" s="4">
        <f t="shared" si="0"/>
        <v>7.7263481523290941E-4</v>
      </c>
      <c r="AA3" s="4">
        <f t="shared" si="0"/>
        <v>7.7263481523290941E-4</v>
      </c>
      <c r="AB3" s="4">
        <f t="shared" si="0"/>
        <v>7.7263481523290941E-4</v>
      </c>
      <c r="AC3" s="4">
        <f t="shared" si="0"/>
        <v>7.7263481523290941E-4</v>
      </c>
      <c r="AD3" s="4">
        <f t="shared" si="0"/>
        <v>7.7263481523290941E-4</v>
      </c>
      <c r="AE3" s="4">
        <f t="shared" si="0"/>
        <v>7.7263481523290941E-4</v>
      </c>
      <c r="AG3" s="4"/>
      <c r="AH3" s="4"/>
    </row>
    <row r="4" spans="1:34">
      <c r="A4" t="s">
        <v>4</v>
      </c>
      <c r="B4" s="4">
        <v>6.720672001062452E-4</v>
      </c>
      <c r="C4" s="4">
        <f t="shared" si="1"/>
        <v>6.720672001062452E-4</v>
      </c>
      <c r="D4" s="4">
        <f t="shared" si="0"/>
        <v>6.720672001062452E-4</v>
      </c>
      <c r="E4" s="4">
        <f t="shared" si="0"/>
        <v>6.720672001062452E-4</v>
      </c>
      <c r="F4" s="4">
        <f t="shared" si="0"/>
        <v>6.720672001062452E-4</v>
      </c>
      <c r="G4" s="4">
        <f t="shared" si="0"/>
        <v>6.720672001062452E-4</v>
      </c>
      <c r="H4" s="4">
        <f t="shared" si="0"/>
        <v>6.720672001062452E-4</v>
      </c>
      <c r="I4" s="4">
        <f t="shared" si="0"/>
        <v>6.720672001062452E-4</v>
      </c>
      <c r="J4" s="4">
        <f t="shared" si="0"/>
        <v>6.720672001062452E-4</v>
      </c>
      <c r="K4" s="4">
        <f t="shared" si="0"/>
        <v>6.720672001062452E-4</v>
      </c>
      <c r="L4" s="4">
        <f t="shared" si="0"/>
        <v>6.720672001062452E-4</v>
      </c>
      <c r="M4" s="4">
        <f t="shared" si="0"/>
        <v>6.720672001062452E-4</v>
      </c>
      <c r="N4" s="4">
        <f t="shared" si="0"/>
        <v>6.720672001062452E-4</v>
      </c>
      <c r="O4" s="4">
        <f t="shared" si="0"/>
        <v>6.720672001062452E-4</v>
      </c>
      <c r="P4" s="4">
        <f t="shared" si="0"/>
        <v>6.720672001062452E-4</v>
      </c>
      <c r="Q4" s="4">
        <f t="shared" si="0"/>
        <v>6.720672001062452E-4</v>
      </c>
      <c r="R4" s="4">
        <f t="shared" si="0"/>
        <v>6.720672001062452E-4</v>
      </c>
      <c r="S4" s="4">
        <f t="shared" si="0"/>
        <v>6.720672001062452E-4</v>
      </c>
      <c r="T4" s="4">
        <f t="shared" si="0"/>
        <v>6.720672001062452E-4</v>
      </c>
      <c r="U4" s="4">
        <f t="shared" si="0"/>
        <v>6.720672001062452E-4</v>
      </c>
      <c r="V4" s="4">
        <f t="shared" si="0"/>
        <v>6.720672001062452E-4</v>
      </c>
      <c r="W4" s="4">
        <f t="shared" si="0"/>
        <v>6.720672001062452E-4</v>
      </c>
      <c r="X4" s="4">
        <f t="shared" si="0"/>
        <v>6.720672001062452E-4</v>
      </c>
      <c r="Y4" s="4">
        <f t="shared" si="0"/>
        <v>6.720672001062452E-4</v>
      </c>
      <c r="Z4" s="4">
        <f t="shared" si="0"/>
        <v>6.720672001062452E-4</v>
      </c>
      <c r="AA4" s="4">
        <f t="shared" si="0"/>
        <v>6.720672001062452E-4</v>
      </c>
      <c r="AB4" s="4">
        <f t="shared" si="0"/>
        <v>6.720672001062452E-4</v>
      </c>
      <c r="AC4" s="4">
        <f t="shared" si="0"/>
        <v>6.720672001062452E-4</v>
      </c>
      <c r="AD4" s="4">
        <f t="shared" si="0"/>
        <v>6.720672001062452E-4</v>
      </c>
      <c r="AE4" s="4">
        <f t="shared" si="0"/>
        <v>6.720672001062452E-4</v>
      </c>
      <c r="AG4" s="4"/>
      <c r="AH4" s="4"/>
    </row>
    <row r="5" spans="1:34">
      <c r="A5" t="s">
        <v>5</v>
      </c>
      <c r="B5" s="4">
        <v>7.5059325437243547E-4</v>
      </c>
      <c r="C5" s="4">
        <f t="shared" si="1"/>
        <v>7.5059325437243547E-4</v>
      </c>
      <c r="D5" s="4">
        <f t="shared" si="0"/>
        <v>7.5059325437243547E-4</v>
      </c>
      <c r="E5" s="4">
        <f t="shared" si="0"/>
        <v>7.5059325437243547E-4</v>
      </c>
      <c r="F5" s="4">
        <f t="shared" si="0"/>
        <v>7.5059325437243547E-4</v>
      </c>
      <c r="G5" s="4">
        <f t="shared" si="0"/>
        <v>7.5059325437243547E-4</v>
      </c>
      <c r="H5" s="4">
        <f t="shared" si="0"/>
        <v>7.5059325437243547E-4</v>
      </c>
      <c r="I5" s="4">
        <f t="shared" si="0"/>
        <v>7.5059325437243547E-4</v>
      </c>
      <c r="J5" s="4">
        <f t="shared" si="0"/>
        <v>7.5059325437243547E-4</v>
      </c>
      <c r="K5" s="4">
        <f t="shared" si="0"/>
        <v>7.5059325437243547E-4</v>
      </c>
      <c r="L5" s="4">
        <f t="shared" si="0"/>
        <v>7.5059325437243547E-4</v>
      </c>
      <c r="M5" s="4">
        <f t="shared" si="0"/>
        <v>7.5059325437243547E-4</v>
      </c>
      <c r="N5" s="4">
        <f t="shared" si="0"/>
        <v>7.5059325437243547E-4</v>
      </c>
      <c r="O5" s="4">
        <f t="shared" si="0"/>
        <v>7.5059325437243547E-4</v>
      </c>
      <c r="P5" s="4">
        <f t="shared" si="0"/>
        <v>7.5059325437243547E-4</v>
      </c>
      <c r="Q5" s="4">
        <f t="shared" si="0"/>
        <v>7.5059325437243547E-4</v>
      </c>
      <c r="R5" s="4">
        <f t="shared" si="0"/>
        <v>7.5059325437243547E-4</v>
      </c>
      <c r="S5" s="4">
        <f t="shared" si="0"/>
        <v>7.5059325437243547E-4</v>
      </c>
      <c r="T5" s="4">
        <f t="shared" si="0"/>
        <v>7.5059325437243547E-4</v>
      </c>
      <c r="U5" s="4">
        <f t="shared" si="0"/>
        <v>7.5059325437243547E-4</v>
      </c>
      <c r="V5" s="4">
        <f t="shared" si="0"/>
        <v>7.5059325437243547E-4</v>
      </c>
      <c r="W5" s="4">
        <f t="shared" si="0"/>
        <v>7.5059325437243547E-4</v>
      </c>
      <c r="X5" s="4">
        <f t="shared" si="0"/>
        <v>7.5059325437243547E-4</v>
      </c>
      <c r="Y5" s="4">
        <f t="shared" si="0"/>
        <v>7.5059325437243547E-4</v>
      </c>
      <c r="Z5" s="4">
        <f t="shared" si="0"/>
        <v>7.5059325437243547E-4</v>
      </c>
      <c r="AA5" s="4">
        <f t="shared" si="0"/>
        <v>7.5059325437243547E-4</v>
      </c>
      <c r="AB5" s="4">
        <f t="shared" si="0"/>
        <v>7.5059325437243547E-4</v>
      </c>
      <c r="AC5" s="4">
        <f t="shared" si="0"/>
        <v>7.5059325437243547E-4</v>
      </c>
      <c r="AD5" s="4">
        <f t="shared" si="0"/>
        <v>7.5059325437243547E-4</v>
      </c>
      <c r="AE5" s="4">
        <f t="shared" si="0"/>
        <v>7.5059325437243547E-4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6.8755018426906603E-4</v>
      </c>
      <c r="C7" s="4">
        <f t="shared" si="1"/>
        <v>6.8755018426906603E-4</v>
      </c>
      <c r="D7" s="4">
        <f t="shared" si="0"/>
        <v>6.8755018426906603E-4</v>
      </c>
      <c r="E7" s="4">
        <f t="shared" si="0"/>
        <v>6.8755018426906603E-4</v>
      </c>
      <c r="F7" s="4">
        <f t="shared" si="0"/>
        <v>6.8755018426906603E-4</v>
      </c>
      <c r="G7" s="4">
        <f t="shared" si="0"/>
        <v>6.8755018426906603E-4</v>
      </c>
      <c r="H7" s="4">
        <f t="shared" si="0"/>
        <v>6.8755018426906603E-4</v>
      </c>
      <c r="I7" s="4">
        <f t="shared" si="0"/>
        <v>6.8755018426906603E-4</v>
      </c>
      <c r="J7" s="4">
        <f t="shared" si="0"/>
        <v>6.8755018426906603E-4</v>
      </c>
      <c r="K7" s="4">
        <f t="shared" si="0"/>
        <v>6.8755018426906603E-4</v>
      </c>
      <c r="L7" s="4">
        <f t="shared" si="0"/>
        <v>6.8755018426906603E-4</v>
      </c>
      <c r="M7" s="4">
        <f t="shared" si="0"/>
        <v>6.8755018426906603E-4</v>
      </c>
      <c r="N7" s="4">
        <f t="shared" si="0"/>
        <v>6.8755018426906603E-4</v>
      </c>
      <c r="O7" s="4">
        <f t="shared" si="0"/>
        <v>6.8755018426906603E-4</v>
      </c>
      <c r="P7" s="4">
        <f t="shared" si="0"/>
        <v>6.8755018426906603E-4</v>
      </c>
      <c r="Q7" s="4">
        <f t="shared" si="0"/>
        <v>6.8755018426906603E-4</v>
      </c>
      <c r="R7" s="4">
        <f t="shared" si="0"/>
        <v>6.8755018426906603E-4</v>
      </c>
      <c r="S7" s="4">
        <f t="shared" si="0"/>
        <v>6.8755018426906603E-4</v>
      </c>
      <c r="T7" s="4">
        <f t="shared" si="0"/>
        <v>6.8755018426906603E-4</v>
      </c>
      <c r="U7" s="4">
        <f t="shared" si="0"/>
        <v>6.8755018426906603E-4</v>
      </c>
      <c r="V7" s="4">
        <f t="shared" si="0"/>
        <v>6.8755018426906603E-4</v>
      </c>
      <c r="W7" s="4">
        <f t="shared" si="0"/>
        <v>6.8755018426906603E-4</v>
      </c>
      <c r="X7" s="4">
        <f t="shared" si="0"/>
        <v>6.8755018426906603E-4</v>
      </c>
      <c r="Y7" s="4">
        <f t="shared" si="0"/>
        <v>6.8755018426906603E-4</v>
      </c>
      <c r="Z7" s="4">
        <f t="shared" si="0"/>
        <v>6.8755018426906603E-4</v>
      </c>
      <c r="AA7" s="4">
        <f t="shared" si="0"/>
        <v>6.8755018426906603E-4</v>
      </c>
      <c r="AB7" s="4">
        <f t="shared" si="0"/>
        <v>6.8755018426906603E-4</v>
      </c>
      <c r="AC7" s="4">
        <f t="shared" si="0"/>
        <v>6.8755018426906603E-4</v>
      </c>
      <c r="AD7" s="4">
        <f t="shared" si="0"/>
        <v>6.8755018426906603E-4</v>
      </c>
      <c r="AE7" s="4">
        <f t="shared" si="0"/>
        <v>6.8755018426906603E-4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5"/>
  <cols>
    <col min="1" max="1" width="31.140625" customWidth="1"/>
    <col min="2" max="2" width="21.28515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1.0732148425526729E-3</v>
      </c>
      <c r="C2" s="4">
        <f>C$5/(1-'Other Values'!$B$3)</f>
        <v>1.085952251127532E-3</v>
      </c>
      <c r="D2" s="4">
        <f>D$5/(1-'Other Values'!$B$3)</f>
        <v>1.0986896597023912E-3</v>
      </c>
      <c r="E2" s="4">
        <f>E$5/(1-'Other Values'!$B$3)</f>
        <v>1.1114270682772503E-3</v>
      </c>
      <c r="F2" s="4">
        <f>F$5/(1-'Other Values'!$B$3)</f>
        <v>1.1241644768521094E-3</v>
      </c>
      <c r="G2" s="4">
        <f>G$5/(1-'Other Values'!$B$3)</f>
        <v>1.1369018854269686E-3</v>
      </c>
      <c r="H2" s="4">
        <f>H$5/(1-'Other Values'!$B$3)</f>
        <v>1.1496392940018279E-3</v>
      </c>
      <c r="I2" s="4">
        <f>I$5/(1-'Other Values'!$B$3)</f>
        <v>1.1623767025766871E-3</v>
      </c>
      <c r="J2" s="4">
        <f>J$5/(1-'Other Values'!$B$3)</f>
        <v>1.1751141111515462E-3</v>
      </c>
      <c r="K2" s="4">
        <f>K$5/(1-'Other Values'!$B$3)</f>
        <v>1.1878515197264053E-3</v>
      </c>
      <c r="L2" s="4">
        <f>L$5/(1-'Other Values'!$B$3)</f>
        <v>1.2005889283012645E-3</v>
      </c>
      <c r="M2" s="4">
        <f>M$5/(1-'Other Values'!$B$3)</f>
        <v>1.2133263368761238E-3</v>
      </c>
      <c r="N2" s="4">
        <f>N$5/(1-'Other Values'!$B$3)</f>
        <v>1.226063745450983E-3</v>
      </c>
      <c r="O2" s="4">
        <f>O$5/(1-'Other Values'!$B$3)</f>
        <v>1.2388011540258421E-3</v>
      </c>
      <c r="P2" s="4">
        <f>P$5/(1-'Other Values'!$B$3)</f>
        <v>1.2515385626007012E-3</v>
      </c>
      <c r="Q2" s="4">
        <f>Q$5/(1-'Other Values'!$B$3)</f>
        <v>1.2642759711755604E-3</v>
      </c>
      <c r="R2" s="4">
        <f>R$5/(1-'Other Values'!$B$3)</f>
        <v>1.2770133797504195E-3</v>
      </c>
      <c r="S2" s="4">
        <f>S$5/(1-'Other Values'!$B$3)</f>
        <v>1.2897507883252843E-3</v>
      </c>
      <c r="T2" s="4">
        <f>T$5/(1-'Other Values'!$B$3)</f>
        <v>1.3024881969001436E-3</v>
      </c>
      <c r="U2" s="4">
        <f>U$5/(1-'Other Values'!$B$3)</f>
        <v>1.3152256054750028E-3</v>
      </c>
      <c r="V2" s="4">
        <f>V$5/(1-'Other Values'!$B$3)</f>
        <v>1.3279630140498619E-3</v>
      </c>
      <c r="W2" s="4">
        <f>W$5/(1-'Other Values'!$B$3)</f>
        <v>1.340700422624721E-3</v>
      </c>
      <c r="X2" s="4">
        <f>X$5/(1-'Other Values'!$B$3)</f>
        <v>1.3534378311995802E-3</v>
      </c>
      <c r="Y2" s="4">
        <f>Y$5/(1-'Other Values'!$B$3)</f>
        <v>1.3661752397744393E-3</v>
      </c>
      <c r="Z2" s="4">
        <f>Z$5/(1-'Other Values'!$B$3)</f>
        <v>1.3789126483492987E-3</v>
      </c>
      <c r="AA2" s="4">
        <f>AA$5/(1-'Other Values'!$B$3)</f>
        <v>1.3916500569241578E-3</v>
      </c>
      <c r="AB2" s="4">
        <f>AB$5/(1-'Other Values'!$B$3)</f>
        <v>1.412532498853853E-3</v>
      </c>
      <c r="AC2" s="4">
        <f>AC$5/(1-'Other Values'!$B$3)</f>
        <v>1.4257120259228021E-3</v>
      </c>
      <c r="AD2" s="4">
        <f>AD$5/(1-'Other Values'!$B$3)</f>
        <v>1.4331211603446675E-3</v>
      </c>
      <c r="AE2" s="4">
        <f>AE$5/(1-'Other Values'!$B$3)</f>
        <v>1.4438595175160014E-3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>
        <f>Extrapolations!Q6</f>
        <v>3.3397333498517805E-4</v>
      </c>
      <c r="C5" s="4">
        <f>Extrapolations!R6</f>
        <v>3.3793708450870902E-4</v>
      </c>
      <c r="D5" s="4">
        <f>Extrapolations!S6</f>
        <v>3.4190083403223999E-4</v>
      </c>
      <c r="E5" s="4">
        <f>Extrapolations!T6</f>
        <v>3.4586458355577096E-4</v>
      </c>
      <c r="F5" s="4">
        <f>Extrapolations!U6</f>
        <v>3.4982833307930193E-4</v>
      </c>
      <c r="G5" s="4">
        <f>Extrapolations!V6</f>
        <v>3.537920826028329E-4</v>
      </c>
      <c r="H5" s="4">
        <f>Extrapolations!W6</f>
        <v>3.5775583212636387E-4</v>
      </c>
      <c r="I5" s="4">
        <f>Extrapolations!X6</f>
        <v>3.6171958164989484E-4</v>
      </c>
      <c r="J5" s="4">
        <f>Extrapolations!Y6</f>
        <v>3.6568333117342582E-4</v>
      </c>
      <c r="K5" s="4">
        <f>Extrapolations!Z6</f>
        <v>3.6964708069695679E-4</v>
      </c>
      <c r="L5" s="4">
        <f>Extrapolations!AA6</f>
        <v>3.7361083022048776E-4</v>
      </c>
      <c r="M5" s="4">
        <f>Extrapolations!AB6</f>
        <v>3.7757457974401873E-4</v>
      </c>
      <c r="N5" s="4">
        <f>Extrapolations!AC6</f>
        <v>3.815383292675497E-4</v>
      </c>
      <c r="O5" s="4">
        <f>Extrapolations!AD6</f>
        <v>3.8550207879108067E-4</v>
      </c>
      <c r="P5" s="4">
        <f>Extrapolations!AE6</f>
        <v>3.8946582831461164E-4</v>
      </c>
      <c r="Q5" s="4">
        <f>Extrapolations!AF6</f>
        <v>3.9342957783814261E-4</v>
      </c>
      <c r="R5" s="4">
        <f>Extrapolations!AG6</f>
        <v>3.9739332736167358E-4</v>
      </c>
      <c r="S5" s="4">
        <f>Extrapolations!AH6</f>
        <v>4.0135707688520629E-4</v>
      </c>
      <c r="T5" s="4">
        <f>Extrapolations!AI6</f>
        <v>4.0532082640873726E-4</v>
      </c>
      <c r="U5" s="4">
        <f>Extrapolations!AJ6</f>
        <v>4.0928457593226823E-4</v>
      </c>
      <c r="V5" s="4">
        <f>Extrapolations!AK6</f>
        <v>4.132483254557992E-4</v>
      </c>
      <c r="W5" s="4">
        <f>Extrapolations!AL6</f>
        <v>4.1721207497933017E-4</v>
      </c>
      <c r="X5" s="4">
        <f>Extrapolations!AM6</f>
        <v>4.2117582450286115E-4</v>
      </c>
      <c r="Y5" s="4">
        <f>Extrapolations!AN6</f>
        <v>4.2513957402639212E-4</v>
      </c>
      <c r="Z5" s="4">
        <f>Extrapolations!AO6</f>
        <v>4.2910332354992309E-4</v>
      </c>
      <c r="AA5" s="4">
        <f>Extrapolations!AP6</f>
        <v>4.3306707307345406E-4</v>
      </c>
      <c r="AB5" s="4">
        <f>Extrapolations!AQ6</f>
        <v>4.3956547255263602E-4</v>
      </c>
      <c r="AC5" s="4">
        <f>Extrapolations!AR6</f>
        <v>4.4366680476890972E-4</v>
      </c>
      <c r="AD5" s="4">
        <f>Extrapolations!AS6</f>
        <v>4.4597245060431232E-4</v>
      </c>
      <c r="AE5" s="4">
        <f>Extrapolations!AT6</f>
        <v>4.4931411605150481E-4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1.0019200049555339E-3</v>
      </c>
      <c r="C8" s="4">
        <f>C$5*Calculations!$B$27</f>
        <v>1.0138112535261268E-3</v>
      </c>
      <c r="D8" s="4">
        <f>D$5*Calculations!$B$27</f>
        <v>1.0257025020967198E-3</v>
      </c>
      <c r="E8" s="4">
        <f>E$5*Calculations!$B$27</f>
        <v>1.0375937506673127E-3</v>
      </c>
      <c r="F8" s="4">
        <f>F$5*Calculations!$B$27</f>
        <v>1.0494849992379056E-3</v>
      </c>
      <c r="G8" s="4">
        <f>G$5*Calculations!$B$27</f>
        <v>1.0613762478084985E-3</v>
      </c>
      <c r="H8" s="4">
        <f>H$5*Calculations!$B$27</f>
        <v>1.0732674963790914E-3</v>
      </c>
      <c r="I8" s="4">
        <f>I$5*Calculations!$B$27</f>
        <v>1.0851587449496843E-3</v>
      </c>
      <c r="J8" s="4">
        <f>J$5*Calculations!$B$27</f>
        <v>1.0970499935202772E-3</v>
      </c>
      <c r="K8" s="4">
        <f>K$5*Calculations!$B$27</f>
        <v>1.1089412420908701E-3</v>
      </c>
      <c r="L8" s="4">
        <f>L$5*Calculations!$B$27</f>
        <v>1.1208324906614631E-3</v>
      </c>
      <c r="M8" s="4">
        <f>M$5*Calculations!$B$27</f>
        <v>1.132723739232056E-3</v>
      </c>
      <c r="N8" s="4">
        <f>N$5*Calculations!$B$27</f>
        <v>1.1446149878026489E-3</v>
      </c>
      <c r="O8" s="4">
        <f>O$5*Calculations!$B$27</f>
        <v>1.1565062363732418E-3</v>
      </c>
      <c r="P8" s="4">
        <f>P$5*Calculations!$B$27</f>
        <v>1.1683974849438347E-3</v>
      </c>
      <c r="Q8" s="4">
        <f>Q$5*Calculations!$B$27</f>
        <v>1.1802887335144276E-3</v>
      </c>
      <c r="R8" s="4">
        <f>R$5*Calculations!$B$27</f>
        <v>1.1921799820850205E-3</v>
      </c>
      <c r="S8" s="4">
        <f>S$5*Calculations!$B$27</f>
        <v>1.2040712306556187E-3</v>
      </c>
      <c r="T8" s="4">
        <f>T$5*Calculations!$B$27</f>
        <v>1.2159624792262116E-3</v>
      </c>
      <c r="U8" s="4">
        <f>U$5*Calculations!$B$27</f>
        <v>1.2278537277968045E-3</v>
      </c>
      <c r="V8" s="4">
        <f>V$5*Calculations!$B$27</f>
        <v>1.2397449763673974E-3</v>
      </c>
      <c r="W8" s="4">
        <f>W$5*Calculations!$B$27</f>
        <v>1.2516362249379903E-3</v>
      </c>
      <c r="X8" s="4">
        <f>X$5*Calculations!$B$27</f>
        <v>1.2635274735085832E-3</v>
      </c>
      <c r="Y8" s="4">
        <f>Y$5*Calculations!$B$27</f>
        <v>1.2754187220791761E-3</v>
      </c>
      <c r="Z8" s="4">
        <f>Z$5*Calculations!$B$27</f>
        <v>1.287309970649769E-3</v>
      </c>
      <c r="AA8" s="4">
        <f>AA$5*Calculations!$B$27</f>
        <v>1.299201219220362E-3</v>
      </c>
      <c r="AB8" s="4">
        <f>AB$5*Calculations!$B$27</f>
        <v>1.3186964176579079E-3</v>
      </c>
      <c r="AC8" s="4">
        <f>AC$5*Calculations!$B$27</f>
        <v>1.331000414306729E-3</v>
      </c>
      <c r="AD8" s="4">
        <f>AD$5*Calculations!$B$27</f>
        <v>1.3379173518129367E-3</v>
      </c>
      <c r="AE8" s="4">
        <f>AE$5*Calculations!$B$27</f>
        <v>1.3479423481545143E-3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5.8561886167132651E-4</v>
      </c>
      <c r="C2" s="4">
        <f>C$5/(1-'Other Values'!$B$3)</f>
        <v>5.8561886167132651E-4</v>
      </c>
      <c r="D2" s="4">
        <f>D$5/(1-'Other Values'!$B$3)</f>
        <v>5.8561886167132651E-4</v>
      </c>
      <c r="E2" s="4">
        <f>E$5/(1-'Other Values'!$B$3)</f>
        <v>5.8561886167132651E-4</v>
      </c>
      <c r="F2" s="4">
        <f>F$5/(1-'Other Values'!$B$3)</f>
        <v>5.8561886167132651E-4</v>
      </c>
      <c r="G2" s="4">
        <f>G$5/(1-'Other Values'!$B$3)</f>
        <v>5.8561886167132651E-4</v>
      </c>
      <c r="H2" s="4">
        <f>H$5/(1-'Other Values'!$B$3)</f>
        <v>5.8561886167132651E-4</v>
      </c>
      <c r="I2" s="4">
        <f>I$5/(1-'Other Values'!$B$3)</f>
        <v>5.8561886167132651E-4</v>
      </c>
      <c r="J2" s="4">
        <f>J$5/(1-'Other Values'!$B$3)</f>
        <v>5.8561886167132651E-4</v>
      </c>
      <c r="K2" s="4">
        <f>K$5/(1-'Other Values'!$B$3)</f>
        <v>5.8561886167132651E-4</v>
      </c>
      <c r="L2" s="4">
        <f>L$5/(1-'Other Values'!$B$3)</f>
        <v>5.8561886167132651E-4</v>
      </c>
      <c r="M2" s="4">
        <f>M$5/(1-'Other Values'!$B$3)</f>
        <v>5.8561886167132651E-4</v>
      </c>
      <c r="N2" s="4">
        <f>N$5/(1-'Other Values'!$B$3)</f>
        <v>5.8561886167132651E-4</v>
      </c>
      <c r="O2" s="4">
        <f>O$5/(1-'Other Values'!$B$3)</f>
        <v>5.8561886167132651E-4</v>
      </c>
      <c r="P2" s="4">
        <f>P$5/(1-'Other Values'!$B$3)</f>
        <v>5.8561886167132651E-4</v>
      </c>
      <c r="Q2" s="4">
        <f>Q$5/(1-'Other Values'!$B$3)</f>
        <v>5.8561886167132651E-4</v>
      </c>
      <c r="R2" s="4">
        <f>R$5/(1-'Other Values'!$B$3)</f>
        <v>5.8561886167132651E-4</v>
      </c>
      <c r="S2" s="4">
        <f>S$5/(1-'Other Values'!$B$3)</f>
        <v>5.8561886167132651E-4</v>
      </c>
      <c r="T2" s="4">
        <f>T$5/(1-'Other Values'!$B$3)</f>
        <v>5.8561886167132651E-4</v>
      </c>
      <c r="U2" s="4">
        <f>U$5/(1-'Other Values'!$B$3)</f>
        <v>5.8561886167132651E-4</v>
      </c>
      <c r="V2" s="4">
        <f>V$5/(1-'Other Values'!$B$3)</f>
        <v>5.8561886167132651E-4</v>
      </c>
      <c r="W2" s="4">
        <f>W$5/(1-'Other Values'!$B$3)</f>
        <v>5.8561886167132651E-4</v>
      </c>
      <c r="X2" s="4">
        <f>X$5/(1-'Other Values'!$B$3)</f>
        <v>5.8561886167132651E-4</v>
      </c>
      <c r="Y2" s="4">
        <f>Y$5/(1-'Other Values'!$B$3)</f>
        <v>5.8561886167132651E-4</v>
      </c>
      <c r="Z2" s="4">
        <f>Z$5/(1-'Other Values'!$B$3)</f>
        <v>5.8561886167132651E-4</v>
      </c>
      <c r="AA2" s="4">
        <f>AA$5/(1-'Other Values'!$B$3)</f>
        <v>5.8561886167132651E-4</v>
      </c>
      <c r="AB2" s="4">
        <f>AB$5/(1-'Other Values'!$B$3)</f>
        <v>5.8561886167132651E-4</v>
      </c>
      <c r="AC2" s="4">
        <f>AC$5/(1-'Other Values'!$B$3)</f>
        <v>5.8561886167132651E-4</v>
      </c>
      <c r="AD2" s="4">
        <f>AD$5/(1-'Other Values'!$B$3)</f>
        <v>5.8561886167132651E-4</v>
      </c>
      <c r="AE2" s="4">
        <f>AE$5/(1-'Other Values'!$B$3)</f>
        <v>5.8561886167132651E-4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1.8223851973329149E-4</v>
      </c>
      <c r="C5" s="4">
        <f>Extrapolations!R7</f>
        <v>1.8223851973329149E-4</v>
      </c>
      <c r="D5" s="4">
        <f>Extrapolations!S7</f>
        <v>1.8223851973329149E-4</v>
      </c>
      <c r="E5" s="4">
        <f>Extrapolations!T7</f>
        <v>1.8223851973329149E-4</v>
      </c>
      <c r="F5" s="4">
        <f>Extrapolations!U7</f>
        <v>1.8223851973329149E-4</v>
      </c>
      <c r="G5" s="4">
        <f>Extrapolations!V7</f>
        <v>1.8223851973329149E-4</v>
      </c>
      <c r="H5" s="4">
        <f>Extrapolations!W7</f>
        <v>1.8223851973329149E-4</v>
      </c>
      <c r="I5" s="4">
        <f>Extrapolations!X7</f>
        <v>1.8223851973329149E-4</v>
      </c>
      <c r="J5" s="4">
        <f>Extrapolations!Y7</f>
        <v>1.8223851973329149E-4</v>
      </c>
      <c r="K5" s="4">
        <f>Extrapolations!Z7</f>
        <v>1.8223851973329149E-4</v>
      </c>
      <c r="L5" s="4">
        <f>Extrapolations!AA7</f>
        <v>1.8223851973329149E-4</v>
      </c>
      <c r="M5" s="4">
        <f>Extrapolations!AB7</f>
        <v>1.8223851973329149E-4</v>
      </c>
      <c r="N5" s="4">
        <f>Extrapolations!AC7</f>
        <v>1.8223851973329149E-4</v>
      </c>
      <c r="O5" s="4">
        <f>Extrapolations!AD7</f>
        <v>1.8223851973329149E-4</v>
      </c>
      <c r="P5" s="4">
        <f>Extrapolations!AE7</f>
        <v>1.8223851973329149E-4</v>
      </c>
      <c r="Q5" s="4">
        <f>Extrapolations!AF7</f>
        <v>1.8223851973329149E-4</v>
      </c>
      <c r="R5" s="4">
        <f>Extrapolations!AG7</f>
        <v>1.8223851973329149E-4</v>
      </c>
      <c r="S5" s="4">
        <f>Extrapolations!AH7</f>
        <v>1.8223851973329149E-4</v>
      </c>
      <c r="T5" s="4">
        <f>Extrapolations!AI7</f>
        <v>1.8223851973329149E-4</v>
      </c>
      <c r="U5" s="4">
        <f>Extrapolations!AJ7</f>
        <v>1.8223851973329149E-4</v>
      </c>
      <c r="V5" s="4">
        <f>Extrapolations!AK7</f>
        <v>1.8223851973329149E-4</v>
      </c>
      <c r="W5" s="4">
        <f>Extrapolations!AL7</f>
        <v>1.8223851973329149E-4</v>
      </c>
      <c r="X5" s="4">
        <f>Extrapolations!AM7</f>
        <v>1.8223851973329149E-4</v>
      </c>
      <c r="Y5" s="4">
        <f>Extrapolations!AN7</f>
        <v>1.8223851973329149E-4</v>
      </c>
      <c r="Z5" s="4">
        <f>Extrapolations!AO7</f>
        <v>1.8223851973329149E-4</v>
      </c>
      <c r="AA5" s="4">
        <f>Extrapolations!AP7</f>
        <v>1.8223851973329149E-4</v>
      </c>
      <c r="AB5" s="4">
        <f>Extrapolations!AQ7</f>
        <v>1.8223851973329149E-4</v>
      </c>
      <c r="AC5" s="4">
        <f>Extrapolations!AR7</f>
        <v>1.8223851973329149E-4</v>
      </c>
      <c r="AD5" s="4">
        <f>Extrapolations!AS7</f>
        <v>1.8223851973329149E-4</v>
      </c>
      <c r="AE5" s="4">
        <f>Extrapolations!AT7</f>
        <v>1.8223851973329149E-4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5.4671555919987437E-4</v>
      </c>
      <c r="C8" s="4">
        <f>C$5*Calculations!$B$27</f>
        <v>5.4671555919987437E-4</v>
      </c>
      <c r="D8" s="4">
        <f>D$5*Calculations!$B$27</f>
        <v>5.4671555919987437E-4</v>
      </c>
      <c r="E8" s="4">
        <f>E$5*Calculations!$B$27</f>
        <v>5.4671555919987437E-4</v>
      </c>
      <c r="F8" s="4">
        <f>F$5*Calculations!$B$27</f>
        <v>5.4671555919987437E-4</v>
      </c>
      <c r="G8" s="4">
        <f>G$5*Calculations!$B$27</f>
        <v>5.4671555919987437E-4</v>
      </c>
      <c r="H8" s="4">
        <f>H$5*Calculations!$B$27</f>
        <v>5.4671555919987437E-4</v>
      </c>
      <c r="I8" s="4">
        <f>I$5*Calculations!$B$27</f>
        <v>5.4671555919987437E-4</v>
      </c>
      <c r="J8" s="4">
        <f>J$5*Calculations!$B$27</f>
        <v>5.4671555919987437E-4</v>
      </c>
      <c r="K8" s="4">
        <f>K$5*Calculations!$B$27</f>
        <v>5.4671555919987437E-4</v>
      </c>
      <c r="L8" s="4">
        <f>L$5*Calculations!$B$27</f>
        <v>5.4671555919987437E-4</v>
      </c>
      <c r="M8" s="4">
        <f>M$5*Calculations!$B$27</f>
        <v>5.4671555919987437E-4</v>
      </c>
      <c r="N8" s="4">
        <f>N$5*Calculations!$B$27</f>
        <v>5.4671555919987437E-4</v>
      </c>
      <c r="O8" s="4">
        <f>O$5*Calculations!$B$27</f>
        <v>5.4671555919987437E-4</v>
      </c>
      <c r="P8" s="4">
        <f>P$5*Calculations!$B$27</f>
        <v>5.4671555919987437E-4</v>
      </c>
      <c r="Q8" s="4">
        <f>Q$5*Calculations!$B$27</f>
        <v>5.4671555919987437E-4</v>
      </c>
      <c r="R8" s="4">
        <f>R$5*Calculations!$B$27</f>
        <v>5.4671555919987437E-4</v>
      </c>
      <c r="S8" s="4">
        <f>S$5*Calculations!$B$27</f>
        <v>5.4671555919987437E-4</v>
      </c>
      <c r="T8" s="4">
        <f>T$5*Calculations!$B$27</f>
        <v>5.4671555919987437E-4</v>
      </c>
      <c r="U8" s="4">
        <f>U$5*Calculations!$B$27</f>
        <v>5.4671555919987437E-4</v>
      </c>
      <c r="V8" s="4">
        <f>V$5*Calculations!$B$27</f>
        <v>5.4671555919987437E-4</v>
      </c>
      <c r="W8" s="4">
        <f>W$5*Calculations!$B$27</f>
        <v>5.4671555919987437E-4</v>
      </c>
      <c r="X8" s="4">
        <f>X$5*Calculations!$B$27</f>
        <v>5.4671555919987437E-4</v>
      </c>
      <c r="Y8" s="4">
        <f>Y$5*Calculations!$B$27</f>
        <v>5.4671555919987437E-4</v>
      </c>
      <c r="Z8" s="4">
        <f>Z$5*Calculations!$B$27</f>
        <v>5.4671555919987437E-4</v>
      </c>
      <c r="AA8" s="4">
        <f>AA$5*Calculations!$B$27</f>
        <v>5.4671555919987437E-4</v>
      </c>
      <c r="AB8" s="4">
        <f>AB$5*Calculations!$B$27</f>
        <v>5.4671555919987437E-4</v>
      </c>
      <c r="AC8" s="4">
        <f>AC$5*Calculations!$B$27</f>
        <v>5.4671555919987437E-4</v>
      </c>
      <c r="AD8" s="4">
        <f>AD$5*Calculations!$B$27</f>
        <v>5.4671555919987437E-4</v>
      </c>
      <c r="AE8" s="4">
        <f>AE$5*Calculations!$B$27</f>
        <v>5.4671555919987437E-4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6.7428486606874269E-4</v>
      </c>
      <c r="C2" s="4">
        <f>Extrapolations!H9</f>
        <v>6.7428486606874269E-4</v>
      </c>
      <c r="D2" s="4">
        <f>Extrapolations!I9</f>
        <v>6.7428486606874269E-4</v>
      </c>
      <c r="E2" s="4">
        <f>Extrapolations!J9</f>
        <v>6.7428486606874269E-4</v>
      </c>
      <c r="F2" s="4">
        <f>Extrapolations!K9</f>
        <v>6.7428486606874269E-4</v>
      </c>
      <c r="G2" s="4">
        <f>Extrapolations!L9</f>
        <v>6.7428486606874269E-4</v>
      </c>
      <c r="H2" s="4">
        <f>Extrapolations!M9</f>
        <v>6.7428486606874269E-4</v>
      </c>
      <c r="I2" s="4">
        <f>Extrapolations!N9</f>
        <v>6.7428486606874269E-4</v>
      </c>
      <c r="J2" s="4">
        <f>Extrapolations!O9</f>
        <v>6.7428486606874269E-4</v>
      </c>
      <c r="K2" s="4">
        <f>Extrapolations!P9</f>
        <v>6.7428486606874269E-4</v>
      </c>
      <c r="L2" s="4">
        <f>Extrapolations!Q9</f>
        <v>6.7428486606874269E-4</v>
      </c>
      <c r="M2" s="4">
        <f>Extrapolations!R9</f>
        <v>6.7428486606874269E-4</v>
      </c>
      <c r="N2" s="4">
        <f>Extrapolations!S9</f>
        <v>6.7428486606874269E-4</v>
      </c>
      <c r="O2" s="4">
        <f>Extrapolations!T9</f>
        <v>6.7428486606874269E-4</v>
      </c>
      <c r="P2" s="4">
        <f>Extrapolations!U9</f>
        <v>6.7428486606874269E-4</v>
      </c>
      <c r="Q2" s="4">
        <f>Extrapolations!V9</f>
        <v>6.7428486606874269E-4</v>
      </c>
      <c r="R2" s="4">
        <f>Extrapolations!W9</f>
        <v>6.7428486606874269E-4</v>
      </c>
      <c r="S2" s="4">
        <f>Extrapolations!X9</f>
        <v>6.7428486606874269E-4</v>
      </c>
      <c r="T2" s="4">
        <f>Extrapolations!Y9</f>
        <v>6.7428486606874269E-4</v>
      </c>
      <c r="U2" s="4">
        <f>Extrapolations!Z9</f>
        <v>6.7428486606874269E-4</v>
      </c>
      <c r="V2" s="4">
        <f>Extrapolations!AA9</f>
        <v>6.7428486606874269E-4</v>
      </c>
      <c r="W2" s="4">
        <f>Extrapolations!AB9</f>
        <v>6.7428486606874269E-4</v>
      </c>
      <c r="X2" s="4">
        <f>Extrapolations!AC9</f>
        <v>6.7428486606874269E-4</v>
      </c>
      <c r="Y2" s="4">
        <f>Extrapolations!AD9</f>
        <v>6.7428486606874269E-4</v>
      </c>
      <c r="Z2" s="4">
        <f>Extrapolations!AE9</f>
        <v>6.7428486606874269E-4</v>
      </c>
      <c r="AA2" s="4">
        <f>Extrapolations!AF9</f>
        <v>6.7428486606874269E-4</v>
      </c>
      <c r="AB2" s="4">
        <f>Extrapolations!AG9</f>
        <v>6.7428486606874269E-4</v>
      </c>
      <c r="AC2" s="4">
        <f>Extrapolations!AH9</f>
        <v>6.7428486606874269E-4</v>
      </c>
      <c r="AD2" s="4">
        <f>Extrapolations!AI9</f>
        <v>6.7428486606874269E-4</v>
      </c>
      <c r="AE2" s="4">
        <f>Extrapolations!AJ9</f>
        <v>6.7428486606874269E-4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17">
        <f>Extrapolations!G8</f>
        <v>5.0586266198922429E-5</v>
      </c>
      <c r="C5" s="17">
        <f>Extrapolations!H8</f>
        <v>5.0586266198922429E-5</v>
      </c>
      <c r="D5" s="17">
        <f>Extrapolations!I8</f>
        <v>5.0586266198922429E-5</v>
      </c>
      <c r="E5" s="17">
        <f>Extrapolations!J8</f>
        <v>5.0586266198922429E-5</v>
      </c>
      <c r="F5" s="17">
        <f>Extrapolations!K8</f>
        <v>5.0586266198922429E-5</v>
      </c>
      <c r="G5" s="17">
        <f>Extrapolations!L8</f>
        <v>5.0586266198922429E-5</v>
      </c>
      <c r="H5" s="17">
        <f>Extrapolations!M8</f>
        <v>5.0586266198922429E-5</v>
      </c>
      <c r="I5" s="17">
        <f>Extrapolations!N8</f>
        <v>5.0586266198922429E-5</v>
      </c>
      <c r="J5" s="17">
        <f>Extrapolations!O8</f>
        <v>5.0586266198922429E-5</v>
      </c>
      <c r="K5" s="17">
        <f>Extrapolations!P8</f>
        <v>5.0586266198922429E-5</v>
      </c>
      <c r="L5" s="17">
        <f>Extrapolations!Q8</f>
        <v>5.0586266198922429E-5</v>
      </c>
      <c r="M5" s="17">
        <f>Extrapolations!R8</f>
        <v>5.0586266198922429E-5</v>
      </c>
      <c r="N5" s="17">
        <f>Extrapolations!S8</f>
        <v>5.0586266198922429E-5</v>
      </c>
      <c r="O5" s="17">
        <f>Extrapolations!T8</f>
        <v>5.0586266198922429E-5</v>
      </c>
      <c r="P5" s="17">
        <f>Extrapolations!U8</f>
        <v>5.0586266198922429E-5</v>
      </c>
      <c r="Q5" s="17">
        <f>Extrapolations!V8</f>
        <v>5.0586266198922429E-5</v>
      </c>
      <c r="R5" s="17">
        <f>Extrapolations!W8</f>
        <v>5.0586266198922429E-5</v>
      </c>
      <c r="S5" s="17">
        <f>Extrapolations!X8</f>
        <v>5.0586266198922429E-5</v>
      </c>
      <c r="T5" s="17">
        <f>Extrapolations!Y8</f>
        <v>5.0586266198922429E-5</v>
      </c>
      <c r="U5" s="17">
        <f>Extrapolations!Z8</f>
        <v>5.0586266198922429E-5</v>
      </c>
      <c r="V5" s="17">
        <f>Extrapolations!AA8</f>
        <v>5.0586266198922429E-5</v>
      </c>
      <c r="W5" s="17">
        <f>Extrapolations!AB8</f>
        <v>5.0586266198922429E-5</v>
      </c>
      <c r="X5" s="17">
        <f>Extrapolations!AC8</f>
        <v>5.0586266198922429E-5</v>
      </c>
      <c r="Y5" s="17">
        <f>Extrapolations!AD8</f>
        <v>5.0586266198922429E-5</v>
      </c>
      <c r="Z5" s="17">
        <f>Extrapolations!AE8</f>
        <v>5.0586266198922429E-5</v>
      </c>
      <c r="AA5" s="17">
        <f>Extrapolations!AF8</f>
        <v>5.0586266198922429E-5</v>
      </c>
      <c r="AB5" s="17">
        <f>Extrapolations!AG8</f>
        <v>5.0586266198922429E-5</v>
      </c>
      <c r="AC5" s="17">
        <f>Extrapolations!AH8</f>
        <v>5.0586266198922429E-5</v>
      </c>
      <c r="AD5" s="17">
        <f>Extrapolations!AI8</f>
        <v>5.0586266198922429E-5</v>
      </c>
      <c r="AE5" s="17">
        <f>Extrapolations!AJ8</f>
        <v>5.0586266198922429E-5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1.5175879859676727E-4</v>
      </c>
      <c r="C8" s="4">
        <f>C$5*Calculations!$B$27</f>
        <v>1.5175879859676727E-4</v>
      </c>
      <c r="D8" s="4">
        <f>D$5*Calculations!$B$27</f>
        <v>1.5175879859676727E-4</v>
      </c>
      <c r="E8" s="4">
        <f>E$5*Calculations!$B$27</f>
        <v>1.5175879859676727E-4</v>
      </c>
      <c r="F8" s="4">
        <f>F$5*Calculations!$B$27</f>
        <v>1.5175879859676727E-4</v>
      </c>
      <c r="G8" s="4">
        <f>G$5*Calculations!$B$27</f>
        <v>1.5175879859676727E-4</v>
      </c>
      <c r="H8" s="4">
        <f>H$5*Calculations!$B$27</f>
        <v>1.5175879859676727E-4</v>
      </c>
      <c r="I8" s="4">
        <f>I$5*Calculations!$B$27</f>
        <v>1.5175879859676727E-4</v>
      </c>
      <c r="J8" s="4">
        <f>J$5*Calculations!$B$27</f>
        <v>1.5175879859676727E-4</v>
      </c>
      <c r="K8" s="4">
        <f>K$5*Calculations!$B$27</f>
        <v>1.5175879859676727E-4</v>
      </c>
      <c r="L8" s="4">
        <f>L$5*Calculations!$B$27</f>
        <v>1.5175879859676727E-4</v>
      </c>
      <c r="M8" s="4">
        <f>M$5*Calculations!$B$27</f>
        <v>1.5175879859676727E-4</v>
      </c>
      <c r="N8" s="4">
        <f>N$5*Calculations!$B$27</f>
        <v>1.5175879859676727E-4</v>
      </c>
      <c r="O8" s="4">
        <f>O$5*Calculations!$B$27</f>
        <v>1.5175879859676727E-4</v>
      </c>
      <c r="P8" s="4">
        <f>P$5*Calculations!$B$27</f>
        <v>1.5175879859676727E-4</v>
      </c>
      <c r="Q8" s="4">
        <f>Q$5*Calculations!$B$27</f>
        <v>1.5175879859676727E-4</v>
      </c>
      <c r="R8" s="4">
        <f>R$5*Calculations!$B$27</f>
        <v>1.5175879859676727E-4</v>
      </c>
      <c r="S8" s="4">
        <f>S$5*Calculations!$B$27</f>
        <v>1.5175879859676727E-4</v>
      </c>
      <c r="T8" s="4">
        <f>T$5*Calculations!$B$27</f>
        <v>1.5175879859676727E-4</v>
      </c>
      <c r="U8" s="4">
        <f>U$5*Calculations!$B$27</f>
        <v>1.5175879859676727E-4</v>
      </c>
      <c r="V8" s="4">
        <f>V$5*Calculations!$B$27</f>
        <v>1.5175879859676727E-4</v>
      </c>
      <c r="W8" s="4">
        <f>W$5*Calculations!$B$27</f>
        <v>1.5175879859676727E-4</v>
      </c>
      <c r="X8" s="4">
        <f>X$5*Calculations!$B$27</f>
        <v>1.5175879859676727E-4</v>
      </c>
      <c r="Y8" s="4">
        <f>Y$5*Calculations!$B$27</f>
        <v>1.5175879859676727E-4</v>
      </c>
      <c r="Z8" s="4">
        <f>Z$5*Calculations!$B$27</f>
        <v>1.5175879859676727E-4</v>
      </c>
      <c r="AA8" s="4">
        <f>AA$5*Calculations!$B$27</f>
        <v>1.5175879859676727E-4</v>
      </c>
      <c r="AB8" s="4">
        <f>AB$5*Calculations!$B$27</f>
        <v>1.5175879859676727E-4</v>
      </c>
      <c r="AC8" s="4">
        <f>AC$5*Calculations!$B$27</f>
        <v>1.5175879859676727E-4</v>
      </c>
      <c r="AD8" s="4">
        <f>AD$5*Calculations!$B$27</f>
        <v>1.5175879859676727E-4</v>
      </c>
      <c r="AE8" s="4">
        <f>AE$5*Calculations!$B$27</f>
        <v>1.5175879859676727E-4</v>
      </c>
    </row>
    <row r="13" spans="1:32"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3.8151653664103207E-5</v>
      </c>
      <c r="C2" s="4">
        <f>B2</f>
        <v>3.8151653664103207E-5</v>
      </c>
      <c r="D2" s="4">
        <f t="shared" ref="D2:AE8" si="0">C2</f>
        <v>3.8151653664103207E-5</v>
      </c>
      <c r="E2" s="4">
        <f t="shared" si="0"/>
        <v>3.8151653664103207E-5</v>
      </c>
      <c r="F2" s="4">
        <f t="shared" si="0"/>
        <v>3.8151653664103207E-5</v>
      </c>
      <c r="G2" s="4">
        <f t="shared" si="0"/>
        <v>3.8151653664103207E-5</v>
      </c>
      <c r="H2" s="4">
        <f t="shared" si="0"/>
        <v>3.8151653664103207E-5</v>
      </c>
      <c r="I2" s="4">
        <f t="shared" si="0"/>
        <v>3.8151653664103207E-5</v>
      </c>
      <c r="J2" s="4">
        <f t="shared" si="0"/>
        <v>3.8151653664103207E-5</v>
      </c>
      <c r="K2" s="4">
        <f t="shared" si="0"/>
        <v>3.8151653664103207E-5</v>
      </c>
      <c r="L2" s="4">
        <f t="shared" si="0"/>
        <v>3.8151653664103207E-5</v>
      </c>
      <c r="M2" s="4">
        <f t="shared" si="0"/>
        <v>3.8151653664103207E-5</v>
      </c>
      <c r="N2" s="4">
        <f t="shared" si="0"/>
        <v>3.8151653664103207E-5</v>
      </c>
      <c r="O2" s="4">
        <f t="shared" si="0"/>
        <v>3.8151653664103207E-5</v>
      </c>
      <c r="P2" s="4">
        <f t="shared" si="0"/>
        <v>3.8151653664103207E-5</v>
      </c>
      <c r="Q2" s="4">
        <f t="shared" si="0"/>
        <v>3.8151653664103207E-5</v>
      </c>
      <c r="R2" s="4">
        <f t="shared" si="0"/>
        <v>3.8151653664103207E-5</v>
      </c>
      <c r="S2" s="4">
        <f t="shared" si="0"/>
        <v>3.8151653664103207E-5</v>
      </c>
      <c r="T2" s="4">
        <f t="shared" si="0"/>
        <v>3.8151653664103207E-5</v>
      </c>
      <c r="U2" s="4">
        <f t="shared" si="0"/>
        <v>3.8151653664103207E-5</v>
      </c>
      <c r="V2" s="4">
        <f t="shared" si="0"/>
        <v>3.8151653664103207E-5</v>
      </c>
      <c r="W2" s="4">
        <f t="shared" si="0"/>
        <v>3.8151653664103207E-5</v>
      </c>
      <c r="X2" s="4">
        <f t="shared" si="0"/>
        <v>3.8151653664103207E-5</v>
      </c>
      <c r="Y2" s="4">
        <f t="shared" si="0"/>
        <v>3.8151653664103207E-5</v>
      </c>
      <c r="Z2" s="4">
        <f t="shared" si="0"/>
        <v>3.8151653664103207E-5</v>
      </c>
      <c r="AA2" s="4">
        <f t="shared" si="0"/>
        <v>3.8151653664103207E-5</v>
      </c>
      <c r="AB2" s="4">
        <f t="shared" si="0"/>
        <v>3.8151653664103207E-5</v>
      </c>
      <c r="AC2" s="4">
        <f t="shared" si="0"/>
        <v>3.8151653664103207E-5</v>
      </c>
      <c r="AD2" s="4">
        <f t="shared" si="0"/>
        <v>3.8151653664103207E-5</v>
      </c>
      <c r="AE2" s="4">
        <f t="shared" si="0"/>
        <v>3.8151653664103207E-5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1.1872400950049923E-5</v>
      </c>
      <c r="C4" s="4">
        <f t="shared" si="1"/>
        <v>1.1872400950049923E-5</v>
      </c>
      <c r="D4" s="4">
        <f t="shared" si="0"/>
        <v>1.1872400950049923E-5</v>
      </c>
      <c r="E4" s="4">
        <f t="shared" si="0"/>
        <v>1.1872400950049923E-5</v>
      </c>
      <c r="F4" s="4">
        <f t="shared" si="0"/>
        <v>1.1872400950049923E-5</v>
      </c>
      <c r="G4" s="4">
        <f t="shared" si="0"/>
        <v>1.1872400950049923E-5</v>
      </c>
      <c r="H4" s="4">
        <f t="shared" si="0"/>
        <v>1.1872400950049923E-5</v>
      </c>
      <c r="I4" s="4">
        <f t="shared" si="0"/>
        <v>1.1872400950049923E-5</v>
      </c>
      <c r="J4" s="4">
        <f t="shared" si="0"/>
        <v>1.1872400950049923E-5</v>
      </c>
      <c r="K4" s="4">
        <f t="shared" si="0"/>
        <v>1.1872400950049923E-5</v>
      </c>
      <c r="L4" s="4">
        <f t="shared" si="0"/>
        <v>1.1872400950049923E-5</v>
      </c>
      <c r="M4" s="4">
        <f t="shared" si="0"/>
        <v>1.1872400950049923E-5</v>
      </c>
      <c r="N4" s="4">
        <f t="shared" si="0"/>
        <v>1.1872400950049923E-5</v>
      </c>
      <c r="O4" s="4">
        <f t="shared" si="0"/>
        <v>1.1872400950049923E-5</v>
      </c>
      <c r="P4" s="4">
        <f t="shared" si="0"/>
        <v>1.1872400950049923E-5</v>
      </c>
      <c r="Q4" s="4">
        <f t="shared" si="0"/>
        <v>1.1872400950049923E-5</v>
      </c>
      <c r="R4" s="4">
        <f t="shared" si="0"/>
        <v>1.1872400950049923E-5</v>
      </c>
      <c r="S4" s="4">
        <f t="shared" si="0"/>
        <v>1.1872400950049923E-5</v>
      </c>
      <c r="T4" s="4">
        <f t="shared" si="0"/>
        <v>1.1872400950049923E-5</v>
      </c>
      <c r="U4" s="4">
        <f t="shared" si="0"/>
        <v>1.1872400950049923E-5</v>
      </c>
      <c r="V4" s="4">
        <f t="shared" si="0"/>
        <v>1.1872400950049923E-5</v>
      </c>
      <c r="W4" s="4">
        <f t="shared" si="0"/>
        <v>1.1872400950049923E-5</v>
      </c>
      <c r="X4" s="4">
        <f t="shared" si="0"/>
        <v>1.1872400950049923E-5</v>
      </c>
      <c r="Y4" s="4">
        <f t="shared" si="0"/>
        <v>1.1872400950049923E-5</v>
      </c>
      <c r="Z4" s="4">
        <f t="shared" si="0"/>
        <v>1.1872400950049923E-5</v>
      </c>
      <c r="AA4" s="4">
        <f t="shared" si="0"/>
        <v>1.1872400950049923E-5</v>
      </c>
      <c r="AB4" s="4">
        <f t="shared" si="0"/>
        <v>1.1872400950049923E-5</v>
      </c>
      <c r="AC4" s="4">
        <f t="shared" si="0"/>
        <v>1.1872400950049923E-5</v>
      </c>
      <c r="AD4" s="4">
        <f t="shared" si="0"/>
        <v>1.1872400950049923E-5</v>
      </c>
      <c r="AE4" s="4">
        <f t="shared" si="0"/>
        <v>1.1872400950049923E-5</v>
      </c>
    </row>
    <row r="5" spans="1:34">
      <c r="A5" t="s">
        <v>5</v>
      </c>
      <c r="B5" s="4">
        <v>1.1872399173210917E-5</v>
      </c>
      <c r="C5" s="4">
        <f t="shared" si="1"/>
        <v>1.1872399173210917E-5</v>
      </c>
      <c r="D5" s="4">
        <f t="shared" si="0"/>
        <v>1.1872399173210917E-5</v>
      </c>
      <c r="E5" s="4">
        <f t="shared" si="0"/>
        <v>1.1872399173210917E-5</v>
      </c>
      <c r="F5" s="4">
        <f t="shared" si="0"/>
        <v>1.1872399173210917E-5</v>
      </c>
      <c r="G5" s="4">
        <f t="shared" si="0"/>
        <v>1.1872399173210917E-5</v>
      </c>
      <c r="H5" s="4">
        <f t="shared" si="0"/>
        <v>1.1872399173210917E-5</v>
      </c>
      <c r="I5" s="4">
        <f t="shared" si="0"/>
        <v>1.1872399173210917E-5</v>
      </c>
      <c r="J5" s="4">
        <f t="shared" si="0"/>
        <v>1.1872399173210917E-5</v>
      </c>
      <c r="K5" s="4">
        <f t="shared" si="0"/>
        <v>1.1872399173210917E-5</v>
      </c>
      <c r="L5" s="4">
        <f t="shared" si="0"/>
        <v>1.1872399173210917E-5</v>
      </c>
      <c r="M5" s="4">
        <f t="shared" si="0"/>
        <v>1.1872399173210917E-5</v>
      </c>
      <c r="N5" s="4">
        <f t="shared" si="0"/>
        <v>1.1872399173210917E-5</v>
      </c>
      <c r="O5" s="4">
        <f t="shared" si="0"/>
        <v>1.1872399173210917E-5</v>
      </c>
      <c r="P5" s="4">
        <f t="shared" si="0"/>
        <v>1.1872399173210917E-5</v>
      </c>
      <c r="Q5" s="4">
        <f t="shared" si="0"/>
        <v>1.1872399173210917E-5</v>
      </c>
      <c r="R5" s="4">
        <f t="shared" si="0"/>
        <v>1.1872399173210917E-5</v>
      </c>
      <c r="S5" s="4">
        <f t="shared" si="0"/>
        <v>1.1872399173210917E-5</v>
      </c>
      <c r="T5" s="4">
        <f t="shared" si="0"/>
        <v>1.1872399173210917E-5</v>
      </c>
      <c r="U5" s="4">
        <f t="shared" si="0"/>
        <v>1.1872399173210917E-5</v>
      </c>
      <c r="V5" s="4">
        <f t="shared" si="0"/>
        <v>1.1872399173210917E-5</v>
      </c>
      <c r="W5" s="4">
        <f t="shared" si="0"/>
        <v>1.1872399173210917E-5</v>
      </c>
      <c r="X5" s="4">
        <f t="shared" si="0"/>
        <v>1.1872399173210917E-5</v>
      </c>
      <c r="Y5" s="4">
        <f t="shared" si="0"/>
        <v>1.1872399173210917E-5</v>
      </c>
      <c r="Z5" s="4">
        <f t="shared" si="0"/>
        <v>1.1872399173210917E-5</v>
      </c>
      <c r="AA5" s="4">
        <f t="shared" si="0"/>
        <v>1.1872399173210917E-5</v>
      </c>
      <c r="AB5" s="4">
        <f t="shared" si="0"/>
        <v>1.1872399173210917E-5</v>
      </c>
      <c r="AC5" s="4">
        <f t="shared" si="0"/>
        <v>1.1872399173210917E-5</v>
      </c>
      <c r="AD5" s="4">
        <f t="shared" si="0"/>
        <v>1.1872399173210917E-5</v>
      </c>
      <c r="AE5" s="4">
        <f t="shared" si="0"/>
        <v>1.1872399173210917E-5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3.5617197519632745E-5</v>
      </c>
      <c r="C8" s="4">
        <f t="shared" si="1"/>
        <v>3.5617197519632745E-5</v>
      </c>
      <c r="D8" s="4">
        <f t="shared" si="0"/>
        <v>3.5617197519632745E-5</v>
      </c>
      <c r="E8" s="4">
        <f t="shared" si="0"/>
        <v>3.5617197519632745E-5</v>
      </c>
      <c r="F8" s="4">
        <f t="shared" si="0"/>
        <v>3.5617197519632745E-5</v>
      </c>
      <c r="G8" s="4">
        <f t="shared" si="0"/>
        <v>3.5617197519632745E-5</v>
      </c>
      <c r="H8" s="4">
        <f t="shared" si="0"/>
        <v>3.5617197519632745E-5</v>
      </c>
      <c r="I8" s="4">
        <f t="shared" si="0"/>
        <v>3.5617197519632745E-5</v>
      </c>
      <c r="J8" s="4">
        <f t="shared" si="0"/>
        <v>3.5617197519632745E-5</v>
      </c>
      <c r="K8" s="4">
        <f t="shared" si="0"/>
        <v>3.5617197519632745E-5</v>
      </c>
      <c r="L8" s="4">
        <f t="shared" si="0"/>
        <v>3.5617197519632745E-5</v>
      </c>
      <c r="M8" s="4">
        <f t="shared" si="0"/>
        <v>3.5617197519632745E-5</v>
      </c>
      <c r="N8" s="4">
        <f t="shared" si="0"/>
        <v>3.5617197519632745E-5</v>
      </c>
      <c r="O8" s="4">
        <f t="shared" si="0"/>
        <v>3.5617197519632745E-5</v>
      </c>
      <c r="P8" s="4">
        <f t="shared" si="0"/>
        <v>3.5617197519632745E-5</v>
      </c>
      <c r="Q8" s="4">
        <f t="shared" si="0"/>
        <v>3.5617197519632745E-5</v>
      </c>
      <c r="R8" s="4">
        <f t="shared" si="0"/>
        <v>3.5617197519632745E-5</v>
      </c>
      <c r="S8" s="4">
        <f t="shared" si="0"/>
        <v>3.5617197519632745E-5</v>
      </c>
      <c r="T8" s="4">
        <f t="shared" si="0"/>
        <v>3.5617197519632745E-5</v>
      </c>
      <c r="U8" s="4">
        <f t="shared" si="0"/>
        <v>3.5617197519632745E-5</v>
      </c>
      <c r="V8" s="4">
        <f t="shared" si="0"/>
        <v>3.5617197519632745E-5</v>
      </c>
      <c r="W8" s="4">
        <f t="shared" si="0"/>
        <v>3.5617197519632745E-5</v>
      </c>
      <c r="X8" s="4">
        <f t="shared" si="0"/>
        <v>3.5617197519632745E-5</v>
      </c>
      <c r="Y8" s="4">
        <f t="shared" si="0"/>
        <v>3.5617197519632745E-5</v>
      </c>
      <c r="Z8" s="4">
        <f t="shared" si="0"/>
        <v>3.5617197519632745E-5</v>
      </c>
      <c r="AA8" s="4">
        <f t="shared" si="0"/>
        <v>3.5617197519632745E-5</v>
      </c>
      <c r="AB8" s="4">
        <f t="shared" si="0"/>
        <v>3.5617197519632745E-5</v>
      </c>
      <c r="AC8" s="4">
        <f t="shared" si="0"/>
        <v>3.5617197519632745E-5</v>
      </c>
      <c r="AD8" s="4">
        <f t="shared" si="0"/>
        <v>3.5617197519632745E-5</v>
      </c>
      <c r="AE8" s="4">
        <f t="shared" si="0"/>
        <v>3.5617197519632745E-5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1.3303075089805058E-2</v>
      </c>
      <c r="C2" s="4">
        <f>C$5/(1-'Other Values'!$B$3)</f>
        <v>1.3366797487575091E-2</v>
      </c>
      <c r="D2" s="4">
        <f>D$5/(1-'Other Values'!$B$3)</f>
        <v>1.3430519885345124E-2</v>
      </c>
      <c r="E2" s="4">
        <f>E$5/(1-'Other Values'!$B$3)</f>
        <v>1.3494242283115156E-2</v>
      </c>
      <c r="F2" s="4">
        <f>F$5/(1-'Other Values'!$B$3)</f>
        <v>1.3557964680885187E-2</v>
      </c>
      <c r="G2" s="4">
        <f>G$5/(1-'Other Values'!$B$3)</f>
        <v>1.362168707865522E-2</v>
      </c>
      <c r="H2" s="4">
        <f>H$5/(1-'Other Values'!$B$3)</f>
        <v>1.3685409476425252E-2</v>
      </c>
      <c r="I2" s="4">
        <f>I$5/(1-'Other Values'!$B$3)</f>
        <v>1.3749131874195285E-2</v>
      </c>
      <c r="J2" s="4">
        <f>J$5/(1-'Other Values'!$B$3)</f>
        <v>1.3812854271965316E-2</v>
      </c>
      <c r="K2" s="4">
        <f>K$5/(1-'Other Values'!$B$3)</f>
        <v>1.3876576669735349E-2</v>
      </c>
      <c r="L2" s="4">
        <f>L$5/(1-'Other Values'!$B$3)</f>
        <v>1.3940299067505381E-2</v>
      </c>
      <c r="M2" s="4">
        <f>M$5/(1-'Other Values'!$B$3)</f>
        <v>1.4004021465275414E-2</v>
      </c>
      <c r="N2" s="4">
        <f>N$5/(1-'Other Values'!$B$3)</f>
        <v>1.4067743863045445E-2</v>
      </c>
      <c r="O2" s="4">
        <f>O$5/(1-'Other Values'!$B$3)</f>
        <v>1.4131466260815477E-2</v>
      </c>
      <c r="P2" s="4">
        <f>P$5/(1-'Other Values'!$B$3)</f>
        <v>1.419518865858551E-2</v>
      </c>
      <c r="Q2" s="4">
        <f>Q$5/(1-'Other Values'!$B$3)</f>
        <v>1.4258911056355543E-2</v>
      </c>
      <c r="R2" s="4">
        <f>R$5/(1-'Other Values'!$B$3)</f>
        <v>1.4322633454125573E-2</v>
      </c>
      <c r="S2" s="4">
        <f>S$5/(1-'Other Values'!$B$3)</f>
        <v>1.4386355851895606E-2</v>
      </c>
      <c r="T2" s="4">
        <f>T$5/(1-'Other Values'!$B$3)</f>
        <v>1.4450078249665639E-2</v>
      </c>
      <c r="U2" s="4">
        <f>U$5/(1-'Other Values'!$B$3)</f>
        <v>1.4513800647435671E-2</v>
      </c>
      <c r="V2" s="4">
        <f>V$5/(1-'Other Values'!$B$3)</f>
        <v>1.4577523045205702E-2</v>
      </c>
      <c r="W2" s="4">
        <f>W$5/(1-'Other Values'!$B$3)</f>
        <v>1.4641245442975735E-2</v>
      </c>
      <c r="X2" s="4">
        <f>X$5/(1-'Other Values'!$B$3)</f>
        <v>1.4704967840745767E-2</v>
      </c>
      <c r="Y2" s="4">
        <f>Y$5/(1-'Other Values'!$B$3)</f>
        <v>1.47686902385158E-2</v>
      </c>
      <c r="Z2" s="4">
        <f>Z$5/(1-'Other Values'!$B$3)</f>
        <v>1.4832412636285831E-2</v>
      </c>
      <c r="AA2" s="4">
        <f>AA$5/(1-'Other Values'!$B$3)</f>
        <v>1.4896135034055864E-2</v>
      </c>
      <c r="AB2" s="4">
        <f>AB$5/(1-'Other Values'!$B$3)</f>
        <v>1.4959857431825896E-2</v>
      </c>
      <c r="AC2" s="4">
        <f>AC$5/(1-'Other Values'!$B$3)</f>
        <v>1.5023579829595929E-2</v>
      </c>
      <c r="AD2" s="4">
        <f>AD$5/(1-'Other Values'!$B$3)</f>
        <v>1.508730222736596E-2</v>
      </c>
      <c r="AE2" s="4">
        <f>AE$5/(1-'Other Values'!$B$3)</f>
        <v>1.5151024625135992E-2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4.139779079772081E-3</v>
      </c>
      <c r="C5" s="4">
        <f>Extrapolations!I12</f>
        <v>4.1596088294668307E-3</v>
      </c>
      <c r="D5" s="4">
        <f>Extrapolations!J12</f>
        <v>4.1794385791615804E-3</v>
      </c>
      <c r="E5" s="4">
        <f>Extrapolations!K12</f>
        <v>4.1992683288563301E-3</v>
      </c>
      <c r="F5" s="4">
        <f>Extrapolations!L12</f>
        <v>4.2190980785510798E-3</v>
      </c>
      <c r="G5" s="4">
        <f>Extrapolations!M12</f>
        <v>4.2389278282458295E-3</v>
      </c>
      <c r="H5" s="4">
        <f>Extrapolations!N12</f>
        <v>4.2587575779405792E-3</v>
      </c>
      <c r="I5" s="4">
        <f>Extrapolations!O12</f>
        <v>4.278587327635329E-3</v>
      </c>
      <c r="J5" s="4">
        <f>Extrapolations!P12</f>
        <v>4.2984170773300787E-3</v>
      </c>
      <c r="K5" s="4">
        <f>Extrapolations!Q12</f>
        <v>4.3182468270248284E-3</v>
      </c>
      <c r="L5" s="4">
        <f>Extrapolations!R12</f>
        <v>4.3380765767195781E-3</v>
      </c>
      <c r="M5" s="4">
        <f>Extrapolations!S12</f>
        <v>4.3579063264143278E-3</v>
      </c>
      <c r="N5" s="4">
        <f>Extrapolations!T12</f>
        <v>4.3777360761090775E-3</v>
      </c>
      <c r="O5" s="4">
        <f>Extrapolations!U12</f>
        <v>4.3975658258038272E-3</v>
      </c>
      <c r="P5" s="4">
        <f>Extrapolations!V12</f>
        <v>4.4173955754985769E-3</v>
      </c>
      <c r="Q5" s="4">
        <f>Extrapolations!W12</f>
        <v>4.4372253251933266E-3</v>
      </c>
      <c r="R5" s="4">
        <f>Extrapolations!X12</f>
        <v>4.4570550748880763E-3</v>
      </c>
      <c r="S5" s="4">
        <f>Extrapolations!Y12</f>
        <v>4.4768848245828261E-3</v>
      </c>
      <c r="T5" s="4">
        <f>Extrapolations!Z12</f>
        <v>4.4967145742775758E-3</v>
      </c>
      <c r="U5" s="4">
        <f>Extrapolations!AA12</f>
        <v>4.5165443239723255E-3</v>
      </c>
      <c r="V5" s="4">
        <f>Extrapolations!AB12</f>
        <v>4.5363740736670752E-3</v>
      </c>
      <c r="W5" s="4">
        <f>Extrapolations!AC12</f>
        <v>4.5562038233618249E-3</v>
      </c>
      <c r="X5" s="4">
        <f>Extrapolations!AD12</f>
        <v>4.5760335730565746E-3</v>
      </c>
      <c r="Y5" s="4">
        <f>Extrapolations!AE12</f>
        <v>4.5958633227513243E-3</v>
      </c>
      <c r="Z5" s="4">
        <f>Extrapolations!AF12</f>
        <v>4.615693072446074E-3</v>
      </c>
      <c r="AA5" s="4">
        <f>Extrapolations!AG12</f>
        <v>4.6355228221408237E-3</v>
      </c>
      <c r="AB5" s="4">
        <f>Extrapolations!AH12</f>
        <v>4.6553525718355734E-3</v>
      </c>
      <c r="AC5" s="4">
        <f>Extrapolations!AI12</f>
        <v>4.6751823215303231E-3</v>
      </c>
      <c r="AD5" s="4">
        <f>Extrapolations!AJ12</f>
        <v>4.6950120712250729E-3</v>
      </c>
      <c r="AE5" s="4">
        <f>Extrapolations!AK12</f>
        <v>4.7148418209198226E-3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1.2419337239316241E-2</v>
      </c>
      <c r="C8" s="4">
        <f>C$5*Calculations!$B$27</f>
        <v>1.247882648840049E-2</v>
      </c>
      <c r="D8" s="4">
        <f>D$5*Calculations!$B$27</f>
        <v>1.2538315737484739E-2</v>
      </c>
      <c r="E8" s="4">
        <f>E$5*Calculations!$B$27</f>
        <v>1.2597804986568989E-2</v>
      </c>
      <c r="F8" s="4">
        <f>F$5*Calculations!$B$27</f>
        <v>1.2657294235653238E-2</v>
      </c>
      <c r="G8" s="4">
        <f>G$5*Calculations!$B$27</f>
        <v>1.2716783484737487E-2</v>
      </c>
      <c r="H8" s="4">
        <f>H$5*Calculations!$B$27</f>
        <v>1.2776272733821736E-2</v>
      </c>
      <c r="I8" s="4">
        <f>I$5*Calculations!$B$27</f>
        <v>1.2835761982905985E-2</v>
      </c>
      <c r="J8" s="4">
        <f>J$5*Calculations!$B$27</f>
        <v>1.2895251231990234E-2</v>
      </c>
      <c r="K8" s="4">
        <f>K$5*Calculations!$B$27</f>
        <v>1.2954740481074483E-2</v>
      </c>
      <c r="L8" s="4">
        <f>L$5*Calculations!$B$27</f>
        <v>1.3014229730158733E-2</v>
      </c>
      <c r="M8" s="4">
        <f>M$5*Calculations!$B$27</f>
        <v>1.3073718979242982E-2</v>
      </c>
      <c r="N8" s="4">
        <f>N$5*Calculations!$B$27</f>
        <v>1.3133208228327231E-2</v>
      </c>
      <c r="O8" s="4">
        <f>O$5*Calculations!$B$27</f>
        <v>1.319269747741148E-2</v>
      </c>
      <c r="P8" s="4">
        <f>P$5*Calculations!$B$27</f>
        <v>1.3252186726495729E-2</v>
      </c>
      <c r="Q8" s="4">
        <f>Q$5*Calculations!$B$27</f>
        <v>1.3311675975579978E-2</v>
      </c>
      <c r="R8" s="4">
        <f>R$5*Calculations!$B$27</f>
        <v>1.3371165224664227E-2</v>
      </c>
      <c r="S8" s="4">
        <f>S$5*Calculations!$B$27</f>
        <v>1.3430654473748476E-2</v>
      </c>
      <c r="T8" s="4">
        <f>T$5*Calculations!$B$27</f>
        <v>1.3490143722832726E-2</v>
      </c>
      <c r="U8" s="4">
        <f>U$5*Calculations!$B$27</f>
        <v>1.3549632971916975E-2</v>
      </c>
      <c r="V8" s="4">
        <f>V$5*Calculations!$B$27</f>
        <v>1.3609122221001224E-2</v>
      </c>
      <c r="W8" s="4">
        <f>W$5*Calculations!$B$27</f>
        <v>1.3668611470085473E-2</v>
      </c>
      <c r="X8" s="4">
        <f>X$5*Calculations!$B$27</f>
        <v>1.3728100719169722E-2</v>
      </c>
      <c r="Y8" s="4">
        <f>Y$5*Calculations!$B$27</f>
        <v>1.3787589968253971E-2</v>
      </c>
      <c r="Z8" s="4">
        <f>Z$5*Calculations!$B$27</f>
        <v>1.384707921733822E-2</v>
      </c>
      <c r="AA8" s="4">
        <f>AA$5*Calculations!$B$27</f>
        <v>1.3906568466422469E-2</v>
      </c>
      <c r="AB8" s="4">
        <f>AB$5*Calculations!$B$27</f>
        <v>1.3966057715506719E-2</v>
      </c>
      <c r="AC8" s="4">
        <f>AC$5*Calculations!$B$27</f>
        <v>1.4025546964590968E-2</v>
      </c>
      <c r="AD8" s="4">
        <f>AD$5*Calculations!$B$27</f>
        <v>1.4085036213675217E-2</v>
      </c>
      <c r="AE8" s="4">
        <f>AE$5*Calculations!$B$27</f>
        <v>1.4144525462759466E-2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5.8028780082485321E-3</v>
      </c>
      <c r="C2" s="4">
        <f>B2</f>
        <v>5.8028780082485321E-3</v>
      </c>
      <c r="D2" s="4">
        <f t="shared" ref="D2:AE8" si="0">C2</f>
        <v>5.8028780082485321E-3</v>
      </c>
      <c r="E2" s="4">
        <f t="shared" si="0"/>
        <v>5.8028780082485321E-3</v>
      </c>
      <c r="F2" s="4">
        <f t="shared" si="0"/>
        <v>5.8028780082485321E-3</v>
      </c>
      <c r="G2" s="4">
        <f t="shared" si="0"/>
        <v>5.8028780082485321E-3</v>
      </c>
      <c r="H2" s="4">
        <f t="shared" si="0"/>
        <v>5.8028780082485321E-3</v>
      </c>
      <c r="I2" s="4">
        <f t="shared" si="0"/>
        <v>5.8028780082485321E-3</v>
      </c>
      <c r="J2" s="4">
        <f t="shared" si="0"/>
        <v>5.8028780082485321E-3</v>
      </c>
      <c r="K2" s="4">
        <f t="shared" si="0"/>
        <v>5.8028780082485321E-3</v>
      </c>
      <c r="L2" s="4">
        <f t="shared" si="0"/>
        <v>5.8028780082485321E-3</v>
      </c>
      <c r="M2" s="4">
        <f t="shared" si="0"/>
        <v>5.8028780082485321E-3</v>
      </c>
      <c r="N2" s="4">
        <f t="shared" si="0"/>
        <v>5.8028780082485321E-3</v>
      </c>
      <c r="O2" s="4">
        <f t="shared" si="0"/>
        <v>5.8028780082485321E-3</v>
      </c>
      <c r="P2" s="4">
        <f t="shared" si="0"/>
        <v>5.8028780082485321E-3</v>
      </c>
      <c r="Q2" s="4">
        <f t="shared" si="0"/>
        <v>5.8028780082485321E-3</v>
      </c>
      <c r="R2" s="4">
        <f t="shared" si="0"/>
        <v>5.8028780082485321E-3</v>
      </c>
      <c r="S2" s="4">
        <f t="shared" si="0"/>
        <v>5.8028780082485321E-3</v>
      </c>
      <c r="T2" s="4">
        <f t="shared" si="0"/>
        <v>5.8028780082485321E-3</v>
      </c>
      <c r="U2" s="4">
        <f t="shared" si="0"/>
        <v>5.8028780082485321E-3</v>
      </c>
      <c r="V2" s="4">
        <f t="shared" si="0"/>
        <v>5.8028780082485321E-3</v>
      </c>
      <c r="W2" s="4">
        <f t="shared" si="0"/>
        <v>5.8028780082485321E-3</v>
      </c>
      <c r="X2" s="4">
        <f t="shared" si="0"/>
        <v>5.8028780082485321E-3</v>
      </c>
      <c r="Y2" s="4">
        <f t="shared" si="0"/>
        <v>5.8028780082485321E-3</v>
      </c>
      <c r="Z2" s="4">
        <f t="shared" si="0"/>
        <v>5.8028780082485321E-3</v>
      </c>
      <c r="AA2" s="4">
        <f t="shared" si="0"/>
        <v>5.8028780082485321E-3</v>
      </c>
      <c r="AB2" s="4">
        <f t="shared" si="0"/>
        <v>5.8028780082485321E-3</v>
      </c>
      <c r="AC2" s="4">
        <f t="shared" si="0"/>
        <v>5.8028780082485321E-3</v>
      </c>
      <c r="AD2" s="4">
        <f t="shared" si="0"/>
        <v>5.8028780082485321E-3</v>
      </c>
      <c r="AE2" s="4">
        <f t="shared" si="0"/>
        <v>5.8028780082485321E-3</v>
      </c>
      <c r="AG2" s="4"/>
      <c r="AH2" s="4"/>
    </row>
    <row r="3" spans="1:34">
      <c r="A3" t="s">
        <v>3</v>
      </c>
      <c r="B3" s="4">
        <v>1.8223914406069774E-3</v>
      </c>
      <c r="C3" s="4">
        <f t="shared" ref="C3:C8" si="1">B3</f>
        <v>1.8223914406069774E-3</v>
      </c>
      <c r="D3" s="4">
        <f t="shared" ref="D3:Q3" si="2">C3</f>
        <v>1.8223914406069774E-3</v>
      </c>
      <c r="E3" s="4">
        <f t="shared" si="2"/>
        <v>1.8223914406069774E-3</v>
      </c>
      <c r="F3" s="4">
        <f t="shared" si="2"/>
        <v>1.8223914406069774E-3</v>
      </c>
      <c r="G3" s="4">
        <f t="shared" si="2"/>
        <v>1.8223914406069774E-3</v>
      </c>
      <c r="H3" s="4">
        <f t="shared" si="2"/>
        <v>1.8223914406069774E-3</v>
      </c>
      <c r="I3" s="4">
        <f t="shared" si="2"/>
        <v>1.8223914406069774E-3</v>
      </c>
      <c r="J3" s="4">
        <f t="shared" si="2"/>
        <v>1.8223914406069774E-3</v>
      </c>
      <c r="K3" s="4">
        <f t="shared" si="2"/>
        <v>1.8223914406069774E-3</v>
      </c>
      <c r="L3" s="4">
        <f t="shared" si="2"/>
        <v>1.8223914406069774E-3</v>
      </c>
      <c r="M3" s="4">
        <f t="shared" si="2"/>
        <v>1.8223914406069774E-3</v>
      </c>
      <c r="N3" s="4">
        <f t="shared" si="2"/>
        <v>1.8223914406069774E-3</v>
      </c>
      <c r="O3" s="4">
        <f t="shared" si="2"/>
        <v>1.8223914406069774E-3</v>
      </c>
      <c r="P3" s="4">
        <f t="shared" si="2"/>
        <v>1.8223914406069774E-3</v>
      </c>
      <c r="Q3" s="4">
        <f t="shared" si="2"/>
        <v>1.8223914406069774E-3</v>
      </c>
      <c r="R3" s="4">
        <f t="shared" si="0"/>
        <v>1.8223914406069774E-3</v>
      </c>
      <c r="S3" s="4">
        <f t="shared" si="0"/>
        <v>1.8223914406069774E-3</v>
      </c>
      <c r="T3" s="4">
        <f t="shared" si="0"/>
        <v>1.8223914406069774E-3</v>
      </c>
      <c r="U3" s="4">
        <f t="shared" si="0"/>
        <v>1.8223914406069774E-3</v>
      </c>
      <c r="V3" s="4">
        <f t="shared" si="0"/>
        <v>1.8223914406069774E-3</v>
      </c>
      <c r="W3" s="4">
        <f t="shared" si="0"/>
        <v>1.8223914406069774E-3</v>
      </c>
      <c r="X3" s="4">
        <f t="shared" si="0"/>
        <v>1.8223914406069774E-3</v>
      </c>
      <c r="Y3" s="4">
        <f t="shared" si="0"/>
        <v>1.8223914406069774E-3</v>
      </c>
      <c r="Z3" s="4">
        <f t="shared" si="0"/>
        <v>1.8223914406069774E-3</v>
      </c>
      <c r="AA3" s="4">
        <f t="shared" si="0"/>
        <v>1.8223914406069774E-3</v>
      </c>
      <c r="AB3" s="4">
        <f t="shared" si="0"/>
        <v>1.8223914406069774E-3</v>
      </c>
      <c r="AC3" s="4">
        <f t="shared" si="0"/>
        <v>1.8223914406069774E-3</v>
      </c>
      <c r="AD3" s="4">
        <f t="shared" si="0"/>
        <v>1.8223914406069774E-3</v>
      </c>
      <c r="AE3" s="4">
        <f t="shared" si="0"/>
        <v>1.8223914406069774E-3</v>
      </c>
      <c r="AG3" s="4"/>
      <c r="AH3" s="4"/>
    </row>
    <row r="4" spans="1:34">
      <c r="A4" t="s">
        <v>4</v>
      </c>
      <c r="B4" s="4">
        <v>1.8223914406069774E-3</v>
      </c>
      <c r="C4" s="4">
        <f t="shared" si="1"/>
        <v>1.8223914406069774E-3</v>
      </c>
      <c r="D4" s="4">
        <f t="shared" si="0"/>
        <v>1.8223914406069774E-3</v>
      </c>
      <c r="E4" s="4">
        <f t="shared" si="0"/>
        <v>1.8223914406069774E-3</v>
      </c>
      <c r="F4" s="4">
        <f t="shared" si="0"/>
        <v>1.8223914406069774E-3</v>
      </c>
      <c r="G4" s="4">
        <f t="shared" si="0"/>
        <v>1.8223914406069774E-3</v>
      </c>
      <c r="H4" s="4">
        <f t="shared" si="0"/>
        <v>1.8223914406069774E-3</v>
      </c>
      <c r="I4" s="4">
        <f t="shared" si="0"/>
        <v>1.8223914406069774E-3</v>
      </c>
      <c r="J4" s="4">
        <f t="shared" si="0"/>
        <v>1.8223914406069774E-3</v>
      </c>
      <c r="K4" s="4">
        <f t="shared" si="0"/>
        <v>1.8223914406069774E-3</v>
      </c>
      <c r="L4" s="4">
        <f t="shared" si="0"/>
        <v>1.8223914406069774E-3</v>
      </c>
      <c r="M4" s="4">
        <f t="shared" si="0"/>
        <v>1.8223914406069774E-3</v>
      </c>
      <c r="N4" s="4">
        <f t="shared" si="0"/>
        <v>1.8223914406069774E-3</v>
      </c>
      <c r="O4" s="4">
        <f t="shared" si="0"/>
        <v>1.8223914406069774E-3</v>
      </c>
      <c r="P4" s="4">
        <f t="shared" si="0"/>
        <v>1.8223914406069774E-3</v>
      </c>
      <c r="Q4" s="4">
        <f t="shared" si="0"/>
        <v>1.8223914406069774E-3</v>
      </c>
      <c r="R4" s="4">
        <f t="shared" si="0"/>
        <v>1.8223914406069774E-3</v>
      </c>
      <c r="S4" s="4">
        <f t="shared" si="0"/>
        <v>1.8223914406069774E-3</v>
      </c>
      <c r="T4" s="4">
        <f t="shared" si="0"/>
        <v>1.8223914406069774E-3</v>
      </c>
      <c r="U4" s="4">
        <f t="shared" si="0"/>
        <v>1.8223914406069774E-3</v>
      </c>
      <c r="V4" s="4">
        <f t="shared" si="0"/>
        <v>1.8223914406069774E-3</v>
      </c>
      <c r="W4" s="4">
        <f t="shared" si="0"/>
        <v>1.8223914406069774E-3</v>
      </c>
      <c r="X4" s="4">
        <f t="shared" si="0"/>
        <v>1.8223914406069774E-3</v>
      </c>
      <c r="Y4" s="4">
        <f t="shared" si="0"/>
        <v>1.8223914406069774E-3</v>
      </c>
      <c r="Z4" s="4">
        <f t="shared" si="0"/>
        <v>1.8223914406069774E-3</v>
      </c>
      <c r="AA4" s="4">
        <f t="shared" si="0"/>
        <v>1.8223914406069774E-3</v>
      </c>
      <c r="AB4" s="4">
        <f t="shared" si="0"/>
        <v>1.8223914406069774E-3</v>
      </c>
      <c r="AC4" s="4">
        <f t="shared" si="0"/>
        <v>1.8223914406069774E-3</v>
      </c>
      <c r="AD4" s="4">
        <f t="shared" si="0"/>
        <v>1.8223914406069774E-3</v>
      </c>
      <c r="AE4" s="4">
        <f t="shared" si="0"/>
        <v>1.8223914406069774E-3</v>
      </c>
      <c r="AG4" s="4"/>
      <c r="AH4" s="4"/>
    </row>
    <row r="5" spans="1:34">
      <c r="A5" t="s">
        <v>5</v>
      </c>
      <c r="B5" s="4">
        <v>1.8223914406069774E-3</v>
      </c>
      <c r="C5" s="4">
        <f t="shared" si="1"/>
        <v>1.8223914406069774E-3</v>
      </c>
      <c r="D5" s="4">
        <f t="shared" si="0"/>
        <v>1.8223914406069774E-3</v>
      </c>
      <c r="E5" s="4">
        <f t="shared" si="0"/>
        <v>1.8223914406069774E-3</v>
      </c>
      <c r="F5" s="4">
        <f t="shared" si="0"/>
        <v>1.8223914406069774E-3</v>
      </c>
      <c r="G5" s="4">
        <f t="shared" si="0"/>
        <v>1.8223914406069774E-3</v>
      </c>
      <c r="H5" s="4">
        <f t="shared" si="0"/>
        <v>1.8223914406069774E-3</v>
      </c>
      <c r="I5" s="4">
        <f t="shared" si="0"/>
        <v>1.8223914406069774E-3</v>
      </c>
      <c r="J5" s="4">
        <f t="shared" si="0"/>
        <v>1.8223914406069774E-3</v>
      </c>
      <c r="K5" s="4">
        <f t="shared" si="0"/>
        <v>1.8223914406069774E-3</v>
      </c>
      <c r="L5" s="4">
        <f t="shared" si="0"/>
        <v>1.8223914406069774E-3</v>
      </c>
      <c r="M5" s="4">
        <f t="shared" si="0"/>
        <v>1.8223914406069774E-3</v>
      </c>
      <c r="N5" s="4">
        <f t="shared" si="0"/>
        <v>1.8223914406069774E-3</v>
      </c>
      <c r="O5" s="4">
        <f t="shared" si="0"/>
        <v>1.8223914406069774E-3</v>
      </c>
      <c r="P5" s="4">
        <f t="shared" si="0"/>
        <v>1.8223914406069774E-3</v>
      </c>
      <c r="Q5" s="4">
        <f t="shared" si="0"/>
        <v>1.8223914406069774E-3</v>
      </c>
      <c r="R5" s="4">
        <f t="shared" si="0"/>
        <v>1.8223914406069774E-3</v>
      </c>
      <c r="S5" s="4">
        <f t="shared" si="0"/>
        <v>1.8223914406069774E-3</v>
      </c>
      <c r="T5" s="4">
        <f t="shared" si="0"/>
        <v>1.8223914406069774E-3</v>
      </c>
      <c r="U5" s="4">
        <f t="shared" si="0"/>
        <v>1.8223914406069774E-3</v>
      </c>
      <c r="V5" s="4">
        <f t="shared" si="0"/>
        <v>1.8223914406069774E-3</v>
      </c>
      <c r="W5" s="4">
        <f t="shared" si="0"/>
        <v>1.8223914406069774E-3</v>
      </c>
      <c r="X5" s="4">
        <f t="shared" si="0"/>
        <v>1.8223914406069774E-3</v>
      </c>
      <c r="Y5" s="4">
        <f t="shared" si="0"/>
        <v>1.8223914406069774E-3</v>
      </c>
      <c r="Z5" s="4">
        <f t="shared" si="0"/>
        <v>1.8223914406069774E-3</v>
      </c>
      <c r="AA5" s="4">
        <f t="shared" si="0"/>
        <v>1.8223914406069774E-3</v>
      </c>
      <c r="AB5" s="4">
        <f t="shared" si="0"/>
        <v>1.8223914406069774E-3</v>
      </c>
      <c r="AC5" s="4">
        <f t="shared" si="0"/>
        <v>1.8223914406069774E-3</v>
      </c>
      <c r="AD5" s="4">
        <f t="shared" si="0"/>
        <v>1.8223914406069774E-3</v>
      </c>
      <c r="AE5" s="4">
        <f t="shared" si="0"/>
        <v>1.8223914406069774E-3</v>
      </c>
      <c r="AG5" s="4"/>
      <c r="AH5" s="4"/>
    </row>
    <row r="6" spans="1:34">
      <c r="A6" t="s">
        <v>6</v>
      </c>
      <c r="B6" s="4">
        <v>4.0116590528098328E-3</v>
      </c>
      <c r="C6" s="4">
        <f t="shared" si="1"/>
        <v>4.0116590528098328E-3</v>
      </c>
      <c r="D6" s="4">
        <f t="shared" si="0"/>
        <v>4.0116590528098328E-3</v>
      </c>
      <c r="E6" s="4">
        <f t="shared" si="0"/>
        <v>4.0116590528098328E-3</v>
      </c>
      <c r="F6" s="4">
        <f t="shared" si="0"/>
        <v>4.0116590528098328E-3</v>
      </c>
      <c r="G6" s="4">
        <f t="shared" si="0"/>
        <v>4.0116590528098328E-3</v>
      </c>
      <c r="H6" s="4">
        <f t="shared" si="0"/>
        <v>4.0116590528098328E-3</v>
      </c>
      <c r="I6" s="4">
        <f t="shared" si="0"/>
        <v>4.0116590528098328E-3</v>
      </c>
      <c r="J6" s="4">
        <f t="shared" si="0"/>
        <v>4.0116590528098328E-3</v>
      </c>
      <c r="K6" s="4">
        <f t="shared" si="0"/>
        <v>4.0116590528098328E-3</v>
      </c>
      <c r="L6" s="4">
        <f t="shared" si="0"/>
        <v>4.0116590528098328E-3</v>
      </c>
      <c r="M6" s="4">
        <f t="shared" si="0"/>
        <v>4.0116590528098328E-3</v>
      </c>
      <c r="N6" s="4">
        <f t="shared" si="0"/>
        <v>4.0116590528098328E-3</v>
      </c>
      <c r="O6" s="4">
        <f t="shared" si="0"/>
        <v>4.0116590528098328E-3</v>
      </c>
      <c r="P6" s="4">
        <f t="shared" si="0"/>
        <v>4.0116590528098328E-3</v>
      </c>
      <c r="Q6" s="4">
        <f t="shared" si="0"/>
        <v>4.0116590528098328E-3</v>
      </c>
      <c r="R6" s="4">
        <f t="shared" si="0"/>
        <v>4.0116590528098328E-3</v>
      </c>
      <c r="S6" s="4">
        <f t="shared" si="0"/>
        <v>4.0116590528098328E-3</v>
      </c>
      <c r="T6" s="4">
        <f t="shared" si="0"/>
        <v>4.0116590528098328E-3</v>
      </c>
      <c r="U6" s="4">
        <f t="shared" si="0"/>
        <v>4.0116590528098328E-3</v>
      </c>
      <c r="V6" s="4">
        <f t="shared" si="0"/>
        <v>4.0116590528098328E-3</v>
      </c>
      <c r="W6" s="4">
        <f t="shared" si="0"/>
        <v>4.0116590528098328E-3</v>
      </c>
      <c r="X6" s="4">
        <f t="shared" si="0"/>
        <v>4.0116590528098328E-3</v>
      </c>
      <c r="Y6" s="4">
        <f t="shared" si="0"/>
        <v>4.0116590528098328E-3</v>
      </c>
      <c r="Z6" s="4">
        <f t="shared" si="0"/>
        <v>4.0116590528098328E-3</v>
      </c>
      <c r="AA6" s="4">
        <f t="shared" si="0"/>
        <v>4.0116590528098328E-3</v>
      </c>
      <c r="AB6" s="4">
        <f t="shared" si="0"/>
        <v>4.0116590528098328E-3</v>
      </c>
      <c r="AC6" s="4">
        <f t="shared" si="0"/>
        <v>4.0116590528098328E-3</v>
      </c>
      <c r="AD6" s="4">
        <f t="shared" si="0"/>
        <v>4.0116590528098328E-3</v>
      </c>
      <c r="AE6" s="4">
        <f t="shared" si="0"/>
        <v>4.0116590528098328E-3</v>
      </c>
      <c r="AG6" s="4"/>
      <c r="AH6" s="4"/>
    </row>
    <row r="7" spans="1:34">
      <c r="A7" t="s">
        <v>84</v>
      </c>
      <c r="B7" s="4">
        <v>1.4123533664704075E-3</v>
      </c>
      <c r="C7" s="4">
        <f t="shared" si="1"/>
        <v>1.4123533664704075E-3</v>
      </c>
      <c r="D7" s="4">
        <f t="shared" si="0"/>
        <v>1.4123533664704075E-3</v>
      </c>
      <c r="E7" s="4">
        <f t="shared" si="0"/>
        <v>1.4123533664704075E-3</v>
      </c>
      <c r="F7" s="4">
        <f t="shared" si="0"/>
        <v>1.4123533664704075E-3</v>
      </c>
      <c r="G7" s="4">
        <f t="shared" si="0"/>
        <v>1.4123533664704075E-3</v>
      </c>
      <c r="H7" s="4">
        <f t="shared" si="0"/>
        <v>1.4123533664704075E-3</v>
      </c>
      <c r="I7" s="4">
        <f t="shared" si="0"/>
        <v>1.4123533664704075E-3</v>
      </c>
      <c r="J7" s="4">
        <f t="shared" si="0"/>
        <v>1.4123533664704075E-3</v>
      </c>
      <c r="K7" s="4">
        <f t="shared" si="0"/>
        <v>1.4123533664704075E-3</v>
      </c>
      <c r="L7" s="4">
        <f t="shared" si="0"/>
        <v>1.4123533664704075E-3</v>
      </c>
      <c r="M7" s="4">
        <f t="shared" si="0"/>
        <v>1.4123533664704075E-3</v>
      </c>
      <c r="N7" s="4">
        <f t="shared" si="0"/>
        <v>1.4123533664704075E-3</v>
      </c>
      <c r="O7" s="4">
        <f t="shared" si="0"/>
        <v>1.4123533664704075E-3</v>
      </c>
      <c r="P7" s="4">
        <f t="shared" si="0"/>
        <v>1.4123533664704075E-3</v>
      </c>
      <c r="Q7" s="4">
        <f t="shared" si="0"/>
        <v>1.4123533664704075E-3</v>
      </c>
      <c r="R7" s="4">
        <f t="shared" si="0"/>
        <v>1.4123533664704075E-3</v>
      </c>
      <c r="S7" s="4">
        <f t="shared" si="0"/>
        <v>1.4123533664704075E-3</v>
      </c>
      <c r="T7" s="4">
        <f t="shared" si="0"/>
        <v>1.4123533664704075E-3</v>
      </c>
      <c r="U7" s="4">
        <f t="shared" si="0"/>
        <v>1.4123533664704075E-3</v>
      </c>
      <c r="V7" s="4">
        <f t="shared" si="0"/>
        <v>1.4123533664704075E-3</v>
      </c>
      <c r="W7" s="4">
        <f t="shared" si="0"/>
        <v>1.4123533664704075E-3</v>
      </c>
      <c r="X7" s="4">
        <f t="shared" si="0"/>
        <v>1.4123533664704075E-3</v>
      </c>
      <c r="Y7" s="4">
        <f t="shared" si="0"/>
        <v>1.4123533664704075E-3</v>
      </c>
      <c r="Z7" s="4">
        <f t="shared" si="0"/>
        <v>1.4123533664704075E-3</v>
      </c>
      <c r="AA7" s="4">
        <f t="shared" si="0"/>
        <v>1.4123533664704075E-3</v>
      </c>
      <c r="AB7" s="4">
        <f t="shared" si="0"/>
        <v>1.4123533664704075E-3</v>
      </c>
      <c r="AC7" s="4">
        <f t="shared" si="0"/>
        <v>1.4123533664704075E-3</v>
      </c>
      <c r="AD7" s="4">
        <f t="shared" si="0"/>
        <v>1.4123533664704075E-3</v>
      </c>
      <c r="AE7" s="4">
        <f t="shared" si="0"/>
        <v>1.4123533664704075E-3</v>
      </c>
      <c r="AG7" s="4"/>
      <c r="AH7" s="4"/>
    </row>
    <row r="8" spans="1:34">
      <c r="A8" t="s">
        <v>85</v>
      </c>
      <c r="B8" s="4">
        <v>5.467174321820931E-3</v>
      </c>
      <c r="C8" s="4">
        <f t="shared" si="1"/>
        <v>5.467174321820931E-3</v>
      </c>
      <c r="D8" s="4">
        <f t="shared" si="0"/>
        <v>5.467174321820931E-3</v>
      </c>
      <c r="E8" s="4">
        <f t="shared" si="0"/>
        <v>5.467174321820931E-3</v>
      </c>
      <c r="F8" s="4">
        <f t="shared" si="0"/>
        <v>5.467174321820931E-3</v>
      </c>
      <c r="G8" s="4">
        <f t="shared" si="0"/>
        <v>5.467174321820931E-3</v>
      </c>
      <c r="H8" s="4">
        <f t="shared" si="0"/>
        <v>5.467174321820931E-3</v>
      </c>
      <c r="I8" s="4">
        <f t="shared" si="0"/>
        <v>5.467174321820931E-3</v>
      </c>
      <c r="J8" s="4">
        <f t="shared" si="0"/>
        <v>5.467174321820931E-3</v>
      </c>
      <c r="K8" s="4">
        <f t="shared" si="0"/>
        <v>5.467174321820931E-3</v>
      </c>
      <c r="L8" s="4">
        <f t="shared" si="0"/>
        <v>5.467174321820931E-3</v>
      </c>
      <c r="M8" s="4">
        <f t="shared" si="0"/>
        <v>5.467174321820931E-3</v>
      </c>
      <c r="N8" s="4">
        <f t="shared" si="0"/>
        <v>5.467174321820931E-3</v>
      </c>
      <c r="O8" s="4">
        <f t="shared" si="0"/>
        <v>5.467174321820931E-3</v>
      </c>
      <c r="P8" s="4">
        <f t="shared" si="0"/>
        <v>5.467174321820931E-3</v>
      </c>
      <c r="Q8" s="4">
        <f t="shared" si="0"/>
        <v>5.467174321820931E-3</v>
      </c>
      <c r="R8" s="4">
        <f t="shared" si="0"/>
        <v>5.467174321820931E-3</v>
      </c>
      <c r="S8" s="4">
        <f t="shared" si="0"/>
        <v>5.467174321820931E-3</v>
      </c>
      <c r="T8" s="4">
        <f t="shared" si="0"/>
        <v>5.467174321820931E-3</v>
      </c>
      <c r="U8" s="4">
        <f t="shared" si="0"/>
        <v>5.467174321820931E-3</v>
      </c>
      <c r="V8" s="4">
        <f t="shared" si="0"/>
        <v>5.467174321820931E-3</v>
      </c>
      <c r="W8" s="4">
        <f t="shared" si="0"/>
        <v>5.467174321820931E-3</v>
      </c>
      <c r="X8" s="4">
        <f t="shared" si="0"/>
        <v>5.467174321820931E-3</v>
      </c>
      <c r="Y8" s="4">
        <f t="shared" si="0"/>
        <v>5.467174321820931E-3</v>
      </c>
      <c r="Z8" s="4">
        <f t="shared" si="0"/>
        <v>5.467174321820931E-3</v>
      </c>
      <c r="AA8" s="4">
        <f t="shared" si="0"/>
        <v>5.467174321820931E-3</v>
      </c>
      <c r="AB8" s="4">
        <f t="shared" si="0"/>
        <v>5.467174321820931E-3</v>
      </c>
      <c r="AC8" s="4">
        <f t="shared" si="0"/>
        <v>5.467174321820931E-3</v>
      </c>
      <c r="AD8" s="4">
        <f t="shared" si="0"/>
        <v>5.467174321820931E-3</v>
      </c>
      <c r="AE8" s="4">
        <f t="shared" si="0"/>
        <v>5.467174321820931E-3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2026-05-11T22:32:35Z</dcterms:modified>
</cp:coreProperties>
</file>