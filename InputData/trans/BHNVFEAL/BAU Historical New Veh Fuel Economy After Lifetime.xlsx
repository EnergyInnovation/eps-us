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HNVFEAL\"/>
    </mc:Choice>
  </mc:AlternateContent>
  <xr:revisionPtr revIDLastSave="0" documentId="13_ncr:1_{51991E45-905E-42B8-9F2E-7BCF8D3BD7AC}" xr6:coauthVersionLast="47" xr6:coauthVersionMax="47" xr10:uidLastSave="{00000000-0000-0000-0000-000000000000}"/>
  <bookViews>
    <workbookView xWindow="-90" yWindow="-90" windowWidth="19380" windowHeight="10260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4" i="24" l="1"/>
  <c r="AR10" i="24" l="1"/>
  <c r="AQ5" i="24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R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P4" i="2"/>
  <c r="Q4" i="2"/>
  <c r="R4" i="2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R5" i="24"/>
  <c r="AQ4" i="24" s="1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R7" i="24"/>
  <c r="AQ7" i="24" s="1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L12" i="24"/>
  <c r="T12" i="24"/>
  <c r="AB12" i="24"/>
  <c r="AJ12" i="24"/>
  <c r="W12" i="24"/>
  <c r="Y12" i="24"/>
  <c r="S12" i="24"/>
  <c r="M12" i="24"/>
  <c r="U12" i="24"/>
  <c r="AC12" i="24"/>
  <c r="AK12" i="24"/>
  <c r="O12" i="24"/>
  <c r="AM12" i="24"/>
  <c r="Q12" i="24"/>
  <c r="AA12" i="24"/>
  <c r="N12" i="24"/>
  <c r="V12" i="24"/>
  <c r="AD12" i="24"/>
  <c r="AL12" i="24"/>
  <c r="G12" i="24"/>
  <c r="AE12" i="24"/>
  <c r="AG12" i="24"/>
  <c r="AQ12" i="24"/>
  <c r="H12" i="24"/>
  <c r="P12" i="24"/>
  <c r="X12" i="24"/>
  <c r="AF12" i="24"/>
  <c r="AN12" i="24"/>
  <c r="I12" i="24"/>
  <c r="AO12" i="24"/>
  <c r="J12" i="24"/>
  <c r="R12" i="24"/>
  <c r="Z12" i="24"/>
  <c r="AH12" i="24"/>
  <c r="AP12" i="24"/>
  <c r="K12" i="24"/>
  <c r="AI12" i="24"/>
  <c r="H11" i="24"/>
  <c r="P11" i="24"/>
  <c r="X11" i="24"/>
  <c r="AF11" i="24"/>
  <c r="AN11" i="24"/>
  <c r="K11" i="24"/>
  <c r="AI11" i="24"/>
  <c r="U11" i="24"/>
  <c r="AE11" i="24"/>
  <c r="I11" i="24"/>
  <c r="Q11" i="24"/>
  <c r="Y11" i="24"/>
  <c r="AG11" i="24"/>
  <c r="AO11" i="24"/>
  <c r="AP11" i="24"/>
  <c r="AA11" i="24"/>
  <c r="M11" i="24"/>
  <c r="AM11" i="24"/>
  <c r="J11" i="24"/>
  <c r="R11" i="24"/>
  <c r="Z11" i="24"/>
  <c r="AH11" i="24"/>
  <c r="S11" i="24"/>
  <c r="AQ11" i="24"/>
  <c r="AC11" i="24"/>
  <c r="W11" i="24"/>
  <c r="L11" i="24"/>
  <c r="T11" i="24"/>
  <c r="AB11" i="24"/>
  <c r="AJ11" i="24"/>
  <c r="G11" i="24"/>
  <c r="AK11" i="24"/>
  <c r="O11" i="24"/>
  <c r="N11" i="24"/>
  <c r="V11" i="24"/>
  <c r="AD11" i="24"/>
  <c r="AL11" i="24"/>
  <c r="AQ3" i="24" a="1"/>
  <c r="AQ3" i="24" s="1"/>
  <c r="AP3" i="24" a="1"/>
  <c r="AP3" i="24" s="1"/>
  <c r="Z13" i="24"/>
  <c r="AH13" i="24"/>
  <c r="AP13" i="24"/>
  <c r="AK13" i="24"/>
  <c r="AA13" i="24"/>
  <c r="AI13" i="24"/>
  <c r="AQ13" i="24"/>
  <c r="AB13" i="24"/>
  <c r="AJ13" i="24"/>
  <c r="W13" i="24"/>
  <c r="AC13" i="24"/>
  <c r="AD13" i="24"/>
  <c r="AL13" i="24"/>
  <c r="AM13" i="24"/>
  <c r="AE13" i="24"/>
  <c r="X13" i="24"/>
  <c r="AF13" i="24"/>
  <c r="AN13" i="24"/>
  <c r="Y13" i="24"/>
  <c r="AG13" i="24"/>
  <c r="AO13" i="24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T10" i="24"/>
  <c r="AC10" i="24"/>
  <c r="AK10" i="24"/>
  <c r="F10" i="24"/>
  <c r="V10" i="24"/>
  <c r="AD10" i="24"/>
  <c r="AL10" i="24"/>
  <c r="Q10" i="24"/>
  <c r="W10" i="24"/>
  <c r="AE10" i="24"/>
  <c r="AM10" i="24"/>
  <c r="AQ10" i="24"/>
  <c r="X10" i="24"/>
  <c r="AF10" i="24"/>
  <c r="AN10" i="24"/>
  <c r="N10" i="24"/>
  <c r="Y10" i="24"/>
  <c r="AG10" i="24"/>
  <c r="AO10" i="24"/>
  <c r="AA10" i="24"/>
  <c r="AJ10" i="24"/>
  <c r="L10" i="24"/>
  <c r="Z10" i="24"/>
  <c r="AH10" i="24"/>
  <c r="AP10" i="24"/>
  <c r="AI10" i="24"/>
  <c r="AB10" i="24"/>
  <c r="S10" i="24"/>
  <c r="P10" i="24"/>
  <c r="O10" i="24"/>
  <c r="K10" i="24"/>
  <c r="I10" i="24"/>
  <c r="R10" i="24"/>
  <c r="U10" i="24"/>
  <c r="G10" i="24"/>
  <c r="J10" i="24"/>
  <c r="M10" i="24"/>
  <c r="H10" i="24"/>
  <c r="N8" i="24"/>
  <c r="H5" i="10"/>
  <c r="O4" i="2"/>
  <c r="O6" i="2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AD7" i="2"/>
  <c r="AD5" i="2"/>
  <c r="AD3" i="2"/>
  <c r="AD6" i="2"/>
  <c r="V7" i="2"/>
  <c r="V3" i="2"/>
  <c r="V5" i="2"/>
  <c r="V6" i="2"/>
  <c r="O3" i="2" l="1"/>
  <c r="O5" i="2"/>
  <c r="O8" i="24"/>
  <c r="I5" i="10"/>
  <c r="O7" i="2"/>
  <c r="N4" i="2"/>
  <c r="B16" i="26"/>
  <c r="C16" i="26"/>
  <c r="AA2" i="24" s="1"/>
  <c r="P8" i="24" l="1"/>
  <c r="J5" i="10"/>
  <c r="B4" i="2"/>
  <c r="B6" i="2" s="1"/>
  <c r="N7" i="2"/>
  <c r="N3" i="2"/>
  <c r="N6" i="2"/>
  <c r="N5" i="2"/>
  <c r="Q8" i="24" l="1"/>
  <c r="K5" i="10"/>
  <c r="B7" i="2"/>
  <c r="B5" i="2"/>
  <c r="B3" i="2"/>
  <c r="X5" i="8"/>
  <c r="R8" i="24" l="1"/>
  <c r="L5" i="10"/>
  <c r="D4" i="2"/>
  <c r="D7" i="2" s="1"/>
  <c r="C4" i="2"/>
  <c r="C3" i="2" s="1"/>
  <c r="E4" i="2"/>
  <c r="Y5" i="9"/>
  <c r="Z5" i="9"/>
  <c r="AA5" i="9"/>
  <c r="AC5" i="9"/>
  <c r="AD5" i="9"/>
  <c r="AE5" i="9"/>
  <c r="S8" i="24" l="1"/>
  <c r="M5" i="10"/>
  <c r="C7" i="2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T8" i="24" l="1"/>
  <c r="N5" i="10"/>
  <c r="F7" i="2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G5" i="2"/>
  <c r="G7" i="2"/>
  <c r="G3" i="2"/>
  <c r="G6" i="2"/>
  <c r="H4" i="2"/>
  <c r="B21" i="26"/>
  <c r="B22" i="26" s="1"/>
  <c r="V8" i="24" l="1"/>
  <c r="P5" i="10"/>
  <c r="H5" i="2"/>
  <c r="H3" i="2"/>
  <c r="H6" i="2"/>
  <c r="H7" i="2"/>
  <c r="I4" i="2"/>
  <c r="W8" i="24" l="1"/>
  <c r="Q5" i="10"/>
  <c r="I5" i="2"/>
  <c r="I3" i="2"/>
  <c r="I6" i="2"/>
  <c r="I7" i="2"/>
  <c r="J4" i="2"/>
  <c r="X8" i="24" l="1"/>
  <c r="R5" i="10"/>
  <c r="J6" i="2"/>
  <c r="J7" i="2"/>
  <c r="J5" i="2"/>
  <c r="J3" i="2"/>
  <c r="K4" i="2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K3" i="2"/>
  <c r="K6" i="2"/>
  <c r="K7" i="2"/>
  <c r="K5" i="2"/>
  <c r="M4" i="2"/>
  <c r="L4" i="2"/>
  <c r="H8" i="8"/>
  <c r="H2" i="8"/>
  <c r="K8" i="8"/>
  <c r="K2" i="8"/>
  <c r="C8" i="10"/>
  <c r="V8" i="8"/>
  <c r="V2" i="8"/>
  <c r="L8" i="8"/>
  <c r="L2" i="8"/>
  <c r="I2" i="8"/>
  <c r="I8" i="8"/>
  <c r="S8" i="10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L7" i="2"/>
  <c r="L3" i="2"/>
  <c r="L6" i="2"/>
  <c r="L5" i="2"/>
  <c r="M7" i="2"/>
  <c r="M3" i="2"/>
  <c r="M6" i="2"/>
  <c r="M5" i="2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  <c r="AL4" i="24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AH3" i="24" a="1"/>
  <c r="AH3" i="24" s="1"/>
  <c r="AG3" i="24" a="1"/>
  <c r="AG3" i="24" s="1"/>
  <c r="AN3" i="24" a="1"/>
  <c r="AN3" i="24" s="1"/>
  <c r="AC3" i="24" a="1"/>
  <c r="AC3" i="24" s="1"/>
  <c r="AO3" i="24" a="1"/>
  <c r="AO3" i="24" s="1"/>
  <c r="AJ3" i="24" a="1"/>
  <c r="AJ3" i="24" s="1"/>
  <c r="AM3" i="24" a="1"/>
  <c r="AM3" i="24" s="1"/>
  <c r="AB3" i="24" a="1"/>
  <c r="AB3" i="24" s="1"/>
  <c r="AI3" i="24" a="1"/>
  <c r="AI3" i="24" s="1"/>
  <c r="AE3" i="24" a="1"/>
  <c r="AE3" i="24" s="1"/>
  <c r="AL3" i="24" a="1"/>
  <c r="AL3" i="24" s="1"/>
  <c r="AD3" i="24" a="1"/>
  <c r="AD3" i="24" s="1"/>
  <c r="AA3" i="24" a="1"/>
  <c r="AA3" i="24" s="1"/>
  <c r="AF3" i="24" a="1"/>
  <c r="AF3" i="24" s="1"/>
  <c r="AK3" i="24" a="1"/>
  <c r="AK3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<sst xmlns="http://schemas.openxmlformats.org/spreadsheetml/2006/main" count="291" uniqueCount="99">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</sst>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30" borderId="0" xfId="0" applyNumberFormat="1" applyFill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0" fontId="43" fillId="0" borderId="0" xfId="0" applyFont="1"/>
    <xf numFmtId="43" fontId="0" fillId="0" borderId="0" xfId="154" applyFon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3.1779260113808729E-4</c:v>
                </c:pt>
                <c:pt idx="26" formatCode="0.00E+00">
                  <c:v>3.2133534064398227E-4</c:v>
                </c:pt>
                <c:pt idx="27" formatCode="0.00E+00">
                  <c:v>3.2487808014987726E-4</c:v>
                </c:pt>
                <c:pt idx="28" formatCode="0.00E+00">
                  <c:v>3.2842081965577224E-4</c:v>
                </c:pt>
                <c:pt idx="29" formatCode="0.00E+00">
                  <c:v>3.3196355916166722E-4</c:v>
                </c:pt>
                <c:pt idx="30" formatCode="0.00E+00">
                  <c:v>3.3550629866756221E-4</c:v>
                </c:pt>
                <c:pt idx="31" formatCode="0.00E+00">
                  <c:v>3.3904903817345719E-4</c:v>
                </c:pt>
                <c:pt idx="32" formatCode="0.00E+00">
                  <c:v>3.4259177767935218E-4</c:v>
                </c:pt>
                <c:pt idx="33" formatCode="0.00E+00">
                  <c:v>3.4613451718524716E-4</c:v>
                </c:pt>
                <c:pt idx="34" formatCode="0.00E+00">
                  <c:v>3.4967725669114214E-4</c:v>
                </c:pt>
                <c:pt idx="35" formatCode="0.00E+00">
                  <c:v>3.5321999619703713E-4</c:v>
                </c:pt>
                <c:pt idx="36" formatCode="0.00E+00">
                  <c:v>3.5676273570293211E-4</c:v>
                </c:pt>
                <c:pt idx="37" formatCode="0.00E+00">
                  <c:v>3.603054752088271E-4</c:v>
                </c:pt>
                <c:pt idx="38" formatCode="0.00E+00">
                  <c:v>3.6384821471472208E-4</c:v>
                </c:pt>
                <c:pt idx="39" formatCode="0.00E+00">
                  <c:v>3.6739095422061706E-4</c:v>
                </c:pt>
                <c:pt idx="40" formatCode="0.00E+00">
                  <c:v>3.7093369372651205E-4</c:v>
                </c:pt>
                <c:pt idx="41" formatCode="0.00E+00">
                  <c:v>3.7447643323240698E-4</c:v>
                </c:pt>
                <c:pt idx="42" formatCode="0.00E+00">
                  <c:v>3.9011286777709445E-4</c:v>
                </c:pt>
                <c:pt idx="43" formatCode="0.00E+00">
                  <c:v>3.973908333465341E-4</c:v>
                </c:pt>
                <c:pt idx="44" formatCode="0.00E+00">
                  <c:v>3.9921116827982341E-4</c:v>
                </c:pt>
                <c:pt idx="45" formatCode="0.00E+00">
                  <c:v>4.0474968459162865E-4</c:v>
                </c:pt>
                <c:pt idx="46" formatCode="0.00E+00">
                  <c:v>4.0866714086181205E-4</c:v>
                </c:pt>
                <c:pt idx="47" formatCode="0.00E+00">
                  <c:v>4.1165739618674141E-4</c:v>
                </c:pt>
                <c:pt idx="48" formatCode="0.00E+00">
                  <c:v>4.1453743818293512E-4</c:v>
                </c:pt>
                <c:pt idx="49" formatCode="0.00E+00">
                  <c:v>4.1476226395269379E-4</c:v>
                </c:pt>
                <c:pt idx="50" formatCode="0.00E+00">
                  <c:v>4.1467751199658729E-4</c:v>
                </c:pt>
                <c:pt idx="51" formatCode="0.00E+00">
                  <c:v>4.1774836203476703E-4</c:v>
                </c:pt>
                <c:pt idx="52" formatCode="0.00E+00">
                  <c:v>4.1834632264550211E-4</c:v>
                </c:pt>
                <c:pt idx="53" formatCode="0.00E+00">
                  <c:v>4.1983822558637316E-4</c:v>
                </c:pt>
                <c:pt idx="54" formatCode="0.00E+00">
                  <c:v>4.2130104966706447E-4</c:v>
                </c:pt>
                <c:pt idx="55" formatCode="0.00E+00">
                  <c:v>4.2281184411175634E-4</c:v>
                </c:pt>
                <c:pt idx="56" formatCode="0.00E+00">
                  <c:v>4.2360951790740064E-4</c:v>
                </c:pt>
                <c:pt idx="57" formatCode="0.00E+00">
                  <c:v>4.2374431078237557E-4</c:v>
                </c:pt>
                <c:pt idx="58" formatCode="0.00E+00">
                  <c:v>4.2455978231601869E-4</c:v>
                </c:pt>
                <c:pt idx="59" formatCode="0.00E+00">
                  <c:v>4.2499271222158055E-4</c:v>
                </c:pt>
                <c:pt idx="60" formatCode="0.00E+00">
                  <c:v>4.255977010533903E-4</c:v>
                </c:pt>
                <c:pt idx="61" formatCode="0.00E+00">
                  <c:v>4.259134403023234E-4</c:v>
                </c:pt>
                <c:pt idx="62" formatCode="0.00E+00">
                  <c:v>4.2644140225411056E-4</c:v>
                </c:pt>
                <c:pt idx="63" formatCode="0.00E+00">
                  <c:v>4.2668500307371869E-4</c:v>
                </c:pt>
                <c:pt idx="64" formatCode="0.00E+00">
                  <c:v>4.2678409185942635E-4</c:v>
                </c:pt>
                <c:pt idx="65" formatCode="0.00E+00">
                  <c:v>4.2712969246070032E-4</c:v>
                </c:pt>
                <c:pt idx="66" formatCode="0.00E+00">
                  <c:v>4.274732939624897E-4</c:v>
                </c:pt>
                <c:pt idx="67" formatCode="0.00E+00">
                  <c:v>4.2842378634895789E-4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6.7936644557507406E-5</c:v>
                </c:pt>
                <c:pt idx="25" formatCode="0.00E+00">
                  <c:v>6.8982159565568642E-5</c:v>
                </c:pt>
                <c:pt idx="26" formatCode="0.00E+00">
                  <c:v>7.0027674573629444E-5</c:v>
                </c:pt>
                <c:pt idx="27" formatCode="0.00E+00">
                  <c:v>7.107318958169068E-5</c:v>
                </c:pt>
                <c:pt idx="28" formatCode="0.00E+00">
                  <c:v>7.2118704589751916E-5</c:v>
                </c:pt>
                <c:pt idx="29" formatCode="0.00E+00">
                  <c:v>7.3164219597812719E-5</c:v>
                </c:pt>
                <c:pt idx="30" formatCode="0.00E+00">
                  <c:v>7.4209734605873955E-5</c:v>
                </c:pt>
                <c:pt idx="31" formatCode="0.00E+00">
                  <c:v>7.5255249613935191E-5</c:v>
                </c:pt>
                <c:pt idx="32" formatCode="0.00E+00">
                  <c:v>7.6300764621996427E-5</c:v>
                </c:pt>
                <c:pt idx="33" formatCode="0.00E+00">
                  <c:v>7.7346279630057229E-5</c:v>
                </c:pt>
                <c:pt idx="34" formatCode="0.00E+00">
                  <c:v>7.8391794638118465E-5</c:v>
                </c:pt>
                <c:pt idx="35" formatCode="0.00E+00">
                  <c:v>7.9437309646179701E-5</c:v>
                </c:pt>
                <c:pt idx="36" formatCode="0.00E+00">
                  <c:v>8.0482824654240937E-5</c:v>
                </c:pt>
                <c:pt idx="37" formatCode="0.00E+00">
                  <c:v>8.152833966230174E-5</c:v>
                </c:pt>
                <c:pt idx="38" formatCode="0.00E+00">
                  <c:v>8.2573854670362976E-5</c:v>
                </c:pt>
                <c:pt idx="39" formatCode="0.00E+00">
                  <c:v>8.3290853830414978E-5</c:v>
                </c:pt>
                <c:pt idx="40" formatCode="0.00E+00">
                  <c:v>8.4477161344765576E-5</c:v>
                </c:pt>
                <c:pt idx="41" formatCode="0.00E+00">
                  <c:v>8.6081511061439429E-5</c:v>
                </c:pt>
                <c:pt idx="42" formatCode="0.00E+00">
                  <c:v>8.6605037659008062E-5</c:v>
                </c:pt>
                <c:pt idx="43" formatCode="0.00E+00">
                  <c:v>8.774074306406576E-5</c:v>
                </c:pt>
                <c:pt idx="44" formatCode="0.00E+00">
                  <c:v>8.8875120383758021E-5</c:v>
                </c:pt>
                <c:pt idx="45" formatCode="0.00E+00">
                  <c:v>9.0878007270817581E-5</c:v>
                </c:pt>
                <c:pt idx="46" formatCode="0.00E+00">
                  <c:v>9.1222619727092481E-5</c:v>
                </c:pt>
                <c:pt idx="47" formatCode="0.00E+00">
                  <c:v>9.2203039360616137E-5</c:v>
                </c:pt>
                <c:pt idx="48" formatCode="0.00E+00">
                  <c:v>9.3420264979240058E-5</c:v>
                </c:pt>
                <c:pt idx="49" formatCode="0.00E+00">
                  <c:v>9.4554347765317116E-5</c:v>
                </c:pt>
                <c:pt idx="50" formatCode="0.00E+00">
                  <c:v>9.5273851243985993E-5</c:v>
                </c:pt>
                <c:pt idx="51" formatCode="0.00E+00">
                  <c:v>9.6237109925949779E-5</c:v>
                </c:pt>
                <c:pt idx="52" formatCode="0.00E+00">
                  <c:v>9.7405008085110293E-5</c:v>
                </c:pt>
                <c:pt idx="53" formatCode="0.00E+00">
                  <c:v>9.83598745548802E-5</c:v>
                </c:pt>
                <c:pt idx="54" formatCode="0.00E+00">
                  <c:v>9.9169968845188442E-5</c:v>
                </c:pt>
                <c:pt idx="55" formatCode="0.00E+00">
                  <c:v>1.0006284269668531E-4</c:v>
                </c:pt>
                <c:pt idx="56" formatCode="0.00E+00">
                  <c:v>1.009236032880858E-4</c:v>
                </c:pt>
                <c:pt idx="57" formatCode="0.00E+00">
                  <c:v>1.0167355189208385E-4</c:v>
                </c:pt>
                <c:pt idx="58" formatCode="0.00E+00">
                  <c:v>1.0292543910496804E-4</c:v>
                </c:pt>
                <c:pt idx="59" formatCode="0.00E+00">
                  <c:v>1.0402221835884117E-4</c:v>
                </c:pt>
                <c:pt idx="60" formatCode="0.00E+00">
                  <c:v>1.0509268648373766E-4</c:v>
                </c:pt>
                <c:pt idx="61" formatCode="0.00E+00">
                  <c:v>1.0574360995112404E-4</c:v>
                </c:pt>
                <c:pt idx="62" formatCode="0.00E+00">
                  <c:v>1.0636614234036401E-4</c:v>
                </c:pt>
                <c:pt idx="63" formatCode="0.00E+00">
                  <c:v>1.069846490853625E-4</c:v>
                </c:pt>
                <c:pt idx="64" formatCode="0.00E+00">
                  <c:v>1.077249331934921E-4</c:v>
                </c:pt>
                <c:pt idx="65" formatCode="0.00E+00">
                  <c:v>1.0826226620916075E-4</c:v>
                </c:pt>
                <c:pt idx="66" formatCode="0.00E+00">
                  <c:v>1.08765871913312E-4</c:v>
                </c:pt>
                <c:pt idx="67" formatCode="0.00E+00">
                  <c:v>1.0938951127614153E-4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9.8438896867039508E-4</c:v>
                </c:pt>
                <c:pt idx="10" formatCode="0.00E+00">
                  <c:v>9.8438896867039508E-4</c:v>
                </c:pt>
                <c:pt idx="11" formatCode="0.00E+00">
                  <c:v>9.8438896867039508E-4</c:v>
                </c:pt>
                <c:pt idx="12" formatCode="0.00E+00">
                  <c:v>9.8438896867039508E-4</c:v>
                </c:pt>
                <c:pt idx="13" formatCode="0.00E+00">
                  <c:v>9.8438896867039508E-4</c:v>
                </c:pt>
                <c:pt idx="14" formatCode="0.00E+00">
                  <c:v>9.8438896867039508E-4</c:v>
                </c:pt>
                <c:pt idx="15" formatCode="0.00E+00">
                  <c:v>9.8438896867039508E-4</c:v>
                </c:pt>
                <c:pt idx="16" formatCode="0.00E+00">
                  <c:v>9.8438896867039508E-4</c:v>
                </c:pt>
                <c:pt idx="17" formatCode="0.00E+00">
                  <c:v>9.8438896867039508E-4</c:v>
                </c:pt>
                <c:pt idx="18" formatCode="0.00E+00">
                  <c:v>9.8438896867039508E-4</c:v>
                </c:pt>
                <c:pt idx="19" formatCode="0.00E+00">
                  <c:v>9.8438896867039508E-4</c:v>
                </c:pt>
                <c:pt idx="20" formatCode="0.00E+00">
                  <c:v>9.8557760355181558E-4</c:v>
                </c:pt>
                <c:pt idx="21" formatCode="0.00E+00">
                  <c:v>9.8676623843323608E-4</c:v>
                </c:pt>
                <c:pt idx="22" formatCode="0.00E+00">
                  <c:v>9.8795487331465657E-4</c:v>
                </c:pt>
                <c:pt idx="23" formatCode="0.00E+00">
                  <c:v>9.8914350819607707E-4</c:v>
                </c:pt>
                <c:pt idx="24" formatCode="0.00E+00">
                  <c:v>9.9033214307749757E-4</c:v>
                </c:pt>
                <c:pt idx="25" formatCode="0.00E+00">
                  <c:v>9.9152077795891806E-4</c:v>
                </c:pt>
                <c:pt idx="26" formatCode="0.00E+00">
                  <c:v>9.9270941284033856E-4</c:v>
                </c:pt>
                <c:pt idx="27" formatCode="0.00E+00">
                  <c:v>9.9389804772175906E-4</c:v>
                </c:pt>
                <c:pt idx="28" formatCode="0.00E+00">
                  <c:v>9.9508668260317955E-4</c:v>
                </c:pt>
                <c:pt idx="29" formatCode="0.00E+00">
                  <c:v>9.9627531748460005E-4</c:v>
                </c:pt>
                <c:pt idx="30" formatCode="0.00E+00">
                  <c:v>9.9746395236602055E-4</c:v>
                </c:pt>
                <c:pt idx="31" formatCode="0.00E+00">
                  <c:v>9.9865258724744104E-4</c:v>
                </c:pt>
                <c:pt idx="32" formatCode="0.00E+00">
                  <c:v>9.9984122212886154E-4</c:v>
                </c:pt>
                <c:pt idx="33" formatCode="0.00E+00">
                  <c:v>1.001029857010282E-3</c:v>
                </c:pt>
                <c:pt idx="34" formatCode="0.00E+00">
                  <c:v>1.0022184918917025E-3</c:v>
                </c:pt>
                <c:pt idx="35" formatCode="0.00E+00">
                  <c:v>1.003407126773123E-3</c:v>
                </c:pt>
                <c:pt idx="36" formatCode="0.00E+00">
                  <c:v>1.0045957616545435E-3</c:v>
                </c:pt>
                <c:pt idx="37" formatCode="0.00E+00">
                  <c:v>1.005784396535964E-3</c:v>
                </c:pt>
                <c:pt idx="38" formatCode="0.00E+00">
                  <c:v>1.0069730314173845E-3</c:v>
                </c:pt>
                <c:pt idx="39" formatCode="0.00E+00">
                  <c:v>1.008161666298805E-3</c:v>
                </c:pt>
                <c:pt idx="40" formatCode="0.00E+00">
                  <c:v>1.0105389360616456E-3</c:v>
                </c:pt>
                <c:pt idx="41" formatCode="0.00E+00">
                  <c:v>1.0071619859986915E-3</c:v>
                </c:pt>
                <c:pt idx="42" formatCode="0.00E+00">
                  <c:v>1.0297946332597221E-3</c:v>
                </c:pt>
                <c:pt idx="43" formatCode="0.00E+00">
                  <c:v>1.0542694402792506E-3</c:v>
                </c:pt>
                <c:pt idx="44" formatCode="0.00E+00">
                  <c:v>1.0790300186124084E-3</c:v>
                </c:pt>
                <c:pt idx="45" formatCode="0.00E+00">
                  <c:v>1.1024390235193078E-3</c:v>
                </c:pt>
                <c:pt idx="46" formatCode="0.00E+00">
                  <c:v>1.1250162796311157E-3</c:v>
                </c:pt>
                <c:pt idx="47" formatCode="0.00E+00">
                  <c:v>1.1437364311026228E-3</c:v>
                </c:pt>
                <c:pt idx="48" formatCode="0.00E+00">
                  <c:v>1.1601755544794832E-3</c:v>
                </c:pt>
                <c:pt idx="49" formatCode="0.00E+00">
                  <c:v>1.1731175422229271E-3</c:v>
                </c:pt>
                <c:pt idx="50" formatCode="0.00E+00">
                  <c:v>1.1829709958873008E-3</c:v>
                </c:pt>
                <c:pt idx="51" formatCode="0.00E+00">
                  <c:v>1.1904376346468411E-3</c:v>
                </c:pt>
                <c:pt idx="52" formatCode="0.00E+00">
                  <c:v>1.1951266350083583E-3</c:v>
                </c:pt>
                <c:pt idx="53" formatCode="0.00E+00">
                  <c:v>1.1954817554531098E-3</c:v>
                </c:pt>
                <c:pt idx="54" formatCode="0.00E+00">
                  <c:v>1.1956768733474535E-3</c:v>
                </c:pt>
                <c:pt idx="55" formatCode="0.00E+00">
                  <c:v>1.1953490811620006E-3</c:v>
                </c:pt>
                <c:pt idx="56" formatCode="0.00E+00">
                  <c:v>1.195614135891968E-3</c:v>
                </c:pt>
                <c:pt idx="57" formatCode="0.00E+00">
                  <c:v>1.1955621240436263E-3</c:v>
                </c:pt>
                <c:pt idx="58" formatCode="0.00E+00">
                  <c:v>1.1954516355974314E-3</c:v>
                </c:pt>
                <c:pt idx="59" formatCode="0.00E+00">
                  <c:v>1.1954450239217949E-3</c:v>
                </c:pt>
                <c:pt idx="60" formatCode="0.00E+00">
                  <c:v>1.1950872588067892E-3</c:v>
                </c:pt>
                <c:pt idx="61" formatCode="0.00E+00">
                  <c:v>1.1949745664687152E-3</c:v>
                </c:pt>
                <c:pt idx="62" formatCode="0.00E+00">
                  <c:v>1.1948443899217356E-3</c:v>
                </c:pt>
                <c:pt idx="63" formatCode="0.00E+00">
                  <c:v>1.1946410441643772E-3</c:v>
                </c:pt>
                <c:pt idx="64" formatCode="0.00E+00">
                  <c:v>1.1944371107025177E-3</c:v>
                </c:pt>
                <c:pt idx="65" formatCode="0.00E+00">
                  <c:v>1.193589934664274E-3</c:v>
                </c:pt>
                <c:pt idx="66" formatCode="0.00E+00">
                  <c:v>1.1933357524675759E-3</c:v>
                </c:pt>
                <c:pt idx="67" formatCode="0.00E+00">
                  <c:v>1.1931159509841881E-3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7.8134709903309753E-4</c:v>
                </c:pt>
                <c:pt idx="21" formatCode="0.00E+00">
                  <c:v>7.8228942606352163E-4</c:v>
                </c:pt>
                <c:pt idx="22" formatCode="0.00E+00">
                  <c:v>7.8323175309394572E-4</c:v>
                </c:pt>
                <c:pt idx="23" formatCode="0.00E+00">
                  <c:v>7.8417408012436982E-4</c:v>
                </c:pt>
                <c:pt idx="24" formatCode="0.00E+00">
                  <c:v>7.8511640715479391E-4</c:v>
                </c:pt>
                <c:pt idx="25" formatCode="0.00E+00">
                  <c:v>7.8605873418521801E-4</c:v>
                </c:pt>
                <c:pt idx="26" formatCode="0.00E+00">
                  <c:v>7.870010612156421E-4</c:v>
                </c:pt>
                <c:pt idx="27" formatCode="0.00E+00">
                  <c:v>7.879433882460662E-4</c:v>
                </c:pt>
                <c:pt idx="28" formatCode="0.00E+00">
                  <c:v>7.8888571527649029E-4</c:v>
                </c:pt>
                <c:pt idx="29" formatCode="0.00E+00">
                  <c:v>7.8982804230691439E-4</c:v>
                </c:pt>
                <c:pt idx="30" formatCode="0.00E+00">
                  <c:v>7.9077036933733848E-4</c:v>
                </c:pt>
                <c:pt idx="31" formatCode="0.00E+00">
                  <c:v>7.9171269636776258E-4</c:v>
                </c:pt>
                <c:pt idx="32" formatCode="0.00E+00">
                  <c:v>7.9265502339818667E-4</c:v>
                </c:pt>
                <c:pt idx="33" formatCode="0.00E+00">
                  <c:v>7.9359735042861077E-4</c:v>
                </c:pt>
                <c:pt idx="34" formatCode="0.00E+00">
                  <c:v>7.9453967745903486E-4</c:v>
                </c:pt>
                <c:pt idx="35" formatCode="0.00E+00">
                  <c:v>7.9548200448945896E-4</c:v>
                </c:pt>
                <c:pt idx="36" formatCode="0.00E+00">
                  <c:v>7.9642433151988306E-4</c:v>
                </c:pt>
                <c:pt idx="37" formatCode="0.00E+00">
                  <c:v>7.9736665855030715E-4</c:v>
                </c:pt>
                <c:pt idx="38" formatCode="0.00E+00">
                  <c:v>7.9830898558073125E-4</c:v>
                </c:pt>
                <c:pt idx="39" formatCode="0.00E+00">
                  <c:v>7.9925131261115534E-4</c:v>
                </c:pt>
                <c:pt idx="40" formatCode="0.00E+00">
                  <c:v>8.0113596667200321E-4</c:v>
                </c:pt>
                <c:pt idx="41" formatCode="0.00E+00">
                  <c:v>7.9845878516365723E-4</c:v>
                </c:pt>
                <c:pt idx="42" formatCode="0.00E+00">
                  <c:v>8.1640151561645602E-4</c:v>
                </c:pt>
                <c:pt idx="43" formatCode="0.00E+00">
                  <c:v>8.3580467513954908E-4</c:v>
                </c:pt>
                <c:pt idx="44" formatCode="0.00E+00">
                  <c:v>8.5543438870170133E-4</c:v>
                </c:pt>
                <c:pt idx="45" formatCode="0.00E+00">
                  <c:v>8.7399260066729594E-4</c:v>
                </c:pt>
                <c:pt idx="46" formatCode="0.00E+00">
                  <c:v>8.9189141807499185E-4</c:v>
                </c:pt>
                <c:pt idx="47" formatCode="0.00E+00">
                  <c:v>9.0673239659663221E-4</c:v>
                </c:pt>
                <c:pt idx="48" formatCode="0.00E+00">
                  <c:v>9.1976501961370109E-4</c:v>
                </c:pt>
                <c:pt idx="49" formatCode="0.00E+00">
                  <c:v>9.3002518029777076E-4</c:v>
                </c:pt>
                <c:pt idx="50" formatCode="0.00E+00">
                  <c:v>9.3783681015661687E-4</c:v>
                </c:pt>
                <c:pt idx="51" formatCode="0.00E+00">
                  <c:v>9.4375621874836048E-4</c:v>
                </c:pt>
                <c:pt idx="52" formatCode="0.00E+00">
                  <c:v>9.4747356867254048E-4</c:v>
                </c:pt>
                <c:pt idx="53" formatCode="0.00E+00">
                  <c:v>9.4775510137814763E-4</c:v>
                </c:pt>
                <c:pt idx="54" formatCode="0.00E+00">
                  <c:v>9.4790978711792664E-4</c:v>
                </c:pt>
                <c:pt idx="55" formatCode="0.00E+00">
                  <c:v>9.4764991973430679E-4</c:v>
                </c:pt>
                <c:pt idx="56" formatCode="0.00E+00">
                  <c:v>9.4786005006153686E-4</c:v>
                </c:pt>
                <c:pt idx="57" formatCode="0.00E+00">
                  <c:v>9.4781881606162595E-4</c:v>
                </c:pt>
                <c:pt idx="58" formatCode="0.00E+00">
                  <c:v>9.4773122293187136E-4</c:v>
                </c:pt>
                <c:pt idx="59" formatCode="0.00E+00">
                  <c:v>9.4772598132171319E-4</c:v>
                </c:pt>
                <c:pt idx="60" formatCode="0.00E+00">
                  <c:v>9.4744235197204304E-4</c:v>
                </c:pt>
                <c:pt idx="61" formatCode="0.00E+00">
                  <c:v>9.4735301163890236E-4</c:v>
                </c:pt>
                <c:pt idx="62" formatCode="0.00E+00">
                  <c:v>9.4724981015889911E-4</c:v>
                </c:pt>
                <c:pt idx="63" formatCode="0.00E+00">
                  <c:v>9.4708860152647881E-4</c:v>
                </c:pt>
                <c:pt idx="64" formatCode="0.00E+00">
                  <c:v>9.4692692697315531E-4</c:v>
                </c:pt>
                <c:pt idx="65" formatCode="0.00E+00">
                  <c:v>9.4625530199155417E-4</c:v>
                </c:pt>
                <c:pt idx="66" formatCode="0.00E+00">
                  <c:v>9.4605379120102872E-4</c:v>
                </c:pt>
                <c:pt idx="67" formatCode="0.00E+00">
                  <c:v>9.4587953678332564E-4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3.4763021843211422E-4</c:v>
                </c:pt>
                <c:pt idx="14" formatCode="0.00E+00">
                  <c:v>3.5180176772518779E-4</c:v>
                </c:pt>
                <c:pt idx="15" formatCode="0.00E+00">
                  <c:v>3.5597331701826135E-4</c:v>
                </c:pt>
                <c:pt idx="16" formatCode="0.00E+00">
                  <c:v>3.6014486631133318E-4</c:v>
                </c:pt>
                <c:pt idx="17" formatCode="0.00E+00">
                  <c:v>3.6431641560440674E-4</c:v>
                </c:pt>
                <c:pt idx="18" formatCode="0.00E+00">
                  <c:v>3.684879648974803E-4</c:v>
                </c:pt>
                <c:pt idx="19" formatCode="0.00E+00">
                  <c:v>3.7265951419055386E-4</c:v>
                </c:pt>
                <c:pt idx="20" formatCode="0.00E+00">
                  <c:v>3.7683106348362569E-4</c:v>
                </c:pt>
                <c:pt idx="21" formatCode="0.00E+00">
                  <c:v>3.8100261277669925E-4</c:v>
                </c:pt>
                <c:pt idx="22" formatCode="0.00E+00">
                  <c:v>3.8517416206977281E-4</c:v>
                </c:pt>
                <c:pt idx="23" formatCode="0.00E+00">
                  <c:v>3.8934571136284464E-4</c:v>
                </c:pt>
                <c:pt idx="24" formatCode="0.00E+00">
                  <c:v>3.935172606559182E-4</c:v>
                </c:pt>
                <c:pt idx="25" formatCode="0.00E+00">
                  <c:v>3.9768880994899176E-4</c:v>
                </c:pt>
                <c:pt idx="26" formatCode="0.00E+00">
                  <c:v>4.0186035924206359E-4</c:v>
                </c:pt>
                <c:pt idx="27" formatCode="0.00E+00">
                  <c:v>4.0603190853513715E-4</c:v>
                </c:pt>
                <c:pt idx="28" formatCode="0.00E+00">
                  <c:v>4.1020345782821072E-4</c:v>
                </c:pt>
                <c:pt idx="29" formatCode="0.00E+00">
                  <c:v>4.1437500712128254E-4</c:v>
                </c:pt>
                <c:pt idx="30" formatCode="0.00E+00">
                  <c:v>4.1854655641435611E-4</c:v>
                </c:pt>
                <c:pt idx="31" formatCode="0.00E+00">
                  <c:v>4.2271810570742967E-4</c:v>
                </c:pt>
                <c:pt idx="32" formatCode="0.00E+00">
                  <c:v>4.2688965500050149E-4</c:v>
                </c:pt>
                <c:pt idx="33" formatCode="0.00E+00">
                  <c:v>4.3106120429357506E-4</c:v>
                </c:pt>
                <c:pt idx="34" formatCode="0.00E+00">
                  <c:v>4.3523275358664862E-4</c:v>
                </c:pt>
                <c:pt idx="35" formatCode="0.00E+00">
                  <c:v>4.3940430287972045E-4</c:v>
                </c:pt>
                <c:pt idx="36" formatCode="0.00E+00">
                  <c:v>4.4357585217279401E-4</c:v>
                </c:pt>
                <c:pt idx="37" formatCode="0.00E+00">
                  <c:v>4.4774740146586757E-4</c:v>
                </c:pt>
                <c:pt idx="38" formatCode="0.00E+00">
                  <c:v>4.5191895075894113E-4</c:v>
                </c:pt>
                <c:pt idx="39" formatCode="0.00E+00">
                  <c:v>4.5609050005201296E-4</c:v>
                </c:pt>
                <c:pt idx="40" formatCode="0.00E+00">
                  <c:v>4.6292253798248397E-4</c:v>
                </c:pt>
                <c:pt idx="41" formatCode="0.00E+00">
                  <c:v>4.6724180152163598E-4</c:v>
                </c:pt>
                <c:pt idx="42" formatCode="0.00E+00">
                  <c:v>4.6965127581020212E-4</c:v>
                </c:pt>
                <c:pt idx="43" formatCode="0.00E+00">
                  <c:v>4.7322813533235715E-4</c:v>
                </c:pt>
                <c:pt idx="44" formatCode="0.00E+00">
                  <c:v>4.7696949985651614E-4</c:v>
                </c:pt>
                <c:pt idx="45" formatCode="0.00E+00">
                  <c:v>4.8083975908889043E-4</c:v>
                </c:pt>
                <c:pt idx="46" formatCode="0.00E+00">
                  <c:v>4.847773340732441E-4</c:v>
                </c:pt>
                <c:pt idx="47" formatCode="0.00E+00">
                  <c:v>4.8876510978465549E-4</c:v>
                </c:pt>
                <c:pt idx="48" formatCode="0.00E+00">
                  <c:v>4.9280339238632709E-4</c:v>
                </c:pt>
                <c:pt idx="49" formatCode="0.00E+00">
                  <c:v>4.9685871974595585E-4</c:v>
                </c:pt>
                <c:pt idx="50" formatCode="0.00E+00">
                  <c:v>5.0093827917019513E-4</c:v>
                </c:pt>
                <c:pt idx="51" formatCode="0.00E+00">
                  <c:v>5.0505403110021464E-4</c:v>
                </c:pt>
                <c:pt idx="52" formatCode="0.00E+00">
                  <c:v>5.091914152171586E-4</c:v>
                </c:pt>
                <c:pt idx="53" formatCode="0.00E+00">
                  <c:v>5.1335993261843963E-4</c:v>
                </c:pt>
                <c:pt idx="54" formatCode="0.00E+00">
                  <c:v>5.1755601976514434E-4</c:v>
                </c:pt>
                <c:pt idx="55" formatCode="0.00E+00">
                  <c:v>5.2177673046383325E-4</c:v>
                </c:pt>
                <c:pt idx="56" formatCode="0.00E+00">
                  <c:v>5.2602994967173547E-4</c:v>
                </c:pt>
                <c:pt idx="57" formatCode="0.00E+00">
                  <c:v>5.3031732866251667E-4</c:v>
                </c:pt>
                <c:pt idx="58" formatCode="0.00E+00">
                  <c:v>5.346381346521186E-4</c:v>
                </c:pt>
                <c:pt idx="59" formatCode="0.00E+00">
                  <c:v>5.3898042225657822E-4</c:v>
                </c:pt>
                <c:pt idx="60" formatCode="0.00E+00">
                  <c:v>5.4335778311445497E-4</c:v>
                </c:pt>
                <c:pt idx="61" formatCode="0.00E+00">
                  <c:v>5.4777558261039474E-4</c:v>
                </c:pt>
                <c:pt idx="62" formatCode="0.00E+00">
                  <c:v>5.5222750675573099E-4</c:v>
                </c:pt>
                <c:pt idx="63" formatCode="0.00E+00">
                  <c:v>5.5671423312476443E-4</c:v>
                </c:pt>
                <c:pt idx="64" formatCode="0.00E+00">
                  <c:v>5.6121623753950501E-4</c:v>
                </c:pt>
                <c:pt idx="65" formatCode="0.00E+00">
                  <c:v>5.6574653946465893E-4</c:v>
                </c:pt>
                <c:pt idx="66" formatCode="0.00E+00">
                  <c:v>5.7031870042437182E-4</c:v>
                </c:pt>
                <c:pt idx="67" formatCode="0.00E+00">
                  <c:v>5.7492662224994018E-4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1.8429395373095432E-4</c:v>
                </c:pt>
                <c:pt idx="14" formatCode="0.00E+00">
                  <c:v>1.8429395373095432E-4</c:v>
                </c:pt>
                <c:pt idx="15" formatCode="0.00E+00">
                  <c:v>1.8429395373095432E-4</c:v>
                </c:pt>
                <c:pt idx="16" formatCode="0.00E+00">
                  <c:v>1.8429395373095432E-4</c:v>
                </c:pt>
                <c:pt idx="17" formatCode="0.00E+00">
                  <c:v>1.8429395373095432E-4</c:v>
                </c:pt>
                <c:pt idx="18" formatCode="0.00E+00">
                  <c:v>1.8429395373095432E-4</c:v>
                </c:pt>
                <c:pt idx="19" formatCode="0.00E+00">
                  <c:v>1.8429395373095432E-4</c:v>
                </c:pt>
                <c:pt idx="20" formatCode="0.00E+00">
                  <c:v>1.8429395373095432E-4</c:v>
                </c:pt>
                <c:pt idx="21" formatCode="0.00E+00">
                  <c:v>1.8429395373095432E-4</c:v>
                </c:pt>
                <c:pt idx="22" formatCode="0.00E+00">
                  <c:v>1.8429395373095432E-4</c:v>
                </c:pt>
                <c:pt idx="23" formatCode="0.00E+00">
                  <c:v>1.8429395373095432E-4</c:v>
                </c:pt>
                <c:pt idx="24" formatCode="0.00E+00">
                  <c:v>1.8429395373095432E-4</c:v>
                </c:pt>
                <c:pt idx="25" formatCode="0.00E+00">
                  <c:v>1.8429395373095432E-4</c:v>
                </c:pt>
                <c:pt idx="26" formatCode="0.00E+00">
                  <c:v>1.8429395373095432E-4</c:v>
                </c:pt>
                <c:pt idx="27" formatCode="0.00E+00">
                  <c:v>1.8429395373095432E-4</c:v>
                </c:pt>
                <c:pt idx="28" formatCode="0.00E+00">
                  <c:v>1.8429395373095432E-4</c:v>
                </c:pt>
                <c:pt idx="29" formatCode="0.00E+00">
                  <c:v>1.8429395373095432E-4</c:v>
                </c:pt>
                <c:pt idx="30" formatCode="0.00E+00">
                  <c:v>1.8429395373095432E-4</c:v>
                </c:pt>
                <c:pt idx="31" formatCode="0.00E+00">
                  <c:v>1.8429395373095432E-4</c:v>
                </c:pt>
                <c:pt idx="32" formatCode="0.00E+00">
                  <c:v>1.8429395373095432E-4</c:v>
                </c:pt>
                <c:pt idx="33" formatCode="0.00E+00">
                  <c:v>1.8429395373095432E-4</c:v>
                </c:pt>
                <c:pt idx="34" formatCode="0.00E+00">
                  <c:v>1.8429395373095432E-4</c:v>
                </c:pt>
                <c:pt idx="35" formatCode="0.00E+00">
                  <c:v>1.8429395373095432E-4</c:v>
                </c:pt>
                <c:pt idx="36" formatCode="0.00E+00">
                  <c:v>1.8429395373095432E-4</c:v>
                </c:pt>
                <c:pt idx="37" formatCode="0.00E+00">
                  <c:v>1.8429395373095432E-4</c:v>
                </c:pt>
                <c:pt idx="38" formatCode="0.00E+00">
                  <c:v>1.8429395373095432E-4</c:v>
                </c:pt>
                <c:pt idx="39" formatCode="0.00E+00">
                  <c:v>1.8429395373095432E-4</c:v>
                </c:pt>
                <c:pt idx="40" formatCode="0.00E+00">
                  <c:v>1.8429395373095432E-4</c:v>
                </c:pt>
                <c:pt idx="41" formatCode="0.00E+00">
                  <c:v>1.8429395373095432E-4</c:v>
                </c:pt>
                <c:pt idx="42" formatCode="0.00E+00">
                  <c:v>1.8429395373095432E-4</c:v>
                </c:pt>
                <c:pt idx="43" formatCode="0.00E+00">
                  <c:v>1.8429395373095432E-4</c:v>
                </c:pt>
                <c:pt idx="44" formatCode="0.00E+00">
                  <c:v>1.8429395373095432E-4</c:v>
                </c:pt>
                <c:pt idx="45" formatCode="0.00E+00">
                  <c:v>1.8429395373095432E-4</c:v>
                </c:pt>
                <c:pt idx="46" formatCode="0.00E+00">
                  <c:v>1.8429395373095432E-4</c:v>
                </c:pt>
                <c:pt idx="47" formatCode="0.00E+00">
                  <c:v>1.8429395373095432E-4</c:v>
                </c:pt>
                <c:pt idx="48" formatCode="0.00E+00">
                  <c:v>1.8429395373095432E-4</c:v>
                </c:pt>
                <c:pt idx="49" formatCode="0.00E+00">
                  <c:v>1.8429395373095432E-4</c:v>
                </c:pt>
                <c:pt idx="50" formatCode="0.00E+00">
                  <c:v>1.8429395373095432E-4</c:v>
                </c:pt>
                <c:pt idx="51" formatCode="0.00E+00">
                  <c:v>1.8429395373095432E-4</c:v>
                </c:pt>
                <c:pt idx="52" formatCode="0.00E+00">
                  <c:v>1.8429395373095432E-4</c:v>
                </c:pt>
                <c:pt idx="53" formatCode="0.00E+00">
                  <c:v>1.8429395373095432E-4</c:v>
                </c:pt>
                <c:pt idx="54" formatCode="0.00E+00">
                  <c:v>1.8429395373095432E-4</c:v>
                </c:pt>
                <c:pt idx="55" formatCode="0.00E+00">
                  <c:v>1.8429395373095432E-4</c:v>
                </c:pt>
                <c:pt idx="56" formatCode="0.00E+00">
                  <c:v>1.8429395373095432E-4</c:v>
                </c:pt>
                <c:pt idx="57" formatCode="0.00E+00">
                  <c:v>1.8429395373095432E-4</c:v>
                </c:pt>
                <c:pt idx="58" formatCode="0.00E+00">
                  <c:v>1.8429395373095432E-4</c:v>
                </c:pt>
                <c:pt idx="59" formatCode="0.00E+00">
                  <c:v>1.8429395373095432E-4</c:v>
                </c:pt>
                <c:pt idx="60" formatCode="0.00E+00">
                  <c:v>1.8429395373095432E-4</c:v>
                </c:pt>
                <c:pt idx="61" formatCode="0.00E+00">
                  <c:v>1.8429395373095432E-4</c:v>
                </c:pt>
                <c:pt idx="62" formatCode="0.00E+00">
                  <c:v>1.8429395373095432E-4</c:v>
                </c:pt>
                <c:pt idx="63" formatCode="0.00E+00">
                  <c:v>1.8429395373095432E-4</c:v>
                </c:pt>
                <c:pt idx="64" formatCode="0.00E+00">
                  <c:v>1.8429395373095432E-4</c:v>
                </c:pt>
                <c:pt idx="65" formatCode="0.00E+00">
                  <c:v>1.8429395373095432E-4</c:v>
                </c:pt>
                <c:pt idx="66" formatCode="0.00E+00">
                  <c:v>1.8429395373095432E-4</c:v>
                </c:pt>
                <c:pt idx="67" formatCode="0.00E+00">
                  <c:v>1.8429395373095432E-4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1.2375646625067687E-5</c:v>
                </c:pt>
                <c:pt idx="5" formatCode="0.00E+00">
                  <c:v>1.2375646625067687E-5</c:v>
                </c:pt>
                <c:pt idx="6" formatCode="0.00E+00">
                  <c:v>1.2375646625067687E-5</c:v>
                </c:pt>
                <c:pt idx="7" formatCode="0.00E+00">
                  <c:v>1.2375646625067687E-5</c:v>
                </c:pt>
                <c:pt idx="8" formatCode="0.00E+00">
                  <c:v>1.2375646625067687E-5</c:v>
                </c:pt>
                <c:pt idx="9" formatCode="0.00E+00">
                  <c:v>1.2375646625067687E-5</c:v>
                </c:pt>
                <c:pt idx="10" formatCode="0.00E+00">
                  <c:v>1.2375646625067687E-5</c:v>
                </c:pt>
                <c:pt idx="11" formatCode="0.00E+00">
                  <c:v>1.2375646625067687E-5</c:v>
                </c:pt>
                <c:pt idx="12" formatCode="0.00E+00">
                  <c:v>1.2375646625067687E-5</c:v>
                </c:pt>
                <c:pt idx="13" formatCode="0.00E+00">
                  <c:v>1.2375646625067687E-5</c:v>
                </c:pt>
                <c:pt idx="14" formatCode="0.00E+00">
                  <c:v>1.2375646625067687E-5</c:v>
                </c:pt>
                <c:pt idx="15" formatCode="0.00E+00">
                  <c:v>1.2375646625067687E-5</c:v>
                </c:pt>
                <c:pt idx="16" formatCode="0.00E+00">
                  <c:v>1.2375646625067687E-5</c:v>
                </c:pt>
                <c:pt idx="17" formatCode="0.00E+00">
                  <c:v>1.2375646625067687E-5</c:v>
                </c:pt>
                <c:pt idx="18" formatCode="0.00E+00">
                  <c:v>1.2375646625067687E-5</c:v>
                </c:pt>
                <c:pt idx="19" formatCode="0.00E+00">
                  <c:v>1.2375646625067687E-5</c:v>
                </c:pt>
                <c:pt idx="20" formatCode="0.00E+00">
                  <c:v>1.2375646625067687E-5</c:v>
                </c:pt>
                <c:pt idx="21" formatCode="0.00E+00">
                  <c:v>1.2375646625067687E-5</c:v>
                </c:pt>
                <c:pt idx="22" formatCode="0.00E+00">
                  <c:v>1.2375646625067687E-5</c:v>
                </c:pt>
                <c:pt idx="23" formatCode="0.00E+00">
                  <c:v>1.2375646625067687E-5</c:v>
                </c:pt>
                <c:pt idx="24" formatCode="0.00E+00">
                  <c:v>1.2375646625067687E-5</c:v>
                </c:pt>
                <c:pt idx="25" formatCode="0.00E+00">
                  <c:v>1.2375646625067687E-5</c:v>
                </c:pt>
                <c:pt idx="26" formatCode="0.00E+00">
                  <c:v>1.2375646625067687E-5</c:v>
                </c:pt>
                <c:pt idx="27" formatCode="0.00E+00">
                  <c:v>1.2375646625067687E-5</c:v>
                </c:pt>
                <c:pt idx="28" formatCode="0.00E+00">
                  <c:v>1.2375646625067687E-5</c:v>
                </c:pt>
                <c:pt idx="29" formatCode="0.00E+00">
                  <c:v>1.2375646625067687E-5</c:v>
                </c:pt>
                <c:pt idx="30" formatCode="0.00E+00">
                  <c:v>1.2375646625067687E-5</c:v>
                </c:pt>
                <c:pt idx="31" formatCode="0.00E+00">
                  <c:v>1.2375646625067687E-5</c:v>
                </c:pt>
                <c:pt idx="32" formatCode="0.00E+00">
                  <c:v>1.2375646625067687E-5</c:v>
                </c:pt>
                <c:pt idx="33" formatCode="0.00E+00">
                  <c:v>1.2375646625067687E-5</c:v>
                </c:pt>
                <c:pt idx="34" formatCode="0.00E+00">
                  <c:v>1.2375646625067687E-5</c:v>
                </c:pt>
                <c:pt idx="35" formatCode="0.00E+00">
                  <c:v>1.2375646625067687E-5</c:v>
                </c:pt>
                <c:pt idx="36" formatCode="0.00E+00">
                  <c:v>1.2375646625067687E-5</c:v>
                </c:pt>
                <c:pt idx="37" formatCode="0.00E+00">
                  <c:v>1.2375646625067687E-5</c:v>
                </c:pt>
                <c:pt idx="38" formatCode="0.00E+00">
                  <c:v>1.2375646625067687E-5</c:v>
                </c:pt>
                <c:pt idx="39" formatCode="0.00E+00">
                  <c:v>1.2375646625067687E-5</c:v>
                </c:pt>
                <c:pt idx="40" formatCode="0.00E+00">
                  <c:v>1.2375646625067687E-5</c:v>
                </c:pt>
                <c:pt idx="41" formatCode="0.00E+00">
                  <c:v>1.2375646625067684E-5</c:v>
                </c:pt>
                <c:pt idx="42" formatCode="0.00E+00">
                  <c:v>1.2375646625067684E-5</c:v>
                </c:pt>
                <c:pt idx="43" formatCode="0.00E+00">
                  <c:v>1.2375646625067684E-5</c:v>
                </c:pt>
                <c:pt idx="44" formatCode="0.00E+00">
                  <c:v>1.2375646625067684E-5</c:v>
                </c:pt>
                <c:pt idx="45" formatCode="0.00E+00">
                  <c:v>1.2375646625067684E-5</c:v>
                </c:pt>
                <c:pt idx="46" formatCode="0.00E+00">
                  <c:v>1.2375646625067684E-5</c:v>
                </c:pt>
                <c:pt idx="47" formatCode="0.00E+00">
                  <c:v>1.2375646625067684E-5</c:v>
                </c:pt>
                <c:pt idx="48" formatCode="0.00E+00">
                  <c:v>1.2375646625067684E-5</c:v>
                </c:pt>
                <c:pt idx="49" formatCode="0.00E+00">
                  <c:v>1.2375646625067684E-5</c:v>
                </c:pt>
                <c:pt idx="50" formatCode="0.00E+00">
                  <c:v>1.2375646625067684E-5</c:v>
                </c:pt>
                <c:pt idx="51" formatCode="0.00E+00">
                  <c:v>1.2375646625067684E-5</c:v>
                </c:pt>
                <c:pt idx="52" formatCode="0.00E+00">
                  <c:v>1.2375646625067684E-5</c:v>
                </c:pt>
                <c:pt idx="53" formatCode="0.00E+00">
                  <c:v>1.2375646625067684E-5</c:v>
                </c:pt>
                <c:pt idx="54" formatCode="0.00E+00">
                  <c:v>1.2375646625067684E-5</c:v>
                </c:pt>
                <c:pt idx="55" formatCode="0.00E+00">
                  <c:v>1.2375646625067684E-5</c:v>
                </c:pt>
                <c:pt idx="56" formatCode="0.00E+00">
                  <c:v>1.2375646625067684E-5</c:v>
                </c:pt>
                <c:pt idx="57" formatCode="0.00E+00">
                  <c:v>1.2375646625067684E-5</c:v>
                </c:pt>
                <c:pt idx="58" formatCode="0.00E+00">
                  <c:v>1.2375646625067684E-5</c:v>
                </c:pt>
                <c:pt idx="59" formatCode="0.00E+00">
                  <c:v>1.2375646625067684E-5</c:v>
                </c:pt>
                <c:pt idx="60" formatCode="0.00E+00">
                  <c:v>1.2375646625067684E-5</c:v>
                </c:pt>
                <c:pt idx="61" formatCode="0.00E+00">
                  <c:v>1.2375646625067684E-5</c:v>
                </c:pt>
                <c:pt idx="62" formatCode="0.00E+00">
                  <c:v>1.2375646625067684E-5</c:v>
                </c:pt>
                <c:pt idx="63" formatCode="0.00E+00">
                  <c:v>1.2375646625067684E-5</c:v>
                </c:pt>
                <c:pt idx="64" formatCode="0.00E+00">
                  <c:v>1.2375646625067684E-5</c:v>
                </c:pt>
                <c:pt idx="65" formatCode="0.00E+00">
                  <c:v>1.2375646625067684E-5</c:v>
                </c:pt>
                <c:pt idx="66" formatCode="0.00E+00">
                  <c:v>1.2375646625067684E-5</c:v>
                </c:pt>
                <c:pt idx="67" formatCode="0.00E+00">
                  <c:v>1.2375646625067684E-5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6.5093363580536728E-3</c:v>
                </c:pt>
                <c:pt idx="21">
                  <c:v>6.5093363580536728E-3</c:v>
                </c:pt>
                <c:pt idx="22">
                  <c:v>6.5093363580536728E-3</c:v>
                </c:pt>
                <c:pt idx="23">
                  <c:v>6.5093363580536728E-3</c:v>
                </c:pt>
                <c:pt idx="24">
                  <c:v>6.5093363580536728E-3</c:v>
                </c:pt>
                <c:pt idx="25">
                  <c:v>6.5093363580536728E-3</c:v>
                </c:pt>
                <c:pt idx="26">
                  <c:v>6.5093363580536728E-3</c:v>
                </c:pt>
                <c:pt idx="27">
                  <c:v>6.5093363580536728E-3</c:v>
                </c:pt>
                <c:pt idx="28">
                  <c:v>6.5093363580536728E-3</c:v>
                </c:pt>
                <c:pt idx="29">
                  <c:v>6.5093363580536728E-3</c:v>
                </c:pt>
                <c:pt idx="30">
                  <c:v>6.5093363580536728E-3</c:v>
                </c:pt>
                <c:pt idx="31">
                  <c:v>6.5093363580536728E-3</c:v>
                </c:pt>
                <c:pt idx="32">
                  <c:v>6.5093363580536728E-3</c:v>
                </c:pt>
                <c:pt idx="33">
                  <c:v>6.5093363580536728E-3</c:v>
                </c:pt>
                <c:pt idx="34">
                  <c:v>6.5093363580536728E-3</c:v>
                </c:pt>
                <c:pt idx="35">
                  <c:v>6.5093363580536728E-3</c:v>
                </c:pt>
                <c:pt idx="36">
                  <c:v>6.5093363580536728E-3</c:v>
                </c:pt>
                <c:pt idx="37">
                  <c:v>6.5093363580536728E-3</c:v>
                </c:pt>
                <c:pt idx="38">
                  <c:v>6.5093363580536728E-3</c:v>
                </c:pt>
                <c:pt idx="39">
                  <c:v>6.5093363580536728E-3</c:v>
                </c:pt>
                <c:pt idx="40">
                  <c:v>6.5093363580536728E-3</c:v>
                </c:pt>
                <c:pt idx="41">
                  <c:v>6.5093363580536684E-3</c:v>
                </c:pt>
                <c:pt idx="42">
                  <c:v>6.5093363580536684E-3</c:v>
                </c:pt>
                <c:pt idx="43">
                  <c:v>6.5093363580536684E-3</c:v>
                </c:pt>
                <c:pt idx="44">
                  <c:v>6.5093363580536684E-3</c:v>
                </c:pt>
                <c:pt idx="45">
                  <c:v>6.5093363580536684E-3</c:v>
                </c:pt>
                <c:pt idx="46">
                  <c:v>6.5093363580536684E-3</c:v>
                </c:pt>
                <c:pt idx="47">
                  <c:v>6.5093363580536684E-3</c:v>
                </c:pt>
                <c:pt idx="48">
                  <c:v>6.5093363580536684E-3</c:v>
                </c:pt>
                <c:pt idx="49">
                  <c:v>6.5093363580536684E-3</c:v>
                </c:pt>
                <c:pt idx="50">
                  <c:v>6.5093363580536684E-3</c:v>
                </c:pt>
                <c:pt idx="51">
                  <c:v>6.5093363580536684E-3</c:v>
                </c:pt>
                <c:pt idx="52">
                  <c:v>6.5093363580536684E-3</c:v>
                </c:pt>
                <c:pt idx="53">
                  <c:v>6.5093363580536684E-3</c:v>
                </c:pt>
                <c:pt idx="54">
                  <c:v>6.5093363580536684E-3</c:v>
                </c:pt>
                <c:pt idx="55">
                  <c:v>6.5093363580536684E-3</c:v>
                </c:pt>
                <c:pt idx="56">
                  <c:v>6.5093363580536684E-3</c:v>
                </c:pt>
                <c:pt idx="57">
                  <c:v>6.5093363580536684E-3</c:v>
                </c:pt>
                <c:pt idx="58">
                  <c:v>6.5093363580536684E-3</c:v>
                </c:pt>
                <c:pt idx="59">
                  <c:v>6.5093363580536684E-3</c:v>
                </c:pt>
                <c:pt idx="60">
                  <c:v>6.5093363580536684E-3</c:v>
                </c:pt>
                <c:pt idx="61">
                  <c:v>6.5093363580536684E-3</c:v>
                </c:pt>
                <c:pt idx="62">
                  <c:v>6.5093363580536684E-3</c:v>
                </c:pt>
                <c:pt idx="63">
                  <c:v>6.5093363580536684E-3</c:v>
                </c:pt>
                <c:pt idx="64">
                  <c:v>6.5093363580536684E-3</c:v>
                </c:pt>
                <c:pt idx="65">
                  <c:v>6.5093363580536684E-3</c:v>
                </c:pt>
                <c:pt idx="66">
                  <c:v>6.5093363580536684E-3</c:v>
                </c:pt>
                <c:pt idx="67">
                  <c:v>6.5093363580536684E-3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4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topLeftCell="A6" workbookViewId="0">
      <selection activeCell="F8" sqref="F8:AG20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3.9011286777709445E-4</v>
      </c>
      <c r="I8" s="4">
        <v>3.973908333465341E-4</v>
      </c>
      <c r="J8" s="4">
        <v>3.9921116827982341E-4</v>
      </c>
      <c r="K8" s="4">
        <v>4.0474968459162865E-4</v>
      </c>
      <c r="L8" s="4">
        <v>4.0866714086181205E-4</v>
      </c>
      <c r="M8" s="4">
        <v>4.1165739618674141E-4</v>
      </c>
      <c r="N8" s="4">
        <v>4.1453743818293512E-4</v>
      </c>
      <c r="O8" s="4">
        <v>4.1476226395269379E-4</v>
      </c>
      <c r="P8" s="4">
        <v>4.1467751199658729E-4</v>
      </c>
      <c r="Q8" s="4">
        <v>4.1774836203476703E-4</v>
      </c>
      <c r="R8" s="4">
        <v>4.1834632264550211E-4</v>
      </c>
      <c r="S8" s="4">
        <v>4.1983822558637316E-4</v>
      </c>
      <c r="T8" s="4">
        <v>4.2130104966706447E-4</v>
      </c>
      <c r="U8" s="4">
        <v>4.2281184411175634E-4</v>
      </c>
      <c r="V8" s="4">
        <v>4.2360951790740064E-4</v>
      </c>
      <c r="W8" s="4">
        <v>4.2374431078237557E-4</v>
      </c>
      <c r="X8" s="4">
        <v>4.2455978231601869E-4</v>
      </c>
      <c r="Y8" s="4">
        <v>4.2499271222158055E-4</v>
      </c>
      <c r="Z8" s="4">
        <v>4.255977010533903E-4</v>
      </c>
      <c r="AA8" s="4">
        <v>4.259134403023234E-4</v>
      </c>
      <c r="AB8" s="4">
        <v>4.2644140225411056E-4</v>
      </c>
      <c r="AC8" s="4">
        <v>4.2668500307371869E-4</v>
      </c>
      <c r="AD8" s="4">
        <v>4.2678409185942635E-4</v>
      </c>
      <c r="AE8" s="4">
        <v>4.2712969246070032E-4</v>
      </c>
      <c r="AF8" s="4">
        <v>4.274732939624897E-4</v>
      </c>
      <c r="AG8" s="4">
        <v>4.2842378634895789E-4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1.0066053377187421E-4</v>
      </c>
      <c r="G9" s="4">
        <v>8.6081511061439429E-5</v>
      </c>
      <c r="H9" s="4">
        <v>8.6605037659008062E-5</v>
      </c>
      <c r="I9" s="4">
        <v>8.774074306406576E-5</v>
      </c>
      <c r="J9" s="4">
        <v>8.8875120383758021E-5</v>
      </c>
      <c r="K9" s="4">
        <v>9.0878007270817581E-5</v>
      </c>
      <c r="L9" s="4">
        <v>9.1222619727092481E-5</v>
      </c>
      <c r="M9" s="4">
        <v>9.2203039360616137E-5</v>
      </c>
      <c r="N9" s="4">
        <v>9.3420264979240058E-5</v>
      </c>
      <c r="O9" s="4">
        <v>9.4554347765317116E-5</v>
      </c>
      <c r="P9" s="4">
        <v>9.5273851243985993E-5</v>
      </c>
      <c r="Q9" s="4">
        <v>9.6237109925949779E-5</v>
      </c>
      <c r="R9" s="4">
        <v>9.7405008085110293E-5</v>
      </c>
      <c r="S9" s="4">
        <v>9.83598745548802E-5</v>
      </c>
      <c r="T9" s="4">
        <v>9.9169968845188442E-5</v>
      </c>
      <c r="U9" s="4">
        <v>1.0006284269668531E-4</v>
      </c>
      <c r="V9" s="4">
        <v>1.009236032880858E-4</v>
      </c>
      <c r="W9" s="4">
        <v>1.0167355189208385E-4</v>
      </c>
      <c r="X9" s="4">
        <v>1.0292543910496804E-4</v>
      </c>
      <c r="Y9" s="4">
        <v>1.0402221835884117E-4</v>
      </c>
      <c r="Z9" s="4">
        <v>1.0509268648373766E-4</v>
      </c>
      <c r="AA9" s="4">
        <v>1.0574360995112404E-4</v>
      </c>
      <c r="AB9" s="4">
        <v>1.0636614234036401E-4</v>
      </c>
      <c r="AC9" s="4">
        <v>1.069846490853625E-4</v>
      </c>
      <c r="AD9" s="4">
        <v>1.077249331934921E-4</v>
      </c>
      <c r="AE9" s="4">
        <v>1.0826226620916075E-4</v>
      </c>
      <c r="AF9" s="4">
        <v>1.08765871913312E-4</v>
      </c>
      <c r="AG9" s="4">
        <v>1.0938951127614153E-4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1.0105389360616456E-3</v>
      </c>
      <c r="G10" s="4">
        <v>1.0071619859986915E-3</v>
      </c>
      <c r="H10" s="4">
        <v>1.0297946332597221E-3</v>
      </c>
      <c r="I10" s="4">
        <v>1.0542694402792506E-3</v>
      </c>
      <c r="J10" s="4">
        <v>1.0790300186124084E-3</v>
      </c>
      <c r="K10" s="4">
        <v>1.1024390235193078E-3</v>
      </c>
      <c r="L10" s="4">
        <v>1.1250162796311157E-3</v>
      </c>
      <c r="M10" s="4">
        <v>1.1437364311026228E-3</v>
      </c>
      <c r="N10" s="4">
        <v>1.1601755544794832E-3</v>
      </c>
      <c r="O10" s="4">
        <v>1.1731175422229271E-3</v>
      </c>
      <c r="P10" s="4">
        <v>1.1829709958873008E-3</v>
      </c>
      <c r="Q10" s="4">
        <v>1.1904376346468411E-3</v>
      </c>
      <c r="R10" s="4">
        <v>1.1951266350083583E-3</v>
      </c>
      <c r="S10" s="4">
        <v>1.1954817554531098E-3</v>
      </c>
      <c r="T10" s="4">
        <v>1.1956768733474535E-3</v>
      </c>
      <c r="U10" s="4">
        <v>1.1953490811620006E-3</v>
      </c>
      <c r="V10" s="4">
        <v>1.195614135891968E-3</v>
      </c>
      <c r="W10" s="4">
        <v>1.1955621240436263E-3</v>
      </c>
      <c r="X10" s="4">
        <v>1.1954516355974314E-3</v>
      </c>
      <c r="Y10" s="4">
        <v>1.1954450239217949E-3</v>
      </c>
      <c r="Z10" s="4">
        <v>1.1950872588067892E-3</v>
      </c>
      <c r="AA10" s="4">
        <v>1.1949745664687152E-3</v>
      </c>
      <c r="AB10" s="4">
        <v>1.1948443899217356E-3</v>
      </c>
      <c r="AC10" s="4">
        <v>1.1946410441643772E-3</v>
      </c>
      <c r="AD10" s="4">
        <v>1.1944371107025177E-3</v>
      </c>
      <c r="AE10" s="4">
        <v>1.193589934664274E-3</v>
      </c>
      <c r="AF10" s="4">
        <v>1.1933357524675759E-3</v>
      </c>
      <c r="AG10" s="4">
        <v>1.1931159509841881E-3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8.0113596667200321E-4</v>
      </c>
      <c r="G11" s="4">
        <v>7.9845878516365723E-4</v>
      </c>
      <c r="H11" s="4">
        <v>8.1640151561645602E-4</v>
      </c>
      <c r="I11" s="4">
        <v>8.3580467513954908E-4</v>
      </c>
      <c r="J11" s="4">
        <v>8.5543438870170133E-4</v>
      </c>
      <c r="K11" s="4">
        <v>8.7399260066729594E-4</v>
      </c>
      <c r="L11" s="4">
        <v>8.9189141807499185E-4</v>
      </c>
      <c r="M11" s="4">
        <v>9.0673239659663221E-4</v>
      </c>
      <c r="N11" s="4">
        <v>9.1976501961370109E-4</v>
      </c>
      <c r="O11" s="4">
        <v>9.3002518029777076E-4</v>
      </c>
      <c r="P11" s="4">
        <v>9.3783681015661687E-4</v>
      </c>
      <c r="Q11" s="4">
        <v>9.4375621874836048E-4</v>
      </c>
      <c r="R11" s="4">
        <v>9.4747356867254048E-4</v>
      </c>
      <c r="S11" s="4">
        <v>9.4775510137814763E-4</v>
      </c>
      <c r="T11" s="4">
        <v>9.4790978711792664E-4</v>
      </c>
      <c r="U11" s="4">
        <v>9.4764991973430679E-4</v>
      </c>
      <c r="V11" s="4">
        <v>9.4786005006153686E-4</v>
      </c>
      <c r="W11" s="4">
        <v>9.4781881606162595E-4</v>
      </c>
      <c r="X11" s="4">
        <v>9.4773122293187136E-4</v>
      </c>
      <c r="Y11" s="4">
        <v>9.4772598132171319E-4</v>
      </c>
      <c r="Z11" s="4">
        <v>9.4744235197204304E-4</v>
      </c>
      <c r="AA11" s="4">
        <v>9.4735301163890236E-4</v>
      </c>
      <c r="AB11" s="4">
        <v>9.4724981015889911E-4</v>
      </c>
      <c r="AC11" s="4">
        <v>9.4708860152647881E-4</v>
      </c>
      <c r="AD11" s="4">
        <v>9.4692692697315531E-4</v>
      </c>
      <c r="AE11" s="4">
        <v>9.4625530199155417E-4</v>
      </c>
      <c r="AF11" s="4">
        <v>9.4605379120102872E-4</v>
      </c>
      <c r="AG11" s="4">
        <v>9.4587953678332564E-4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4.6292253798248397E-4</v>
      </c>
      <c r="G12" s="4">
        <v>4.6724180152163598E-4</v>
      </c>
      <c r="H12" s="4">
        <v>4.6965127581020212E-4</v>
      </c>
      <c r="I12" s="4">
        <v>4.7322813533235715E-4</v>
      </c>
      <c r="J12" s="4">
        <v>4.7696949985651614E-4</v>
      </c>
      <c r="K12" s="4">
        <v>4.8083975908889043E-4</v>
      </c>
      <c r="L12" s="4">
        <v>4.847773340732441E-4</v>
      </c>
      <c r="M12" s="4">
        <v>4.8876510978465549E-4</v>
      </c>
      <c r="N12" s="4">
        <v>4.9280339238632709E-4</v>
      </c>
      <c r="O12" s="4">
        <v>4.9685871974595585E-4</v>
      </c>
      <c r="P12" s="4">
        <v>5.0093827917019513E-4</v>
      </c>
      <c r="Q12" s="4">
        <v>5.0505403110021464E-4</v>
      </c>
      <c r="R12" s="4">
        <v>5.091914152171586E-4</v>
      </c>
      <c r="S12" s="4">
        <v>5.1335993261843963E-4</v>
      </c>
      <c r="T12" s="4">
        <v>5.1755601976514434E-4</v>
      </c>
      <c r="U12" s="4">
        <v>5.2177673046383325E-4</v>
      </c>
      <c r="V12" s="4">
        <v>5.2602994967173547E-4</v>
      </c>
      <c r="W12" s="4">
        <v>5.3031732866251667E-4</v>
      </c>
      <c r="X12" s="4">
        <v>5.346381346521186E-4</v>
      </c>
      <c r="Y12" s="4">
        <v>5.3898042225657822E-4</v>
      </c>
      <c r="Z12" s="4">
        <v>5.4335778311445497E-4</v>
      </c>
      <c r="AA12" s="4">
        <v>5.4777558261039474E-4</v>
      </c>
      <c r="AB12" s="4">
        <v>5.5222750675573099E-4</v>
      </c>
      <c r="AC12" s="4">
        <v>5.5671423312476443E-4</v>
      </c>
      <c r="AD12" s="4">
        <v>5.6121623753950501E-4</v>
      </c>
      <c r="AE12" s="4">
        <v>5.6574653946465893E-4</v>
      </c>
      <c r="AF12" s="4">
        <v>5.7031870042437182E-4</v>
      </c>
      <c r="AG12" s="4">
        <v>5.7492662224994018E-4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1.8429395373095432E-4</v>
      </c>
      <c r="G13" s="4">
        <v>1.8429395373095432E-4</v>
      </c>
      <c r="H13" s="4">
        <v>1.8429395373095432E-4</v>
      </c>
      <c r="I13" s="4">
        <v>1.8429395373095432E-4</v>
      </c>
      <c r="J13" s="4">
        <v>1.8429395373095432E-4</v>
      </c>
      <c r="K13" s="4">
        <v>1.8429395373095432E-4</v>
      </c>
      <c r="L13" s="4">
        <v>1.8429395373095432E-4</v>
      </c>
      <c r="M13" s="4">
        <v>1.8429395373095432E-4</v>
      </c>
      <c r="N13" s="4">
        <v>1.8429395373095432E-4</v>
      </c>
      <c r="O13" s="4">
        <v>1.8429395373095432E-4</v>
      </c>
      <c r="P13" s="4">
        <v>1.8429395373095432E-4</v>
      </c>
      <c r="Q13" s="4">
        <v>1.8429395373095432E-4</v>
      </c>
      <c r="R13" s="4">
        <v>1.8429395373095432E-4</v>
      </c>
      <c r="S13" s="4">
        <v>1.8429395373095432E-4</v>
      </c>
      <c r="T13" s="4">
        <v>1.8429395373095432E-4</v>
      </c>
      <c r="U13" s="4">
        <v>1.8429395373095432E-4</v>
      </c>
      <c r="V13" s="4">
        <v>1.8429395373095432E-4</v>
      </c>
      <c r="W13" s="4">
        <v>1.8429395373095432E-4</v>
      </c>
      <c r="X13" s="4">
        <v>1.8429395373095432E-4</v>
      </c>
      <c r="Y13" s="4">
        <v>1.8429395373095432E-4</v>
      </c>
      <c r="Z13" s="4">
        <v>1.8429395373095432E-4</v>
      </c>
      <c r="AA13" s="4">
        <v>1.8429395373095432E-4</v>
      </c>
      <c r="AB13" s="4">
        <v>1.8429395373095432E-4</v>
      </c>
      <c r="AC13" s="4">
        <v>1.8429395373095432E-4</v>
      </c>
      <c r="AD13" s="4">
        <v>1.8429395373095432E-4</v>
      </c>
      <c r="AE13" s="4">
        <v>1.8429395373095432E-4</v>
      </c>
      <c r="AF13" s="4">
        <v>1.8429395373095432E-4</v>
      </c>
      <c r="AG13" s="4">
        <v>1.8429395373095432E-4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5.3101596884754634E-5</v>
      </c>
      <c r="I14" s="4">
        <v>5.5476684979521999E-5</v>
      </c>
      <c r="J14" s="4">
        <v>5.7582399958914863E-5</v>
      </c>
      <c r="K14" s="4">
        <v>5.9286666683388943E-5</v>
      </c>
      <c r="L14" s="4">
        <v>6.0610395754023679E-5</v>
      </c>
      <c r="M14" s="4">
        <v>6.1478539640264247E-5</v>
      </c>
      <c r="N14" s="4">
        <v>6.2186018569269444E-5</v>
      </c>
      <c r="O14" s="4">
        <v>6.2719039327693317E-5</v>
      </c>
      <c r="P14" s="4">
        <v>6.3153887297853718E-5</v>
      </c>
      <c r="Q14" s="4">
        <v>6.3628880192573051E-5</v>
      </c>
      <c r="R14" s="4">
        <v>6.3761431096533459E-5</v>
      </c>
      <c r="S14" s="4">
        <v>6.3729513130366037E-5</v>
      </c>
      <c r="T14" s="4">
        <v>6.3732591582412674E-5</v>
      </c>
      <c r="U14" s="4">
        <v>6.3745932608772252E-5</v>
      </c>
      <c r="V14" s="4">
        <v>6.3747499557147288E-5</v>
      </c>
      <c r="W14" s="4">
        <v>6.3758927758343791E-5</v>
      </c>
      <c r="X14" s="4">
        <v>6.3766114056474239E-5</v>
      </c>
      <c r="Y14" s="4">
        <v>6.377291869318759E-5</v>
      </c>
      <c r="Z14" s="4">
        <v>6.3770415255279687E-5</v>
      </c>
      <c r="AA14" s="4">
        <v>6.3757191437674787E-5</v>
      </c>
      <c r="AB14" s="4">
        <v>6.3739981586323922E-5</v>
      </c>
      <c r="AC14" s="4">
        <v>6.3714202878978367E-5</v>
      </c>
      <c r="AD14" s="4">
        <v>6.3705931242018896E-5</v>
      </c>
      <c r="AE14" s="4">
        <v>6.3710650453125008E-5</v>
      </c>
      <c r="AF14" s="4">
        <v>6.371634382274241E-5</v>
      </c>
      <c r="AG14" s="4">
        <v>6.3734281954707259E-5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7.0781272930232322E-4</v>
      </c>
      <c r="I15" s="4">
        <v>7.394712421402561E-4</v>
      </c>
      <c r="J15" s="4">
        <v>7.6753917143307089E-4</v>
      </c>
      <c r="K15" s="4">
        <v>7.9025603406014298E-4</v>
      </c>
      <c r="L15" s="4">
        <v>8.0790055590712715E-4</v>
      </c>
      <c r="M15" s="4">
        <v>8.1947239799090967E-4</v>
      </c>
      <c r="N15" s="4">
        <v>8.289026716745779E-4</v>
      </c>
      <c r="O15" s="4">
        <v>8.3600752162124896E-4</v>
      </c>
      <c r="P15" s="4">
        <v>8.4180378664240824E-4</v>
      </c>
      <c r="Q15" s="4">
        <v>8.4813515965064684E-4</v>
      </c>
      <c r="R15" s="4">
        <v>8.4990198442820152E-4</v>
      </c>
      <c r="S15" s="4">
        <v>8.4947653690737148E-4</v>
      </c>
      <c r="T15" s="4">
        <v>8.4951757084369322E-4</v>
      </c>
      <c r="U15" s="4">
        <v>8.4969539879677265E-4</v>
      </c>
      <c r="V15" s="4">
        <v>8.4971628528740723E-4</v>
      </c>
      <c r="W15" s="4">
        <v>8.4986861641781495E-4</v>
      </c>
      <c r="X15" s="4">
        <v>8.4996440550122682E-4</v>
      </c>
      <c r="Y15" s="4">
        <v>8.5005510726476202E-4</v>
      </c>
      <c r="Z15" s="4">
        <v>8.5002173792519053E-4</v>
      </c>
      <c r="AA15" s="4">
        <v>8.4984547229515633E-4</v>
      </c>
      <c r="AB15" s="4">
        <v>8.4961607520410507E-4</v>
      </c>
      <c r="AC15" s="4">
        <v>8.4927246035493688E-4</v>
      </c>
      <c r="AD15" s="4">
        <v>8.4916220434992835E-4</v>
      </c>
      <c r="AE15" s="4">
        <v>8.4922510862944409E-4</v>
      </c>
      <c r="AF15" s="4">
        <v>8.4930099786299329E-4</v>
      </c>
      <c r="AG15" s="4">
        <v>8.4954010250182699E-4</v>
      </c>
      <c r="AH15" s="4"/>
      <c r="AI15" s="4"/>
      <c r="AJ15" s="4"/>
      <c r="AK15" s="4"/>
    </row>
    <row r="16" spans="1:37" s="31" customFormat="1">
      <c r="A16" s="31" t="s">
        <v>16</v>
      </c>
      <c r="B16" s="31" t="s">
        <v>22</v>
      </c>
      <c r="C16" s="31" t="s">
        <v>5</v>
      </c>
      <c r="D16" s="31">
        <v>3.5120030000000001E-3</v>
      </c>
      <c r="E16" s="31">
        <v>3.3663400000000002E-3</v>
      </c>
      <c r="F16" s="31">
        <v>3.3698929999999997E-3</v>
      </c>
      <c r="G16" s="31">
        <v>3.3734500000000001E-3</v>
      </c>
      <c r="H16" s="31">
        <v>3.3770099999999997E-3</v>
      </c>
      <c r="I16" s="31">
        <v>3.3805740000000003E-3</v>
      </c>
      <c r="J16" s="31">
        <v>3.3841420000000001E-3</v>
      </c>
      <c r="K16" s="31">
        <v>3.3877130000000001E-3</v>
      </c>
      <c r="L16" s="31">
        <v>3.391289E-3</v>
      </c>
      <c r="M16" s="31">
        <v>3.3948680000000001E-3</v>
      </c>
      <c r="N16" s="31">
        <v>3.3984510000000002E-3</v>
      </c>
      <c r="O16" s="31">
        <v>3.4020370000000001E-3</v>
      </c>
      <c r="P16" s="31">
        <v>3.405628E-3</v>
      </c>
      <c r="Q16" s="31">
        <v>3.4092220000000004E-3</v>
      </c>
      <c r="R16" s="31">
        <v>3.41282E-3</v>
      </c>
      <c r="S16" s="31">
        <v>3.4164219999999997E-3</v>
      </c>
      <c r="T16" s="31">
        <v>3.420027E-3</v>
      </c>
      <c r="U16" s="31">
        <v>3.4236369999999998E-3</v>
      </c>
      <c r="V16" s="31">
        <v>3.4272499999999997E-3</v>
      </c>
      <c r="W16" s="31">
        <v>3.4308670000000002E-3</v>
      </c>
      <c r="X16" s="31">
        <v>3.4344879999999999E-3</v>
      </c>
      <c r="Y16" s="31">
        <v>3.438113E-3</v>
      </c>
      <c r="Z16" s="31">
        <v>3.4417409999999999E-3</v>
      </c>
      <c r="AA16" s="31">
        <v>3.4453729999999998E-3</v>
      </c>
      <c r="AB16" s="31">
        <v>3.4490099999999997E-3</v>
      </c>
      <c r="AC16" s="31">
        <v>3.4526489999999999E-3</v>
      </c>
      <c r="AD16" s="31">
        <v>3.456293E-3</v>
      </c>
      <c r="AE16" s="31">
        <v>3.4599410000000002E-3</v>
      </c>
      <c r="AF16" s="31">
        <v>3.4635930000000001E-3</v>
      </c>
      <c r="AG16" s="31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1.2375646625067684E-5</v>
      </c>
      <c r="G17" s="4">
        <v>1.2375646625067684E-5</v>
      </c>
      <c r="H17" s="4">
        <v>1.2375646625067684E-5</v>
      </c>
      <c r="I17" s="4">
        <v>1.2375646625067684E-5</v>
      </c>
      <c r="J17" s="4">
        <v>1.2375646625067684E-5</v>
      </c>
      <c r="K17" s="4">
        <v>1.2375646625067684E-5</v>
      </c>
      <c r="L17" s="4">
        <v>1.2375646625067684E-5</v>
      </c>
      <c r="M17" s="4">
        <v>1.2375646625067684E-5</v>
      </c>
      <c r="N17" s="4">
        <v>1.2375646625067684E-5</v>
      </c>
      <c r="O17" s="4">
        <v>1.2375646625067684E-5</v>
      </c>
      <c r="P17" s="4">
        <v>1.2375646625067684E-5</v>
      </c>
      <c r="Q17" s="4">
        <v>1.2375646625067684E-5</v>
      </c>
      <c r="R17" s="4">
        <v>1.2375646625067684E-5</v>
      </c>
      <c r="S17" s="4">
        <v>1.2375646625067684E-5</v>
      </c>
      <c r="T17" s="4">
        <v>1.2375646625067684E-5</v>
      </c>
      <c r="U17" s="4">
        <v>1.2375646625067684E-5</v>
      </c>
      <c r="V17" s="4">
        <v>1.2375646625067684E-5</v>
      </c>
      <c r="W17" s="4">
        <v>1.2375646625067684E-5</v>
      </c>
      <c r="X17" s="4">
        <v>1.2375646625067684E-5</v>
      </c>
      <c r="Y17" s="4">
        <v>1.2375646625067684E-5</v>
      </c>
      <c r="Z17" s="4">
        <v>1.2375646625067684E-5</v>
      </c>
      <c r="AA17" s="4">
        <v>1.2375646625067684E-5</v>
      </c>
      <c r="AB17" s="4">
        <v>1.2375646625067684E-5</v>
      </c>
      <c r="AC17" s="4">
        <v>1.2375646625067684E-5</v>
      </c>
      <c r="AD17" s="4">
        <v>1.2375646625067684E-5</v>
      </c>
      <c r="AE17" s="4">
        <v>1.2375646625067684E-5</v>
      </c>
      <c r="AF17" s="4">
        <v>1.2375646625067684E-5</v>
      </c>
      <c r="AG17" s="4">
        <v>1.2375646625067684E-5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6.5093363580536684E-3</v>
      </c>
      <c r="G19" s="4">
        <v>6.5093363580536684E-3</v>
      </c>
      <c r="H19" s="4">
        <v>6.5093363580536684E-3</v>
      </c>
      <c r="I19" s="4">
        <v>6.5093363580536684E-3</v>
      </c>
      <c r="J19" s="4">
        <v>6.5093363580536684E-3</v>
      </c>
      <c r="K19" s="4">
        <v>6.5093363580536684E-3</v>
      </c>
      <c r="L19" s="4">
        <v>6.5093363580536684E-3</v>
      </c>
      <c r="M19" s="4">
        <v>6.5093363580536684E-3</v>
      </c>
      <c r="N19" s="4">
        <v>6.5093363580536684E-3</v>
      </c>
      <c r="O19" s="4">
        <v>6.5093363580536684E-3</v>
      </c>
      <c r="P19" s="4">
        <v>6.5093363580536684E-3</v>
      </c>
      <c r="Q19" s="4">
        <v>6.5093363580536684E-3</v>
      </c>
      <c r="R19" s="4">
        <v>6.5093363580536684E-3</v>
      </c>
      <c r="S19" s="4">
        <v>6.5093363580536684E-3</v>
      </c>
      <c r="T19" s="4">
        <v>6.5093363580536684E-3</v>
      </c>
      <c r="U19" s="4">
        <v>6.5093363580536684E-3</v>
      </c>
      <c r="V19" s="4">
        <v>6.5093363580536684E-3</v>
      </c>
      <c r="W19" s="4">
        <v>6.5093363580536684E-3</v>
      </c>
      <c r="X19" s="4">
        <v>6.5093363580536684E-3</v>
      </c>
      <c r="Y19" s="4">
        <v>6.5093363580536684E-3</v>
      </c>
      <c r="Z19" s="4">
        <v>6.5093363580536684E-3</v>
      </c>
      <c r="AA19" s="4">
        <v>6.5093363580536684E-3</v>
      </c>
      <c r="AB19" s="4">
        <v>6.5093363580536684E-3</v>
      </c>
      <c r="AC19" s="4">
        <v>6.5093363580536684E-3</v>
      </c>
      <c r="AD19" s="4">
        <v>6.5093363580536684E-3</v>
      </c>
      <c r="AE19" s="4">
        <v>6.5093363580536684E-3</v>
      </c>
      <c r="AF19" s="4">
        <v>6.5093363580536684E-3</v>
      </c>
      <c r="AG19" s="4">
        <v>6.5093363580536684E-3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1.1869958916684679E-3</v>
      </c>
      <c r="C2">
        <v>3.0452303698896816E-4</v>
      </c>
      <c r="D2">
        <v>3.2946599147066076E-4</v>
      </c>
      <c r="E2">
        <v>3.9204179367786397E-4</v>
      </c>
      <c r="F2">
        <v>6.0116405303191475E-4</v>
      </c>
      <c r="G2">
        <v>2.3340357187499688E-4</v>
      </c>
      <c r="H2">
        <v>5.8116746400402948E-4</v>
      </c>
    </row>
    <row r="3" spans="1:8">
      <c r="A3" t="s">
        <v>8</v>
      </c>
      <c r="B3">
        <v>3.2473412441950682E-3</v>
      </c>
      <c r="C3">
        <v>2.5184995531410443E-3</v>
      </c>
      <c r="D3">
        <v>9.250377422058715E-4</v>
      </c>
      <c r="E3">
        <v>1.0105389360616456E-3</v>
      </c>
      <c r="F3">
        <v>2.2407802055350282E-3</v>
      </c>
      <c r="G3">
        <v>1.6954707688479299E-3</v>
      </c>
      <c r="H3">
        <v>3.0316168081849361E-3</v>
      </c>
    </row>
    <row r="4" spans="1:8">
      <c r="A4" t="s">
        <v>7</v>
      </c>
      <c r="B4">
        <v>1.3768785799698285E-3</v>
      </c>
      <c r="C4">
        <v>4.2847034255362628E-4</v>
      </c>
      <c r="D4">
        <v>4.2847034255362628E-4</v>
      </c>
      <c r="E4">
        <v>4.2847034255362628E-4</v>
      </c>
      <c r="F4">
        <v>0</v>
      </c>
      <c r="G4">
        <v>0</v>
      </c>
      <c r="H4">
        <v>1.2854110276608786E-3</v>
      </c>
    </row>
    <row r="5" spans="1:8">
      <c r="A5" t="s">
        <v>16</v>
      </c>
      <c r="B5">
        <v>6.7428486606874269E-4</v>
      </c>
      <c r="C5">
        <v>5.0586266198922429E-5</v>
      </c>
      <c r="D5">
        <v>5.0586266198922429E-5</v>
      </c>
      <c r="E5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>
        <v>3.9768826588502888E-5</v>
      </c>
      <c r="C6">
        <v>0</v>
      </c>
      <c r="D6">
        <v>1.2375644276775558E-5</v>
      </c>
      <c r="E6">
        <v>1.2375646625067684E-5</v>
      </c>
      <c r="F6">
        <v>0</v>
      </c>
      <c r="G6">
        <v>0</v>
      </c>
      <c r="H6">
        <v>3.7126939875203046E-5</v>
      </c>
    </row>
    <row r="7" spans="1:8">
      <c r="A7" t="s">
        <v>18</v>
      </c>
      <c r="B7">
        <v>2.0727097350644572E-2</v>
      </c>
      <c r="C7">
        <v>6.5093363580536684E-3</v>
      </c>
      <c r="D7">
        <v>6.5093363580536684E-3</v>
      </c>
      <c r="E7">
        <v>6.5093363580536684E-3</v>
      </c>
      <c r="F7">
        <v>1.4329104903978667E-2</v>
      </c>
      <c r="G7">
        <v>5.0447356774915931E-3</v>
      </c>
      <c r="H7">
        <v>1.9528009074161003E-2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1.3226441773833212E-4</v>
      </c>
      <c r="C10">
        <v>7.0204850469879831E-5</v>
      </c>
      <c r="D10">
        <v>1.0066053377187421E-4</v>
      </c>
      <c r="E10">
        <v>7.8079341843850301E-5</v>
      </c>
      <c r="F10">
        <v>1.7525323807361898E-4</v>
      </c>
      <c r="G10">
        <v>5.5270584840087177E-5</v>
      </c>
      <c r="H10">
        <v>8.379890176963306E-5</v>
      </c>
    </row>
    <row r="11" spans="1:8">
      <c r="A11" t="s">
        <v>8</v>
      </c>
      <c r="B11">
        <v>1.421389052178215E-3</v>
      </c>
      <c r="C11">
        <v>7.9458999302765691E-4</v>
      </c>
      <c r="D11">
        <v>7.5502679371825096E-4</v>
      </c>
      <c r="E11">
        <v>7.2905101417222013E-4</v>
      </c>
      <c r="F11">
        <v>0</v>
      </c>
      <c r="G11">
        <v>8.0334858395033032E-4</v>
      </c>
      <c r="H11">
        <v>0</v>
      </c>
    </row>
    <row r="12" spans="1:8">
      <c r="A12" t="s">
        <v>7</v>
      </c>
      <c r="B12">
        <v>5.4991909569712227E-4</v>
      </c>
      <c r="C12">
        <v>1.7112912259502911E-4</v>
      </c>
      <c r="D12">
        <v>1.7112912259502911E-4</v>
      </c>
      <c r="E12">
        <v>1.7112912259502911E-4</v>
      </c>
      <c r="F12">
        <v>0</v>
      </c>
      <c r="G12">
        <v>0</v>
      </c>
      <c r="H12">
        <v>5.1338736778508724E-4</v>
      </c>
    </row>
    <row r="13" spans="1:8">
      <c r="A13" t="s">
        <v>16</v>
      </c>
      <c r="B13">
        <v>1.0829065696442089E-2</v>
      </c>
      <c r="C13">
        <v>3.3698929999999997E-3</v>
      </c>
      <c r="D13">
        <v>3.3698929999999997E-3</v>
      </c>
      <c r="E13">
        <v>3.3698929999999997E-3</v>
      </c>
      <c r="F13">
        <v>0</v>
      </c>
      <c r="G13">
        <v>0</v>
      </c>
      <c r="H13">
        <v>1.0109678999999998E-2</v>
      </c>
    </row>
    <row r="14" spans="1:8">
      <c r="A14" t="s">
        <v>17</v>
      </c>
      <c r="B14">
        <v>1.5549894526873581E-2</v>
      </c>
      <c r="C14">
        <v>4.8389660000000001E-3</v>
      </c>
      <c r="D14">
        <v>4.8389660000000001E-3</v>
      </c>
      <c r="E14">
        <v>4.8389660000000001E-3</v>
      </c>
      <c r="F14">
        <v>0</v>
      </c>
      <c r="G14">
        <v>0</v>
      </c>
      <c r="H14">
        <v>1.4516897999999999E-2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0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30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opLeftCell="A26" zoomScale="90" zoomScaleNormal="90" workbookViewId="0">
      <pane xSplit="2" topLeftCell="C1" activePane="topRight" state="frozen"/>
      <selection pane="topRight" activeCell="B6" sqref="B6"/>
    </sheetView>
  </sheetViews>
  <sheetFormatPr defaultRowHeight="15"/>
  <cols>
    <col min="1" max="1" width="14" customWidth="1"/>
    <col min="15" max="15" width="11.42578125" customWidth="1"/>
    <col min="43" max="43" width="9.140625" style="23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 s="23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26">
        <f t="shared" ref="AB2:AO2" si="0">($AR$2-$AA$2)/COUNT($AB$1:$AR$1)+AA2</f>
        <v>3.1779260113808729E-4</v>
      </c>
      <c r="AC2" s="26">
        <f t="shared" si="0"/>
        <v>3.2133534064398227E-4</v>
      </c>
      <c r="AD2" s="26">
        <f t="shared" si="0"/>
        <v>3.2487808014987726E-4</v>
      </c>
      <c r="AE2" s="26">
        <f t="shared" si="0"/>
        <v>3.2842081965577224E-4</v>
      </c>
      <c r="AF2" s="26">
        <f t="shared" si="0"/>
        <v>3.3196355916166722E-4</v>
      </c>
      <c r="AG2" s="26">
        <f t="shared" si="0"/>
        <v>3.3550629866756221E-4</v>
      </c>
      <c r="AH2" s="26">
        <f t="shared" si="0"/>
        <v>3.3904903817345719E-4</v>
      </c>
      <c r="AI2" s="26">
        <f t="shared" si="0"/>
        <v>3.4259177767935218E-4</v>
      </c>
      <c r="AJ2" s="26">
        <f t="shared" si="0"/>
        <v>3.4613451718524716E-4</v>
      </c>
      <c r="AK2" s="26">
        <f t="shared" si="0"/>
        <v>3.4967725669114214E-4</v>
      </c>
      <c r="AL2" s="26">
        <f t="shared" si="0"/>
        <v>3.5321999619703713E-4</v>
      </c>
      <c r="AM2" s="26">
        <f t="shared" si="0"/>
        <v>3.5676273570293211E-4</v>
      </c>
      <c r="AN2" s="26">
        <f t="shared" si="0"/>
        <v>3.603054752088271E-4</v>
      </c>
      <c r="AO2" s="26">
        <f t="shared" si="0"/>
        <v>3.6384821471472208E-4</v>
      </c>
      <c r="AP2" s="26">
        <f>($AR$2-$AA$2)/COUNT($AB$1:$AR$1)+AO2</f>
        <v>3.6739095422061706E-4</v>
      </c>
      <c r="AQ2" s="26">
        <f>($AR$2-$AA$2)/COUNT($AB$1:$AR$1)+AP2</f>
        <v>3.7093369372651205E-4</v>
      </c>
      <c r="AR2" s="10">
        <f>BNVFE!G8</f>
        <v>3.7447643323240698E-4</v>
      </c>
      <c r="AS2" s="10">
        <f>BNVFE!H8</f>
        <v>3.9011286777709445E-4</v>
      </c>
      <c r="AT2" s="10">
        <f>BNVFE!I8</f>
        <v>3.973908333465341E-4</v>
      </c>
      <c r="AU2" s="10">
        <f>BNVFE!J8</f>
        <v>3.9921116827982341E-4</v>
      </c>
      <c r="AV2" s="10">
        <f>BNVFE!K8</f>
        <v>4.0474968459162865E-4</v>
      </c>
      <c r="AW2" s="10">
        <f>BNVFE!L8</f>
        <v>4.0866714086181205E-4</v>
      </c>
      <c r="AX2" s="10">
        <f>BNVFE!M8</f>
        <v>4.1165739618674141E-4</v>
      </c>
      <c r="AY2" s="10">
        <f>BNVFE!N8</f>
        <v>4.1453743818293512E-4</v>
      </c>
      <c r="AZ2" s="10">
        <f>BNVFE!O8</f>
        <v>4.1476226395269379E-4</v>
      </c>
      <c r="BA2" s="10">
        <f>BNVFE!P8</f>
        <v>4.1467751199658729E-4</v>
      </c>
      <c r="BB2" s="10">
        <f>BNVFE!Q8</f>
        <v>4.1774836203476703E-4</v>
      </c>
      <c r="BC2" s="10">
        <f>BNVFE!R8</f>
        <v>4.1834632264550211E-4</v>
      </c>
      <c r="BD2" s="10">
        <f>BNVFE!S8</f>
        <v>4.1983822558637316E-4</v>
      </c>
      <c r="BE2" s="10">
        <f>BNVFE!T8</f>
        <v>4.2130104966706447E-4</v>
      </c>
      <c r="BF2" s="10">
        <f>BNVFE!U8</f>
        <v>4.2281184411175634E-4</v>
      </c>
      <c r="BG2" s="10">
        <f>BNVFE!V8</f>
        <v>4.2360951790740064E-4</v>
      </c>
      <c r="BH2" s="10">
        <f>BNVFE!W8</f>
        <v>4.2374431078237557E-4</v>
      </c>
      <c r="BI2" s="10">
        <f>BNVFE!X8</f>
        <v>4.2455978231601869E-4</v>
      </c>
      <c r="BJ2" s="10">
        <f>BNVFE!Y8</f>
        <v>4.2499271222158055E-4</v>
      </c>
      <c r="BK2" s="10">
        <f>BNVFE!Z8</f>
        <v>4.255977010533903E-4</v>
      </c>
      <c r="BL2" s="10">
        <f>BNVFE!AA8</f>
        <v>4.259134403023234E-4</v>
      </c>
      <c r="BM2" s="10">
        <f>BNVFE!AB8</f>
        <v>4.2644140225411056E-4</v>
      </c>
      <c r="BN2" s="10">
        <f>BNVFE!AC8</f>
        <v>4.2668500307371869E-4</v>
      </c>
      <c r="BO2" s="10">
        <f>BNVFE!AD8</f>
        <v>4.2678409185942635E-4</v>
      </c>
      <c r="BP2" s="10">
        <f>BNVFE!AE8</f>
        <v>4.2712969246070032E-4</v>
      </c>
      <c r="BQ2" s="10">
        <f>BNVFE!AF8</f>
        <v>4.274732939624897E-4</v>
      </c>
      <c r="BR2" s="10">
        <f>BNVFE!AG8</f>
        <v>4.2842378634895789E-4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TREND($AQ$3:$AU$3,$AQ$1:$AU$1,AA1)</f>
        <v>6.7936644557507406E-5</v>
      </c>
      <c r="AB3" s="4" cm="1">
        <f t="array" ref="AB3">TREND($AQ$3:$AU$3,$AQ$1:$AU$1,AB1)</f>
        <v>6.8982159565568642E-5</v>
      </c>
      <c r="AC3" s="4" cm="1">
        <f t="array" ref="AC3">TREND($AQ$3:$AU$3,$AQ$1:$AU$1,AC1)</f>
        <v>7.0027674573629444E-5</v>
      </c>
      <c r="AD3" s="4" cm="1">
        <f t="array" ref="AD3">TREND($AQ$3:$AU$3,$AQ$1:$AU$1,AD1)</f>
        <v>7.107318958169068E-5</v>
      </c>
      <c r="AE3" s="4" cm="1">
        <f t="array" ref="AE3">TREND($AQ$3:$AU$3,$AQ$1:$AU$1,AE1)</f>
        <v>7.2118704589751916E-5</v>
      </c>
      <c r="AF3" s="4" cm="1">
        <f t="array" ref="AF3">TREND($AQ$3:$AU$3,$AQ$1:$AU$1,AF1)</f>
        <v>7.3164219597812719E-5</v>
      </c>
      <c r="AG3" s="4" cm="1">
        <f t="array" ref="AG3">TREND($AQ$3:$AU$3,$AQ$1:$AU$1,AG1)</f>
        <v>7.4209734605873955E-5</v>
      </c>
      <c r="AH3" s="4" cm="1">
        <f t="array" ref="AH3">TREND($AQ$3:$AU$3,$AQ$1:$AU$1,AH1)</f>
        <v>7.5255249613935191E-5</v>
      </c>
      <c r="AI3" s="4" cm="1">
        <f t="array" ref="AI3">TREND($AQ$3:$AU$3,$AQ$1:$AU$1,AI1)</f>
        <v>7.6300764621996427E-5</v>
      </c>
      <c r="AJ3" s="4" cm="1">
        <f t="array" ref="AJ3">TREND($AQ$3:$AU$3,$AQ$1:$AU$1,AJ1)</f>
        <v>7.7346279630057229E-5</v>
      </c>
      <c r="AK3" s="4" cm="1">
        <f t="array" ref="AK3">TREND($AQ$3:$AU$3,$AQ$1:$AU$1,AK1)</f>
        <v>7.8391794638118465E-5</v>
      </c>
      <c r="AL3" s="4" cm="1">
        <f t="array" ref="AL3">TREND($AQ$3:$AU$3,$AQ$1:$AU$1,AL1)</f>
        <v>7.9437309646179701E-5</v>
      </c>
      <c r="AM3" s="4" cm="1">
        <f t="array" ref="AM3">TREND($AQ$3:$AU$3,$AQ$1:$AU$1,AM1)</f>
        <v>8.0482824654240937E-5</v>
      </c>
      <c r="AN3" s="4" cm="1">
        <f t="array" ref="AN3">TREND($AQ$3:$AU$3,$AQ$1:$AU$1,AN1)</f>
        <v>8.152833966230174E-5</v>
      </c>
      <c r="AO3" s="4" cm="1">
        <f t="array" ref="AO3">TREND($AQ$3:$AU$3,$AQ$1:$AU$1,AO1)</f>
        <v>8.2573854670362976E-5</v>
      </c>
      <c r="AP3" s="4" cm="1">
        <f t="array" ref="AP3">TREND($AR$3:$AV$3,$AR$1:$AV$1,AP1)</f>
        <v>8.3290853830414978E-5</v>
      </c>
      <c r="AQ3" s="4" cm="1">
        <f t="array" ref="AQ3">TREND($AR$3:$AV$3,$AR$1:$AV$1,AQ1)</f>
        <v>8.4477161344765576E-5</v>
      </c>
      <c r="AR3" s="10">
        <f>BNVFE!G9</f>
        <v>8.6081511061439429E-5</v>
      </c>
      <c r="AS3" s="10">
        <f>BNVFE!H9</f>
        <v>8.6605037659008062E-5</v>
      </c>
      <c r="AT3" s="10">
        <f>BNVFE!I9</f>
        <v>8.774074306406576E-5</v>
      </c>
      <c r="AU3" s="10">
        <f>BNVFE!J9</f>
        <v>8.8875120383758021E-5</v>
      </c>
      <c r="AV3" s="10">
        <f>BNVFE!K9</f>
        <v>9.0878007270817581E-5</v>
      </c>
      <c r="AW3" s="10">
        <f>BNVFE!L9</f>
        <v>9.1222619727092481E-5</v>
      </c>
      <c r="AX3" s="10">
        <f>BNVFE!M9</f>
        <v>9.2203039360616137E-5</v>
      </c>
      <c r="AY3" s="10">
        <f>BNVFE!N9</f>
        <v>9.3420264979240058E-5</v>
      </c>
      <c r="AZ3" s="10">
        <f>BNVFE!O9</f>
        <v>9.4554347765317116E-5</v>
      </c>
      <c r="BA3" s="10">
        <f>BNVFE!P9</f>
        <v>9.5273851243985993E-5</v>
      </c>
      <c r="BB3" s="10">
        <f>BNVFE!Q9</f>
        <v>9.6237109925949779E-5</v>
      </c>
      <c r="BC3" s="10">
        <f>BNVFE!R9</f>
        <v>9.7405008085110293E-5</v>
      </c>
      <c r="BD3" s="10">
        <f>BNVFE!S9</f>
        <v>9.83598745548802E-5</v>
      </c>
      <c r="BE3" s="10">
        <f>BNVFE!T9</f>
        <v>9.9169968845188442E-5</v>
      </c>
      <c r="BF3" s="10">
        <f>BNVFE!U9</f>
        <v>1.0006284269668531E-4</v>
      </c>
      <c r="BG3" s="10">
        <f>BNVFE!V9</f>
        <v>1.009236032880858E-4</v>
      </c>
      <c r="BH3" s="10">
        <f>BNVFE!W9</f>
        <v>1.0167355189208385E-4</v>
      </c>
      <c r="BI3" s="10">
        <f>BNVFE!X9</f>
        <v>1.0292543910496804E-4</v>
      </c>
      <c r="BJ3" s="10">
        <f>BNVFE!Y9</f>
        <v>1.0402221835884117E-4</v>
      </c>
      <c r="BK3" s="10">
        <f>BNVFE!Z9</f>
        <v>1.0509268648373766E-4</v>
      </c>
      <c r="BL3" s="10">
        <f>BNVFE!AA9</f>
        <v>1.0574360995112404E-4</v>
      </c>
      <c r="BM3" s="10">
        <f>BNVFE!AB9</f>
        <v>1.0636614234036401E-4</v>
      </c>
      <c r="BN3" s="10">
        <f>BNVFE!AC9</f>
        <v>1.069846490853625E-4</v>
      </c>
      <c r="BO3" s="10">
        <f>BNVFE!AD9</f>
        <v>1.077249331934921E-4</v>
      </c>
      <c r="BP3" s="10">
        <f>BNVFE!AE9</f>
        <v>1.0826226620916075E-4</v>
      </c>
      <c r="BQ3" s="10">
        <f>BNVFE!AF9</f>
        <v>1.08765871913312E-4</v>
      </c>
      <c r="BR3" s="10">
        <f>BNVFE!AG9</f>
        <v>1.0938951127614153E-4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9.8438896867039508E-4</v>
      </c>
      <c r="M4" s="4">
        <f t="shared" ref="M4:AI4" si="1">M5/N5*N4</f>
        <v>9.8438896867039508E-4</v>
      </c>
      <c r="N4" s="4">
        <f t="shared" si="1"/>
        <v>9.8438896867039508E-4</v>
      </c>
      <c r="O4" s="4">
        <f t="shared" si="1"/>
        <v>9.8438896867039508E-4</v>
      </c>
      <c r="P4" s="4">
        <f t="shared" si="1"/>
        <v>9.8438896867039508E-4</v>
      </c>
      <c r="Q4" s="4">
        <f t="shared" si="1"/>
        <v>9.8438896867039508E-4</v>
      </c>
      <c r="R4" s="4">
        <f t="shared" si="1"/>
        <v>9.8438896867039508E-4</v>
      </c>
      <c r="S4" s="4">
        <f t="shared" si="1"/>
        <v>9.8438896867039508E-4</v>
      </c>
      <c r="T4" s="4">
        <f t="shared" si="1"/>
        <v>9.8438896867039508E-4</v>
      </c>
      <c r="U4" s="4">
        <f t="shared" si="1"/>
        <v>9.8438896867039508E-4</v>
      </c>
      <c r="V4" s="4">
        <f t="shared" si="1"/>
        <v>9.8438896867039508E-4</v>
      </c>
      <c r="W4" s="4">
        <f t="shared" si="1"/>
        <v>9.8557760355181558E-4</v>
      </c>
      <c r="X4" s="4">
        <f t="shared" si="1"/>
        <v>9.8676623843323608E-4</v>
      </c>
      <c r="Y4" s="4">
        <f t="shared" si="1"/>
        <v>9.8795487331465657E-4</v>
      </c>
      <c r="Z4" s="4">
        <f t="shared" si="1"/>
        <v>9.8914350819607707E-4</v>
      </c>
      <c r="AA4" s="4">
        <f t="shared" si="1"/>
        <v>9.9033214307749757E-4</v>
      </c>
      <c r="AB4" s="4">
        <f t="shared" si="1"/>
        <v>9.9152077795891806E-4</v>
      </c>
      <c r="AC4" s="4">
        <f t="shared" si="1"/>
        <v>9.9270941284033856E-4</v>
      </c>
      <c r="AD4" s="4">
        <f t="shared" si="1"/>
        <v>9.9389804772175906E-4</v>
      </c>
      <c r="AE4" s="4">
        <f t="shared" si="1"/>
        <v>9.9508668260317955E-4</v>
      </c>
      <c r="AF4" s="4">
        <f t="shared" si="1"/>
        <v>9.9627531748460005E-4</v>
      </c>
      <c r="AG4" s="4">
        <f>AG5/AH5*AH4</f>
        <v>9.9746395236602055E-4</v>
      </c>
      <c r="AH4" s="4">
        <f t="shared" si="1"/>
        <v>9.9865258724744104E-4</v>
      </c>
      <c r="AI4" s="4">
        <f t="shared" si="1"/>
        <v>9.9984122212886154E-4</v>
      </c>
      <c r="AJ4" s="4">
        <f>AJ5/AK5*AK4</f>
        <v>1.001029857010282E-3</v>
      </c>
      <c r="AK4" s="19">
        <f>AK5/AL5*AL4</f>
        <v>1.0022184918917025E-3</v>
      </c>
      <c r="AL4" s="19">
        <f>AL5/AM5*AM4</f>
        <v>1.003407126773123E-3</v>
      </c>
      <c r="AM4" s="19">
        <f>AM5/AN5*AN4</f>
        <v>1.0045957616545435E-3</v>
      </c>
      <c r="AN4" s="19">
        <f t="shared" ref="AN4:AQ4" si="2">AN5/AO5*AO4</f>
        <v>1.005784396535964E-3</v>
      </c>
      <c r="AO4" s="19">
        <f t="shared" si="2"/>
        <v>1.0069730314173845E-3</v>
      </c>
      <c r="AP4" s="19">
        <f t="shared" si="2"/>
        <v>1.008161666298805E-3</v>
      </c>
      <c r="AQ4" s="19">
        <f t="shared" si="2"/>
        <v>1.0105389360616456E-3</v>
      </c>
      <c r="AR4" s="10">
        <f>BNVFE!G10</f>
        <v>1.0071619859986915E-3</v>
      </c>
      <c r="AS4" s="10">
        <f>BNVFE!H10</f>
        <v>1.0297946332597221E-3</v>
      </c>
      <c r="AT4" s="10">
        <f>BNVFE!I10</f>
        <v>1.0542694402792506E-3</v>
      </c>
      <c r="AU4" s="10">
        <f>BNVFE!J10</f>
        <v>1.0790300186124084E-3</v>
      </c>
      <c r="AV4" s="10">
        <f>BNVFE!K10</f>
        <v>1.1024390235193078E-3</v>
      </c>
      <c r="AW4" s="10">
        <f>BNVFE!L10</f>
        <v>1.1250162796311157E-3</v>
      </c>
      <c r="AX4" s="10">
        <f>BNVFE!M10</f>
        <v>1.1437364311026228E-3</v>
      </c>
      <c r="AY4" s="10">
        <f>BNVFE!N10</f>
        <v>1.1601755544794832E-3</v>
      </c>
      <c r="AZ4" s="10">
        <f>BNVFE!O10</f>
        <v>1.1731175422229271E-3</v>
      </c>
      <c r="BA4" s="10">
        <f>BNVFE!P10</f>
        <v>1.1829709958873008E-3</v>
      </c>
      <c r="BB4" s="10">
        <f>BNVFE!Q10</f>
        <v>1.1904376346468411E-3</v>
      </c>
      <c r="BC4" s="10">
        <f>BNVFE!R10</f>
        <v>1.1951266350083583E-3</v>
      </c>
      <c r="BD4" s="10">
        <f>BNVFE!S10</f>
        <v>1.1954817554531098E-3</v>
      </c>
      <c r="BE4" s="10">
        <f>BNVFE!T10</f>
        <v>1.1956768733474535E-3</v>
      </c>
      <c r="BF4" s="10">
        <f>BNVFE!U10</f>
        <v>1.1953490811620006E-3</v>
      </c>
      <c r="BG4" s="10">
        <f>BNVFE!V10</f>
        <v>1.195614135891968E-3</v>
      </c>
      <c r="BH4" s="10">
        <f>BNVFE!W10</f>
        <v>1.1955621240436263E-3</v>
      </c>
      <c r="BI4" s="10">
        <f>BNVFE!X10</f>
        <v>1.1954516355974314E-3</v>
      </c>
      <c r="BJ4" s="10">
        <f>BNVFE!Y10</f>
        <v>1.1954450239217949E-3</v>
      </c>
      <c r="BK4" s="10">
        <f>BNVFE!Z10</f>
        <v>1.1950872588067892E-3</v>
      </c>
      <c r="BL4" s="10">
        <f>BNVFE!AA10</f>
        <v>1.1949745664687152E-3</v>
      </c>
      <c r="BM4" s="10">
        <f>BNVFE!AB10</f>
        <v>1.1948443899217356E-3</v>
      </c>
      <c r="BN4" s="10">
        <f>BNVFE!AC10</f>
        <v>1.1946410441643772E-3</v>
      </c>
      <c r="BO4" s="10">
        <f>BNVFE!AD10</f>
        <v>1.1944371107025177E-3</v>
      </c>
      <c r="BP4" s="10">
        <f>BNVFE!AE10</f>
        <v>1.193589934664274E-3</v>
      </c>
      <c r="BQ4" s="10">
        <f>BNVFE!AF10</f>
        <v>1.1933357524675759E-3</v>
      </c>
      <c r="BR4" s="10">
        <f>BNVFE!AG10</f>
        <v>1.1931159509841881E-3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2">
        <f>Calculations!B22</f>
        <v>7.8040477200267344E-4</v>
      </c>
      <c r="W5" s="4">
        <f>($AQ$5-$V$5)/COUNT($V$1:$AQ$1)+V5</f>
        <v>7.8134709903309753E-4</v>
      </c>
      <c r="X5" s="4">
        <f t="shared" ref="X5:AN5" si="4">($AQ$5-$V$5)/COUNT($V$1:$AQ$1)+W5</f>
        <v>7.8228942606352163E-4</v>
      </c>
      <c r="Y5" s="4">
        <f t="shared" si="4"/>
        <v>7.8323175309394572E-4</v>
      </c>
      <c r="Z5" s="4">
        <f t="shared" si="4"/>
        <v>7.8417408012436982E-4</v>
      </c>
      <c r="AA5" s="4">
        <f t="shared" si="4"/>
        <v>7.8511640715479391E-4</v>
      </c>
      <c r="AB5" s="4">
        <f t="shared" si="4"/>
        <v>7.8605873418521801E-4</v>
      </c>
      <c r="AC5" s="4">
        <f t="shared" si="4"/>
        <v>7.870010612156421E-4</v>
      </c>
      <c r="AD5" s="4">
        <f t="shared" si="4"/>
        <v>7.879433882460662E-4</v>
      </c>
      <c r="AE5" s="4">
        <f t="shared" si="4"/>
        <v>7.8888571527649029E-4</v>
      </c>
      <c r="AF5" s="4">
        <f t="shared" si="4"/>
        <v>7.8982804230691439E-4</v>
      </c>
      <c r="AG5" s="4">
        <f t="shared" si="4"/>
        <v>7.9077036933733848E-4</v>
      </c>
      <c r="AH5" s="4">
        <f t="shared" si="4"/>
        <v>7.9171269636776258E-4</v>
      </c>
      <c r="AI5" s="4">
        <f t="shared" si="4"/>
        <v>7.9265502339818667E-4</v>
      </c>
      <c r="AJ5" s="4">
        <f t="shared" si="4"/>
        <v>7.9359735042861077E-4</v>
      </c>
      <c r="AK5" s="4">
        <f t="shared" si="4"/>
        <v>7.9453967745903486E-4</v>
      </c>
      <c r="AL5" s="4">
        <f t="shared" si="4"/>
        <v>7.9548200448945896E-4</v>
      </c>
      <c r="AM5" s="4">
        <f t="shared" si="4"/>
        <v>7.9642433151988306E-4</v>
      </c>
      <c r="AN5" s="4">
        <f t="shared" si="4"/>
        <v>7.9736665855030715E-4</v>
      </c>
      <c r="AO5" s="4">
        <f>($AQ$5-$V$5)/COUNT($V$1:$AQ$1)+AN5</f>
        <v>7.9830898558073125E-4</v>
      </c>
      <c r="AP5" s="4">
        <f>($AQ$5-$V$5)/COUNT($V$1:$AQ$1)+AO5</f>
        <v>7.9925131261115534E-4</v>
      </c>
      <c r="AQ5" s="28">
        <f>BNVFE!F11</f>
        <v>8.0113596667200321E-4</v>
      </c>
      <c r="AR5" s="10">
        <f>BNVFE!G11</f>
        <v>7.9845878516365723E-4</v>
      </c>
      <c r="AS5" s="10">
        <f>BNVFE!H11</f>
        <v>8.1640151561645602E-4</v>
      </c>
      <c r="AT5" s="10">
        <f>BNVFE!I11</f>
        <v>8.3580467513954908E-4</v>
      </c>
      <c r="AU5" s="10">
        <f>BNVFE!J11</f>
        <v>8.5543438870170133E-4</v>
      </c>
      <c r="AV5" s="10">
        <f>BNVFE!K11</f>
        <v>8.7399260066729594E-4</v>
      </c>
      <c r="AW5" s="10">
        <f>BNVFE!L11</f>
        <v>8.9189141807499185E-4</v>
      </c>
      <c r="AX5" s="10">
        <f>BNVFE!M11</f>
        <v>9.0673239659663221E-4</v>
      </c>
      <c r="AY5" s="10">
        <f>BNVFE!N11</f>
        <v>9.1976501961370109E-4</v>
      </c>
      <c r="AZ5" s="10">
        <f>BNVFE!O11</f>
        <v>9.3002518029777076E-4</v>
      </c>
      <c r="BA5" s="10">
        <f>BNVFE!P11</f>
        <v>9.3783681015661687E-4</v>
      </c>
      <c r="BB5" s="10">
        <f>BNVFE!Q11</f>
        <v>9.4375621874836048E-4</v>
      </c>
      <c r="BC5" s="10">
        <f>BNVFE!R11</f>
        <v>9.4747356867254048E-4</v>
      </c>
      <c r="BD5" s="10">
        <f>BNVFE!S11</f>
        <v>9.4775510137814763E-4</v>
      </c>
      <c r="BE5" s="10">
        <f>BNVFE!T11</f>
        <v>9.4790978711792664E-4</v>
      </c>
      <c r="BF5" s="10">
        <f>BNVFE!U11</f>
        <v>9.4764991973430679E-4</v>
      </c>
      <c r="BG5" s="10">
        <f>BNVFE!V11</f>
        <v>9.4786005006153686E-4</v>
      </c>
      <c r="BH5" s="10">
        <f>BNVFE!W11</f>
        <v>9.4781881606162595E-4</v>
      </c>
      <c r="BI5" s="10">
        <f>BNVFE!X11</f>
        <v>9.4773122293187136E-4</v>
      </c>
      <c r="BJ5" s="10">
        <f>BNVFE!Y11</f>
        <v>9.4772598132171319E-4</v>
      </c>
      <c r="BK5" s="10">
        <f>BNVFE!Z11</f>
        <v>9.4744235197204304E-4</v>
      </c>
      <c r="BL5" s="10">
        <f>BNVFE!AA11</f>
        <v>9.4735301163890236E-4</v>
      </c>
      <c r="BM5" s="10">
        <f>BNVFE!AB11</f>
        <v>9.4724981015889911E-4</v>
      </c>
      <c r="BN5" s="10">
        <f>BNVFE!AC11</f>
        <v>9.4708860152647881E-4</v>
      </c>
      <c r="BO5" s="10">
        <f>BNVFE!AD11</f>
        <v>9.4692692697315531E-4</v>
      </c>
      <c r="BP5" s="10">
        <f>BNVFE!AE11</f>
        <v>9.4625530199155417E-4</v>
      </c>
      <c r="BQ5" s="10">
        <f>BNVFE!AF11</f>
        <v>9.4605379120102872E-4</v>
      </c>
      <c r="BR5" s="10">
        <f>BNVFE!AG11</f>
        <v>9.4587953678332564E-4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 t="shared" ref="P6:AM6" si="5">TREND($AQ6:$BR6,$AQ$1:$BR$1,P$1)</f>
        <v>3.4763021843211422E-4</v>
      </c>
      <c r="Q6" s="4">
        <f>TREND($AQ6:$BR6,$AQ$1:$BR$1,Q$1)</f>
        <v>3.5180176772518779E-4</v>
      </c>
      <c r="R6" s="4">
        <f t="shared" si="5"/>
        <v>3.5597331701826135E-4</v>
      </c>
      <c r="S6" s="4">
        <f t="shared" si="5"/>
        <v>3.6014486631133318E-4</v>
      </c>
      <c r="T6" s="4">
        <f t="shared" si="5"/>
        <v>3.6431641560440674E-4</v>
      </c>
      <c r="U6" s="4">
        <f t="shared" si="5"/>
        <v>3.684879648974803E-4</v>
      </c>
      <c r="V6" s="4">
        <f t="shared" si="5"/>
        <v>3.7265951419055386E-4</v>
      </c>
      <c r="W6" s="4">
        <f t="shared" si="5"/>
        <v>3.7683106348362569E-4</v>
      </c>
      <c r="X6" s="4">
        <f t="shared" si="5"/>
        <v>3.8100261277669925E-4</v>
      </c>
      <c r="Y6" s="4">
        <f t="shared" si="5"/>
        <v>3.8517416206977281E-4</v>
      </c>
      <c r="Z6" s="4">
        <f t="shared" si="5"/>
        <v>3.8934571136284464E-4</v>
      </c>
      <c r="AA6" s="4">
        <f t="shared" si="5"/>
        <v>3.935172606559182E-4</v>
      </c>
      <c r="AB6" s="4">
        <f t="shared" si="5"/>
        <v>3.9768880994899176E-4</v>
      </c>
      <c r="AC6" s="4">
        <f t="shared" si="5"/>
        <v>4.0186035924206359E-4</v>
      </c>
      <c r="AD6" s="4">
        <f t="shared" si="5"/>
        <v>4.0603190853513715E-4</v>
      </c>
      <c r="AE6" s="4">
        <f t="shared" si="5"/>
        <v>4.1020345782821072E-4</v>
      </c>
      <c r="AF6" s="4">
        <f t="shared" si="5"/>
        <v>4.1437500712128254E-4</v>
      </c>
      <c r="AG6" s="4">
        <f t="shared" si="5"/>
        <v>4.1854655641435611E-4</v>
      </c>
      <c r="AH6" s="4">
        <f t="shared" si="5"/>
        <v>4.2271810570742967E-4</v>
      </c>
      <c r="AI6" s="4">
        <f t="shared" si="5"/>
        <v>4.2688965500050149E-4</v>
      </c>
      <c r="AJ6" s="4">
        <f t="shared" si="5"/>
        <v>4.3106120429357506E-4</v>
      </c>
      <c r="AK6" s="4">
        <f t="shared" si="5"/>
        <v>4.3523275358664862E-4</v>
      </c>
      <c r="AL6" s="4">
        <f t="shared" si="5"/>
        <v>4.3940430287972045E-4</v>
      </c>
      <c r="AM6" s="4">
        <f t="shared" si="5"/>
        <v>4.4357585217279401E-4</v>
      </c>
      <c r="AN6" s="4">
        <f>TREND($AQ6:$BR6,$AQ$1:$BR$1,AN$1)</f>
        <v>4.4774740146586757E-4</v>
      </c>
      <c r="AO6" s="4">
        <f t="shared" ref="AO6:AP6" si="6">TREND($AQ6:$BR6,$AQ$1:$BR$1,AO$1)</f>
        <v>4.5191895075894113E-4</v>
      </c>
      <c r="AP6" s="4">
        <f t="shared" si="6"/>
        <v>4.5609050005201296E-4</v>
      </c>
      <c r="AQ6" s="28">
        <f>BNVFE!F12</f>
        <v>4.6292253798248397E-4</v>
      </c>
      <c r="AR6" s="10">
        <f>BNVFE!G12</f>
        <v>4.6724180152163598E-4</v>
      </c>
      <c r="AS6" s="10">
        <f>BNVFE!H12</f>
        <v>4.6965127581020212E-4</v>
      </c>
      <c r="AT6" s="10">
        <f>BNVFE!I12</f>
        <v>4.7322813533235715E-4</v>
      </c>
      <c r="AU6" s="10">
        <f>BNVFE!J12</f>
        <v>4.7696949985651614E-4</v>
      </c>
      <c r="AV6" s="10">
        <f>BNVFE!K12</f>
        <v>4.8083975908889043E-4</v>
      </c>
      <c r="AW6" s="10">
        <f>BNVFE!L12</f>
        <v>4.847773340732441E-4</v>
      </c>
      <c r="AX6" s="10">
        <f>BNVFE!M12</f>
        <v>4.8876510978465549E-4</v>
      </c>
      <c r="AY6" s="10">
        <f>BNVFE!N12</f>
        <v>4.9280339238632709E-4</v>
      </c>
      <c r="AZ6" s="10">
        <f>BNVFE!O12</f>
        <v>4.9685871974595585E-4</v>
      </c>
      <c r="BA6" s="10">
        <f>BNVFE!P12</f>
        <v>5.0093827917019513E-4</v>
      </c>
      <c r="BB6" s="10">
        <f>BNVFE!Q12</f>
        <v>5.0505403110021464E-4</v>
      </c>
      <c r="BC6" s="10">
        <f>BNVFE!R12</f>
        <v>5.091914152171586E-4</v>
      </c>
      <c r="BD6" s="10">
        <f>BNVFE!S12</f>
        <v>5.1335993261843963E-4</v>
      </c>
      <c r="BE6" s="10">
        <f>BNVFE!T12</f>
        <v>5.1755601976514434E-4</v>
      </c>
      <c r="BF6" s="10">
        <f>BNVFE!U12</f>
        <v>5.2177673046383325E-4</v>
      </c>
      <c r="BG6" s="10">
        <f>BNVFE!V12</f>
        <v>5.2602994967173547E-4</v>
      </c>
      <c r="BH6" s="10">
        <f>BNVFE!W12</f>
        <v>5.3031732866251667E-4</v>
      </c>
      <c r="BI6" s="10">
        <f>BNVFE!X12</f>
        <v>5.346381346521186E-4</v>
      </c>
      <c r="BJ6" s="10">
        <f>BNVFE!Y12</f>
        <v>5.3898042225657822E-4</v>
      </c>
      <c r="BK6" s="10">
        <f>BNVFE!Z12</f>
        <v>5.4335778311445497E-4</v>
      </c>
      <c r="BL6" s="10">
        <f>BNVFE!AA12</f>
        <v>5.4777558261039474E-4</v>
      </c>
      <c r="BM6" s="10">
        <f>BNVFE!AB12</f>
        <v>5.5222750675573099E-4</v>
      </c>
      <c r="BN6" s="10">
        <f>BNVFE!AC12</f>
        <v>5.5671423312476443E-4</v>
      </c>
      <c r="BO6" s="10">
        <f>BNVFE!AD12</f>
        <v>5.6121623753950501E-4</v>
      </c>
      <c r="BP6" s="10">
        <f>BNVFE!AE12</f>
        <v>5.6574653946465893E-4</v>
      </c>
      <c r="BQ6" s="10">
        <f>BNVFE!AF12</f>
        <v>5.7031870042437182E-4</v>
      </c>
      <c r="BR6" s="10">
        <f>BNVFE!AG12</f>
        <v>5.7492662224994018E-4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8">
        <f t="shared" ref="P7:AP7" si="7">Q7</f>
        <v>1.8429395373095432E-4</v>
      </c>
      <c r="Q7" s="28">
        <f t="shared" si="7"/>
        <v>1.8429395373095432E-4</v>
      </c>
      <c r="R7" s="28">
        <f t="shared" si="7"/>
        <v>1.8429395373095432E-4</v>
      </c>
      <c r="S7" s="28">
        <f t="shared" si="7"/>
        <v>1.8429395373095432E-4</v>
      </c>
      <c r="T7" s="28">
        <f t="shared" si="7"/>
        <v>1.8429395373095432E-4</v>
      </c>
      <c r="U7" s="28">
        <f t="shared" si="7"/>
        <v>1.8429395373095432E-4</v>
      </c>
      <c r="V7" s="28">
        <f t="shared" si="7"/>
        <v>1.8429395373095432E-4</v>
      </c>
      <c r="W7" s="28">
        <f t="shared" si="7"/>
        <v>1.8429395373095432E-4</v>
      </c>
      <c r="X7" s="28">
        <f t="shared" si="7"/>
        <v>1.8429395373095432E-4</v>
      </c>
      <c r="Y7" s="28">
        <f t="shared" si="7"/>
        <v>1.8429395373095432E-4</v>
      </c>
      <c r="Z7" s="28">
        <f t="shared" si="7"/>
        <v>1.8429395373095432E-4</v>
      </c>
      <c r="AA7" s="28">
        <f t="shared" si="7"/>
        <v>1.8429395373095432E-4</v>
      </c>
      <c r="AB7" s="28">
        <f t="shared" si="7"/>
        <v>1.8429395373095432E-4</v>
      </c>
      <c r="AC7" s="28">
        <f t="shared" si="7"/>
        <v>1.8429395373095432E-4</v>
      </c>
      <c r="AD7" s="28">
        <f t="shared" si="7"/>
        <v>1.8429395373095432E-4</v>
      </c>
      <c r="AE7" s="28">
        <f t="shared" si="7"/>
        <v>1.8429395373095432E-4</v>
      </c>
      <c r="AF7" s="28">
        <f t="shared" si="7"/>
        <v>1.8429395373095432E-4</v>
      </c>
      <c r="AG7" s="28">
        <f t="shared" si="7"/>
        <v>1.8429395373095432E-4</v>
      </c>
      <c r="AH7" s="28">
        <f t="shared" si="7"/>
        <v>1.8429395373095432E-4</v>
      </c>
      <c r="AI7" s="28">
        <f t="shared" si="7"/>
        <v>1.8429395373095432E-4</v>
      </c>
      <c r="AJ7" s="28">
        <f t="shared" si="7"/>
        <v>1.8429395373095432E-4</v>
      </c>
      <c r="AK7" s="28">
        <f t="shared" si="7"/>
        <v>1.8429395373095432E-4</v>
      </c>
      <c r="AL7" s="28">
        <f t="shared" si="7"/>
        <v>1.8429395373095432E-4</v>
      </c>
      <c r="AM7" s="28">
        <f t="shared" si="7"/>
        <v>1.8429395373095432E-4</v>
      </c>
      <c r="AN7" s="28">
        <f t="shared" si="7"/>
        <v>1.8429395373095432E-4</v>
      </c>
      <c r="AO7" s="28">
        <f t="shared" si="7"/>
        <v>1.8429395373095432E-4</v>
      </c>
      <c r="AP7" s="28">
        <f t="shared" si="7"/>
        <v>1.8429395373095432E-4</v>
      </c>
      <c r="AQ7" s="28">
        <f>AR7</f>
        <v>1.8429395373095432E-4</v>
      </c>
      <c r="AR7" s="10">
        <f>BNVFE!G13</f>
        <v>1.8429395373095432E-4</v>
      </c>
      <c r="AS7" s="10">
        <f>BNVFE!H13</f>
        <v>1.8429395373095432E-4</v>
      </c>
      <c r="AT7" s="10">
        <f>BNVFE!I13</f>
        <v>1.8429395373095432E-4</v>
      </c>
      <c r="AU7" s="10">
        <f>BNVFE!J13</f>
        <v>1.8429395373095432E-4</v>
      </c>
      <c r="AV7" s="10">
        <f>BNVFE!K13</f>
        <v>1.8429395373095432E-4</v>
      </c>
      <c r="AW7" s="10">
        <f>BNVFE!L13</f>
        <v>1.8429395373095432E-4</v>
      </c>
      <c r="AX7" s="10">
        <f>BNVFE!M13</f>
        <v>1.8429395373095432E-4</v>
      </c>
      <c r="AY7" s="10">
        <f>BNVFE!N13</f>
        <v>1.8429395373095432E-4</v>
      </c>
      <c r="AZ7" s="10">
        <f>BNVFE!O13</f>
        <v>1.8429395373095432E-4</v>
      </c>
      <c r="BA7" s="10">
        <f>BNVFE!P13</f>
        <v>1.8429395373095432E-4</v>
      </c>
      <c r="BB7" s="10">
        <f>BNVFE!Q13</f>
        <v>1.8429395373095432E-4</v>
      </c>
      <c r="BC7" s="10">
        <f>BNVFE!R13</f>
        <v>1.8429395373095432E-4</v>
      </c>
      <c r="BD7" s="10">
        <f>BNVFE!S13</f>
        <v>1.8429395373095432E-4</v>
      </c>
      <c r="BE7" s="10">
        <f>BNVFE!T13</f>
        <v>1.8429395373095432E-4</v>
      </c>
      <c r="BF7" s="10">
        <f>BNVFE!U13</f>
        <v>1.8429395373095432E-4</v>
      </c>
      <c r="BG7" s="10">
        <f>BNVFE!V13</f>
        <v>1.8429395373095432E-4</v>
      </c>
      <c r="BH7" s="10">
        <f>BNVFE!W13</f>
        <v>1.8429395373095432E-4</v>
      </c>
      <c r="BI7" s="10">
        <f>BNVFE!X13</f>
        <v>1.8429395373095432E-4</v>
      </c>
      <c r="BJ7" s="10">
        <f>BNVFE!Y13</f>
        <v>1.8429395373095432E-4</v>
      </c>
      <c r="BK7" s="10">
        <f>BNVFE!Z13</f>
        <v>1.8429395373095432E-4</v>
      </c>
      <c r="BL7" s="10">
        <f>BNVFE!AA13</f>
        <v>1.8429395373095432E-4</v>
      </c>
      <c r="BM7" s="10">
        <f>BNVFE!AB13</f>
        <v>1.8429395373095432E-4</v>
      </c>
      <c r="BN7" s="10">
        <f>BNVFE!AC13</f>
        <v>1.8429395373095432E-4</v>
      </c>
      <c r="BO7" s="10">
        <f>BNVFE!AD13</f>
        <v>1.8429395373095432E-4</v>
      </c>
      <c r="BP7" s="10">
        <f>BNVFE!AE13</f>
        <v>1.8429395373095432E-4</v>
      </c>
      <c r="BQ7" s="10">
        <f>BNVFE!AF13</f>
        <v>1.8429395373095432E-4</v>
      </c>
      <c r="BR7" s="10">
        <f>BNVFE!AG13</f>
        <v>1.8429395373095432E-4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27">
        <f>AP8</f>
        <v>5.0586266198922429E-5</v>
      </c>
      <c r="AR8" s="4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27">
        <f t="shared" si="9"/>
        <v>6.7428486606874269E-4</v>
      </c>
      <c r="AR9" s="4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TREND($AR11:$BR11,$AR$1:$BR$1,G$1)</f>
        <v>1.2375646625067687E-5</v>
      </c>
      <c r="H11" s="4">
        <f t="shared" si="10"/>
        <v>1.2375646625067687E-5</v>
      </c>
      <c r="I11" s="4">
        <f t="shared" si="10"/>
        <v>1.2375646625067687E-5</v>
      </c>
      <c r="J11" s="4">
        <f t="shared" si="10"/>
        <v>1.2375646625067687E-5</v>
      </c>
      <c r="K11" s="4">
        <f t="shared" si="10"/>
        <v>1.2375646625067687E-5</v>
      </c>
      <c r="L11" s="4">
        <f t="shared" si="10"/>
        <v>1.2375646625067687E-5</v>
      </c>
      <c r="M11" s="4">
        <f t="shared" si="10"/>
        <v>1.2375646625067687E-5</v>
      </c>
      <c r="N11" s="4">
        <f t="shared" si="10"/>
        <v>1.2375646625067687E-5</v>
      </c>
      <c r="O11" s="4">
        <f t="shared" si="10"/>
        <v>1.2375646625067687E-5</v>
      </c>
      <c r="P11" s="4">
        <f t="shared" si="10"/>
        <v>1.2375646625067687E-5</v>
      </c>
      <c r="Q11" s="4">
        <f t="shared" si="10"/>
        <v>1.2375646625067687E-5</v>
      </c>
      <c r="R11" s="4">
        <f t="shared" si="10"/>
        <v>1.2375646625067687E-5</v>
      </c>
      <c r="S11" s="4">
        <f t="shared" si="10"/>
        <v>1.2375646625067687E-5</v>
      </c>
      <c r="T11" s="4">
        <f t="shared" si="10"/>
        <v>1.2375646625067687E-5</v>
      </c>
      <c r="U11" s="4">
        <f t="shared" si="10"/>
        <v>1.2375646625067687E-5</v>
      </c>
      <c r="V11" s="4">
        <f t="shared" si="10"/>
        <v>1.2375646625067687E-5</v>
      </c>
      <c r="W11" s="4">
        <f t="shared" si="10"/>
        <v>1.2375646625067687E-5</v>
      </c>
      <c r="X11" s="4">
        <f t="shared" si="10"/>
        <v>1.2375646625067687E-5</v>
      </c>
      <c r="Y11" s="4">
        <f t="shared" si="10"/>
        <v>1.2375646625067687E-5</v>
      </c>
      <c r="Z11" s="4">
        <f t="shared" si="10"/>
        <v>1.2375646625067687E-5</v>
      </c>
      <c r="AA11" s="4">
        <f t="shared" si="10"/>
        <v>1.2375646625067687E-5</v>
      </c>
      <c r="AB11" s="4">
        <f t="shared" si="10"/>
        <v>1.2375646625067687E-5</v>
      </c>
      <c r="AC11" s="4">
        <f t="shared" si="10"/>
        <v>1.2375646625067687E-5</v>
      </c>
      <c r="AD11" s="4">
        <f t="shared" si="10"/>
        <v>1.2375646625067687E-5</v>
      </c>
      <c r="AE11" s="4">
        <f t="shared" si="10"/>
        <v>1.2375646625067687E-5</v>
      </c>
      <c r="AF11" s="4">
        <f t="shared" si="10"/>
        <v>1.2375646625067687E-5</v>
      </c>
      <c r="AG11" s="4">
        <f t="shared" si="10"/>
        <v>1.2375646625067687E-5</v>
      </c>
      <c r="AH11" s="4">
        <f t="shared" si="10"/>
        <v>1.2375646625067687E-5</v>
      </c>
      <c r="AI11" s="4">
        <f t="shared" si="10"/>
        <v>1.2375646625067687E-5</v>
      </c>
      <c r="AJ11" s="4">
        <f t="shared" si="10"/>
        <v>1.2375646625067687E-5</v>
      </c>
      <c r="AK11" s="4">
        <f t="shared" si="10"/>
        <v>1.2375646625067687E-5</v>
      </c>
      <c r="AL11" s="4">
        <f t="shared" si="10"/>
        <v>1.2375646625067687E-5</v>
      </c>
      <c r="AM11" s="4">
        <f t="shared" si="10"/>
        <v>1.2375646625067687E-5</v>
      </c>
      <c r="AN11" s="4">
        <f t="shared" si="10"/>
        <v>1.2375646625067687E-5</v>
      </c>
      <c r="AO11" s="4">
        <f t="shared" si="10"/>
        <v>1.2375646625067687E-5</v>
      </c>
      <c r="AP11" s="4">
        <f t="shared" si="10"/>
        <v>1.2375646625067687E-5</v>
      </c>
      <c r="AQ11" s="4">
        <f t="shared" si="10"/>
        <v>1.2375646625067687E-5</v>
      </c>
      <c r="AR11" s="10">
        <f>BNVFE!G17</f>
        <v>1.2375646625067684E-5</v>
      </c>
      <c r="AS11" s="10">
        <f>BNVFE!H17</f>
        <v>1.2375646625067684E-5</v>
      </c>
      <c r="AT11" s="10">
        <f>BNVFE!I17</f>
        <v>1.2375646625067684E-5</v>
      </c>
      <c r="AU11" s="10">
        <f>BNVFE!J17</f>
        <v>1.2375646625067684E-5</v>
      </c>
      <c r="AV11" s="10">
        <f>BNVFE!K17</f>
        <v>1.2375646625067684E-5</v>
      </c>
      <c r="AW11" s="10">
        <f>BNVFE!L17</f>
        <v>1.2375646625067684E-5</v>
      </c>
      <c r="AX11" s="10">
        <f>BNVFE!M17</f>
        <v>1.2375646625067684E-5</v>
      </c>
      <c r="AY11" s="10">
        <f>BNVFE!N17</f>
        <v>1.2375646625067684E-5</v>
      </c>
      <c r="AZ11" s="10">
        <f>BNVFE!O17</f>
        <v>1.2375646625067684E-5</v>
      </c>
      <c r="BA11" s="10">
        <f>BNVFE!P17</f>
        <v>1.2375646625067684E-5</v>
      </c>
      <c r="BB11" s="10">
        <f>BNVFE!Q17</f>
        <v>1.2375646625067684E-5</v>
      </c>
      <c r="BC11" s="10">
        <f>BNVFE!R17</f>
        <v>1.2375646625067684E-5</v>
      </c>
      <c r="BD11" s="10">
        <f>BNVFE!S17</f>
        <v>1.2375646625067684E-5</v>
      </c>
      <c r="BE11" s="10">
        <f>BNVFE!T17</f>
        <v>1.2375646625067684E-5</v>
      </c>
      <c r="BF11" s="10">
        <f>BNVFE!U17</f>
        <v>1.2375646625067684E-5</v>
      </c>
      <c r="BG11" s="10">
        <f>BNVFE!V17</f>
        <v>1.2375646625067684E-5</v>
      </c>
      <c r="BH11" s="10">
        <f>BNVFE!W17</f>
        <v>1.2375646625067684E-5</v>
      </c>
      <c r="BI11" s="10">
        <f>BNVFE!X17</f>
        <v>1.2375646625067684E-5</v>
      </c>
      <c r="BJ11" s="10">
        <f>BNVFE!Y17</f>
        <v>1.2375646625067684E-5</v>
      </c>
      <c r="BK11" s="10">
        <f>BNVFE!Z17</f>
        <v>1.2375646625067684E-5</v>
      </c>
      <c r="BL11" s="10">
        <f>BNVFE!AA17</f>
        <v>1.2375646625067684E-5</v>
      </c>
      <c r="BM11" s="10">
        <f>BNVFE!AB17</f>
        <v>1.2375646625067684E-5</v>
      </c>
      <c r="BN11" s="10">
        <f>BNVFE!AC17</f>
        <v>1.2375646625067684E-5</v>
      </c>
      <c r="BO11" s="10">
        <f>BNVFE!AD17</f>
        <v>1.2375646625067684E-5</v>
      </c>
      <c r="BP11" s="10">
        <f>BNVFE!AE17</f>
        <v>1.2375646625067684E-5</v>
      </c>
      <c r="BQ11" s="10">
        <f>BNVFE!AF17</f>
        <v>1.2375646625067684E-5</v>
      </c>
      <c r="BR11" s="10">
        <f>BNVFE!AG17</f>
        <v>1.2375646625067684E-5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10">
        <f>BNVFE!G18</f>
        <v>4.8577789999999996E-3</v>
      </c>
      <c r="AS12" s="10">
        <f>BNVFE!H18</f>
        <v>4.8766649999999996E-3</v>
      </c>
      <c r="AT12" s="10">
        <f>BNVFE!I18</f>
        <v>4.8956239999999995E-3</v>
      </c>
      <c r="AU12" s="10">
        <f>BNVFE!J18</f>
        <v>4.9146570000000002E-3</v>
      </c>
      <c r="AV12" s="10">
        <f>BNVFE!K18</f>
        <v>4.9337640000000002E-3</v>
      </c>
      <c r="AW12" s="10">
        <f>BNVFE!L18</f>
        <v>4.9529449999999994E-3</v>
      </c>
      <c r="AX12" s="10">
        <f>BNVFE!M18</f>
        <v>4.9721999999999995E-3</v>
      </c>
      <c r="AY12" s="10">
        <f>BNVFE!N18</f>
        <v>4.9915310000000004E-3</v>
      </c>
      <c r="AZ12" s="10">
        <f>BNVFE!O18</f>
        <v>5.010937E-3</v>
      </c>
      <c r="BA12" s="10">
        <f>BNVFE!P18</f>
        <v>5.030418E-3</v>
      </c>
      <c r="BB12" s="10">
        <f>BNVFE!Q18</f>
        <v>5.049975E-3</v>
      </c>
      <c r="BC12" s="10">
        <f>BNVFE!R18</f>
        <v>5.0696079999999998E-3</v>
      </c>
      <c r="BD12" s="10">
        <f>BNVFE!S18</f>
        <v>5.0893170000000003E-3</v>
      </c>
      <c r="BE12" s="10">
        <f>BNVFE!T18</f>
        <v>5.1091030000000003E-3</v>
      </c>
      <c r="BF12" s="10">
        <f>BNVFE!U18</f>
        <v>5.1289660000000004E-3</v>
      </c>
      <c r="BG12" s="10">
        <f>BNVFE!V18</f>
        <v>5.148906E-3</v>
      </c>
      <c r="BH12" s="10">
        <f>BNVFE!W18</f>
        <v>5.1689230000000006E-3</v>
      </c>
      <c r="BI12" s="10">
        <f>BNVFE!X18</f>
        <v>5.1890190000000004E-3</v>
      </c>
      <c r="BJ12" s="10">
        <f>BNVFE!Y18</f>
        <v>5.2091919999999996E-3</v>
      </c>
      <c r="BK12" s="10">
        <f>BNVFE!Z18</f>
        <v>5.2294450000000001E-3</v>
      </c>
      <c r="BL12" s="10">
        <f>BNVFE!AA18</f>
        <v>5.2497749999999999E-3</v>
      </c>
      <c r="BM12" s="10">
        <f>BNVFE!AB18</f>
        <v>5.2701849999999993E-3</v>
      </c>
      <c r="BN12" s="10">
        <f>BNVFE!AC18</f>
        <v>5.2906740000000004E-3</v>
      </c>
      <c r="BO12" s="10">
        <f>BNVFE!AD18</f>
        <v>5.3112430000000002E-3</v>
      </c>
      <c r="BP12" s="10">
        <f>BNVFE!AE18</f>
        <v>5.3318919999999995E-3</v>
      </c>
      <c r="BQ12" s="10">
        <f>BNVFE!AF18</f>
        <v>5.3526210000000001E-3</v>
      </c>
      <c r="BR12" s="10">
        <f>BNVFE!AG18</f>
        <v>5.3734300000000002E-3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TREND($AR13:$BR13,$AR$1:$BR$1,W$1)</f>
        <v>6.5093363580536728E-3</v>
      </c>
      <c r="X13" s="4">
        <f t="shared" si="10"/>
        <v>6.5093363580536728E-3</v>
      </c>
      <c r="Y13" s="4">
        <f t="shared" si="10"/>
        <v>6.5093363580536728E-3</v>
      </c>
      <c r="Z13" s="4">
        <f t="shared" si="10"/>
        <v>6.5093363580536728E-3</v>
      </c>
      <c r="AA13" s="4">
        <f t="shared" si="10"/>
        <v>6.5093363580536728E-3</v>
      </c>
      <c r="AB13" s="4">
        <f t="shared" si="10"/>
        <v>6.5093363580536728E-3</v>
      </c>
      <c r="AC13" s="4">
        <f t="shared" si="10"/>
        <v>6.5093363580536728E-3</v>
      </c>
      <c r="AD13" s="4">
        <f t="shared" si="10"/>
        <v>6.5093363580536728E-3</v>
      </c>
      <c r="AE13" s="4">
        <f t="shared" si="10"/>
        <v>6.5093363580536728E-3</v>
      </c>
      <c r="AF13" s="4">
        <f t="shared" si="10"/>
        <v>6.5093363580536728E-3</v>
      </c>
      <c r="AG13" s="4">
        <f t="shared" si="10"/>
        <v>6.5093363580536728E-3</v>
      </c>
      <c r="AH13" s="4">
        <f t="shared" si="10"/>
        <v>6.5093363580536728E-3</v>
      </c>
      <c r="AI13" s="4">
        <f t="shared" si="10"/>
        <v>6.5093363580536728E-3</v>
      </c>
      <c r="AJ13" s="4">
        <f t="shared" si="10"/>
        <v>6.5093363580536728E-3</v>
      </c>
      <c r="AK13" s="4">
        <f t="shared" si="10"/>
        <v>6.5093363580536728E-3</v>
      </c>
      <c r="AL13" s="4">
        <f t="shared" si="10"/>
        <v>6.5093363580536728E-3</v>
      </c>
      <c r="AM13" s="4">
        <f t="shared" si="10"/>
        <v>6.5093363580536728E-3</v>
      </c>
      <c r="AN13" s="4">
        <f t="shared" si="10"/>
        <v>6.5093363580536728E-3</v>
      </c>
      <c r="AO13" s="4">
        <f t="shared" si="10"/>
        <v>6.5093363580536728E-3</v>
      </c>
      <c r="AP13" s="4">
        <f t="shared" si="10"/>
        <v>6.5093363580536728E-3</v>
      </c>
      <c r="AQ13" s="4">
        <f t="shared" si="10"/>
        <v>6.5093363580536728E-3</v>
      </c>
      <c r="AR13" s="10">
        <f>BNVFE!G19</f>
        <v>6.5093363580536684E-3</v>
      </c>
      <c r="AS13" s="10">
        <f>BNVFE!H19</f>
        <v>6.5093363580536684E-3</v>
      </c>
      <c r="AT13" s="10">
        <f>BNVFE!I19</f>
        <v>6.5093363580536684E-3</v>
      </c>
      <c r="AU13" s="10">
        <f>BNVFE!J19</f>
        <v>6.5093363580536684E-3</v>
      </c>
      <c r="AV13" s="10">
        <f>BNVFE!K19</f>
        <v>6.5093363580536684E-3</v>
      </c>
      <c r="AW13" s="10">
        <f>BNVFE!L19</f>
        <v>6.5093363580536684E-3</v>
      </c>
      <c r="AX13" s="10">
        <f>BNVFE!M19</f>
        <v>6.5093363580536684E-3</v>
      </c>
      <c r="AY13" s="10">
        <f>BNVFE!N19</f>
        <v>6.5093363580536684E-3</v>
      </c>
      <c r="AZ13" s="10">
        <f>BNVFE!O19</f>
        <v>6.5093363580536684E-3</v>
      </c>
      <c r="BA13" s="10">
        <f>BNVFE!P19</f>
        <v>6.5093363580536684E-3</v>
      </c>
      <c r="BB13" s="10">
        <f>BNVFE!Q19</f>
        <v>6.5093363580536684E-3</v>
      </c>
      <c r="BC13" s="10">
        <f>BNVFE!R19</f>
        <v>6.5093363580536684E-3</v>
      </c>
      <c r="BD13" s="10">
        <f>BNVFE!S19</f>
        <v>6.5093363580536684E-3</v>
      </c>
      <c r="BE13" s="10">
        <f>BNVFE!T19</f>
        <v>6.5093363580536684E-3</v>
      </c>
      <c r="BF13" s="10">
        <f>BNVFE!U19</f>
        <v>6.5093363580536684E-3</v>
      </c>
      <c r="BG13" s="10">
        <f>BNVFE!V19</f>
        <v>6.5093363580536684E-3</v>
      </c>
      <c r="BH13" s="10">
        <f>BNVFE!W19</f>
        <v>6.5093363580536684E-3</v>
      </c>
      <c r="BI13" s="10">
        <f>BNVFE!X19</f>
        <v>6.5093363580536684E-3</v>
      </c>
      <c r="BJ13" s="10">
        <f>BNVFE!Y19</f>
        <v>6.5093363580536684E-3</v>
      </c>
      <c r="BK13" s="10">
        <f>BNVFE!Z19</f>
        <v>6.5093363580536684E-3</v>
      </c>
      <c r="BL13" s="10">
        <f>BNVFE!AA19</f>
        <v>6.5093363580536684E-3</v>
      </c>
      <c r="BM13" s="10">
        <f>BNVFE!AB19</f>
        <v>6.5093363580536684E-3</v>
      </c>
      <c r="BN13" s="10">
        <f>BNVFE!AC19</f>
        <v>6.5093363580536684E-3</v>
      </c>
      <c r="BO13" s="10">
        <f>BNVFE!AD19</f>
        <v>6.5093363580536684E-3</v>
      </c>
      <c r="BP13" s="10">
        <f>BNVFE!AE19</f>
        <v>6.5093363580536684E-3</v>
      </c>
      <c r="BQ13" s="10">
        <f>BNVFE!AF19</f>
        <v>6.5093363580536684E-3</v>
      </c>
      <c r="BR13" s="10">
        <f>BNVFE!AG19</f>
        <v>6.5093363580536684E-3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30">
        <f t="shared" si="12"/>
        <v>0</v>
      </c>
      <c r="AL14" s="30">
        <f t="shared" si="12"/>
        <v>0</v>
      </c>
      <c r="AM14" s="30">
        <f t="shared" si="12"/>
        <v>0</v>
      </c>
      <c r="AN14" s="30">
        <f>$AO14</f>
        <v>0</v>
      </c>
      <c r="AO14" s="11">
        <f>BNVFE!D20</f>
        <v>0</v>
      </c>
      <c r="AP14" s="11">
        <f>BNVFE!E20</f>
        <v>0</v>
      </c>
      <c r="AQ14" s="29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1.1869958916684679E-3</v>
      </c>
      <c r="C2" s="4">
        <f>SYFAFE!$B$2</f>
        <v>1.1869958916684679E-3</v>
      </c>
      <c r="D2" s="4">
        <f>SYFAFE!$B$2</f>
        <v>1.1869958916684679E-3</v>
      </c>
      <c r="E2" s="4">
        <f>SYFAFE!$B$2</f>
        <v>1.1869958916684679E-3</v>
      </c>
      <c r="F2" s="4">
        <f>SYFAFE!$B$2</f>
        <v>1.1869958916684679E-3</v>
      </c>
      <c r="G2" s="4">
        <f>SYFAFE!$B$2</f>
        <v>1.1869958916684679E-3</v>
      </c>
      <c r="H2" s="4">
        <f>SYFAFE!$B$2</f>
        <v>1.1869958916684679E-3</v>
      </c>
      <c r="I2" s="4">
        <f>SYFAFE!$B$2</f>
        <v>1.1869958916684679E-3</v>
      </c>
      <c r="J2" s="4">
        <f>SYFAFE!$B$2</f>
        <v>1.1869958916684679E-3</v>
      </c>
      <c r="K2" s="4">
        <f>SYFAFE!$B$2</f>
        <v>1.1869958916684679E-3</v>
      </c>
      <c r="L2" s="4">
        <f>SYFAFE!$B$2</f>
        <v>1.1869958916684679E-3</v>
      </c>
      <c r="M2" s="4">
        <f>SYFAFE!$B$2</f>
        <v>1.1869958916684679E-3</v>
      </c>
      <c r="N2" s="4">
        <f>SYFAFE!$B$2</f>
        <v>1.1869958916684679E-3</v>
      </c>
      <c r="O2" s="4">
        <f>SYFAFE!$B$2</f>
        <v>1.1869958916684679E-3</v>
      </c>
      <c r="P2" s="4">
        <f>SYFAFE!$B$2</f>
        <v>1.1869958916684679E-3</v>
      </c>
      <c r="Q2" s="4">
        <f>SYFAFE!$B$2</f>
        <v>1.1869958916684679E-3</v>
      </c>
      <c r="R2" s="4">
        <f>SYFAFE!$B$2</f>
        <v>1.1869958916684679E-3</v>
      </c>
      <c r="S2" s="4">
        <f>SYFAFE!$B$2</f>
        <v>1.1869958916684679E-3</v>
      </c>
      <c r="T2" s="4">
        <f>SYFAFE!$B$2</f>
        <v>1.1869958916684679E-3</v>
      </c>
      <c r="U2" s="4">
        <f>SYFAFE!$B$2</f>
        <v>1.1869958916684679E-3</v>
      </c>
      <c r="V2" s="4">
        <f>SYFAFE!$B$2</f>
        <v>1.1869958916684679E-3</v>
      </c>
      <c r="W2" s="4">
        <f>SYFAFE!$B$2</f>
        <v>1.1869958916684679E-3</v>
      </c>
      <c r="X2" s="4">
        <f>SYFAFE!$B$2</f>
        <v>1.1869958916684679E-3</v>
      </c>
      <c r="Y2" s="4">
        <f>SYFAFE!$B$2</f>
        <v>1.1869958916684679E-3</v>
      </c>
      <c r="Z2" s="4">
        <f>SYFAFE!$B$2</f>
        <v>1.1869958916684679E-3</v>
      </c>
      <c r="AA2" s="4">
        <f>SYFAFE!$B$2</f>
        <v>1.1869958916684679E-3</v>
      </c>
      <c r="AB2" s="4">
        <f>SYFAFE!$B$2</f>
        <v>1.1869958916684679E-3</v>
      </c>
      <c r="AC2" s="4">
        <f>SYFAFE!$B$2</f>
        <v>1.1869958916684679E-3</v>
      </c>
      <c r="AD2" s="4">
        <f>SYFAFE!$B$2</f>
        <v>1.1869958916684679E-3</v>
      </c>
      <c r="AE2" s="4">
        <f>SYFAFE!$B$2</f>
        <v>1.1869958916684679E-3</v>
      </c>
      <c r="AG2" s="4"/>
      <c r="AH2" s="4"/>
    </row>
    <row r="3" spans="1:34">
      <c r="A3" t="s">
        <v>3</v>
      </c>
      <c r="B3" s="4">
        <f>BNVFE!B25*('BHNVFEAL-LDVs-psgr'!B$4/BNVFE!B$26)</f>
        <v>3.4148904246785101E-4</v>
      </c>
      <c r="C3" s="4">
        <f>BNVFE!C25*('BHNVFEAL-LDVs-psgr'!C$4/BNVFE!C$26)</f>
        <v>3.3923436793017949E-4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3.1779260113808729E-4</v>
      </c>
      <c r="C4" s="4">
        <f>Extrapolations!AC2</f>
        <v>3.2133534064398227E-4</v>
      </c>
      <c r="D4" s="4">
        <f>Extrapolations!AD2</f>
        <v>3.2487808014987726E-4</v>
      </c>
      <c r="E4" s="4">
        <f>Extrapolations!AE2</f>
        <v>3.2842081965577224E-4</v>
      </c>
      <c r="F4" s="4">
        <f>Extrapolations!AF2</f>
        <v>3.3196355916166722E-4</v>
      </c>
      <c r="G4" s="4">
        <f>Extrapolations!AG2</f>
        <v>3.3550629866756221E-4</v>
      </c>
      <c r="H4" s="4">
        <f>Extrapolations!AH2</f>
        <v>3.3904903817345719E-4</v>
      </c>
      <c r="I4" s="4">
        <f>Extrapolations!AI2</f>
        <v>3.4259177767935218E-4</v>
      </c>
      <c r="J4" s="4">
        <f>Extrapolations!AJ2</f>
        <v>3.4613451718524716E-4</v>
      </c>
      <c r="K4" s="4">
        <f>Extrapolations!AK2</f>
        <v>3.4967725669114214E-4</v>
      </c>
      <c r="L4" s="4">
        <f>Extrapolations!AL2</f>
        <v>3.5321999619703713E-4</v>
      </c>
      <c r="M4" s="4">
        <f>Extrapolations!AM2</f>
        <v>3.5676273570293211E-4</v>
      </c>
      <c r="N4" s="4">
        <f>Extrapolations!AN2</f>
        <v>3.603054752088271E-4</v>
      </c>
      <c r="O4" s="4">
        <f>Extrapolations!AO2</f>
        <v>3.6384821471472208E-4</v>
      </c>
      <c r="P4" s="4">
        <f>Extrapolations!AP2</f>
        <v>3.6739095422061706E-4</v>
      </c>
      <c r="Q4" s="4">
        <f>Extrapolations!AQ2</f>
        <v>3.7093369372651205E-4</v>
      </c>
      <c r="R4" s="4">
        <f>Extrapolations!AR2</f>
        <v>3.7447643323240698E-4</v>
      </c>
      <c r="S4" s="4">
        <f>Extrapolations!AS2</f>
        <v>3.9011286777709445E-4</v>
      </c>
      <c r="T4" s="4">
        <f>Extrapolations!AT2</f>
        <v>3.973908333465341E-4</v>
      </c>
      <c r="U4" s="4">
        <f>Extrapolations!AU2</f>
        <v>3.9921116827982341E-4</v>
      </c>
      <c r="V4" s="4">
        <f>Extrapolations!AV2</f>
        <v>4.0474968459162865E-4</v>
      </c>
      <c r="W4" s="4">
        <f>Extrapolations!AW2</f>
        <v>4.0866714086181205E-4</v>
      </c>
      <c r="X4" s="4">
        <f>Extrapolations!AX2</f>
        <v>4.1165739618674141E-4</v>
      </c>
      <c r="Y4" s="4">
        <f>Extrapolations!AY2</f>
        <v>4.1453743818293512E-4</v>
      </c>
      <c r="Z4" s="4">
        <f>Extrapolations!AZ2</f>
        <v>4.1476226395269379E-4</v>
      </c>
      <c r="AA4" s="4">
        <f>Extrapolations!BA2</f>
        <v>4.1467751199658729E-4</v>
      </c>
      <c r="AB4" s="4">
        <f>Extrapolations!BB2</f>
        <v>4.1774836203476703E-4</v>
      </c>
      <c r="AC4" s="4">
        <f>Extrapolations!BC2</f>
        <v>4.1834632264550211E-4</v>
      </c>
      <c r="AD4" s="4">
        <f>Extrapolations!BD2</f>
        <v>4.1983822558637316E-4</v>
      </c>
      <c r="AE4" s="4">
        <f>Extrapolations!BE2</f>
        <v>4.2130104966706447E-4</v>
      </c>
      <c r="AG4" s="4"/>
      <c r="AH4" s="4"/>
    </row>
    <row r="5" spans="1:34">
      <c r="A5" t="s">
        <v>5</v>
      </c>
      <c r="B5" s="4">
        <f>BNVFE!B27*('BHNVFEAL-LDVs-psgr'!B$4/BNVFE!B$26)</f>
        <v>3.3349508900085996E-4</v>
      </c>
      <c r="C5" s="4">
        <f>BNVFE!C27*('BHNVFEAL-LDVs-psgr'!C$4/BNVFE!C$26)</f>
        <v>3.3917189487692667E-4</v>
      </c>
      <c r="D5" s="4">
        <f>BNVFE!D27*('BHNVFEAL-LDVs-psgr'!D$4/BNVFE!D$26)</f>
        <v>3.3920180284057258E-4</v>
      </c>
      <c r="E5" s="4">
        <f>BNVFE!E27*('BHNVFEAL-LDVs-psgr'!E$4/BNVFE!E$26)</f>
        <v>3.0177334200496398E-4</v>
      </c>
      <c r="F5" s="4">
        <f>BNVFE!F27*('BHNVFEAL-LDVs-psgr'!F$4/BNVFE!F$26)</f>
        <v>2.9288807650383364E-4</v>
      </c>
      <c r="G5" s="4">
        <f>BNVFE!G27*('BHNVFEAL-LDVs-psgr'!G$4/BNVFE!G$26)</f>
        <v>2.9052743546890861E-4</v>
      </c>
      <c r="H5" s="4">
        <f>BNVFE!H27*('BHNVFEAL-LDVs-psgr'!H$4/BNVFE!H$26)</f>
        <v>2.9203166113869663E-4</v>
      </c>
      <c r="I5" s="4">
        <f>BNVFE!I27*('BHNVFEAL-LDVs-psgr'!I$4/BNVFE!I$26)</f>
        <v>2.9095505565463766E-4</v>
      </c>
      <c r="J5" s="4">
        <f>BNVFE!J27*('BHNVFEAL-LDVs-psgr'!J$4/BNVFE!J$26)</f>
        <v>2.9126658314347214E-4</v>
      </c>
      <c r="K5" s="4">
        <f>BNVFE!K27*('BHNVFEAL-LDVs-psgr'!K$4/BNVFE!K$26)</f>
        <v>2.8964776590068356E-4</v>
      </c>
      <c r="L5" s="4">
        <f>BNVFE!L27*('BHNVFEAL-LDVs-psgr'!L$4/BNVFE!L$26)</f>
        <v>2.904212996888033E-4</v>
      </c>
      <c r="M5" s="4">
        <f>BNVFE!M27*('BHNVFEAL-LDVs-psgr'!M$4/BNVFE!M$26)</f>
        <v>2.9304322956363052E-4</v>
      </c>
      <c r="N5" s="4">
        <f>BNVFE!N27*('BHNVFEAL-LDVs-psgr'!N$4/BNVFE!N$26)</f>
        <v>2.962946165515287E-4</v>
      </c>
      <c r="O5" s="4">
        <f>BNVFE!O27*('BHNVFEAL-LDVs-psgr'!O$4/BNVFE!O$26)</f>
        <v>2.9690158235119035E-4</v>
      </c>
      <c r="P5" s="4">
        <f>BNVFE!P27*('BHNVFEAL-LDVs-psgr'!P$4/BNVFE!P$26)</f>
        <v>2.992053963169262E-4</v>
      </c>
      <c r="Q5" s="4">
        <f>BNVFE!Q27*('BHNVFEAL-LDVs-psgr'!Q$4/BNVFE!Q$26)</f>
        <v>3.0090329304052489E-4</v>
      </c>
      <c r="R5" s="4">
        <f>BNVFE!R27*('BHNVFEAL-LDVs-psgr'!R$4/BNVFE!R$26)</f>
        <v>3.0262851639691778E-4</v>
      </c>
      <c r="S5" s="4">
        <f>BNVFE!S27*('BHNVFEAL-LDVs-psgr'!S$4/BNVFE!S$26)</f>
        <v>3.1403644105197751E-4</v>
      </c>
      <c r="T5" s="4">
        <f>BNVFE!T27*('BHNVFEAL-LDVs-psgr'!T$4/BNVFE!T$26)</f>
        <v>3.1918437643635461E-4</v>
      </c>
      <c r="U5" s="4">
        <f>BNVFE!U27*('BHNVFEAL-LDVs-psgr'!U$4/BNVFE!U$26)</f>
        <v>3.2044299140440686E-4</v>
      </c>
      <c r="V5" s="4">
        <f>BNVFE!V27*('BHNVFEAL-LDVs-psgr'!V$4/BNVFE!V$26)</f>
        <v>3.2400769944323284E-4</v>
      </c>
      <c r="W5" s="4">
        <f>BNVFE!W27*('BHNVFEAL-LDVs-psgr'!W$4/BNVFE!W$26)</f>
        <v>3.265822181256868E-4</v>
      </c>
      <c r="X5" s="4">
        <f>BNVFE!X27*('BHNVFEAL-LDVs-psgr'!X$4/BNVFE!X$26)</f>
        <v>3.2828960433549614E-4</v>
      </c>
      <c r="Y5" s="4">
        <f>BNVFE!Y27*('BHNVFEAL-LDVs-psgr'!Y$4/BNVFE!Y$26)</f>
        <v>3.3012860930259054E-4</v>
      </c>
      <c r="Z5" s="4">
        <f>BNVFE!Z27*('BHNVFEAL-LDVs-psgr'!Z$4/BNVFE!Z$26)</f>
        <v>3.2970218286273079E-4</v>
      </c>
      <c r="AA5" s="4">
        <f>BNVFE!AA27*('BHNVFEAL-LDVs-psgr'!AA$4/BNVFE!AA$26)</f>
        <v>3.2924053923480488E-4</v>
      </c>
      <c r="AB5" s="4">
        <f>BNVFE!AB27*('BHNVFEAL-LDVs-psgr'!AB$4/BNVFE!AB$26)</f>
        <v>3.3139615947511472E-4</v>
      </c>
      <c r="AC5" s="4">
        <f>BNVFE!AC27*('BHNVFEAL-LDVs-psgr'!AC$4/BNVFE!AC$26)</f>
        <v>3.3141533540130184E-4</v>
      </c>
      <c r="AD5" s="4">
        <f>BNVFE!AD27*('BHNVFEAL-LDVs-psgr'!AD$4/BNVFE!AD$26)</f>
        <v>3.3215643221904057E-4</v>
      </c>
      <c r="AE5" s="4">
        <f>BNVFE!AE27*('BHNVFEAL-LDVs-psgr'!AE$4/BNVFE!AE$26)</f>
        <v>3.3244896115386044E-4</v>
      </c>
      <c r="AG5" s="4"/>
      <c r="AH5" s="4"/>
    </row>
    <row r="6" spans="1:34">
      <c r="A6" t="s">
        <v>6</v>
      </c>
      <c r="B6" s="4">
        <f>BNVFE!B28*('BHNVFEAL-LDVs-psgr'!B$4/BNVFE!B$26)</f>
        <v>5.3995648282161056E-4</v>
      </c>
      <c r="C6" s="4">
        <f>BNVFE!C28*('BHNVFEAL-LDVs-psgr'!C$4/BNVFE!C$26)</f>
        <v>4.936675043076508E-4</v>
      </c>
      <c r="D6" s="4">
        <f>BNVFE!D28*('BHNVFEAL-LDVs-psgr'!D$4/BNVFE!D$26)</f>
        <v>4.8728861182029327E-4</v>
      </c>
      <c r="E6" s="4">
        <f>BNVFE!E28*('BHNVFEAL-LDVs-psgr'!E$4/BNVFE!E$26)</f>
        <v>4.6993868683183315E-4</v>
      </c>
      <c r="F6" s="4">
        <f>BNVFE!F28*('BHNVFEAL-LDVs-psgr'!F$4/BNVFE!F$26)</f>
        <v>4.7225948159556046E-4</v>
      </c>
      <c r="G6" s="4">
        <f>BNVFE!G28*('BHNVFEAL-LDVs-psgr'!G$4/BNVFE!G$26)</f>
        <v>4.8862168271599632E-4</v>
      </c>
      <c r="H6" s="4">
        <f>BNVFE!H28*('BHNVFEAL-LDVs-psgr'!H$4/BNVFE!H$26)</f>
        <v>4.9144488413288719E-4</v>
      </c>
      <c r="I6" s="4">
        <f>BNVFE!I28*('BHNVFEAL-LDVs-psgr'!I$4/BNVFE!I$26)</f>
        <v>4.9257419316516829E-4</v>
      </c>
      <c r="J6" s="4">
        <f>BNVFE!J28*('BHNVFEAL-LDVs-psgr'!J$4/BNVFE!J$26)</f>
        <v>4.9408629922499561E-4</v>
      </c>
      <c r="K6" s="4">
        <f>BNVFE!K28*('BHNVFEAL-LDVs-psgr'!K$4/BNVFE!K$26)</f>
        <v>4.9969185642702784E-4</v>
      </c>
      <c r="L6" s="4">
        <f>BNVFE!L28*('BHNVFEAL-LDVs-psgr'!L$4/BNVFE!L$26)</f>
        <v>5.0237410162934338E-4</v>
      </c>
      <c r="M6" s="4">
        <f>BNVFE!M28*('BHNVFEAL-LDVs-psgr'!M$4/BNVFE!M$26)</f>
        <v>5.0409063605452958E-4</v>
      </c>
      <c r="N6" s="4">
        <f>BNVFE!N28*('BHNVFEAL-LDVs-psgr'!N$4/BNVFE!N$26)</f>
        <v>5.070078918116359E-4</v>
      </c>
      <c r="O6" s="4">
        <f>BNVFE!O28*('BHNVFEAL-LDVs-psgr'!O$4/BNVFE!O$26)</f>
        <v>5.0986485240281994E-4</v>
      </c>
      <c r="P6" s="4">
        <f>BNVFE!P28*('BHNVFEAL-LDVs-psgr'!P$4/BNVFE!P$26)</f>
        <v>5.125156246409136E-4</v>
      </c>
      <c r="Q6" s="4">
        <f>BNVFE!Q28*('BHNVFEAL-LDVs-psgr'!Q$4/BNVFE!Q$26)</f>
        <v>5.1905187970738222E-4</v>
      </c>
      <c r="R6" s="4">
        <f>BNVFE!R28*('BHNVFEAL-LDVs-psgr'!R$4/BNVFE!R$26)</f>
        <v>5.2257399726949021E-4</v>
      </c>
      <c r="S6" s="4">
        <f>BNVFE!S28*('BHNVFEAL-LDVs-psgr'!S$4/BNVFE!S$26)</f>
        <v>5.4283751117394389E-4</v>
      </c>
      <c r="T6" s="4">
        <f>BNVFE!T28*('BHNVFEAL-LDVs-psgr'!T$4/BNVFE!T$26)</f>
        <v>5.509529718537205E-4</v>
      </c>
      <c r="U6" s="4">
        <f>BNVFE!U28*('BHNVFEAL-LDVs-psgr'!U$4/BNVFE!U$26)</f>
        <v>5.5326109479902972E-4</v>
      </c>
      <c r="V6" s="4">
        <f>BNVFE!V28*('BHNVFEAL-LDVs-psgr'!V$4/BNVFE!V$26)</f>
        <v>5.5987797196229425E-4</v>
      </c>
      <c r="W6" s="4">
        <f>BNVFE!W28*('BHNVFEAL-LDVs-psgr'!W$4/BNVFE!W$26)</f>
        <v>5.6432652213798278E-4</v>
      </c>
      <c r="X6" s="4">
        <f>BNVFE!X28*('BHNVFEAL-LDVs-psgr'!X$4/BNVFE!X$26)</f>
        <v>5.6735379590297725E-4</v>
      </c>
      <c r="Y6" s="4">
        <f>BNVFE!Y28*('BHNVFEAL-LDVs-psgr'!Y$4/BNVFE!Y$26)</f>
        <v>5.7047473663785788E-4</v>
      </c>
      <c r="Z6" s="4">
        <f>BNVFE!Z28*('BHNVFEAL-LDVs-psgr'!Z$4/BNVFE!Z$26)</f>
        <v>5.6977362759222762E-4</v>
      </c>
      <c r="AA6" s="4">
        <f>BNVFE!AA28*('BHNVFEAL-LDVs-psgr'!AA$4/BNVFE!AA$26)</f>
        <v>5.6888939824928885E-4</v>
      </c>
      <c r="AB6" s="4">
        <f>BNVFE!AB28*('BHNVFEAL-LDVs-psgr'!AB$4/BNVFE!AB$26)</f>
        <v>5.7251050363407577E-4</v>
      </c>
      <c r="AC6" s="4">
        <f>BNVFE!AC28*('BHNVFEAL-LDVs-psgr'!AC$4/BNVFE!AC$26)</f>
        <v>5.7246120524134054E-4</v>
      </c>
      <c r="AD6" s="4">
        <f>BNVFE!AD28*('BHNVFEAL-LDVs-psgr'!AD$4/BNVFE!AD$26)</f>
        <v>5.7365784939854096E-4</v>
      </c>
      <c r="AE6" s="4">
        <f>BNVFE!AE28*('BHNVFEAL-LDVs-psgr'!AE$4/BNVFE!AE$26)</f>
        <v>5.7424397364385434E-4</v>
      </c>
      <c r="AG6" s="4"/>
      <c r="AH6" s="4"/>
    </row>
    <row r="7" spans="1:34">
      <c r="A7" t="s">
        <v>84</v>
      </c>
      <c r="B7" s="4">
        <f>BNVFE!B29*('BHNVFEAL-LDVs-psgr'!B$4/BNVFE!B$26)</f>
        <v>2.9706671738014977E-4</v>
      </c>
      <c r="C7" s="4">
        <f>BNVFE!C29*('BHNVFEAL-LDVs-psgr'!C$4/BNVFE!C$26)</f>
        <v>2.9327983352164376E-4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5.8116746400402948E-4</v>
      </c>
      <c r="C8" s="4">
        <f t="shared" ref="C8:AE8" si="0">B8</f>
        <v>5.8116746400402948E-4</v>
      </c>
      <c r="D8" s="4">
        <f t="shared" si="0"/>
        <v>5.8116746400402948E-4</v>
      </c>
      <c r="E8" s="4">
        <f t="shared" si="0"/>
        <v>5.8116746400402948E-4</v>
      </c>
      <c r="F8" s="4">
        <f t="shared" si="0"/>
        <v>5.8116746400402948E-4</v>
      </c>
      <c r="G8" s="4">
        <f t="shared" si="0"/>
        <v>5.8116746400402948E-4</v>
      </c>
      <c r="H8" s="4">
        <f t="shared" si="0"/>
        <v>5.8116746400402948E-4</v>
      </c>
      <c r="I8" s="4">
        <f t="shared" si="0"/>
        <v>5.8116746400402948E-4</v>
      </c>
      <c r="J8" s="4">
        <f t="shared" si="0"/>
        <v>5.8116746400402948E-4</v>
      </c>
      <c r="K8" s="4">
        <f t="shared" si="0"/>
        <v>5.8116746400402948E-4</v>
      </c>
      <c r="L8" s="4">
        <f t="shared" si="0"/>
        <v>5.8116746400402948E-4</v>
      </c>
      <c r="M8" s="4">
        <f t="shared" si="0"/>
        <v>5.8116746400402948E-4</v>
      </c>
      <c r="N8" s="4">
        <f t="shared" si="0"/>
        <v>5.8116746400402948E-4</v>
      </c>
      <c r="O8" s="4">
        <f t="shared" si="0"/>
        <v>5.8116746400402948E-4</v>
      </c>
      <c r="P8" s="4">
        <f t="shared" si="0"/>
        <v>5.8116746400402948E-4</v>
      </c>
      <c r="Q8" s="4">
        <f t="shared" si="0"/>
        <v>5.8116746400402948E-4</v>
      </c>
      <c r="R8" s="4">
        <f t="shared" si="0"/>
        <v>5.8116746400402948E-4</v>
      </c>
      <c r="S8" s="4">
        <f t="shared" si="0"/>
        <v>5.8116746400402948E-4</v>
      </c>
      <c r="T8" s="4">
        <f t="shared" si="0"/>
        <v>5.8116746400402948E-4</v>
      </c>
      <c r="U8" s="4">
        <f t="shared" si="0"/>
        <v>5.8116746400402948E-4</v>
      </c>
      <c r="V8" s="4">
        <f t="shared" si="0"/>
        <v>5.8116746400402948E-4</v>
      </c>
      <c r="W8" s="4">
        <f t="shared" si="0"/>
        <v>5.8116746400402948E-4</v>
      </c>
      <c r="X8" s="4">
        <f t="shared" si="0"/>
        <v>5.8116746400402948E-4</v>
      </c>
      <c r="Y8" s="4">
        <f t="shared" si="0"/>
        <v>5.8116746400402948E-4</v>
      </c>
      <c r="Z8" s="4">
        <f t="shared" si="0"/>
        <v>5.8116746400402948E-4</v>
      </c>
      <c r="AA8" s="4">
        <f t="shared" si="0"/>
        <v>5.8116746400402948E-4</v>
      </c>
      <c r="AB8" s="4">
        <f t="shared" si="0"/>
        <v>5.8116746400402948E-4</v>
      </c>
      <c r="AC8" s="4">
        <f t="shared" si="0"/>
        <v>5.8116746400402948E-4</v>
      </c>
      <c r="AD8" s="4">
        <f t="shared" si="0"/>
        <v>5.8116746400402948E-4</v>
      </c>
      <c r="AE8" s="4">
        <f t="shared" si="0"/>
        <v>5.8116746400402948E-4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1.3226441773833212E-4</v>
      </c>
      <c r="C2" s="4">
        <f>B2</f>
        <v>1.3226441773833212E-4</v>
      </c>
      <c r="D2" s="4">
        <f t="shared" ref="D2:AE8" si="0">C2</f>
        <v>1.3226441773833212E-4</v>
      </c>
      <c r="E2" s="4">
        <f t="shared" si="0"/>
        <v>1.3226441773833212E-4</v>
      </c>
      <c r="F2" s="4">
        <f t="shared" si="0"/>
        <v>1.3226441773833212E-4</v>
      </c>
      <c r="G2" s="4">
        <f t="shared" si="0"/>
        <v>1.3226441773833212E-4</v>
      </c>
      <c r="H2" s="4">
        <f t="shared" si="0"/>
        <v>1.3226441773833212E-4</v>
      </c>
      <c r="I2" s="4">
        <f t="shared" si="0"/>
        <v>1.3226441773833212E-4</v>
      </c>
      <c r="J2" s="4">
        <f t="shared" si="0"/>
        <v>1.3226441773833212E-4</v>
      </c>
      <c r="K2" s="4">
        <f t="shared" si="0"/>
        <v>1.3226441773833212E-4</v>
      </c>
      <c r="L2" s="4">
        <f t="shared" si="0"/>
        <v>1.3226441773833212E-4</v>
      </c>
      <c r="M2" s="4">
        <f t="shared" si="0"/>
        <v>1.3226441773833212E-4</v>
      </c>
      <c r="N2" s="4">
        <f t="shared" si="0"/>
        <v>1.3226441773833212E-4</v>
      </c>
      <c r="O2" s="4">
        <f t="shared" si="0"/>
        <v>1.3226441773833212E-4</v>
      </c>
      <c r="P2" s="4">
        <f t="shared" si="0"/>
        <v>1.3226441773833212E-4</v>
      </c>
      <c r="Q2" s="4">
        <f t="shared" si="0"/>
        <v>1.3226441773833212E-4</v>
      </c>
      <c r="R2" s="4">
        <f t="shared" si="0"/>
        <v>1.3226441773833212E-4</v>
      </c>
      <c r="S2" s="4">
        <f t="shared" si="0"/>
        <v>1.3226441773833212E-4</v>
      </c>
      <c r="T2" s="4">
        <f t="shared" si="0"/>
        <v>1.3226441773833212E-4</v>
      </c>
      <c r="U2" s="4">
        <f t="shared" si="0"/>
        <v>1.3226441773833212E-4</v>
      </c>
      <c r="V2" s="4">
        <f t="shared" si="0"/>
        <v>1.3226441773833212E-4</v>
      </c>
      <c r="W2" s="4">
        <f t="shared" si="0"/>
        <v>1.3226441773833212E-4</v>
      </c>
      <c r="X2" s="4">
        <f t="shared" si="0"/>
        <v>1.3226441773833212E-4</v>
      </c>
      <c r="Y2" s="4">
        <f t="shared" si="0"/>
        <v>1.3226441773833212E-4</v>
      </c>
      <c r="Z2" s="4">
        <f t="shared" si="0"/>
        <v>1.3226441773833212E-4</v>
      </c>
      <c r="AA2" s="4">
        <f t="shared" si="0"/>
        <v>1.3226441773833212E-4</v>
      </c>
      <c r="AB2" s="4">
        <f t="shared" si="0"/>
        <v>1.3226441773833212E-4</v>
      </c>
      <c r="AC2" s="4">
        <f t="shared" si="0"/>
        <v>1.3226441773833212E-4</v>
      </c>
      <c r="AD2" s="4">
        <f t="shared" si="0"/>
        <v>1.3226441773833212E-4</v>
      </c>
      <c r="AE2" s="4">
        <f t="shared" si="0"/>
        <v>1.3226441773833212E-4</v>
      </c>
      <c r="AG2" s="4"/>
      <c r="AH2" s="4"/>
    </row>
    <row r="3" spans="1:34">
      <c r="A3" t="s">
        <v>3</v>
      </c>
      <c r="B3" s="4">
        <v>7.0204850469879831E-5</v>
      </c>
      <c r="C3" s="4">
        <f t="shared" ref="C3:C8" si="1">B3</f>
        <v>7.0204850469879831E-5</v>
      </c>
      <c r="D3" s="4">
        <f t="shared" ref="D3:Q3" si="2">C3</f>
        <v>7.0204850469879831E-5</v>
      </c>
      <c r="E3" s="4">
        <f t="shared" si="2"/>
        <v>7.0204850469879831E-5</v>
      </c>
      <c r="F3" s="4">
        <f t="shared" si="2"/>
        <v>7.0204850469879831E-5</v>
      </c>
      <c r="G3" s="4">
        <f t="shared" si="2"/>
        <v>7.0204850469879831E-5</v>
      </c>
      <c r="H3" s="4">
        <f t="shared" si="2"/>
        <v>7.0204850469879831E-5</v>
      </c>
      <c r="I3" s="4">
        <f t="shared" si="2"/>
        <v>7.0204850469879831E-5</v>
      </c>
      <c r="J3" s="4">
        <f t="shared" si="2"/>
        <v>7.0204850469879831E-5</v>
      </c>
      <c r="K3" s="4">
        <f t="shared" si="2"/>
        <v>7.0204850469879831E-5</v>
      </c>
      <c r="L3" s="4">
        <f t="shared" si="2"/>
        <v>7.0204850469879831E-5</v>
      </c>
      <c r="M3" s="4">
        <f t="shared" si="2"/>
        <v>7.0204850469879831E-5</v>
      </c>
      <c r="N3" s="4">
        <f t="shared" si="2"/>
        <v>7.0204850469879831E-5</v>
      </c>
      <c r="O3" s="4">
        <f t="shared" si="2"/>
        <v>7.0204850469879831E-5</v>
      </c>
      <c r="P3" s="4">
        <f t="shared" si="2"/>
        <v>7.0204850469879831E-5</v>
      </c>
      <c r="Q3" s="4">
        <f t="shared" si="2"/>
        <v>7.0204850469879831E-5</v>
      </c>
      <c r="R3" s="4">
        <f t="shared" si="0"/>
        <v>7.0204850469879831E-5</v>
      </c>
      <c r="S3" s="4">
        <f t="shared" si="0"/>
        <v>7.0204850469879831E-5</v>
      </c>
      <c r="T3" s="4">
        <f t="shared" si="0"/>
        <v>7.0204850469879831E-5</v>
      </c>
      <c r="U3" s="4">
        <f t="shared" si="0"/>
        <v>7.0204850469879831E-5</v>
      </c>
      <c r="V3" s="4">
        <f t="shared" si="0"/>
        <v>7.0204850469879831E-5</v>
      </c>
      <c r="W3" s="4">
        <f t="shared" si="0"/>
        <v>7.0204850469879831E-5</v>
      </c>
      <c r="X3" s="4">
        <f t="shared" si="0"/>
        <v>7.0204850469879831E-5</v>
      </c>
      <c r="Y3" s="4">
        <f t="shared" si="0"/>
        <v>7.0204850469879831E-5</v>
      </c>
      <c r="Z3" s="4">
        <f t="shared" si="0"/>
        <v>7.0204850469879831E-5</v>
      </c>
      <c r="AA3" s="4">
        <f t="shared" si="0"/>
        <v>7.0204850469879831E-5</v>
      </c>
      <c r="AB3" s="4">
        <f t="shared" si="0"/>
        <v>7.0204850469879831E-5</v>
      </c>
      <c r="AC3" s="4">
        <f t="shared" si="0"/>
        <v>7.0204850469879831E-5</v>
      </c>
      <c r="AD3" s="4">
        <f t="shared" si="0"/>
        <v>7.0204850469879831E-5</v>
      </c>
      <c r="AE3" s="4">
        <f t="shared" si="0"/>
        <v>7.0204850469879831E-5</v>
      </c>
      <c r="AG3" s="4"/>
      <c r="AH3" s="4"/>
    </row>
    <row r="4" spans="1:34">
      <c r="A4" t="s">
        <v>4</v>
      </c>
      <c r="B4" s="4">
        <v>1.0066053377187421E-4</v>
      </c>
      <c r="C4" s="4">
        <f t="shared" si="1"/>
        <v>1.0066053377187421E-4</v>
      </c>
      <c r="D4" s="4">
        <f t="shared" si="0"/>
        <v>1.0066053377187421E-4</v>
      </c>
      <c r="E4" s="4">
        <f t="shared" si="0"/>
        <v>1.0066053377187421E-4</v>
      </c>
      <c r="F4" s="4">
        <f t="shared" si="0"/>
        <v>1.0066053377187421E-4</v>
      </c>
      <c r="G4" s="4">
        <f t="shared" si="0"/>
        <v>1.0066053377187421E-4</v>
      </c>
      <c r="H4" s="4">
        <f t="shared" si="0"/>
        <v>1.0066053377187421E-4</v>
      </c>
      <c r="I4" s="4">
        <f t="shared" si="0"/>
        <v>1.0066053377187421E-4</v>
      </c>
      <c r="J4" s="4">
        <f t="shared" si="0"/>
        <v>1.0066053377187421E-4</v>
      </c>
      <c r="K4" s="4">
        <f t="shared" si="0"/>
        <v>1.0066053377187421E-4</v>
      </c>
      <c r="L4" s="4">
        <f t="shared" si="0"/>
        <v>1.0066053377187421E-4</v>
      </c>
      <c r="M4" s="4">
        <f t="shared" si="0"/>
        <v>1.0066053377187421E-4</v>
      </c>
      <c r="N4" s="4">
        <f t="shared" si="0"/>
        <v>1.0066053377187421E-4</v>
      </c>
      <c r="O4" s="4">
        <f t="shared" si="0"/>
        <v>1.0066053377187421E-4</v>
      </c>
      <c r="P4" s="4">
        <f t="shared" si="0"/>
        <v>1.0066053377187421E-4</v>
      </c>
      <c r="Q4" s="4">
        <f t="shared" si="0"/>
        <v>1.0066053377187421E-4</v>
      </c>
      <c r="R4" s="4">
        <f t="shared" si="0"/>
        <v>1.0066053377187421E-4</v>
      </c>
      <c r="S4" s="4">
        <f t="shared" si="0"/>
        <v>1.0066053377187421E-4</v>
      </c>
      <c r="T4" s="4">
        <f t="shared" si="0"/>
        <v>1.0066053377187421E-4</v>
      </c>
      <c r="U4" s="4">
        <f t="shared" si="0"/>
        <v>1.0066053377187421E-4</v>
      </c>
      <c r="V4" s="4">
        <f t="shared" si="0"/>
        <v>1.0066053377187421E-4</v>
      </c>
      <c r="W4" s="4">
        <f t="shared" si="0"/>
        <v>1.0066053377187421E-4</v>
      </c>
      <c r="X4" s="4">
        <f t="shared" si="0"/>
        <v>1.0066053377187421E-4</v>
      </c>
      <c r="Y4" s="4">
        <f t="shared" si="0"/>
        <v>1.0066053377187421E-4</v>
      </c>
      <c r="Z4" s="4">
        <f t="shared" si="0"/>
        <v>1.0066053377187421E-4</v>
      </c>
      <c r="AA4" s="4">
        <f t="shared" si="0"/>
        <v>1.0066053377187421E-4</v>
      </c>
      <c r="AB4" s="4">
        <f t="shared" si="0"/>
        <v>1.0066053377187421E-4</v>
      </c>
      <c r="AC4" s="4">
        <f t="shared" si="0"/>
        <v>1.0066053377187421E-4</v>
      </c>
      <c r="AD4" s="4">
        <f t="shared" si="0"/>
        <v>1.0066053377187421E-4</v>
      </c>
      <c r="AE4" s="4">
        <f t="shared" si="0"/>
        <v>1.0066053377187421E-4</v>
      </c>
      <c r="AG4" s="4"/>
      <c r="AH4" s="4"/>
    </row>
    <row r="5" spans="1:34">
      <c r="A5" t="s">
        <v>5</v>
      </c>
      <c r="B5" s="4">
        <v>7.8079341843850301E-5</v>
      </c>
      <c r="C5" s="4">
        <f t="shared" si="1"/>
        <v>7.8079341843850301E-5</v>
      </c>
      <c r="D5" s="4">
        <f t="shared" si="0"/>
        <v>7.8079341843850301E-5</v>
      </c>
      <c r="E5" s="4">
        <f t="shared" si="0"/>
        <v>7.8079341843850301E-5</v>
      </c>
      <c r="F5" s="4">
        <f t="shared" si="0"/>
        <v>7.8079341843850301E-5</v>
      </c>
      <c r="G5" s="4">
        <f t="shared" si="0"/>
        <v>7.8079341843850301E-5</v>
      </c>
      <c r="H5" s="4">
        <f t="shared" si="0"/>
        <v>7.8079341843850301E-5</v>
      </c>
      <c r="I5" s="4">
        <f t="shared" si="0"/>
        <v>7.8079341843850301E-5</v>
      </c>
      <c r="J5" s="4">
        <f t="shared" si="0"/>
        <v>7.8079341843850301E-5</v>
      </c>
      <c r="K5" s="4">
        <f t="shared" si="0"/>
        <v>7.8079341843850301E-5</v>
      </c>
      <c r="L5" s="4">
        <f t="shared" si="0"/>
        <v>7.8079341843850301E-5</v>
      </c>
      <c r="M5" s="4">
        <f t="shared" si="0"/>
        <v>7.8079341843850301E-5</v>
      </c>
      <c r="N5" s="4">
        <f t="shared" si="0"/>
        <v>7.8079341843850301E-5</v>
      </c>
      <c r="O5" s="4">
        <f t="shared" si="0"/>
        <v>7.8079341843850301E-5</v>
      </c>
      <c r="P5" s="4">
        <f t="shared" si="0"/>
        <v>7.8079341843850301E-5</v>
      </c>
      <c r="Q5" s="4">
        <f t="shared" si="0"/>
        <v>7.8079341843850301E-5</v>
      </c>
      <c r="R5" s="4">
        <f t="shared" si="0"/>
        <v>7.8079341843850301E-5</v>
      </c>
      <c r="S5" s="4">
        <f t="shared" si="0"/>
        <v>7.8079341843850301E-5</v>
      </c>
      <c r="T5" s="4">
        <f t="shared" si="0"/>
        <v>7.8079341843850301E-5</v>
      </c>
      <c r="U5" s="4">
        <f t="shared" si="0"/>
        <v>7.8079341843850301E-5</v>
      </c>
      <c r="V5" s="4">
        <f t="shared" si="0"/>
        <v>7.8079341843850301E-5</v>
      </c>
      <c r="W5" s="4">
        <f t="shared" si="0"/>
        <v>7.8079341843850301E-5</v>
      </c>
      <c r="X5" s="4">
        <f t="shared" si="0"/>
        <v>7.8079341843850301E-5</v>
      </c>
      <c r="Y5" s="4">
        <f t="shared" si="0"/>
        <v>7.8079341843850301E-5</v>
      </c>
      <c r="Z5" s="4">
        <f t="shared" si="0"/>
        <v>7.8079341843850301E-5</v>
      </c>
      <c r="AA5" s="4">
        <f t="shared" si="0"/>
        <v>7.8079341843850301E-5</v>
      </c>
      <c r="AB5" s="4">
        <f t="shared" si="0"/>
        <v>7.8079341843850301E-5</v>
      </c>
      <c r="AC5" s="4">
        <f t="shared" si="0"/>
        <v>7.8079341843850301E-5</v>
      </c>
      <c r="AD5" s="4">
        <f t="shared" si="0"/>
        <v>7.8079341843850301E-5</v>
      </c>
      <c r="AE5" s="4">
        <f t="shared" si="0"/>
        <v>7.8079341843850301E-5</v>
      </c>
      <c r="AG5" s="4"/>
      <c r="AH5" s="4"/>
    </row>
    <row r="6" spans="1:34">
      <c r="A6" t="s">
        <v>6</v>
      </c>
      <c r="B6" s="4">
        <v>1.7525323807361898E-4</v>
      </c>
      <c r="C6" s="4">
        <f t="shared" si="1"/>
        <v>1.7525323807361898E-4</v>
      </c>
      <c r="D6" s="4">
        <f t="shared" si="0"/>
        <v>1.7525323807361898E-4</v>
      </c>
      <c r="E6" s="4">
        <f t="shared" si="0"/>
        <v>1.7525323807361898E-4</v>
      </c>
      <c r="F6" s="4">
        <f t="shared" si="0"/>
        <v>1.7525323807361898E-4</v>
      </c>
      <c r="G6" s="4">
        <f t="shared" si="0"/>
        <v>1.7525323807361898E-4</v>
      </c>
      <c r="H6" s="4">
        <f t="shared" si="0"/>
        <v>1.7525323807361898E-4</v>
      </c>
      <c r="I6" s="4">
        <f t="shared" si="0"/>
        <v>1.7525323807361898E-4</v>
      </c>
      <c r="J6" s="4">
        <f t="shared" si="0"/>
        <v>1.7525323807361898E-4</v>
      </c>
      <c r="K6" s="4">
        <f t="shared" si="0"/>
        <v>1.7525323807361898E-4</v>
      </c>
      <c r="L6" s="4">
        <f t="shared" si="0"/>
        <v>1.7525323807361898E-4</v>
      </c>
      <c r="M6" s="4">
        <f t="shared" si="0"/>
        <v>1.7525323807361898E-4</v>
      </c>
      <c r="N6" s="4">
        <f t="shared" si="0"/>
        <v>1.7525323807361898E-4</v>
      </c>
      <c r="O6" s="4">
        <f t="shared" si="0"/>
        <v>1.7525323807361898E-4</v>
      </c>
      <c r="P6" s="4">
        <f t="shared" si="0"/>
        <v>1.7525323807361898E-4</v>
      </c>
      <c r="Q6" s="4">
        <f t="shared" si="0"/>
        <v>1.7525323807361898E-4</v>
      </c>
      <c r="R6" s="4">
        <f t="shared" si="0"/>
        <v>1.7525323807361898E-4</v>
      </c>
      <c r="S6" s="4">
        <f t="shared" si="0"/>
        <v>1.7525323807361898E-4</v>
      </c>
      <c r="T6" s="4">
        <f t="shared" si="0"/>
        <v>1.7525323807361898E-4</v>
      </c>
      <c r="U6" s="4">
        <f t="shared" si="0"/>
        <v>1.7525323807361898E-4</v>
      </c>
      <c r="V6" s="4">
        <f t="shared" si="0"/>
        <v>1.7525323807361898E-4</v>
      </c>
      <c r="W6" s="4">
        <f t="shared" si="0"/>
        <v>1.7525323807361898E-4</v>
      </c>
      <c r="X6" s="4">
        <f t="shared" si="0"/>
        <v>1.7525323807361898E-4</v>
      </c>
      <c r="Y6" s="4">
        <f t="shared" si="0"/>
        <v>1.7525323807361898E-4</v>
      </c>
      <c r="Z6" s="4">
        <f t="shared" si="0"/>
        <v>1.7525323807361898E-4</v>
      </c>
      <c r="AA6" s="4">
        <f t="shared" si="0"/>
        <v>1.7525323807361898E-4</v>
      </c>
      <c r="AB6" s="4">
        <f t="shared" si="0"/>
        <v>1.7525323807361898E-4</v>
      </c>
      <c r="AC6" s="4">
        <f t="shared" si="0"/>
        <v>1.7525323807361898E-4</v>
      </c>
      <c r="AD6" s="4">
        <f t="shared" si="0"/>
        <v>1.7525323807361898E-4</v>
      </c>
      <c r="AE6" s="4">
        <f t="shared" si="0"/>
        <v>1.7525323807361898E-4</v>
      </c>
      <c r="AG6" s="4"/>
      <c r="AH6" s="4"/>
    </row>
    <row r="7" spans="1:34">
      <c r="A7" t="s">
        <v>84</v>
      </c>
      <c r="B7" s="4">
        <v>5.5270584840087177E-5</v>
      </c>
      <c r="C7" s="4">
        <f t="shared" si="1"/>
        <v>5.5270584840087177E-5</v>
      </c>
      <c r="D7" s="4">
        <f t="shared" si="0"/>
        <v>5.5270584840087177E-5</v>
      </c>
      <c r="E7" s="4">
        <f t="shared" si="0"/>
        <v>5.5270584840087177E-5</v>
      </c>
      <c r="F7" s="4">
        <f t="shared" si="0"/>
        <v>5.5270584840087177E-5</v>
      </c>
      <c r="G7" s="4">
        <f t="shared" si="0"/>
        <v>5.5270584840087177E-5</v>
      </c>
      <c r="H7" s="4">
        <f t="shared" si="0"/>
        <v>5.5270584840087177E-5</v>
      </c>
      <c r="I7" s="4">
        <f t="shared" si="0"/>
        <v>5.5270584840087177E-5</v>
      </c>
      <c r="J7" s="4">
        <f t="shared" si="0"/>
        <v>5.5270584840087177E-5</v>
      </c>
      <c r="K7" s="4">
        <f t="shared" si="0"/>
        <v>5.5270584840087177E-5</v>
      </c>
      <c r="L7" s="4">
        <f t="shared" si="0"/>
        <v>5.5270584840087177E-5</v>
      </c>
      <c r="M7" s="4">
        <f t="shared" si="0"/>
        <v>5.5270584840087177E-5</v>
      </c>
      <c r="N7" s="4">
        <f t="shared" si="0"/>
        <v>5.5270584840087177E-5</v>
      </c>
      <c r="O7" s="4">
        <f t="shared" si="0"/>
        <v>5.5270584840087177E-5</v>
      </c>
      <c r="P7" s="4">
        <f t="shared" si="0"/>
        <v>5.5270584840087177E-5</v>
      </c>
      <c r="Q7" s="4">
        <f t="shared" si="0"/>
        <v>5.5270584840087177E-5</v>
      </c>
      <c r="R7" s="4">
        <f t="shared" si="0"/>
        <v>5.5270584840087177E-5</v>
      </c>
      <c r="S7" s="4">
        <f t="shared" si="0"/>
        <v>5.5270584840087177E-5</v>
      </c>
      <c r="T7" s="4">
        <f t="shared" si="0"/>
        <v>5.5270584840087177E-5</v>
      </c>
      <c r="U7" s="4">
        <f t="shared" si="0"/>
        <v>5.5270584840087177E-5</v>
      </c>
      <c r="V7" s="4">
        <f t="shared" si="0"/>
        <v>5.5270584840087177E-5</v>
      </c>
      <c r="W7" s="4">
        <f t="shared" si="0"/>
        <v>5.5270584840087177E-5</v>
      </c>
      <c r="X7" s="4">
        <f t="shared" si="0"/>
        <v>5.5270584840087177E-5</v>
      </c>
      <c r="Y7" s="4">
        <f t="shared" si="0"/>
        <v>5.5270584840087177E-5</v>
      </c>
      <c r="Z7" s="4">
        <f t="shared" si="0"/>
        <v>5.5270584840087177E-5</v>
      </c>
      <c r="AA7" s="4">
        <f t="shared" si="0"/>
        <v>5.5270584840087177E-5</v>
      </c>
      <c r="AB7" s="4">
        <f t="shared" si="0"/>
        <v>5.5270584840087177E-5</v>
      </c>
      <c r="AC7" s="4">
        <f t="shared" si="0"/>
        <v>5.5270584840087177E-5</v>
      </c>
      <c r="AD7" s="4">
        <f t="shared" si="0"/>
        <v>5.5270584840087177E-5</v>
      </c>
      <c r="AE7" s="4">
        <f t="shared" si="0"/>
        <v>5.5270584840087177E-5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3.2473412441950682E-3</v>
      </c>
      <c r="C2" s="4">
        <f>B2</f>
        <v>3.2473412441950682E-3</v>
      </c>
      <c r="D2" s="4">
        <f t="shared" ref="D2:AE8" si="0">C2</f>
        <v>3.2473412441950682E-3</v>
      </c>
      <c r="E2" s="4">
        <f t="shared" si="0"/>
        <v>3.2473412441950682E-3</v>
      </c>
      <c r="F2" s="4">
        <f t="shared" si="0"/>
        <v>3.2473412441950682E-3</v>
      </c>
      <c r="G2" s="4">
        <f t="shared" si="0"/>
        <v>3.2473412441950682E-3</v>
      </c>
      <c r="H2" s="4">
        <f t="shared" si="0"/>
        <v>3.2473412441950682E-3</v>
      </c>
      <c r="I2" s="4">
        <f t="shared" si="0"/>
        <v>3.2473412441950682E-3</v>
      </c>
      <c r="J2" s="4">
        <f t="shared" si="0"/>
        <v>3.2473412441950682E-3</v>
      </c>
      <c r="K2" s="4">
        <f t="shared" si="0"/>
        <v>3.2473412441950682E-3</v>
      </c>
      <c r="L2" s="4">
        <f t="shared" si="0"/>
        <v>3.2473412441950682E-3</v>
      </c>
      <c r="M2" s="4">
        <f t="shared" si="0"/>
        <v>3.2473412441950682E-3</v>
      </c>
      <c r="N2" s="4">
        <f t="shared" si="0"/>
        <v>3.2473412441950682E-3</v>
      </c>
      <c r="O2" s="4">
        <f t="shared" si="0"/>
        <v>3.2473412441950682E-3</v>
      </c>
      <c r="P2" s="4">
        <f t="shared" si="0"/>
        <v>3.2473412441950682E-3</v>
      </c>
      <c r="Q2" s="4">
        <f t="shared" si="0"/>
        <v>3.2473412441950682E-3</v>
      </c>
      <c r="R2" s="4">
        <f t="shared" si="0"/>
        <v>3.2473412441950682E-3</v>
      </c>
      <c r="S2" s="4">
        <f t="shared" si="0"/>
        <v>3.2473412441950682E-3</v>
      </c>
      <c r="T2" s="4">
        <f t="shared" si="0"/>
        <v>3.2473412441950682E-3</v>
      </c>
      <c r="U2" s="4">
        <f t="shared" si="0"/>
        <v>3.2473412441950682E-3</v>
      </c>
      <c r="V2" s="4">
        <f t="shared" si="0"/>
        <v>3.2473412441950682E-3</v>
      </c>
      <c r="W2" s="4">
        <f t="shared" si="0"/>
        <v>3.2473412441950682E-3</v>
      </c>
      <c r="X2" s="4">
        <f t="shared" si="0"/>
        <v>3.2473412441950682E-3</v>
      </c>
      <c r="Y2" s="4">
        <f t="shared" si="0"/>
        <v>3.2473412441950682E-3</v>
      </c>
      <c r="Z2" s="4">
        <f t="shared" si="0"/>
        <v>3.2473412441950682E-3</v>
      </c>
      <c r="AA2" s="4">
        <f t="shared" si="0"/>
        <v>3.2473412441950682E-3</v>
      </c>
      <c r="AB2" s="4">
        <f t="shared" si="0"/>
        <v>3.2473412441950682E-3</v>
      </c>
      <c r="AC2" s="4">
        <f t="shared" si="0"/>
        <v>3.2473412441950682E-3</v>
      </c>
      <c r="AD2" s="4">
        <f t="shared" si="0"/>
        <v>3.2473412441950682E-3</v>
      </c>
      <c r="AE2" s="4">
        <f t="shared" si="0"/>
        <v>3.2473412441950682E-3</v>
      </c>
      <c r="AG2" s="4"/>
      <c r="AH2" s="4"/>
    </row>
    <row r="3" spans="1:34">
      <c r="A3" t="s">
        <v>3</v>
      </c>
      <c r="B3" s="4">
        <v>2.5184995531410443E-3</v>
      </c>
      <c r="C3" s="4">
        <f t="shared" ref="C3:C8" si="1">B3</f>
        <v>2.5184995531410443E-3</v>
      </c>
      <c r="D3" s="4">
        <f t="shared" ref="D3:Q3" si="2">C3</f>
        <v>2.5184995531410443E-3</v>
      </c>
      <c r="E3" s="4">
        <f t="shared" si="2"/>
        <v>2.5184995531410443E-3</v>
      </c>
      <c r="F3" s="4">
        <f t="shared" si="2"/>
        <v>2.5184995531410443E-3</v>
      </c>
      <c r="G3" s="4">
        <f t="shared" si="2"/>
        <v>2.5184995531410443E-3</v>
      </c>
      <c r="H3" s="4">
        <f t="shared" si="2"/>
        <v>2.5184995531410443E-3</v>
      </c>
      <c r="I3" s="4">
        <f t="shared" si="2"/>
        <v>2.5184995531410443E-3</v>
      </c>
      <c r="J3" s="4">
        <f t="shared" si="2"/>
        <v>2.5184995531410443E-3</v>
      </c>
      <c r="K3" s="4">
        <f t="shared" si="2"/>
        <v>2.5184995531410443E-3</v>
      </c>
      <c r="L3" s="4">
        <f t="shared" si="2"/>
        <v>2.5184995531410443E-3</v>
      </c>
      <c r="M3" s="4">
        <f t="shared" si="2"/>
        <v>2.5184995531410443E-3</v>
      </c>
      <c r="N3" s="4">
        <f t="shared" si="2"/>
        <v>2.5184995531410443E-3</v>
      </c>
      <c r="O3" s="4">
        <f t="shared" si="2"/>
        <v>2.5184995531410443E-3</v>
      </c>
      <c r="P3" s="4">
        <f t="shared" si="2"/>
        <v>2.5184995531410443E-3</v>
      </c>
      <c r="Q3" s="4">
        <f t="shared" si="2"/>
        <v>2.5184995531410443E-3</v>
      </c>
      <c r="R3" s="4">
        <f t="shared" si="0"/>
        <v>2.5184995531410443E-3</v>
      </c>
      <c r="S3" s="4">
        <f t="shared" si="0"/>
        <v>2.5184995531410443E-3</v>
      </c>
      <c r="T3" s="4">
        <f t="shared" si="0"/>
        <v>2.5184995531410443E-3</v>
      </c>
      <c r="U3" s="4">
        <f t="shared" si="0"/>
        <v>2.5184995531410443E-3</v>
      </c>
      <c r="V3" s="4">
        <f t="shared" si="0"/>
        <v>2.5184995531410443E-3</v>
      </c>
      <c r="W3" s="4">
        <f t="shared" si="0"/>
        <v>2.5184995531410443E-3</v>
      </c>
      <c r="X3" s="4">
        <f t="shared" si="0"/>
        <v>2.5184995531410443E-3</v>
      </c>
      <c r="Y3" s="4">
        <f t="shared" si="0"/>
        <v>2.5184995531410443E-3</v>
      </c>
      <c r="Z3" s="4">
        <f t="shared" si="0"/>
        <v>2.5184995531410443E-3</v>
      </c>
      <c r="AA3" s="4">
        <f t="shared" si="0"/>
        <v>2.5184995531410443E-3</v>
      </c>
      <c r="AB3" s="4">
        <f t="shared" si="0"/>
        <v>2.5184995531410443E-3</v>
      </c>
      <c r="AC3" s="4">
        <f t="shared" si="0"/>
        <v>2.5184995531410443E-3</v>
      </c>
      <c r="AD3" s="4">
        <f t="shared" si="0"/>
        <v>2.5184995531410443E-3</v>
      </c>
      <c r="AE3" s="4">
        <f t="shared" si="0"/>
        <v>2.5184995531410443E-3</v>
      </c>
      <c r="AG3" s="4"/>
      <c r="AH3" s="4"/>
    </row>
    <row r="4" spans="1:34">
      <c r="A4" t="s">
        <v>4</v>
      </c>
      <c r="B4" s="4">
        <v>9.250377422058715E-4</v>
      </c>
      <c r="C4" s="4">
        <f t="shared" si="1"/>
        <v>9.250377422058715E-4</v>
      </c>
      <c r="D4" s="4">
        <f t="shared" si="0"/>
        <v>9.250377422058715E-4</v>
      </c>
      <c r="E4" s="4">
        <f t="shared" si="0"/>
        <v>9.250377422058715E-4</v>
      </c>
      <c r="F4" s="4">
        <f t="shared" si="0"/>
        <v>9.250377422058715E-4</v>
      </c>
      <c r="G4" s="4">
        <f t="shared" si="0"/>
        <v>9.250377422058715E-4</v>
      </c>
      <c r="H4" s="4">
        <f t="shared" si="0"/>
        <v>9.250377422058715E-4</v>
      </c>
      <c r="I4" s="4">
        <f t="shared" si="0"/>
        <v>9.250377422058715E-4</v>
      </c>
      <c r="J4" s="4">
        <f t="shared" si="0"/>
        <v>9.250377422058715E-4</v>
      </c>
      <c r="K4" s="4">
        <f t="shared" si="0"/>
        <v>9.250377422058715E-4</v>
      </c>
      <c r="L4" s="4">
        <f t="shared" si="0"/>
        <v>9.250377422058715E-4</v>
      </c>
      <c r="M4" s="4">
        <f t="shared" si="0"/>
        <v>9.250377422058715E-4</v>
      </c>
      <c r="N4" s="4">
        <f t="shared" si="0"/>
        <v>9.250377422058715E-4</v>
      </c>
      <c r="O4" s="4">
        <f t="shared" si="0"/>
        <v>9.250377422058715E-4</v>
      </c>
      <c r="P4" s="4">
        <f t="shared" si="0"/>
        <v>9.250377422058715E-4</v>
      </c>
      <c r="Q4" s="4">
        <f t="shared" si="0"/>
        <v>9.250377422058715E-4</v>
      </c>
      <c r="R4" s="4">
        <f t="shared" si="0"/>
        <v>9.250377422058715E-4</v>
      </c>
      <c r="S4" s="4">
        <f t="shared" si="0"/>
        <v>9.250377422058715E-4</v>
      </c>
      <c r="T4" s="4">
        <f t="shared" si="0"/>
        <v>9.250377422058715E-4</v>
      </c>
      <c r="U4" s="4">
        <f t="shared" si="0"/>
        <v>9.250377422058715E-4</v>
      </c>
      <c r="V4" s="4">
        <f t="shared" si="0"/>
        <v>9.250377422058715E-4</v>
      </c>
      <c r="W4" s="4">
        <f t="shared" si="0"/>
        <v>9.250377422058715E-4</v>
      </c>
      <c r="X4" s="4">
        <f t="shared" si="0"/>
        <v>9.250377422058715E-4</v>
      </c>
      <c r="Y4" s="4">
        <f t="shared" si="0"/>
        <v>9.250377422058715E-4</v>
      </c>
      <c r="Z4" s="4">
        <f t="shared" si="0"/>
        <v>9.250377422058715E-4</v>
      </c>
      <c r="AA4" s="4">
        <f t="shared" si="0"/>
        <v>9.250377422058715E-4</v>
      </c>
      <c r="AB4" s="4">
        <f t="shared" si="0"/>
        <v>9.250377422058715E-4</v>
      </c>
      <c r="AC4" s="4">
        <f t="shared" si="0"/>
        <v>9.250377422058715E-4</v>
      </c>
      <c r="AD4" s="4">
        <f t="shared" si="0"/>
        <v>9.250377422058715E-4</v>
      </c>
      <c r="AE4" s="4">
        <f t="shared" si="0"/>
        <v>9.250377422058715E-4</v>
      </c>
      <c r="AG4" s="4"/>
      <c r="AH4" s="4"/>
    </row>
    <row r="5" spans="1:34">
      <c r="A5" t="s">
        <v>5</v>
      </c>
      <c r="B5" s="4">
        <v>1.0105389360616456E-3</v>
      </c>
      <c r="C5" s="4">
        <f t="shared" si="1"/>
        <v>1.0105389360616456E-3</v>
      </c>
      <c r="D5" s="4">
        <f t="shared" si="0"/>
        <v>1.0105389360616456E-3</v>
      </c>
      <c r="E5" s="4">
        <f t="shared" si="0"/>
        <v>1.0105389360616456E-3</v>
      </c>
      <c r="F5" s="4">
        <f t="shared" si="0"/>
        <v>1.0105389360616456E-3</v>
      </c>
      <c r="G5" s="4">
        <f t="shared" si="0"/>
        <v>1.0105389360616456E-3</v>
      </c>
      <c r="H5" s="4">
        <f t="shared" si="0"/>
        <v>1.0105389360616456E-3</v>
      </c>
      <c r="I5" s="4">
        <f t="shared" si="0"/>
        <v>1.0105389360616456E-3</v>
      </c>
      <c r="J5" s="4">
        <f t="shared" si="0"/>
        <v>1.0105389360616456E-3</v>
      </c>
      <c r="K5" s="4">
        <f t="shared" si="0"/>
        <v>1.0105389360616456E-3</v>
      </c>
      <c r="L5" s="4">
        <f t="shared" si="0"/>
        <v>1.0105389360616456E-3</v>
      </c>
      <c r="M5" s="4">
        <f t="shared" si="0"/>
        <v>1.0105389360616456E-3</v>
      </c>
      <c r="N5" s="4">
        <f t="shared" si="0"/>
        <v>1.0105389360616456E-3</v>
      </c>
      <c r="O5" s="4">
        <f t="shared" si="0"/>
        <v>1.0105389360616456E-3</v>
      </c>
      <c r="P5" s="4">
        <f t="shared" si="0"/>
        <v>1.0105389360616456E-3</v>
      </c>
      <c r="Q5" s="4">
        <f t="shared" si="0"/>
        <v>1.0105389360616456E-3</v>
      </c>
      <c r="R5" s="4">
        <f t="shared" si="0"/>
        <v>1.0105389360616456E-3</v>
      </c>
      <c r="S5" s="4">
        <f t="shared" si="0"/>
        <v>1.0105389360616456E-3</v>
      </c>
      <c r="T5" s="4">
        <f t="shared" si="0"/>
        <v>1.0105389360616456E-3</v>
      </c>
      <c r="U5" s="4">
        <f t="shared" si="0"/>
        <v>1.0105389360616456E-3</v>
      </c>
      <c r="V5" s="4">
        <f t="shared" si="0"/>
        <v>1.0105389360616456E-3</v>
      </c>
      <c r="W5" s="4">
        <f t="shared" si="0"/>
        <v>1.0105389360616456E-3</v>
      </c>
      <c r="X5" s="4">
        <f t="shared" si="0"/>
        <v>1.0105389360616456E-3</v>
      </c>
      <c r="Y5" s="4">
        <f t="shared" si="0"/>
        <v>1.0105389360616456E-3</v>
      </c>
      <c r="Z5" s="4">
        <f t="shared" si="0"/>
        <v>1.0105389360616456E-3</v>
      </c>
      <c r="AA5" s="4">
        <f t="shared" si="0"/>
        <v>1.0105389360616456E-3</v>
      </c>
      <c r="AB5" s="4">
        <f t="shared" si="0"/>
        <v>1.0105389360616456E-3</v>
      </c>
      <c r="AC5" s="4">
        <f t="shared" si="0"/>
        <v>1.0105389360616456E-3</v>
      </c>
      <c r="AD5" s="4">
        <f t="shared" si="0"/>
        <v>1.0105389360616456E-3</v>
      </c>
      <c r="AE5" s="4">
        <f t="shared" si="0"/>
        <v>1.0105389360616456E-3</v>
      </c>
      <c r="AG5" s="4"/>
      <c r="AH5" s="4"/>
    </row>
    <row r="6" spans="1:34">
      <c r="A6" t="s">
        <v>6</v>
      </c>
      <c r="B6" s="4">
        <v>2.2407802055350282E-3</v>
      </c>
      <c r="C6" s="4">
        <f t="shared" si="1"/>
        <v>2.2407802055350282E-3</v>
      </c>
      <c r="D6" s="4">
        <f t="shared" si="0"/>
        <v>2.2407802055350282E-3</v>
      </c>
      <c r="E6" s="4">
        <f t="shared" si="0"/>
        <v>2.2407802055350282E-3</v>
      </c>
      <c r="F6" s="4">
        <f t="shared" si="0"/>
        <v>2.2407802055350282E-3</v>
      </c>
      <c r="G6" s="4">
        <f t="shared" si="0"/>
        <v>2.2407802055350282E-3</v>
      </c>
      <c r="H6" s="4">
        <f t="shared" si="0"/>
        <v>2.2407802055350282E-3</v>
      </c>
      <c r="I6" s="4">
        <f t="shared" si="0"/>
        <v>2.2407802055350282E-3</v>
      </c>
      <c r="J6" s="4">
        <f t="shared" si="0"/>
        <v>2.2407802055350282E-3</v>
      </c>
      <c r="K6" s="4">
        <f t="shared" si="0"/>
        <v>2.2407802055350282E-3</v>
      </c>
      <c r="L6" s="4">
        <f t="shared" si="0"/>
        <v>2.2407802055350282E-3</v>
      </c>
      <c r="M6" s="4">
        <f t="shared" si="0"/>
        <v>2.2407802055350282E-3</v>
      </c>
      <c r="N6" s="4">
        <f t="shared" si="0"/>
        <v>2.2407802055350282E-3</v>
      </c>
      <c r="O6" s="4">
        <f t="shared" si="0"/>
        <v>2.2407802055350282E-3</v>
      </c>
      <c r="P6" s="4">
        <f t="shared" si="0"/>
        <v>2.2407802055350282E-3</v>
      </c>
      <c r="Q6" s="4">
        <f t="shared" si="0"/>
        <v>2.2407802055350282E-3</v>
      </c>
      <c r="R6" s="4">
        <f t="shared" si="0"/>
        <v>2.2407802055350282E-3</v>
      </c>
      <c r="S6" s="4">
        <f t="shared" si="0"/>
        <v>2.2407802055350282E-3</v>
      </c>
      <c r="T6" s="4">
        <f t="shared" si="0"/>
        <v>2.2407802055350282E-3</v>
      </c>
      <c r="U6" s="4">
        <f t="shared" si="0"/>
        <v>2.2407802055350282E-3</v>
      </c>
      <c r="V6" s="4">
        <f t="shared" si="0"/>
        <v>2.2407802055350282E-3</v>
      </c>
      <c r="W6" s="4">
        <f t="shared" si="0"/>
        <v>2.2407802055350282E-3</v>
      </c>
      <c r="X6" s="4">
        <f t="shared" si="0"/>
        <v>2.2407802055350282E-3</v>
      </c>
      <c r="Y6" s="4">
        <f t="shared" si="0"/>
        <v>2.2407802055350282E-3</v>
      </c>
      <c r="Z6" s="4">
        <f t="shared" si="0"/>
        <v>2.2407802055350282E-3</v>
      </c>
      <c r="AA6" s="4">
        <f t="shared" si="0"/>
        <v>2.2407802055350282E-3</v>
      </c>
      <c r="AB6" s="4">
        <f t="shared" si="0"/>
        <v>2.2407802055350282E-3</v>
      </c>
      <c r="AC6" s="4">
        <f t="shared" si="0"/>
        <v>2.2407802055350282E-3</v>
      </c>
      <c r="AD6" s="4">
        <f t="shared" si="0"/>
        <v>2.2407802055350282E-3</v>
      </c>
      <c r="AE6" s="4">
        <f t="shared" si="0"/>
        <v>2.2407802055350282E-3</v>
      </c>
      <c r="AG6" s="4"/>
      <c r="AH6" s="4"/>
    </row>
    <row r="7" spans="1:34">
      <c r="A7" t="s">
        <v>84</v>
      </c>
      <c r="B7" s="4">
        <v>1.6954707688479299E-3</v>
      </c>
      <c r="C7" s="4">
        <f t="shared" si="1"/>
        <v>1.6954707688479299E-3</v>
      </c>
      <c r="D7" s="4">
        <f t="shared" si="0"/>
        <v>1.6954707688479299E-3</v>
      </c>
      <c r="E7" s="4">
        <f t="shared" si="0"/>
        <v>1.6954707688479299E-3</v>
      </c>
      <c r="F7" s="4">
        <f t="shared" si="0"/>
        <v>1.6954707688479299E-3</v>
      </c>
      <c r="G7" s="4">
        <f t="shared" si="0"/>
        <v>1.6954707688479299E-3</v>
      </c>
      <c r="H7" s="4">
        <f t="shared" si="0"/>
        <v>1.6954707688479299E-3</v>
      </c>
      <c r="I7" s="4">
        <f t="shared" si="0"/>
        <v>1.6954707688479299E-3</v>
      </c>
      <c r="J7" s="4">
        <f t="shared" si="0"/>
        <v>1.6954707688479299E-3</v>
      </c>
      <c r="K7" s="4">
        <f t="shared" si="0"/>
        <v>1.6954707688479299E-3</v>
      </c>
      <c r="L7" s="4">
        <f t="shared" si="0"/>
        <v>1.6954707688479299E-3</v>
      </c>
      <c r="M7" s="4">
        <f t="shared" si="0"/>
        <v>1.6954707688479299E-3</v>
      </c>
      <c r="N7" s="4">
        <f t="shared" si="0"/>
        <v>1.6954707688479299E-3</v>
      </c>
      <c r="O7" s="4">
        <f t="shared" si="0"/>
        <v>1.6954707688479299E-3</v>
      </c>
      <c r="P7" s="4">
        <f t="shared" si="0"/>
        <v>1.6954707688479299E-3</v>
      </c>
      <c r="Q7" s="4">
        <f t="shared" si="0"/>
        <v>1.6954707688479299E-3</v>
      </c>
      <c r="R7" s="4">
        <f t="shared" si="0"/>
        <v>1.6954707688479299E-3</v>
      </c>
      <c r="S7" s="4">
        <f t="shared" si="0"/>
        <v>1.6954707688479299E-3</v>
      </c>
      <c r="T7" s="4">
        <f t="shared" si="0"/>
        <v>1.6954707688479299E-3</v>
      </c>
      <c r="U7" s="4">
        <f t="shared" si="0"/>
        <v>1.6954707688479299E-3</v>
      </c>
      <c r="V7" s="4">
        <f t="shared" si="0"/>
        <v>1.6954707688479299E-3</v>
      </c>
      <c r="W7" s="4">
        <f t="shared" si="0"/>
        <v>1.6954707688479299E-3</v>
      </c>
      <c r="X7" s="4">
        <f t="shared" si="0"/>
        <v>1.6954707688479299E-3</v>
      </c>
      <c r="Y7" s="4">
        <f t="shared" si="0"/>
        <v>1.6954707688479299E-3</v>
      </c>
      <c r="Z7" s="4">
        <f t="shared" si="0"/>
        <v>1.6954707688479299E-3</v>
      </c>
      <c r="AA7" s="4">
        <f t="shared" si="0"/>
        <v>1.6954707688479299E-3</v>
      </c>
      <c r="AB7" s="4">
        <f t="shared" si="0"/>
        <v>1.6954707688479299E-3</v>
      </c>
      <c r="AC7" s="4">
        <f t="shared" si="0"/>
        <v>1.6954707688479299E-3</v>
      </c>
      <c r="AD7" s="4">
        <f t="shared" si="0"/>
        <v>1.6954707688479299E-3</v>
      </c>
      <c r="AE7" s="4">
        <f t="shared" si="0"/>
        <v>1.6954707688479299E-3</v>
      </c>
      <c r="AG7" s="4"/>
      <c r="AH7" s="4"/>
    </row>
    <row r="8" spans="1:34">
      <c r="A8" t="s">
        <v>85</v>
      </c>
      <c r="B8" s="4">
        <v>3.0316168081849361E-3</v>
      </c>
      <c r="C8" s="4">
        <f t="shared" si="1"/>
        <v>3.0316168081849361E-3</v>
      </c>
      <c r="D8" s="4">
        <f t="shared" si="0"/>
        <v>3.0316168081849361E-3</v>
      </c>
      <c r="E8" s="4">
        <f t="shared" si="0"/>
        <v>3.0316168081849361E-3</v>
      </c>
      <c r="F8" s="4">
        <f t="shared" si="0"/>
        <v>3.0316168081849361E-3</v>
      </c>
      <c r="G8" s="4">
        <f t="shared" si="0"/>
        <v>3.0316168081849361E-3</v>
      </c>
      <c r="H8" s="4">
        <f t="shared" si="0"/>
        <v>3.0316168081849361E-3</v>
      </c>
      <c r="I8" s="4">
        <f t="shared" si="0"/>
        <v>3.0316168081849361E-3</v>
      </c>
      <c r="J8" s="4">
        <f t="shared" si="0"/>
        <v>3.0316168081849361E-3</v>
      </c>
      <c r="K8" s="4">
        <f t="shared" si="0"/>
        <v>3.0316168081849361E-3</v>
      </c>
      <c r="L8" s="4">
        <f t="shared" si="0"/>
        <v>3.0316168081849361E-3</v>
      </c>
      <c r="M8" s="4">
        <f t="shared" si="0"/>
        <v>3.0316168081849361E-3</v>
      </c>
      <c r="N8" s="4">
        <f t="shared" si="0"/>
        <v>3.0316168081849361E-3</v>
      </c>
      <c r="O8" s="4">
        <f t="shared" si="0"/>
        <v>3.0316168081849361E-3</v>
      </c>
      <c r="P8" s="4">
        <f t="shared" si="0"/>
        <v>3.0316168081849361E-3</v>
      </c>
      <c r="Q8" s="4">
        <f t="shared" si="0"/>
        <v>3.0316168081849361E-3</v>
      </c>
      <c r="R8" s="4">
        <f t="shared" si="0"/>
        <v>3.0316168081849361E-3</v>
      </c>
      <c r="S8" s="4">
        <f t="shared" si="0"/>
        <v>3.0316168081849361E-3</v>
      </c>
      <c r="T8" s="4">
        <f t="shared" si="0"/>
        <v>3.0316168081849361E-3</v>
      </c>
      <c r="U8" s="4">
        <f t="shared" si="0"/>
        <v>3.0316168081849361E-3</v>
      </c>
      <c r="V8" s="4">
        <f t="shared" si="0"/>
        <v>3.0316168081849361E-3</v>
      </c>
      <c r="W8" s="4">
        <f t="shared" si="0"/>
        <v>3.0316168081849361E-3</v>
      </c>
      <c r="X8" s="4">
        <f t="shared" si="0"/>
        <v>3.0316168081849361E-3</v>
      </c>
      <c r="Y8" s="4">
        <f t="shared" si="0"/>
        <v>3.0316168081849361E-3</v>
      </c>
      <c r="Z8" s="4">
        <f t="shared" si="0"/>
        <v>3.0316168081849361E-3</v>
      </c>
      <c r="AA8" s="4">
        <f t="shared" si="0"/>
        <v>3.0316168081849361E-3</v>
      </c>
      <c r="AB8" s="4">
        <f t="shared" si="0"/>
        <v>3.0316168081849361E-3</v>
      </c>
      <c r="AC8" s="4">
        <f t="shared" si="0"/>
        <v>3.0316168081849361E-3</v>
      </c>
      <c r="AD8" s="4">
        <f t="shared" si="0"/>
        <v>3.0316168081849361E-3</v>
      </c>
      <c r="AE8" s="4">
        <f t="shared" si="0"/>
        <v>3.0316168081849361E-3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1.421389052178215E-3</v>
      </c>
      <c r="C2" s="4">
        <f>B2</f>
        <v>1.421389052178215E-3</v>
      </c>
      <c r="D2" s="4">
        <f t="shared" ref="D2:AE8" si="0">C2</f>
        <v>1.421389052178215E-3</v>
      </c>
      <c r="E2" s="4">
        <f t="shared" si="0"/>
        <v>1.421389052178215E-3</v>
      </c>
      <c r="F2" s="4">
        <f t="shared" si="0"/>
        <v>1.421389052178215E-3</v>
      </c>
      <c r="G2" s="4">
        <f t="shared" si="0"/>
        <v>1.421389052178215E-3</v>
      </c>
      <c r="H2" s="4">
        <f t="shared" si="0"/>
        <v>1.421389052178215E-3</v>
      </c>
      <c r="I2" s="4">
        <f t="shared" si="0"/>
        <v>1.421389052178215E-3</v>
      </c>
      <c r="J2" s="4">
        <f t="shared" si="0"/>
        <v>1.421389052178215E-3</v>
      </c>
      <c r="K2" s="4">
        <f t="shared" si="0"/>
        <v>1.421389052178215E-3</v>
      </c>
      <c r="L2" s="4">
        <f t="shared" si="0"/>
        <v>1.421389052178215E-3</v>
      </c>
      <c r="M2" s="4">
        <f t="shared" si="0"/>
        <v>1.421389052178215E-3</v>
      </c>
      <c r="N2" s="4">
        <f t="shared" si="0"/>
        <v>1.421389052178215E-3</v>
      </c>
      <c r="O2" s="4">
        <f t="shared" si="0"/>
        <v>1.421389052178215E-3</v>
      </c>
      <c r="P2" s="4">
        <f t="shared" si="0"/>
        <v>1.421389052178215E-3</v>
      </c>
      <c r="Q2" s="4">
        <f t="shared" si="0"/>
        <v>1.421389052178215E-3</v>
      </c>
      <c r="R2" s="4">
        <f t="shared" si="0"/>
        <v>1.421389052178215E-3</v>
      </c>
      <c r="S2" s="4">
        <f t="shared" si="0"/>
        <v>1.421389052178215E-3</v>
      </c>
      <c r="T2" s="4">
        <f t="shared" si="0"/>
        <v>1.421389052178215E-3</v>
      </c>
      <c r="U2" s="4">
        <f t="shared" si="0"/>
        <v>1.421389052178215E-3</v>
      </c>
      <c r="V2" s="4">
        <f t="shared" si="0"/>
        <v>1.421389052178215E-3</v>
      </c>
      <c r="W2" s="4">
        <f t="shared" si="0"/>
        <v>1.421389052178215E-3</v>
      </c>
      <c r="X2" s="4">
        <f t="shared" si="0"/>
        <v>1.421389052178215E-3</v>
      </c>
      <c r="Y2" s="4">
        <f t="shared" si="0"/>
        <v>1.421389052178215E-3</v>
      </c>
      <c r="Z2" s="4">
        <f t="shared" si="0"/>
        <v>1.421389052178215E-3</v>
      </c>
      <c r="AA2" s="4">
        <f t="shared" si="0"/>
        <v>1.421389052178215E-3</v>
      </c>
      <c r="AB2" s="4">
        <f t="shared" si="0"/>
        <v>1.421389052178215E-3</v>
      </c>
      <c r="AC2" s="4">
        <f t="shared" si="0"/>
        <v>1.421389052178215E-3</v>
      </c>
      <c r="AD2" s="4">
        <f t="shared" si="0"/>
        <v>1.421389052178215E-3</v>
      </c>
      <c r="AE2" s="4">
        <f t="shared" si="0"/>
        <v>1.421389052178215E-3</v>
      </c>
      <c r="AG2" s="4"/>
      <c r="AH2" s="4"/>
    </row>
    <row r="3" spans="1:34">
      <c r="A3" t="s">
        <v>3</v>
      </c>
      <c r="B3" s="4">
        <v>7.9458999302765691E-4</v>
      </c>
      <c r="C3" s="4">
        <f t="shared" ref="C3:C8" si="1">B3</f>
        <v>7.9458999302765691E-4</v>
      </c>
      <c r="D3" s="4">
        <f t="shared" ref="D3:Q3" si="2">C3</f>
        <v>7.9458999302765691E-4</v>
      </c>
      <c r="E3" s="4">
        <f t="shared" si="2"/>
        <v>7.9458999302765691E-4</v>
      </c>
      <c r="F3" s="4">
        <f t="shared" si="2"/>
        <v>7.9458999302765691E-4</v>
      </c>
      <c r="G3" s="4">
        <f t="shared" si="2"/>
        <v>7.9458999302765691E-4</v>
      </c>
      <c r="H3" s="4">
        <f t="shared" si="2"/>
        <v>7.9458999302765691E-4</v>
      </c>
      <c r="I3" s="4">
        <f t="shared" si="2"/>
        <v>7.9458999302765691E-4</v>
      </c>
      <c r="J3" s="4">
        <f t="shared" si="2"/>
        <v>7.9458999302765691E-4</v>
      </c>
      <c r="K3" s="4">
        <f t="shared" si="2"/>
        <v>7.9458999302765691E-4</v>
      </c>
      <c r="L3" s="4">
        <f t="shared" si="2"/>
        <v>7.9458999302765691E-4</v>
      </c>
      <c r="M3" s="4">
        <f t="shared" si="2"/>
        <v>7.9458999302765691E-4</v>
      </c>
      <c r="N3" s="4">
        <f t="shared" si="2"/>
        <v>7.9458999302765691E-4</v>
      </c>
      <c r="O3" s="4">
        <f t="shared" si="2"/>
        <v>7.9458999302765691E-4</v>
      </c>
      <c r="P3" s="4">
        <f t="shared" si="2"/>
        <v>7.9458999302765691E-4</v>
      </c>
      <c r="Q3" s="4">
        <f t="shared" si="2"/>
        <v>7.9458999302765691E-4</v>
      </c>
      <c r="R3" s="4">
        <f t="shared" si="0"/>
        <v>7.9458999302765691E-4</v>
      </c>
      <c r="S3" s="4">
        <f t="shared" si="0"/>
        <v>7.9458999302765691E-4</v>
      </c>
      <c r="T3" s="4">
        <f t="shared" si="0"/>
        <v>7.9458999302765691E-4</v>
      </c>
      <c r="U3" s="4">
        <f t="shared" si="0"/>
        <v>7.9458999302765691E-4</v>
      </c>
      <c r="V3" s="4">
        <f t="shared" si="0"/>
        <v>7.9458999302765691E-4</v>
      </c>
      <c r="W3" s="4">
        <f t="shared" si="0"/>
        <v>7.9458999302765691E-4</v>
      </c>
      <c r="X3" s="4">
        <f t="shared" si="0"/>
        <v>7.9458999302765691E-4</v>
      </c>
      <c r="Y3" s="4">
        <f t="shared" si="0"/>
        <v>7.9458999302765691E-4</v>
      </c>
      <c r="Z3" s="4">
        <f t="shared" si="0"/>
        <v>7.9458999302765691E-4</v>
      </c>
      <c r="AA3" s="4">
        <f t="shared" si="0"/>
        <v>7.9458999302765691E-4</v>
      </c>
      <c r="AB3" s="4">
        <f t="shared" si="0"/>
        <v>7.9458999302765691E-4</v>
      </c>
      <c r="AC3" s="4">
        <f t="shared" si="0"/>
        <v>7.9458999302765691E-4</v>
      </c>
      <c r="AD3" s="4">
        <f t="shared" si="0"/>
        <v>7.9458999302765691E-4</v>
      </c>
      <c r="AE3" s="4">
        <f t="shared" si="0"/>
        <v>7.9458999302765691E-4</v>
      </c>
      <c r="AG3" s="4"/>
      <c r="AH3" s="4"/>
    </row>
    <row r="4" spans="1:34">
      <c r="A4" t="s">
        <v>4</v>
      </c>
      <c r="B4" s="4">
        <v>7.5502679371825096E-4</v>
      </c>
      <c r="C4" s="4">
        <f t="shared" si="1"/>
        <v>7.5502679371825096E-4</v>
      </c>
      <c r="D4" s="4">
        <f t="shared" si="0"/>
        <v>7.5502679371825096E-4</v>
      </c>
      <c r="E4" s="4">
        <f t="shared" si="0"/>
        <v>7.5502679371825096E-4</v>
      </c>
      <c r="F4" s="4">
        <f t="shared" si="0"/>
        <v>7.5502679371825096E-4</v>
      </c>
      <c r="G4" s="4">
        <f t="shared" si="0"/>
        <v>7.5502679371825096E-4</v>
      </c>
      <c r="H4" s="4">
        <f t="shared" si="0"/>
        <v>7.5502679371825096E-4</v>
      </c>
      <c r="I4" s="4">
        <f t="shared" si="0"/>
        <v>7.5502679371825096E-4</v>
      </c>
      <c r="J4" s="4">
        <f t="shared" si="0"/>
        <v>7.5502679371825096E-4</v>
      </c>
      <c r="K4" s="4">
        <f t="shared" si="0"/>
        <v>7.5502679371825096E-4</v>
      </c>
      <c r="L4" s="4">
        <f t="shared" si="0"/>
        <v>7.5502679371825096E-4</v>
      </c>
      <c r="M4" s="4">
        <f t="shared" si="0"/>
        <v>7.5502679371825096E-4</v>
      </c>
      <c r="N4" s="4">
        <f t="shared" si="0"/>
        <v>7.5502679371825096E-4</v>
      </c>
      <c r="O4" s="4">
        <f t="shared" si="0"/>
        <v>7.5502679371825096E-4</v>
      </c>
      <c r="P4" s="4">
        <f t="shared" si="0"/>
        <v>7.5502679371825096E-4</v>
      </c>
      <c r="Q4" s="4">
        <f t="shared" si="0"/>
        <v>7.5502679371825096E-4</v>
      </c>
      <c r="R4" s="4">
        <f t="shared" si="0"/>
        <v>7.5502679371825096E-4</v>
      </c>
      <c r="S4" s="4">
        <f t="shared" si="0"/>
        <v>7.5502679371825096E-4</v>
      </c>
      <c r="T4" s="4">
        <f t="shared" si="0"/>
        <v>7.5502679371825096E-4</v>
      </c>
      <c r="U4" s="4">
        <f t="shared" si="0"/>
        <v>7.5502679371825096E-4</v>
      </c>
      <c r="V4" s="4">
        <f t="shared" si="0"/>
        <v>7.5502679371825096E-4</v>
      </c>
      <c r="W4" s="4">
        <f t="shared" si="0"/>
        <v>7.5502679371825096E-4</v>
      </c>
      <c r="X4" s="4">
        <f t="shared" si="0"/>
        <v>7.5502679371825096E-4</v>
      </c>
      <c r="Y4" s="4">
        <f t="shared" si="0"/>
        <v>7.5502679371825096E-4</v>
      </c>
      <c r="Z4" s="4">
        <f t="shared" si="0"/>
        <v>7.5502679371825096E-4</v>
      </c>
      <c r="AA4" s="4">
        <f t="shared" si="0"/>
        <v>7.5502679371825096E-4</v>
      </c>
      <c r="AB4" s="4">
        <f t="shared" si="0"/>
        <v>7.5502679371825096E-4</v>
      </c>
      <c r="AC4" s="4">
        <f t="shared" si="0"/>
        <v>7.5502679371825096E-4</v>
      </c>
      <c r="AD4" s="4">
        <f t="shared" si="0"/>
        <v>7.5502679371825096E-4</v>
      </c>
      <c r="AE4" s="4">
        <f t="shared" si="0"/>
        <v>7.5502679371825096E-4</v>
      </c>
      <c r="AG4" s="4"/>
      <c r="AH4" s="4"/>
    </row>
    <row r="5" spans="1:34">
      <c r="A5" t="s">
        <v>5</v>
      </c>
      <c r="B5" s="4">
        <v>7.2905101417222013E-4</v>
      </c>
      <c r="C5" s="4">
        <f t="shared" si="1"/>
        <v>7.2905101417222013E-4</v>
      </c>
      <c r="D5" s="4">
        <f t="shared" si="0"/>
        <v>7.2905101417222013E-4</v>
      </c>
      <c r="E5" s="4">
        <f t="shared" si="0"/>
        <v>7.2905101417222013E-4</v>
      </c>
      <c r="F5" s="4">
        <f t="shared" si="0"/>
        <v>7.2905101417222013E-4</v>
      </c>
      <c r="G5" s="4">
        <f t="shared" si="0"/>
        <v>7.2905101417222013E-4</v>
      </c>
      <c r="H5" s="4">
        <f t="shared" si="0"/>
        <v>7.2905101417222013E-4</v>
      </c>
      <c r="I5" s="4">
        <f t="shared" si="0"/>
        <v>7.2905101417222013E-4</v>
      </c>
      <c r="J5" s="4">
        <f t="shared" si="0"/>
        <v>7.2905101417222013E-4</v>
      </c>
      <c r="K5" s="4">
        <f t="shared" si="0"/>
        <v>7.2905101417222013E-4</v>
      </c>
      <c r="L5" s="4">
        <f t="shared" si="0"/>
        <v>7.2905101417222013E-4</v>
      </c>
      <c r="M5" s="4">
        <f t="shared" si="0"/>
        <v>7.2905101417222013E-4</v>
      </c>
      <c r="N5" s="4">
        <f t="shared" si="0"/>
        <v>7.2905101417222013E-4</v>
      </c>
      <c r="O5" s="4">
        <f t="shared" si="0"/>
        <v>7.2905101417222013E-4</v>
      </c>
      <c r="P5" s="4">
        <f t="shared" si="0"/>
        <v>7.2905101417222013E-4</v>
      </c>
      <c r="Q5" s="4">
        <f t="shared" si="0"/>
        <v>7.2905101417222013E-4</v>
      </c>
      <c r="R5" s="4">
        <f t="shared" si="0"/>
        <v>7.2905101417222013E-4</v>
      </c>
      <c r="S5" s="4">
        <f t="shared" si="0"/>
        <v>7.2905101417222013E-4</v>
      </c>
      <c r="T5" s="4">
        <f t="shared" si="0"/>
        <v>7.2905101417222013E-4</v>
      </c>
      <c r="U5" s="4">
        <f t="shared" si="0"/>
        <v>7.2905101417222013E-4</v>
      </c>
      <c r="V5" s="4">
        <f t="shared" si="0"/>
        <v>7.2905101417222013E-4</v>
      </c>
      <c r="W5" s="4">
        <f t="shared" si="0"/>
        <v>7.2905101417222013E-4</v>
      </c>
      <c r="X5" s="4">
        <f t="shared" si="0"/>
        <v>7.2905101417222013E-4</v>
      </c>
      <c r="Y5" s="4">
        <f t="shared" si="0"/>
        <v>7.2905101417222013E-4</v>
      </c>
      <c r="Z5" s="4">
        <f t="shared" si="0"/>
        <v>7.2905101417222013E-4</v>
      </c>
      <c r="AA5" s="4">
        <f t="shared" si="0"/>
        <v>7.2905101417222013E-4</v>
      </c>
      <c r="AB5" s="4">
        <f t="shared" si="0"/>
        <v>7.2905101417222013E-4</v>
      </c>
      <c r="AC5" s="4">
        <f t="shared" si="0"/>
        <v>7.2905101417222013E-4</v>
      </c>
      <c r="AD5" s="4">
        <f t="shared" si="0"/>
        <v>7.2905101417222013E-4</v>
      </c>
      <c r="AE5" s="4">
        <f t="shared" si="0"/>
        <v>7.2905101417222013E-4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8.0334858395033032E-4</v>
      </c>
      <c r="C7" s="4">
        <f t="shared" si="1"/>
        <v>8.0334858395033032E-4</v>
      </c>
      <c r="D7" s="4">
        <f t="shared" si="0"/>
        <v>8.0334858395033032E-4</v>
      </c>
      <c r="E7" s="4">
        <f t="shared" si="0"/>
        <v>8.0334858395033032E-4</v>
      </c>
      <c r="F7" s="4">
        <f t="shared" si="0"/>
        <v>8.0334858395033032E-4</v>
      </c>
      <c r="G7" s="4">
        <f t="shared" si="0"/>
        <v>8.0334858395033032E-4</v>
      </c>
      <c r="H7" s="4">
        <f t="shared" si="0"/>
        <v>8.0334858395033032E-4</v>
      </c>
      <c r="I7" s="4">
        <f t="shared" si="0"/>
        <v>8.0334858395033032E-4</v>
      </c>
      <c r="J7" s="4">
        <f t="shared" si="0"/>
        <v>8.0334858395033032E-4</v>
      </c>
      <c r="K7" s="4">
        <f t="shared" si="0"/>
        <v>8.0334858395033032E-4</v>
      </c>
      <c r="L7" s="4">
        <f t="shared" si="0"/>
        <v>8.0334858395033032E-4</v>
      </c>
      <c r="M7" s="4">
        <f t="shared" si="0"/>
        <v>8.0334858395033032E-4</v>
      </c>
      <c r="N7" s="4">
        <f t="shared" si="0"/>
        <v>8.0334858395033032E-4</v>
      </c>
      <c r="O7" s="4">
        <f t="shared" si="0"/>
        <v>8.0334858395033032E-4</v>
      </c>
      <c r="P7" s="4">
        <f t="shared" si="0"/>
        <v>8.0334858395033032E-4</v>
      </c>
      <c r="Q7" s="4">
        <f t="shared" si="0"/>
        <v>8.0334858395033032E-4</v>
      </c>
      <c r="R7" s="4">
        <f t="shared" si="0"/>
        <v>8.0334858395033032E-4</v>
      </c>
      <c r="S7" s="4">
        <f t="shared" si="0"/>
        <v>8.0334858395033032E-4</v>
      </c>
      <c r="T7" s="4">
        <f t="shared" si="0"/>
        <v>8.0334858395033032E-4</v>
      </c>
      <c r="U7" s="4">
        <f t="shared" si="0"/>
        <v>8.0334858395033032E-4</v>
      </c>
      <c r="V7" s="4">
        <f t="shared" si="0"/>
        <v>8.0334858395033032E-4</v>
      </c>
      <c r="W7" s="4">
        <f t="shared" si="0"/>
        <v>8.0334858395033032E-4</v>
      </c>
      <c r="X7" s="4">
        <f t="shared" si="0"/>
        <v>8.0334858395033032E-4</v>
      </c>
      <c r="Y7" s="4">
        <f t="shared" si="0"/>
        <v>8.0334858395033032E-4</v>
      </c>
      <c r="Z7" s="4">
        <f t="shared" si="0"/>
        <v>8.0334858395033032E-4</v>
      </c>
      <c r="AA7" s="4">
        <f t="shared" si="0"/>
        <v>8.0334858395033032E-4</v>
      </c>
      <c r="AB7" s="4">
        <f t="shared" si="0"/>
        <v>8.0334858395033032E-4</v>
      </c>
      <c r="AC7" s="4">
        <f t="shared" si="0"/>
        <v>8.0334858395033032E-4</v>
      </c>
      <c r="AD7" s="4">
        <f t="shared" si="0"/>
        <v>8.0334858395033032E-4</v>
      </c>
      <c r="AE7" s="4">
        <f t="shared" si="0"/>
        <v>8.0334858395033032E-4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1.1305060590411976E-3</v>
      </c>
      <c r="C2" s="4">
        <f>C$5/(1-'Other Values'!$B$3)</f>
        <v>1.1439112269057679E-3</v>
      </c>
      <c r="D2" s="4">
        <f>D$5/(1-'Other Values'!$B$3)</f>
        <v>1.1573163947703326E-3</v>
      </c>
      <c r="E2" s="4">
        <f>E$5/(1-'Other Values'!$B$3)</f>
        <v>1.1707215626349026E-3</v>
      </c>
      <c r="F2" s="4">
        <f>F$5/(1-'Other Values'!$B$3)</f>
        <v>1.1841267304994729E-3</v>
      </c>
      <c r="G2" s="4">
        <f>G$5/(1-'Other Values'!$B$3)</f>
        <v>1.1975318983640433E-3</v>
      </c>
      <c r="H2" s="4">
        <f>H$5/(1-'Other Values'!$B$3)</f>
        <v>1.2109370662286079E-3</v>
      </c>
      <c r="I2" s="4">
        <f>I$5/(1-'Other Values'!$B$3)</f>
        <v>1.224342234093178E-3</v>
      </c>
      <c r="J2" s="4">
        <f>J$5/(1-'Other Values'!$B$3)</f>
        <v>1.2377474019577483E-3</v>
      </c>
      <c r="K2" s="4">
        <f>K$5/(1-'Other Values'!$B$3)</f>
        <v>1.251152569822313E-3</v>
      </c>
      <c r="L2" s="4">
        <f>L$5/(1-'Other Values'!$B$3)</f>
        <v>1.2645577376868833E-3</v>
      </c>
      <c r="M2" s="4">
        <f>M$5/(1-'Other Values'!$B$3)</f>
        <v>1.2779629055514534E-3</v>
      </c>
      <c r="N2" s="4">
        <f>N$5/(1-'Other Values'!$B$3)</f>
        <v>1.291368073416018E-3</v>
      </c>
      <c r="O2" s="4">
        <f>O$5/(1-'Other Values'!$B$3)</f>
        <v>1.3047732412805883E-3</v>
      </c>
      <c r="P2" s="4">
        <f>P$5/(1-'Other Values'!$B$3)</f>
        <v>1.3181784091451584E-3</v>
      </c>
      <c r="Q2" s="4">
        <f>Q$5/(1-'Other Values'!$B$3)</f>
        <v>1.3315835770097231E-3</v>
      </c>
      <c r="R2" s="4">
        <f>R$5/(1-'Other Values'!$B$3)</f>
        <v>1.3449887448742934E-3</v>
      </c>
      <c r="S2" s="4">
        <f>S$5/(1-'Other Values'!$B$3)</f>
        <v>1.3583939127388637E-3</v>
      </c>
      <c r="T2" s="4">
        <f>T$5/(1-'Other Values'!$B$3)</f>
        <v>1.3717990806034284E-3</v>
      </c>
      <c r="U2" s="4">
        <f>U$5/(1-'Other Values'!$B$3)</f>
        <v>1.3852042484679985E-3</v>
      </c>
      <c r="V2" s="4">
        <f>V$5/(1-'Other Values'!$B$3)</f>
        <v>1.3986094163325688E-3</v>
      </c>
      <c r="W2" s="4">
        <f>W$5/(1-'Other Values'!$B$3)</f>
        <v>1.4120145841971334E-3</v>
      </c>
      <c r="X2" s="4">
        <f>X$5/(1-'Other Values'!$B$3)</f>
        <v>1.4254197520617035E-3</v>
      </c>
      <c r="Y2" s="4">
        <f>Y$5/(1-'Other Values'!$B$3)</f>
        <v>1.4388249199262738E-3</v>
      </c>
      <c r="Z2" s="4">
        <f>Z$5/(1-'Other Values'!$B$3)</f>
        <v>1.4522300877908441E-3</v>
      </c>
      <c r="AA2" s="4">
        <f>AA$5/(1-'Other Values'!$B$3)</f>
        <v>1.4656352556554088E-3</v>
      </c>
      <c r="AB2" s="4">
        <f>AB$5/(1-'Other Values'!$B$3)</f>
        <v>1.4875898362873916E-3</v>
      </c>
      <c r="AC2" s="4">
        <f>AC$5/(1-'Other Values'!$B$3)</f>
        <v>1.5014696801357644E-3</v>
      </c>
      <c r="AD2" s="4">
        <f>AD$5/(1-'Other Values'!$B$3)</f>
        <v>1.5092124646588251E-3</v>
      </c>
      <c r="AE2" s="4">
        <f>AE$5/(1-'Other Values'!$B$3)</f>
        <v>1.5207066120256291E-3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3.5180176772518779E-4</v>
      </c>
      <c r="C5" s="4">
        <f>Extrapolations!R6</f>
        <v>3.5597331701826135E-4</v>
      </c>
      <c r="D5" s="4">
        <f>Extrapolations!S6</f>
        <v>3.6014486631133318E-4</v>
      </c>
      <c r="E5" s="4">
        <f>Extrapolations!T6</f>
        <v>3.6431641560440674E-4</v>
      </c>
      <c r="F5" s="4">
        <f>Extrapolations!U6</f>
        <v>3.684879648974803E-4</v>
      </c>
      <c r="G5" s="4">
        <f>Extrapolations!V6</f>
        <v>3.7265951419055386E-4</v>
      </c>
      <c r="H5" s="4">
        <f>Extrapolations!W6</f>
        <v>3.7683106348362569E-4</v>
      </c>
      <c r="I5" s="4">
        <f>Extrapolations!X6</f>
        <v>3.8100261277669925E-4</v>
      </c>
      <c r="J5" s="4">
        <f>Extrapolations!Y6</f>
        <v>3.8517416206977281E-4</v>
      </c>
      <c r="K5" s="4">
        <f>Extrapolations!Z6</f>
        <v>3.8934571136284464E-4</v>
      </c>
      <c r="L5" s="4">
        <f>Extrapolations!AA6</f>
        <v>3.935172606559182E-4</v>
      </c>
      <c r="M5" s="4">
        <f>Extrapolations!AB6</f>
        <v>3.9768880994899176E-4</v>
      </c>
      <c r="N5" s="4">
        <f>Extrapolations!AC6</f>
        <v>4.0186035924206359E-4</v>
      </c>
      <c r="O5" s="4">
        <f>Extrapolations!AD6</f>
        <v>4.0603190853513715E-4</v>
      </c>
      <c r="P5" s="4">
        <f>Extrapolations!AE6</f>
        <v>4.1020345782821072E-4</v>
      </c>
      <c r="Q5" s="4">
        <f>Extrapolations!AF6</f>
        <v>4.1437500712128254E-4</v>
      </c>
      <c r="R5" s="4">
        <f>Extrapolations!AG6</f>
        <v>4.1854655641435611E-4</v>
      </c>
      <c r="S5" s="4">
        <f>Extrapolations!AH6</f>
        <v>4.2271810570742967E-4</v>
      </c>
      <c r="T5" s="4">
        <f>Extrapolations!AI6</f>
        <v>4.2688965500050149E-4</v>
      </c>
      <c r="U5" s="4">
        <f>Extrapolations!AJ6</f>
        <v>4.3106120429357506E-4</v>
      </c>
      <c r="V5" s="4">
        <f>Extrapolations!AK6</f>
        <v>4.3523275358664862E-4</v>
      </c>
      <c r="W5" s="4">
        <f>Extrapolations!AL6</f>
        <v>4.3940430287972045E-4</v>
      </c>
      <c r="X5" s="4">
        <f>Extrapolations!AM6</f>
        <v>4.4357585217279401E-4</v>
      </c>
      <c r="Y5" s="4">
        <f>Extrapolations!AN6</f>
        <v>4.4774740146586757E-4</v>
      </c>
      <c r="Z5" s="4">
        <f>Extrapolations!AO6</f>
        <v>4.5191895075894113E-4</v>
      </c>
      <c r="AA5" s="4">
        <f>Extrapolations!AP6</f>
        <v>4.5609050005201296E-4</v>
      </c>
      <c r="AB5" s="4">
        <f>Extrapolations!AQ6</f>
        <v>4.6292253798248397E-4</v>
      </c>
      <c r="AC5" s="4">
        <f>Extrapolations!AR6</f>
        <v>4.6724180152163598E-4</v>
      </c>
      <c r="AD5" s="4">
        <f>Extrapolations!AS6</f>
        <v>4.6965127581020212E-4</v>
      </c>
      <c r="AE5" s="4">
        <f>Extrapolations!AT6</f>
        <v>4.7322813533235715E-4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1.0554053031755631E-3</v>
      </c>
      <c r="C8" s="4">
        <f>C$5*Calculations!$B$27</f>
        <v>1.0679199510547838E-3</v>
      </c>
      <c r="D8" s="4">
        <f>D$5*Calculations!$B$27</f>
        <v>1.0804345989339993E-3</v>
      </c>
      <c r="E8" s="4">
        <f>E$5*Calculations!$B$27</f>
        <v>1.09294924681322E-3</v>
      </c>
      <c r="F8" s="4">
        <f>F$5*Calculations!$B$27</f>
        <v>1.1054638946924407E-3</v>
      </c>
      <c r="G8" s="4">
        <f>G$5*Calculations!$B$27</f>
        <v>1.1179785425716614E-3</v>
      </c>
      <c r="H8" s="4">
        <f>H$5*Calculations!$B$27</f>
        <v>1.1304931904508768E-3</v>
      </c>
      <c r="I8" s="4">
        <f>I$5*Calculations!$B$27</f>
        <v>1.1430078383300975E-3</v>
      </c>
      <c r="J8" s="4">
        <f>J$5*Calculations!$B$27</f>
        <v>1.1555224862093182E-3</v>
      </c>
      <c r="K8" s="4">
        <f>K$5*Calculations!$B$27</f>
        <v>1.1680371340885337E-3</v>
      </c>
      <c r="L8" s="4">
        <f>L$5*Calculations!$B$27</f>
        <v>1.1805517819677544E-3</v>
      </c>
      <c r="M8" s="4">
        <f>M$5*Calculations!$B$27</f>
        <v>1.1930664298469751E-3</v>
      </c>
      <c r="N8" s="4">
        <f>N$5*Calculations!$B$27</f>
        <v>1.2055810777261906E-3</v>
      </c>
      <c r="O8" s="4">
        <f>O$5*Calculations!$B$27</f>
        <v>1.2180957256054112E-3</v>
      </c>
      <c r="P8" s="4">
        <f>P$5*Calculations!$B$27</f>
        <v>1.2306103734846319E-3</v>
      </c>
      <c r="Q8" s="4">
        <f>Q$5*Calculations!$B$27</f>
        <v>1.2431250213638474E-3</v>
      </c>
      <c r="R8" s="4">
        <f>R$5*Calculations!$B$27</f>
        <v>1.2556396692430681E-3</v>
      </c>
      <c r="S8" s="4">
        <f>S$5*Calculations!$B$27</f>
        <v>1.2681543171222888E-3</v>
      </c>
      <c r="T8" s="4">
        <f>T$5*Calculations!$B$27</f>
        <v>1.2806689650015043E-3</v>
      </c>
      <c r="U8" s="4">
        <f>U$5*Calculations!$B$27</f>
        <v>1.293183612880725E-3</v>
      </c>
      <c r="V8" s="4">
        <f>V$5*Calculations!$B$27</f>
        <v>1.3056982607599456E-3</v>
      </c>
      <c r="W8" s="4">
        <f>W$5*Calculations!$B$27</f>
        <v>1.3182129086391611E-3</v>
      </c>
      <c r="X8" s="4">
        <f>X$5*Calculations!$B$27</f>
        <v>1.3307275565183818E-3</v>
      </c>
      <c r="Y8" s="4">
        <f>Y$5*Calculations!$B$27</f>
        <v>1.3432422043976025E-3</v>
      </c>
      <c r="Z8" s="4">
        <f>Z$5*Calculations!$B$27</f>
        <v>1.3557568522768232E-3</v>
      </c>
      <c r="AA8" s="4">
        <f>AA$5*Calculations!$B$27</f>
        <v>1.3682715001560387E-3</v>
      </c>
      <c r="AB8" s="4">
        <f>AB$5*Calculations!$B$27</f>
        <v>1.3887676139474516E-3</v>
      </c>
      <c r="AC8" s="4">
        <f>AC$5*Calculations!$B$27</f>
        <v>1.4017254045649078E-3</v>
      </c>
      <c r="AD8" s="4">
        <f>AD$5*Calculations!$B$27</f>
        <v>1.4089538274306061E-3</v>
      </c>
      <c r="AE8" s="4">
        <f>AE$5*Calculations!$B$27</f>
        <v>1.4196844059970713E-3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5.9222394669788123E-4</v>
      </c>
      <c r="C2" s="4">
        <f>C$5/(1-'Other Values'!$B$3)</f>
        <v>5.9222394669788123E-4</v>
      </c>
      <c r="D2" s="4">
        <f>D$5/(1-'Other Values'!$B$3)</f>
        <v>5.9222394669788123E-4</v>
      </c>
      <c r="E2" s="4">
        <f>E$5/(1-'Other Values'!$B$3)</f>
        <v>5.9222394669788123E-4</v>
      </c>
      <c r="F2" s="4">
        <f>F$5/(1-'Other Values'!$B$3)</f>
        <v>5.9222394669788123E-4</v>
      </c>
      <c r="G2" s="4">
        <f>G$5/(1-'Other Values'!$B$3)</f>
        <v>5.9222394669788123E-4</v>
      </c>
      <c r="H2" s="4">
        <f>H$5/(1-'Other Values'!$B$3)</f>
        <v>5.9222394669788123E-4</v>
      </c>
      <c r="I2" s="4">
        <f>I$5/(1-'Other Values'!$B$3)</f>
        <v>5.9222394669788123E-4</v>
      </c>
      <c r="J2" s="4">
        <f>J$5/(1-'Other Values'!$B$3)</f>
        <v>5.9222394669788123E-4</v>
      </c>
      <c r="K2" s="4">
        <f>K$5/(1-'Other Values'!$B$3)</f>
        <v>5.9222394669788123E-4</v>
      </c>
      <c r="L2" s="4">
        <f>L$5/(1-'Other Values'!$B$3)</f>
        <v>5.9222394669788123E-4</v>
      </c>
      <c r="M2" s="4">
        <f>M$5/(1-'Other Values'!$B$3)</f>
        <v>5.9222394669788123E-4</v>
      </c>
      <c r="N2" s="4">
        <f>N$5/(1-'Other Values'!$B$3)</f>
        <v>5.9222394669788123E-4</v>
      </c>
      <c r="O2" s="4">
        <f>O$5/(1-'Other Values'!$B$3)</f>
        <v>5.9222394669788123E-4</v>
      </c>
      <c r="P2" s="4">
        <f>P$5/(1-'Other Values'!$B$3)</f>
        <v>5.9222394669788123E-4</v>
      </c>
      <c r="Q2" s="4">
        <f>Q$5/(1-'Other Values'!$B$3)</f>
        <v>5.9222394669788123E-4</v>
      </c>
      <c r="R2" s="4">
        <f>R$5/(1-'Other Values'!$B$3)</f>
        <v>5.9222394669788123E-4</v>
      </c>
      <c r="S2" s="4">
        <f>S$5/(1-'Other Values'!$B$3)</f>
        <v>5.9222394669788123E-4</v>
      </c>
      <c r="T2" s="4">
        <f>T$5/(1-'Other Values'!$B$3)</f>
        <v>5.9222394669788123E-4</v>
      </c>
      <c r="U2" s="4">
        <f>U$5/(1-'Other Values'!$B$3)</f>
        <v>5.9222394669788123E-4</v>
      </c>
      <c r="V2" s="4">
        <f>V$5/(1-'Other Values'!$B$3)</f>
        <v>5.9222394669788123E-4</v>
      </c>
      <c r="W2" s="4">
        <f>W$5/(1-'Other Values'!$B$3)</f>
        <v>5.9222394669788123E-4</v>
      </c>
      <c r="X2" s="4">
        <f>X$5/(1-'Other Values'!$B$3)</f>
        <v>5.9222394669788123E-4</v>
      </c>
      <c r="Y2" s="4">
        <f>Y$5/(1-'Other Values'!$B$3)</f>
        <v>5.9222394669788123E-4</v>
      </c>
      <c r="Z2" s="4">
        <f>Z$5/(1-'Other Values'!$B$3)</f>
        <v>5.9222394669788123E-4</v>
      </c>
      <c r="AA2" s="4">
        <f>AA$5/(1-'Other Values'!$B$3)</f>
        <v>5.9222394669788123E-4</v>
      </c>
      <c r="AB2" s="4">
        <f>AB$5/(1-'Other Values'!$B$3)</f>
        <v>5.9222394669788123E-4</v>
      </c>
      <c r="AC2" s="4">
        <f>AC$5/(1-'Other Values'!$B$3)</f>
        <v>5.9222394669788123E-4</v>
      </c>
      <c r="AD2" s="4">
        <f>AD$5/(1-'Other Values'!$B$3)</f>
        <v>5.9222394669788123E-4</v>
      </c>
      <c r="AE2" s="4">
        <f>AE$5/(1-'Other Values'!$B$3)</f>
        <v>5.9222394669788123E-4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1.8429395373095432E-4</v>
      </c>
      <c r="C5" s="4">
        <f>Extrapolations!R7</f>
        <v>1.8429395373095432E-4</v>
      </c>
      <c r="D5" s="4">
        <f>Extrapolations!S7</f>
        <v>1.8429395373095432E-4</v>
      </c>
      <c r="E5" s="4">
        <f>Extrapolations!T7</f>
        <v>1.8429395373095432E-4</v>
      </c>
      <c r="F5" s="4">
        <f>Extrapolations!U7</f>
        <v>1.8429395373095432E-4</v>
      </c>
      <c r="G5" s="4">
        <f>Extrapolations!V7</f>
        <v>1.8429395373095432E-4</v>
      </c>
      <c r="H5" s="4">
        <f>Extrapolations!W7</f>
        <v>1.8429395373095432E-4</v>
      </c>
      <c r="I5" s="4">
        <f>Extrapolations!X7</f>
        <v>1.8429395373095432E-4</v>
      </c>
      <c r="J5" s="4">
        <f>Extrapolations!Y7</f>
        <v>1.8429395373095432E-4</v>
      </c>
      <c r="K5" s="4">
        <f>Extrapolations!Z7</f>
        <v>1.8429395373095432E-4</v>
      </c>
      <c r="L5" s="4">
        <f>Extrapolations!AA7</f>
        <v>1.8429395373095432E-4</v>
      </c>
      <c r="M5" s="4">
        <f>Extrapolations!AB7</f>
        <v>1.8429395373095432E-4</v>
      </c>
      <c r="N5" s="4">
        <f>Extrapolations!AC7</f>
        <v>1.8429395373095432E-4</v>
      </c>
      <c r="O5" s="4">
        <f>Extrapolations!AD7</f>
        <v>1.8429395373095432E-4</v>
      </c>
      <c r="P5" s="4">
        <f>Extrapolations!AE7</f>
        <v>1.8429395373095432E-4</v>
      </c>
      <c r="Q5" s="4">
        <f>Extrapolations!AF7</f>
        <v>1.8429395373095432E-4</v>
      </c>
      <c r="R5" s="4">
        <f>Extrapolations!AG7</f>
        <v>1.8429395373095432E-4</v>
      </c>
      <c r="S5" s="4">
        <f>Extrapolations!AH7</f>
        <v>1.8429395373095432E-4</v>
      </c>
      <c r="T5" s="4">
        <f>Extrapolations!AI7</f>
        <v>1.8429395373095432E-4</v>
      </c>
      <c r="U5" s="4">
        <f>Extrapolations!AJ7</f>
        <v>1.8429395373095432E-4</v>
      </c>
      <c r="V5" s="4">
        <f>Extrapolations!AK7</f>
        <v>1.8429395373095432E-4</v>
      </c>
      <c r="W5" s="4">
        <f>Extrapolations!AL7</f>
        <v>1.8429395373095432E-4</v>
      </c>
      <c r="X5" s="4">
        <f>Extrapolations!AM7</f>
        <v>1.8429395373095432E-4</v>
      </c>
      <c r="Y5" s="4">
        <f>Extrapolations!AN7</f>
        <v>1.8429395373095432E-4</v>
      </c>
      <c r="Z5" s="4">
        <f>Extrapolations!AO7</f>
        <v>1.8429395373095432E-4</v>
      </c>
      <c r="AA5" s="4">
        <f>Extrapolations!AP7</f>
        <v>1.8429395373095432E-4</v>
      </c>
      <c r="AB5" s="4">
        <f>Extrapolations!AQ7</f>
        <v>1.8429395373095432E-4</v>
      </c>
      <c r="AC5" s="4">
        <f>Extrapolations!AR7</f>
        <v>1.8429395373095432E-4</v>
      </c>
      <c r="AD5" s="4">
        <f>Extrapolations!AS7</f>
        <v>1.8429395373095432E-4</v>
      </c>
      <c r="AE5" s="4">
        <f>Extrapolations!AT7</f>
        <v>1.8429395373095432E-4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5.5288186119286287E-4</v>
      </c>
      <c r="C8" s="4">
        <f>C$5*Calculations!$B$27</f>
        <v>5.5288186119286287E-4</v>
      </c>
      <c r="D8" s="4">
        <f>D$5*Calculations!$B$27</f>
        <v>5.5288186119286287E-4</v>
      </c>
      <c r="E8" s="4">
        <f>E$5*Calculations!$B$27</f>
        <v>5.5288186119286287E-4</v>
      </c>
      <c r="F8" s="4">
        <f>F$5*Calculations!$B$27</f>
        <v>5.5288186119286287E-4</v>
      </c>
      <c r="G8" s="4">
        <f>G$5*Calculations!$B$27</f>
        <v>5.5288186119286287E-4</v>
      </c>
      <c r="H8" s="4">
        <f>H$5*Calculations!$B$27</f>
        <v>5.5288186119286287E-4</v>
      </c>
      <c r="I8" s="4">
        <f>I$5*Calculations!$B$27</f>
        <v>5.5288186119286287E-4</v>
      </c>
      <c r="J8" s="4">
        <f>J$5*Calculations!$B$27</f>
        <v>5.5288186119286287E-4</v>
      </c>
      <c r="K8" s="4">
        <f>K$5*Calculations!$B$27</f>
        <v>5.5288186119286287E-4</v>
      </c>
      <c r="L8" s="4">
        <f>L$5*Calculations!$B$27</f>
        <v>5.5288186119286287E-4</v>
      </c>
      <c r="M8" s="4">
        <f>M$5*Calculations!$B$27</f>
        <v>5.5288186119286287E-4</v>
      </c>
      <c r="N8" s="4">
        <f>N$5*Calculations!$B$27</f>
        <v>5.5288186119286287E-4</v>
      </c>
      <c r="O8" s="4">
        <f>O$5*Calculations!$B$27</f>
        <v>5.5288186119286287E-4</v>
      </c>
      <c r="P8" s="4">
        <f>P$5*Calculations!$B$27</f>
        <v>5.5288186119286287E-4</v>
      </c>
      <c r="Q8" s="4">
        <f>Q$5*Calculations!$B$27</f>
        <v>5.5288186119286287E-4</v>
      </c>
      <c r="R8" s="4">
        <f>R$5*Calculations!$B$27</f>
        <v>5.5288186119286287E-4</v>
      </c>
      <c r="S8" s="4">
        <f>S$5*Calculations!$B$27</f>
        <v>5.5288186119286287E-4</v>
      </c>
      <c r="T8" s="4">
        <f>T$5*Calculations!$B$27</f>
        <v>5.5288186119286287E-4</v>
      </c>
      <c r="U8" s="4">
        <f>U$5*Calculations!$B$27</f>
        <v>5.5288186119286287E-4</v>
      </c>
      <c r="V8" s="4">
        <f>V$5*Calculations!$B$27</f>
        <v>5.5288186119286287E-4</v>
      </c>
      <c r="W8" s="4">
        <f>W$5*Calculations!$B$27</f>
        <v>5.5288186119286287E-4</v>
      </c>
      <c r="X8" s="4">
        <f>X$5*Calculations!$B$27</f>
        <v>5.5288186119286287E-4</v>
      </c>
      <c r="Y8" s="4">
        <f>Y$5*Calculations!$B$27</f>
        <v>5.5288186119286287E-4</v>
      </c>
      <c r="Z8" s="4">
        <f>Z$5*Calculations!$B$27</f>
        <v>5.5288186119286287E-4</v>
      </c>
      <c r="AA8" s="4">
        <f>AA$5*Calculations!$B$27</f>
        <v>5.5288186119286287E-4</v>
      </c>
      <c r="AB8" s="4">
        <f>AB$5*Calculations!$B$27</f>
        <v>5.5288186119286287E-4</v>
      </c>
      <c r="AC8" s="4">
        <f>AC$5*Calculations!$B$27</f>
        <v>5.5288186119286287E-4</v>
      </c>
      <c r="AD8" s="4">
        <f>AD$5*Calculations!$B$27</f>
        <v>5.5288186119286287E-4</v>
      </c>
      <c r="AE8" s="4">
        <f>AE$5*Calculations!$B$27</f>
        <v>5.5288186119286287E-4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4">
        <f>Extrapolations!G8</f>
        <v>5.0586266198922429E-5</v>
      </c>
      <c r="C5" s="24">
        <f>Extrapolations!H8</f>
        <v>5.0586266198922429E-5</v>
      </c>
      <c r="D5" s="24">
        <f>Extrapolations!I8</f>
        <v>5.0586266198922429E-5</v>
      </c>
      <c r="E5" s="24">
        <f>Extrapolations!J8</f>
        <v>5.0586266198922429E-5</v>
      </c>
      <c r="F5" s="24">
        <f>Extrapolations!K8</f>
        <v>5.0586266198922429E-5</v>
      </c>
      <c r="G5" s="24">
        <f>Extrapolations!L8</f>
        <v>5.0586266198922429E-5</v>
      </c>
      <c r="H5" s="24">
        <f>Extrapolations!M8</f>
        <v>5.0586266198922429E-5</v>
      </c>
      <c r="I5" s="24">
        <f>Extrapolations!N8</f>
        <v>5.0586266198922429E-5</v>
      </c>
      <c r="J5" s="24">
        <f>Extrapolations!O8</f>
        <v>5.0586266198922429E-5</v>
      </c>
      <c r="K5" s="24">
        <f>Extrapolations!P8</f>
        <v>5.0586266198922429E-5</v>
      </c>
      <c r="L5" s="24">
        <f>Extrapolations!Q8</f>
        <v>5.0586266198922429E-5</v>
      </c>
      <c r="M5" s="24">
        <f>Extrapolations!R8</f>
        <v>5.0586266198922429E-5</v>
      </c>
      <c r="N5" s="24">
        <f>Extrapolations!S8</f>
        <v>5.0586266198922429E-5</v>
      </c>
      <c r="O5" s="24">
        <f>Extrapolations!T8</f>
        <v>5.0586266198922429E-5</v>
      </c>
      <c r="P5" s="24">
        <f>Extrapolations!U8</f>
        <v>5.0586266198922429E-5</v>
      </c>
      <c r="Q5" s="24">
        <f>Extrapolations!V8</f>
        <v>5.0586266198922429E-5</v>
      </c>
      <c r="R5" s="24">
        <f>Extrapolations!W8</f>
        <v>5.0586266198922429E-5</v>
      </c>
      <c r="S5" s="24">
        <f>Extrapolations!X8</f>
        <v>5.0586266198922429E-5</v>
      </c>
      <c r="T5" s="24">
        <f>Extrapolations!Y8</f>
        <v>5.0586266198922429E-5</v>
      </c>
      <c r="U5" s="24">
        <f>Extrapolations!Z8</f>
        <v>5.0586266198922429E-5</v>
      </c>
      <c r="V5" s="24">
        <f>Extrapolations!AA8</f>
        <v>5.0586266198922429E-5</v>
      </c>
      <c r="W5" s="24">
        <f>Extrapolations!AB8</f>
        <v>5.0586266198922429E-5</v>
      </c>
      <c r="X5" s="24">
        <f>Extrapolations!AC8</f>
        <v>5.0586266198922429E-5</v>
      </c>
      <c r="Y5" s="24">
        <f>Extrapolations!AD8</f>
        <v>5.0586266198922429E-5</v>
      </c>
      <c r="Z5" s="24">
        <f>Extrapolations!AE8</f>
        <v>5.0586266198922429E-5</v>
      </c>
      <c r="AA5" s="24">
        <f>Extrapolations!AF8</f>
        <v>5.0586266198922429E-5</v>
      </c>
      <c r="AB5" s="24">
        <f>Extrapolations!AG8</f>
        <v>5.0586266198922429E-5</v>
      </c>
      <c r="AC5" s="24">
        <f>Extrapolations!AH8</f>
        <v>5.0586266198922429E-5</v>
      </c>
      <c r="AD5" s="24">
        <f>Extrapolations!AI8</f>
        <v>5.0586266198922429E-5</v>
      </c>
      <c r="AE5" s="24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3.9768826588502888E-5</v>
      </c>
      <c r="C2" s="4">
        <f>B2</f>
        <v>3.9768826588502888E-5</v>
      </c>
      <c r="D2" s="4">
        <f t="shared" ref="D2:AE8" si="0">C2</f>
        <v>3.9768826588502888E-5</v>
      </c>
      <c r="E2" s="4">
        <f t="shared" si="0"/>
        <v>3.9768826588502888E-5</v>
      </c>
      <c r="F2" s="4">
        <f t="shared" si="0"/>
        <v>3.9768826588502888E-5</v>
      </c>
      <c r="G2" s="4">
        <f t="shared" si="0"/>
        <v>3.9768826588502888E-5</v>
      </c>
      <c r="H2" s="4">
        <f t="shared" si="0"/>
        <v>3.9768826588502888E-5</v>
      </c>
      <c r="I2" s="4">
        <f t="shared" si="0"/>
        <v>3.9768826588502888E-5</v>
      </c>
      <c r="J2" s="4">
        <f t="shared" si="0"/>
        <v>3.9768826588502888E-5</v>
      </c>
      <c r="K2" s="4">
        <f t="shared" si="0"/>
        <v>3.9768826588502888E-5</v>
      </c>
      <c r="L2" s="4">
        <f t="shared" si="0"/>
        <v>3.9768826588502888E-5</v>
      </c>
      <c r="M2" s="4">
        <f t="shared" si="0"/>
        <v>3.9768826588502888E-5</v>
      </c>
      <c r="N2" s="4">
        <f t="shared" si="0"/>
        <v>3.9768826588502888E-5</v>
      </c>
      <c r="O2" s="4">
        <f t="shared" si="0"/>
        <v>3.9768826588502888E-5</v>
      </c>
      <c r="P2" s="4">
        <f t="shared" si="0"/>
        <v>3.9768826588502888E-5</v>
      </c>
      <c r="Q2" s="4">
        <f t="shared" si="0"/>
        <v>3.9768826588502888E-5</v>
      </c>
      <c r="R2" s="4">
        <f t="shared" si="0"/>
        <v>3.9768826588502888E-5</v>
      </c>
      <c r="S2" s="4">
        <f t="shared" si="0"/>
        <v>3.9768826588502888E-5</v>
      </c>
      <c r="T2" s="4">
        <f t="shared" si="0"/>
        <v>3.9768826588502888E-5</v>
      </c>
      <c r="U2" s="4">
        <f t="shared" si="0"/>
        <v>3.9768826588502888E-5</v>
      </c>
      <c r="V2" s="4">
        <f t="shared" si="0"/>
        <v>3.9768826588502888E-5</v>
      </c>
      <c r="W2" s="4">
        <f t="shared" si="0"/>
        <v>3.9768826588502888E-5</v>
      </c>
      <c r="X2" s="4">
        <f t="shared" si="0"/>
        <v>3.9768826588502888E-5</v>
      </c>
      <c r="Y2" s="4">
        <f t="shared" si="0"/>
        <v>3.9768826588502888E-5</v>
      </c>
      <c r="Z2" s="4">
        <f t="shared" si="0"/>
        <v>3.9768826588502888E-5</v>
      </c>
      <c r="AA2" s="4">
        <f t="shared" si="0"/>
        <v>3.9768826588502888E-5</v>
      </c>
      <c r="AB2" s="4">
        <f t="shared" si="0"/>
        <v>3.9768826588502888E-5</v>
      </c>
      <c r="AC2" s="4">
        <f t="shared" si="0"/>
        <v>3.9768826588502888E-5</v>
      </c>
      <c r="AD2" s="4">
        <f t="shared" si="0"/>
        <v>3.9768826588502888E-5</v>
      </c>
      <c r="AE2" s="4">
        <f t="shared" si="0"/>
        <v>3.9768826588502888E-5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1.2375644276775558E-5</v>
      </c>
      <c r="C4" s="4">
        <f t="shared" si="1"/>
        <v>1.2375644276775558E-5</v>
      </c>
      <c r="D4" s="4">
        <f t="shared" si="0"/>
        <v>1.2375644276775558E-5</v>
      </c>
      <c r="E4" s="4">
        <f t="shared" si="0"/>
        <v>1.2375644276775558E-5</v>
      </c>
      <c r="F4" s="4">
        <f t="shared" si="0"/>
        <v>1.2375644276775558E-5</v>
      </c>
      <c r="G4" s="4">
        <f t="shared" si="0"/>
        <v>1.2375644276775558E-5</v>
      </c>
      <c r="H4" s="4">
        <f t="shared" si="0"/>
        <v>1.2375644276775558E-5</v>
      </c>
      <c r="I4" s="4">
        <f t="shared" si="0"/>
        <v>1.2375644276775558E-5</v>
      </c>
      <c r="J4" s="4">
        <f t="shared" si="0"/>
        <v>1.2375644276775558E-5</v>
      </c>
      <c r="K4" s="4">
        <f t="shared" si="0"/>
        <v>1.2375644276775558E-5</v>
      </c>
      <c r="L4" s="4">
        <f t="shared" si="0"/>
        <v>1.2375644276775558E-5</v>
      </c>
      <c r="M4" s="4">
        <f t="shared" si="0"/>
        <v>1.2375644276775558E-5</v>
      </c>
      <c r="N4" s="4">
        <f t="shared" si="0"/>
        <v>1.2375644276775558E-5</v>
      </c>
      <c r="O4" s="4">
        <f t="shared" si="0"/>
        <v>1.2375644276775558E-5</v>
      </c>
      <c r="P4" s="4">
        <f t="shared" si="0"/>
        <v>1.2375644276775558E-5</v>
      </c>
      <c r="Q4" s="4">
        <f t="shared" si="0"/>
        <v>1.2375644276775558E-5</v>
      </c>
      <c r="R4" s="4">
        <f t="shared" si="0"/>
        <v>1.2375644276775558E-5</v>
      </c>
      <c r="S4" s="4">
        <f t="shared" si="0"/>
        <v>1.2375644276775558E-5</v>
      </c>
      <c r="T4" s="4">
        <f t="shared" si="0"/>
        <v>1.2375644276775558E-5</v>
      </c>
      <c r="U4" s="4">
        <f t="shared" si="0"/>
        <v>1.2375644276775558E-5</v>
      </c>
      <c r="V4" s="4">
        <f t="shared" si="0"/>
        <v>1.2375644276775558E-5</v>
      </c>
      <c r="W4" s="4">
        <f t="shared" si="0"/>
        <v>1.2375644276775558E-5</v>
      </c>
      <c r="X4" s="4">
        <f t="shared" si="0"/>
        <v>1.2375644276775558E-5</v>
      </c>
      <c r="Y4" s="4">
        <f t="shared" si="0"/>
        <v>1.2375644276775558E-5</v>
      </c>
      <c r="Z4" s="4">
        <f t="shared" si="0"/>
        <v>1.2375644276775558E-5</v>
      </c>
      <c r="AA4" s="4">
        <f t="shared" si="0"/>
        <v>1.2375644276775558E-5</v>
      </c>
      <c r="AB4" s="4">
        <f t="shared" si="0"/>
        <v>1.2375644276775558E-5</v>
      </c>
      <c r="AC4" s="4">
        <f t="shared" si="0"/>
        <v>1.2375644276775558E-5</v>
      </c>
      <c r="AD4" s="4">
        <f t="shared" si="0"/>
        <v>1.2375644276775558E-5</v>
      </c>
      <c r="AE4" s="4">
        <f t="shared" si="0"/>
        <v>1.2375644276775558E-5</v>
      </c>
    </row>
    <row r="5" spans="1:34">
      <c r="A5" t="s">
        <v>5</v>
      </c>
      <c r="B5" s="4">
        <v>1.2375646625067684E-5</v>
      </c>
      <c r="C5" s="4">
        <f t="shared" si="1"/>
        <v>1.2375646625067684E-5</v>
      </c>
      <c r="D5" s="4">
        <f t="shared" si="0"/>
        <v>1.2375646625067684E-5</v>
      </c>
      <c r="E5" s="4">
        <f t="shared" si="0"/>
        <v>1.2375646625067684E-5</v>
      </c>
      <c r="F5" s="4">
        <f t="shared" si="0"/>
        <v>1.2375646625067684E-5</v>
      </c>
      <c r="G5" s="4">
        <f t="shared" si="0"/>
        <v>1.2375646625067684E-5</v>
      </c>
      <c r="H5" s="4">
        <f t="shared" si="0"/>
        <v>1.2375646625067684E-5</v>
      </c>
      <c r="I5" s="4">
        <f t="shared" si="0"/>
        <v>1.2375646625067684E-5</v>
      </c>
      <c r="J5" s="4">
        <f t="shared" si="0"/>
        <v>1.2375646625067684E-5</v>
      </c>
      <c r="K5" s="4">
        <f t="shared" si="0"/>
        <v>1.2375646625067684E-5</v>
      </c>
      <c r="L5" s="4">
        <f t="shared" si="0"/>
        <v>1.2375646625067684E-5</v>
      </c>
      <c r="M5" s="4">
        <f t="shared" si="0"/>
        <v>1.2375646625067684E-5</v>
      </c>
      <c r="N5" s="4">
        <f t="shared" si="0"/>
        <v>1.2375646625067684E-5</v>
      </c>
      <c r="O5" s="4">
        <f t="shared" si="0"/>
        <v>1.2375646625067684E-5</v>
      </c>
      <c r="P5" s="4">
        <f t="shared" si="0"/>
        <v>1.2375646625067684E-5</v>
      </c>
      <c r="Q5" s="4">
        <f t="shared" si="0"/>
        <v>1.2375646625067684E-5</v>
      </c>
      <c r="R5" s="4">
        <f t="shared" si="0"/>
        <v>1.2375646625067684E-5</v>
      </c>
      <c r="S5" s="4">
        <f t="shared" si="0"/>
        <v>1.2375646625067684E-5</v>
      </c>
      <c r="T5" s="4">
        <f t="shared" si="0"/>
        <v>1.2375646625067684E-5</v>
      </c>
      <c r="U5" s="4">
        <f t="shared" si="0"/>
        <v>1.2375646625067684E-5</v>
      </c>
      <c r="V5" s="4">
        <f t="shared" si="0"/>
        <v>1.2375646625067684E-5</v>
      </c>
      <c r="W5" s="4">
        <f t="shared" si="0"/>
        <v>1.2375646625067684E-5</v>
      </c>
      <c r="X5" s="4">
        <f t="shared" si="0"/>
        <v>1.2375646625067684E-5</v>
      </c>
      <c r="Y5" s="4">
        <f t="shared" si="0"/>
        <v>1.2375646625067684E-5</v>
      </c>
      <c r="Z5" s="4">
        <f t="shared" si="0"/>
        <v>1.2375646625067684E-5</v>
      </c>
      <c r="AA5" s="4">
        <f t="shared" si="0"/>
        <v>1.2375646625067684E-5</v>
      </c>
      <c r="AB5" s="4">
        <f t="shared" si="0"/>
        <v>1.2375646625067684E-5</v>
      </c>
      <c r="AC5" s="4">
        <f t="shared" si="0"/>
        <v>1.2375646625067684E-5</v>
      </c>
      <c r="AD5" s="4">
        <f t="shared" si="0"/>
        <v>1.2375646625067684E-5</v>
      </c>
      <c r="AE5" s="4">
        <f t="shared" si="0"/>
        <v>1.2375646625067684E-5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3.7126939875203046E-5</v>
      </c>
      <c r="C8" s="4">
        <f t="shared" si="1"/>
        <v>3.7126939875203046E-5</v>
      </c>
      <c r="D8" s="4">
        <f t="shared" si="0"/>
        <v>3.7126939875203046E-5</v>
      </c>
      <c r="E8" s="4">
        <f t="shared" si="0"/>
        <v>3.7126939875203046E-5</v>
      </c>
      <c r="F8" s="4">
        <f t="shared" si="0"/>
        <v>3.7126939875203046E-5</v>
      </c>
      <c r="G8" s="4">
        <f t="shared" si="0"/>
        <v>3.7126939875203046E-5</v>
      </c>
      <c r="H8" s="4">
        <f t="shared" si="0"/>
        <v>3.7126939875203046E-5</v>
      </c>
      <c r="I8" s="4">
        <f t="shared" si="0"/>
        <v>3.7126939875203046E-5</v>
      </c>
      <c r="J8" s="4">
        <f t="shared" si="0"/>
        <v>3.7126939875203046E-5</v>
      </c>
      <c r="K8" s="4">
        <f t="shared" si="0"/>
        <v>3.7126939875203046E-5</v>
      </c>
      <c r="L8" s="4">
        <f t="shared" si="0"/>
        <v>3.7126939875203046E-5</v>
      </c>
      <c r="M8" s="4">
        <f t="shared" si="0"/>
        <v>3.7126939875203046E-5</v>
      </c>
      <c r="N8" s="4">
        <f t="shared" si="0"/>
        <v>3.7126939875203046E-5</v>
      </c>
      <c r="O8" s="4">
        <f t="shared" si="0"/>
        <v>3.7126939875203046E-5</v>
      </c>
      <c r="P8" s="4">
        <f t="shared" si="0"/>
        <v>3.7126939875203046E-5</v>
      </c>
      <c r="Q8" s="4">
        <f t="shared" si="0"/>
        <v>3.7126939875203046E-5</v>
      </c>
      <c r="R8" s="4">
        <f t="shared" si="0"/>
        <v>3.7126939875203046E-5</v>
      </c>
      <c r="S8" s="4">
        <f t="shared" si="0"/>
        <v>3.7126939875203046E-5</v>
      </c>
      <c r="T8" s="4">
        <f t="shared" si="0"/>
        <v>3.7126939875203046E-5</v>
      </c>
      <c r="U8" s="4">
        <f t="shared" si="0"/>
        <v>3.7126939875203046E-5</v>
      </c>
      <c r="V8" s="4">
        <f t="shared" si="0"/>
        <v>3.7126939875203046E-5</v>
      </c>
      <c r="W8" s="4">
        <f t="shared" si="0"/>
        <v>3.7126939875203046E-5</v>
      </c>
      <c r="X8" s="4">
        <f t="shared" si="0"/>
        <v>3.7126939875203046E-5</v>
      </c>
      <c r="Y8" s="4">
        <f t="shared" si="0"/>
        <v>3.7126939875203046E-5</v>
      </c>
      <c r="Z8" s="4">
        <f t="shared" si="0"/>
        <v>3.7126939875203046E-5</v>
      </c>
      <c r="AA8" s="4">
        <f t="shared" si="0"/>
        <v>3.7126939875203046E-5</v>
      </c>
      <c r="AB8" s="4">
        <f t="shared" si="0"/>
        <v>3.7126939875203046E-5</v>
      </c>
      <c r="AC8" s="4">
        <f t="shared" si="0"/>
        <v>3.7126939875203046E-5</v>
      </c>
      <c r="AD8" s="4">
        <f t="shared" si="0"/>
        <v>3.7126939875203046E-5</v>
      </c>
      <c r="AE8" s="4">
        <f t="shared" si="0"/>
        <v>3.7126939875203046E-5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2.0727097350644572E-2</v>
      </c>
      <c r="C2" s="4">
        <f>B2</f>
        <v>2.0727097350644572E-2</v>
      </c>
      <c r="D2" s="4">
        <f t="shared" ref="D2:AE8" si="0">C2</f>
        <v>2.0727097350644572E-2</v>
      </c>
      <c r="E2" s="4">
        <f t="shared" si="0"/>
        <v>2.0727097350644572E-2</v>
      </c>
      <c r="F2" s="4">
        <f t="shared" si="0"/>
        <v>2.0727097350644572E-2</v>
      </c>
      <c r="G2" s="4">
        <f t="shared" si="0"/>
        <v>2.0727097350644572E-2</v>
      </c>
      <c r="H2" s="4">
        <f t="shared" si="0"/>
        <v>2.0727097350644572E-2</v>
      </c>
      <c r="I2" s="4">
        <f t="shared" si="0"/>
        <v>2.0727097350644572E-2</v>
      </c>
      <c r="J2" s="4">
        <f t="shared" si="0"/>
        <v>2.0727097350644572E-2</v>
      </c>
      <c r="K2" s="4">
        <f t="shared" si="0"/>
        <v>2.0727097350644572E-2</v>
      </c>
      <c r="L2" s="4">
        <f t="shared" si="0"/>
        <v>2.0727097350644572E-2</v>
      </c>
      <c r="M2" s="4">
        <f t="shared" si="0"/>
        <v>2.0727097350644572E-2</v>
      </c>
      <c r="N2" s="4">
        <f t="shared" si="0"/>
        <v>2.0727097350644572E-2</v>
      </c>
      <c r="O2" s="4">
        <f t="shared" si="0"/>
        <v>2.0727097350644572E-2</v>
      </c>
      <c r="P2" s="4">
        <f t="shared" si="0"/>
        <v>2.0727097350644572E-2</v>
      </c>
      <c r="Q2" s="4">
        <f t="shared" si="0"/>
        <v>2.0727097350644572E-2</v>
      </c>
      <c r="R2" s="4">
        <f t="shared" si="0"/>
        <v>2.0727097350644572E-2</v>
      </c>
      <c r="S2" s="4">
        <f t="shared" si="0"/>
        <v>2.0727097350644572E-2</v>
      </c>
      <c r="T2" s="4">
        <f t="shared" si="0"/>
        <v>2.0727097350644572E-2</v>
      </c>
      <c r="U2" s="4">
        <f t="shared" si="0"/>
        <v>2.0727097350644572E-2</v>
      </c>
      <c r="V2" s="4">
        <f t="shared" si="0"/>
        <v>2.0727097350644572E-2</v>
      </c>
      <c r="W2" s="4">
        <f t="shared" si="0"/>
        <v>2.0727097350644572E-2</v>
      </c>
      <c r="X2" s="4">
        <f t="shared" si="0"/>
        <v>2.0727097350644572E-2</v>
      </c>
      <c r="Y2" s="4">
        <f t="shared" si="0"/>
        <v>2.0727097350644572E-2</v>
      </c>
      <c r="Z2" s="4">
        <f t="shared" si="0"/>
        <v>2.0727097350644572E-2</v>
      </c>
      <c r="AA2" s="4">
        <f t="shared" si="0"/>
        <v>2.0727097350644572E-2</v>
      </c>
      <c r="AB2" s="4">
        <f t="shared" si="0"/>
        <v>2.0727097350644572E-2</v>
      </c>
      <c r="AC2" s="4">
        <f t="shared" si="0"/>
        <v>2.0727097350644572E-2</v>
      </c>
      <c r="AD2" s="4">
        <f t="shared" si="0"/>
        <v>2.0727097350644572E-2</v>
      </c>
      <c r="AE2" s="4">
        <f t="shared" si="0"/>
        <v>2.0727097350644572E-2</v>
      </c>
      <c r="AG2" s="4"/>
      <c r="AH2" s="4"/>
    </row>
    <row r="3" spans="1:34">
      <c r="A3" t="s">
        <v>3</v>
      </c>
      <c r="B3" s="4">
        <v>6.5093363580536684E-3</v>
      </c>
      <c r="C3" s="4">
        <f t="shared" ref="C3:C8" si="1">B3</f>
        <v>6.5093363580536684E-3</v>
      </c>
      <c r="D3" s="4">
        <f t="shared" ref="D3:Q3" si="2">C3</f>
        <v>6.5093363580536684E-3</v>
      </c>
      <c r="E3" s="4">
        <f t="shared" si="2"/>
        <v>6.5093363580536684E-3</v>
      </c>
      <c r="F3" s="4">
        <f t="shared" si="2"/>
        <v>6.5093363580536684E-3</v>
      </c>
      <c r="G3" s="4">
        <f t="shared" si="2"/>
        <v>6.5093363580536684E-3</v>
      </c>
      <c r="H3" s="4">
        <f t="shared" si="2"/>
        <v>6.5093363580536684E-3</v>
      </c>
      <c r="I3" s="4">
        <f t="shared" si="2"/>
        <v>6.5093363580536684E-3</v>
      </c>
      <c r="J3" s="4">
        <f t="shared" si="2"/>
        <v>6.5093363580536684E-3</v>
      </c>
      <c r="K3" s="4">
        <f t="shared" si="2"/>
        <v>6.5093363580536684E-3</v>
      </c>
      <c r="L3" s="4">
        <f t="shared" si="2"/>
        <v>6.5093363580536684E-3</v>
      </c>
      <c r="M3" s="4">
        <f t="shared" si="2"/>
        <v>6.5093363580536684E-3</v>
      </c>
      <c r="N3" s="4">
        <f t="shared" si="2"/>
        <v>6.5093363580536684E-3</v>
      </c>
      <c r="O3" s="4">
        <f t="shared" si="2"/>
        <v>6.5093363580536684E-3</v>
      </c>
      <c r="P3" s="4">
        <f t="shared" si="2"/>
        <v>6.5093363580536684E-3</v>
      </c>
      <c r="Q3" s="4">
        <f t="shared" si="2"/>
        <v>6.5093363580536684E-3</v>
      </c>
      <c r="R3" s="4">
        <f t="shared" si="0"/>
        <v>6.5093363580536684E-3</v>
      </c>
      <c r="S3" s="4">
        <f t="shared" si="0"/>
        <v>6.5093363580536684E-3</v>
      </c>
      <c r="T3" s="4">
        <f t="shared" si="0"/>
        <v>6.5093363580536684E-3</v>
      </c>
      <c r="U3" s="4">
        <f t="shared" si="0"/>
        <v>6.5093363580536684E-3</v>
      </c>
      <c r="V3" s="4">
        <f t="shared" si="0"/>
        <v>6.5093363580536684E-3</v>
      </c>
      <c r="W3" s="4">
        <f t="shared" si="0"/>
        <v>6.5093363580536684E-3</v>
      </c>
      <c r="X3" s="4">
        <f t="shared" si="0"/>
        <v>6.5093363580536684E-3</v>
      </c>
      <c r="Y3" s="4">
        <f t="shared" si="0"/>
        <v>6.5093363580536684E-3</v>
      </c>
      <c r="Z3" s="4">
        <f t="shared" si="0"/>
        <v>6.5093363580536684E-3</v>
      </c>
      <c r="AA3" s="4">
        <f t="shared" si="0"/>
        <v>6.5093363580536684E-3</v>
      </c>
      <c r="AB3" s="4">
        <f t="shared" si="0"/>
        <v>6.5093363580536684E-3</v>
      </c>
      <c r="AC3" s="4">
        <f t="shared" si="0"/>
        <v>6.5093363580536684E-3</v>
      </c>
      <c r="AD3" s="4">
        <f t="shared" si="0"/>
        <v>6.5093363580536684E-3</v>
      </c>
      <c r="AE3" s="4">
        <f t="shared" si="0"/>
        <v>6.5093363580536684E-3</v>
      </c>
      <c r="AG3" s="4"/>
      <c r="AH3" s="4"/>
    </row>
    <row r="4" spans="1:34">
      <c r="A4" t="s">
        <v>4</v>
      </c>
      <c r="B4" s="4">
        <v>6.5093363580536684E-3</v>
      </c>
      <c r="C4" s="4">
        <f t="shared" si="1"/>
        <v>6.5093363580536684E-3</v>
      </c>
      <c r="D4" s="4">
        <f t="shared" si="0"/>
        <v>6.5093363580536684E-3</v>
      </c>
      <c r="E4" s="4">
        <f t="shared" si="0"/>
        <v>6.5093363580536684E-3</v>
      </c>
      <c r="F4" s="4">
        <f t="shared" si="0"/>
        <v>6.5093363580536684E-3</v>
      </c>
      <c r="G4" s="4">
        <f t="shared" si="0"/>
        <v>6.5093363580536684E-3</v>
      </c>
      <c r="H4" s="4">
        <f t="shared" si="0"/>
        <v>6.5093363580536684E-3</v>
      </c>
      <c r="I4" s="4">
        <f t="shared" si="0"/>
        <v>6.5093363580536684E-3</v>
      </c>
      <c r="J4" s="4">
        <f t="shared" si="0"/>
        <v>6.5093363580536684E-3</v>
      </c>
      <c r="K4" s="4">
        <f t="shared" si="0"/>
        <v>6.5093363580536684E-3</v>
      </c>
      <c r="L4" s="4">
        <f t="shared" si="0"/>
        <v>6.5093363580536684E-3</v>
      </c>
      <c r="M4" s="4">
        <f t="shared" si="0"/>
        <v>6.5093363580536684E-3</v>
      </c>
      <c r="N4" s="4">
        <f t="shared" si="0"/>
        <v>6.5093363580536684E-3</v>
      </c>
      <c r="O4" s="4">
        <f t="shared" si="0"/>
        <v>6.5093363580536684E-3</v>
      </c>
      <c r="P4" s="4">
        <f t="shared" si="0"/>
        <v>6.5093363580536684E-3</v>
      </c>
      <c r="Q4" s="4">
        <f t="shared" si="0"/>
        <v>6.5093363580536684E-3</v>
      </c>
      <c r="R4" s="4">
        <f t="shared" si="0"/>
        <v>6.5093363580536684E-3</v>
      </c>
      <c r="S4" s="4">
        <f t="shared" si="0"/>
        <v>6.5093363580536684E-3</v>
      </c>
      <c r="T4" s="4">
        <f t="shared" si="0"/>
        <v>6.5093363580536684E-3</v>
      </c>
      <c r="U4" s="4">
        <f t="shared" si="0"/>
        <v>6.5093363580536684E-3</v>
      </c>
      <c r="V4" s="4">
        <f t="shared" si="0"/>
        <v>6.5093363580536684E-3</v>
      </c>
      <c r="W4" s="4">
        <f t="shared" si="0"/>
        <v>6.5093363580536684E-3</v>
      </c>
      <c r="X4" s="4">
        <f t="shared" si="0"/>
        <v>6.5093363580536684E-3</v>
      </c>
      <c r="Y4" s="4">
        <f t="shared" si="0"/>
        <v>6.5093363580536684E-3</v>
      </c>
      <c r="Z4" s="4">
        <f t="shared" si="0"/>
        <v>6.5093363580536684E-3</v>
      </c>
      <c r="AA4" s="4">
        <f t="shared" si="0"/>
        <v>6.5093363580536684E-3</v>
      </c>
      <c r="AB4" s="4">
        <f t="shared" si="0"/>
        <v>6.5093363580536684E-3</v>
      </c>
      <c r="AC4" s="4">
        <f t="shared" si="0"/>
        <v>6.5093363580536684E-3</v>
      </c>
      <c r="AD4" s="4">
        <f t="shared" si="0"/>
        <v>6.5093363580536684E-3</v>
      </c>
      <c r="AE4" s="4">
        <f t="shared" si="0"/>
        <v>6.5093363580536684E-3</v>
      </c>
      <c r="AG4" s="4"/>
      <c r="AH4" s="4"/>
    </row>
    <row r="5" spans="1:34">
      <c r="A5" t="s">
        <v>5</v>
      </c>
      <c r="B5" s="4">
        <v>6.5093363580536684E-3</v>
      </c>
      <c r="C5" s="4">
        <f t="shared" si="1"/>
        <v>6.5093363580536684E-3</v>
      </c>
      <c r="D5" s="4">
        <f t="shared" si="0"/>
        <v>6.5093363580536684E-3</v>
      </c>
      <c r="E5" s="4">
        <f t="shared" si="0"/>
        <v>6.5093363580536684E-3</v>
      </c>
      <c r="F5" s="4">
        <f t="shared" si="0"/>
        <v>6.5093363580536684E-3</v>
      </c>
      <c r="G5" s="4">
        <f t="shared" si="0"/>
        <v>6.5093363580536684E-3</v>
      </c>
      <c r="H5" s="4">
        <f t="shared" si="0"/>
        <v>6.5093363580536684E-3</v>
      </c>
      <c r="I5" s="4">
        <f t="shared" si="0"/>
        <v>6.5093363580536684E-3</v>
      </c>
      <c r="J5" s="4">
        <f t="shared" si="0"/>
        <v>6.5093363580536684E-3</v>
      </c>
      <c r="K5" s="4">
        <f t="shared" si="0"/>
        <v>6.5093363580536684E-3</v>
      </c>
      <c r="L5" s="4">
        <f t="shared" si="0"/>
        <v>6.5093363580536684E-3</v>
      </c>
      <c r="M5" s="4">
        <f t="shared" si="0"/>
        <v>6.5093363580536684E-3</v>
      </c>
      <c r="N5" s="4">
        <f t="shared" si="0"/>
        <v>6.5093363580536684E-3</v>
      </c>
      <c r="O5" s="4">
        <f t="shared" si="0"/>
        <v>6.5093363580536684E-3</v>
      </c>
      <c r="P5" s="4">
        <f t="shared" si="0"/>
        <v>6.5093363580536684E-3</v>
      </c>
      <c r="Q5" s="4">
        <f t="shared" si="0"/>
        <v>6.5093363580536684E-3</v>
      </c>
      <c r="R5" s="4">
        <f t="shared" si="0"/>
        <v>6.5093363580536684E-3</v>
      </c>
      <c r="S5" s="4">
        <f t="shared" si="0"/>
        <v>6.5093363580536684E-3</v>
      </c>
      <c r="T5" s="4">
        <f t="shared" si="0"/>
        <v>6.5093363580536684E-3</v>
      </c>
      <c r="U5" s="4">
        <f t="shared" si="0"/>
        <v>6.5093363580536684E-3</v>
      </c>
      <c r="V5" s="4">
        <f t="shared" si="0"/>
        <v>6.5093363580536684E-3</v>
      </c>
      <c r="W5" s="4">
        <f t="shared" si="0"/>
        <v>6.5093363580536684E-3</v>
      </c>
      <c r="X5" s="4">
        <f t="shared" si="0"/>
        <v>6.5093363580536684E-3</v>
      </c>
      <c r="Y5" s="4">
        <f t="shared" si="0"/>
        <v>6.5093363580536684E-3</v>
      </c>
      <c r="Z5" s="4">
        <f t="shared" si="0"/>
        <v>6.5093363580536684E-3</v>
      </c>
      <c r="AA5" s="4">
        <f t="shared" si="0"/>
        <v>6.5093363580536684E-3</v>
      </c>
      <c r="AB5" s="4">
        <f t="shared" si="0"/>
        <v>6.5093363580536684E-3</v>
      </c>
      <c r="AC5" s="4">
        <f t="shared" si="0"/>
        <v>6.5093363580536684E-3</v>
      </c>
      <c r="AD5" s="4">
        <f t="shared" si="0"/>
        <v>6.5093363580536684E-3</v>
      </c>
      <c r="AE5" s="4">
        <f t="shared" si="0"/>
        <v>6.5093363580536684E-3</v>
      </c>
      <c r="AG5" s="4"/>
      <c r="AH5" s="4"/>
    </row>
    <row r="6" spans="1:34">
      <c r="A6" t="s">
        <v>6</v>
      </c>
      <c r="B6" s="4">
        <v>1.4329104903978667E-2</v>
      </c>
      <c r="C6" s="4">
        <f t="shared" si="1"/>
        <v>1.4329104903978667E-2</v>
      </c>
      <c r="D6" s="4">
        <f t="shared" si="0"/>
        <v>1.4329104903978667E-2</v>
      </c>
      <c r="E6" s="4">
        <f t="shared" si="0"/>
        <v>1.4329104903978667E-2</v>
      </c>
      <c r="F6" s="4">
        <f t="shared" si="0"/>
        <v>1.4329104903978667E-2</v>
      </c>
      <c r="G6" s="4">
        <f t="shared" si="0"/>
        <v>1.4329104903978667E-2</v>
      </c>
      <c r="H6" s="4">
        <f t="shared" si="0"/>
        <v>1.4329104903978667E-2</v>
      </c>
      <c r="I6" s="4">
        <f t="shared" si="0"/>
        <v>1.4329104903978667E-2</v>
      </c>
      <c r="J6" s="4">
        <f t="shared" si="0"/>
        <v>1.4329104903978667E-2</v>
      </c>
      <c r="K6" s="4">
        <f t="shared" si="0"/>
        <v>1.4329104903978667E-2</v>
      </c>
      <c r="L6" s="4">
        <f t="shared" si="0"/>
        <v>1.4329104903978667E-2</v>
      </c>
      <c r="M6" s="4">
        <f t="shared" si="0"/>
        <v>1.4329104903978667E-2</v>
      </c>
      <c r="N6" s="4">
        <f t="shared" si="0"/>
        <v>1.4329104903978667E-2</v>
      </c>
      <c r="O6" s="4">
        <f t="shared" si="0"/>
        <v>1.4329104903978667E-2</v>
      </c>
      <c r="P6" s="4">
        <f t="shared" si="0"/>
        <v>1.4329104903978667E-2</v>
      </c>
      <c r="Q6" s="4">
        <f t="shared" si="0"/>
        <v>1.4329104903978667E-2</v>
      </c>
      <c r="R6" s="4">
        <f t="shared" si="0"/>
        <v>1.4329104903978667E-2</v>
      </c>
      <c r="S6" s="4">
        <f t="shared" si="0"/>
        <v>1.4329104903978667E-2</v>
      </c>
      <c r="T6" s="4">
        <f t="shared" si="0"/>
        <v>1.4329104903978667E-2</v>
      </c>
      <c r="U6" s="4">
        <f t="shared" si="0"/>
        <v>1.4329104903978667E-2</v>
      </c>
      <c r="V6" s="4">
        <f t="shared" si="0"/>
        <v>1.4329104903978667E-2</v>
      </c>
      <c r="W6" s="4">
        <f t="shared" si="0"/>
        <v>1.4329104903978667E-2</v>
      </c>
      <c r="X6" s="4">
        <f t="shared" si="0"/>
        <v>1.4329104903978667E-2</v>
      </c>
      <c r="Y6" s="4">
        <f t="shared" si="0"/>
        <v>1.4329104903978667E-2</v>
      </c>
      <c r="Z6" s="4">
        <f t="shared" si="0"/>
        <v>1.4329104903978667E-2</v>
      </c>
      <c r="AA6" s="4">
        <f t="shared" si="0"/>
        <v>1.4329104903978667E-2</v>
      </c>
      <c r="AB6" s="4">
        <f t="shared" si="0"/>
        <v>1.4329104903978667E-2</v>
      </c>
      <c r="AC6" s="4">
        <f t="shared" si="0"/>
        <v>1.4329104903978667E-2</v>
      </c>
      <c r="AD6" s="4">
        <f t="shared" si="0"/>
        <v>1.4329104903978667E-2</v>
      </c>
      <c r="AE6" s="4">
        <f t="shared" si="0"/>
        <v>1.4329104903978667E-2</v>
      </c>
      <c r="AG6" s="4"/>
      <c r="AH6" s="4"/>
    </row>
    <row r="7" spans="1:34">
      <c r="A7" t="s">
        <v>84</v>
      </c>
      <c r="B7" s="4">
        <v>5.0447356774915931E-3</v>
      </c>
      <c r="C7" s="4">
        <f t="shared" si="1"/>
        <v>5.0447356774915931E-3</v>
      </c>
      <c r="D7" s="4">
        <f t="shared" si="0"/>
        <v>5.0447356774915931E-3</v>
      </c>
      <c r="E7" s="4">
        <f t="shared" si="0"/>
        <v>5.0447356774915931E-3</v>
      </c>
      <c r="F7" s="4">
        <f t="shared" si="0"/>
        <v>5.0447356774915931E-3</v>
      </c>
      <c r="G7" s="4">
        <f t="shared" si="0"/>
        <v>5.0447356774915931E-3</v>
      </c>
      <c r="H7" s="4">
        <f t="shared" si="0"/>
        <v>5.0447356774915931E-3</v>
      </c>
      <c r="I7" s="4">
        <f t="shared" si="0"/>
        <v>5.0447356774915931E-3</v>
      </c>
      <c r="J7" s="4">
        <f t="shared" si="0"/>
        <v>5.0447356774915931E-3</v>
      </c>
      <c r="K7" s="4">
        <f t="shared" si="0"/>
        <v>5.0447356774915931E-3</v>
      </c>
      <c r="L7" s="4">
        <f t="shared" si="0"/>
        <v>5.0447356774915931E-3</v>
      </c>
      <c r="M7" s="4">
        <f t="shared" si="0"/>
        <v>5.0447356774915931E-3</v>
      </c>
      <c r="N7" s="4">
        <f t="shared" si="0"/>
        <v>5.0447356774915931E-3</v>
      </c>
      <c r="O7" s="4">
        <f t="shared" si="0"/>
        <v>5.0447356774915931E-3</v>
      </c>
      <c r="P7" s="4">
        <f t="shared" si="0"/>
        <v>5.0447356774915931E-3</v>
      </c>
      <c r="Q7" s="4">
        <f t="shared" si="0"/>
        <v>5.0447356774915931E-3</v>
      </c>
      <c r="R7" s="4">
        <f t="shared" si="0"/>
        <v>5.0447356774915931E-3</v>
      </c>
      <c r="S7" s="4">
        <f t="shared" si="0"/>
        <v>5.0447356774915931E-3</v>
      </c>
      <c r="T7" s="4">
        <f t="shared" si="0"/>
        <v>5.0447356774915931E-3</v>
      </c>
      <c r="U7" s="4">
        <f t="shared" si="0"/>
        <v>5.0447356774915931E-3</v>
      </c>
      <c r="V7" s="4">
        <f t="shared" si="0"/>
        <v>5.0447356774915931E-3</v>
      </c>
      <c r="W7" s="4">
        <f t="shared" si="0"/>
        <v>5.0447356774915931E-3</v>
      </c>
      <c r="X7" s="4">
        <f t="shared" si="0"/>
        <v>5.0447356774915931E-3</v>
      </c>
      <c r="Y7" s="4">
        <f t="shared" si="0"/>
        <v>5.0447356774915931E-3</v>
      </c>
      <c r="Z7" s="4">
        <f t="shared" si="0"/>
        <v>5.0447356774915931E-3</v>
      </c>
      <c r="AA7" s="4">
        <f t="shared" si="0"/>
        <v>5.0447356774915931E-3</v>
      </c>
      <c r="AB7" s="4">
        <f t="shared" si="0"/>
        <v>5.0447356774915931E-3</v>
      </c>
      <c r="AC7" s="4">
        <f t="shared" si="0"/>
        <v>5.0447356774915931E-3</v>
      </c>
      <c r="AD7" s="4">
        <f t="shared" si="0"/>
        <v>5.0447356774915931E-3</v>
      </c>
      <c r="AE7" s="4">
        <f t="shared" si="0"/>
        <v>5.0447356774915931E-3</v>
      </c>
      <c r="AG7" s="4"/>
      <c r="AH7" s="4"/>
    </row>
    <row r="8" spans="1:34">
      <c r="A8" t="s">
        <v>85</v>
      </c>
      <c r="B8" s="4">
        <v>1.9528009074161003E-2</v>
      </c>
      <c r="C8" s="4">
        <f t="shared" si="1"/>
        <v>1.9528009074161003E-2</v>
      </c>
      <c r="D8" s="4">
        <f t="shared" si="0"/>
        <v>1.9528009074161003E-2</v>
      </c>
      <c r="E8" s="4">
        <f t="shared" si="0"/>
        <v>1.9528009074161003E-2</v>
      </c>
      <c r="F8" s="4">
        <f t="shared" si="0"/>
        <v>1.9528009074161003E-2</v>
      </c>
      <c r="G8" s="4">
        <f t="shared" si="0"/>
        <v>1.9528009074161003E-2</v>
      </c>
      <c r="H8" s="4">
        <f t="shared" si="0"/>
        <v>1.9528009074161003E-2</v>
      </c>
      <c r="I8" s="4">
        <f t="shared" si="0"/>
        <v>1.9528009074161003E-2</v>
      </c>
      <c r="J8" s="4">
        <f t="shared" si="0"/>
        <v>1.9528009074161003E-2</v>
      </c>
      <c r="K8" s="4">
        <f t="shared" si="0"/>
        <v>1.9528009074161003E-2</v>
      </c>
      <c r="L8" s="4">
        <f t="shared" si="0"/>
        <v>1.9528009074161003E-2</v>
      </c>
      <c r="M8" s="4">
        <f t="shared" si="0"/>
        <v>1.9528009074161003E-2</v>
      </c>
      <c r="N8" s="4">
        <f t="shared" si="0"/>
        <v>1.9528009074161003E-2</v>
      </c>
      <c r="O8" s="4">
        <f t="shared" si="0"/>
        <v>1.9528009074161003E-2</v>
      </c>
      <c r="P8" s="4">
        <f t="shared" si="0"/>
        <v>1.9528009074161003E-2</v>
      </c>
      <c r="Q8" s="4">
        <f t="shared" si="0"/>
        <v>1.9528009074161003E-2</v>
      </c>
      <c r="R8" s="4">
        <f t="shared" si="0"/>
        <v>1.9528009074161003E-2</v>
      </c>
      <c r="S8" s="4">
        <f t="shared" si="0"/>
        <v>1.9528009074161003E-2</v>
      </c>
      <c r="T8" s="4">
        <f t="shared" si="0"/>
        <v>1.9528009074161003E-2</v>
      </c>
      <c r="U8" s="4">
        <f t="shared" si="0"/>
        <v>1.9528009074161003E-2</v>
      </c>
      <c r="V8" s="4">
        <f t="shared" si="0"/>
        <v>1.9528009074161003E-2</v>
      </c>
      <c r="W8" s="4">
        <f t="shared" si="0"/>
        <v>1.9528009074161003E-2</v>
      </c>
      <c r="X8" s="4">
        <f t="shared" si="0"/>
        <v>1.9528009074161003E-2</v>
      </c>
      <c r="Y8" s="4">
        <f t="shared" si="0"/>
        <v>1.9528009074161003E-2</v>
      </c>
      <c r="Z8" s="4">
        <f t="shared" si="0"/>
        <v>1.9528009074161003E-2</v>
      </c>
      <c r="AA8" s="4">
        <f t="shared" si="0"/>
        <v>1.9528009074161003E-2</v>
      </c>
      <c r="AB8" s="4">
        <f t="shared" si="0"/>
        <v>1.9528009074161003E-2</v>
      </c>
      <c r="AC8" s="4">
        <f t="shared" si="0"/>
        <v>1.9528009074161003E-2</v>
      </c>
      <c r="AD8" s="4">
        <f t="shared" si="0"/>
        <v>1.9528009074161003E-2</v>
      </c>
      <c r="AE8" s="4">
        <f t="shared" si="0"/>
        <v>1.9528009074161003E-2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2026-01-10T00:51:30Z</dcterms:modified>
</cp:coreProperties>
</file>