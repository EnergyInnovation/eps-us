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Orvis\Models\US\Models\eps-us\InputData\trans\BHNVFEAL\"/>
    </mc:Choice>
  </mc:AlternateContent>
  <xr:revisionPtr revIDLastSave="0" documentId="13_ncr:1_{C6AA64CD-2303-4739-8481-1649E12569B7}" xr6:coauthVersionLast="47" xr6:coauthVersionMax="47" xr10:uidLastSave="{00000000-0000-0000-0000-000000000000}"/>
  <bookViews>
    <workbookView xWindow="4680" yWindow="4680" windowWidth="43200" windowHeight="17145" activeTab="1" xr2:uid="{00000000-000D-0000-FFFF-FFFF00000000}"/>
  </bookViews>
  <sheets>
    <sheet name="About" sheetId="1" r:id="rId1"/>
    <sheet name="BNVFE" sheetId="25" r:id="rId2"/>
    <sheet name="SYFAFE" sheetId="27" r:id="rId3"/>
    <sheet name="Other Values" sheetId="18" r:id="rId4"/>
    <sheet name="Calculations" sheetId="26" r:id="rId5"/>
    <sheet name="Extrapolations" sheetId="24" r:id="rId6"/>
    <sheet name="BHNVFEAL-LDVs-psgr" sheetId="2" r:id="rId7"/>
    <sheet name="BHNVFEAL-LDVs-frgt" sheetId="5" r:id="rId8"/>
    <sheet name="BHNVFEAL-HDVs-psgr" sheetId="6" r:id="rId9"/>
    <sheet name="BHNVFEAL-HDVs-frgt" sheetId="7" r:id="rId10"/>
    <sheet name="BHNVFEAL-aircraft-psgr" sheetId="8" r:id="rId11"/>
    <sheet name="BHNVFEAL-aircraft-frgt" sheetId="9" r:id="rId12"/>
    <sheet name="BHNVFEAL-rail-psgr" sheetId="10" r:id="rId13"/>
    <sheet name="BHNVFEAL-rail-frgt" sheetId="11" r:id="rId14"/>
    <sheet name="BHNVFEAL-ships-psgr" sheetId="12" r:id="rId15"/>
    <sheet name="BHNVFEAL-ships-frgt" sheetId="13" r:id="rId16"/>
    <sheet name="BHNVFEAL-motorbikes-psgr" sheetId="14" r:id="rId17"/>
    <sheet name="BHNVFEAL-motorbikes-frgt" sheetId="15" r:id="rId18"/>
  </sheets>
  <externalReferences>
    <externalReference r:id="rId19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" i="24" l="1"/>
  <c r="AR4" i="24"/>
  <c r="AR5" i="24"/>
  <c r="AR6" i="24"/>
  <c r="AR7" i="24"/>
  <c r="AR10" i="24"/>
  <c r="AR11" i="24"/>
  <c r="AR12" i="24"/>
  <c r="AR13" i="24"/>
  <c r="AR14" i="24"/>
  <c r="AQ5" i="24" l="1"/>
  <c r="AS2" i="24"/>
  <c r="F9" i="24" l="1"/>
  <c r="G9" i="24" s="1"/>
  <c r="F8" i="24"/>
  <c r="G8" i="24" s="1"/>
  <c r="B2" i="10" l="1"/>
  <c r="H9" i="24"/>
  <c r="I9" i="24" s="1"/>
  <c r="J9" i="24" s="1"/>
  <c r="K9" i="24" s="1"/>
  <c r="L9" i="24" s="1"/>
  <c r="M9" i="24" s="1"/>
  <c r="N9" i="24" s="1"/>
  <c r="O9" i="24" s="1"/>
  <c r="P9" i="24" s="1"/>
  <c r="Q9" i="24" s="1"/>
  <c r="R9" i="24" s="1"/>
  <c r="S9" i="24" s="1"/>
  <c r="T9" i="24" s="1"/>
  <c r="U9" i="24" s="1"/>
  <c r="V9" i="24" s="1"/>
  <c r="W9" i="24" s="1"/>
  <c r="X9" i="24" s="1"/>
  <c r="Y9" i="24" s="1"/>
  <c r="Z9" i="24" s="1"/>
  <c r="AA9" i="24" s="1"/>
  <c r="AB9" i="24" s="1"/>
  <c r="AC9" i="24" s="1"/>
  <c r="AD9" i="24" s="1"/>
  <c r="AE9" i="24" s="1"/>
  <c r="AF9" i="24" s="1"/>
  <c r="AG9" i="24" s="1"/>
  <c r="AH9" i="24" s="1"/>
  <c r="AI9" i="24" s="1"/>
  <c r="AJ9" i="24" s="1"/>
  <c r="AK9" i="24" s="1"/>
  <c r="AL9" i="24" s="1"/>
  <c r="AM9" i="24" s="1"/>
  <c r="AN9" i="24" s="1"/>
  <c r="AO9" i="24" s="1"/>
  <c r="AP9" i="24" s="1"/>
  <c r="AQ9" i="24" s="1"/>
  <c r="AR9" i="24" s="1"/>
  <c r="AS9" i="24" s="1"/>
  <c r="AT9" i="24" s="1"/>
  <c r="AU9" i="24" s="1"/>
  <c r="AV9" i="24" s="1"/>
  <c r="AW9" i="24" s="1"/>
  <c r="AX9" i="24" s="1"/>
  <c r="AY9" i="24" s="1"/>
  <c r="AZ9" i="24" s="1"/>
  <c r="BA9" i="24" s="1"/>
  <c r="BB9" i="24" s="1"/>
  <c r="BC9" i="24" s="1"/>
  <c r="BD9" i="24" s="1"/>
  <c r="BE9" i="24" s="1"/>
  <c r="BF9" i="24" s="1"/>
  <c r="BG9" i="24" s="1"/>
  <c r="BH9" i="24" s="1"/>
  <c r="BI9" i="24" s="1"/>
  <c r="BJ9" i="24" s="1"/>
  <c r="BK9" i="24" s="1"/>
  <c r="BL9" i="24" s="1"/>
  <c r="BM9" i="24" s="1"/>
  <c r="BN9" i="24" s="1"/>
  <c r="BO9" i="24" s="1"/>
  <c r="BP9" i="24" s="1"/>
  <c r="BQ9" i="24" s="1"/>
  <c r="BR9" i="24" s="1"/>
  <c r="H8" i="24"/>
  <c r="B5" i="10"/>
  <c r="B8" i="2"/>
  <c r="D16" i="26"/>
  <c r="I8" i="24" l="1"/>
  <c r="C5" i="10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B2" i="14" a="1"/>
  <c r="B3" i="14" s="1"/>
  <c r="B2" i="12" a="1"/>
  <c r="B2" i="12" s="1"/>
  <c r="B2" i="6" a="1"/>
  <c r="B3" i="6" s="1"/>
  <c r="C3" i="6" s="1"/>
  <c r="J8" i="24" l="1"/>
  <c r="D5" i="10"/>
  <c r="C3" i="14"/>
  <c r="D3" i="14" s="1"/>
  <c r="E3" i="14" s="1"/>
  <c r="F3" i="14" s="1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C2" i="12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B2" i="14"/>
  <c r="B8" i="14"/>
  <c r="B7" i="14"/>
  <c r="B6" i="14"/>
  <c r="B5" i="14"/>
  <c r="B4" i="14"/>
  <c r="B8" i="12"/>
  <c r="B7" i="12"/>
  <c r="B6" i="12"/>
  <c r="B5" i="12"/>
  <c r="B4" i="12"/>
  <c r="B3" i="12"/>
  <c r="B5" i="6"/>
  <c r="C5" i="6" s="1"/>
  <c r="B4" i="6"/>
  <c r="C4" i="6" s="1"/>
  <c r="B2" i="6"/>
  <c r="C2" i="6" s="1"/>
  <c r="B8" i="6"/>
  <c r="C8" i="6" s="1"/>
  <c r="B7" i="6"/>
  <c r="C7" i="6" s="1"/>
  <c r="B6" i="6"/>
  <c r="C6" i="6" s="1"/>
  <c r="K8" i="24" l="1"/>
  <c r="E5" i="10"/>
  <c r="C5" i="14"/>
  <c r="D5" i="14" s="1"/>
  <c r="E5" i="14" s="1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C6" i="14"/>
  <c r="D6" i="14" s="1"/>
  <c r="E6" i="14" s="1"/>
  <c r="F6" i="14" s="1"/>
  <c r="G6" i="14" s="1"/>
  <c r="H6" i="14" s="1"/>
  <c r="I6" i="14" s="1"/>
  <c r="J6" i="14" s="1"/>
  <c r="K6" i="14" s="1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C8" i="14"/>
  <c r="D8" i="14" s="1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W8" i="14" s="1"/>
  <c r="X8" i="14" s="1"/>
  <c r="Y8" i="14" s="1"/>
  <c r="Z8" i="14" s="1"/>
  <c r="AA8" i="14" s="1"/>
  <c r="AB8" i="14" s="1"/>
  <c r="AC8" i="14" s="1"/>
  <c r="AD8" i="14" s="1"/>
  <c r="AE8" i="14" s="1"/>
  <c r="C2" i="14"/>
  <c r="D2" i="14" s="1"/>
  <c r="E2" i="14" s="1"/>
  <c r="F2" i="14" s="1"/>
  <c r="G2" i="14" s="1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C7" i="14"/>
  <c r="D7" i="14" s="1"/>
  <c r="E7" i="14" s="1"/>
  <c r="F7" i="14" s="1"/>
  <c r="G7" i="14" s="1"/>
  <c r="H7" i="14" s="1"/>
  <c r="I7" i="14" s="1"/>
  <c r="J7" i="14" s="1"/>
  <c r="K7" i="14" s="1"/>
  <c r="L7" i="14" s="1"/>
  <c r="M7" i="14" s="1"/>
  <c r="N7" i="14" s="1"/>
  <c r="O7" i="14" s="1"/>
  <c r="P7" i="14" s="1"/>
  <c r="Q7" i="14" s="1"/>
  <c r="R7" i="14" s="1"/>
  <c r="S7" i="14" s="1"/>
  <c r="T7" i="14" s="1"/>
  <c r="U7" i="14" s="1"/>
  <c r="V7" i="14" s="1"/>
  <c r="W7" i="14" s="1"/>
  <c r="X7" i="14" s="1"/>
  <c r="Y7" i="14" s="1"/>
  <c r="Z7" i="14" s="1"/>
  <c r="AA7" i="14" s="1"/>
  <c r="AB7" i="14" s="1"/>
  <c r="AC7" i="14" s="1"/>
  <c r="AD7" i="14" s="1"/>
  <c r="AE7" i="14" s="1"/>
  <c r="C4" i="14"/>
  <c r="D4" i="14" s="1"/>
  <c r="E4" i="14" s="1"/>
  <c r="F4" i="14" s="1"/>
  <c r="G4" i="14" s="1"/>
  <c r="H4" i="14" s="1"/>
  <c r="I4" i="14" s="1"/>
  <c r="J4" i="14" s="1"/>
  <c r="K4" i="14" s="1"/>
  <c r="L4" i="14" s="1"/>
  <c r="M4" i="14" s="1"/>
  <c r="N4" i="14" s="1"/>
  <c r="O4" i="14" s="1"/>
  <c r="P4" i="14" s="1"/>
  <c r="Q4" i="14" s="1"/>
  <c r="R4" i="14" s="1"/>
  <c r="S4" i="14" s="1"/>
  <c r="T4" i="14" s="1"/>
  <c r="U4" i="14" s="1"/>
  <c r="V4" i="14" s="1"/>
  <c r="W4" i="14" s="1"/>
  <c r="X4" i="14" s="1"/>
  <c r="Y4" i="14" s="1"/>
  <c r="Z4" i="14" s="1"/>
  <c r="AA4" i="14" s="1"/>
  <c r="AB4" i="14" s="1"/>
  <c r="AC4" i="14" s="1"/>
  <c r="AD4" i="14" s="1"/>
  <c r="AE4" i="14" s="1"/>
  <c r="C3" i="12"/>
  <c r="D3" i="12" s="1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C4" i="12"/>
  <c r="D4" i="12" s="1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C5" i="12"/>
  <c r="D5" i="12" s="1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C6" i="12"/>
  <c r="D6" i="12" s="1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C7" i="12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C8" i="12"/>
  <c r="D8" i="12" s="1"/>
  <c r="E8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B2" i="7" a="1"/>
  <c r="B3" i="7" s="1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B2" i="5" a="1"/>
  <c r="B3" i="5" s="1"/>
  <c r="L8" i="24" l="1"/>
  <c r="F5" i="10"/>
  <c r="C3" i="7"/>
  <c r="D3" i="7" s="1"/>
  <c r="E3" i="7" s="1"/>
  <c r="F3" i="7" s="1"/>
  <c r="G3" i="7" s="1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U3" i="7" s="1"/>
  <c r="V3" i="7" s="1"/>
  <c r="W3" i="7" s="1"/>
  <c r="X3" i="7" s="1"/>
  <c r="Y3" i="7" s="1"/>
  <c r="Z3" i="7" s="1"/>
  <c r="AA3" i="7" s="1"/>
  <c r="AB3" i="7" s="1"/>
  <c r="AC3" i="7" s="1"/>
  <c r="AD3" i="7" s="1"/>
  <c r="AE3" i="7" s="1"/>
  <c r="C3" i="5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B2" i="7"/>
  <c r="D2" i="6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B6" i="7"/>
  <c r="B5" i="7"/>
  <c r="B4" i="7"/>
  <c r="B8" i="7"/>
  <c r="B7" i="7"/>
  <c r="D7" i="6"/>
  <c r="E7" i="6" s="1"/>
  <c r="F7" i="6" s="1"/>
  <c r="G7" i="6" s="1"/>
  <c r="H7" i="6" s="1"/>
  <c r="I7" i="6" s="1"/>
  <c r="J7" i="6" s="1"/>
  <c r="K7" i="6" s="1"/>
  <c r="L7" i="6" s="1"/>
  <c r="M7" i="6" s="1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D6" i="6"/>
  <c r="E6" i="6" s="1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D5" i="6"/>
  <c r="E5" i="6" s="1"/>
  <c r="F5" i="6" s="1"/>
  <c r="G5" i="6" s="1"/>
  <c r="H5" i="6" s="1"/>
  <c r="I5" i="6" s="1"/>
  <c r="J5" i="6" s="1"/>
  <c r="K5" i="6" s="1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D8" i="6"/>
  <c r="E8" i="6" s="1"/>
  <c r="F8" i="6" s="1"/>
  <c r="G8" i="6" s="1"/>
  <c r="H8" i="6" s="1"/>
  <c r="I8" i="6" s="1"/>
  <c r="J8" i="6" s="1"/>
  <c r="K8" i="6" s="1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D4" i="6"/>
  <c r="E4" i="6" s="1"/>
  <c r="F4" i="6" s="1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B2" i="5"/>
  <c r="B8" i="5"/>
  <c r="B7" i="5"/>
  <c r="B6" i="5"/>
  <c r="B5" i="5"/>
  <c r="B4" i="5"/>
  <c r="M8" i="24" l="1"/>
  <c r="G5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C7" i="7"/>
  <c r="D7" i="7" s="1"/>
  <c r="E7" i="7" s="1"/>
  <c r="F7" i="7" s="1"/>
  <c r="G7" i="7" s="1"/>
  <c r="H7" i="7" s="1"/>
  <c r="I7" i="7" s="1"/>
  <c r="J7" i="7" s="1"/>
  <c r="K7" i="7" s="1"/>
  <c r="L7" i="7" s="1"/>
  <c r="M7" i="7" s="1"/>
  <c r="N7" i="7" s="1"/>
  <c r="O7" i="7" s="1"/>
  <c r="P7" i="7" s="1"/>
  <c r="Q7" i="7" s="1"/>
  <c r="R7" i="7" s="1"/>
  <c r="S7" i="7" s="1"/>
  <c r="T7" i="7" s="1"/>
  <c r="U7" i="7" s="1"/>
  <c r="V7" i="7" s="1"/>
  <c r="W7" i="7" s="1"/>
  <c r="X7" i="7" s="1"/>
  <c r="Y7" i="7" s="1"/>
  <c r="Z7" i="7" s="1"/>
  <c r="AA7" i="7" s="1"/>
  <c r="AB7" i="7" s="1"/>
  <c r="AC7" i="7" s="1"/>
  <c r="AD7" i="7" s="1"/>
  <c r="AE7" i="7" s="1"/>
  <c r="C8" i="7"/>
  <c r="D8" i="7" s="1"/>
  <c r="E8" i="7" s="1"/>
  <c r="F8" i="7" s="1"/>
  <c r="G8" i="7" s="1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U8" i="7" s="1"/>
  <c r="V8" i="7" s="1"/>
  <c r="W8" i="7" s="1"/>
  <c r="X8" i="7" s="1"/>
  <c r="Y8" i="7" s="1"/>
  <c r="Z8" i="7" s="1"/>
  <c r="AA8" i="7" s="1"/>
  <c r="AB8" i="7" s="1"/>
  <c r="AC8" i="7" s="1"/>
  <c r="AD8" i="7" s="1"/>
  <c r="AE8" i="7" s="1"/>
  <c r="C4" i="7"/>
  <c r="D4" i="7" s="1"/>
  <c r="E4" i="7" s="1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C6" i="7"/>
  <c r="D6" i="7" s="1"/>
  <c r="E6" i="7" s="1"/>
  <c r="F6" i="7" s="1"/>
  <c r="G6" i="7" s="1"/>
  <c r="H6" i="7" s="1"/>
  <c r="I6" i="7" s="1"/>
  <c r="J6" i="7" s="1"/>
  <c r="K6" i="7" s="1"/>
  <c r="L6" i="7" s="1"/>
  <c r="M6" i="7" s="1"/>
  <c r="N6" i="7" s="1"/>
  <c r="O6" i="7" s="1"/>
  <c r="P6" i="7" s="1"/>
  <c r="Q6" i="7" s="1"/>
  <c r="R6" i="7" s="1"/>
  <c r="S6" i="7" s="1"/>
  <c r="T6" i="7" s="1"/>
  <c r="U6" i="7" s="1"/>
  <c r="V6" i="7" s="1"/>
  <c r="W6" i="7" s="1"/>
  <c r="X6" i="7" s="1"/>
  <c r="Y6" i="7" s="1"/>
  <c r="Z6" i="7" s="1"/>
  <c r="AA6" i="7" s="1"/>
  <c r="AB6" i="7" s="1"/>
  <c r="AC6" i="7" s="1"/>
  <c r="AD6" i="7" s="1"/>
  <c r="AE6" i="7" s="1"/>
  <c r="C7" i="5"/>
  <c r="D7" i="5" s="1"/>
  <c r="E7" i="5" s="1"/>
  <c r="F7" i="5" s="1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C4" i="5"/>
  <c r="D4" i="5" s="1"/>
  <c r="E4" i="5" s="1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C5" i="5"/>
  <c r="D5" i="5" s="1"/>
  <c r="E5" i="5" s="1"/>
  <c r="F5" i="5" s="1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C6" i="5"/>
  <c r="D6" i="5" s="1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C8" i="5"/>
  <c r="D8" i="5" s="1"/>
  <c r="E8" i="5" s="1"/>
  <c r="F8" i="5" s="1"/>
  <c r="G8" i="5" s="1"/>
  <c r="H8" i="5" s="1"/>
  <c r="I8" i="5" s="1"/>
  <c r="J8" i="5" s="1"/>
  <c r="K8" i="5" s="1"/>
  <c r="L8" i="5" s="1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S4" i="2"/>
  <c r="AT2" i="24"/>
  <c r="T4" i="2" s="1"/>
  <c r="AU2" i="24"/>
  <c r="U4" i="2" s="1"/>
  <c r="AV2" i="24"/>
  <c r="V4" i="2" s="1"/>
  <c r="AW2" i="24"/>
  <c r="W4" i="2" s="1"/>
  <c r="AX2" i="24"/>
  <c r="X4" i="2" s="1"/>
  <c r="AY2" i="24"/>
  <c r="Y4" i="2" s="1"/>
  <c r="AZ2" i="24"/>
  <c r="Z4" i="2" s="1"/>
  <c r="BA2" i="24"/>
  <c r="AA4" i="2" s="1"/>
  <c r="BB2" i="24"/>
  <c r="AB4" i="2" s="1"/>
  <c r="BC2" i="24"/>
  <c r="AC4" i="2" s="1"/>
  <c r="BD2" i="24"/>
  <c r="AD4" i="2" s="1"/>
  <c r="BE2" i="24"/>
  <c r="AE4" i="2" s="1"/>
  <c r="BF2" i="24"/>
  <c r="BG2" i="24"/>
  <c r="BH2" i="24"/>
  <c r="BI2" i="24"/>
  <c r="BJ2" i="24"/>
  <c r="BK2" i="24"/>
  <c r="BL2" i="24"/>
  <c r="BM2" i="24"/>
  <c r="BN2" i="24"/>
  <c r="BO2" i="24"/>
  <c r="BP2" i="24"/>
  <c r="BQ2" i="24"/>
  <c r="BR2" i="24"/>
  <c r="AS3" i="24"/>
  <c r="AT3" i="24"/>
  <c r="AU3" i="24"/>
  <c r="AV3" i="24"/>
  <c r="AW3" i="24"/>
  <c r="AX3" i="24"/>
  <c r="AY3" i="24"/>
  <c r="AZ3" i="24"/>
  <c r="BA3" i="24"/>
  <c r="BB3" i="24"/>
  <c r="BC3" i="24"/>
  <c r="BD3" i="24"/>
  <c r="BE3" i="24"/>
  <c r="BF3" i="24"/>
  <c r="BG3" i="24"/>
  <c r="BH3" i="24"/>
  <c r="BI3" i="24"/>
  <c r="BJ3" i="24"/>
  <c r="BK3" i="24"/>
  <c r="BL3" i="24"/>
  <c r="BM3" i="24"/>
  <c r="BN3" i="24"/>
  <c r="BO3" i="24"/>
  <c r="BP3" i="24"/>
  <c r="BQ3" i="24"/>
  <c r="BR3" i="24"/>
  <c r="AS4" i="24"/>
  <c r="AT4" i="24"/>
  <c r="AU4" i="24"/>
  <c r="AV4" i="24"/>
  <c r="AW4" i="24"/>
  <c r="AX4" i="24"/>
  <c r="AY4" i="24"/>
  <c r="AZ4" i="24"/>
  <c r="BA4" i="24"/>
  <c r="BB4" i="24"/>
  <c r="BC4" i="24"/>
  <c r="BD4" i="24"/>
  <c r="BE4" i="24"/>
  <c r="BF4" i="24"/>
  <c r="BG4" i="24"/>
  <c r="BH4" i="24"/>
  <c r="BI4" i="24"/>
  <c r="BJ4" i="24"/>
  <c r="BK4" i="24"/>
  <c r="BL4" i="24"/>
  <c r="BM4" i="24"/>
  <c r="BN4" i="24"/>
  <c r="BO4" i="24"/>
  <c r="BP4" i="24"/>
  <c r="BQ4" i="24"/>
  <c r="BR4" i="24"/>
  <c r="AQ4" i="24"/>
  <c r="AS5" i="24"/>
  <c r="AT5" i="24"/>
  <c r="AU5" i="24"/>
  <c r="AV5" i="24"/>
  <c r="AW5" i="24"/>
  <c r="AX5" i="24"/>
  <c r="AY5" i="24"/>
  <c r="AZ5" i="24"/>
  <c r="BA5" i="24"/>
  <c r="BB5" i="24"/>
  <c r="BC5" i="24"/>
  <c r="BD5" i="24"/>
  <c r="BE5" i="24"/>
  <c r="BF5" i="24"/>
  <c r="BG5" i="24"/>
  <c r="BH5" i="24"/>
  <c r="BI5" i="24"/>
  <c r="BJ5" i="24"/>
  <c r="BK5" i="24"/>
  <c r="BL5" i="24"/>
  <c r="BM5" i="24"/>
  <c r="BN5" i="24"/>
  <c r="BO5" i="24"/>
  <c r="BP5" i="24"/>
  <c r="BQ5" i="24"/>
  <c r="BR5" i="24"/>
  <c r="AQ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BG6" i="24"/>
  <c r="BH6" i="24"/>
  <c r="BI6" i="24"/>
  <c r="BJ6" i="24"/>
  <c r="BK6" i="24"/>
  <c r="BL6" i="24"/>
  <c r="BM6" i="24"/>
  <c r="BN6" i="24"/>
  <c r="BO6" i="24"/>
  <c r="BP6" i="24"/>
  <c r="BQ6" i="24"/>
  <c r="BR6" i="24"/>
  <c r="AQ7" i="24"/>
  <c r="AP7" i="24" s="1"/>
  <c r="AO7" i="24" s="1"/>
  <c r="AN7" i="24" s="1"/>
  <c r="AM7" i="24" s="1"/>
  <c r="AL7" i="24" s="1"/>
  <c r="AK7" i="24" s="1"/>
  <c r="AJ7" i="24" s="1"/>
  <c r="AI7" i="24" s="1"/>
  <c r="AH7" i="24" s="1"/>
  <c r="AG7" i="24" s="1"/>
  <c r="AF7" i="24" s="1"/>
  <c r="AE7" i="24" s="1"/>
  <c r="AD7" i="24" s="1"/>
  <c r="AC7" i="24" s="1"/>
  <c r="AB7" i="24" s="1"/>
  <c r="AA7" i="24" s="1"/>
  <c r="Z7" i="24" s="1"/>
  <c r="Y7" i="24" s="1"/>
  <c r="X7" i="24" s="1"/>
  <c r="W7" i="24" s="1"/>
  <c r="V7" i="24" s="1"/>
  <c r="U7" i="24" s="1"/>
  <c r="T7" i="24" s="1"/>
  <c r="S7" i="24" s="1"/>
  <c r="R7" i="24" s="1"/>
  <c r="Q7" i="24" s="1"/>
  <c r="P7" i="24" s="1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BL7" i="24"/>
  <c r="BM7" i="24"/>
  <c r="BN7" i="24"/>
  <c r="BO7" i="24"/>
  <c r="BP7" i="24"/>
  <c r="BQ7" i="24"/>
  <c r="BR7" i="24"/>
  <c r="AS10" i="24"/>
  <c r="AT10" i="24"/>
  <c r="AU10" i="24"/>
  <c r="AV10" i="24"/>
  <c r="AW10" i="24"/>
  <c r="AX10" i="24"/>
  <c r="AY10" i="24"/>
  <c r="AZ10" i="24"/>
  <c r="BA10" i="24"/>
  <c r="BB10" i="24"/>
  <c r="BC10" i="24"/>
  <c r="BD10" i="24"/>
  <c r="BE10" i="24"/>
  <c r="BF10" i="24"/>
  <c r="BG10" i="24"/>
  <c r="BH10" i="24"/>
  <c r="BI10" i="24"/>
  <c r="BJ10" i="24"/>
  <c r="BK10" i="24"/>
  <c r="BL10" i="24"/>
  <c r="BM10" i="24"/>
  <c r="BN10" i="24"/>
  <c r="BO10" i="24"/>
  <c r="BP10" i="24"/>
  <c r="BQ10" i="24"/>
  <c r="BR10" i="24"/>
  <c r="AS11" i="24"/>
  <c r="AT11" i="24"/>
  <c r="AU11" i="24"/>
  <c r="AV11" i="24"/>
  <c r="AW11" i="24"/>
  <c r="AX11" i="24"/>
  <c r="AY11" i="24"/>
  <c r="AZ11" i="24"/>
  <c r="BA11" i="24"/>
  <c r="BB11" i="24"/>
  <c r="BC11" i="24"/>
  <c r="BD11" i="24"/>
  <c r="BE11" i="24"/>
  <c r="BF11" i="24"/>
  <c r="BG11" i="24"/>
  <c r="BH11" i="24"/>
  <c r="BI11" i="24"/>
  <c r="BJ11" i="24"/>
  <c r="BK11" i="24"/>
  <c r="BL11" i="24"/>
  <c r="BM11" i="24"/>
  <c r="BN11" i="24"/>
  <c r="BO11" i="24"/>
  <c r="BP11" i="24"/>
  <c r="BQ11" i="24"/>
  <c r="BR11" i="24"/>
  <c r="AS12" i="24"/>
  <c r="AT12" i="24"/>
  <c r="AU12" i="24"/>
  <c r="AV12" i="24"/>
  <c r="AW12" i="24"/>
  <c r="AX12" i="24"/>
  <c r="AY12" i="24"/>
  <c r="AZ12" i="24"/>
  <c r="BA12" i="24"/>
  <c r="BB12" i="24"/>
  <c r="BC12" i="24"/>
  <c r="BD12" i="24"/>
  <c r="BE12" i="24"/>
  <c r="BF12" i="24"/>
  <c r="BG12" i="24"/>
  <c r="BH12" i="24"/>
  <c r="BI12" i="24"/>
  <c r="BJ12" i="24"/>
  <c r="BK12" i="24"/>
  <c r="BL12" i="24"/>
  <c r="BM12" i="24"/>
  <c r="BN12" i="24"/>
  <c r="BO12" i="24"/>
  <c r="BP12" i="24"/>
  <c r="BQ12" i="24"/>
  <c r="BR12" i="24"/>
  <c r="AS13" i="24"/>
  <c r="AT13" i="24"/>
  <c r="AU13" i="24"/>
  <c r="AV13" i="24"/>
  <c r="AW13" i="24"/>
  <c r="AX13" i="24"/>
  <c r="AY13" i="24"/>
  <c r="AZ13" i="24"/>
  <c r="BA13" i="24"/>
  <c r="BB13" i="24"/>
  <c r="BC13" i="24"/>
  <c r="BD13" i="24"/>
  <c r="BE13" i="24"/>
  <c r="BF13" i="24"/>
  <c r="BG13" i="24"/>
  <c r="BH13" i="24"/>
  <c r="BI13" i="24"/>
  <c r="BJ13" i="24"/>
  <c r="BK13" i="24"/>
  <c r="BL13" i="24"/>
  <c r="BM13" i="24"/>
  <c r="BN13" i="24"/>
  <c r="BO13" i="24"/>
  <c r="BP13" i="24"/>
  <c r="BQ13" i="24"/>
  <c r="BR13" i="24"/>
  <c r="AO14" i="24"/>
  <c r="AP14" i="24"/>
  <c r="AQ14" i="24"/>
  <c r="AS14" i="24"/>
  <c r="AT14" i="24"/>
  <c r="AU14" i="24"/>
  <c r="AV14" i="24"/>
  <c r="AW14" i="24"/>
  <c r="AX14" i="24"/>
  <c r="AY14" i="24"/>
  <c r="AZ14" i="24"/>
  <c r="BA14" i="24"/>
  <c r="BB14" i="24"/>
  <c r="BC14" i="24"/>
  <c r="BD14" i="24"/>
  <c r="BE14" i="24"/>
  <c r="BF14" i="24"/>
  <c r="BG14" i="24"/>
  <c r="BH14" i="24"/>
  <c r="BI14" i="24"/>
  <c r="BJ14" i="24"/>
  <c r="BK14" i="24"/>
  <c r="BL14" i="24"/>
  <c r="BM14" i="24"/>
  <c r="BN14" i="24"/>
  <c r="BO14" i="24"/>
  <c r="BP14" i="24"/>
  <c r="BQ14" i="24"/>
  <c r="BR14" i="24"/>
  <c r="Q6" i="24" l="1"/>
  <c r="U6" i="24"/>
  <c r="AC6" i="24"/>
  <c r="AK6" i="24"/>
  <c r="AB6" i="24"/>
  <c r="V6" i="24"/>
  <c r="AD6" i="24"/>
  <c r="AL6" i="24"/>
  <c r="AA6" i="24"/>
  <c r="W6" i="24"/>
  <c r="AE6" i="24"/>
  <c r="AM6" i="24"/>
  <c r="S6" i="24"/>
  <c r="AJ6" i="24"/>
  <c r="P6" i="24"/>
  <c r="X6" i="24"/>
  <c r="AF6" i="24"/>
  <c r="AO6" i="24"/>
  <c r="AI6" i="24"/>
  <c r="T6" i="24"/>
  <c r="Y6" i="24"/>
  <c r="AG6" i="24"/>
  <c r="AP6" i="24"/>
  <c r="R6" i="24"/>
  <c r="Z6" i="24"/>
  <c r="AH6" i="24"/>
  <c r="AN6" i="24"/>
  <c r="N8" i="24"/>
  <c r="H5" i="10"/>
  <c r="AD14" i="24"/>
  <c r="AL14" i="24"/>
  <c r="AC14" i="24"/>
  <c r="W14" i="24"/>
  <c r="AE14" i="24"/>
  <c r="AM14" i="24"/>
  <c r="X14" i="24"/>
  <c r="AF14" i="24"/>
  <c r="AN14" i="24"/>
  <c r="Y14" i="24"/>
  <c r="AG14" i="24"/>
  <c r="Z14" i="24"/>
  <c r="AH14" i="24"/>
  <c r="AA14" i="24"/>
  <c r="AI14" i="24"/>
  <c r="AK14" i="24"/>
  <c r="AB14" i="24"/>
  <c r="AJ14" i="24"/>
  <c r="AE7" i="2"/>
  <c r="AE6" i="2"/>
  <c r="AE3" i="2"/>
  <c r="AE5" i="2"/>
  <c r="W5" i="2"/>
  <c r="W7" i="2"/>
  <c r="W3" i="2"/>
  <c r="W6" i="2"/>
  <c r="AC7" i="2"/>
  <c r="AC3" i="2"/>
  <c r="AC5" i="2"/>
  <c r="AC6" i="2"/>
  <c r="U7" i="2"/>
  <c r="U5" i="2"/>
  <c r="U3" i="2"/>
  <c r="U6" i="2"/>
  <c r="T7" i="2"/>
  <c r="T3" i="2"/>
  <c r="T6" i="2"/>
  <c r="T5" i="2"/>
  <c r="AA3" i="2"/>
  <c r="AA6" i="2"/>
  <c r="AA5" i="2"/>
  <c r="AA7" i="2"/>
  <c r="Z6" i="2"/>
  <c r="Z5" i="2"/>
  <c r="Z3" i="2"/>
  <c r="Z7" i="2"/>
  <c r="AB7" i="2"/>
  <c r="AB3" i="2"/>
  <c r="AB6" i="2"/>
  <c r="AB5" i="2"/>
  <c r="S3" i="2"/>
  <c r="S6" i="2"/>
  <c r="S5" i="2"/>
  <c r="S7" i="2"/>
  <c r="Y5" i="2"/>
  <c r="Y3" i="2"/>
  <c r="Y6" i="2"/>
  <c r="Y7" i="2"/>
  <c r="X5" i="2"/>
  <c r="X7" i="2"/>
  <c r="X3" i="2"/>
  <c r="X6" i="2"/>
  <c r="AD7" i="2"/>
  <c r="AD5" i="2"/>
  <c r="AD3" i="2"/>
  <c r="AD6" i="2"/>
  <c r="V7" i="2"/>
  <c r="V3" i="2"/>
  <c r="V5" i="2"/>
  <c r="V6" i="2"/>
  <c r="O8" i="24" l="1"/>
  <c r="I5" i="10"/>
  <c r="C16" i="26"/>
  <c r="AA2" i="24" s="1"/>
  <c r="AB2" i="24" s="1"/>
  <c r="AC2" i="24" s="1"/>
  <c r="AD2" i="24" s="1"/>
  <c r="AE2" i="24" s="1"/>
  <c r="AF2" i="24" s="1"/>
  <c r="AG2" i="24" s="1"/>
  <c r="AH2" i="24" s="1"/>
  <c r="AI2" i="24" s="1"/>
  <c r="AJ2" i="24" s="1"/>
  <c r="AK2" i="24" s="1"/>
  <c r="AL2" i="24" s="1"/>
  <c r="AM2" i="24" s="1"/>
  <c r="AN2" i="24" s="1"/>
  <c r="AO2" i="24" s="1"/>
  <c r="AP2" i="24" s="1"/>
  <c r="AQ2" i="24" s="1"/>
  <c r="AR2" i="24" s="1"/>
  <c r="B16" i="26" l="1"/>
  <c r="P8" i="24"/>
  <c r="J5" i="10"/>
  <c r="Q8" i="24" l="1"/>
  <c r="K5" i="10"/>
  <c r="X5" i="8"/>
  <c r="R8" i="24" l="1"/>
  <c r="L5" i="10"/>
  <c r="Y5" i="9"/>
  <c r="Z5" i="9"/>
  <c r="AA5" i="9"/>
  <c r="AC5" i="9"/>
  <c r="AD5" i="9"/>
  <c r="AE5" i="9"/>
  <c r="S8" i="24" l="1"/>
  <c r="M5" i="10"/>
  <c r="AB5" i="8"/>
  <c r="AA5" i="8"/>
  <c r="AE5" i="8"/>
  <c r="AD5" i="8"/>
  <c r="Z5" i="8"/>
  <c r="AC5" i="8"/>
  <c r="AB5" i="9"/>
  <c r="Y5" i="8"/>
  <c r="B31" i="26"/>
  <c r="B27" i="26"/>
  <c r="T8" i="24" l="1"/>
  <c r="N5" i="10"/>
  <c r="L5" i="8"/>
  <c r="R5" i="8"/>
  <c r="P5" i="8"/>
  <c r="B5" i="8"/>
  <c r="T5" i="8"/>
  <c r="M5" i="8"/>
  <c r="C5" i="8"/>
  <c r="K5" i="8"/>
  <c r="Q5" i="8"/>
  <c r="F5" i="8"/>
  <c r="V5" i="8"/>
  <c r="G5" i="8"/>
  <c r="O5" i="8"/>
  <c r="S5" i="8"/>
  <c r="U5" i="8"/>
  <c r="D5" i="8"/>
  <c r="H5" i="8"/>
  <c r="E5" i="8"/>
  <c r="N5" i="8"/>
  <c r="I5" i="8"/>
  <c r="W5" i="8"/>
  <c r="J5" i="8"/>
  <c r="B20" i="26"/>
  <c r="U8" i="24" l="1"/>
  <c r="O5" i="10"/>
  <c r="B21" i="26"/>
  <c r="B22" i="26" s="1"/>
  <c r="V5" i="24" s="1"/>
  <c r="U5" i="24" l="1"/>
  <c r="T5" i="24" s="1"/>
  <c r="S5" i="24" s="1"/>
  <c r="R5" i="24" s="1"/>
  <c r="Q5" i="24" s="1"/>
  <c r="P5" i="24" s="1"/>
  <c r="O5" i="24" s="1"/>
  <c r="N5" i="24" s="1"/>
  <c r="M5" i="24" s="1"/>
  <c r="L5" i="24" s="1"/>
  <c r="W5" i="24"/>
  <c r="X5" i="24" s="1"/>
  <c r="Y5" i="24" s="1"/>
  <c r="Z5" i="24" s="1"/>
  <c r="AA5" i="24" s="1"/>
  <c r="AB5" i="24" s="1"/>
  <c r="AC5" i="24" s="1"/>
  <c r="AD5" i="24" s="1"/>
  <c r="AE5" i="24" s="1"/>
  <c r="AF5" i="24" s="1"/>
  <c r="AG5" i="24" s="1"/>
  <c r="AH5" i="24" s="1"/>
  <c r="AI5" i="24" s="1"/>
  <c r="AJ5" i="24" s="1"/>
  <c r="AK5" i="24" s="1"/>
  <c r="AL5" i="24" s="1"/>
  <c r="AM5" i="24" s="1"/>
  <c r="AN5" i="24" s="1"/>
  <c r="AO5" i="24" s="1"/>
  <c r="AP5" i="24" s="1"/>
  <c r="AP4" i="24" s="1"/>
  <c r="AO4" i="24" s="1"/>
  <c r="AN4" i="24" s="1"/>
  <c r="AM4" i="24" s="1"/>
  <c r="V8" i="24"/>
  <c r="P5" i="10"/>
  <c r="W8" i="24" l="1"/>
  <c r="Q5" i="10"/>
  <c r="X8" i="24" l="1"/>
  <c r="R5" i="10"/>
  <c r="Y2" i="8"/>
  <c r="Y8" i="8"/>
  <c r="AB2" i="9"/>
  <c r="AB8" i="9"/>
  <c r="AE2" i="8"/>
  <c r="AE8" i="8"/>
  <c r="X8" i="8"/>
  <c r="X2" i="8"/>
  <c r="AA2" i="9"/>
  <c r="AA8" i="9"/>
  <c r="AD8" i="8"/>
  <c r="AD2" i="8"/>
  <c r="Z2" i="9"/>
  <c r="Z8" i="9"/>
  <c r="AC2" i="8"/>
  <c r="AC8" i="8"/>
  <c r="AB8" i="8"/>
  <c r="AB2" i="8"/>
  <c r="AE2" i="9"/>
  <c r="AE8" i="9"/>
  <c r="Z8" i="8"/>
  <c r="Z2" i="8"/>
  <c r="AD2" i="9"/>
  <c r="AD8" i="9"/>
  <c r="AC8" i="9"/>
  <c r="AC2" i="9"/>
  <c r="Y8" i="24" l="1"/>
  <c r="S5" i="10"/>
  <c r="S8" i="10" s="1"/>
  <c r="H8" i="8"/>
  <c r="H2" i="8"/>
  <c r="K8" i="8"/>
  <c r="K2" i="8"/>
  <c r="C8" i="10"/>
  <c r="V8" i="8"/>
  <c r="V2" i="8"/>
  <c r="L8" i="8"/>
  <c r="L2" i="8"/>
  <c r="I2" i="8"/>
  <c r="I8" i="8"/>
  <c r="J8" i="10"/>
  <c r="J8" i="8"/>
  <c r="J2" i="8"/>
  <c r="H8" i="10"/>
  <c r="S8" i="8"/>
  <c r="S2" i="8"/>
  <c r="F8" i="8"/>
  <c r="F2" i="8"/>
  <c r="D8" i="8"/>
  <c r="D2" i="8"/>
  <c r="R8" i="10"/>
  <c r="B8" i="10"/>
  <c r="O2" i="8"/>
  <c r="O8" i="8"/>
  <c r="T8" i="8"/>
  <c r="T2" i="8"/>
  <c r="U2" i="8"/>
  <c r="U8" i="8"/>
  <c r="G8" i="8"/>
  <c r="G2" i="8"/>
  <c r="Q8" i="10"/>
  <c r="F8" i="10"/>
  <c r="I8" i="10"/>
  <c r="D8" i="10"/>
  <c r="AA8" i="8"/>
  <c r="AA2" i="8"/>
  <c r="M2" i="8"/>
  <c r="M8" i="8"/>
  <c r="C8" i="8"/>
  <c r="C2" i="8"/>
  <c r="W2" i="8"/>
  <c r="W8" i="8"/>
  <c r="E8" i="8"/>
  <c r="E2" i="8"/>
  <c r="B8" i="8"/>
  <c r="B2" i="8"/>
  <c r="P8" i="8"/>
  <c r="P2" i="8"/>
  <c r="M8" i="10"/>
  <c r="Q2" i="8"/>
  <c r="Q8" i="8"/>
  <c r="N8" i="8"/>
  <c r="N2" i="8"/>
  <c r="R8" i="8"/>
  <c r="R2" i="8"/>
  <c r="P8" i="10"/>
  <c r="G8" i="10"/>
  <c r="E8" i="10"/>
  <c r="L8" i="10"/>
  <c r="O8" i="10"/>
  <c r="Y2" i="9"/>
  <c r="Y8" i="9"/>
  <c r="N8" i="10"/>
  <c r="K8" i="10"/>
  <c r="Z8" i="24" l="1"/>
  <c r="T5" i="10"/>
  <c r="T8" i="10" s="1"/>
  <c r="AA8" i="24" l="1"/>
  <c r="U5" i="10"/>
  <c r="U8" i="10" s="1"/>
  <c r="AB8" i="24" l="1"/>
  <c r="V5" i="10"/>
  <c r="V8" i="10" s="1"/>
  <c r="AC8" i="24" l="1"/>
  <c r="W5" i="10"/>
  <c r="W8" i="10" s="1"/>
  <c r="AD8" i="24" l="1"/>
  <c r="X5" i="10"/>
  <c r="X8" i="10" s="1"/>
  <c r="AE8" i="24" l="1"/>
  <c r="Y5" i="10"/>
  <c r="Y8" i="10" s="1"/>
  <c r="AF8" i="24" l="1"/>
  <c r="Z5" i="10"/>
  <c r="Z8" i="10" s="1"/>
  <c r="AG8" i="24" l="1"/>
  <c r="AA5" i="10"/>
  <c r="AA8" i="10" s="1"/>
  <c r="AH8" i="24" l="1"/>
  <c r="AB5" i="10"/>
  <c r="AB8" i="10" s="1"/>
  <c r="AI8" i="24" l="1"/>
  <c r="AC5" i="10"/>
  <c r="AC8" i="10" s="1"/>
  <c r="AJ8" i="24" l="1"/>
  <c r="AD5" i="10"/>
  <c r="AD8" i="10" s="1"/>
  <c r="AK8" i="24" l="1"/>
  <c r="AL8" i="24" s="1"/>
  <c r="AM8" i="24" s="1"/>
  <c r="AN8" i="24" s="1"/>
  <c r="AO8" i="24" s="1"/>
  <c r="AE5" i="10"/>
  <c r="AE8" i="10" s="1"/>
  <c r="AP8" i="24" l="1"/>
  <c r="AQ8" i="24" s="1"/>
  <c r="AR8" i="24" s="1"/>
  <c r="AS8" i="24" s="1"/>
  <c r="AT8" i="24" s="1"/>
  <c r="AU8" i="24" s="1"/>
  <c r="AV8" i="24" s="1"/>
  <c r="AW8" i="24" s="1"/>
  <c r="AX8" i="24" s="1"/>
  <c r="AY8" i="24" s="1"/>
  <c r="AZ8" i="24" s="1"/>
  <c r="BA8" i="24" s="1"/>
  <c r="BB8" i="24" s="1"/>
  <c r="BC8" i="24" s="1"/>
  <c r="BD8" i="24" s="1"/>
  <c r="BE8" i="24" s="1"/>
  <c r="BF8" i="24" s="1"/>
  <c r="BG8" i="24" s="1"/>
  <c r="BH8" i="24" s="1"/>
  <c r="BI8" i="24" s="1"/>
  <c r="BJ8" i="24" s="1"/>
  <c r="BK8" i="24" s="1"/>
  <c r="BL8" i="24" s="1"/>
  <c r="BM8" i="24" s="1"/>
  <c r="BN8" i="24" s="1"/>
  <c r="BO8" i="24" s="1"/>
  <c r="BP8" i="24" s="1"/>
  <c r="BQ8" i="24" s="1"/>
  <c r="BR8" i="24" s="1"/>
  <c r="B5" i="9"/>
  <c r="B2" i="9" s="1"/>
  <c r="C5" i="9"/>
  <c r="C2" i="9" s="1"/>
  <c r="D5" i="9"/>
  <c r="D2" i="9" s="1"/>
  <c r="E5" i="9"/>
  <c r="E2" i="9" s="1"/>
  <c r="F5" i="9"/>
  <c r="F2" i="9" s="1"/>
  <c r="G5" i="9"/>
  <c r="H5" i="9"/>
  <c r="H2" i="9" s="1"/>
  <c r="I5" i="9"/>
  <c r="I2" i="9" s="1"/>
  <c r="J5" i="9"/>
  <c r="J2" i="9" s="1"/>
  <c r="K5" i="9"/>
  <c r="K2" i="9" s="1"/>
  <c r="L5" i="9"/>
  <c r="L2" i="9" s="1"/>
  <c r="M5" i="9"/>
  <c r="M2" i="9" s="1"/>
  <c r="N5" i="9"/>
  <c r="N2" i="9" s="1"/>
  <c r="O5" i="9"/>
  <c r="P5" i="9"/>
  <c r="P2" i="9" s="1"/>
  <c r="Q5" i="9"/>
  <c r="Q2" i="9" s="1"/>
  <c r="R5" i="9"/>
  <c r="R2" i="9" s="1"/>
  <c r="S5" i="9"/>
  <c r="S2" i="9" s="1"/>
  <c r="T5" i="9"/>
  <c r="T2" i="9" s="1"/>
  <c r="U5" i="9"/>
  <c r="U2" i="9" s="1"/>
  <c r="V5" i="9"/>
  <c r="V2" i="9" s="1"/>
  <c r="W5" i="9"/>
  <c r="X5" i="9"/>
  <c r="X2" i="9" s="1"/>
  <c r="S8" i="9" l="1"/>
  <c r="R8" i="9"/>
  <c r="K8" i="9"/>
  <c r="T8" i="9"/>
  <c r="L8" i="9"/>
  <c r="D8" i="9"/>
  <c r="Q8" i="9"/>
  <c r="I8" i="9"/>
  <c r="J8" i="9"/>
  <c r="B8" i="9"/>
  <c r="F8" i="9"/>
  <c r="C8" i="9"/>
  <c r="V8" i="9"/>
  <c r="H8" i="9"/>
  <c r="P8" i="9"/>
  <c r="N8" i="9"/>
  <c r="E8" i="9"/>
  <c r="M8" i="9"/>
  <c r="U8" i="9"/>
  <c r="X8" i="9"/>
  <c r="W2" i="9"/>
  <c r="W8" i="9"/>
  <c r="O2" i="9"/>
  <c r="O8" i="9"/>
  <c r="G2" i="9"/>
  <c r="G8" i="9"/>
  <c r="C2" i="10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AL4" i="24" l="1"/>
  <c r="AK4" i="24" s="1"/>
  <c r="AJ4" i="24" s="1"/>
  <c r="AI4" i="24" s="1"/>
  <c r="AH4" i="24" s="1"/>
  <c r="AG4" i="24" s="1"/>
  <c r="AF4" i="24" s="1"/>
  <c r="AE4" i="24" s="1"/>
  <c r="AD4" i="24" s="1"/>
  <c r="AC4" i="24" s="1"/>
  <c r="AB4" i="24" s="1"/>
  <c r="AA4" i="24" s="1"/>
  <c r="Z4" i="24" s="1"/>
  <c r="Y4" i="24" s="1"/>
  <c r="X4" i="24" s="1"/>
  <c r="W4" i="24" s="1"/>
  <c r="V4" i="24" s="1"/>
  <c r="U4" i="24" s="1"/>
  <c r="T4" i="24" s="1"/>
  <c r="S4" i="24" s="1"/>
  <c r="R4" i="24" s="1"/>
  <c r="Q4" i="24" s="1"/>
  <c r="P4" i="24" s="1"/>
  <c r="O4" i="24" s="1"/>
  <c r="N4" i="24" s="1"/>
  <c r="M4" i="24" s="1"/>
  <c r="L4" i="24" s="1"/>
  <c r="L12" i="24"/>
  <c r="F5" i="13" s="1"/>
  <c r="T12" i="24"/>
  <c r="N5" i="13" s="1"/>
  <c r="AB12" i="24"/>
  <c r="V5" i="13" s="1"/>
  <c r="AJ12" i="24"/>
  <c r="AD5" i="13" s="1"/>
  <c r="W12" i="24"/>
  <c r="Q5" i="13" s="1"/>
  <c r="Y12" i="24"/>
  <c r="S5" i="13" s="1"/>
  <c r="S12" i="24"/>
  <c r="M5" i="13" s="1"/>
  <c r="M12" i="24"/>
  <c r="G5" i="13" s="1"/>
  <c r="U12" i="24"/>
  <c r="O5" i="13" s="1"/>
  <c r="AC12" i="24"/>
  <c r="W5" i="13" s="1"/>
  <c r="AM12" i="24"/>
  <c r="Q12" i="24"/>
  <c r="K5" i="13" s="1"/>
  <c r="N12" i="24"/>
  <c r="H5" i="13" s="1"/>
  <c r="AD12" i="24"/>
  <c r="X5" i="13" s="1"/>
  <c r="G12" i="24"/>
  <c r="AQ12" i="24"/>
  <c r="P12" i="24"/>
  <c r="J5" i="13" s="1"/>
  <c r="AF12" i="24"/>
  <c r="Z5" i="13" s="1"/>
  <c r="I12" i="24"/>
  <c r="C5" i="13" s="1"/>
  <c r="R12" i="24"/>
  <c r="L5" i="13" s="1"/>
  <c r="AH12" i="24"/>
  <c r="AB5" i="13" s="1"/>
  <c r="X11" i="24"/>
  <c r="K11" i="24"/>
  <c r="I11" i="24"/>
  <c r="AQ11" i="24"/>
  <c r="AB11" i="24"/>
  <c r="V11" i="24"/>
  <c r="AH13" i="24"/>
  <c r="AK13" i="24"/>
  <c r="AB13" i="24"/>
  <c r="AE13" i="24"/>
  <c r="AG13" i="24"/>
  <c r="AK12" i="24"/>
  <c r="AE5" i="13" s="1"/>
  <c r="J12" i="24"/>
  <c r="D5" i="13" s="1"/>
  <c r="P11" i="24"/>
  <c r="AI11" i="24"/>
  <c r="S11" i="24"/>
  <c r="AJ11" i="24"/>
  <c r="AL11" i="24"/>
  <c r="AI13" i="24"/>
  <c r="AL13" i="24"/>
  <c r="K12" i="24"/>
  <c r="E5" i="13" s="1"/>
  <c r="AI12" i="24"/>
  <c r="AC5" i="13" s="1"/>
  <c r="H11" i="24"/>
  <c r="AF11" i="24"/>
  <c r="AE11" i="24"/>
  <c r="W11" i="24"/>
  <c r="G11" i="24"/>
  <c r="Z13" i="24"/>
  <c r="AQ13" i="24"/>
  <c r="AD13" i="24"/>
  <c r="AN13" i="24"/>
  <c r="Y11" i="24"/>
  <c r="AG11" i="24"/>
  <c r="AO11" i="24"/>
  <c r="AP11" i="24"/>
  <c r="AA11" i="24"/>
  <c r="M11" i="24"/>
  <c r="AM11" i="24"/>
  <c r="J11" i="24"/>
  <c r="R11" i="24"/>
  <c r="Z11" i="24"/>
  <c r="AH11" i="24"/>
  <c r="AC11" i="24"/>
  <c r="AK11" i="24"/>
  <c r="AQ3" i="24" a="1"/>
  <c r="AC13" i="24"/>
  <c r="X13" i="24"/>
  <c r="T10" i="24"/>
  <c r="O5" i="11" s="1"/>
  <c r="AC10" i="24"/>
  <c r="X5" i="11" s="1"/>
  <c r="AK10" i="24"/>
  <c r="F10" i="24"/>
  <c r="V10" i="24"/>
  <c r="Q5" i="11" s="1"/>
  <c r="AD10" i="24"/>
  <c r="Y5" i="11" s="1"/>
  <c r="AL10" i="24"/>
  <c r="Q10" i="24"/>
  <c r="L5" i="11" s="1"/>
  <c r="W10" i="24"/>
  <c r="R5" i="11" s="1"/>
  <c r="AE10" i="24"/>
  <c r="Z5" i="11" s="1"/>
  <c r="AM10" i="24"/>
  <c r="T11" i="24"/>
  <c r="N11" i="24"/>
  <c r="AP3" i="24" a="1"/>
  <c r="AJ13" i="24"/>
  <c r="AF13" i="24"/>
  <c r="AO13" i="24"/>
  <c r="AQ10" i="24"/>
  <c r="X10" i="24"/>
  <c r="AF10" i="24"/>
  <c r="AN10" i="24"/>
  <c r="N10" i="24"/>
  <c r="I5" i="11" s="1"/>
  <c r="Y10" i="24"/>
  <c r="T5" i="11" s="1"/>
  <c r="AG10" i="24"/>
  <c r="AB5" i="11" s="1"/>
  <c r="AO10" i="24"/>
  <c r="AA10" i="24"/>
  <c r="V5" i="11" s="1"/>
  <c r="AJ10" i="24"/>
  <c r="AE5" i="11" s="1"/>
  <c r="L10" i="24"/>
  <c r="G5" i="11" s="1"/>
  <c r="Z10" i="24"/>
  <c r="U5" i="11" s="1"/>
  <c r="AH10" i="24"/>
  <c r="AC5" i="11" s="1"/>
  <c r="AP10" i="24"/>
  <c r="AI10" i="24"/>
  <c r="AD5" i="11" s="1"/>
  <c r="AB10" i="24"/>
  <c r="W5" i="11" s="1"/>
  <c r="S10" i="24"/>
  <c r="N5" i="11" s="1"/>
  <c r="P10" i="24"/>
  <c r="K5" i="11" s="1"/>
  <c r="O10" i="24"/>
  <c r="J5" i="11" s="1"/>
  <c r="K10" i="24"/>
  <c r="F5" i="11" s="1"/>
  <c r="I10" i="24"/>
  <c r="D5" i="11" s="1"/>
  <c r="R10" i="24"/>
  <c r="M5" i="11" s="1"/>
  <c r="U10" i="24"/>
  <c r="P5" i="11" s="1"/>
  <c r="G10" i="24"/>
  <c r="B5" i="11" s="1"/>
  <c r="J10" i="24"/>
  <c r="E5" i="11" s="1"/>
  <c r="M10" i="24"/>
  <c r="H5" i="11" s="1"/>
  <c r="H10" i="24"/>
  <c r="C5" i="11" s="1"/>
  <c r="O12" i="24"/>
  <c r="I5" i="13" s="1"/>
  <c r="AA12" i="24"/>
  <c r="U5" i="13" s="1"/>
  <c r="V12" i="24"/>
  <c r="P5" i="13" s="1"/>
  <c r="AL12" i="24"/>
  <c r="AE12" i="24"/>
  <c r="Y5" i="13" s="1"/>
  <c r="AG12" i="24"/>
  <c r="AA5" i="13" s="1"/>
  <c r="H12" i="24"/>
  <c r="B5" i="13" s="1"/>
  <c r="X12" i="24"/>
  <c r="R5" i="13" s="1"/>
  <c r="AN12" i="24"/>
  <c r="AO12" i="24"/>
  <c r="Z12" i="24"/>
  <c r="T5" i="13" s="1"/>
  <c r="AP12" i="24"/>
  <c r="AN11" i="24"/>
  <c r="U11" i="24"/>
  <c r="Q11" i="24"/>
  <c r="L11" i="24"/>
  <c r="O11" i="24"/>
  <c r="AD11" i="24"/>
  <c r="AP13" i="24"/>
  <c r="AA13" i="24"/>
  <c r="W13" i="24"/>
  <c r="AM13" i="24"/>
  <c r="Y13" i="24"/>
  <c r="S5" i="11"/>
  <c r="S8" i="11" s="1"/>
  <c r="S2" i="11"/>
  <c r="AA5" i="11"/>
  <c r="AA8" i="11" s="1"/>
  <c r="AA2" i="11"/>
  <c r="F2" i="13" l="1"/>
  <c r="F8" i="13"/>
  <c r="G2" i="13"/>
  <c r="G8" i="13"/>
  <c r="H2" i="13"/>
  <c r="H8" i="13"/>
  <c r="C8" i="13"/>
  <c r="C2" i="13"/>
  <c r="N2" i="13"/>
  <c r="N8" i="13"/>
  <c r="Q2" i="13"/>
  <c r="Q8" i="13"/>
  <c r="K2" i="13"/>
  <c r="K8" i="13"/>
  <c r="M2" i="11"/>
  <c r="M8" i="11"/>
  <c r="P2" i="11"/>
  <c r="P8" i="11"/>
  <c r="J8" i="13"/>
  <c r="J2" i="13"/>
  <c r="S8" i="13"/>
  <c r="S2" i="13"/>
  <c r="R2" i="11"/>
  <c r="R8" i="11"/>
  <c r="AD8" i="13"/>
  <c r="AD2" i="13"/>
  <c r="M8" i="13"/>
  <c r="M2" i="13"/>
  <c r="O8" i="13"/>
  <c r="O2" i="13"/>
  <c r="W8" i="13"/>
  <c r="W2" i="13"/>
  <c r="X8" i="13"/>
  <c r="X2" i="13"/>
  <c r="Z8" i="13"/>
  <c r="Z2" i="13"/>
  <c r="L8" i="13"/>
  <c r="L2" i="13"/>
  <c r="AB8" i="13"/>
  <c r="AB2" i="13"/>
  <c r="AE8" i="13"/>
  <c r="AE2" i="13"/>
  <c r="D8" i="13"/>
  <c r="D2" i="13"/>
  <c r="E8" i="13"/>
  <c r="E2" i="13"/>
  <c r="AC8" i="13"/>
  <c r="AC2" i="13"/>
  <c r="O8" i="11"/>
  <c r="O2" i="11"/>
  <c r="X8" i="11"/>
  <c r="X2" i="11"/>
  <c r="Q8" i="11"/>
  <c r="Q2" i="11"/>
  <c r="Y8" i="11"/>
  <c r="Y2" i="11"/>
  <c r="L8" i="11"/>
  <c r="L2" i="11"/>
  <c r="I8" i="11"/>
  <c r="I2" i="11"/>
  <c r="J8" i="11"/>
  <c r="J2" i="11"/>
  <c r="F8" i="11"/>
  <c r="F2" i="11"/>
  <c r="D8" i="11"/>
  <c r="D2" i="11"/>
  <c r="B8" i="11"/>
  <c r="B2" i="11"/>
  <c r="E8" i="11"/>
  <c r="E2" i="11"/>
  <c r="H8" i="11"/>
  <c r="H2" i="11"/>
  <c r="C8" i="11"/>
  <c r="C2" i="11"/>
  <c r="I8" i="13"/>
  <c r="I2" i="13"/>
  <c r="U8" i="13"/>
  <c r="U2" i="13"/>
  <c r="P8" i="13"/>
  <c r="P2" i="13"/>
  <c r="Y8" i="13"/>
  <c r="Y2" i="13"/>
  <c r="AA8" i="13"/>
  <c r="AA2" i="13"/>
  <c r="B8" i="13"/>
  <c r="B2" i="13"/>
  <c r="R8" i="13"/>
  <c r="R2" i="13"/>
  <c r="T8" i="13"/>
  <c r="T2" i="13"/>
  <c r="Z2" i="11"/>
  <c r="Z8" i="11"/>
  <c r="V2" i="13"/>
  <c r="V8" i="13"/>
  <c r="AJ3" i="24" a="1"/>
  <c r="AO3" i="24" a="1"/>
  <c r="AC3" i="24" a="1"/>
  <c r="AK3" i="24" a="1"/>
  <c r="AF3" i="24" a="1"/>
  <c r="AA3" i="24" a="1"/>
  <c r="AD3" i="24" a="1"/>
  <c r="AL3" i="24" a="1"/>
  <c r="AE3" i="24" a="1"/>
  <c r="AB3" i="24" a="1"/>
  <c r="AG3" i="24" a="1"/>
  <c r="AM3" i="24" a="1"/>
  <c r="AN3" i="24" a="1"/>
  <c r="AI3" i="24" a="1"/>
  <c r="AH3" i="24" a="1"/>
  <c r="T8" i="11"/>
  <c r="T2" i="11"/>
  <c r="AB8" i="11"/>
  <c r="AB2" i="11"/>
  <c r="V8" i="11"/>
  <c r="V2" i="11"/>
  <c r="AE8" i="11"/>
  <c r="AE2" i="11"/>
  <c r="G8" i="11"/>
  <c r="G2" i="11"/>
  <c r="U8" i="11"/>
  <c r="U2" i="11"/>
  <c r="AC8" i="11"/>
  <c r="AC2" i="11"/>
  <c r="AD8" i="11"/>
  <c r="AD2" i="11"/>
  <c r="W8" i="11"/>
  <c r="W2" i="11"/>
  <c r="N8" i="11"/>
  <c r="N2" i="11"/>
  <c r="K8" i="11"/>
  <c r="K2" i="11"/>
  <c r="R4" i="2" l="1"/>
  <c r="R3" i="2" s="1"/>
  <c r="C4" i="2"/>
  <c r="F4" i="2"/>
  <c r="G4" i="2"/>
  <c r="O4" i="2"/>
  <c r="O5" i="2" s="1"/>
  <c r="L4" i="2"/>
  <c r="L3" i="2" s="1"/>
  <c r="L5" i="2"/>
  <c r="Q4" i="2"/>
  <c r="Q5" i="2" s="1"/>
  <c r="D4" i="2"/>
  <c r="D7" i="2" s="1"/>
  <c r="D6" i="2"/>
  <c r="I4" i="2"/>
  <c r="H4" i="2"/>
  <c r="J4" i="2"/>
  <c r="K4" i="2"/>
  <c r="K5" i="2" s="1"/>
  <c r="B4" i="2"/>
  <c r="M4" i="2"/>
  <c r="N4" i="2"/>
  <c r="P4" i="2"/>
  <c r="P3" i="2" s="1"/>
  <c r="E4" i="2"/>
  <c r="E3" i="2" s="1"/>
  <c r="E7" i="2"/>
  <c r="E6" i="2"/>
  <c r="E5" i="2"/>
  <c r="F3" i="2" l="1"/>
  <c r="F6" i="2"/>
  <c r="P6" i="2"/>
  <c r="P5" i="2"/>
  <c r="P7" i="2"/>
  <c r="G5" i="2"/>
  <c r="G3" i="2"/>
  <c r="J7" i="2"/>
  <c r="J5" i="2"/>
  <c r="J3" i="2"/>
  <c r="J6" i="2"/>
  <c r="B6" i="2"/>
  <c r="B5" i="2"/>
  <c r="B3" i="2"/>
  <c r="B7" i="2"/>
  <c r="M7" i="2"/>
  <c r="M5" i="2"/>
  <c r="M3" i="2"/>
  <c r="M6" i="2"/>
  <c r="N5" i="2"/>
  <c r="N7" i="2"/>
  <c r="N6" i="2"/>
  <c r="N3" i="2"/>
  <c r="F7" i="2"/>
  <c r="F5" i="2"/>
  <c r="C6" i="2"/>
  <c r="C7" i="2"/>
  <c r="G6" i="2"/>
  <c r="G7" i="2"/>
  <c r="I3" i="2"/>
  <c r="I5" i="2"/>
  <c r="R5" i="2"/>
  <c r="R6" i="2"/>
  <c r="R7" i="2"/>
  <c r="C3" i="2"/>
  <c r="C5" i="2"/>
  <c r="O3" i="2"/>
  <c r="O6" i="2"/>
  <c r="O7" i="2"/>
  <c r="L6" i="2"/>
  <c r="L7" i="2"/>
  <c r="Q7" i="2"/>
  <c r="Q3" i="2"/>
  <c r="Q6" i="2"/>
  <c r="D5" i="2"/>
  <c r="D3" i="2"/>
  <c r="I7" i="2"/>
  <c r="I6" i="2"/>
  <c r="H5" i="2"/>
  <c r="H7" i="2"/>
  <c r="H6" i="2"/>
  <c r="H3" i="2"/>
  <c r="K6" i="2"/>
  <c r="K3" i="2"/>
  <c r="K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<sst xmlns="http://schemas.openxmlformats.org/spreadsheetml/2006/main" count="302" uniqueCount="110">
  <si>
    <t>Sources:</t>
  </si>
  <si>
    <t>Notes</t>
  </si>
  <si>
    <t>battery electric vehicle</t>
  </si>
  <si>
    <t>natural gas vehicle</t>
  </si>
  <si>
    <t>gasoline vehicle</t>
  </si>
  <si>
    <t>diesel vehicle</t>
  </si>
  <si>
    <t>plugin hybrid vehicle</t>
  </si>
  <si>
    <t>aircraft</t>
  </si>
  <si>
    <t>HDVs</t>
  </si>
  <si>
    <t>Perc Reduction in Fuel Use for Electricity</t>
  </si>
  <si>
    <t>Perc of Electricity Use for Plug-In Hybrid Vehicles</t>
  </si>
  <si>
    <t>electricity share</t>
  </si>
  <si>
    <t>For source, see the variable BPoEFUbVT.</t>
  </si>
  <si>
    <t>LDVs and motorbikes</t>
  </si>
  <si>
    <t>BHNVFEAL BAU Historical New Vehicle Fuel Economy After Lifetime</t>
  </si>
  <si>
    <t>LDVs</t>
  </si>
  <si>
    <t>rail</t>
  </si>
  <si>
    <t>ships</t>
  </si>
  <si>
    <t>motorbikes</t>
  </si>
  <si>
    <t>Vehicle Lifetimes (years)</t>
  </si>
  <si>
    <t>For sources and calculations, see the variable AVL.</t>
  </si>
  <si>
    <t>psgr</t>
  </si>
  <si>
    <t>frgt</t>
  </si>
  <si>
    <t>This tab contains BAU New Vehicle Fuel Economy (BNVFE) data for the primary</t>
  </si>
  <si>
    <t>vehicle technology for each vehicle/cargo combination.  This is the technology</t>
  </si>
  <si>
    <t>from which the BAU new vehicle fuel economies of the other technologies</t>
  </si>
  <si>
    <t>are calculated.</t>
  </si>
  <si>
    <t>BAU New Vehicle Fuel Economy (from BNVFE variable)</t>
  </si>
  <si>
    <t>vehicle type</t>
  </si>
  <si>
    <t>cargo type</t>
  </si>
  <si>
    <t>BAU New Vehicle Fuel Economy</t>
  </si>
  <si>
    <t>Vehicle Lifetimes</t>
  </si>
  <si>
    <t>For sources and calculations, see the variable BNVFE.</t>
  </si>
  <si>
    <t>To estimate the BAU New Vehicle Fuel Economy in historical years (up to one</t>
  </si>
  <si>
    <t>vehicle lifetime before the first simulated year of the model run), we use</t>
  </si>
  <si>
    <t>a somewhat simplified approach.  We linearly extrapolate backwards from</t>
  </si>
  <si>
    <t>the future year values in BNVFE, using the entire period (2016-2050) as the</t>
  </si>
  <si>
    <t>over to using data from retiring vehicles that were added during the</t>
  </si>
  <si>
    <t>Historical fuel economies are estimated for vehicle type / technology</t>
  </si>
  <si>
    <t>combinations that did not exist in those years, such as battery</t>
  </si>
  <si>
    <t>electric HDVs in 1988.  This is simply for consistency of formulas</t>
  </si>
  <si>
    <t>and will not cause any problems, as there are no such vehicles to</t>
  </si>
  <si>
    <t>be retired during the model run.</t>
  </si>
  <si>
    <t>More than one vehicle lifetime into</t>
  </si>
  <si>
    <t>the model run, the model will have switched</t>
  </si>
  <si>
    <t>model run itself and no longer needs to reference the historical input data</t>
  </si>
  <si>
    <t>in this variable.  However, we include values in this variable out to</t>
  </si>
  <si>
    <t>2050 to make the process of updating the model's start year</t>
  </si>
  <si>
    <t>simpler (since no updates to this variable will be needed).</t>
  </si>
  <si>
    <t>Vehicle Loadings (in people or freight tons / vehicle)</t>
  </si>
  <si>
    <t>Source:</t>
  </si>
  <si>
    <t>passenger LDVs</t>
  </si>
  <si>
    <t>For sources and calculations, see the variable AVLo.</t>
  </si>
  <si>
    <t>freight LDVs</t>
  </si>
  <si>
    <t>passenger HDVs</t>
  </si>
  <si>
    <t>freight HDVs</t>
  </si>
  <si>
    <t>passenger rail</t>
  </si>
  <si>
    <t>BTU per Gallon Liquid Fuels</t>
  </si>
  <si>
    <t>gasoline</t>
  </si>
  <si>
    <t>EIA</t>
  </si>
  <si>
    <t>Energy Explained: Units and Calculators</t>
  </si>
  <si>
    <t>diesel</t>
  </si>
  <si>
    <t>https://www.eia.gov/energyexplained/index.cfm/index.cfm?page=about_energy_units</t>
  </si>
  <si>
    <t>Historical AEO fuel economy - passenger LDVs</t>
  </si>
  <si>
    <t>Source</t>
  </si>
  <si>
    <t>MPG</t>
  </si>
  <si>
    <t>thing-miles/BTU</t>
  </si>
  <si>
    <t>2002 diesel heavy-duty vehicles</t>
  </si>
  <si>
    <t>Ratio of 2019 AEO overall freight efficiency to "heavy" freight efficiency, AEO 2019</t>
  </si>
  <si>
    <t>2002 Average Freight HDV efficiency (MPG)</t>
  </si>
  <si>
    <t>2002 Average Freight HDV efficiency (thing-miles/BTU)</t>
  </si>
  <si>
    <t>Historical fuel economy - freight HDV</t>
  </si>
  <si>
    <t>Annual Energy Outlook 2008</t>
  </si>
  <si>
    <t>https://www.eia.gov/outlooks/archive/aeo08/index.html</t>
  </si>
  <si>
    <t>Tables 35, 49, 55</t>
  </si>
  <si>
    <t>Hydrogen vs. Gasoline Efficiency</t>
  </si>
  <si>
    <t>gasoline car efficiency</t>
  </si>
  <si>
    <t>hydrogen FCV efficiency</t>
  </si>
  <si>
    <t>distance multiplier for hydrogen vehicles</t>
  </si>
  <si>
    <t>Propane (LPG) vs. Gasoline Efficiency</t>
  </si>
  <si>
    <t>reduction in efficiency for propane</t>
  </si>
  <si>
    <t>distance multiplier for propane vehicles</t>
  </si>
  <si>
    <t>See the variable BNVFE</t>
  </si>
  <si>
    <t>Efficiency modifiers for LPG and hydrogen vehicles</t>
  </si>
  <si>
    <t>LPG vehicle</t>
  </si>
  <si>
    <t>hydrogen vehicle</t>
  </si>
  <si>
    <t>For sources and calculations, see the variable PTFURfE.</t>
  </si>
  <si>
    <t>Fuel Economy ((thing*miles)/BTU)</t>
  </si>
  <si>
    <t>AEO 2010 Table 7</t>
  </si>
  <si>
    <t>psgr - diesel</t>
  </si>
  <si>
    <t>psgr - electric</t>
  </si>
  <si>
    <t>Fuel Economy (passenger*miles/BTU)</t>
  </si>
  <si>
    <t>Fuel Economy (freight ton*miles/BTU)</t>
  </si>
  <si>
    <t>All passenger LDVs</t>
  </si>
  <si>
    <t>Fuel Economy (thing*miles/BTU)</t>
  </si>
  <si>
    <t>line when needed to avoid any discontinuity.</t>
  </si>
  <si>
    <t>basis for extrapolation. We adjust the Y-intercept of the extrapolated</t>
  </si>
  <si>
    <t xml:space="preserve">For the following vehicle types, we instead use values directly from SYFAFE, which results in </t>
  </si>
  <si>
    <t>energy consumption that more closely matches EIA's AEO trajectory: freight LDVs, passenger HDVs, freight HDVs, passenger ships, passenger motorbikes.</t>
  </si>
  <si>
    <t>Motorbike fuel-economy refresh (2026-09-03, pending staff review):</t>
  </si>
  <si>
    <t>The internal 'SYFAFE' tab's passenger motorbike row was refreshed from the SYFAFE workbook, where</t>
  </si>
  <si>
    <t>motorbike fuel economy was re-derived after replacing the old x5 activity calibration multiplier with</t>
  </si>
  <si>
    <t>FHWA VM-1 2024 data (gasoline 0.00182 -&gt; 0.00050 passenger-miles/BTU; see the SYFAFE and BAADTbVT</t>
  </si>
  <si>
    <t>About tabs and memo-aeo-vmt-seam-2026-08-31.md at the repo root). The BHNVFEAL motorbike outputs are</t>
  </si>
  <si>
    <t>the SYFAFE motorbike row held flat across historical years, so they update with it. Note the motorbike</t>
  </si>
  <si>
    <t>outputs read the SYFAFE tab, not the BNVFE tab.</t>
  </si>
  <si>
    <t>Natural gas and LPG passenger LDV refresh (2026-09-25):</t>
  </si>
  <si>
    <t>The internal 'BNVFE' tab's natural gas and LPG rows (rows 25 and 29, 2023-2050) are that tab's gasoline row times the CNG and LPG</t>
  </si>
  <si>
    <t>fuel economy ratios to gasoline from the BNVFE workbook (calcs rows 113-114; NEMS AEO 2026 AFVADJFE = 1.00), because BNVFE had both</t>
  </si>
  <si>
    <t>rows at 0 from 2023. The rest of that tab predates the 9a1e7ebf rebase of BNVFE, so its 2024-onward values differ from the current BNVFE.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</si>
</sst>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  <numFmt numFmtId="166" formatCode="0.000"/>
    <numFmt numFmtId="167" formatCode="0.0%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</borders>
  <cellStyleXfs count="156">
    <xf numFmtId="0" fontId="0" fillId="0" borderId="0"/>
    <xf numFmtId="0" fontId="3" fillId="0" borderId="0"/>
    <xf numFmtId="0" fontId="3" fillId="0" borderId="2" applyNumberForma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Font="0" applyProtection="0">
      <alignment wrapText="1"/>
    </xf>
    <xf numFmtId="0" fontId="4" fillId="0" borderId="5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3" fillId="0" borderId="4" applyNumberFormat="0" applyFont="0" applyProtection="0">
      <alignment wrapText="1"/>
    </xf>
    <xf numFmtId="0" fontId="9" fillId="22" borderId="6" applyNumberFormat="0" applyAlignment="0" applyProtection="0"/>
    <xf numFmtId="0" fontId="10" fillId="23" borderId="7" applyNumberFormat="0" applyAlignment="0" applyProtection="0"/>
    <xf numFmtId="0" fontId="11" fillId="0" borderId="0">
      <alignment horizontal="center" vertical="center" wrapText="1"/>
    </xf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>
      <alignment horizontal="left" vertical="center" wrapText="1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164" fontId="14" fillId="0" borderId="8" applyNumberFormat="0" applyFill="0">
      <alignment horizontal="right"/>
    </xf>
    <xf numFmtId="164" fontId="15" fillId="0" borderId="8" applyNumberFormat="0" applyFill="0">
      <alignment horizontal="right"/>
    </xf>
    <xf numFmtId="165" fontId="16" fillId="0" borderId="8">
      <alignment horizontal="right" vertical="center"/>
    </xf>
    <xf numFmtId="49" fontId="17" fillId="0" borderId="8">
      <alignment horizontal="left" vertical="center"/>
    </xf>
    <xf numFmtId="164" fontId="14" fillId="0" borderId="8" applyNumberFormat="0" applyFill="0">
      <alignment horizontal="right"/>
    </xf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2" applyNumberFormat="0" applyProtection="0">
      <alignment wrapText="1"/>
    </xf>
    <xf numFmtId="0" fontId="19" fillId="6" borderId="0" applyNumberFormat="0" applyBorder="0" applyAlignment="0" applyProtection="0"/>
    <xf numFmtId="0" fontId="4" fillId="0" borderId="5" applyNumberFormat="0" applyProtection="0">
      <alignment wrapText="1"/>
    </xf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8">
      <alignment horizontal="left"/>
    </xf>
    <xf numFmtId="0" fontId="24" fillId="0" borderId="8">
      <alignment horizontal="left"/>
    </xf>
    <xf numFmtId="0" fontId="25" fillId="0" borderId="12">
      <alignment horizontal="right" vertical="center"/>
    </xf>
    <xf numFmtId="0" fontId="26" fillId="0" borderId="8">
      <alignment horizontal="left" vertical="center"/>
    </xf>
    <xf numFmtId="0" fontId="14" fillId="0" borderId="8">
      <alignment horizontal="left" vertical="center"/>
    </xf>
    <xf numFmtId="0" fontId="23" fillId="0" borderId="8">
      <alignment horizontal="left"/>
    </xf>
    <xf numFmtId="0" fontId="23" fillId="24" borderId="0">
      <alignment horizontal="centerContinuous" wrapText="1"/>
    </xf>
    <xf numFmtId="49" fontId="23" fillId="24" borderId="13">
      <alignment horizontal="left" vertical="center"/>
    </xf>
    <xf numFmtId="0" fontId="23" fillId="24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9" borderId="6" applyNumberFormat="0" applyAlignment="0" applyProtection="0"/>
    <xf numFmtId="0" fontId="29" fillId="0" borderId="14" applyNumberFormat="0" applyFill="0" applyAlignment="0" applyProtection="0"/>
    <xf numFmtId="0" fontId="30" fillId="25" borderId="0" applyNumberFormat="0" applyBorder="0" applyAlignment="0" applyProtection="0"/>
    <xf numFmtId="0" fontId="1" fillId="0" borderId="0"/>
    <xf numFmtId="0" fontId="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2" borderId="1" applyNumberFormat="0" applyFont="0" applyAlignment="0" applyProtection="0"/>
    <xf numFmtId="0" fontId="12" fillId="26" borderId="15" applyNumberFormat="0" applyFont="0" applyAlignment="0" applyProtection="0"/>
    <xf numFmtId="0" fontId="32" fillId="22" borderId="16" applyNumberFormat="0" applyAlignment="0" applyProtection="0"/>
    <xf numFmtId="0" fontId="4" fillId="0" borderId="3" applyNumberFormat="0" applyProtection="0">
      <alignment wrapText="1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3" fontId="16" fillId="0" borderId="0">
      <alignment horizontal="left" vertical="center"/>
    </xf>
    <xf numFmtId="0" fontId="11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7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4" fontId="16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3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7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6" fillId="0" borderId="8">
      <alignment horizontal="left"/>
    </xf>
    <xf numFmtId="0" fontId="25" fillId="0" borderId="12">
      <alignment horizontal="left"/>
    </xf>
    <xf numFmtId="0" fontId="23" fillId="0" borderId="0">
      <alignment horizontal="left" vertical="center"/>
    </xf>
    <xf numFmtId="49" fontId="33" fillId="0" borderId="8">
      <alignment horizontal="left"/>
    </xf>
    <xf numFmtId="0" fontId="4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2" fillId="3" borderId="0" xfId="0" applyFont="1" applyFill="1"/>
    <xf numFmtId="0" fontId="0" fillId="3" borderId="0" xfId="0" applyFill="1"/>
    <xf numFmtId="11" fontId="0" fillId="0" borderId="0" xfId="0" applyNumberFormat="1"/>
    <xf numFmtId="0" fontId="0" fillId="0" borderId="0" xfId="0" applyAlignment="1">
      <alignment horizontal="left"/>
    </xf>
    <xf numFmtId="0" fontId="40" fillId="0" borderId="0" xfId="0" applyFont="1"/>
    <xf numFmtId="1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 applyAlignment="1">
      <alignment horizontal="left"/>
    </xf>
    <xf numFmtId="9" fontId="0" fillId="0" borderId="0" xfId="0" applyNumberFormat="1"/>
    <xf numFmtId="167" fontId="0" fillId="0" borderId="0" xfId="0" applyNumberFormat="1"/>
    <xf numFmtId="0" fontId="42" fillId="0" borderId="0" xfId="153"/>
    <xf numFmtId="0" fontId="2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0" fillId="0" borderId="19" xfId="0" applyBorder="1"/>
    <xf numFmtId="0" fontId="0" fillId="0" borderId="0" xfId="154" applyNumberFormat="1" applyFont="1"/>
    <xf numFmtId="0" fontId="0" fillId="0" borderId="0" xfId="155" applyNumberFormat="1" applyFont="1"/>
    <xf numFmtId="11" fontId="0" fillId="0" borderId="19" xfId="0" applyNumberFormat="1" applyBorder="1"/>
    <xf numFmtId="11" fontId="41" fillId="0" borderId="19" xfId="0" applyNumberFormat="1" applyFont="1" applyBorder="1"/>
    <xf numFmtId="0" fontId="41" fillId="0" borderId="19" xfId="0" applyFont="1" applyBorder="1"/>
    <xf numFmtId="43" fontId="0" fillId="0" borderId="0" xfId="154" applyFont="1"/>
    <xf numFmtId="0" fontId="0" fillId="28" borderId="0" xfId="0" applyFill="1"/>
    <xf numFmtId="11" fontId="0" fillId="28" borderId="0" xfId="0" applyNumberFormat="1" applyFill="1"/>
    <xf numFmtId="11" fontId="0" fillId="30" borderId="0" xfId="0" applyNumberFormat="1" applyFill="1"/>
    <xf numFmtId="11" fontId="41" fillId="0" borderId="0" xfId="0" applyNumberFormat="1" applyFont="1"/>
    <xf numFmtId="11" fontId="43" fillId="0" borderId="0" xfId="0" applyNumberFormat="1" applyFont="1"/>
    <xf numFmtId="11" fontId="0" fillId="29" borderId="0" xfId="0" applyNumberFormat="1" applyFill="1"/>
    <xf numFmtId="0" fontId="43" fillId="0" borderId="0" xfId="0" applyFont="1"/>
    <xf numFmtId="0" fontId="41" fillId="0" borderId="0" xfId="0" applyFont="1"/>
    <xf numFmtId="167" fontId="0" fillId="0" borderId="0" xfId="155" applyNumberFormat="1" applyFont="1" applyBorder="1"/>
    <xf numFmtId="11" fontId="0" fillId="30" borderId="19" xfId="0" applyNumberFormat="1" applyFill="1" applyBorder="1"/>
  </cellXfs>
  <cellStyles count="156">
    <cellStyle name="20% - Accent1 2" xfId="8" xr:uid="{00000000-0005-0000-0000-000000000000}"/>
    <cellStyle name="20% - Accent2 2" xfId="9" xr:uid="{00000000-0005-0000-0000-000001000000}"/>
    <cellStyle name="20% - Accent3 2" xfId="10" xr:uid="{00000000-0005-0000-0000-000002000000}"/>
    <cellStyle name="20% - Accent4 2" xfId="11" xr:uid="{00000000-0005-0000-0000-000003000000}"/>
    <cellStyle name="20% - Accent5 2" xfId="12" xr:uid="{00000000-0005-0000-0000-000004000000}"/>
    <cellStyle name="20% - Accent6 2" xfId="13" xr:uid="{00000000-0005-0000-0000-000005000000}"/>
    <cellStyle name="40% - Accent1 2" xfId="14" xr:uid="{00000000-0005-0000-0000-000006000000}"/>
    <cellStyle name="40% - Accent2 2" xfId="15" xr:uid="{00000000-0005-0000-0000-000007000000}"/>
    <cellStyle name="40% - Accent3 2" xfId="16" xr:uid="{00000000-0005-0000-0000-000008000000}"/>
    <cellStyle name="40% - Accent4 2" xfId="17" xr:uid="{00000000-0005-0000-0000-000009000000}"/>
    <cellStyle name="40% - Accent5 2" xfId="18" xr:uid="{00000000-0005-0000-0000-00000A000000}"/>
    <cellStyle name="40% - Accent6 2" xfId="19" xr:uid="{00000000-0005-0000-0000-00000B000000}"/>
    <cellStyle name="60% - Accent1 2" xfId="20" xr:uid="{00000000-0005-0000-0000-00000C000000}"/>
    <cellStyle name="60% - Accent2 2" xfId="21" xr:uid="{00000000-0005-0000-0000-00000D000000}"/>
    <cellStyle name="60% - Accent3 2" xfId="22" xr:uid="{00000000-0005-0000-0000-00000E000000}"/>
    <cellStyle name="60% - Accent4 2" xfId="23" xr:uid="{00000000-0005-0000-0000-00000F000000}"/>
    <cellStyle name="60% - Accent5 2" xfId="24" xr:uid="{00000000-0005-0000-0000-000010000000}"/>
    <cellStyle name="60% - Accent6 2" xfId="25" xr:uid="{00000000-0005-0000-0000-000011000000}"/>
    <cellStyle name="Accent1 2" xfId="26" xr:uid="{00000000-0005-0000-0000-000012000000}"/>
    <cellStyle name="Accent2 2" xfId="27" xr:uid="{00000000-0005-0000-0000-000013000000}"/>
    <cellStyle name="Accent3 2" xfId="28" xr:uid="{00000000-0005-0000-0000-000014000000}"/>
    <cellStyle name="Accent4 2" xfId="29" xr:uid="{00000000-0005-0000-0000-000015000000}"/>
    <cellStyle name="Accent5 2" xfId="30" xr:uid="{00000000-0005-0000-0000-000016000000}"/>
    <cellStyle name="Accent6 2" xfId="31" xr:uid="{00000000-0005-0000-0000-000017000000}"/>
    <cellStyle name="Bad 2" xfId="32" xr:uid="{00000000-0005-0000-0000-000018000000}"/>
    <cellStyle name="Body: normal cell" xfId="4" xr:uid="{00000000-0005-0000-0000-000019000000}"/>
    <cellStyle name="Body: normal cell 2" xfId="33" xr:uid="{00000000-0005-0000-0000-00001A000000}"/>
    <cellStyle name="Calculation 2" xfId="34" xr:uid="{00000000-0005-0000-0000-00001B000000}"/>
    <cellStyle name="Check Cell 2" xfId="35" xr:uid="{00000000-0005-0000-0000-00001C000000}"/>
    <cellStyle name="Column heading" xfId="36" xr:uid="{00000000-0005-0000-0000-00001D000000}"/>
    <cellStyle name="Comma" xfId="154" builtinId="3"/>
    <cellStyle name="Comma 2" xfId="37" xr:uid="{00000000-0005-0000-0000-00001F000000}"/>
    <cellStyle name="Comma 2 2" xfId="38" xr:uid="{00000000-0005-0000-0000-000020000000}"/>
    <cellStyle name="Comma 3" xfId="39" xr:uid="{00000000-0005-0000-0000-000021000000}"/>
    <cellStyle name="Comma 4" xfId="40" xr:uid="{00000000-0005-0000-0000-000022000000}"/>
    <cellStyle name="Comma 5" xfId="41" xr:uid="{00000000-0005-0000-0000-000023000000}"/>
    <cellStyle name="Comma 6" xfId="42" xr:uid="{00000000-0005-0000-0000-000024000000}"/>
    <cellStyle name="Comma 7" xfId="43" xr:uid="{00000000-0005-0000-0000-000025000000}"/>
    <cellStyle name="Comma 8" xfId="44" xr:uid="{00000000-0005-0000-0000-000026000000}"/>
    <cellStyle name="Corner heading" xfId="45" xr:uid="{00000000-0005-0000-0000-000027000000}"/>
    <cellStyle name="Currency 2" xfId="46" xr:uid="{00000000-0005-0000-0000-000028000000}"/>
    <cellStyle name="Currency 3" xfId="47" xr:uid="{00000000-0005-0000-0000-000029000000}"/>
    <cellStyle name="Currency 3 2" xfId="48" xr:uid="{00000000-0005-0000-0000-00002A000000}"/>
    <cellStyle name="Data" xfId="49" xr:uid="{00000000-0005-0000-0000-00002B000000}"/>
    <cellStyle name="Data 2" xfId="50" xr:uid="{00000000-0005-0000-0000-00002C000000}"/>
    <cellStyle name="Data no deci" xfId="51" xr:uid="{00000000-0005-0000-0000-00002D000000}"/>
    <cellStyle name="Data Superscript" xfId="52" xr:uid="{00000000-0005-0000-0000-00002E000000}"/>
    <cellStyle name="Data_1-1A-Regular" xfId="53" xr:uid="{00000000-0005-0000-0000-00002F000000}"/>
    <cellStyle name="Explanatory Text 2" xfId="54" xr:uid="{00000000-0005-0000-0000-000030000000}"/>
    <cellStyle name="Font: Calibri, 9pt regular" xfId="6" xr:uid="{00000000-0005-0000-0000-000031000000}"/>
    <cellStyle name="Font: Calibri, 9pt regular 2" xfId="55" xr:uid="{00000000-0005-0000-0000-000032000000}"/>
    <cellStyle name="Footnotes: top row" xfId="2" xr:uid="{00000000-0005-0000-0000-000033000000}"/>
    <cellStyle name="Footnotes: top row 2" xfId="56" xr:uid="{00000000-0005-0000-0000-000034000000}"/>
    <cellStyle name="Good 2" xfId="57" xr:uid="{00000000-0005-0000-0000-000035000000}"/>
    <cellStyle name="Header: bottom row" xfId="5" xr:uid="{00000000-0005-0000-0000-000036000000}"/>
    <cellStyle name="Header: bottom row 2" xfId="58" xr:uid="{00000000-0005-0000-0000-000037000000}"/>
    <cellStyle name="Heading 1 2" xfId="59" xr:uid="{00000000-0005-0000-0000-000038000000}"/>
    <cellStyle name="Heading 2 2" xfId="60" xr:uid="{00000000-0005-0000-0000-000039000000}"/>
    <cellStyle name="Heading 3 2" xfId="61" xr:uid="{00000000-0005-0000-0000-00003A000000}"/>
    <cellStyle name="Heading 4 2" xfId="62" xr:uid="{00000000-0005-0000-0000-00003B000000}"/>
    <cellStyle name="Hed Side" xfId="63" xr:uid="{00000000-0005-0000-0000-00003C000000}"/>
    <cellStyle name="Hed Side 2" xfId="64" xr:uid="{00000000-0005-0000-0000-00003D000000}"/>
    <cellStyle name="Hed Side bold" xfId="65" xr:uid="{00000000-0005-0000-0000-00003E000000}"/>
    <cellStyle name="Hed Side Indent" xfId="66" xr:uid="{00000000-0005-0000-0000-00003F000000}"/>
    <cellStyle name="Hed Side Regular" xfId="67" xr:uid="{00000000-0005-0000-0000-000040000000}"/>
    <cellStyle name="Hed Side_1-1A-Regular" xfId="68" xr:uid="{00000000-0005-0000-0000-000041000000}"/>
    <cellStyle name="Hed Top" xfId="69" xr:uid="{00000000-0005-0000-0000-000042000000}"/>
    <cellStyle name="Hed Top - SECTION" xfId="70" xr:uid="{00000000-0005-0000-0000-000043000000}"/>
    <cellStyle name="Hed Top_3-new4" xfId="71" xr:uid="{00000000-0005-0000-0000-000044000000}"/>
    <cellStyle name="Hyperlink" xfId="153" builtinId="8"/>
    <cellStyle name="Hyperlink 2" xfId="72" xr:uid="{00000000-0005-0000-0000-000046000000}"/>
    <cellStyle name="Input 2" xfId="73" xr:uid="{00000000-0005-0000-0000-000047000000}"/>
    <cellStyle name="Linked Cell 2" xfId="74" xr:uid="{00000000-0005-0000-0000-000048000000}"/>
    <cellStyle name="Neutral 2" xfId="75" xr:uid="{00000000-0005-0000-0000-000049000000}"/>
    <cellStyle name="Normal" xfId="0" builtinId="0"/>
    <cellStyle name="Normal 10" xfId="76" xr:uid="{00000000-0005-0000-0000-00004B000000}"/>
    <cellStyle name="Normal 11" xfId="77" xr:uid="{00000000-0005-0000-0000-00004C000000}"/>
    <cellStyle name="Normal 2" xfId="1" xr:uid="{00000000-0005-0000-0000-00004D000000}"/>
    <cellStyle name="Normal 2 2" xfId="78" xr:uid="{00000000-0005-0000-0000-00004E000000}"/>
    <cellStyle name="Normal 2 3" xfId="79" xr:uid="{00000000-0005-0000-0000-00004F000000}"/>
    <cellStyle name="Normal 3" xfId="80" xr:uid="{00000000-0005-0000-0000-000050000000}"/>
    <cellStyle name="Normal 3 2" xfId="81" xr:uid="{00000000-0005-0000-0000-000051000000}"/>
    <cellStyle name="Normal 3 2 2" xfId="82" xr:uid="{00000000-0005-0000-0000-000052000000}"/>
    <cellStyle name="Normal 3 2 2 2" xfId="83" xr:uid="{00000000-0005-0000-0000-000053000000}"/>
    <cellStyle name="Normal 3 2 3" xfId="84" xr:uid="{00000000-0005-0000-0000-000054000000}"/>
    <cellStyle name="Normal 3 3" xfId="85" xr:uid="{00000000-0005-0000-0000-000055000000}"/>
    <cellStyle name="Normal 3 3 2" xfId="86" xr:uid="{00000000-0005-0000-0000-000056000000}"/>
    <cellStyle name="Normal 3 3 2 2" xfId="87" xr:uid="{00000000-0005-0000-0000-000057000000}"/>
    <cellStyle name="Normal 3 3 3" xfId="88" xr:uid="{00000000-0005-0000-0000-000058000000}"/>
    <cellStyle name="Normal 3 4" xfId="89" xr:uid="{00000000-0005-0000-0000-000059000000}"/>
    <cellStyle name="Normal 3 4 2" xfId="90" xr:uid="{00000000-0005-0000-0000-00005A000000}"/>
    <cellStyle name="Normal 3 5" xfId="91" xr:uid="{00000000-0005-0000-0000-00005B000000}"/>
    <cellStyle name="Normal 3 6" xfId="92" xr:uid="{00000000-0005-0000-0000-00005C000000}"/>
    <cellStyle name="Normal 3 7" xfId="93" xr:uid="{00000000-0005-0000-0000-00005D000000}"/>
    <cellStyle name="Normal 4" xfId="94" xr:uid="{00000000-0005-0000-0000-00005E000000}"/>
    <cellStyle name="Normal 4 2" xfId="95" xr:uid="{00000000-0005-0000-0000-00005F000000}"/>
    <cellStyle name="Normal 4 2 2" xfId="96" xr:uid="{00000000-0005-0000-0000-000060000000}"/>
    <cellStyle name="Normal 4 2 2 2" xfId="97" xr:uid="{00000000-0005-0000-0000-000061000000}"/>
    <cellStyle name="Normal 4 2 3" xfId="98" xr:uid="{00000000-0005-0000-0000-000062000000}"/>
    <cellStyle name="Normal 4 3" xfId="99" xr:uid="{00000000-0005-0000-0000-000063000000}"/>
    <cellStyle name="Normal 4 3 2" xfId="100" xr:uid="{00000000-0005-0000-0000-000064000000}"/>
    <cellStyle name="Normal 4 3 2 2" xfId="101" xr:uid="{00000000-0005-0000-0000-000065000000}"/>
    <cellStyle name="Normal 4 3 3" xfId="102" xr:uid="{00000000-0005-0000-0000-000066000000}"/>
    <cellStyle name="Normal 4 4" xfId="103" xr:uid="{00000000-0005-0000-0000-000067000000}"/>
    <cellStyle name="Normal 4 4 2" xfId="104" xr:uid="{00000000-0005-0000-0000-000068000000}"/>
    <cellStyle name="Normal 4 5" xfId="105" xr:uid="{00000000-0005-0000-0000-000069000000}"/>
    <cellStyle name="Normal 4 6" xfId="106" xr:uid="{00000000-0005-0000-0000-00006A000000}"/>
    <cellStyle name="Normal 4 7" xfId="107" xr:uid="{00000000-0005-0000-0000-00006B000000}"/>
    <cellStyle name="Normal 5" xfId="108" xr:uid="{00000000-0005-0000-0000-00006C000000}"/>
    <cellStyle name="Normal 5 2" xfId="109" xr:uid="{00000000-0005-0000-0000-00006D000000}"/>
    <cellStyle name="Normal 5 3" xfId="110" xr:uid="{00000000-0005-0000-0000-00006E000000}"/>
    <cellStyle name="Normal 6" xfId="111" xr:uid="{00000000-0005-0000-0000-00006F000000}"/>
    <cellStyle name="Normal 6 2" xfId="112" xr:uid="{00000000-0005-0000-0000-000070000000}"/>
    <cellStyle name="Normal 7" xfId="113" xr:uid="{00000000-0005-0000-0000-000071000000}"/>
    <cellStyle name="Normal 7 2" xfId="114" xr:uid="{00000000-0005-0000-0000-000072000000}"/>
    <cellStyle name="Normal 8" xfId="115" xr:uid="{00000000-0005-0000-0000-000073000000}"/>
    <cellStyle name="Normal 9" xfId="116" xr:uid="{00000000-0005-0000-0000-000074000000}"/>
    <cellStyle name="Note 2" xfId="117" xr:uid="{00000000-0005-0000-0000-000075000000}"/>
    <cellStyle name="Note 2 2" xfId="118" xr:uid="{00000000-0005-0000-0000-000076000000}"/>
    <cellStyle name="Output 2" xfId="119" xr:uid="{00000000-0005-0000-0000-000077000000}"/>
    <cellStyle name="Parent row" xfId="3" xr:uid="{00000000-0005-0000-0000-000078000000}"/>
    <cellStyle name="Parent row 2" xfId="120" xr:uid="{00000000-0005-0000-0000-000079000000}"/>
    <cellStyle name="Percent" xfId="155" builtinId="5"/>
    <cellStyle name="Percent 2" xfId="121" xr:uid="{00000000-0005-0000-0000-00007B000000}"/>
    <cellStyle name="Percent 2 2" xfId="122" xr:uid="{00000000-0005-0000-0000-00007C000000}"/>
    <cellStyle name="Percent 3" xfId="123" xr:uid="{00000000-0005-0000-0000-00007D000000}"/>
    <cellStyle name="Percent 3 2" xfId="124" xr:uid="{00000000-0005-0000-0000-00007E000000}"/>
    <cellStyle name="Percent 4" xfId="125" xr:uid="{00000000-0005-0000-0000-00007F000000}"/>
    <cellStyle name="Reference" xfId="126" xr:uid="{00000000-0005-0000-0000-000080000000}"/>
    <cellStyle name="Row heading" xfId="127" xr:uid="{00000000-0005-0000-0000-000081000000}"/>
    <cellStyle name="Source Hed" xfId="128" xr:uid="{00000000-0005-0000-0000-000082000000}"/>
    <cellStyle name="Source Letter" xfId="129" xr:uid="{00000000-0005-0000-0000-000083000000}"/>
    <cellStyle name="Source Superscript" xfId="130" xr:uid="{00000000-0005-0000-0000-000084000000}"/>
    <cellStyle name="Source Superscript 2" xfId="131" xr:uid="{00000000-0005-0000-0000-000085000000}"/>
    <cellStyle name="Source Text" xfId="132" xr:uid="{00000000-0005-0000-0000-000086000000}"/>
    <cellStyle name="Source Text 2" xfId="133" xr:uid="{00000000-0005-0000-0000-000087000000}"/>
    <cellStyle name="State" xfId="134" xr:uid="{00000000-0005-0000-0000-000088000000}"/>
    <cellStyle name="Superscript" xfId="135" xr:uid="{00000000-0005-0000-0000-000089000000}"/>
    <cellStyle name="Table Data" xfId="136" xr:uid="{00000000-0005-0000-0000-00008A000000}"/>
    <cellStyle name="Table Head Top" xfId="137" xr:uid="{00000000-0005-0000-0000-00008B000000}"/>
    <cellStyle name="Table Hed Side" xfId="138" xr:uid="{00000000-0005-0000-0000-00008C000000}"/>
    <cellStyle name="Table title" xfId="7" xr:uid="{00000000-0005-0000-0000-00008D000000}"/>
    <cellStyle name="Table title 2" xfId="139" xr:uid="{00000000-0005-0000-0000-00008E000000}"/>
    <cellStyle name="Title 2" xfId="140" xr:uid="{00000000-0005-0000-0000-00008F000000}"/>
    <cellStyle name="Title Text" xfId="141" xr:uid="{00000000-0005-0000-0000-000090000000}"/>
    <cellStyle name="Title Text 1" xfId="142" xr:uid="{00000000-0005-0000-0000-000091000000}"/>
    <cellStyle name="Title Text 2" xfId="143" xr:uid="{00000000-0005-0000-0000-000092000000}"/>
    <cellStyle name="Title-1" xfId="144" xr:uid="{00000000-0005-0000-0000-000093000000}"/>
    <cellStyle name="Title-2" xfId="145" xr:uid="{00000000-0005-0000-0000-000094000000}"/>
    <cellStyle name="Title-3" xfId="146" xr:uid="{00000000-0005-0000-0000-000095000000}"/>
    <cellStyle name="Total 2" xfId="147" xr:uid="{00000000-0005-0000-0000-000096000000}"/>
    <cellStyle name="Warning Text 2" xfId="148" xr:uid="{00000000-0005-0000-0000-000097000000}"/>
    <cellStyle name="Wrap" xfId="149" xr:uid="{00000000-0005-0000-0000-000098000000}"/>
    <cellStyle name="Wrap Bold" xfId="150" xr:uid="{00000000-0005-0000-0000-000099000000}"/>
    <cellStyle name="Wrap Title" xfId="151" xr:uid="{00000000-0005-0000-0000-00009A000000}"/>
    <cellStyle name="Wrap_NTS99-~11" xfId="152" xr:uid="{00000000-0005-0000-0000-00009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Extrapolations!$A$2:$B$2</c:f>
              <c:strCache>
                <c:ptCount val="2"/>
                <c:pt idx="0">
                  <c:v>LDVs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Extrapolations!$C$2:$BT$2</c:f>
              <c:numCache>
                <c:formatCode>General</c:formatCode>
                <c:ptCount val="70"/>
                <c:pt idx="24" formatCode="0.00E+00">
                  <c:v>3.142498616321923E-4</c:v>
                </c:pt>
                <c:pt idx="25" formatCode="0.00E+00">
                  <c:v>3.1844100144032408E-4</c:v>
                </c:pt>
                <c:pt idx="26" formatCode="0.00E+00">
                  <c:v>3.2263214124845585E-4</c:v>
                </c:pt>
                <c:pt idx="27" formatCode="0.00E+00">
                  <c:v>3.2682328105658763E-4</c:v>
                </c:pt>
                <c:pt idx="28" formatCode="0.00E+00">
                  <c:v>3.310144208647194E-4</c:v>
                </c:pt>
                <c:pt idx="29" formatCode="0.00E+00">
                  <c:v>3.3520556067285118E-4</c:v>
                </c:pt>
                <c:pt idx="30" formatCode="0.00E+00">
                  <c:v>3.3939670048098295E-4</c:v>
                </c:pt>
                <c:pt idx="31" formatCode="0.00E+00">
                  <c:v>3.4358784028911473E-4</c:v>
                </c:pt>
                <c:pt idx="32" formatCode="0.00E+00">
                  <c:v>3.477789800972465E-4</c:v>
                </c:pt>
                <c:pt idx="33" formatCode="0.00E+00">
                  <c:v>3.5197011990537828E-4</c:v>
                </c:pt>
                <c:pt idx="34" formatCode="0.00E+00">
                  <c:v>3.5616125971351005E-4</c:v>
                </c:pt>
                <c:pt idx="35" formatCode="0.00E+00">
                  <c:v>3.6035239952164183E-4</c:v>
                </c:pt>
                <c:pt idx="36" formatCode="0.00E+00">
                  <c:v>3.645435393297736E-4</c:v>
                </c:pt>
                <c:pt idx="37" formatCode="0.00E+00">
                  <c:v>3.6873467913790537E-4</c:v>
                </c:pt>
                <c:pt idx="38" formatCode="0.00E+00">
                  <c:v>3.7292581894603715E-4</c:v>
                </c:pt>
                <c:pt idx="39" formatCode="0.00E+00">
                  <c:v>3.7711695875416892E-4</c:v>
                </c:pt>
                <c:pt idx="40" formatCode="0.00E+00">
                  <c:v>3.813080985623007E-4</c:v>
                </c:pt>
                <c:pt idx="41" formatCode="0.00E+00">
                  <c:v>3.8549923837043247E-4</c:v>
                </c:pt>
                <c:pt idx="42" formatCode="0.00E+00">
                  <c:v>3.8969037817856381E-4</c:v>
                </c:pt>
                <c:pt idx="43" formatCode="0.00E+00">
                  <c:v>3.9985001436006255E-4</c:v>
                </c:pt>
                <c:pt idx="44" formatCode="0.00E+00">
                  <c:v>4.0645495978422236E-4</c:v>
                </c:pt>
                <c:pt idx="45" formatCode="0.00E+00">
                  <c:v>4.1222868457836193E-4</c:v>
                </c:pt>
                <c:pt idx="46" formatCode="0.00E+00">
                  <c:v>4.1315950014361388E-4</c:v>
                </c:pt>
                <c:pt idx="47" formatCode="0.00E+00">
                  <c:v>4.1586031572729884E-4</c:v>
                </c:pt>
                <c:pt idx="48" formatCode="0.00E+00">
                  <c:v>4.1791006177450995E-4</c:v>
                </c:pt>
                <c:pt idx="49" formatCode="0.00E+00">
                  <c:v>4.1868747861134429E-4</c:v>
                </c:pt>
                <c:pt idx="50" formatCode="0.00E+00">
                  <c:v>4.2132009406936789E-4</c:v>
                </c:pt>
                <c:pt idx="51" formatCode="0.00E+00">
                  <c:v>4.224153063913546E-4</c:v>
                </c:pt>
                <c:pt idx="52" formatCode="0.00E+00">
                  <c:v>4.2414977562549528E-4</c:v>
                </c:pt>
                <c:pt idx="53" formatCode="0.00E+00">
                  <c:v>4.2551597947059568E-4</c:v>
                </c:pt>
                <c:pt idx="54" formatCode="0.00E+00">
                  <c:v>4.2699017471707065E-4</c:v>
                </c:pt>
                <c:pt idx="55" formatCode="0.00E+00">
                  <c:v>4.278185027990744E-4</c:v>
                </c:pt>
                <c:pt idx="56" formatCode="0.00E+00">
                  <c:v>4.2962147676115707E-4</c:v>
                </c:pt>
                <c:pt idx="57" formatCode="0.00E+00">
                  <c:v>4.3041495518616422E-4</c:v>
                </c:pt>
                <c:pt idx="58" formatCode="0.00E+00">
                  <c:v>4.3058027955271102E-4</c:v>
                </c:pt>
                <c:pt idx="59" formatCode="0.00E+00">
                  <c:v>4.3088934374883934E-4</c:v>
                </c:pt>
                <c:pt idx="60" formatCode="0.00E+00">
                  <c:v>4.3093489146882265E-4</c:v>
                </c:pt>
                <c:pt idx="61" formatCode="0.00E+00">
                  <c:v>4.3107618325306866E-4</c:v>
                </c:pt>
                <c:pt idx="62" formatCode="0.00E+00">
                  <c:v>4.3159356456922571E-4</c:v>
                </c:pt>
                <c:pt idx="63" formatCode="0.00E+00">
                  <c:v>4.3137509125134069E-4</c:v>
                </c:pt>
                <c:pt idx="64" formatCode="0.00E+00">
                  <c:v>4.3181432059055414E-4</c:v>
                </c:pt>
                <c:pt idx="65" formatCode="0.00E+00">
                  <c:v>4.3184298375304391E-4</c:v>
                </c:pt>
                <c:pt idx="66" formatCode="0.00E+00">
                  <c:v>4.3221033154474715E-4</c:v>
                </c:pt>
                <c:pt idx="67" formatCode="0.00E+00">
                  <c:v>4.3232208233433581E-4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3-40F3-B705-D06D6F55F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63456"/>
        <c:axId val="138105216"/>
      </c:lineChart>
      <c:catAx>
        <c:axId val="13576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105216"/>
        <c:crosses val="autoZero"/>
        <c:auto val="1"/>
        <c:lblAlgn val="ctr"/>
        <c:lblOffset val="100"/>
        <c:noMultiLvlLbl val="0"/>
      </c:catAx>
      <c:valAx>
        <c:axId val="138105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7634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Extrapolations!$A$3:$B$3</c:f>
              <c:strCache>
                <c:ptCount val="2"/>
                <c:pt idx="0">
                  <c:v>LDVs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Extrapolations!$C$3:$BT$3</c:f>
              <c:numCache>
                <c:formatCode>General</c:formatCode>
                <c:ptCount val="70"/>
                <c:pt idx="24" formatCode="0.00E+00">
                  <c:v>5.8438727152645888E-5</c:v>
                </c:pt>
                <c:pt idx="25" formatCode="0.00E+00">
                  <c:v>5.9741244470903031E-5</c:v>
                </c:pt>
                <c:pt idx="26" formatCode="0.00E+00">
                  <c:v>6.1043761789159739E-5</c:v>
                </c:pt>
                <c:pt idx="27" formatCode="0.00E+00">
                  <c:v>6.2346279107416882E-5</c:v>
                </c:pt>
                <c:pt idx="28" formatCode="0.00E+00">
                  <c:v>6.3648796425673591E-5</c:v>
                </c:pt>
                <c:pt idx="29" formatCode="0.00E+00">
                  <c:v>6.4951313743930733E-5</c:v>
                </c:pt>
                <c:pt idx="30" formatCode="0.00E+00">
                  <c:v>6.6253831062187442E-5</c:v>
                </c:pt>
                <c:pt idx="31" formatCode="0.00E+00">
                  <c:v>6.7556348380444584E-5</c:v>
                </c:pt>
                <c:pt idx="32" formatCode="0.00E+00">
                  <c:v>6.8858865698701293E-5</c:v>
                </c:pt>
                <c:pt idx="33" formatCode="0.00E+00">
                  <c:v>7.0161383016958435E-5</c:v>
                </c:pt>
                <c:pt idx="34" formatCode="0.00E+00">
                  <c:v>7.1463900335215144E-5</c:v>
                </c:pt>
                <c:pt idx="35" formatCode="0.00E+00">
                  <c:v>7.2766417653472287E-5</c:v>
                </c:pt>
                <c:pt idx="36" formatCode="0.00E+00">
                  <c:v>7.4068934971728995E-5</c:v>
                </c:pt>
                <c:pt idx="37" formatCode="0.00E+00">
                  <c:v>7.5371452289986138E-5</c:v>
                </c:pt>
                <c:pt idx="38" formatCode="0.00E+00">
                  <c:v>7.6673969608242847E-5</c:v>
                </c:pt>
                <c:pt idx="39" formatCode="0.00E+00">
                  <c:v>7.8285680732168971E-5</c:v>
                </c:pt>
                <c:pt idx="40" formatCode="0.00E+00">
                  <c:v>7.9455686419425183E-5</c:v>
                </c:pt>
                <c:pt idx="41" formatCode="0.00E+00">
                  <c:v>7.9806069110588361E-5</c:v>
                </c:pt>
                <c:pt idx="42" formatCode="0.00E+00">
                  <c:v>8.2589053354941577E-5</c:v>
                </c:pt>
                <c:pt idx="43" formatCode="0.00E+00">
                  <c:v>8.3396155910788876E-5</c:v>
                </c:pt>
                <c:pt idx="44" formatCode="0.00E+00">
                  <c:v>8.4173229610609506E-5</c:v>
                </c:pt>
                <c:pt idx="45" formatCode="0.00E+00">
                  <c:v>8.4864009419033756E-5</c:v>
                </c:pt>
                <c:pt idx="46" formatCode="0.00E+00">
                  <c:v>8.5552427282266762E-5</c:v>
                </c:pt>
                <c:pt idx="47" formatCode="0.00E+00">
                  <c:v>8.6038648280202556E-5</c:v>
                </c:pt>
                <c:pt idx="48" formatCode="0.00E+00">
                  <c:v>8.6437806931471918E-5</c:v>
                </c:pt>
                <c:pt idx="49" formatCode="0.00E+00">
                  <c:v>8.6791342620833007E-5</c:v>
                </c:pt>
                <c:pt idx="50" formatCode="0.00E+00">
                  <c:v>8.7116707094273078E-5</c:v>
                </c:pt>
                <c:pt idx="51" formatCode="0.00E+00">
                  <c:v>8.7373696852958087E-5</c:v>
                </c:pt>
                <c:pt idx="52" formatCode="0.00E+00">
                  <c:v>8.7738897757801631E-5</c:v>
                </c:pt>
                <c:pt idx="53" formatCode="0.00E+00">
                  <c:v>8.8050203754089717E-5</c:v>
                </c:pt>
                <c:pt idx="54" formatCode="0.00E+00">
                  <c:v>8.8312463911269213E-5</c:v>
                </c:pt>
                <c:pt idx="55" formatCode="0.00E+00">
                  <c:v>8.8490459670374438E-5</c:v>
                </c:pt>
                <c:pt idx="56" formatCode="0.00E+00">
                  <c:v>8.8694120735193857E-5</c:v>
                </c:pt>
                <c:pt idx="57" formatCode="0.00E+00">
                  <c:v>8.9254549793900385E-5</c:v>
                </c:pt>
                <c:pt idx="58" formatCode="0.00E+00">
                  <c:v>9.005114260124438E-5</c:v>
                </c:pt>
                <c:pt idx="59" formatCode="0.00E+00">
                  <c:v>9.0881942369109463E-5</c:v>
                </c:pt>
                <c:pt idx="60" formatCode="0.00E+00">
                  <c:v>9.1898303940802261E-5</c:v>
                </c:pt>
                <c:pt idx="61" formatCode="0.00E+00">
                  <c:v>9.3274596042063404E-5</c:v>
                </c:pt>
                <c:pt idx="62" formatCode="0.00E+00">
                  <c:v>9.4654943494441841E-5</c:v>
                </c:pt>
                <c:pt idx="63" formatCode="0.00E+00">
                  <c:v>9.5568147956131454E-5</c:v>
                </c:pt>
                <c:pt idx="64" formatCode="0.00E+00">
                  <c:v>9.643727179732782E-5</c:v>
                </c:pt>
                <c:pt idx="65" formatCode="0.00E+00">
                  <c:v>9.7460231077917589E-5</c:v>
                </c:pt>
                <c:pt idx="66" formatCode="0.00E+00">
                  <c:v>9.8356990080011308E-5</c:v>
                </c:pt>
                <c:pt idx="67" formatCode="0.00E+00">
                  <c:v>9.9224252732341657E-5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FE-45BE-91CB-AD70E79DC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29152"/>
        <c:axId val="134701824"/>
      </c:lineChart>
      <c:catAx>
        <c:axId val="24572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01824"/>
        <c:crosses val="autoZero"/>
        <c:auto val="1"/>
        <c:lblAlgn val="ctr"/>
        <c:lblOffset val="100"/>
        <c:noMultiLvlLbl val="0"/>
      </c:catAx>
      <c:valAx>
        <c:axId val="134701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72915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Extrapolations!$A$4:$B$4</c:f>
              <c:strCache>
                <c:ptCount val="2"/>
                <c:pt idx="0">
                  <c:v>HDVs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Extrapolations!$C$4:$BR$4</c:f>
              <c:numCache>
                <c:formatCode>General</c:formatCode>
                <c:ptCount val="68"/>
                <c:pt idx="9" formatCode="0.00E+00">
                  <c:v>1.0741724290607476E-3</c:v>
                </c:pt>
                <c:pt idx="10" formatCode="0.00E+00">
                  <c:v>1.0741724290607476E-3</c:v>
                </c:pt>
                <c:pt idx="11" formatCode="0.00E+00">
                  <c:v>1.0741724290607476E-3</c:v>
                </c:pt>
                <c:pt idx="12" formatCode="0.00E+00">
                  <c:v>1.0741724290607476E-3</c:v>
                </c:pt>
                <c:pt idx="13" formatCode="0.00E+00">
                  <c:v>1.0741724290607476E-3</c:v>
                </c:pt>
                <c:pt idx="14" formatCode="0.00E+00">
                  <c:v>1.0741724290607476E-3</c:v>
                </c:pt>
                <c:pt idx="15" formatCode="0.00E+00">
                  <c:v>1.0741724290607476E-3</c:v>
                </c:pt>
                <c:pt idx="16" formatCode="0.00E+00">
                  <c:v>1.0741724290607476E-3</c:v>
                </c:pt>
                <c:pt idx="17" formatCode="0.00E+00">
                  <c:v>1.0741724290607476E-3</c:v>
                </c:pt>
                <c:pt idx="18" formatCode="0.00E+00">
                  <c:v>1.0741724290607476E-3</c:v>
                </c:pt>
                <c:pt idx="19" formatCode="0.00E+00">
                  <c:v>1.0741724290607476E-3</c:v>
                </c:pt>
                <c:pt idx="20" formatCode="0.00E+00">
                  <c:v>1.0723072716534118E-3</c:v>
                </c:pt>
                <c:pt idx="21" formatCode="0.00E+00">
                  <c:v>1.0704421142460759E-3</c:v>
                </c:pt>
                <c:pt idx="22" formatCode="0.00E+00">
                  <c:v>1.0685769568387401E-3</c:v>
                </c:pt>
                <c:pt idx="23" formatCode="0.00E+00">
                  <c:v>1.0667117994314045E-3</c:v>
                </c:pt>
                <c:pt idx="24" formatCode="0.00E+00">
                  <c:v>1.0648466420240688E-3</c:v>
                </c:pt>
                <c:pt idx="25" formatCode="0.00E+00">
                  <c:v>1.0629814846167332E-3</c:v>
                </c:pt>
                <c:pt idx="26" formatCode="0.00E+00">
                  <c:v>1.0611163272093976E-3</c:v>
                </c:pt>
                <c:pt idx="27" formatCode="0.00E+00">
                  <c:v>1.0592511698020617E-3</c:v>
                </c:pt>
                <c:pt idx="28" formatCode="0.00E+00">
                  <c:v>1.0573860123947261E-3</c:v>
                </c:pt>
                <c:pt idx="29" formatCode="0.00E+00">
                  <c:v>1.0555208549873905E-3</c:v>
                </c:pt>
                <c:pt idx="30" formatCode="0.00E+00">
                  <c:v>1.0536556975800548E-3</c:v>
                </c:pt>
                <c:pt idx="31" formatCode="0.00E+00">
                  <c:v>1.0517905401727192E-3</c:v>
                </c:pt>
                <c:pt idx="32" formatCode="0.00E+00">
                  <c:v>1.0499253827653836E-3</c:v>
                </c:pt>
                <c:pt idx="33" formatCode="0.00E+00">
                  <c:v>1.0480602253580479E-3</c:v>
                </c:pt>
                <c:pt idx="34" formatCode="0.00E+00">
                  <c:v>1.0461950679507121E-3</c:v>
                </c:pt>
                <c:pt idx="35" formatCode="0.00E+00">
                  <c:v>1.0443299105433765E-3</c:v>
                </c:pt>
                <c:pt idx="36" formatCode="0.00E+00">
                  <c:v>1.0424647531360406E-3</c:v>
                </c:pt>
                <c:pt idx="37" formatCode="0.00E+00">
                  <c:v>1.040599595728705E-3</c:v>
                </c:pt>
                <c:pt idx="38" formatCode="0.00E+00">
                  <c:v>1.0387344383213694E-3</c:v>
                </c:pt>
                <c:pt idx="39" formatCode="0.00E+00">
                  <c:v>1.0368692809140337E-3</c:v>
                </c:pt>
                <c:pt idx="40" formatCode="0.00E+00">
                  <c:v>1.0331389660993618E-3</c:v>
                </c:pt>
                <c:pt idx="41" formatCode="0.00E+00">
                  <c:v>1.0995181101032814E-3</c:v>
                </c:pt>
                <c:pt idx="42" formatCode="0.00E+00">
                  <c:v>1.1178720570179867E-3</c:v>
                </c:pt>
                <c:pt idx="43" formatCode="0.00E+00">
                  <c:v>1.139337361078613E-3</c:v>
                </c:pt>
                <c:pt idx="44" formatCode="0.00E+00">
                  <c:v>1.1689067098604232E-3</c:v>
                </c:pt>
                <c:pt idx="45" formatCode="0.00E+00">
                  <c:v>1.1886355244649762E-3</c:v>
                </c:pt>
                <c:pt idx="46" formatCode="0.00E+00">
                  <c:v>1.2005104013829389E-3</c:v>
                </c:pt>
                <c:pt idx="47" formatCode="0.00E+00">
                  <c:v>1.2150324713986361E-3</c:v>
                </c:pt>
                <c:pt idx="48" formatCode="0.00E+00">
                  <c:v>1.2281657343830318E-3</c:v>
                </c:pt>
                <c:pt idx="49" formatCode="0.00E+00">
                  <c:v>1.2718191053697899E-3</c:v>
                </c:pt>
                <c:pt idx="50" formatCode="0.00E+00">
                  <c:v>1.2872919346060385E-3</c:v>
                </c:pt>
                <c:pt idx="51" formatCode="0.00E+00">
                  <c:v>1.294373280286983E-3</c:v>
                </c:pt>
                <c:pt idx="52" formatCode="0.00E+00">
                  <c:v>1.2991392532857248E-3</c:v>
                </c:pt>
                <c:pt idx="53" formatCode="0.00E+00">
                  <c:v>1.2994994330511106E-3</c:v>
                </c:pt>
                <c:pt idx="54" formatCode="0.00E+00">
                  <c:v>1.2998067394523606E-3</c:v>
                </c:pt>
                <c:pt idx="55" formatCode="0.00E+00">
                  <c:v>1.29969410316452E-3</c:v>
                </c:pt>
                <c:pt idx="56" formatCode="0.00E+00">
                  <c:v>1.299580986209732E-3</c:v>
                </c:pt>
                <c:pt idx="57" formatCode="0.00E+00">
                  <c:v>1.2991434190659293E-3</c:v>
                </c:pt>
                <c:pt idx="58" formatCode="0.00E+00">
                  <c:v>1.2988513337846576E-3</c:v>
                </c:pt>
                <c:pt idx="59" formatCode="0.00E+00">
                  <c:v>1.2983562468295675E-3</c:v>
                </c:pt>
                <c:pt idx="60" formatCode="0.00E+00">
                  <c:v>1.2980781008897497E-3</c:v>
                </c:pt>
                <c:pt idx="61" formatCode="0.00E+00">
                  <c:v>1.2978283142997872E-3</c:v>
                </c:pt>
                <c:pt idx="62" formatCode="0.00E+00">
                  <c:v>1.2973135199998824E-3</c:v>
                </c:pt>
                <c:pt idx="63" formatCode="0.00E+00">
                  <c:v>1.2970622914090792E-3</c:v>
                </c:pt>
                <c:pt idx="64" formatCode="0.00E+00">
                  <c:v>1.2965591933382112E-3</c:v>
                </c:pt>
                <c:pt idx="65" formatCode="0.00E+00">
                  <c:v>1.2964217225914581E-3</c:v>
                </c:pt>
                <c:pt idx="66" formatCode="0.00E+00">
                  <c:v>1.2961902013454692E-3</c:v>
                </c:pt>
                <c:pt idx="67" formatCode="0.00E+00">
                  <c:v>1.2958891436145262E-3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25-4EBA-BDE8-170EF0E8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14112"/>
        <c:axId val="134715648"/>
      </c:lineChart>
      <c:catAx>
        <c:axId val="13471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15648"/>
        <c:crosses val="autoZero"/>
        <c:auto val="1"/>
        <c:lblAlgn val="ctr"/>
        <c:lblOffset val="100"/>
        <c:noMultiLvlLbl val="0"/>
      </c:catAx>
      <c:valAx>
        <c:axId val="134715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1411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Extrapolations!$A$5:$B$5</c:f>
              <c:strCache>
                <c:ptCount val="2"/>
                <c:pt idx="0">
                  <c:v>HDVs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Extrapolations!$C$5:$BT$5</c:f>
              <c:numCache>
                <c:formatCode>General</c:formatCode>
                <c:ptCount val="70"/>
                <c:pt idx="9" formatCode="0.00E+00">
                  <c:v>7.8040477200267344E-4</c:v>
                </c:pt>
                <c:pt idx="10" formatCode="0.00E+00">
                  <c:v>7.8040477200267344E-4</c:v>
                </c:pt>
                <c:pt idx="11" formatCode="0.00E+00">
                  <c:v>7.8040477200267344E-4</c:v>
                </c:pt>
                <c:pt idx="12" formatCode="0.00E+00">
                  <c:v>7.8040477200267344E-4</c:v>
                </c:pt>
                <c:pt idx="13" formatCode="0.00E+00">
                  <c:v>7.8040477200267344E-4</c:v>
                </c:pt>
                <c:pt idx="14" formatCode="0.00E+00">
                  <c:v>7.8040477200267344E-4</c:v>
                </c:pt>
                <c:pt idx="15" formatCode="0.00E+00">
                  <c:v>7.8040477200267344E-4</c:v>
                </c:pt>
                <c:pt idx="16" formatCode="0.00E+00">
                  <c:v>7.8040477200267344E-4</c:v>
                </c:pt>
                <c:pt idx="17" formatCode="0.00E+00">
                  <c:v>7.8040477200267344E-4</c:v>
                </c:pt>
                <c:pt idx="18" formatCode="0.00E+00">
                  <c:v>7.8040477200267344E-4</c:v>
                </c:pt>
                <c:pt idx="19" formatCode="0.00E+00">
                  <c:v>7.8040477200267344E-4</c:v>
                </c:pt>
                <c:pt idx="20" formatCode="0.00E+00">
                  <c:v>7.7904970301948082E-4</c:v>
                </c:pt>
                <c:pt idx="21" formatCode="0.00E+00">
                  <c:v>7.7769463403628821E-4</c:v>
                </c:pt>
                <c:pt idx="22" formatCode="0.00E+00">
                  <c:v>7.7633956505309559E-4</c:v>
                </c:pt>
                <c:pt idx="23" formatCode="0.00E+00">
                  <c:v>7.7498449606990298E-4</c:v>
                </c:pt>
                <c:pt idx="24" formatCode="0.00E+00">
                  <c:v>7.7362942708671036E-4</c:v>
                </c:pt>
                <c:pt idx="25" formatCode="0.00E+00">
                  <c:v>7.7227435810351774E-4</c:v>
                </c:pt>
                <c:pt idx="26" formatCode="0.00E+00">
                  <c:v>7.7091928912032513E-4</c:v>
                </c:pt>
                <c:pt idx="27" formatCode="0.00E+00">
                  <c:v>7.6956422013713251E-4</c:v>
                </c:pt>
                <c:pt idx="28" formatCode="0.00E+00">
                  <c:v>7.682091511539399E-4</c:v>
                </c:pt>
                <c:pt idx="29" formatCode="0.00E+00">
                  <c:v>7.6685408217074728E-4</c:v>
                </c:pt>
                <c:pt idx="30" formatCode="0.00E+00">
                  <c:v>7.6549901318755467E-4</c:v>
                </c:pt>
                <c:pt idx="31" formatCode="0.00E+00">
                  <c:v>7.6414394420436205E-4</c:v>
                </c:pt>
                <c:pt idx="32" formatCode="0.00E+00">
                  <c:v>7.6278887522116944E-4</c:v>
                </c:pt>
                <c:pt idx="33" formatCode="0.00E+00">
                  <c:v>7.6143380623797682E-4</c:v>
                </c:pt>
                <c:pt idx="34" formatCode="0.00E+00">
                  <c:v>7.6007873725478421E-4</c:v>
                </c:pt>
                <c:pt idx="35" formatCode="0.00E+00">
                  <c:v>7.5872366827159159E-4</c:v>
                </c:pt>
                <c:pt idx="36" formatCode="0.00E+00">
                  <c:v>7.5736859928839898E-4</c:v>
                </c:pt>
                <c:pt idx="37" formatCode="0.00E+00">
                  <c:v>7.5601353030520636E-4</c:v>
                </c:pt>
                <c:pt idx="38" formatCode="0.00E+00">
                  <c:v>7.5465846132201375E-4</c:v>
                </c:pt>
                <c:pt idx="39" formatCode="0.00E+00">
                  <c:v>7.5330339233882113E-4</c:v>
                </c:pt>
                <c:pt idx="40" formatCode="0.00E+00">
                  <c:v>7.5059325437243547E-4</c:v>
                </c:pt>
                <c:pt idx="41" formatCode="0.00E+00">
                  <c:v>7.9881884585164282E-4</c:v>
                </c:pt>
                <c:pt idx="42" formatCode="0.00E+00">
                  <c:v>8.1215330442627252E-4</c:v>
                </c:pt>
                <c:pt idx="43" formatCode="0.00E+00">
                  <c:v>8.277482175595845E-4</c:v>
                </c:pt>
                <c:pt idx="44" formatCode="0.00E+00">
                  <c:v>8.4923085877251694E-4</c:v>
                </c:pt>
                <c:pt idx="45" formatCode="0.00E+00">
                  <c:v>8.6356418240549429E-4</c:v>
                </c:pt>
                <c:pt idx="46" formatCode="0.00E+00">
                  <c:v>8.721914850275005E-4</c:v>
                </c:pt>
                <c:pt idx="47" formatCode="0.00E+00">
                  <c:v>8.8274201903209843E-4</c:v>
                </c:pt>
                <c:pt idx="48" formatCode="0.00E+00">
                  <c:v>8.9228356080668159E-4</c:v>
                </c:pt>
                <c:pt idx="49" formatCode="0.00E+00">
                  <c:v>9.2399848674446351E-4</c:v>
                </c:pt>
                <c:pt idx="50" formatCode="0.00E+00">
                  <c:v>9.3523976369932777E-4</c:v>
                </c:pt>
                <c:pt idx="51" formatCode="0.00E+00">
                  <c:v>9.4038448331053737E-4</c:v>
                </c:pt>
                <c:pt idx="52" formatCode="0.00E+00">
                  <c:v>9.4384704478654366E-4</c:v>
                </c:pt>
                <c:pt idx="53" formatCode="0.00E+00">
                  <c:v>9.4410872159008232E-4</c:v>
                </c:pt>
                <c:pt idx="54" formatCode="0.00E+00">
                  <c:v>9.443319849838489E-4</c:v>
                </c:pt>
                <c:pt idx="55" formatCode="0.00E+00">
                  <c:v>9.4425015278060706E-4</c:v>
                </c:pt>
                <c:pt idx="56" formatCode="0.00E+00">
                  <c:v>9.4416797136454901E-4</c:v>
                </c:pt>
                <c:pt idx="57" formatCode="0.00E+00">
                  <c:v>9.4385007129761667E-4</c:v>
                </c:pt>
                <c:pt idx="58" formatCode="0.00E+00">
                  <c:v>9.4363786630969357E-4</c:v>
                </c:pt>
                <c:pt idx="59" formatCode="0.00E+00">
                  <c:v>9.4327817710909993E-4</c:v>
                </c:pt>
                <c:pt idx="60" formatCode="0.00E+00">
                  <c:v>9.4307609929284396E-4</c:v>
                </c:pt>
                <c:pt idx="61" formatCode="0.00E+00">
                  <c:v>9.4289462503273878E-4</c:v>
                </c:pt>
                <c:pt idx="62" formatCode="0.00E+00">
                  <c:v>9.4252061810668451E-4</c:v>
                </c:pt>
                <c:pt idx="63" formatCode="0.00E+00">
                  <c:v>9.4233809620813079E-4</c:v>
                </c:pt>
                <c:pt idx="64" formatCode="0.00E+00">
                  <c:v>9.4197258679393529E-4</c:v>
                </c:pt>
                <c:pt idx="65" formatCode="0.00E+00">
                  <c:v>9.4187271192852781E-4</c:v>
                </c:pt>
                <c:pt idx="66" formatCode="0.00E+00">
                  <c:v>9.4170450775543462E-4</c:v>
                </c:pt>
                <c:pt idx="67" formatCode="0.00E+00">
                  <c:v>9.4148578412827765E-4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9E-47F4-8644-3A040F3A9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32032"/>
        <c:axId val="134807552"/>
      </c:lineChart>
      <c:catAx>
        <c:axId val="13473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07552"/>
        <c:crosses val="autoZero"/>
        <c:auto val="1"/>
        <c:lblAlgn val="ctr"/>
        <c:lblOffset val="100"/>
        <c:noMultiLvlLbl val="0"/>
      </c:catAx>
      <c:valAx>
        <c:axId val="134807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3203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Extrapolations!$A$6:$B$6</c:f>
              <c:strCache>
                <c:ptCount val="2"/>
                <c:pt idx="0">
                  <c:v>aircraft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Extrapolations!$C$6:$BT$6</c:f>
              <c:numCache>
                <c:formatCode>General</c:formatCode>
                <c:ptCount val="70"/>
                <c:pt idx="13" formatCode="0.00E+00">
                  <c:v>2.290338125160345E-4</c:v>
                </c:pt>
                <c:pt idx="14" formatCode="0.00E+00">
                  <c:v>2.3241910879234773E-4</c:v>
                </c:pt>
                <c:pt idx="15" formatCode="0.00E+00">
                  <c:v>2.3580440506866095E-4</c:v>
                </c:pt>
                <c:pt idx="16" formatCode="0.00E+00">
                  <c:v>2.3918970134497418E-4</c:v>
                </c:pt>
                <c:pt idx="17" formatCode="0.00E+00">
                  <c:v>2.4257499762128654E-4</c:v>
                </c:pt>
                <c:pt idx="18" formatCode="0.00E+00">
                  <c:v>2.4596029389759976E-4</c:v>
                </c:pt>
                <c:pt idx="19" formatCode="0.00E+00">
                  <c:v>2.4934559017391299E-4</c:v>
                </c:pt>
                <c:pt idx="20" formatCode="0.00E+00">
                  <c:v>2.5273088645022621E-4</c:v>
                </c:pt>
                <c:pt idx="21" formatCode="0.00E+00">
                  <c:v>2.5611618272653944E-4</c:v>
                </c:pt>
                <c:pt idx="22" formatCode="0.00E+00">
                  <c:v>2.595014790028518E-4</c:v>
                </c:pt>
                <c:pt idx="23" formatCode="0.00E+00">
                  <c:v>2.6288677527916502E-4</c:v>
                </c:pt>
                <c:pt idx="24" formatCode="0.00E+00">
                  <c:v>2.6627207155547825E-4</c:v>
                </c:pt>
                <c:pt idx="25" formatCode="0.00E+00">
                  <c:v>2.6965736783179147E-4</c:v>
                </c:pt>
                <c:pt idx="26" formatCode="0.00E+00">
                  <c:v>2.7304266410810383E-4</c:v>
                </c:pt>
                <c:pt idx="27" formatCode="0.00E+00">
                  <c:v>2.7642796038441705E-4</c:v>
                </c:pt>
                <c:pt idx="28" formatCode="0.00E+00">
                  <c:v>2.7981325666073028E-4</c:v>
                </c:pt>
                <c:pt idx="29" formatCode="0.00E+00">
                  <c:v>2.831985529370435E-4</c:v>
                </c:pt>
                <c:pt idx="30" formatCode="0.00E+00">
                  <c:v>2.8658384921335586E-4</c:v>
                </c:pt>
                <c:pt idx="31" formatCode="0.00E+00">
                  <c:v>2.8996914548966909E-4</c:v>
                </c:pt>
                <c:pt idx="32" formatCode="0.00E+00">
                  <c:v>2.9335444176598231E-4</c:v>
                </c:pt>
                <c:pt idx="33" formatCode="0.00E+00">
                  <c:v>2.9673973804229554E-4</c:v>
                </c:pt>
                <c:pt idx="34" formatCode="0.00E+00">
                  <c:v>3.001250343186079E-4</c:v>
                </c:pt>
                <c:pt idx="35" formatCode="0.00E+00">
                  <c:v>3.0351033059492112E-4</c:v>
                </c:pt>
                <c:pt idx="36" formatCode="0.00E+00">
                  <c:v>3.0689562687123435E-4</c:v>
                </c:pt>
                <c:pt idx="37" formatCode="0.00E+00">
                  <c:v>3.1028092314754757E-4</c:v>
                </c:pt>
                <c:pt idx="38" formatCode="0.00E+00">
                  <c:v>3.1366621942385993E-4</c:v>
                </c:pt>
                <c:pt idx="39" formatCode="0.00E+00">
                  <c:v>3.1705151570017315E-4</c:v>
                </c:pt>
                <c:pt idx="40" formatCode="0.00E+00">
                  <c:v>3.0464933987873528E-4</c:v>
                </c:pt>
                <c:pt idx="41" formatCode="0.00E+00">
                  <c:v>3.0464933987873528E-4</c:v>
                </c:pt>
                <c:pt idx="42" formatCode="0.00E+00">
                  <c:v>3.3408269543052564E-4</c:v>
                </c:pt>
                <c:pt idx="43" formatCode="0.00E+00">
                  <c:v>3.3665348546582375E-4</c:v>
                </c:pt>
                <c:pt idx="44" formatCode="0.00E+00">
                  <c:v>3.3935581504087849E-4</c:v>
                </c:pt>
                <c:pt idx="45" formatCode="0.00E+00">
                  <c:v>3.4216015354620157E-4</c:v>
                </c:pt>
                <c:pt idx="46" formatCode="0.00E+00">
                  <c:v>3.4502111275582734E-4</c:v>
                </c:pt>
                <c:pt idx="47" formatCode="0.00E+00">
                  <c:v>3.4790902074721106E-4</c:v>
                </c:pt>
                <c:pt idx="48" formatCode="0.00E+00">
                  <c:v>3.5081980617662339E-4</c:v>
                </c:pt>
                <c:pt idx="49" formatCode="0.00E+00">
                  <c:v>3.5375247221412683E-4</c:v>
                </c:pt>
                <c:pt idx="50" formatCode="0.00E+00">
                  <c:v>3.5670603348759934E-4</c:v>
                </c:pt>
                <c:pt idx="51" formatCode="0.00E+00">
                  <c:v>3.5968007751568736E-4</c:v>
                </c:pt>
                <c:pt idx="52" formatCode="0.00E+00">
                  <c:v>3.626744897202374E-4</c:v>
                </c:pt>
                <c:pt idx="53" formatCode="0.00E+00">
                  <c:v>3.656928831323635E-4</c:v>
                </c:pt>
                <c:pt idx="54" formatCode="0.00E+00">
                  <c:v>3.6873385989859042E-4</c:v>
                </c:pt>
                <c:pt idx="55" formatCode="0.00E+00">
                  <c:v>3.7179596105709373E-4</c:v>
                </c:pt>
                <c:pt idx="56" formatCode="0.00E+00">
                  <c:v>3.7487939284855035E-4</c:v>
                </c:pt>
                <c:pt idx="57" formatCode="0.00E+00">
                  <c:v>3.7798229146832611E-4</c:v>
                </c:pt>
                <c:pt idx="58" formatCode="0.00E+00">
                  <c:v>3.8110333926765313E-4</c:v>
                </c:pt>
                <c:pt idx="59" formatCode="0.00E+00">
                  <c:v>3.8424184495833714E-4</c:v>
                </c:pt>
                <c:pt idx="60" formatCode="0.00E+00">
                  <c:v>3.8739917202040771E-4</c:v>
                </c:pt>
                <c:pt idx="61" formatCode="0.00E+00">
                  <c:v>3.9057663428336076E-4</c:v>
                </c:pt>
                <c:pt idx="62" formatCode="0.00E+00">
                  <c:v>3.937746365900064E-4</c:v>
                </c:pt>
                <c:pt idx="63" formatCode="0.00E+00">
                  <c:v>3.9699374037329777E-4</c:v>
                </c:pt>
                <c:pt idx="64" formatCode="0.00E+00">
                  <c:v>4.0023428554842422E-4</c:v>
                </c:pt>
                <c:pt idx="65" formatCode="0.00E+00">
                  <c:v>4.0349549298394053E-4</c:v>
                </c:pt>
                <c:pt idx="66" formatCode="0.00E+00">
                  <c:v>4.067774772580003E-4</c:v>
                </c:pt>
                <c:pt idx="67" formatCode="0.00E+00">
                  <c:v>4.1007787424136491E-4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2-4B86-967E-8CB150C67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29568"/>
        <c:axId val="134831104"/>
      </c:lineChart>
      <c:catAx>
        <c:axId val="13482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31104"/>
        <c:crosses val="autoZero"/>
        <c:auto val="1"/>
        <c:lblAlgn val="ctr"/>
        <c:lblOffset val="100"/>
        <c:noMultiLvlLbl val="0"/>
      </c:catAx>
      <c:valAx>
        <c:axId val="13483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2956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Extrapolations!$A$7:$B$7</c:f>
              <c:strCache>
                <c:ptCount val="2"/>
                <c:pt idx="0">
                  <c:v>aircraft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Extrapolations!$C$7:$BT$7</c:f>
              <c:numCache>
                <c:formatCode>General</c:formatCode>
                <c:ptCount val="70"/>
                <c:pt idx="13" formatCode="0.00E+00">
                  <c:v>9.3239985476639982E-5</c:v>
                </c:pt>
                <c:pt idx="14" formatCode="0.00E+00">
                  <c:v>9.3239985476639982E-5</c:v>
                </c:pt>
                <c:pt idx="15" formatCode="0.00E+00">
                  <c:v>9.3239985476639982E-5</c:v>
                </c:pt>
                <c:pt idx="16" formatCode="0.00E+00">
                  <c:v>9.3239985476639982E-5</c:v>
                </c:pt>
                <c:pt idx="17" formatCode="0.00E+00">
                  <c:v>9.3239985476639982E-5</c:v>
                </c:pt>
                <c:pt idx="18" formatCode="0.00E+00">
                  <c:v>9.3239985476639982E-5</c:v>
                </c:pt>
                <c:pt idx="19" formatCode="0.00E+00">
                  <c:v>9.3239985476639982E-5</c:v>
                </c:pt>
                <c:pt idx="20" formatCode="0.00E+00">
                  <c:v>9.3239985476639982E-5</c:v>
                </c:pt>
                <c:pt idx="21" formatCode="0.00E+00">
                  <c:v>9.3239985476639982E-5</c:v>
                </c:pt>
                <c:pt idx="22" formatCode="0.00E+00">
                  <c:v>9.3239985476639982E-5</c:v>
                </c:pt>
                <c:pt idx="23" formatCode="0.00E+00">
                  <c:v>9.3239985476639982E-5</c:v>
                </c:pt>
                <c:pt idx="24" formatCode="0.00E+00">
                  <c:v>9.3239985476639982E-5</c:v>
                </c:pt>
                <c:pt idx="25" formatCode="0.00E+00">
                  <c:v>9.3239985476639982E-5</c:v>
                </c:pt>
                <c:pt idx="26" formatCode="0.00E+00">
                  <c:v>9.3239985476639982E-5</c:v>
                </c:pt>
                <c:pt idx="27" formatCode="0.00E+00">
                  <c:v>9.3239985476639982E-5</c:v>
                </c:pt>
                <c:pt idx="28" formatCode="0.00E+00">
                  <c:v>9.3239985476639982E-5</c:v>
                </c:pt>
                <c:pt idx="29" formatCode="0.00E+00">
                  <c:v>9.3239985476639982E-5</c:v>
                </c:pt>
                <c:pt idx="30" formatCode="0.00E+00">
                  <c:v>9.3239985476639982E-5</c:v>
                </c:pt>
                <c:pt idx="31" formatCode="0.00E+00">
                  <c:v>9.3239985476639982E-5</c:v>
                </c:pt>
                <c:pt idx="32" formatCode="0.00E+00">
                  <c:v>9.3239985476639982E-5</c:v>
                </c:pt>
                <c:pt idx="33" formatCode="0.00E+00">
                  <c:v>9.3239985476639982E-5</c:v>
                </c:pt>
                <c:pt idx="34" formatCode="0.00E+00">
                  <c:v>9.3239985476639982E-5</c:v>
                </c:pt>
                <c:pt idx="35" formatCode="0.00E+00">
                  <c:v>9.3239985476639982E-5</c:v>
                </c:pt>
                <c:pt idx="36" formatCode="0.00E+00">
                  <c:v>9.3239985476639982E-5</c:v>
                </c:pt>
                <c:pt idx="37" formatCode="0.00E+00">
                  <c:v>9.3239985476639982E-5</c:v>
                </c:pt>
                <c:pt idx="38" formatCode="0.00E+00">
                  <c:v>9.3239985476639982E-5</c:v>
                </c:pt>
                <c:pt idx="39" formatCode="0.00E+00">
                  <c:v>9.3239985476639982E-5</c:v>
                </c:pt>
                <c:pt idx="40" formatCode="0.00E+00">
                  <c:v>9.3239985476639982E-5</c:v>
                </c:pt>
                <c:pt idx="41" formatCode="0.00E+00">
                  <c:v>9.3239985476639982E-5</c:v>
                </c:pt>
                <c:pt idx="42" formatCode="0.00E+00">
                  <c:v>1.0224826248544657E-4</c:v>
                </c:pt>
                <c:pt idx="43" formatCode="0.00E+00">
                  <c:v>1.0303507011696843E-4</c:v>
                </c:pt>
                <c:pt idx="44" formatCode="0.00E+00">
                  <c:v>1.0386213631193046E-4</c:v>
                </c:pt>
                <c:pt idx="45" formatCode="0.00E+00">
                  <c:v>1.0472042302810055E-4</c:v>
                </c:pt>
                <c:pt idx="46" formatCode="0.00E+00">
                  <c:v>1.0559603889275644E-4</c:v>
                </c:pt>
                <c:pt idx="47" formatCode="0.00E+00">
                  <c:v>1.0647990261385189E-4</c:v>
                </c:pt>
                <c:pt idx="48" formatCode="0.00E+00">
                  <c:v>1.0737076812917535E-4</c:v>
                </c:pt>
                <c:pt idx="49" formatCode="0.00E+00">
                  <c:v>1.0826833035220035E-4</c:v>
                </c:pt>
                <c:pt idx="50" formatCode="0.00E+00">
                  <c:v>1.0917228770314212E-4</c:v>
                </c:pt>
                <c:pt idx="51" formatCode="0.00E+00">
                  <c:v>1.1008251393930003E-4</c:v>
                </c:pt>
                <c:pt idx="52" formatCode="0.00E+00">
                  <c:v>1.1099897399325733E-4</c:v>
                </c:pt>
                <c:pt idx="53" formatCode="0.00E+00">
                  <c:v>1.1192277365755811E-4</c:v>
                </c:pt>
                <c:pt idx="54" formatCode="0.00E+00">
                  <c:v>1.1285348510971702E-4</c:v>
                </c:pt>
                <c:pt idx="55" formatCode="0.00E+00">
                  <c:v>1.1379066182462636E-4</c:v>
                </c:pt>
                <c:pt idx="56" formatCode="0.00E+00">
                  <c:v>1.1473436692363647E-4</c:v>
                </c:pt>
                <c:pt idx="57" formatCode="0.00E+00">
                  <c:v>1.156840299767668E-4</c:v>
                </c:pt>
                <c:pt idx="58" formatCode="0.00E+00">
                  <c:v>1.1663924770872375E-4</c:v>
                </c:pt>
                <c:pt idx="59" formatCode="0.00E+00">
                  <c:v>1.1759980854609242E-4</c:v>
                </c:pt>
                <c:pt idx="60" formatCode="0.00E+00">
                  <c:v>1.1856612979113317E-4</c:v>
                </c:pt>
                <c:pt idx="61" formatCode="0.00E+00">
                  <c:v>1.1953861355022565E-4</c:v>
                </c:pt>
                <c:pt idx="62" formatCode="0.00E+00">
                  <c:v>1.2051738372824274E-4</c:v>
                </c:pt>
                <c:pt idx="63" formatCode="0.00E+00">
                  <c:v>1.2150261215552689E-4</c:v>
                </c:pt>
                <c:pt idx="64" formatCode="0.00E+00">
                  <c:v>1.2249440286541473E-4</c:v>
                </c:pt>
                <c:pt idx="65" formatCode="0.00E+00">
                  <c:v>1.2349251739947177E-4</c:v>
                </c:pt>
                <c:pt idx="66" formatCode="0.00E+00">
                  <c:v>1.2449699082511483E-4</c:v>
                </c:pt>
                <c:pt idx="67" formatCode="0.00E+00">
                  <c:v>1.2550709958464328E-4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6-4868-B118-F1A6BB173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39680"/>
        <c:axId val="134845568"/>
      </c:lineChart>
      <c:catAx>
        <c:axId val="13483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45568"/>
        <c:crosses val="autoZero"/>
        <c:auto val="1"/>
        <c:lblAlgn val="ctr"/>
        <c:lblOffset val="100"/>
        <c:noMultiLvlLbl val="0"/>
      </c:catAx>
      <c:valAx>
        <c:axId val="13484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3968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Extrapolations!$A$8:$B$8</c:f>
              <c:strCache>
                <c:ptCount val="2"/>
                <c:pt idx="0">
                  <c:v>rail</c:v>
                </c:pt>
                <c:pt idx="1">
                  <c:v>psgr - diesel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Extrapolations!$C$8:$BT$8</c:f>
              <c:numCache>
                <c:formatCode>General</c:formatCode>
                <c:ptCount val="70"/>
                <c:pt idx="3" formatCode="0.00E+00">
                  <c:v>5.0586266198922429E-5</c:v>
                </c:pt>
                <c:pt idx="4" formatCode="0.00E+00">
                  <c:v>5.0586266198922429E-5</c:v>
                </c:pt>
                <c:pt idx="5" formatCode="0.00E+00">
                  <c:v>5.0586266198922429E-5</c:v>
                </c:pt>
                <c:pt idx="6" formatCode="0.00E+00">
                  <c:v>5.0586266198922429E-5</c:v>
                </c:pt>
                <c:pt idx="7" formatCode="0.00E+00">
                  <c:v>5.0586266198922429E-5</c:v>
                </c:pt>
                <c:pt idx="8" formatCode="0.00E+00">
                  <c:v>5.0586266198922429E-5</c:v>
                </c:pt>
                <c:pt idx="9" formatCode="0.00E+00">
                  <c:v>5.0586266198922429E-5</c:v>
                </c:pt>
                <c:pt idx="10" formatCode="0.00E+00">
                  <c:v>5.0586266198922429E-5</c:v>
                </c:pt>
                <c:pt idx="11" formatCode="0.00E+00">
                  <c:v>5.0586266198922429E-5</c:v>
                </c:pt>
                <c:pt idx="12" formatCode="0.00E+00">
                  <c:v>5.0586266198922429E-5</c:v>
                </c:pt>
                <c:pt idx="13" formatCode="0.00E+00">
                  <c:v>5.0586266198922429E-5</c:v>
                </c:pt>
                <c:pt idx="14" formatCode="0.00E+00">
                  <c:v>5.0586266198922429E-5</c:v>
                </c:pt>
                <c:pt idx="15" formatCode="0.00E+00">
                  <c:v>5.0586266198922429E-5</c:v>
                </c:pt>
                <c:pt idx="16" formatCode="0.00E+00">
                  <c:v>5.0586266198922429E-5</c:v>
                </c:pt>
                <c:pt idx="17" formatCode="0.00E+00">
                  <c:v>5.0586266198922429E-5</c:v>
                </c:pt>
                <c:pt idx="18" formatCode="0.00E+00">
                  <c:v>5.0586266198922429E-5</c:v>
                </c:pt>
                <c:pt idx="19" formatCode="0.00E+00">
                  <c:v>5.0586266198922429E-5</c:v>
                </c:pt>
                <c:pt idx="20" formatCode="0.00E+00">
                  <c:v>5.0586266198922429E-5</c:v>
                </c:pt>
                <c:pt idx="21" formatCode="0.00E+00">
                  <c:v>5.0586266198922429E-5</c:v>
                </c:pt>
                <c:pt idx="22" formatCode="0.00E+00">
                  <c:v>5.0586266198922429E-5</c:v>
                </c:pt>
                <c:pt idx="23" formatCode="0.00E+00">
                  <c:v>5.0586266198922429E-5</c:v>
                </c:pt>
                <c:pt idx="24" formatCode="0.00E+00">
                  <c:v>5.0586266198922429E-5</c:v>
                </c:pt>
                <c:pt idx="25" formatCode="0.00E+00">
                  <c:v>5.0586266198922429E-5</c:v>
                </c:pt>
                <c:pt idx="26" formatCode="0.00E+00">
                  <c:v>5.0586266198922429E-5</c:v>
                </c:pt>
                <c:pt idx="27" formatCode="0.00E+00">
                  <c:v>5.0586266198922429E-5</c:v>
                </c:pt>
                <c:pt idx="28" formatCode="0.00E+00">
                  <c:v>5.0586266198922429E-5</c:v>
                </c:pt>
                <c:pt idx="29" formatCode="0.00E+00">
                  <c:v>5.0586266198922429E-5</c:v>
                </c:pt>
                <c:pt idx="30" formatCode="0.00E+00">
                  <c:v>5.0586266198922429E-5</c:v>
                </c:pt>
                <c:pt idx="31" formatCode="0.00E+00">
                  <c:v>5.0586266198922429E-5</c:v>
                </c:pt>
                <c:pt idx="32" formatCode="0.00E+00">
                  <c:v>5.0586266198922429E-5</c:v>
                </c:pt>
                <c:pt idx="33" formatCode="0.00E+00">
                  <c:v>5.0586266198922429E-5</c:v>
                </c:pt>
                <c:pt idx="34" formatCode="0.00E+00">
                  <c:v>5.0586266198922429E-5</c:v>
                </c:pt>
                <c:pt idx="35" formatCode="0.00E+00">
                  <c:v>5.0586266198922429E-5</c:v>
                </c:pt>
                <c:pt idx="36" formatCode="0.00E+00">
                  <c:v>5.0586266198922429E-5</c:v>
                </c:pt>
                <c:pt idx="37" formatCode="0.00E+00">
                  <c:v>5.0586266198922429E-5</c:v>
                </c:pt>
                <c:pt idx="38" formatCode="0.00E+00">
                  <c:v>5.0586266198922429E-5</c:v>
                </c:pt>
                <c:pt idx="39" formatCode="0.00E+00">
                  <c:v>5.0586266198922429E-5</c:v>
                </c:pt>
                <c:pt idx="40" formatCode="0.00E+00">
                  <c:v>5.0586266198922429E-5</c:v>
                </c:pt>
                <c:pt idx="41" formatCode="0.00E+00">
                  <c:v>5.0586266198922429E-5</c:v>
                </c:pt>
                <c:pt idx="42" formatCode="0.00E+00">
                  <c:v>5.0586266198922429E-5</c:v>
                </c:pt>
                <c:pt idx="43" formatCode="0.00E+00">
                  <c:v>5.0586266198922429E-5</c:v>
                </c:pt>
                <c:pt idx="44" formatCode="0.00E+00">
                  <c:v>5.0586266198922429E-5</c:v>
                </c:pt>
                <c:pt idx="45" formatCode="0.00E+00">
                  <c:v>5.0586266198922429E-5</c:v>
                </c:pt>
                <c:pt idx="46" formatCode="0.00E+00">
                  <c:v>5.0586266198922429E-5</c:v>
                </c:pt>
                <c:pt idx="47" formatCode="0.00E+00">
                  <c:v>5.0586266198922429E-5</c:v>
                </c:pt>
                <c:pt idx="48" formatCode="0.00E+00">
                  <c:v>5.0586266198922429E-5</c:v>
                </c:pt>
                <c:pt idx="49" formatCode="0.00E+00">
                  <c:v>5.0586266198922429E-5</c:v>
                </c:pt>
                <c:pt idx="50" formatCode="0.00E+00">
                  <c:v>5.0586266198922429E-5</c:v>
                </c:pt>
                <c:pt idx="51" formatCode="0.00E+00">
                  <c:v>5.0586266198922429E-5</c:v>
                </c:pt>
                <c:pt idx="52" formatCode="0.00E+00">
                  <c:v>5.0586266198922429E-5</c:v>
                </c:pt>
                <c:pt idx="53" formatCode="0.00E+00">
                  <c:v>5.0586266198922429E-5</c:v>
                </c:pt>
                <c:pt idx="54" formatCode="0.00E+00">
                  <c:v>5.0586266198922429E-5</c:v>
                </c:pt>
                <c:pt idx="55" formatCode="0.00E+00">
                  <c:v>5.0586266198922429E-5</c:v>
                </c:pt>
                <c:pt idx="56" formatCode="0.00E+00">
                  <c:v>5.0586266198922429E-5</c:v>
                </c:pt>
                <c:pt idx="57" formatCode="0.00E+00">
                  <c:v>5.0586266198922429E-5</c:v>
                </c:pt>
                <c:pt idx="58" formatCode="0.00E+00">
                  <c:v>5.0586266198922429E-5</c:v>
                </c:pt>
                <c:pt idx="59" formatCode="0.00E+00">
                  <c:v>5.0586266198922429E-5</c:v>
                </c:pt>
                <c:pt idx="60" formatCode="0.00E+00">
                  <c:v>5.0586266198922429E-5</c:v>
                </c:pt>
                <c:pt idx="61" formatCode="0.00E+00">
                  <c:v>5.0586266198922429E-5</c:v>
                </c:pt>
                <c:pt idx="62" formatCode="0.00E+00">
                  <c:v>5.0586266198922429E-5</c:v>
                </c:pt>
                <c:pt idx="63" formatCode="0.00E+00">
                  <c:v>5.0586266198922429E-5</c:v>
                </c:pt>
                <c:pt idx="64" formatCode="0.00E+00">
                  <c:v>5.0586266198922429E-5</c:v>
                </c:pt>
                <c:pt idx="65" formatCode="0.00E+00">
                  <c:v>5.0586266198922429E-5</c:v>
                </c:pt>
                <c:pt idx="66" formatCode="0.00E+00">
                  <c:v>5.0586266198922429E-5</c:v>
                </c:pt>
                <c:pt idx="67" formatCode="0.00E+00">
                  <c:v>5.0586266198922429E-5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1B-46D7-9971-4B60B6127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70848"/>
        <c:axId val="135072384"/>
      </c:lineChart>
      <c:catAx>
        <c:axId val="13507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72384"/>
        <c:crosses val="autoZero"/>
        <c:auto val="1"/>
        <c:lblAlgn val="ctr"/>
        <c:lblOffset val="100"/>
        <c:noMultiLvlLbl val="0"/>
      </c:catAx>
      <c:valAx>
        <c:axId val="1350723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7084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Extrapolations!$A$10:$B$10</c:f>
              <c:strCache>
                <c:ptCount val="2"/>
                <c:pt idx="0">
                  <c:v>rail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Extrapolations!$C$10:$BT$10</c:f>
              <c:numCache>
                <c:formatCode>General</c:formatCode>
                <c:ptCount val="70"/>
                <c:pt idx="3" formatCode="0.00E+00">
                  <c:v>3.2361562983312985E-3</c:v>
                </c:pt>
                <c:pt idx="4" formatCode="0.00E+00">
                  <c:v>3.2397638770858776E-3</c:v>
                </c:pt>
                <c:pt idx="5" formatCode="0.00E+00">
                  <c:v>3.2433714558404558E-3</c:v>
                </c:pt>
                <c:pt idx="6" formatCode="0.00E+00">
                  <c:v>3.2469790345950348E-3</c:v>
                </c:pt>
                <c:pt idx="7" formatCode="0.00E+00">
                  <c:v>3.2505866133496139E-3</c:v>
                </c:pt>
                <c:pt idx="8" formatCode="0.00E+00">
                  <c:v>3.2541941921041921E-3</c:v>
                </c:pt>
                <c:pt idx="9" formatCode="0.00E+00">
                  <c:v>3.2578017708587712E-3</c:v>
                </c:pt>
                <c:pt idx="10" formatCode="0.00E+00">
                  <c:v>3.2614093496133494E-3</c:v>
                </c:pt>
                <c:pt idx="11" formatCode="0.00E+00">
                  <c:v>3.2650169283679285E-3</c:v>
                </c:pt>
                <c:pt idx="12" formatCode="0.00E+00">
                  <c:v>3.2686245071225075E-3</c:v>
                </c:pt>
                <c:pt idx="13" formatCode="0.00E+00">
                  <c:v>3.2722320858770857E-3</c:v>
                </c:pt>
                <c:pt idx="14" formatCode="0.00E+00">
                  <c:v>3.2758396646316648E-3</c:v>
                </c:pt>
                <c:pt idx="15" formatCode="0.00E+00">
                  <c:v>3.2794472433862439E-3</c:v>
                </c:pt>
                <c:pt idx="16" formatCode="0.00E+00">
                  <c:v>3.2830548221408221E-3</c:v>
                </c:pt>
                <c:pt idx="17" formatCode="0.00E+00">
                  <c:v>3.2866624008954012E-3</c:v>
                </c:pt>
                <c:pt idx="18" formatCode="0.00E+00">
                  <c:v>3.2902699796499802E-3</c:v>
                </c:pt>
                <c:pt idx="19" formatCode="0.00E+00">
                  <c:v>3.2938775584045584E-3</c:v>
                </c:pt>
                <c:pt idx="20" formatCode="0.00E+00">
                  <c:v>3.2974851371591375E-3</c:v>
                </c:pt>
                <c:pt idx="21" formatCode="0.00E+00">
                  <c:v>3.3010927159137157E-3</c:v>
                </c:pt>
                <c:pt idx="22" formatCode="0.00E+00">
                  <c:v>3.3047002946682948E-3</c:v>
                </c:pt>
                <c:pt idx="23" formatCode="0.00E+00">
                  <c:v>3.3083078734228739E-3</c:v>
                </c:pt>
                <c:pt idx="24" formatCode="0.00E+00">
                  <c:v>3.3119154521774521E-3</c:v>
                </c:pt>
                <c:pt idx="25" formatCode="0.00E+00">
                  <c:v>3.3155230309320311E-3</c:v>
                </c:pt>
                <c:pt idx="26" formatCode="0.00E+00">
                  <c:v>3.3191306096866102E-3</c:v>
                </c:pt>
                <c:pt idx="27" formatCode="0.00E+00">
                  <c:v>3.3227381884411884E-3</c:v>
                </c:pt>
                <c:pt idx="28" formatCode="0.00E+00">
                  <c:v>3.3263457671957675E-3</c:v>
                </c:pt>
                <c:pt idx="29" formatCode="0.00E+00">
                  <c:v>3.3299533459503457E-3</c:v>
                </c:pt>
                <c:pt idx="30" formatCode="0.00E+00">
                  <c:v>3.3335609247049248E-3</c:v>
                </c:pt>
                <c:pt idx="31" formatCode="0.00E+00">
                  <c:v>3.3371685034595039E-3</c:v>
                </c:pt>
                <c:pt idx="32" formatCode="0.00E+00">
                  <c:v>3.3407760822140821E-3</c:v>
                </c:pt>
                <c:pt idx="33" formatCode="0.00E+00">
                  <c:v>3.3443836609686611E-3</c:v>
                </c:pt>
                <c:pt idx="34" formatCode="0.00E+00">
                  <c:v>3.3479912397232402E-3</c:v>
                </c:pt>
                <c:pt idx="35" formatCode="0.00E+00">
                  <c:v>3.3515988184778184E-3</c:v>
                </c:pt>
                <c:pt idx="36" formatCode="0.00E+00">
                  <c:v>3.3552063972323975E-3</c:v>
                </c:pt>
                <c:pt idx="37" formatCode="0.00E+00">
                  <c:v>3.3588139759869757E-3</c:v>
                </c:pt>
                <c:pt idx="38" formatCode="0.00E+00">
                  <c:v>3.3624215547415548E-3</c:v>
                </c:pt>
                <c:pt idx="39" formatCode="0.00E+00">
                  <c:v>3.3660291334961338E-3</c:v>
                </c:pt>
                <c:pt idx="40" formatCode="0.00E+00">
                  <c:v>3.369636712250712E-3</c:v>
                </c:pt>
                <c:pt idx="41" formatCode="0.00E+00">
                  <c:v>3.3734500000000001E-3</c:v>
                </c:pt>
                <c:pt idx="42" formatCode="0.00E+00">
                  <c:v>3.3770099999999997E-3</c:v>
                </c:pt>
                <c:pt idx="43" formatCode="0.00E+00">
                  <c:v>3.3805740000000003E-3</c:v>
                </c:pt>
                <c:pt idx="44" formatCode="0.00E+00">
                  <c:v>3.3841420000000001E-3</c:v>
                </c:pt>
                <c:pt idx="45" formatCode="0.00E+00">
                  <c:v>3.3877130000000001E-3</c:v>
                </c:pt>
                <c:pt idx="46" formatCode="0.00E+00">
                  <c:v>3.391289E-3</c:v>
                </c:pt>
                <c:pt idx="47" formatCode="0.00E+00">
                  <c:v>3.3948680000000001E-3</c:v>
                </c:pt>
                <c:pt idx="48" formatCode="0.00E+00">
                  <c:v>3.3984510000000002E-3</c:v>
                </c:pt>
                <c:pt idx="49" formatCode="0.00E+00">
                  <c:v>3.4020370000000001E-3</c:v>
                </c:pt>
                <c:pt idx="50" formatCode="0.00E+00">
                  <c:v>3.405628E-3</c:v>
                </c:pt>
                <c:pt idx="51" formatCode="0.00E+00">
                  <c:v>3.4092220000000004E-3</c:v>
                </c:pt>
                <c:pt idx="52" formatCode="0.00E+00">
                  <c:v>3.41282E-3</c:v>
                </c:pt>
                <c:pt idx="53" formatCode="0.00E+00">
                  <c:v>3.4164219999999997E-3</c:v>
                </c:pt>
                <c:pt idx="54" formatCode="0.00E+00">
                  <c:v>3.420027E-3</c:v>
                </c:pt>
                <c:pt idx="55" formatCode="0.00E+00">
                  <c:v>3.4236369999999998E-3</c:v>
                </c:pt>
                <c:pt idx="56" formatCode="0.00E+00">
                  <c:v>3.4272499999999997E-3</c:v>
                </c:pt>
                <c:pt idx="57" formatCode="0.00E+00">
                  <c:v>3.4308670000000002E-3</c:v>
                </c:pt>
                <c:pt idx="58" formatCode="0.00E+00">
                  <c:v>3.4344879999999999E-3</c:v>
                </c:pt>
                <c:pt idx="59" formatCode="0.00E+00">
                  <c:v>3.438113E-3</c:v>
                </c:pt>
                <c:pt idx="60" formatCode="0.00E+00">
                  <c:v>3.4417409999999999E-3</c:v>
                </c:pt>
                <c:pt idx="61" formatCode="0.00E+00">
                  <c:v>3.4453729999999998E-3</c:v>
                </c:pt>
                <c:pt idx="62" formatCode="0.00E+00">
                  <c:v>3.4490099999999997E-3</c:v>
                </c:pt>
                <c:pt idx="63" formatCode="0.00E+00">
                  <c:v>3.4526489999999999E-3</c:v>
                </c:pt>
                <c:pt idx="64" formatCode="0.00E+00">
                  <c:v>3.456293E-3</c:v>
                </c:pt>
                <c:pt idx="65" formatCode="0.00E+00">
                  <c:v>3.4599410000000002E-3</c:v>
                </c:pt>
                <c:pt idx="66" formatCode="0.00E+00">
                  <c:v>3.4635930000000001E-3</c:v>
                </c:pt>
                <c:pt idx="67" formatCode="0.00E+00">
                  <c:v>3.467248E-3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5-451A-B673-5FFCCFCC4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96960"/>
        <c:axId val="135098752"/>
      </c:lineChart>
      <c:catAx>
        <c:axId val="13509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98752"/>
        <c:crosses val="autoZero"/>
        <c:auto val="1"/>
        <c:lblAlgn val="ctr"/>
        <c:lblOffset val="100"/>
        <c:noMultiLvlLbl val="0"/>
      </c:catAx>
      <c:valAx>
        <c:axId val="135098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9696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Extrapolations!$A$11:$B$11</c:f>
              <c:strCache>
                <c:ptCount val="2"/>
                <c:pt idx="0">
                  <c:v>ships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Extrapolations!$C$11:$BT$11</c:f>
              <c:numCache>
                <c:formatCode>General</c:formatCode>
                <c:ptCount val="70"/>
                <c:pt idx="4" formatCode="0.00E+00">
                  <c:v>1.187239917321092E-5</c:v>
                </c:pt>
                <c:pt idx="5" formatCode="0.00E+00">
                  <c:v>1.187239917321092E-5</c:v>
                </c:pt>
                <c:pt idx="6" formatCode="0.00E+00">
                  <c:v>1.187239917321092E-5</c:v>
                </c:pt>
                <c:pt idx="7" formatCode="0.00E+00">
                  <c:v>1.187239917321092E-5</c:v>
                </c:pt>
                <c:pt idx="8" formatCode="0.00E+00">
                  <c:v>1.187239917321092E-5</c:v>
                </c:pt>
                <c:pt idx="9" formatCode="0.00E+00">
                  <c:v>1.187239917321092E-5</c:v>
                </c:pt>
                <c:pt idx="10" formatCode="0.00E+00">
                  <c:v>1.187239917321092E-5</c:v>
                </c:pt>
                <c:pt idx="11" formatCode="0.00E+00">
                  <c:v>1.187239917321092E-5</c:v>
                </c:pt>
                <c:pt idx="12" formatCode="0.00E+00">
                  <c:v>1.187239917321092E-5</c:v>
                </c:pt>
                <c:pt idx="13" formatCode="0.00E+00">
                  <c:v>1.187239917321092E-5</c:v>
                </c:pt>
                <c:pt idx="14" formatCode="0.00E+00">
                  <c:v>1.187239917321092E-5</c:v>
                </c:pt>
                <c:pt idx="15" formatCode="0.00E+00">
                  <c:v>1.187239917321092E-5</c:v>
                </c:pt>
                <c:pt idx="16" formatCode="0.00E+00">
                  <c:v>1.187239917321092E-5</c:v>
                </c:pt>
                <c:pt idx="17" formatCode="0.00E+00">
                  <c:v>1.187239917321092E-5</c:v>
                </c:pt>
                <c:pt idx="18" formatCode="0.00E+00">
                  <c:v>1.187239917321092E-5</c:v>
                </c:pt>
                <c:pt idx="19" formatCode="0.00E+00">
                  <c:v>1.187239917321092E-5</c:v>
                </c:pt>
                <c:pt idx="20" formatCode="0.00E+00">
                  <c:v>1.187239917321092E-5</c:v>
                </c:pt>
                <c:pt idx="21" formatCode="0.00E+00">
                  <c:v>1.187239917321092E-5</c:v>
                </c:pt>
                <c:pt idx="22" formatCode="0.00E+00">
                  <c:v>1.187239917321092E-5</c:v>
                </c:pt>
                <c:pt idx="23" formatCode="0.00E+00">
                  <c:v>1.187239917321092E-5</c:v>
                </c:pt>
                <c:pt idx="24" formatCode="0.00E+00">
                  <c:v>1.187239917321092E-5</c:v>
                </c:pt>
                <c:pt idx="25" formatCode="0.00E+00">
                  <c:v>1.187239917321092E-5</c:v>
                </c:pt>
                <c:pt idx="26" formatCode="0.00E+00">
                  <c:v>1.187239917321092E-5</c:v>
                </c:pt>
                <c:pt idx="27" formatCode="0.00E+00">
                  <c:v>1.187239917321092E-5</c:v>
                </c:pt>
                <c:pt idx="28" formatCode="0.00E+00">
                  <c:v>1.187239917321092E-5</c:v>
                </c:pt>
                <c:pt idx="29" formatCode="0.00E+00">
                  <c:v>1.187239917321092E-5</c:v>
                </c:pt>
                <c:pt idx="30" formatCode="0.00E+00">
                  <c:v>1.187239917321092E-5</c:v>
                </c:pt>
                <c:pt idx="31" formatCode="0.00E+00">
                  <c:v>1.187239917321092E-5</c:v>
                </c:pt>
                <c:pt idx="32" formatCode="0.00E+00">
                  <c:v>1.187239917321092E-5</c:v>
                </c:pt>
                <c:pt idx="33" formatCode="0.00E+00">
                  <c:v>1.187239917321092E-5</c:v>
                </c:pt>
                <c:pt idx="34" formatCode="0.00E+00">
                  <c:v>1.187239917321092E-5</c:v>
                </c:pt>
                <c:pt idx="35" formatCode="0.00E+00">
                  <c:v>1.187239917321092E-5</c:v>
                </c:pt>
                <c:pt idx="36" formatCode="0.00E+00">
                  <c:v>1.187239917321092E-5</c:v>
                </c:pt>
                <c:pt idx="37" formatCode="0.00E+00">
                  <c:v>1.187239917321092E-5</c:v>
                </c:pt>
                <c:pt idx="38" formatCode="0.00E+00">
                  <c:v>1.187239917321092E-5</c:v>
                </c:pt>
                <c:pt idx="39" formatCode="0.00E+00">
                  <c:v>1.187239917321092E-5</c:v>
                </c:pt>
                <c:pt idx="40" formatCode="0.00E+00">
                  <c:v>1.187239917321092E-5</c:v>
                </c:pt>
                <c:pt idx="41" formatCode="0.00E+00">
                  <c:v>1.1872399173210917E-5</c:v>
                </c:pt>
                <c:pt idx="42" formatCode="0.00E+00">
                  <c:v>1.1872399173210917E-5</c:v>
                </c:pt>
                <c:pt idx="43" formatCode="0.00E+00">
                  <c:v>1.1872399173210917E-5</c:v>
                </c:pt>
                <c:pt idx="44" formatCode="0.00E+00">
                  <c:v>1.1872399173210917E-5</c:v>
                </c:pt>
                <c:pt idx="45" formatCode="0.00E+00">
                  <c:v>1.1872399173210917E-5</c:v>
                </c:pt>
                <c:pt idx="46" formatCode="0.00E+00">
                  <c:v>1.1872399173210917E-5</c:v>
                </c:pt>
                <c:pt idx="47" formatCode="0.00E+00">
                  <c:v>1.1872399173210917E-5</c:v>
                </c:pt>
                <c:pt idx="48" formatCode="0.00E+00">
                  <c:v>1.1872399173210917E-5</c:v>
                </c:pt>
                <c:pt idx="49" formatCode="0.00E+00">
                  <c:v>1.1872399173210917E-5</c:v>
                </c:pt>
                <c:pt idx="50" formatCode="0.00E+00">
                  <c:v>1.1872399173210917E-5</c:v>
                </c:pt>
                <c:pt idx="51" formatCode="0.00E+00">
                  <c:v>1.1872399173210917E-5</c:v>
                </c:pt>
                <c:pt idx="52" formatCode="0.00E+00">
                  <c:v>1.1872399173210917E-5</c:v>
                </c:pt>
                <c:pt idx="53" formatCode="0.00E+00">
                  <c:v>1.1872399173210917E-5</c:v>
                </c:pt>
                <c:pt idx="54" formatCode="0.00E+00">
                  <c:v>1.1872399173210917E-5</c:v>
                </c:pt>
                <c:pt idx="55" formatCode="0.00E+00">
                  <c:v>1.1872399173210917E-5</c:v>
                </c:pt>
                <c:pt idx="56" formatCode="0.00E+00">
                  <c:v>1.1872399173210917E-5</c:v>
                </c:pt>
                <c:pt idx="57" formatCode="0.00E+00">
                  <c:v>1.1872399173210917E-5</c:v>
                </c:pt>
                <c:pt idx="58" formatCode="0.00E+00">
                  <c:v>1.1872399173210917E-5</c:v>
                </c:pt>
                <c:pt idx="59" formatCode="0.00E+00">
                  <c:v>1.1872399173210917E-5</c:v>
                </c:pt>
                <c:pt idx="60" formatCode="0.00E+00">
                  <c:v>1.1872399173210917E-5</c:v>
                </c:pt>
                <c:pt idx="61" formatCode="0.00E+00">
                  <c:v>1.1872399173210917E-5</c:v>
                </c:pt>
                <c:pt idx="62" formatCode="0.00E+00">
                  <c:v>1.1872399173210917E-5</c:v>
                </c:pt>
                <c:pt idx="63" formatCode="0.00E+00">
                  <c:v>1.1872399173210917E-5</c:v>
                </c:pt>
                <c:pt idx="64" formatCode="0.00E+00">
                  <c:v>1.1872399173210917E-5</c:v>
                </c:pt>
                <c:pt idx="65" formatCode="0.00E+00">
                  <c:v>1.1872399173210917E-5</c:v>
                </c:pt>
                <c:pt idx="66" formatCode="0.00E+00">
                  <c:v>1.1872399173210917E-5</c:v>
                </c:pt>
                <c:pt idx="67" formatCode="0.00E+00">
                  <c:v>1.1872399173210917E-5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80-4FCE-BFFD-1E700362E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10656"/>
        <c:axId val="135112192"/>
      </c:lineChart>
      <c:catAx>
        <c:axId val="13511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12192"/>
        <c:crosses val="autoZero"/>
        <c:auto val="1"/>
        <c:lblAlgn val="ctr"/>
        <c:lblOffset val="100"/>
        <c:noMultiLvlLbl val="0"/>
      </c:catAx>
      <c:valAx>
        <c:axId val="13511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106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Extrapolations!$A$12:$B$12</c:f>
              <c:strCache>
                <c:ptCount val="2"/>
                <c:pt idx="0">
                  <c:v>ships</c:v>
                </c:pt>
                <c:pt idx="1">
                  <c:v>frgt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Extrapolations!$C$12:$BT$12</c:f>
              <c:numCache>
                <c:formatCode>General</c:formatCode>
                <c:ptCount val="70"/>
                <c:pt idx="4" formatCode="0.00E+00">
                  <c:v>4.1199493300773313E-3</c:v>
                </c:pt>
                <c:pt idx="5" formatCode="0.00E+00">
                  <c:v>4.139779079772081E-3</c:v>
                </c:pt>
                <c:pt idx="6" formatCode="0.00E+00">
                  <c:v>4.1596088294668307E-3</c:v>
                </c:pt>
                <c:pt idx="7" formatCode="0.00E+00">
                  <c:v>4.1794385791615804E-3</c:v>
                </c:pt>
                <c:pt idx="8" formatCode="0.00E+00">
                  <c:v>4.1992683288563301E-3</c:v>
                </c:pt>
                <c:pt idx="9" formatCode="0.00E+00">
                  <c:v>4.2190980785510798E-3</c:v>
                </c:pt>
                <c:pt idx="10" formatCode="0.00E+00">
                  <c:v>4.2389278282458295E-3</c:v>
                </c:pt>
                <c:pt idx="11" formatCode="0.00E+00">
                  <c:v>4.2587575779405792E-3</c:v>
                </c:pt>
                <c:pt idx="12" formatCode="0.00E+00">
                  <c:v>4.278587327635329E-3</c:v>
                </c:pt>
                <c:pt idx="13" formatCode="0.00E+00">
                  <c:v>4.2984170773300787E-3</c:v>
                </c:pt>
                <c:pt idx="14" formatCode="0.00E+00">
                  <c:v>4.3182468270248284E-3</c:v>
                </c:pt>
                <c:pt idx="15" formatCode="0.00E+00">
                  <c:v>4.3380765767195781E-3</c:v>
                </c:pt>
                <c:pt idx="16" formatCode="0.00E+00">
                  <c:v>4.3579063264143278E-3</c:v>
                </c:pt>
                <c:pt idx="17" formatCode="0.00E+00">
                  <c:v>4.3777360761090775E-3</c:v>
                </c:pt>
                <c:pt idx="18" formatCode="0.00E+00">
                  <c:v>4.3975658258038272E-3</c:v>
                </c:pt>
                <c:pt idx="19" formatCode="0.00E+00">
                  <c:v>4.4173955754985769E-3</c:v>
                </c:pt>
                <c:pt idx="20" formatCode="0.00E+00">
                  <c:v>4.4372253251933266E-3</c:v>
                </c:pt>
                <c:pt idx="21" formatCode="0.00E+00">
                  <c:v>4.4570550748880763E-3</c:v>
                </c:pt>
                <c:pt idx="22" formatCode="0.00E+00">
                  <c:v>4.4768848245828261E-3</c:v>
                </c:pt>
                <c:pt idx="23" formatCode="0.00E+00">
                  <c:v>4.4967145742775758E-3</c:v>
                </c:pt>
                <c:pt idx="24" formatCode="0.00E+00">
                  <c:v>4.5165443239723255E-3</c:v>
                </c:pt>
                <c:pt idx="25" formatCode="0.00E+00">
                  <c:v>4.5363740736670752E-3</c:v>
                </c:pt>
                <c:pt idx="26" formatCode="0.00E+00">
                  <c:v>4.5562038233618249E-3</c:v>
                </c:pt>
                <c:pt idx="27" formatCode="0.00E+00">
                  <c:v>4.5760335730565746E-3</c:v>
                </c:pt>
                <c:pt idx="28" formatCode="0.00E+00">
                  <c:v>4.5958633227513243E-3</c:v>
                </c:pt>
                <c:pt idx="29" formatCode="0.00E+00">
                  <c:v>4.615693072446074E-3</c:v>
                </c:pt>
                <c:pt idx="30" formatCode="0.00E+00">
                  <c:v>4.6355228221408237E-3</c:v>
                </c:pt>
                <c:pt idx="31" formatCode="0.00E+00">
                  <c:v>4.6553525718355734E-3</c:v>
                </c:pt>
                <c:pt idx="32" formatCode="0.00E+00">
                  <c:v>4.6751823215303231E-3</c:v>
                </c:pt>
                <c:pt idx="33" formatCode="0.00E+00">
                  <c:v>4.6950120712250729E-3</c:v>
                </c:pt>
                <c:pt idx="34" formatCode="0.00E+00">
                  <c:v>4.7148418209198226E-3</c:v>
                </c:pt>
                <c:pt idx="35" formatCode="0.00E+00">
                  <c:v>4.7346715706145723E-3</c:v>
                </c:pt>
                <c:pt idx="36" formatCode="0.00E+00">
                  <c:v>4.754501320309322E-3</c:v>
                </c:pt>
                <c:pt idx="37" formatCode="0.00E+00">
                  <c:v>4.7743310700040717E-3</c:v>
                </c:pt>
                <c:pt idx="38" formatCode="0.00E+00">
                  <c:v>4.7941608196988214E-3</c:v>
                </c:pt>
                <c:pt idx="39" formatCode="0.00E+00">
                  <c:v>4.8139905693935711E-3</c:v>
                </c:pt>
                <c:pt idx="40" formatCode="0.00E+00">
                  <c:v>4.8338203190883208E-3</c:v>
                </c:pt>
                <c:pt idx="41" formatCode="0.00E+00">
                  <c:v>4.8577789999999996E-3</c:v>
                </c:pt>
                <c:pt idx="42" formatCode="0.00E+00">
                  <c:v>4.8766649999999996E-3</c:v>
                </c:pt>
                <c:pt idx="43" formatCode="0.00E+00">
                  <c:v>4.8956239999999995E-3</c:v>
                </c:pt>
                <c:pt idx="44" formatCode="0.00E+00">
                  <c:v>4.9146570000000002E-3</c:v>
                </c:pt>
                <c:pt idx="45" formatCode="0.00E+00">
                  <c:v>4.9337640000000002E-3</c:v>
                </c:pt>
                <c:pt idx="46" formatCode="0.00E+00">
                  <c:v>4.9529449999999994E-3</c:v>
                </c:pt>
                <c:pt idx="47" formatCode="0.00E+00">
                  <c:v>4.9721999999999995E-3</c:v>
                </c:pt>
                <c:pt idx="48" formatCode="0.00E+00">
                  <c:v>4.9915310000000004E-3</c:v>
                </c:pt>
                <c:pt idx="49" formatCode="0.00E+00">
                  <c:v>5.010937E-3</c:v>
                </c:pt>
                <c:pt idx="50" formatCode="0.00E+00">
                  <c:v>5.030418E-3</c:v>
                </c:pt>
                <c:pt idx="51" formatCode="0.00E+00">
                  <c:v>5.049975E-3</c:v>
                </c:pt>
                <c:pt idx="52" formatCode="0.00E+00">
                  <c:v>5.0696079999999998E-3</c:v>
                </c:pt>
                <c:pt idx="53" formatCode="0.00E+00">
                  <c:v>5.0893170000000003E-3</c:v>
                </c:pt>
                <c:pt idx="54" formatCode="0.00E+00">
                  <c:v>5.1091030000000003E-3</c:v>
                </c:pt>
                <c:pt idx="55" formatCode="0.00E+00">
                  <c:v>5.1289660000000004E-3</c:v>
                </c:pt>
                <c:pt idx="56" formatCode="0.00E+00">
                  <c:v>5.148906E-3</c:v>
                </c:pt>
                <c:pt idx="57" formatCode="0.00E+00">
                  <c:v>5.1689230000000006E-3</c:v>
                </c:pt>
                <c:pt idx="58" formatCode="0.00E+00">
                  <c:v>5.1890190000000004E-3</c:v>
                </c:pt>
                <c:pt idx="59" formatCode="0.00E+00">
                  <c:v>5.2091919999999996E-3</c:v>
                </c:pt>
                <c:pt idx="60" formatCode="0.00E+00">
                  <c:v>5.2294450000000001E-3</c:v>
                </c:pt>
                <c:pt idx="61" formatCode="0.00E+00">
                  <c:v>5.2497749999999999E-3</c:v>
                </c:pt>
                <c:pt idx="62" formatCode="0.00E+00">
                  <c:v>5.2701849999999993E-3</c:v>
                </c:pt>
                <c:pt idx="63" formatCode="0.00E+00">
                  <c:v>5.2906740000000004E-3</c:v>
                </c:pt>
                <c:pt idx="64" formatCode="0.00E+00">
                  <c:v>5.3112430000000002E-3</c:v>
                </c:pt>
                <c:pt idx="65" formatCode="0.00E+00">
                  <c:v>5.3318919999999995E-3</c:v>
                </c:pt>
                <c:pt idx="66" formatCode="0.00E+00">
                  <c:v>5.3526210000000001E-3</c:v>
                </c:pt>
                <c:pt idx="67" formatCode="0.00E+00">
                  <c:v>5.3734300000000002E-3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5-457C-979A-2B83C354C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43424"/>
        <c:axId val="135144960"/>
      </c:lineChart>
      <c:catAx>
        <c:axId val="13514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44960"/>
        <c:crosses val="autoZero"/>
        <c:auto val="1"/>
        <c:lblAlgn val="ctr"/>
        <c:lblOffset val="100"/>
        <c:noMultiLvlLbl val="0"/>
      </c:catAx>
      <c:valAx>
        <c:axId val="135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434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Extrapolations!$A$13:$B$13</c:f>
              <c:strCache>
                <c:ptCount val="2"/>
                <c:pt idx="0">
                  <c:v>motorbikes</c:v>
                </c:pt>
                <c:pt idx="1">
                  <c:v>psgr</c:v>
                </c:pt>
              </c:strCache>
            </c:strRef>
          </c:tx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Extrapolations!$C$13:$BT$13</c:f>
              <c:numCache>
                <c:formatCode>0.00E+00</c:formatCode>
                <c:ptCount val="70"/>
                <c:pt idx="20">
                  <c:v>1.8223914406069761E-3</c:v>
                </c:pt>
                <c:pt idx="21">
                  <c:v>1.8223914406069761E-3</c:v>
                </c:pt>
                <c:pt idx="22">
                  <c:v>1.8223914406069761E-3</c:v>
                </c:pt>
                <c:pt idx="23">
                  <c:v>1.8223914406069761E-3</c:v>
                </c:pt>
                <c:pt idx="24">
                  <c:v>1.8223914406069761E-3</c:v>
                </c:pt>
                <c:pt idx="25">
                  <c:v>1.8223914406069761E-3</c:v>
                </c:pt>
                <c:pt idx="26">
                  <c:v>1.8223914406069761E-3</c:v>
                </c:pt>
                <c:pt idx="27">
                  <c:v>1.8223914406069761E-3</c:v>
                </c:pt>
                <c:pt idx="28">
                  <c:v>1.8223914406069761E-3</c:v>
                </c:pt>
                <c:pt idx="29">
                  <c:v>1.8223914406069761E-3</c:v>
                </c:pt>
                <c:pt idx="30">
                  <c:v>1.8223914406069761E-3</c:v>
                </c:pt>
                <c:pt idx="31">
                  <c:v>1.8223914406069761E-3</c:v>
                </c:pt>
                <c:pt idx="32">
                  <c:v>1.8223914406069761E-3</c:v>
                </c:pt>
                <c:pt idx="33">
                  <c:v>1.8223914406069761E-3</c:v>
                </c:pt>
                <c:pt idx="34">
                  <c:v>1.8223914406069761E-3</c:v>
                </c:pt>
                <c:pt idx="35">
                  <c:v>1.8223914406069761E-3</c:v>
                </c:pt>
                <c:pt idx="36">
                  <c:v>1.8223914406069761E-3</c:v>
                </c:pt>
                <c:pt idx="37">
                  <c:v>1.8223914406069761E-3</c:v>
                </c:pt>
                <c:pt idx="38">
                  <c:v>1.8223914406069761E-3</c:v>
                </c:pt>
                <c:pt idx="39">
                  <c:v>1.8223914406069761E-3</c:v>
                </c:pt>
                <c:pt idx="40">
                  <c:v>1.8223914406069761E-3</c:v>
                </c:pt>
                <c:pt idx="41">
                  <c:v>1.8223914406069774E-3</c:v>
                </c:pt>
                <c:pt idx="42">
                  <c:v>1.8223914406069774E-3</c:v>
                </c:pt>
                <c:pt idx="43">
                  <c:v>1.8223914406069774E-3</c:v>
                </c:pt>
                <c:pt idx="44">
                  <c:v>1.8223914406069774E-3</c:v>
                </c:pt>
                <c:pt idx="45">
                  <c:v>1.8223914406069774E-3</c:v>
                </c:pt>
                <c:pt idx="46">
                  <c:v>1.8223914406069774E-3</c:v>
                </c:pt>
                <c:pt idx="47">
                  <c:v>1.8223914406069774E-3</c:v>
                </c:pt>
                <c:pt idx="48">
                  <c:v>1.8223914406069774E-3</c:v>
                </c:pt>
                <c:pt idx="49">
                  <c:v>1.8223914406069774E-3</c:v>
                </c:pt>
                <c:pt idx="50">
                  <c:v>1.8223914406069774E-3</c:v>
                </c:pt>
                <c:pt idx="51">
                  <c:v>1.8223914406069774E-3</c:v>
                </c:pt>
                <c:pt idx="52">
                  <c:v>1.8223914406069774E-3</c:v>
                </c:pt>
                <c:pt idx="53">
                  <c:v>1.8223914406069774E-3</c:v>
                </c:pt>
                <c:pt idx="54">
                  <c:v>1.8223914406069774E-3</c:v>
                </c:pt>
                <c:pt idx="55">
                  <c:v>1.8223914406069774E-3</c:v>
                </c:pt>
                <c:pt idx="56">
                  <c:v>1.8223914406069774E-3</c:v>
                </c:pt>
                <c:pt idx="57">
                  <c:v>1.8223914406069774E-3</c:v>
                </c:pt>
                <c:pt idx="58">
                  <c:v>1.8223914406069774E-3</c:v>
                </c:pt>
                <c:pt idx="59">
                  <c:v>1.8223914406069774E-3</c:v>
                </c:pt>
                <c:pt idx="60">
                  <c:v>1.8223914406069774E-3</c:v>
                </c:pt>
                <c:pt idx="61">
                  <c:v>1.8223914406069774E-3</c:v>
                </c:pt>
                <c:pt idx="62">
                  <c:v>1.8223914406069774E-3</c:v>
                </c:pt>
                <c:pt idx="63">
                  <c:v>1.8223914406069774E-3</c:v>
                </c:pt>
                <c:pt idx="64">
                  <c:v>1.8223914406069774E-3</c:v>
                </c:pt>
                <c:pt idx="65">
                  <c:v>1.8223914406069774E-3</c:v>
                </c:pt>
                <c:pt idx="66">
                  <c:v>1.8223914406069774E-3</c:v>
                </c:pt>
                <c:pt idx="67">
                  <c:v>1.8223914406069774E-3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9-495D-B209-DBE27AA2B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81824"/>
        <c:axId val="135183360"/>
      </c:lineChart>
      <c:catAx>
        <c:axId val="13518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83360"/>
        <c:crosses val="autoZero"/>
        <c:auto val="1"/>
        <c:lblAlgn val="ctr"/>
        <c:lblOffset val="100"/>
        <c:noMultiLvlLbl val="0"/>
      </c:catAx>
      <c:valAx>
        <c:axId val="135183360"/>
        <c:scaling>
          <c:orientation val="minMax"/>
          <c:min val="0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351818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15</xdr:row>
      <xdr:rowOff>0</xdr:rowOff>
    </xdr:from>
    <xdr:to>
      <xdr:col>9</xdr:col>
      <xdr:colOff>314325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30</xdr:row>
      <xdr:rowOff>19050</xdr:rowOff>
    </xdr:from>
    <xdr:to>
      <xdr:col>9</xdr:col>
      <xdr:colOff>314325</xdr:colOff>
      <xdr:row>44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600075</xdr:colOff>
      <xdr:row>14</xdr:row>
      <xdr:rowOff>161925</xdr:rowOff>
    </xdr:from>
    <xdr:to>
      <xdr:col>17</xdr:col>
      <xdr:colOff>295275</xdr:colOff>
      <xdr:row>29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30</xdr:row>
      <xdr:rowOff>0</xdr:rowOff>
    </xdr:from>
    <xdr:to>
      <xdr:col>17</xdr:col>
      <xdr:colOff>304800</xdr:colOff>
      <xdr:row>44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14</xdr:row>
      <xdr:rowOff>180975</xdr:rowOff>
    </xdr:from>
    <xdr:to>
      <xdr:col>25</xdr:col>
      <xdr:colOff>304800</xdr:colOff>
      <xdr:row>29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19050</xdr:colOff>
      <xdr:row>30</xdr:row>
      <xdr:rowOff>9525</xdr:rowOff>
    </xdr:from>
    <xdr:to>
      <xdr:col>25</xdr:col>
      <xdr:colOff>323850</xdr:colOff>
      <xdr:row>44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0</xdr:colOff>
      <xdr:row>15</xdr:row>
      <xdr:rowOff>9525</xdr:rowOff>
    </xdr:from>
    <xdr:to>
      <xdr:col>33</xdr:col>
      <xdr:colOff>304800</xdr:colOff>
      <xdr:row>29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28575</xdr:colOff>
      <xdr:row>30</xdr:row>
      <xdr:rowOff>9525</xdr:rowOff>
    </xdr:from>
    <xdr:to>
      <xdr:col>33</xdr:col>
      <xdr:colOff>333375</xdr:colOff>
      <xdr:row>44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15</xdr:row>
      <xdr:rowOff>9525</xdr:rowOff>
    </xdr:from>
    <xdr:to>
      <xdr:col>42</xdr:col>
      <xdr:colOff>304800</xdr:colOff>
      <xdr:row>29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9525</xdr:colOff>
      <xdr:row>30</xdr:row>
      <xdr:rowOff>0</xdr:rowOff>
    </xdr:from>
    <xdr:to>
      <xdr:col>42</xdr:col>
      <xdr:colOff>314325</xdr:colOff>
      <xdr:row>44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0</xdr:colOff>
      <xdr:row>15</xdr:row>
      <xdr:rowOff>9525</xdr:rowOff>
    </xdr:from>
    <xdr:to>
      <xdr:col>50</xdr:col>
      <xdr:colOff>304800</xdr:colOff>
      <xdr:row>29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outlooks/archive/aeo08/index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opLeftCell="A31" workbookViewId="0">
      <selection activeCell="C36" sqref="C36"/>
    </sheetView>
  </sheetViews>
  <sheetFormatPr defaultRowHeight="15"/>
  <cols>
    <col min="1" max="1" width="13.42578125" customWidth="1"/>
    <col min="2" max="2" width="107.42578125" customWidth="1"/>
  </cols>
  <sheetData>
    <row r="1" spans="1:2">
      <c r="A1" s="1" t="s">
        <v>14</v>
      </c>
    </row>
    <row r="3" spans="1:2">
      <c r="A3" s="1" t="s">
        <v>0</v>
      </c>
      <c r="B3" s="2" t="s">
        <v>30</v>
      </c>
    </row>
    <row r="4" spans="1:2">
      <c r="B4" s="6" t="s">
        <v>32</v>
      </c>
    </row>
    <row r="5" spans="1:2">
      <c r="B5" s="5"/>
    </row>
    <row r="6" spans="1:2">
      <c r="B6" s="10" t="s">
        <v>15</v>
      </c>
    </row>
    <row r="7" spans="1:2">
      <c r="B7" s="5" t="s">
        <v>59</v>
      </c>
    </row>
    <row r="8" spans="1:2">
      <c r="B8" s="5">
        <v>2008</v>
      </c>
    </row>
    <row r="9" spans="1:2">
      <c r="B9" s="5" t="s">
        <v>72</v>
      </c>
    </row>
    <row r="10" spans="1:2">
      <c r="B10" s="5" t="s">
        <v>73</v>
      </c>
    </row>
    <row r="11" spans="1:2">
      <c r="B11" s="5" t="s">
        <v>74</v>
      </c>
    </row>
    <row r="12" spans="1:2">
      <c r="B12" s="5"/>
    </row>
    <row r="13" spans="1:2">
      <c r="B13" s="2" t="s">
        <v>9</v>
      </c>
    </row>
    <row r="14" spans="1:2">
      <c r="B14" s="6" t="s">
        <v>86</v>
      </c>
    </row>
    <row r="16" spans="1:2">
      <c r="B16" s="2" t="s">
        <v>10</v>
      </c>
    </row>
    <row r="17" spans="1:2">
      <c r="B17" s="6" t="s">
        <v>12</v>
      </c>
    </row>
    <row r="18" spans="1:2">
      <c r="B18" s="5"/>
    </row>
    <row r="19" spans="1:2">
      <c r="B19" s="2" t="s">
        <v>31</v>
      </c>
    </row>
    <row r="20" spans="1:2">
      <c r="B20" s="6" t="s">
        <v>20</v>
      </c>
    </row>
    <row r="21" spans="1:2">
      <c r="B21" s="6"/>
    </row>
    <row r="22" spans="1:2">
      <c r="B22" s="2" t="s">
        <v>83</v>
      </c>
    </row>
    <row r="23" spans="1:2">
      <c r="B23" s="6" t="s">
        <v>82</v>
      </c>
    </row>
    <row r="25" spans="1:2">
      <c r="A25" s="1" t="s">
        <v>1</v>
      </c>
    </row>
    <row r="26" spans="1:2">
      <c r="A26" t="s">
        <v>33</v>
      </c>
    </row>
    <row r="27" spans="1:2">
      <c r="A27" t="s">
        <v>34</v>
      </c>
    </row>
    <row r="28" spans="1:2">
      <c r="A28" t="s">
        <v>35</v>
      </c>
    </row>
    <row r="29" spans="1:2">
      <c r="A29" t="s">
        <v>36</v>
      </c>
    </row>
    <row r="30" spans="1:2">
      <c r="A30" t="s">
        <v>96</v>
      </c>
    </row>
    <row r="31" spans="1:2">
      <c r="A31" t="s">
        <v>95</v>
      </c>
    </row>
    <row r="33" spans="1:1">
      <c r="A33" t="s">
        <v>43</v>
      </c>
    </row>
    <row r="34" spans="1:1">
      <c r="A34" t="s">
        <v>44</v>
      </c>
    </row>
    <row r="35" spans="1:1">
      <c r="A35" t="s">
        <v>37</v>
      </c>
    </row>
    <row r="36" spans="1:1">
      <c r="A36" t="s">
        <v>45</v>
      </c>
    </row>
    <row r="37" spans="1:1">
      <c r="A37" t="s">
        <v>46</v>
      </c>
    </row>
    <row r="38" spans="1:1">
      <c r="A38" t="s">
        <v>47</v>
      </c>
    </row>
    <row r="39" spans="1:1">
      <c r="A39" t="s">
        <v>48</v>
      </c>
    </row>
    <row r="41" spans="1:1">
      <c r="A41" t="s">
        <v>38</v>
      </c>
    </row>
    <row r="42" spans="1:1">
      <c r="A42" t="s">
        <v>39</v>
      </c>
    </row>
    <row r="43" spans="1:1">
      <c r="A43" t="s">
        <v>40</v>
      </c>
    </row>
    <row r="44" spans="1:1">
      <c r="A44" t="s">
        <v>41</v>
      </c>
    </row>
    <row r="45" spans="1:1">
      <c r="A45" t="s">
        <v>42</v>
      </c>
    </row>
    <row r="47" spans="1:1">
      <c r="A47" t="s">
        <v>97</v>
      </c>
    </row>
    <row r="48" spans="1:1">
      <c r="A48" t="s">
        <v>98</v>
      </c>
    </row>
    <row r="50" spans="1:1">
      <c r="A50" t="s">
        <v>99</v>
      </c>
    </row>
    <row r="51" spans="1:1">
      <c r="A51" t="s">
        <v>100</v>
      </c>
    </row>
    <row r="52" spans="1:1">
      <c r="A52" t="s">
        <v>101</v>
      </c>
    </row>
    <row r="53" spans="1:1">
      <c r="A53" t="s">
        <v>102</v>
      </c>
    </row>
    <row r="54" spans="1:1">
      <c r="A54" t="s">
        <v>103</v>
      </c>
    </row>
    <row r="55" spans="1:1">
      <c r="A55" t="s">
        <v>104</v>
      </c>
    </row>
    <row r="56" spans="1:1">
      <c r="A56" t="s">
        <v>105</v>
      </c>
    </row>
    <row r="58" spans="1:1">
      <c r="A58" t="s">
        <v>106</v>
      </c>
    </row>
    <row r="59" spans="1:1">
      <c r="A59" t="s">
        <v>107</v>
      </c>
    </row>
    <row r="60" spans="1:1">
      <c r="A60" t="s">
        <v>108</v>
      </c>
    </row>
    <row r="61" spans="1:1">
      <c r="A61" t="s">
        <v>109</v>
      </c>
    </row>
  </sheetData>
  <hyperlinks>
    <hyperlink ref="B10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0"/>
  <sheetViews>
    <sheetView tabSelected="1" workbookViewId="0">
      <selection activeCell="F8" sqref="F8:AG20"/>
    </sheetView>
  </sheetViews>
  <sheetFormatPr defaultRowHeight="15"/>
  <cols>
    <col min="1" max="1" width="18.42578125" customWidth="1"/>
    <col min="2" max="2" width="16.42578125" customWidth="1"/>
    <col min="3" max="3" width="30.7109375" customWidth="1"/>
  </cols>
  <sheetData>
    <row r="1" spans="1:37">
      <c r="A1" t="s">
        <v>23</v>
      </c>
    </row>
    <row r="2" spans="1:37">
      <c r="A2" t="s">
        <v>24</v>
      </c>
    </row>
    <row r="3" spans="1:37">
      <c r="A3" t="s">
        <v>25</v>
      </c>
    </row>
    <row r="4" spans="1:37">
      <c r="A4" t="s">
        <v>26</v>
      </c>
    </row>
    <row r="6" spans="1:37">
      <c r="A6" s="2" t="s">
        <v>27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>
      <c r="A7" s="1" t="s">
        <v>28</v>
      </c>
      <c r="B7" s="1" t="s">
        <v>29</v>
      </c>
      <c r="C7" s="1"/>
      <c r="D7">
        <v>2021</v>
      </c>
      <c r="E7">
        <v>2022</v>
      </c>
      <c r="F7">
        <v>2023</v>
      </c>
      <c r="G7">
        <v>2024</v>
      </c>
      <c r="H7">
        <v>2025</v>
      </c>
      <c r="I7">
        <v>2026</v>
      </c>
      <c r="J7">
        <v>2027</v>
      </c>
      <c r="K7">
        <v>2028</v>
      </c>
      <c r="L7">
        <v>2029</v>
      </c>
      <c r="M7">
        <v>2030</v>
      </c>
      <c r="N7">
        <v>2031</v>
      </c>
      <c r="O7">
        <v>2032</v>
      </c>
      <c r="P7">
        <v>2033</v>
      </c>
      <c r="Q7">
        <v>2034</v>
      </c>
      <c r="R7">
        <v>2035</v>
      </c>
      <c r="S7">
        <v>2036</v>
      </c>
      <c r="T7">
        <v>2037</v>
      </c>
      <c r="U7">
        <v>2038</v>
      </c>
      <c r="V7">
        <v>2039</v>
      </c>
      <c r="W7">
        <v>2040</v>
      </c>
      <c r="X7">
        <v>2041</v>
      </c>
      <c r="Y7">
        <v>2042</v>
      </c>
      <c r="Z7">
        <v>2043</v>
      </c>
      <c r="AA7">
        <v>2044</v>
      </c>
      <c r="AB7">
        <v>2045</v>
      </c>
      <c r="AC7">
        <v>2046</v>
      </c>
      <c r="AD7">
        <v>2047</v>
      </c>
      <c r="AE7">
        <v>2048</v>
      </c>
      <c r="AF7">
        <v>2049</v>
      </c>
      <c r="AG7">
        <v>2050</v>
      </c>
    </row>
    <row r="8" spans="1:37">
      <c r="A8" t="s">
        <v>15</v>
      </c>
      <c r="B8" t="s">
        <v>21</v>
      </c>
      <c r="C8" t="s">
        <v>4</v>
      </c>
      <c r="D8" s="4">
        <v>3.8560342544165043E-4</v>
      </c>
      <c r="E8" s="4">
        <v>3.938977091004229E-4</v>
      </c>
      <c r="F8" s="4">
        <v>4.0102815590911211E-4</v>
      </c>
      <c r="G8" s="4">
        <v>3.7447643323240698E-4</v>
      </c>
      <c r="H8" s="4">
        <v>3.8969037817856381E-4</v>
      </c>
      <c r="I8" s="4">
        <v>3.9985001436006255E-4</v>
      </c>
      <c r="J8" s="4">
        <v>4.0645495978422236E-4</v>
      </c>
      <c r="K8" s="4">
        <v>4.1222868457836193E-4</v>
      </c>
      <c r="L8" s="4">
        <v>4.1315950014361388E-4</v>
      </c>
      <c r="M8" s="4">
        <v>4.1586031572729884E-4</v>
      </c>
      <c r="N8" s="4">
        <v>4.1791006177450995E-4</v>
      </c>
      <c r="O8" s="4">
        <v>4.1868747861134429E-4</v>
      </c>
      <c r="P8" s="4">
        <v>4.2132009406936789E-4</v>
      </c>
      <c r="Q8" s="4">
        <v>4.224153063913546E-4</v>
      </c>
      <c r="R8" s="4">
        <v>4.2414977562549528E-4</v>
      </c>
      <c r="S8" s="4">
        <v>4.2551597947059568E-4</v>
      </c>
      <c r="T8" s="4">
        <v>4.2699017471707065E-4</v>
      </c>
      <c r="U8" s="4">
        <v>4.278185027990744E-4</v>
      </c>
      <c r="V8" s="4">
        <v>4.2962147676115707E-4</v>
      </c>
      <c r="W8" s="4">
        <v>4.3041495518616422E-4</v>
      </c>
      <c r="X8" s="4">
        <v>4.3058027955271102E-4</v>
      </c>
      <c r="Y8" s="4">
        <v>4.3088934374883934E-4</v>
      </c>
      <c r="Z8" s="4">
        <v>4.3093489146882265E-4</v>
      </c>
      <c r="AA8" s="4">
        <v>4.3107618325306866E-4</v>
      </c>
      <c r="AB8" s="4">
        <v>4.3159356456922571E-4</v>
      </c>
      <c r="AC8" s="4">
        <v>4.3137509125134069E-4</v>
      </c>
      <c r="AD8" s="4">
        <v>4.3181432059055414E-4</v>
      </c>
      <c r="AE8" s="4">
        <v>4.3184298375304391E-4</v>
      </c>
      <c r="AF8" s="4">
        <v>4.3221033154474715E-4</v>
      </c>
      <c r="AG8" s="4">
        <v>4.3232208233433581E-4</v>
      </c>
      <c r="AH8" s="4"/>
      <c r="AI8" s="4"/>
      <c r="AJ8" s="4"/>
      <c r="AK8" s="4"/>
    </row>
    <row r="9" spans="1:37">
      <c r="A9" t="s">
        <v>15</v>
      </c>
      <c r="B9" t="s">
        <v>22</v>
      </c>
      <c r="C9" t="s">
        <v>4</v>
      </c>
      <c r="D9" s="4">
        <v>1.0420515928406728E-4</v>
      </c>
      <c r="E9" s="4">
        <v>1.0877081887028839E-4</v>
      </c>
      <c r="F9" s="4">
        <v>9.3322264163941547E-5</v>
      </c>
      <c r="G9" s="4">
        <v>7.9806069110588361E-5</v>
      </c>
      <c r="H9" s="4">
        <v>8.2589053354941577E-5</v>
      </c>
      <c r="I9" s="4">
        <v>8.3396155910788876E-5</v>
      </c>
      <c r="J9" s="4">
        <v>8.4173229610609506E-5</v>
      </c>
      <c r="K9" s="4">
        <v>8.4864009419033756E-5</v>
      </c>
      <c r="L9" s="4">
        <v>8.5552427282266762E-5</v>
      </c>
      <c r="M9" s="4">
        <v>8.6038648280202556E-5</v>
      </c>
      <c r="N9" s="4">
        <v>8.6437806931471918E-5</v>
      </c>
      <c r="O9" s="4">
        <v>8.6791342620833007E-5</v>
      </c>
      <c r="P9" s="4">
        <v>8.7116707094273078E-5</v>
      </c>
      <c r="Q9" s="4">
        <v>8.7373696852958087E-5</v>
      </c>
      <c r="R9" s="4">
        <v>8.7738897757801631E-5</v>
      </c>
      <c r="S9" s="4">
        <v>8.8050203754089717E-5</v>
      </c>
      <c r="T9" s="4">
        <v>8.8312463911269213E-5</v>
      </c>
      <c r="U9" s="4">
        <v>8.8490459670374438E-5</v>
      </c>
      <c r="V9" s="4">
        <v>8.8694120735193857E-5</v>
      </c>
      <c r="W9" s="4">
        <v>8.9254549793900385E-5</v>
      </c>
      <c r="X9" s="4">
        <v>9.005114260124438E-5</v>
      </c>
      <c r="Y9" s="4">
        <v>9.0881942369109463E-5</v>
      </c>
      <c r="Z9" s="4">
        <v>9.1898303940802261E-5</v>
      </c>
      <c r="AA9" s="4">
        <v>9.3274596042063404E-5</v>
      </c>
      <c r="AB9" s="4">
        <v>9.4654943494441841E-5</v>
      </c>
      <c r="AC9" s="4">
        <v>9.5568147956131454E-5</v>
      </c>
      <c r="AD9" s="4">
        <v>9.643727179732782E-5</v>
      </c>
      <c r="AE9" s="4">
        <v>9.7460231077917589E-5</v>
      </c>
      <c r="AF9" s="4">
        <v>9.8356990080011308E-5</v>
      </c>
      <c r="AG9" s="4">
        <v>9.9224252732341657E-5</v>
      </c>
      <c r="AH9" s="4"/>
      <c r="AI9" s="4"/>
      <c r="AJ9" s="4"/>
      <c r="AK9" s="4"/>
    </row>
    <row r="10" spans="1:37">
      <c r="A10" t="s">
        <v>8</v>
      </c>
      <c r="B10" t="s">
        <v>21</v>
      </c>
      <c r="C10" t="s">
        <v>5</v>
      </c>
      <c r="D10" s="4">
        <v>1.1137362177939013E-3</v>
      </c>
      <c r="E10" s="4">
        <v>1.1868928349938494E-3</v>
      </c>
      <c r="F10" s="4">
        <v>1.0331389660993618E-3</v>
      </c>
      <c r="G10" s="4">
        <v>1.0995181101032814E-3</v>
      </c>
      <c r="H10" s="4">
        <v>1.1178720570179867E-3</v>
      </c>
      <c r="I10" s="4">
        <v>1.139337361078613E-3</v>
      </c>
      <c r="J10" s="4">
        <v>1.1689067098604232E-3</v>
      </c>
      <c r="K10" s="4">
        <v>1.1886355244649762E-3</v>
      </c>
      <c r="L10" s="4">
        <v>1.2005104013829389E-3</v>
      </c>
      <c r="M10" s="4">
        <v>1.2150324713986361E-3</v>
      </c>
      <c r="N10" s="4">
        <v>1.2281657343830318E-3</v>
      </c>
      <c r="O10" s="4">
        <v>1.2718191053697899E-3</v>
      </c>
      <c r="P10" s="4">
        <v>1.2872919346060385E-3</v>
      </c>
      <c r="Q10" s="4">
        <v>1.294373280286983E-3</v>
      </c>
      <c r="R10" s="4">
        <v>1.2991392532857248E-3</v>
      </c>
      <c r="S10" s="4">
        <v>1.2994994330511106E-3</v>
      </c>
      <c r="T10" s="4">
        <v>1.2998067394523606E-3</v>
      </c>
      <c r="U10" s="4">
        <v>1.29969410316452E-3</v>
      </c>
      <c r="V10" s="4">
        <v>1.299580986209732E-3</v>
      </c>
      <c r="W10" s="4">
        <v>1.2991434190659293E-3</v>
      </c>
      <c r="X10" s="4">
        <v>1.2988513337846576E-3</v>
      </c>
      <c r="Y10" s="4">
        <v>1.2983562468295675E-3</v>
      </c>
      <c r="Z10" s="4">
        <v>1.2980781008897497E-3</v>
      </c>
      <c r="AA10" s="4">
        <v>1.2978283142997872E-3</v>
      </c>
      <c r="AB10" s="4">
        <v>1.2973135199998824E-3</v>
      </c>
      <c r="AC10" s="4">
        <v>1.2970622914090792E-3</v>
      </c>
      <c r="AD10" s="4">
        <v>1.2965591933382112E-3</v>
      </c>
      <c r="AE10" s="4">
        <v>1.2964217225914581E-3</v>
      </c>
      <c r="AF10" s="4">
        <v>1.2961902013454692E-3</v>
      </c>
      <c r="AG10" s="4">
        <v>1.2958891436145262E-3</v>
      </c>
      <c r="AH10" s="4"/>
      <c r="AI10" s="4"/>
      <c r="AJ10" s="4"/>
      <c r="AK10" s="4"/>
    </row>
    <row r="11" spans="1:37">
      <c r="A11" t="s">
        <v>8</v>
      </c>
      <c r="B11" t="s">
        <v>22</v>
      </c>
      <c r="C11" t="s">
        <v>5</v>
      </c>
      <c r="D11" s="4">
        <v>7.4742411935626142E-4</v>
      </c>
      <c r="E11" s="4">
        <v>7.9651924557390657E-4</v>
      </c>
      <c r="F11" s="4">
        <v>7.5059325437243547E-4</v>
      </c>
      <c r="G11" s="4">
        <v>7.9881884585164282E-4</v>
      </c>
      <c r="H11" s="4">
        <v>8.1215330442627252E-4</v>
      </c>
      <c r="I11" s="4">
        <v>8.277482175595845E-4</v>
      </c>
      <c r="J11" s="4">
        <v>8.4923085877251694E-4</v>
      </c>
      <c r="K11" s="4">
        <v>8.6356418240549429E-4</v>
      </c>
      <c r="L11" s="4">
        <v>8.721914850275005E-4</v>
      </c>
      <c r="M11" s="4">
        <v>8.8274201903209843E-4</v>
      </c>
      <c r="N11" s="4">
        <v>8.9228356080668159E-4</v>
      </c>
      <c r="O11" s="4">
        <v>9.2399848674446351E-4</v>
      </c>
      <c r="P11" s="4">
        <v>9.3523976369932777E-4</v>
      </c>
      <c r="Q11" s="4">
        <v>9.4038448331053737E-4</v>
      </c>
      <c r="R11" s="4">
        <v>9.4384704478654366E-4</v>
      </c>
      <c r="S11" s="4">
        <v>9.4410872159008232E-4</v>
      </c>
      <c r="T11" s="4">
        <v>9.443319849838489E-4</v>
      </c>
      <c r="U11" s="4">
        <v>9.4425015278060706E-4</v>
      </c>
      <c r="V11" s="4">
        <v>9.4416797136454901E-4</v>
      </c>
      <c r="W11" s="4">
        <v>9.4385007129761667E-4</v>
      </c>
      <c r="X11" s="4">
        <v>9.4363786630969357E-4</v>
      </c>
      <c r="Y11" s="4">
        <v>9.4327817710909993E-4</v>
      </c>
      <c r="Z11" s="4">
        <v>9.4307609929284396E-4</v>
      </c>
      <c r="AA11" s="4">
        <v>9.4289462503273878E-4</v>
      </c>
      <c r="AB11" s="4">
        <v>9.4252061810668451E-4</v>
      </c>
      <c r="AC11" s="4">
        <v>9.4233809620813079E-4</v>
      </c>
      <c r="AD11" s="4">
        <v>9.4197258679393529E-4</v>
      </c>
      <c r="AE11" s="4">
        <v>9.4187271192852781E-4</v>
      </c>
      <c r="AF11" s="4">
        <v>9.4170450775543462E-4</v>
      </c>
      <c r="AG11" s="4">
        <v>9.4148578412827765E-4</v>
      </c>
      <c r="AH11" s="4"/>
      <c r="AI11" s="4"/>
      <c r="AJ11" s="4"/>
      <c r="AK11" s="4"/>
    </row>
    <row r="12" spans="1:37">
      <c r="A12" t="s">
        <v>7</v>
      </c>
      <c r="B12" t="s">
        <v>21</v>
      </c>
      <c r="C12" t="s">
        <v>5</v>
      </c>
      <c r="D12" s="4">
        <v>5.7245968727451246E-4</v>
      </c>
      <c r="E12" s="4">
        <v>5.7245968727451246E-4</v>
      </c>
      <c r="F12" s="4">
        <v>3.0464933987873528E-4</v>
      </c>
      <c r="G12" s="4">
        <v>3.0464933987873528E-4</v>
      </c>
      <c r="H12" s="4">
        <v>3.3408269543052564E-4</v>
      </c>
      <c r="I12" s="4">
        <v>3.3665348546582375E-4</v>
      </c>
      <c r="J12" s="4">
        <v>3.3935581504087849E-4</v>
      </c>
      <c r="K12" s="4">
        <v>3.4216015354620157E-4</v>
      </c>
      <c r="L12" s="4">
        <v>3.4502111275582734E-4</v>
      </c>
      <c r="M12" s="4">
        <v>3.4790902074721106E-4</v>
      </c>
      <c r="N12" s="4">
        <v>3.5081980617662339E-4</v>
      </c>
      <c r="O12" s="4">
        <v>3.5375247221412683E-4</v>
      </c>
      <c r="P12" s="4">
        <v>3.5670603348759934E-4</v>
      </c>
      <c r="Q12" s="4">
        <v>3.5968007751568736E-4</v>
      </c>
      <c r="R12" s="4">
        <v>3.626744897202374E-4</v>
      </c>
      <c r="S12" s="4">
        <v>3.656928831323635E-4</v>
      </c>
      <c r="T12" s="4">
        <v>3.6873385989859042E-4</v>
      </c>
      <c r="U12" s="4">
        <v>3.7179596105709373E-4</v>
      </c>
      <c r="V12" s="4">
        <v>3.7487939284855035E-4</v>
      </c>
      <c r="W12" s="4">
        <v>3.7798229146832611E-4</v>
      </c>
      <c r="X12" s="4">
        <v>3.8110333926765313E-4</v>
      </c>
      <c r="Y12" s="4">
        <v>3.8424184495833714E-4</v>
      </c>
      <c r="Z12" s="4">
        <v>3.8739917202040771E-4</v>
      </c>
      <c r="AA12" s="4">
        <v>3.9057663428336076E-4</v>
      </c>
      <c r="AB12" s="4">
        <v>3.937746365900064E-4</v>
      </c>
      <c r="AC12" s="4">
        <v>3.9699374037329777E-4</v>
      </c>
      <c r="AD12" s="4">
        <v>4.0023428554842422E-4</v>
      </c>
      <c r="AE12" s="4">
        <v>4.0349549298394053E-4</v>
      </c>
      <c r="AF12" s="4">
        <v>4.067774772580003E-4</v>
      </c>
      <c r="AG12" s="4">
        <v>4.1007787424136491E-4</v>
      </c>
      <c r="AH12" s="4"/>
      <c r="AI12" s="4"/>
      <c r="AJ12" s="4"/>
      <c r="AK12" s="4"/>
    </row>
    <row r="13" spans="1:37">
      <c r="A13" t="s">
        <v>7</v>
      </c>
      <c r="B13" t="s">
        <v>22</v>
      </c>
      <c r="C13" t="s">
        <v>5</v>
      </c>
      <c r="D13" s="4">
        <v>4.8563096039282174E-5</v>
      </c>
      <c r="E13" s="4">
        <v>4.7951937565239972E-5</v>
      </c>
      <c r="F13" s="4">
        <v>9.3239985476639982E-5</v>
      </c>
      <c r="G13" s="4">
        <v>9.3239985476639982E-5</v>
      </c>
      <c r="H13" s="4">
        <v>1.0224826248544657E-4</v>
      </c>
      <c r="I13" s="4">
        <v>1.0303507011696843E-4</v>
      </c>
      <c r="J13" s="4">
        <v>1.0386213631193046E-4</v>
      </c>
      <c r="K13" s="4">
        <v>1.0472042302810055E-4</v>
      </c>
      <c r="L13" s="4">
        <v>1.0559603889275644E-4</v>
      </c>
      <c r="M13" s="4">
        <v>1.0647990261385189E-4</v>
      </c>
      <c r="N13" s="4">
        <v>1.0737076812917535E-4</v>
      </c>
      <c r="O13" s="4">
        <v>1.0826833035220035E-4</v>
      </c>
      <c r="P13" s="4">
        <v>1.0917228770314212E-4</v>
      </c>
      <c r="Q13" s="4">
        <v>1.1008251393930003E-4</v>
      </c>
      <c r="R13" s="4">
        <v>1.1099897399325733E-4</v>
      </c>
      <c r="S13" s="4">
        <v>1.1192277365755811E-4</v>
      </c>
      <c r="T13" s="4">
        <v>1.1285348510971702E-4</v>
      </c>
      <c r="U13" s="4">
        <v>1.1379066182462636E-4</v>
      </c>
      <c r="V13" s="4">
        <v>1.1473436692363647E-4</v>
      </c>
      <c r="W13" s="4">
        <v>1.156840299767668E-4</v>
      </c>
      <c r="X13" s="4">
        <v>1.1663924770872375E-4</v>
      </c>
      <c r="Y13" s="4">
        <v>1.1759980854609242E-4</v>
      </c>
      <c r="Z13" s="4">
        <v>1.1856612979113317E-4</v>
      </c>
      <c r="AA13" s="4">
        <v>1.1953861355022565E-4</v>
      </c>
      <c r="AB13" s="4">
        <v>1.2051738372824274E-4</v>
      </c>
      <c r="AC13" s="4">
        <v>1.2150261215552689E-4</v>
      </c>
      <c r="AD13" s="4">
        <v>1.2249440286541473E-4</v>
      </c>
      <c r="AE13" s="4">
        <v>1.2349251739947177E-4</v>
      </c>
      <c r="AF13" s="4">
        <v>1.2449699082511483E-4</v>
      </c>
      <c r="AG13" s="4">
        <v>1.2550709958464328E-4</v>
      </c>
      <c r="AH13" s="4"/>
      <c r="AI13" s="4"/>
      <c r="AJ13" s="4"/>
      <c r="AK13" s="4"/>
    </row>
    <row r="14" spans="1:37">
      <c r="A14" t="s">
        <v>16</v>
      </c>
      <c r="B14" t="s">
        <v>21</v>
      </c>
      <c r="C14" t="s">
        <v>5</v>
      </c>
      <c r="D14" s="4">
        <v>7.1745362435245036E-5</v>
      </c>
      <c r="E14" s="4">
        <v>7.1745362435245036E-5</v>
      </c>
      <c r="F14" s="4">
        <v>5.0586266198922429E-5</v>
      </c>
      <c r="G14" s="4">
        <v>5.0586266198922429E-5</v>
      </c>
      <c r="H14" s="4">
        <v>5.1607763219151746E-5</v>
      </c>
      <c r="I14" s="4">
        <v>5.2629260239381077E-5</v>
      </c>
      <c r="J14" s="4">
        <v>5.4315695977812021E-5</v>
      </c>
      <c r="K14" s="4">
        <v>5.5626780365259058E-5</v>
      </c>
      <c r="L14" s="4">
        <v>5.6861759359938993E-5</v>
      </c>
      <c r="M14" s="4">
        <v>5.7923231309231095E-5</v>
      </c>
      <c r="N14" s="4">
        <v>5.8817476564532313E-5</v>
      </c>
      <c r="O14" s="4">
        <v>5.9511660757725099E-5</v>
      </c>
      <c r="P14" s="4">
        <v>6.0132920814753527E-5</v>
      </c>
      <c r="Q14" s="4">
        <v>6.0543687105745991E-5</v>
      </c>
      <c r="R14" s="4">
        <v>6.0696700859761384E-5</v>
      </c>
      <c r="S14" s="4">
        <v>6.0676349696673325E-5</v>
      </c>
      <c r="T14" s="4">
        <v>6.0651204628472715E-5</v>
      </c>
      <c r="U14" s="4">
        <v>6.0632042704044597E-5</v>
      </c>
      <c r="V14" s="4">
        <v>6.0615121724603387E-5</v>
      </c>
      <c r="W14" s="4">
        <v>6.0605519529419925E-5</v>
      </c>
      <c r="X14" s="4">
        <v>6.0584843231000183E-5</v>
      </c>
      <c r="Y14" s="4">
        <v>6.0560038316745274E-5</v>
      </c>
      <c r="Z14" s="4">
        <v>6.053924600778776E-5</v>
      </c>
      <c r="AA14" s="4">
        <v>6.0520785449807174E-5</v>
      </c>
      <c r="AB14" s="4">
        <v>6.0503250434459527E-5</v>
      </c>
      <c r="AC14" s="4">
        <v>6.0481613540855517E-5</v>
      </c>
      <c r="AD14" s="4">
        <v>6.0452272752739302E-5</v>
      </c>
      <c r="AE14" s="4">
        <v>6.0421795403817555E-5</v>
      </c>
      <c r="AF14" s="4">
        <v>6.0390916490618554E-5</v>
      </c>
      <c r="AG14" s="4">
        <v>6.0369352823591006E-5</v>
      </c>
      <c r="AH14" s="4"/>
      <c r="AI14" s="4"/>
      <c r="AJ14" s="4"/>
      <c r="AK14" s="4"/>
    </row>
    <row r="15" spans="1:37">
      <c r="A15" t="s">
        <v>16</v>
      </c>
      <c r="B15" t="s">
        <v>21</v>
      </c>
      <c r="C15" t="s">
        <v>2</v>
      </c>
      <c r="D15" s="4">
        <v>7.5686214263268839E-4</v>
      </c>
      <c r="E15" s="4">
        <v>7.5686214263268839E-4</v>
      </c>
      <c r="F15" s="4">
        <v>6.7428486606874269E-4</v>
      </c>
      <c r="G15" s="4">
        <v>6.7428486606874269E-4</v>
      </c>
      <c r="H15" s="4">
        <v>6.8790081429402638E-4</v>
      </c>
      <c r="I15" s="4">
        <v>7.0151676251931018E-4</v>
      </c>
      <c r="J15" s="4">
        <v>7.2399594869901036E-4</v>
      </c>
      <c r="K15" s="4">
        <v>7.4147192443357402E-4</v>
      </c>
      <c r="L15" s="4">
        <v>7.5793346051039969E-4</v>
      </c>
      <c r="M15" s="4">
        <v>7.7208225078382372E-4</v>
      </c>
      <c r="N15" s="4">
        <v>7.8400200860568551E-4</v>
      </c>
      <c r="O15" s="4">
        <v>7.9325507136175839E-4</v>
      </c>
      <c r="P15" s="4">
        <v>8.0153609872005344E-4</v>
      </c>
      <c r="Q15" s="4">
        <v>8.0701136926914386E-4</v>
      </c>
      <c r="R15" s="4">
        <v>8.0905095167728652E-4</v>
      </c>
      <c r="S15" s="4">
        <v>8.0877968276759445E-4</v>
      </c>
      <c r="T15" s="4">
        <v>8.0844451395166992E-4</v>
      </c>
      <c r="U15" s="4">
        <v>8.0818909688657511E-4</v>
      </c>
      <c r="V15" s="4">
        <v>8.0796355028640886E-4</v>
      </c>
      <c r="W15" s="4">
        <v>8.0783555873099769E-4</v>
      </c>
      <c r="X15" s="4">
        <v>8.0755995596055552E-4</v>
      </c>
      <c r="Y15" s="4">
        <v>8.0722932119458072E-4</v>
      </c>
      <c r="Z15" s="4">
        <v>8.0695217207261245E-4</v>
      </c>
      <c r="AA15" s="4">
        <v>8.067061038054559E-4</v>
      </c>
      <c r="AB15" s="4">
        <v>8.0647237247156566E-4</v>
      </c>
      <c r="AC15" s="4">
        <v>8.0618396553817874E-4</v>
      </c>
      <c r="AD15" s="4">
        <v>8.0579287026920799E-4</v>
      </c>
      <c r="AE15" s="4">
        <v>8.0538662532013395E-4</v>
      </c>
      <c r="AF15" s="4">
        <v>8.0497502775788527E-4</v>
      </c>
      <c r="AG15" s="4">
        <v>8.0468759689124563E-4</v>
      </c>
      <c r="AH15" s="4"/>
      <c r="AI15" s="4"/>
      <c r="AJ15" s="4"/>
      <c r="AK15" s="4"/>
    </row>
    <row r="16" spans="1:37" s="22" customFormat="1">
      <c r="A16" s="22" t="s">
        <v>16</v>
      </c>
      <c r="B16" s="22" t="s">
        <v>22</v>
      </c>
      <c r="C16" s="22" t="s">
        <v>5</v>
      </c>
      <c r="D16" s="22">
        <v>3.5120030000000001E-3</v>
      </c>
      <c r="E16" s="22">
        <v>3.3663400000000002E-3</v>
      </c>
      <c r="F16" s="22">
        <v>3.3698929999999997E-3</v>
      </c>
      <c r="G16" s="22">
        <v>3.3734500000000001E-3</v>
      </c>
      <c r="H16" s="22">
        <v>3.3770099999999997E-3</v>
      </c>
      <c r="I16" s="22">
        <v>3.3805740000000003E-3</v>
      </c>
      <c r="J16" s="22">
        <v>3.3841420000000001E-3</v>
      </c>
      <c r="K16" s="22">
        <v>3.3877130000000001E-3</v>
      </c>
      <c r="L16" s="22">
        <v>3.391289E-3</v>
      </c>
      <c r="M16" s="22">
        <v>3.3948680000000001E-3</v>
      </c>
      <c r="N16" s="22">
        <v>3.3984510000000002E-3</v>
      </c>
      <c r="O16" s="22">
        <v>3.4020370000000001E-3</v>
      </c>
      <c r="P16" s="22">
        <v>3.405628E-3</v>
      </c>
      <c r="Q16" s="22">
        <v>3.4092220000000004E-3</v>
      </c>
      <c r="R16" s="22">
        <v>3.41282E-3</v>
      </c>
      <c r="S16" s="22">
        <v>3.4164219999999997E-3</v>
      </c>
      <c r="T16" s="22">
        <v>3.420027E-3</v>
      </c>
      <c r="U16" s="22">
        <v>3.4236369999999998E-3</v>
      </c>
      <c r="V16" s="22">
        <v>3.4272499999999997E-3</v>
      </c>
      <c r="W16" s="22">
        <v>3.4308670000000002E-3</v>
      </c>
      <c r="X16" s="22">
        <v>3.4344879999999999E-3</v>
      </c>
      <c r="Y16" s="22">
        <v>3.438113E-3</v>
      </c>
      <c r="Z16" s="22">
        <v>3.4417409999999999E-3</v>
      </c>
      <c r="AA16" s="22">
        <v>3.4453729999999998E-3</v>
      </c>
      <c r="AB16" s="22">
        <v>3.4490099999999997E-3</v>
      </c>
      <c r="AC16" s="22">
        <v>3.4526489999999999E-3</v>
      </c>
      <c r="AD16" s="22">
        <v>3.456293E-3</v>
      </c>
      <c r="AE16" s="22">
        <v>3.4599410000000002E-3</v>
      </c>
      <c r="AF16" s="22">
        <v>3.4635930000000001E-3</v>
      </c>
      <c r="AG16" s="22">
        <v>3.467248E-3</v>
      </c>
    </row>
    <row r="17" spans="1:37">
      <c r="A17" t="s">
        <v>17</v>
      </c>
      <c r="B17" t="s">
        <v>21</v>
      </c>
      <c r="C17" t="s">
        <v>5</v>
      </c>
      <c r="D17" s="4">
        <v>1.2594546332724645E-5</v>
      </c>
      <c r="E17" s="4">
        <v>1.2594546332724645E-5</v>
      </c>
      <c r="F17" s="4">
        <v>1.1872399173210917E-5</v>
      </c>
      <c r="G17" s="4">
        <v>1.1872399173210917E-5</v>
      </c>
      <c r="H17" s="4">
        <v>1.1872399173210917E-5</v>
      </c>
      <c r="I17" s="4">
        <v>1.1872399173210917E-5</v>
      </c>
      <c r="J17" s="4">
        <v>1.1872399173210917E-5</v>
      </c>
      <c r="K17" s="4">
        <v>1.1872399173210917E-5</v>
      </c>
      <c r="L17" s="4">
        <v>1.1872399173210917E-5</v>
      </c>
      <c r="M17" s="4">
        <v>1.1872399173210917E-5</v>
      </c>
      <c r="N17" s="4">
        <v>1.1872399173210917E-5</v>
      </c>
      <c r="O17" s="4">
        <v>1.1872399173210917E-5</v>
      </c>
      <c r="P17" s="4">
        <v>1.1872399173210917E-5</v>
      </c>
      <c r="Q17" s="4">
        <v>1.1872399173210917E-5</v>
      </c>
      <c r="R17" s="4">
        <v>1.1872399173210917E-5</v>
      </c>
      <c r="S17" s="4">
        <v>1.1872399173210917E-5</v>
      </c>
      <c r="T17" s="4">
        <v>1.1872399173210917E-5</v>
      </c>
      <c r="U17" s="4">
        <v>1.1872399173210917E-5</v>
      </c>
      <c r="V17" s="4">
        <v>1.1872399173210917E-5</v>
      </c>
      <c r="W17" s="4">
        <v>1.1872399173210917E-5</v>
      </c>
      <c r="X17" s="4">
        <v>1.1872399173210917E-5</v>
      </c>
      <c r="Y17" s="4">
        <v>1.1872399173210917E-5</v>
      </c>
      <c r="Z17" s="4">
        <v>1.1872399173210917E-5</v>
      </c>
      <c r="AA17" s="4">
        <v>1.1872399173210917E-5</v>
      </c>
      <c r="AB17" s="4">
        <v>1.1872399173210917E-5</v>
      </c>
      <c r="AC17" s="4">
        <v>1.1872399173210917E-5</v>
      </c>
      <c r="AD17" s="4">
        <v>1.1872399173210917E-5</v>
      </c>
      <c r="AE17" s="4">
        <v>1.1872399173210917E-5</v>
      </c>
      <c r="AF17" s="4">
        <v>1.1872399173210917E-5</v>
      </c>
      <c r="AG17" s="4">
        <v>1.1872399173210917E-5</v>
      </c>
      <c r="AH17" s="4"/>
      <c r="AI17" s="4"/>
      <c r="AJ17" s="4"/>
      <c r="AK17" s="4"/>
    </row>
    <row r="18" spans="1:37">
      <c r="A18" t="s">
        <v>17</v>
      </c>
      <c r="B18" t="s">
        <v>22</v>
      </c>
      <c r="C18" t="s">
        <v>5</v>
      </c>
      <c r="D18" s="4">
        <v>5.2454271866069326E-3</v>
      </c>
      <c r="E18" s="4">
        <v>5.2454271866069326E-3</v>
      </c>
      <c r="F18" s="4">
        <v>4.8577789999999996E-3</v>
      </c>
      <c r="G18" s="4">
        <v>4.8577789999999996E-3</v>
      </c>
      <c r="H18" s="4">
        <v>4.8766649999999996E-3</v>
      </c>
      <c r="I18" s="4">
        <v>4.8956239999999995E-3</v>
      </c>
      <c r="J18" s="4">
        <v>4.9146570000000002E-3</v>
      </c>
      <c r="K18" s="4">
        <v>4.9337640000000002E-3</v>
      </c>
      <c r="L18" s="4">
        <v>4.9529449999999994E-3</v>
      </c>
      <c r="M18" s="4">
        <v>4.9721999999999995E-3</v>
      </c>
      <c r="N18" s="4">
        <v>4.9915310000000004E-3</v>
      </c>
      <c r="O18" s="4">
        <v>5.010937E-3</v>
      </c>
      <c r="P18" s="4">
        <v>5.030418E-3</v>
      </c>
      <c r="Q18" s="4">
        <v>5.049975E-3</v>
      </c>
      <c r="R18" s="4">
        <v>5.0696079999999998E-3</v>
      </c>
      <c r="S18" s="4">
        <v>5.0893170000000003E-3</v>
      </c>
      <c r="T18" s="4">
        <v>5.1091030000000003E-3</v>
      </c>
      <c r="U18" s="4">
        <v>5.1289660000000004E-3</v>
      </c>
      <c r="V18" s="4">
        <v>5.148906E-3</v>
      </c>
      <c r="W18" s="4">
        <v>5.1689230000000006E-3</v>
      </c>
      <c r="X18" s="4">
        <v>5.1890190000000004E-3</v>
      </c>
      <c r="Y18" s="4">
        <v>5.2091919999999996E-3</v>
      </c>
      <c r="Z18" s="4">
        <v>5.2294450000000001E-3</v>
      </c>
      <c r="AA18" s="4">
        <v>5.2497749999999999E-3</v>
      </c>
      <c r="AB18" s="4">
        <v>5.2701849999999993E-3</v>
      </c>
      <c r="AC18" s="4">
        <v>5.2906740000000004E-3</v>
      </c>
      <c r="AD18" s="4">
        <v>5.3112430000000002E-3</v>
      </c>
      <c r="AE18" s="4">
        <v>5.3318919999999995E-3</v>
      </c>
      <c r="AF18" s="4">
        <v>5.3526210000000001E-3</v>
      </c>
      <c r="AG18" s="4">
        <v>5.3734300000000002E-3</v>
      </c>
      <c r="AH18" s="4"/>
      <c r="AI18" s="4"/>
      <c r="AJ18" s="4"/>
      <c r="AK18" s="4"/>
    </row>
    <row r="19" spans="1:37">
      <c r="A19" t="s">
        <v>18</v>
      </c>
      <c r="B19" t="s">
        <v>21</v>
      </c>
      <c r="C19" t="s">
        <v>4</v>
      </c>
      <c r="D19" s="4">
        <v>1.4345302324303027E-3</v>
      </c>
      <c r="E19" s="4">
        <v>1.4345302324303027E-3</v>
      </c>
      <c r="F19" s="4">
        <v>1.8223914406069774E-3</v>
      </c>
      <c r="G19" s="4">
        <v>1.8223914406069774E-3</v>
      </c>
      <c r="H19" s="4">
        <v>1.8223914406069774E-3</v>
      </c>
      <c r="I19" s="4">
        <v>1.8223914406069774E-3</v>
      </c>
      <c r="J19" s="4">
        <v>1.8223914406069774E-3</v>
      </c>
      <c r="K19" s="4">
        <v>1.8223914406069774E-3</v>
      </c>
      <c r="L19" s="4">
        <v>1.8223914406069774E-3</v>
      </c>
      <c r="M19" s="4">
        <v>1.8223914406069774E-3</v>
      </c>
      <c r="N19" s="4">
        <v>1.8223914406069774E-3</v>
      </c>
      <c r="O19" s="4">
        <v>1.8223914406069774E-3</v>
      </c>
      <c r="P19" s="4">
        <v>1.8223914406069774E-3</v>
      </c>
      <c r="Q19" s="4">
        <v>1.8223914406069774E-3</v>
      </c>
      <c r="R19" s="4">
        <v>1.8223914406069774E-3</v>
      </c>
      <c r="S19" s="4">
        <v>1.8223914406069774E-3</v>
      </c>
      <c r="T19" s="4">
        <v>1.8223914406069774E-3</v>
      </c>
      <c r="U19" s="4">
        <v>1.8223914406069774E-3</v>
      </c>
      <c r="V19" s="4">
        <v>1.8223914406069774E-3</v>
      </c>
      <c r="W19" s="4">
        <v>1.8223914406069774E-3</v>
      </c>
      <c r="X19" s="4">
        <v>1.8223914406069774E-3</v>
      </c>
      <c r="Y19" s="4">
        <v>1.8223914406069774E-3</v>
      </c>
      <c r="Z19" s="4">
        <v>1.8223914406069774E-3</v>
      </c>
      <c r="AA19" s="4">
        <v>1.8223914406069774E-3</v>
      </c>
      <c r="AB19" s="4">
        <v>1.8223914406069774E-3</v>
      </c>
      <c r="AC19" s="4">
        <v>1.8223914406069774E-3</v>
      </c>
      <c r="AD19" s="4">
        <v>1.8223914406069774E-3</v>
      </c>
      <c r="AE19" s="4">
        <v>1.8223914406069774E-3</v>
      </c>
      <c r="AF19" s="4">
        <v>1.8223914406069774E-3</v>
      </c>
      <c r="AG19" s="4">
        <v>1.8223914406069774E-3</v>
      </c>
      <c r="AH19" s="4"/>
      <c r="AI19" s="4"/>
      <c r="AJ19" s="4"/>
      <c r="AK19" s="4"/>
    </row>
    <row r="20" spans="1:37">
      <c r="A20" t="s">
        <v>18</v>
      </c>
      <c r="B20" t="s">
        <v>22</v>
      </c>
      <c r="C20" t="s">
        <v>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2" spans="1:37">
      <c r="A22" s="1" t="s">
        <v>93</v>
      </c>
    </row>
    <row r="23" spans="1:37">
      <c r="A23" t="s">
        <v>94</v>
      </c>
      <c r="B23">
        <v>2021</v>
      </c>
      <c r="C23">
        <v>2022</v>
      </c>
      <c r="D23">
        <v>2023</v>
      </c>
      <c r="E23">
        <v>2024</v>
      </c>
      <c r="F23">
        <v>2025</v>
      </c>
      <c r="G23">
        <v>2026</v>
      </c>
      <c r="H23">
        <v>2027</v>
      </c>
      <c r="I23">
        <v>2028</v>
      </c>
      <c r="J23">
        <v>2029</v>
      </c>
      <c r="K23">
        <v>2030</v>
      </c>
      <c r="L23">
        <v>2031</v>
      </c>
      <c r="M23">
        <v>2032</v>
      </c>
      <c r="N23">
        <v>2033</v>
      </c>
      <c r="O23">
        <v>2034</v>
      </c>
      <c r="P23">
        <v>2035</v>
      </c>
      <c r="Q23">
        <v>2036</v>
      </c>
      <c r="R23">
        <v>2037</v>
      </c>
      <c r="S23">
        <v>2038</v>
      </c>
      <c r="T23">
        <v>2039</v>
      </c>
      <c r="U23">
        <v>2040</v>
      </c>
      <c r="V23">
        <v>2041</v>
      </c>
      <c r="W23">
        <v>2042</v>
      </c>
      <c r="X23">
        <v>2043</v>
      </c>
      <c r="Y23">
        <v>2044</v>
      </c>
      <c r="Z23">
        <v>2045</v>
      </c>
      <c r="AA23">
        <v>2046</v>
      </c>
      <c r="AB23">
        <v>2047</v>
      </c>
      <c r="AC23">
        <v>2048</v>
      </c>
      <c r="AD23">
        <v>2049</v>
      </c>
      <c r="AE23">
        <v>2050</v>
      </c>
    </row>
    <row r="24" spans="1:37">
      <c r="A24" t="s">
        <v>2</v>
      </c>
      <c r="B24">
        <v>1.1058184387710214E-3</v>
      </c>
      <c r="C24">
        <v>1.1654653618777037E-3</v>
      </c>
      <c r="D24">
        <v>1.1704178038241025E-3</v>
      </c>
      <c r="E24">
        <v>1.8334104357125213E-3</v>
      </c>
      <c r="F24">
        <v>1.7925671059125295E-3</v>
      </c>
      <c r="G24">
        <v>1.7668363026725571E-3</v>
      </c>
      <c r="H24">
        <v>1.7681921690958103E-3</v>
      </c>
      <c r="I24">
        <v>1.7670165945916365E-3</v>
      </c>
      <c r="J24">
        <v>1.7671444744693351E-3</v>
      </c>
      <c r="K24">
        <v>1.8099401047807758E-3</v>
      </c>
      <c r="L24">
        <v>1.8030744017327107E-3</v>
      </c>
      <c r="M24">
        <v>1.7997833613826637E-3</v>
      </c>
      <c r="N24">
        <v>1.8127613642184425E-3</v>
      </c>
      <c r="O24">
        <v>1.8114477428031351E-3</v>
      </c>
      <c r="P24">
        <v>1.8071596629614477E-3</v>
      </c>
      <c r="Q24">
        <v>1.800753525050088E-3</v>
      </c>
      <c r="R24">
        <v>1.7964254092139211E-3</v>
      </c>
      <c r="S24">
        <v>1.7923091457866826E-3</v>
      </c>
      <c r="T24">
        <v>1.7901114370616183E-3</v>
      </c>
      <c r="U24">
        <v>1.7892885681960343E-3</v>
      </c>
      <c r="V24">
        <v>1.7859435878820093E-3</v>
      </c>
      <c r="W24">
        <v>1.7833320196472262E-3</v>
      </c>
      <c r="X24">
        <v>1.7807862284029365E-3</v>
      </c>
      <c r="Y24">
        <v>1.7785748390222685E-3</v>
      </c>
      <c r="Z24">
        <v>1.7765065511849726E-3</v>
      </c>
      <c r="AA24">
        <v>1.7746684088006685E-3</v>
      </c>
      <c r="AB24">
        <v>1.7729074711792267E-3</v>
      </c>
      <c r="AC24">
        <v>1.7711892428205265E-3</v>
      </c>
      <c r="AD24">
        <v>1.7696729758698506E-3</v>
      </c>
      <c r="AE24">
        <v>1.7681621651634465E-3</v>
      </c>
    </row>
    <row r="25" spans="1:37">
      <c r="A25" t="s">
        <v>3</v>
      </c>
      <c r="B25">
        <v>4.1435623124899391E-4</v>
      </c>
      <c r="C25">
        <v>4.1583860682125711E-4</v>
      </c>
      <c r="D25">
        <v>4.0102815590911211E-4</v>
      </c>
      <c r="E25">
        <v>3.7447643323240698E-4</v>
      </c>
      <c r="F25">
        <v>3.9011286777709445E-4</v>
      </c>
      <c r="G25">
        <v>3.973908333465341E-4</v>
      </c>
      <c r="H25">
        <v>3.9921116827982341E-4</v>
      </c>
      <c r="I25">
        <v>4.0474968459162865E-4</v>
      </c>
      <c r="J25">
        <v>4.0866714086181205E-4</v>
      </c>
      <c r="K25">
        <v>4.1165739618674141E-4</v>
      </c>
      <c r="L25">
        <v>4.1453743818293512E-4</v>
      </c>
      <c r="M25">
        <v>4.1476226395269379E-4</v>
      </c>
      <c r="N25">
        <v>4.1467751199658729E-4</v>
      </c>
      <c r="O25">
        <v>4.1774836203476703E-4</v>
      </c>
      <c r="P25">
        <v>4.1834632264550211E-4</v>
      </c>
      <c r="Q25">
        <v>4.1983822558637316E-4</v>
      </c>
      <c r="R25">
        <v>4.2130104966706447E-4</v>
      </c>
      <c r="S25">
        <v>4.2281184411175634E-4</v>
      </c>
      <c r="T25">
        <v>4.2360951790740064E-4</v>
      </c>
      <c r="U25">
        <v>4.2374431078237557E-4</v>
      </c>
      <c r="V25">
        <v>4.2455978231601869E-4</v>
      </c>
      <c r="W25">
        <v>4.2499271222158055E-4</v>
      </c>
      <c r="X25">
        <v>4.255977010533903E-4</v>
      </c>
      <c r="Y25">
        <v>4.259134403023234E-4</v>
      </c>
      <c r="Z25">
        <v>4.2644140225411056E-4</v>
      </c>
      <c r="AA25">
        <v>4.2668500307371869E-4</v>
      </c>
      <c r="AB25">
        <v>4.2678409185942635E-4</v>
      </c>
      <c r="AC25">
        <v>4.2712969246070032E-4</v>
      </c>
      <c r="AD25">
        <v>4.274732939624897E-4</v>
      </c>
      <c r="AE25">
        <v>4.2842378634895789E-4</v>
      </c>
    </row>
    <row r="26" spans="1:37">
      <c r="A26" t="s">
        <v>4</v>
      </c>
      <c r="B26">
        <v>3.8560342544165043E-4</v>
      </c>
      <c r="C26">
        <v>3.938977091004229E-4</v>
      </c>
      <c r="D26">
        <v>4.0102815590911211E-4</v>
      </c>
      <c r="E26">
        <v>3.7447643323240698E-4</v>
      </c>
      <c r="F26">
        <v>3.9011286777709445E-4</v>
      </c>
      <c r="G26">
        <v>3.973908333465341E-4</v>
      </c>
      <c r="H26">
        <v>3.9921116827982341E-4</v>
      </c>
      <c r="I26">
        <v>4.0474968459162865E-4</v>
      </c>
      <c r="J26">
        <v>4.0866714086181205E-4</v>
      </c>
      <c r="K26">
        <v>4.1165739618674141E-4</v>
      </c>
      <c r="L26">
        <v>4.1453743818293512E-4</v>
      </c>
      <c r="M26">
        <v>4.1476226395269379E-4</v>
      </c>
      <c r="N26">
        <v>4.1467751199658729E-4</v>
      </c>
      <c r="O26">
        <v>4.1774836203476703E-4</v>
      </c>
      <c r="P26">
        <v>4.1834632264550211E-4</v>
      </c>
      <c r="Q26">
        <v>4.1983822558637316E-4</v>
      </c>
      <c r="R26">
        <v>4.2130104966706447E-4</v>
      </c>
      <c r="S26">
        <v>4.2281184411175634E-4</v>
      </c>
      <c r="T26">
        <v>4.2360951790740064E-4</v>
      </c>
      <c r="U26">
        <v>4.2374431078237557E-4</v>
      </c>
      <c r="V26">
        <v>4.2455978231601869E-4</v>
      </c>
      <c r="W26">
        <v>4.2499271222158055E-4</v>
      </c>
      <c r="X26">
        <v>4.255977010533903E-4</v>
      </c>
      <c r="Y26">
        <v>4.259134403023234E-4</v>
      </c>
      <c r="Z26">
        <v>4.2644140225411056E-4</v>
      </c>
      <c r="AA26">
        <v>4.2668500307371869E-4</v>
      </c>
      <c r="AB26">
        <v>4.2678409185942635E-4</v>
      </c>
      <c r="AC26">
        <v>4.2712969246070032E-4</v>
      </c>
      <c r="AD26">
        <v>4.274732939624897E-4</v>
      </c>
      <c r="AE26">
        <v>4.2842378634895789E-4</v>
      </c>
    </row>
    <row r="27" spans="1:37">
      <c r="A27" t="s">
        <v>5</v>
      </c>
      <c r="B27">
        <v>4.0465652197743196E-4</v>
      </c>
      <c r="C27">
        <v>4.1576202640994142E-4</v>
      </c>
      <c r="D27">
        <v>4.1870929984394776E-4</v>
      </c>
      <c r="E27">
        <v>3.4409208550507931E-4</v>
      </c>
      <c r="F27">
        <v>3.4419262087433795E-4</v>
      </c>
      <c r="G27">
        <v>3.4411556548873622E-4</v>
      </c>
      <c r="H27">
        <v>3.4385085191786675E-4</v>
      </c>
      <c r="I27">
        <v>3.4374428891511578E-4</v>
      </c>
      <c r="J27">
        <v>3.4388677191107174E-4</v>
      </c>
      <c r="K27">
        <v>3.4098770463444509E-4</v>
      </c>
      <c r="L27">
        <v>3.4083716341924594E-4</v>
      </c>
      <c r="M27">
        <v>3.4068376869670204E-4</v>
      </c>
      <c r="N27">
        <v>3.4100707001013305E-4</v>
      </c>
      <c r="O27">
        <v>3.408843157578416E-4</v>
      </c>
      <c r="P27">
        <v>3.4070375393540871E-4</v>
      </c>
      <c r="Q27">
        <v>3.4057489723857105E-4</v>
      </c>
      <c r="R27">
        <v>3.4046925334305474E-4</v>
      </c>
      <c r="S27">
        <v>3.4035874672902949E-4</v>
      </c>
      <c r="T27">
        <v>3.4024322777438746E-4</v>
      </c>
      <c r="U27">
        <v>3.4013551054394651E-4</v>
      </c>
      <c r="V27">
        <v>3.3986595562915498E-4</v>
      </c>
      <c r="W27">
        <v>3.3962863359133648E-4</v>
      </c>
      <c r="X27">
        <v>3.394067546925186E-4</v>
      </c>
      <c r="Y27">
        <v>3.3918821022924957E-4</v>
      </c>
      <c r="Z27">
        <v>3.3898614557244353E-4</v>
      </c>
      <c r="AA27">
        <v>3.3877409898357754E-4</v>
      </c>
      <c r="AB27">
        <v>3.3856412572963625E-4</v>
      </c>
      <c r="AC27">
        <v>3.3837354991326314E-4</v>
      </c>
      <c r="AD27">
        <v>3.3819694238939799E-4</v>
      </c>
      <c r="AE27">
        <v>3.3806951778987936E-4</v>
      </c>
    </row>
    <row r="28" spans="1:37">
      <c r="A28" t="s">
        <v>6</v>
      </c>
      <c r="B28">
        <v>6.5517280333083554E-4</v>
      </c>
      <c r="C28">
        <v>6.0514507559113824E-4</v>
      </c>
      <c r="D28">
        <v>6.0150704320725845E-4</v>
      </c>
      <c r="E28">
        <v>5.3583985164873816E-4</v>
      </c>
      <c r="F28">
        <v>5.5498411080249122E-4</v>
      </c>
      <c r="G28">
        <v>5.7874853156808677E-4</v>
      </c>
      <c r="H28">
        <v>5.7864870343463874E-4</v>
      </c>
      <c r="I28">
        <v>5.8194405794577159E-4</v>
      </c>
      <c r="J28">
        <v>5.8334787551745141E-4</v>
      </c>
      <c r="K28">
        <v>5.8826201754996798E-4</v>
      </c>
      <c r="L28">
        <v>5.895840420730642E-4</v>
      </c>
      <c r="M28">
        <v>5.8604151309520232E-4</v>
      </c>
      <c r="N28">
        <v>5.835181133931692E-4</v>
      </c>
      <c r="O28">
        <v>5.8539577311758086E-4</v>
      </c>
      <c r="P28">
        <v>5.835990908424402E-4</v>
      </c>
      <c r="Q28">
        <v>5.87484566242421E-4</v>
      </c>
      <c r="R28">
        <v>5.8791676602440283E-4</v>
      </c>
      <c r="S28">
        <v>5.8833775584053564E-4</v>
      </c>
      <c r="T28">
        <v>5.8730323704543933E-4</v>
      </c>
      <c r="U28">
        <v>5.8726122895937614E-4</v>
      </c>
      <c r="V28">
        <v>5.8728067976056427E-4</v>
      </c>
      <c r="W28">
        <v>5.8687042642141746E-4</v>
      </c>
      <c r="X28">
        <v>5.8656658050347586E-4</v>
      </c>
      <c r="Y28">
        <v>5.8613007006563344E-4</v>
      </c>
      <c r="Z28">
        <v>5.8581767396648633E-4</v>
      </c>
      <c r="AA28">
        <v>5.8536228181720518E-4</v>
      </c>
      <c r="AB28">
        <v>5.8489367662228398E-4</v>
      </c>
      <c r="AC28">
        <v>5.84480286558208E-4</v>
      </c>
      <c r="AD28">
        <v>5.8409024130029442E-4</v>
      </c>
      <c r="AE28">
        <v>5.8395244367653431E-4</v>
      </c>
    </row>
    <row r="29" spans="1:37">
      <c r="A29" t="s">
        <v>84</v>
      </c>
      <c r="B29">
        <v>3.6045503701553509E-4</v>
      </c>
      <c r="C29">
        <v>3.5950684514816466E-4</v>
      </c>
      <c r="D29">
        <v>4.0102815590911211E-4</v>
      </c>
      <c r="E29">
        <v>3.7447643323240698E-4</v>
      </c>
      <c r="F29">
        <v>3.9011286777709445E-4</v>
      </c>
      <c r="G29">
        <v>3.973908333465341E-4</v>
      </c>
      <c r="H29">
        <v>3.9921116827982341E-4</v>
      </c>
      <c r="I29">
        <v>4.0474968459162865E-4</v>
      </c>
      <c r="J29">
        <v>4.0866714086181205E-4</v>
      </c>
      <c r="K29">
        <v>4.1165739618674141E-4</v>
      </c>
      <c r="L29">
        <v>4.1453743818293512E-4</v>
      </c>
      <c r="M29">
        <v>4.1476226395269379E-4</v>
      </c>
      <c r="N29">
        <v>4.1467751199658729E-4</v>
      </c>
      <c r="O29">
        <v>4.1774836203476703E-4</v>
      </c>
      <c r="P29">
        <v>4.1834632264550211E-4</v>
      </c>
      <c r="Q29">
        <v>4.1983822558637316E-4</v>
      </c>
      <c r="R29">
        <v>4.2130104966706447E-4</v>
      </c>
      <c r="S29">
        <v>4.2281184411175634E-4</v>
      </c>
      <c r="T29">
        <v>4.2360951790740064E-4</v>
      </c>
      <c r="U29">
        <v>4.2374431078237557E-4</v>
      </c>
      <c r="V29">
        <v>4.2455978231601869E-4</v>
      </c>
      <c r="W29">
        <v>4.2499271222158055E-4</v>
      </c>
      <c r="X29">
        <v>4.255977010533903E-4</v>
      </c>
      <c r="Y29">
        <v>4.259134403023234E-4</v>
      </c>
      <c r="Z29">
        <v>4.2644140225411056E-4</v>
      </c>
      <c r="AA29">
        <v>4.2668500307371869E-4</v>
      </c>
      <c r="AB29">
        <v>4.2678409185942635E-4</v>
      </c>
      <c r="AC29">
        <v>4.2712969246070032E-4</v>
      </c>
      <c r="AD29">
        <v>4.274732939624897E-4</v>
      </c>
      <c r="AE29">
        <v>4.2842378634895789E-4</v>
      </c>
    </row>
    <row r="30" spans="1:37">
      <c r="A30" t="s">
        <v>85</v>
      </c>
      <c r="B30">
        <v>5.8311378364830837E-4</v>
      </c>
      <c r="C30">
        <v>5.7223208730528745E-4</v>
      </c>
      <c r="D30">
        <v>5.6894733626181731E-4</v>
      </c>
      <c r="E30">
        <v>1.0820719047685537E-3</v>
      </c>
      <c r="F30">
        <v>1.0897685621878879E-3</v>
      </c>
      <c r="G30">
        <v>1.098089389605183E-3</v>
      </c>
      <c r="H30">
        <v>1.1061850143754047E-3</v>
      </c>
      <c r="I30">
        <v>1.1052682049088524E-3</v>
      </c>
      <c r="J30">
        <v>1.0725062427875806E-3</v>
      </c>
      <c r="K30">
        <v>1.078206620667866E-3</v>
      </c>
      <c r="L30">
        <v>1.0817165629494314E-3</v>
      </c>
      <c r="M30">
        <v>1.0843621383132857E-3</v>
      </c>
      <c r="N30">
        <v>1.0738877357722972E-3</v>
      </c>
      <c r="O30">
        <v>1.0783368346509688E-3</v>
      </c>
      <c r="P30">
        <v>1.0871886388675498E-3</v>
      </c>
      <c r="Q30">
        <v>1.0871623801876017E-3</v>
      </c>
      <c r="R30">
        <v>1.0881894290858439E-3</v>
      </c>
      <c r="S30">
        <v>1.0894788617249883E-3</v>
      </c>
      <c r="T30">
        <v>1.090807431232659E-3</v>
      </c>
      <c r="U30">
        <v>1.0923861689048466E-3</v>
      </c>
      <c r="V30">
        <v>1.0940314349786109E-3</v>
      </c>
      <c r="W30">
        <v>1.0953890311752267E-3</v>
      </c>
      <c r="X30">
        <v>1.0971447824884295E-3</v>
      </c>
      <c r="Y30">
        <v>1.097970183534309E-3</v>
      </c>
      <c r="Z30">
        <v>1.0992446219007771E-3</v>
      </c>
      <c r="AA30">
        <v>1.1001875190505823E-3</v>
      </c>
      <c r="AB30">
        <v>1.1006808979515952E-3</v>
      </c>
      <c r="AC30">
        <v>1.1016918838478178E-3</v>
      </c>
      <c r="AD30">
        <v>1.1025044922034664E-3</v>
      </c>
      <c r="AE30">
        <v>1.1044683251196742E-3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activeCell="A9" sqref="A9:H15"/>
    </sheetView>
  </sheetViews>
  <sheetFormatPr defaultRowHeight="15"/>
  <sheetData>
    <row r="1" spans="1:8">
      <c r="A1" t="s">
        <v>91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84</v>
      </c>
      <c r="H1" t="s">
        <v>85</v>
      </c>
    </row>
    <row r="2" spans="1:8">
      <c r="A2" t="s">
        <v>15</v>
      </c>
      <c r="B2">
        <v>1.4644871483406822E-3</v>
      </c>
      <c r="C2">
        <v>2.8599578430961074E-4</v>
      </c>
      <c r="D2">
        <v>3.0811518665027502E-4</v>
      </c>
      <c r="E2">
        <v>3.4955084322389854E-4</v>
      </c>
      <c r="F2">
        <v>5.4440152139639993E-4</v>
      </c>
      <c r="G2">
        <v>2.4597247808457096E-4</v>
      </c>
      <c r="H2">
        <v>9.5477617242703441E-4</v>
      </c>
    </row>
    <row r="3" spans="1:8">
      <c r="A3" t="s">
        <v>8</v>
      </c>
      <c r="B3">
        <v>3.3199658675940884E-3</v>
      </c>
      <c r="C3">
        <v>2.3489662423758803E-3</v>
      </c>
      <c r="D3">
        <v>8.5179832440752728E-4</v>
      </c>
      <c r="E3">
        <v>1.0331389660993618E-3</v>
      </c>
      <c r="F3">
        <v>2.2908937619214613E-3</v>
      </c>
      <c r="G3">
        <v>1.8294441155202029E-3</v>
      </c>
      <c r="H3">
        <v>3.099416898298085E-3</v>
      </c>
    </row>
    <row r="4" spans="1:8">
      <c r="A4" t="s">
        <v>7</v>
      </c>
      <c r="B4">
        <v>9.7898292792220369E-4</v>
      </c>
      <c r="C4">
        <v>3.0464933987873528E-4</v>
      </c>
      <c r="D4">
        <v>3.0464933987873528E-4</v>
      </c>
      <c r="E4">
        <v>3.0464933987873528E-4</v>
      </c>
      <c r="F4">
        <v>0</v>
      </c>
      <c r="G4">
        <v>0</v>
      </c>
      <c r="H4">
        <v>9.1394801963620568E-4</v>
      </c>
    </row>
    <row r="5" spans="1:8">
      <c r="A5" t="s">
        <v>16</v>
      </c>
      <c r="B5">
        <v>6.7428486606874269E-4</v>
      </c>
      <c r="C5" s="4">
        <v>5.0586266198922429E-5</v>
      </c>
      <c r="D5" s="4">
        <v>5.0586266198922429E-5</v>
      </c>
      <c r="E5" s="4">
        <v>5.0586266198922429E-5</v>
      </c>
      <c r="F5">
        <v>0</v>
      </c>
      <c r="G5">
        <v>0</v>
      </c>
      <c r="H5">
        <v>1.5175879859676727E-4</v>
      </c>
    </row>
    <row r="6" spans="1:8">
      <c r="A6" t="s">
        <v>17</v>
      </c>
      <c r="B6" s="4">
        <v>3.8151653664103207E-5</v>
      </c>
      <c r="C6">
        <v>0</v>
      </c>
      <c r="D6" s="4">
        <v>1.1872400950049923E-5</v>
      </c>
      <c r="E6" s="4">
        <v>1.1872399173210917E-5</v>
      </c>
      <c r="F6">
        <v>0</v>
      </c>
      <c r="G6">
        <v>0</v>
      </c>
      <c r="H6" s="4">
        <v>3.5617197519632745E-5</v>
      </c>
    </row>
    <row r="7" spans="1:8">
      <c r="A7" t="s">
        <v>18</v>
      </c>
      <c r="B7">
        <v>1.583802E-3</v>
      </c>
      <c r="C7">
        <v>4.9739300000000005E-4</v>
      </c>
      <c r="D7">
        <v>4.9739300000000005E-4</v>
      </c>
      <c r="E7">
        <v>4.9739300000000005E-4</v>
      </c>
      <c r="F7">
        <v>1.0949180000000001E-3</v>
      </c>
      <c r="G7">
        <v>3.8547899999999999E-4</v>
      </c>
      <c r="H7">
        <v>1.492178E-3</v>
      </c>
    </row>
    <row r="9" spans="1:8">
      <c r="A9" t="s">
        <v>92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84</v>
      </c>
      <c r="H9" t="s">
        <v>85</v>
      </c>
    </row>
    <row r="10" spans="1:8">
      <c r="A10" t="s">
        <v>15</v>
      </c>
      <c r="B10">
        <v>3.0156650473713915E-4</v>
      </c>
      <c r="C10" s="4">
        <v>7.0213473556835903E-5</v>
      </c>
      <c r="D10" s="4">
        <v>9.3322264163941547E-5</v>
      </c>
      <c r="E10" s="4">
        <v>8.9590243650741159E-5</v>
      </c>
      <c r="F10">
        <v>1.5342859945717928E-4</v>
      </c>
      <c r="G10" s="4">
        <v>1.1549320628198341E-4</v>
      </c>
      <c r="H10" s="4">
        <v>8.379890176963306E-5</v>
      </c>
    </row>
    <row r="11" spans="1:8">
      <c r="A11" t="s">
        <v>8</v>
      </c>
      <c r="B11">
        <v>1.6283396676658034E-3</v>
      </c>
      <c r="C11">
        <v>7.7263481523290941E-4</v>
      </c>
      <c r="D11">
        <v>6.720672001062452E-4</v>
      </c>
      <c r="E11">
        <v>7.5059325437243547E-4</v>
      </c>
      <c r="F11">
        <v>0</v>
      </c>
      <c r="G11">
        <v>6.8755018426906603E-4</v>
      </c>
      <c r="H11">
        <v>0</v>
      </c>
    </row>
    <row r="12" spans="1:8">
      <c r="A12" t="s">
        <v>7</v>
      </c>
      <c r="B12">
        <v>2.9962432880267732E-4</v>
      </c>
      <c r="C12">
        <v>9.3239985476639982E-5</v>
      </c>
      <c r="D12">
        <v>9.3239985476639982E-5</v>
      </c>
      <c r="E12">
        <v>9.3239985476639982E-5</v>
      </c>
      <c r="F12">
        <v>0</v>
      </c>
      <c r="G12">
        <v>0</v>
      </c>
      <c r="H12">
        <v>2.7971995642991991E-4</v>
      </c>
    </row>
    <row r="13" spans="1:8">
      <c r="A13" t="s">
        <v>16</v>
      </c>
      <c r="B13">
        <v>1.0840496025738076E-2</v>
      </c>
      <c r="C13">
        <v>3.3734500000000001E-3</v>
      </c>
      <c r="D13">
        <v>3.3734500000000001E-3</v>
      </c>
      <c r="E13">
        <v>3.3734500000000001E-3</v>
      </c>
      <c r="F13">
        <v>0</v>
      </c>
      <c r="G13">
        <v>0</v>
      </c>
      <c r="H13">
        <v>1.0120349999999998E-2</v>
      </c>
    </row>
    <row r="14" spans="1:8">
      <c r="A14" t="s">
        <v>17</v>
      </c>
      <c r="B14">
        <v>1.5610349625283874E-2</v>
      </c>
      <c r="C14">
        <v>4.8577789999999996E-3</v>
      </c>
      <c r="D14">
        <v>4.8577789999999996E-3</v>
      </c>
      <c r="E14">
        <v>4.8577789999999996E-3</v>
      </c>
      <c r="F14">
        <v>0</v>
      </c>
      <c r="G14">
        <v>0</v>
      </c>
      <c r="H14">
        <v>1.4573336999999997E-2</v>
      </c>
    </row>
    <row r="15" spans="1:8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5"/>
  <cols>
    <col min="1" max="1" width="50.42578125" customWidth="1"/>
  </cols>
  <sheetData>
    <row r="1" spans="1:2">
      <c r="A1" s="2" t="s">
        <v>9</v>
      </c>
      <c r="B1" s="3"/>
    </row>
    <row r="2" spans="1:2">
      <c r="A2" t="s">
        <v>13</v>
      </c>
      <c r="B2" s="8">
        <v>0.68595041322314043</v>
      </c>
    </row>
    <row r="3" spans="1:2">
      <c r="A3" t="s">
        <v>8</v>
      </c>
      <c r="B3" s="8">
        <v>0.68881036513545346</v>
      </c>
    </row>
    <row r="5" spans="1:2">
      <c r="A5" s="2" t="s">
        <v>10</v>
      </c>
      <c r="B5" s="3"/>
    </row>
    <row r="6" spans="1:2">
      <c r="A6" t="s">
        <v>11</v>
      </c>
      <c r="B6">
        <v>0.55000000000000004</v>
      </c>
    </row>
    <row r="8" spans="1:2">
      <c r="A8" s="2" t="s">
        <v>19</v>
      </c>
      <c r="B8" s="3"/>
    </row>
    <row r="9" spans="1:2">
      <c r="A9" t="s">
        <v>15</v>
      </c>
      <c r="B9" s="7">
        <v>13.378781688359696</v>
      </c>
    </row>
    <row r="10" spans="1:2">
      <c r="A10" t="s">
        <v>8</v>
      </c>
      <c r="B10">
        <v>28</v>
      </c>
    </row>
    <row r="11" spans="1:2">
      <c r="A11" t="s">
        <v>7</v>
      </c>
      <c r="B11">
        <v>24</v>
      </c>
    </row>
    <row r="12" spans="1:2">
      <c r="A12" t="s">
        <v>16</v>
      </c>
      <c r="B12">
        <v>34</v>
      </c>
    </row>
    <row r="13" spans="1:2">
      <c r="A13" t="s">
        <v>17</v>
      </c>
      <c r="B13">
        <v>33</v>
      </c>
    </row>
    <row r="14" spans="1:2">
      <c r="A14" t="s">
        <v>18</v>
      </c>
      <c r="B14" s="7">
        <v>17.22332068760786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1"/>
  <sheetViews>
    <sheetView workbookViewId="0">
      <selection activeCell="B22" sqref="B22"/>
    </sheetView>
  </sheetViews>
  <sheetFormatPr defaultRowHeight="15"/>
  <cols>
    <col min="1" max="1" width="42.140625" customWidth="1"/>
    <col min="2" max="2" width="26.42578125" customWidth="1"/>
    <col min="3" max="3" width="42.85546875" customWidth="1"/>
  </cols>
  <sheetData>
    <row r="1" spans="1:38">
      <c r="A1" s="2" t="s">
        <v>49</v>
      </c>
      <c r="B1" s="3"/>
      <c r="D1" s="2" t="s">
        <v>50</v>
      </c>
    </row>
    <row r="2" spans="1:38">
      <c r="A2" t="s">
        <v>51</v>
      </c>
      <c r="B2">
        <v>1.67</v>
      </c>
      <c r="D2" s="6" t="s">
        <v>52</v>
      </c>
    </row>
    <row r="3" spans="1:38">
      <c r="A3" t="s">
        <v>53</v>
      </c>
      <c r="B3">
        <v>1</v>
      </c>
    </row>
    <row r="4" spans="1:38">
      <c r="A4" t="s">
        <v>54</v>
      </c>
      <c r="B4">
        <v>21.2</v>
      </c>
    </row>
    <row r="5" spans="1:38">
      <c r="A5" t="s">
        <v>55</v>
      </c>
      <c r="B5">
        <v>16</v>
      </c>
    </row>
    <row r="6" spans="1:38">
      <c r="A6" t="s">
        <v>56</v>
      </c>
      <c r="B6">
        <v>48.656731685074099</v>
      </c>
    </row>
    <row r="8" spans="1:38">
      <c r="A8" s="2" t="s">
        <v>57</v>
      </c>
      <c r="B8" s="3"/>
      <c r="AK8" s="2" t="s">
        <v>50</v>
      </c>
    </row>
    <row r="9" spans="1:38">
      <c r="A9" t="s">
        <v>58</v>
      </c>
      <c r="B9">
        <v>120476</v>
      </c>
      <c r="AK9" t="s">
        <v>59</v>
      </c>
      <c r="AL9" t="s">
        <v>60</v>
      </c>
    </row>
    <row r="10" spans="1:38">
      <c r="A10" t="s">
        <v>61</v>
      </c>
      <c r="B10">
        <v>137452</v>
      </c>
      <c r="AK10" s="5">
        <v>2017</v>
      </c>
      <c r="AL10" t="s">
        <v>62</v>
      </c>
    </row>
    <row r="12" spans="1:38">
      <c r="A12" s="2" t="s">
        <v>63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"/>
    </row>
    <row r="13" spans="1:38">
      <c r="B13">
        <v>2007</v>
      </c>
      <c r="C13">
        <v>2007</v>
      </c>
      <c r="D13">
        <v>2021</v>
      </c>
    </row>
    <row r="14" spans="1:38" s="9" customFormat="1">
      <c r="A14" s="9" t="s">
        <v>64</v>
      </c>
      <c r="C14" s="15" t="s">
        <v>88</v>
      </c>
    </row>
    <row r="15" spans="1:38">
      <c r="A15" t="s">
        <v>65</v>
      </c>
      <c r="C15">
        <v>22.670399</v>
      </c>
    </row>
    <row r="16" spans="1:38">
      <c r="A16" t="s">
        <v>66</v>
      </c>
      <c r="B16">
        <f>TREND(C16:D16,C13:D13,B13)</f>
        <v>3.142498616321935E-4</v>
      </c>
      <c r="C16">
        <f>C15*$B$2/$B$9</f>
        <v>3.142498616321923E-4</v>
      </c>
      <c r="D16" s="4">
        <f>BNVFE!D8</f>
        <v>3.8560342544165043E-4</v>
      </c>
    </row>
    <row r="18" spans="1:4">
      <c r="A18" s="2" t="s">
        <v>71</v>
      </c>
      <c r="B18" s="2"/>
      <c r="C18" s="2"/>
    </row>
    <row r="19" spans="1:4">
      <c r="A19" t="s">
        <v>67</v>
      </c>
      <c r="B19">
        <v>5.76</v>
      </c>
    </row>
    <row r="20" spans="1:4" ht="30">
      <c r="A20" s="9" t="s">
        <v>68</v>
      </c>
      <c r="B20">
        <f>7.1/6.1</f>
        <v>1.1639344262295082</v>
      </c>
    </row>
    <row r="21" spans="1:4">
      <c r="A21" s="9" t="s">
        <v>69</v>
      </c>
      <c r="B21">
        <f>B19*$B$20</f>
        <v>6.7042622950819668</v>
      </c>
    </row>
    <row r="22" spans="1:4" ht="30">
      <c r="A22" s="9" t="s">
        <v>70</v>
      </c>
      <c r="B22">
        <f>B21*$B$5/$B$10</f>
        <v>7.8040477200267344E-4</v>
      </c>
    </row>
    <row r="24" spans="1:4">
      <c r="A24" s="2" t="s">
        <v>75</v>
      </c>
      <c r="B24" s="3"/>
      <c r="D24" s="2" t="s">
        <v>50</v>
      </c>
    </row>
    <row r="25" spans="1:4">
      <c r="A25" t="s">
        <v>76</v>
      </c>
      <c r="B25" s="11">
        <v>0.2</v>
      </c>
      <c r="D25" s="6" t="s">
        <v>82</v>
      </c>
    </row>
    <row r="26" spans="1:4">
      <c r="A26" t="s">
        <v>77</v>
      </c>
      <c r="B26" s="11">
        <v>0.6</v>
      </c>
      <c r="D26" s="6"/>
    </row>
    <row r="27" spans="1:4">
      <c r="A27" t="s">
        <v>78</v>
      </c>
      <c r="B27">
        <f>B26/B25</f>
        <v>2.9999999999999996</v>
      </c>
    </row>
    <row r="29" spans="1:4">
      <c r="A29" s="2" t="s">
        <v>79</v>
      </c>
      <c r="B29" s="2"/>
      <c r="D29" s="2" t="s">
        <v>50</v>
      </c>
    </row>
    <row r="30" spans="1:4">
      <c r="A30" t="s">
        <v>80</v>
      </c>
      <c r="B30" s="12">
        <v>0.22500000000000001</v>
      </c>
      <c r="D30" s="6" t="s">
        <v>82</v>
      </c>
    </row>
    <row r="31" spans="1:4">
      <c r="A31" t="s">
        <v>81</v>
      </c>
      <c r="B31">
        <f>1-B30</f>
        <v>0.77500000000000002</v>
      </c>
      <c r="D31" s="1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T15"/>
  <sheetViews>
    <sheetView zoomScale="90" zoomScaleNormal="90" workbookViewId="0">
      <pane xSplit="2" topLeftCell="AF1" activePane="topRight" state="frozen"/>
      <selection pane="topRight" activeCell="AR15" sqref="AR15"/>
    </sheetView>
  </sheetViews>
  <sheetFormatPr defaultRowHeight="15"/>
  <cols>
    <col min="1" max="1" width="14" customWidth="1"/>
    <col min="15" max="15" width="11.42578125" customWidth="1"/>
  </cols>
  <sheetData>
    <row r="1" spans="1:72">
      <c r="C1">
        <v>1983</v>
      </c>
      <c r="D1">
        <v>1984</v>
      </c>
      <c r="E1">
        <v>1985</v>
      </c>
      <c r="F1">
        <v>1986</v>
      </c>
      <c r="G1">
        <v>1987</v>
      </c>
      <c r="H1">
        <v>1988</v>
      </c>
      <c r="I1">
        <v>1989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>
        <v>2019</v>
      </c>
      <c r="AN1">
        <v>2020</v>
      </c>
      <c r="AO1">
        <v>2021</v>
      </c>
      <c r="AP1">
        <v>2022</v>
      </c>
      <c r="AQ1">
        <v>2023</v>
      </c>
      <c r="AR1" s="16">
        <v>2024</v>
      </c>
      <c r="AS1">
        <v>2025</v>
      </c>
      <c r="AT1">
        <v>2026</v>
      </c>
      <c r="AU1">
        <v>2027</v>
      </c>
      <c r="AV1">
        <v>2028</v>
      </c>
      <c r="AW1">
        <v>2029</v>
      </c>
      <c r="AX1">
        <v>2030</v>
      </c>
      <c r="AY1">
        <v>2031</v>
      </c>
      <c r="AZ1">
        <v>2032</v>
      </c>
      <c r="BA1">
        <v>2033</v>
      </c>
      <c r="BB1">
        <v>2034</v>
      </c>
      <c r="BC1">
        <v>2035</v>
      </c>
      <c r="BD1">
        <v>2036</v>
      </c>
      <c r="BE1">
        <v>2037</v>
      </c>
      <c r="BF1">
        <v>2038</v>
      </c>
      <c r="BG1">
        <v>2039</v>
      </c>
      <c r="BH1">
        <v>2040</v>
      </c>
      <c r="BI1">
        <v>2041</v>
      </c>
      <c r="BJ1">
        <v>2042</v>
      </c>
      <c r="BK1">
        <v>2043</v>
      </c>
      <c r="BL1">
        <v>2044</v>
      </c>
      <c r="BM1">
        <v>2045</v>
      </c>
      <c r="BN1">
        <v>2046</v>
      </c>
      <c r="BO1">
        <v>2047</v>
      </c>
      <c r="BP1">
        <v>2048</v>
      </c>
      <c r="BQ1">
        <v>2049</v>
      </c>
      <c r="BR1">
        <v>2050</v>
      </c>
    </row>
    <row r="2" spans="1:72">
      <c r="A2" t="s">
        <v>15</v>
      </c>
      <c r="B2" t="s">
        <v>21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4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4">
        <f>Calculations!C16</f>
        <v>3.142498616321923E-4</v>
      </c>
      <c r="AB2" s="25">
        <f t="shared" ref="AB2:AQ2" si="0">($AS$2-$AA$2)/COUNT($AB$1:$AS$1)+AA2</f>
        <v>3.1844100144032408E-4</v>
      </c>
      <c r="AC2" s="25">
        <f t="shared" si="0"/>
        <v>3.2263214124845585E-4</v>
      </c>
      <c r="AD2" s="25">
        <f t="shared" si="0"/>
        <v>3.2682328105658763E-4</v>
      </c>
      <c r="AE2" s="25">
        <f t="shared" si="0"/>
        <v>3.310144208647194E-4</v>
      </c>
      <c r="AF2" s="25">
        <f t="shared" si="0"/>
        <v>3.3520556067285118E-4</v>
      </c>
      <c r="AG2" s="25">
        <f t="shared" si="0"/>
        <v>3.3939670048098295E-4</v>
      </c>
      <c r="AH2" s="25">
        <f t="shared" si="0"/>
        <v>3.4358784028911473E-4</v>
      </c>
      <c r="AI2" s="25">
        <f t="shared" si="0"/>
        <v>3.477789800972465E-4</v>
      </c>
      <c r="AJ2" s="25">
        <f t="shared" si="0"/>
        <v>3.5197011990537828E-4</v>
      </c>
      <c r="AK2" s="25">
        <f t="shared" si="0"/>
        <v>3.5616125971351005E-4</v>
      </c>
      <c r="AL2" s="25">
        <f t="shared" si="0"/>
        <v>3.6035239952164183E-4</v>
      </c>
      <c r="AM2" s="25">
        <f t="shared" si="0"/>
        <v>3.645435393297736E-4</v>
      </c>
      <c r="AN2" s="25">
        <f t="shared" si="0"/>
        <v>3.6873467913790537E-4</v>
      </c>
      <c r="AO2" s="25">
        <f t="shared" si="0"/>
        <v>3.7292581894603715E-4</v>
      </c>
      <c r="AP2" s="25">
        <f t="shared" si="0"/>
        <v>3.7711695875416892E-4</v>
      </c>
      <c r="AQ2" s="25">
        <f t="shared" si="0"/>
        <v>3.813080985623007E-4</v>
      </c>
      <c r="AR2" s="32">
        <f>($AS$2-$AA$2)/COUNT($AB$1:$AS$1)+AQ2</f>
        <v>3.8549923837043247E-4</v>
      </c>
      <c r="AS2" s="26">
        <f>BNVFE!H8</f>
        <v>3.8969037817856381E-4</v>
      </c>
      <c r="AT2" s="26">
        <f>BNVFE!I8</f>
        <v>3.9985001436006255E-4</v>
      </c>
      <c r="AU2" s="26">
        <f>BNVFE!J8</f>
        <v>4.0645495978422236E-4</v>
      </c>
      <c r="AV2" s="26">
        <f>BNVFE!K8</f>
        <v>4.1222868457836193E-4</v>
      </c>
      <c r="AW2" s="26">
        <f>BNVFE!L8</f>
        <v>4.1315950014361388E-4</v>
      </c>
      <c r="AX2" s="26">
        <f>BNVFE!M8</f>
        <v>4.1586031572729884E-4</v>
      </c>
      <c r="AY2" s="26">
        <f>BNVFE!N8</f>
        <v>4.1791006177450995E-4</v>
      </c>
      <c r="AZ2" s="26">
        <f>BNVFE!O8</f>
        <v>4.1868747861134429E-4</v>
      </c>
      <c r="BA2" s="26">
        <f>BNVFE!P8</f>
        <v>4.2132009406936789E-4</v>
      </c>
      <c r="BB2" s="26">
        <f>BNVFE!Q8</f>
        <v>4.224153063913546E-4</v>
      </c>
      <c r="BC2" s="26">
        <f>BNVFE!R8</f>
        <v>4.2414977562549528E-4</v>
      </c>
      <c r="BD2" s="26">
        <f>BNVFE!S8</f>
        <v>4.2551597947059568E-4</v>
      </c>
      <c r="BE2" s="26">
        <f>BNVFE!T8</f>
        <v>4.2699017471707065E-4</v>
      </c>
      <c r="BF2" s="26">
        <f>BNVFE!U8</f>
        <v>4.278185027990744E-4</v>
      </c>
      <c r="BG2" s="26">
        <f>BNVFE!V8</f>
        <v>4.2962147676115707E-4</v>
      </c>
      <c r="BH2" s="26">
        <f>BNVFE!W8</f>
        <v>4.3041495518616422E-4</v>
      </c>
      <c r="BI2" s="26">
        <f>BNVFE!X8</f>
        <v>4.3058027955271102E-4</v>
      </c>
      <c r="BJ2" s="26">
        <f>BNVFE!Y8</f>
        <v>4.3088934374883934E-4</v>
      </c>
      <c r="BK2" s="26">
        <f>BNVFE!Z8</f>
        <v>4.3093489146882265E-4</v>
      </c>
      <c r="BL2" s="26">
        <f>BNVFE!AA8</f>
        <v>4.3107618325306866E-4</v>
      </c>
      <c r="BM2" s="26">
        <f>BNVFE!AB8</f>
        <v>4.3159356456922571E-4</v>
      </c>
      <c r="BN2" s="26">
        <f>BNVFE!AC8</f>
        <v>4.3137509125134069E-4</v>
      </c>
      <c r="BO2" s="26">
        <f>BNVFE!AD8</f>
        <v>4.3181432059055414E-4</v>
      </c>
      <c r="BP2" s="26">
        <f>BNVFE!AE8</f>
        <v>4.3184298375304391E-4</v>
      </c>
      <c r="BQ2" s="26">
        <f>BNVFE!AF8</f>
        <v>4.3221033154474715E-4</v>
      </c>
      <c r="BR2" s="26">
        <f>BNVFE!AG8</f>
        <v>4.3232208233433581E-4</v>
      </c>
      <c r="BS2" s="26"/>
      <c r="BT2" s="4"/>
    </row>
    <row r="3" spans="1:72">
      <c r="A3" t="s">
        <v>15</v>
      </c>
      <c r="B3" t="s">
        <v>22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" cm="1">
        <f t="array" ref="AA3">TREND($AQ$3:$AU$3,$AQ$1:$AU$1,AA1)</f>
        <v>5.8438727152645888E-5</v>
      </c>
      <c r="AB3" s="4" cm="1">
        <f t="array" ref="AB3">TREND($AQ$3:$AU$3,$AQ$1:$AU$1,AB1)</f>
        <v>5.9741244470903031E-5</v>
      </c>
      <c r="AC3" s="4" cm="1">
        <f t="array" ref="AC3">TREND($AQ$3:$AU$3,$AQ$1:$AU$1,AC1)</f>
        <v>6.1043761789159739E-5</v>
      </c>
      <c r="AD3" s="4" cm="1">
        <f t="array" ref="AD3">TREND($AQ$3:$AU$3,$AQ$1:$AU$1,AD1)</f>
        <v>6.2346279107416882E-5</v>
      </c>
      <c r="AE3" s="4" cm="1">
        <f t="array" ref="AE3">TREND($AQ$3:$AU$3,$AQ$1:$AU$1,AE1)</f>
        <v>6.3648796425673591E-5</v>
      </c>
      <c r="AF3" s="4" cm="1">
        <f t="array" ref="AF3">TREND($AQ$3:$AU$3,$AQ$1:$AU$1,AF1)</f>
        <v>6.4951313743930733E-5</v>
      </c>
      <c r="AG3" s="4" cm="1">
        <f t="array" ref="AG3">TREND($AQ$3:$AU$3,$AQ$1:$AU$1,AG1)</f>
        <v>6.6253831062187442E-5</v>
      </c>
      <c r="AH3" s="4" cm="1">
        <f t="array" ref="AH3">TREND($AQ$3:$AU$3,$AQ$1:$AU$1,AH1)</f>
        <v>6.7556348380444584E-5</v>
      </c>
      <c r="AI3" s="4" cm="1">
        <f t="array" ref="AI3">TREND($AQ$3:$AU$3,$AQ$1:$AU$1,AI1)</f>
        <v>6.8858865698701293E-5</v>
      </c>
      <c r="AJ3" s="4" cm="1">
        <f t="array" ref="AJ3">TREND($AQ$3:$AU$3,$AQ$1:$AU$1,AJ1)</f>
        <v>7.0161383016958435E-5</v>
      </c>
      <c r="AK3" s="4" cm="1">
        <f t="array" ref="AK3">TREND($AQ$3:$AU$3,$AQ$1:$AU$1,AK1)</f>
        <v>7.1463900335215144E-5</v>
      </c>
      <c r="AL3" s="4" cm="1">
        <f t="array" ref="AL3">TREND($AQ$3:$AU$3,$AQ$1:$AU$1,AL1)</f>
        <v>7.2766417653472287E-5</v>
      </c>
      <c r="AM3" s="4" cm="1">
        <f t="array" ref="AM3">TREND($AQ$3:$AU$3,$AQ$1:$AU$1,AM1)</f>
        <v>7.4068934971728995E-5</v>
      </c>
      <c r="AN3" s="4" cm="1">
        <f t="array" ref="AN3">TREND($AQ$3:$AU$3,$AQ$1:$AU$1,AN1)</f>
        <v>7.5371452289986138E-5</v>
      </c>
      <c r="AO3" s="4" cm="1">
        <f t="array" ref="AO3">TREND($AQ$3:$AU$3,$AQ$1:$AU$1,AO1)</f>
        <v>7.6673969608242847E-5</v>
      </c>
      <c r="AP3" s="4" cm="1">
        <f t="array" ref="AP3">TREND($AR$3:$AV$3,$AR$1:$AV$1,AP1)</f>
        <v>7.8285680732168971E-5</v>
      </c>
      <c r="AQ3" s="4" cm="1">
        <f t="array" ref="AQ3">TREND($AR$3:$AV$3,$AR$1:$AV$1,AQ1)</f>
        <v>7.9455686419425183E-5</v>
      </c>
      <c r="AR3" s="20">
        <f>BNVFE!G9</f>
        <v>7.9806069110588361E-5</v>
      </c>
      <c r="AS3" s="26">
        <f>BNVFE!H9</f>
        <v>8.2589053354941577E-5</v>
      </c>
      <c r="AT3" s="26">
        <f>BNVFE!I9</f>
        <v>8.3396155910788876E-5</v>
      </c>
      <c r="AU3" s="26">
        <f>BNVFE!J9</f>
        <v>8.4173229610609506E-5</v>
      </c>
      <c r="AV3" s="26">
        <f>BNVFE!K9</f>
        <v>8.4864009419033756E-5</v>
      </c>
      <c r="AW3" s="26">
        <f>BNVFE!L9</f>
        <v>8.5552427282266762E-5</v>
      </c>
      <c r="AX3" s="26">
        <f>BNVFE!M9</f>
        <v>8.6038648280202556E-5</v>
      </c>
      <c r="AY3" s="26">
        <f>BNVFE!N9</f>
        <v>8.6437806931471918E-5</v>
      </c>
      <c r="AZ3" s="26">
        <f>BNVFE!O9</f>
        <v>8.6791342620833007E-5</v>
      </c>
      <c r="BA3" s="26">
        <f>BNVFE!P9</f>
        <v>8.7116707094273078E-5</v>
      </c>
      <c r="BB3" s="26">
        <f>BNVFE!Q9</f>
        <v>8.7373696852958087E-5</v>
      </c>
      <c r="BC3" s="26">
        <f>BNVFE!R9</f>
        <v>8.7738897757801631E-5</v>
      </c>
      <c r="BD3" s="26">
        <f>BNVFE!S9</f>
        <v>8.8050203754089717E-5</v>
      </c>
      <c r="BE3" s="26">
        <f>BNVFE!T9</f>
        <v>8.8312463911269213E-5</v>
      </c>
      <c r="BF3" s="26">
        <f>BNVFE!U9</f>
        <v>8.8490459670374438E-5</v>
      </c>
      <c r="BG3" s="26">
        <f>BNVFE!V9</f>
        <v>8.8694120735193857E-5</v>
      </c>
      <c r="BH3" s="26">
        <f>BNVFE!W9</f>
        <v>8.9254549793900385E-5</v>
      </c>
      <c r="BI3" s="26">
        <f>BNVFE!X9</f>
        <v>9.005114260124438E-5</v>
      </c>
      <c r="BJ3" s="26">
        <f>BNVFE!Y9</f>
        <v>9.0881942369109463E-5</v>
      </c>
      <c r="BK3" s="26">
        <f>BNVFE!Z9</f>
        <v>9.1898303940802261E-5</v>
      </c>
      <c r="BL3" s="26">
        <f>BNVFE!AA9</f>
        <v>9.3274596042063404E-5</v>
      </c>
      <c r="BM3" s="26">
        <f>BNVFE!AB9</f>
        <v>9.4654943494441841E-5</v>
      </c>
      <c r="BN3" s="26">
        <f>BNVFE!AC9</f>
        <v>9.5568147956131454E-5</v>
      </c>
      <c r="BO3" s="26">
        <f>BNVFE!AD9</f>
        <v>9.643727179732782E-5</v>
      </c>
      <c r="BP3" s="26">
        <f>BNVFE!AE9</f>
        <v>9.7460231077917589E-5</v>
      </c>
      <c r="BQ3" s="26">
        <f>BNVFE!AF9</f>
        <v>9.8356990080011308E-5</v>
      </c>
      <c r="BR3" s="26">
        <f>BNVFE!AG9</f>
        <v>9.9224252732341657E-5</v>
      </c>
      <c r="BS3" s="26"/>
      <c r="BT3" s="4"/>
    </row>
    <row r="4" spans="1:72">
      <c r="A4" t="s">
        <v>8</v>
      </c>
      <c r="B4" t="s">
        <v>21</v>
      </c>
      <c r="C4" s="23"/>
      <c r="D4" s="23"/>
      <c r="E4" s="23"/>
      <c r="F4" s="23"/>
      <c r="G4" s="23"/>
      <c r="H4" s="23"/>
      <c r="I4" s="23"/>
      <c r="J4" s="23"/>
      <c r="K4" s="23"/>
      <c r="L4" s="4">
        <f>L5/M5*M4</f>
        <v>1.0741724290607476E-3</v>
      </c>
      <c r="M4" s="4">
        <f t="shared" ref="M4:AI4" si="1">M5/N5*N4</f>
        <v>1.0741724290607476E-3</v>
      </c>
      <c r="N4" s="4">
        <f t="shared" si="1"/>
        <v>1.0741724290607476E-3</v>
      </c>
      <c r="O4" s="4">
        <f t="shared" si="1"/>
        <v>1.0741724290607476E-3</v>
      </c>
      <c r="P4" s="4">
        <f t="shared" si="1"/>
        <v>1.0741724290607476E-3</v>
      </c>
      <c r="Q4" s="4">
        <f t="shared" si="1"/>
        <v>1.0741724290607476E-3</v>
      </c>
      <c r="R4" s="4">
        <f t="shared" si="1"/>
        <v>1.0741724290607476E-3</v>
      </c>
      <c r="S4" s="4">
        <f t="shared" si="1"/>
        <v>1.0741724290607476E-3</v>
      </c>
      <c r="T4" s="4">
        <f t="shared" si="1"/>
        <v>1.0741724290607476E-3</v>
      </c>
      <c r="U4" s="4">
        <f t="shared" si="1"/>
        <v>1.0741724290607476E-3</v>
      </c>
      <c r="V4" s="4">
        <f t="shared" si="1"/>
        <v>1.0741724290607476E-3</v>
      </c>
      <c r="W4" s="4">
        <f t="shared" si="1"/>
        <v>1.0723072716534118E-3</v>
      </c>
      <c r="X4" s="4">
        <f t="shared" si="1"/>
        <v>1.0704421142460759E-3</v>
      </c>
      <c r="Y4" s="4">
        <f t="shared" si="1"/>
        <v>1.0685769568387401E-3</v>
      </c>
      <c r="Z4" s="4">
        <f t="shared" si="1"/>
        <v>1.0667117994314045E-3</v>
      </c>
      <c r="AA4" s="4">
        <f t="shared" si="1"/>
        <v>1.0648466420240688E-3</v>
      </c>
      <c r="AB4" s="4">
        <f t="shared" si="1"/>
        <v>1.0629814846167332E-3</v>
      </c>
      <c r="AC4" s="4">
        <f t="shared" si="1"/>
        <v>1.0611163272093976E-3</v>
      </c>
      <c r="AD4" s="4">
        <f t="shared" si="1"/>
        <v>1.0592511698020617E-3</v>
      </c>
      <c r="AE4" s="4">
        <f t="shared" si="1"/>
        <v>1.0573860123947261E-3</v>
      </c>
      <c r="AF4" s="4">
        <f t="shared" si="1"/>
        <v>1.0555208549873905E-3</v>
      </c>
      <c r="AG4" s="4">
        <f>AG5/AH5*AH4</f>
        <v>1.0536556975800548E-3</v>
      </c>
      <c r="AH4" s="4">
        <f t="shared" si="1"/>
        <v>1.0517905401727192E-3</v>
      </c>
      <c r="AI4" s="4">
        <f t="shared" si="1"/>
        <v>1.0499253827653836E-3</v>
      </c>
      <c r="AJ4" s="4">
        <f>AJ5/AK5*AK4</f>
        <v>1.0480602253580479E-3</v>
      </c>
      <c r="AK4" s="27">
        <f>AK5/AL5*AL4</f>
        <v>1.0461950679507121E-3</v>
      </c>
      <c r="AL4" s="27">
        <f>AL5/AM5*AM4</f>
        <v>1.0443299105433765E-3</v>
      </c>
      <c r="AM4" s="27">
        <f>AM5/AN5*AN4</f>
        <v>1.0424647531360406E-3</v>
      </c>
      <c r="AN4" s="27">
        <f t="shared" ref="AN4:AQ4" si="2">AN5/AO5*AO4</f>
        <v>1.040599595728705E-3</v>
      </c>
      <c r="AO4" s="27">
        <f t="shared" si="2"/>
        <v>1.0387344383213694E-3</v>
      </c>
      <c r="AP4" s="27">
        <f t="shared" si="2"/>
        <v>1.0368692809140337E-3</v>
      </c>
      <c r="AQ4" s="27">
        <f t="shared" si="2"/>
        <v>1.0331389660993618E-3</v>
      </c>
      <c r="AR4" s="20">
        <f>BNVFE!G10</f>
        <v>1.0995181101032814E-3</v>
      </c>
      <c r="AS4" s="26">
        <f>BNVFE!H10</f>
        <v>1.1178720570179867E-3</v>
      </c>
      <c r="AT4" s="26">
        <f>BNVFE!I10</f>
        <v>1.139337361078613E-3</v>
      </c>
      <c r="AU4" s="26">
        <f>BNVFE!J10</f>
        <v>1.1689067098604232E-3</v>
      </c>
      <c r="AV4" s="26">
        <f>BNVFE!K10</f>
        <v>1.1886355244649762E-3</v>
      </c>
      <c r="AW4" s="26">
        <f>BNVFE!L10</f>
        <v>1.2005104013829389E-3</v>
      </c>
      <c r="AX4" s="26">
        <f>BNVFE!M10</f>
        <v>1.2150324713986361E-3</v>
      </c>
      <c r="AY4" s="26">
        <f>BNVFE!N10</f>
        <v>1.2281657343830318E-3</v>
      </c>
      <c r="AZ4" s="26">
        <f>BNVFE!O10</f>
        <v>1.2718191053697899E-3</v>
      </c>
      <c r="BA4" s="26">
        <f>BNVFE!P10</f>
        <v>1.2872919346060385E-3</v>
      </c>
      <c r="BB4" s="26">
        <f>BNVFE!Q10</f>
        <v>1.294373280286983E-3</v>
      </c>
      <c r="BC4" s="26">
        <f>BNVFE!R10</f>
        <v>1.2991392532857248E-3</v>
      </c>
      <c r="BD4" s="26">
        <f>BNVFE!S10</f>
        <v>1.2994994330511106E-3</v>
      </c>
      <c r="BE4" s="26">
        <f>BNVFE!T10</f>
        <v>1.2998067394523606E-3</v>
      </c>
      <c r="BF4" s="26">
        <f>BNVFE!U10</f>
        <v>1.29969410316452E-3</v>
      </c>
      <c r="BG4" s="26">
        <f>BNVFE!V10</f>
        <v>1.299580986209732E-3</v>
      </c>
      <c r="BH4" s="26">
        <f>BNVFE!W10</f>
        <v>1.2991434190659293E-3</v>
      </c>
      <c r="BI4" s="26">
        <f>BNVFE!X10</f>
        <v>1.2988513337846576E-3</v>
      </c>
      <c r="BJ4" s="26">
        <f>BNVFE!Y10</f>
        <v>1.2983562468295675E-3</v>
      </c>
      <c r="BK4" s="26">
        <f>BNVFE!Z10</f>
        <v>1.2980781008897497E-3</v>
      </c>
      <c r="BL4" s="26">
        <f>BNVFE!AA10</f>
        <v>1.2978283142997872E-3</v>
      </c>
      <c r="BM4" s="26">
        <f>BNVFE!AB10</f>
        <v>1.2973135199998824E-3</v>
      </c>
      <c r="BN4" s="26">
        <f>BNVFE!AC10</f>
        <v>1.2970622914090792E-3</v>
      </c>
      <c r="BO4" s="26">
        <f>BNVFE!AD10</f>
        <v>1.2965591933382112E-3</v>
      </c>
      <c r="BP4" s="26">
        <f>BNVFE!AE10</f>
        <v>1.2964217225914581E-3</v>
      </c>
      <c r="BQ4" s="26">
        <f>BNVFE!AF10</f>
        <v>1.2961902013454692E-3</v>
      </c>
      <c r="BR4" s="26">
        <f>BNVFE!AG10</f>
        <v>1.2958891436145262E-3</v>
      </c>
      <c r="BS4" s="26"/>
      <c r="BT4" s="4"/>
    </row>
    <row r="5" spans="1:72">
      <c r="A5" t="s">
        <v>8</v>
      </c>
      <c r="B5" t="s">
        <v>22</v>
      </c>
      <c r="C5" s="23"/>
      <c r="D5" s="23"/>
      <c r="E5" s="23"/>
      <c r="F5" s="23"/>
      <c r="G5" s="23"/>
      <c r="H5" s="23"/>
      <c r="I5" s="23"/>
      <c r="J5" s="23"/>
      <c r="K5" s="23"/>
      <c r="L5" s="4">
        <f>M5</f>
        <v>7.8040477200267344E-4</v>
      </c>
      <c r="M5" s="4">
        <f t="shared" ref="M5:T5" si="3">N5</f>
        <v>7.8040477200267344E-4</v>
      </c>
      <c r="N5" s="4">
        <f t="shared" si="3"/>
        <v>7.8040477200267344E-4</v>
      </c>
      <c r="O5" s="4">
        <f t="shared" si="3"/>
        <v>7.8040477200267344E-4</v>
      </c>
      <c r="P5" s="4">
        <f t="shared" si="3"/>
        <v>7.8040477200267344E-4</v>
      </c>
      <c r="Q5" s="4">
        <f t="shared" si="3"/>
        <v>7.8040477200267344E-4</v>
      </c>
      <c r="R5" s="4">
        <f t="shared" si="3"/>
        <v>7.8040477200267344E-4</v>
      </c>
      <c r="S5" s="4">
        <f t="shared" si="3"/>
        <v>7.8040477200267344E-4</v>
      </c>
      <c r="T5" s="4">
        <f t="shared" si="3"/>
        <v>7.8040477200267344E-4</v>
      </c>
      <c r="U5" s="4">
        <f>V5</f>
        <v>7.8040477200267344E-4</v>
      </c>
      <c r="V5" s="28">
        <f>Calculations!B22</f>
        <v>7.8040477200267344E-4</v>
      </c>
      <c r="W5" s="4">
        <f>($AQ$5-$V$5)/COUNT($V$1:$AQ$1)+V5</f>
        <v>7.7904970301948082E-4</v>
      </c>
      <c r="X5" s="4">
        <f t="shared" ref="X5:AN5" si="4">($AQ$5-$V$5)/COUNT($V$1:$AQ$1)+W5</f>
        <v>7.7769463403628821E-4</v>
      </c>
      <c r="Y5" s="4">
        <f t="shared" si="4"/>
        <v>7.7633956505309559E-4</v>
      </c>
      <c r="Z5" s="4">
        <f t="shared" si="4"/>
        <v>7.7498449606990298E-4</v>
      </c>
      <c r="AA5" s="4">
        <f t="shared" si="4"/>
        <v>7.7362942708671036E-4</v>
      </c>
      <c r="AB5" s="4">
        <f t="shared" si="4"/>
        <v>7.7227435810351774E-4</v>
      </c>
      <c r="AC5" s="4">
        <f t="shared" si="4"/>
        <v>7.7091928912032513E-4</v>
      </c>
      <c r="AD5" s="4">
        <f t="shared" si="4"/>
        <v>7.6956422013713251E-4</v>
      </c>
      <c r="AE5" s="4">
        <f t="shared" si="4"/>
        <v>7.682091511539399E-4</v>
      </c>
      <c r="AF5" s="4">
        <f t="shared" si="4"/>
        <v>7.6685408217074728E-4</v>
      </c>
      <c r="AG5" s="4">
        <f t="shared" si="4"/>
        <v>7.6549901318755467E-4</v>
      </c>
      <c r="AH5" s="4">
        <f t="shared" si="4"/>
        <v>7.6414394420436205E-4</v>
      </c>
      <c r="AI5" s="4">
        <f t="shared" si="4"/>
        <v>7.6278887522116944E-4</v>
      </c>
      <c r="AJ5" s="4">
        <f t="shared" si="4"/>
        <v>7.6143380623797682E-4</v>
      </c>
      <c r="AK5" s="4">
        <f t="shared" si="4"/>
        <v>7.6007873725478421E-4</v>
      </c>
      <c r="AL5" s="4">
        <f t="shared" si="4"/>
        <v>7.5872366827159159E-4</v>
      </c>
      <c r="AM5" s="4">
        <f t="shared" si="4"/>
        <v>7.5736859928839898E-4</v>
      </c>
      <c r="AN5" s="4">
        <f t="shared" si="4"/>
        <v>7.5601353030520636E-4</v>
      </c>
      <c r="AO5" s="4">
        <f>($AQ$5-$V$5)/COUNT($V$1:$AQ$1)+AN5</f>
        <v>7.5465846132201375E-4</v>
      </c>
      <c r="AP5" s="4">
        <f>($AQ$5-$V$5)/COUNT($V$1:$AQ$1)+AO5</f>
        <v>7.5330339233882113E-4</v>
      </c>
      <c r="AQ5" s="26">
        <f>BNVFE!F11</f>
        <v>7.5059325437243547E-4</v>
      </c>
      <c r="AR5" s="20">
        <f>BNVFE!G11</f>
        <v>7.9881884585164282E-4</v>
      </c>
      <c r="AS5" s="26">
        <f>BNVFE!H11</f>
        <v>8.1215330442627252E-4</v>
      </c>
      <c r="AT5" s="26">
        <f>BNVFE!I11</f>
        <v>8.277482175595845E-4</v>
      </c>
      <c r="AU5" s="26">
        <f>BNVFE!J11</f>
        <v>8.4923085877251694E-4</v>
      </c>
      <c r="AV5" s="26">
        <f>BNVFE!K11</f>
        <v>8.6356418240549429E-4</v>
      </c>
      <c r="AW5" s="26">
        <f>BNVFE!L11</f>
        <v>8.721914850275005E-4</v>
      </c>
      <c r="AX5" s="26">
        <f>BNVFE!M11</f>
        <v>8.8274201903209843E-4</v>
      </c>
      <c r="AY5" s="26">
        <f>BNVFE!N11</f>
        <v>8.9228356080668159E-4</v>
      </c>
      <c r="AZ5" s="26">
        <f>BNVFE!O11</f>
        <v>9.2399848674446351E-4</v>
      </c>
      <c r="BA5" s="26">
        <f>BNVFE!P11</f>
        <v>9.3523976369932777E-4</v>
      </c>
      <c r="BB5" s="26">
        <f>BNVFE!Q11</f>
        <v>9.4038448331053737E-4</v>
      </c>
      <c r="BC5" s="26">
        <f>BNVFE!R11</f>
        <v>9.4384704478654366E-4</v>
      </c>
      <c r="BD5" s="26">
        <f>BNVFE!S11</f>
        <v>9.4410872159008232E-4</v>
      </c>
      <c r="BE5" s="26">
        <f>BNVFE!T11</f>
        <v>9.443319849838489E-4</v>
      </c>
      <c r="BF5" s="26">
        <f>BNVFE!U11</f>
        <v>9.4425015278060706E-4</v>
      </c>
      <c r="BG5" s="26">
        <f>BNVFE!V11</f>
        <v>9.4416797136454901E-4</v>
      </c>
      <c r="BH5" s="26">
        <f>BNVFE!W11</f>
        <v>9.4385007129761667E-4</v>
      </c>
      <c r="BI5" s="26">
        <f>BNVFE!X11</f>
        <v>9.4363786630969357E-4</v>
      </c>
      <c r="BJ5" s="26">
        <f>BNVFE!Y11</f>
        <v>9.4327817710909993E-4</v>
      </c>
      <c r="BK5" s="26">
        <f>BNVFE!Z11</f>
        <v>9.4307609929284396E-4</v>
      </c>
      <c r="BL5" s="26">
        <f>BNVFE!AA11</f>
        <v>9.4289462503273878E-4</v>
      </c>
      <c r="BM5" s="26">
        <f>BNVFE!AB11</f>
        <v>9.4252061810668451E-4</v>
      </c>
      <c r="BN5" s="26">
        <f>BNVFE!AC11</f>
        <v>9.4233809620813079E-4</v>
      </c>
      <c r="BO5" s="26">
        <f>BNVFE!AD11</f>
        <v>9.4197258679393529E-4</v>
      </c>
      <c r="BP5" s="26">
        <f>BNVFE!AE11</f>
        <v>9.4187271192852781E-4</v>
      </c>
      <c r="BQ5" s="26">
        <f>BNVFE!AF11</f>
        <v>9.4170450775543462E-4</v>
      </c>
      <c r="BR5" s="26">
        <f>BNVFE!AG11</f>
        <v>9.4148578412827765E-4</v>
      </c>
      <c r="BS5" s="26"/>
      <c r="BT5" s="4"/>
    </row>
    <row r="6" spans="1:72">
      <c r="A6" t="s">
        <v>7</v>
      </c>
      <c r="B6" t="s">
        <v>21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4">
        <f t="shared" ref="P6:AM6" si="5">TREND($AQ6:$BR6,$AQ$1:$BR$1,P$1)</f>
        <v>2.290338125160345E-4</v>
      </c>
      <c r="Q6" s="4">
        <f>TREND($AQ6:$BR6,$AQ$1:$BR$1,Q$1)</f>
        <v>2.3241910879234773E-4</v>
      </c>
      <c r="R6" s="4">
        <f t="shared" si="5"/>
        <v>2.3580440506866095E-4</v>
      </c>
      <c r="S6" s="4">
        <f t="shared" si="5"/>
        <v>2.3918970134497418E-4</v>
      </c>
      <c r="T6" s="4">
        <f t="shared" si="5"/>
        <v>2.4257499762128654E-4</v>
      </c>
      <c r="U6" s="4">
        <f t="shared" si="5"/>
        <v>2.4596029389759976E-4</v>
      </c>
      <c r="V6" s="4">
        <f t="shared" si="5"/>
        <v>2.4934559017391299E-4</v>
      </c>
      <c r="W6" s="4">
        <f t="shared" si="5"/>
        <v>2.5273088645022621E-4</v>
      </c>
      <c r="X6" s="4">
        <f t="shared" si="5"/>
        <v>2.5611618272653944E-4</v>
      </c>
      <c r="Y6" s="4">
        <f t="shared" si="5"/>
        <v>2.595014790028518E-4</v>
      </c>
      <c r="Z6" s="4">
        <f t="shared" si="5"/>
        <v>2.6288677527916502E-4</v>
      </c>
      <c r="AA6" s="4">
        <f t="shared" si="5"/>
        <v>2.6627207155547825E-4</v>
      </c>
      <c r="AB6" s="4">
        <f t="shared" si="5"/>
        <v>2.6965736783179147E-4</v>
      </c>
      <c r="AC6" s="4">
        <f t="shared" si="5"/>
        <v>2.7304266410810383E-4</v>
      </c>
      <c r="AD6" s="4">
        <f t="shared" si="5"/>
        <v>2.7642796038441705E-4</v>
      </c>
      <c r="AE6" s="4">
        <f t="shared" si="5"/>
        <v>2.7981325666073028E-4</v>
      </c>
      <c r="AF6" s="4">
        <f t="shared" si="5"/>
        <v>2.831985529370435E-4</v>
      </c>
      <c r="AG6" s="4">
        <f t="shared" si="5"/>
        <v>2.8658384921335586E-4</v>
      </c>
      <c r="AH6" s="4">
        <f t="shared" si="5"/>
        <v>2.8996914548966909E-4</v>
      </c>
      <c r="AI6" s="4">
        <f t="shared" si="5"/>
        <v>2.9335444176598231E-4</v>
      </c>
      <c r="AJ6" s="4">
        <f t="shared" si="5"/>
        <v>2.9673973804229554E-4</v>
      </c>
      <c r="AK6" s="4">
        <f t="shared" si="5"/>
        <v>3.001250343186079E-4</v>
      </c>
      <c r="AL6" s="4">
        <f t="shared" si="5"/>
        <v>3.0351033059492112E-4</v>
      </c>
      <c r="AM6" s="4">
        <f t="shared" si="5"/>
        <v>3.0689562687123435E-4</v>
      </c>
      <c r="AN6" s="4">
        <f>TREND($AQ6:$BR6,$AQ$1:$BR$1,AN$1)</f>
        <v>3.1028092314754757E-4</v>
      </c>
      <c r="AO6" s="4">
        <f t="shared" ref="AO6:AP6" si="6">TREND($AQ6:$BR6,$AQ$1:$BR$1,AO$1)</f>
        <v>3.1366621942385993E-4</v>
      </c>
      <c r="AP6" s="4">
        <f t="shared" si="6"/>
        <v>3.1705151570017315E-4</v>
      </c>
      <c r="AQ6" s="26">
        <f>BNVFE!F12</f>
        <v>3.0464933987873528E-4</v>
      </c>
      <c r="AR6" s="20">
        <f>BNVFE!G12</f>
        <v>3.0464933987873528E-4</v>
      </c>
      <c r="AS6" s="26">
        <f>BNVFE!H12</f>
        <v>3.3408269543052564E-4</v>
      </c>
      <c r="AT6" s="26">
        <f>BNVFE!I12</f>
        <v>3.3665348546582375E-4</v>
      </c>
      <c r="AU6" s="26">
        <f>BNVFE!J12</f>
        <v>3.3935581504087849E-4</v>
      </c>
      <c r="AV6" s="26">
        <f>BNVFE!K12</f>
        <v>3.4216015354620157E-4</v>
      </c>
      <c r="AW6" s="26">
        <f>BNVFE!L12</f>
        <v>3.4502111275582734E-4</v>
      </c>
      <c r="AX6" s="26">
        <f>BNVFE!M12</f>
        <v>3.4790902074721106E-4</v>
      </c>
      <c r="AY6" s="26">
        <f>BNVFE!N12</f>
        <v>3.5081980617662339E-4</v>
      </c>
      <c r="AZ6" s="26">
        <f>BNVFE!O12</f>
        <v>3.5375247221412683E-4</v>
      </c>
      <c r="BA6" s="26">
        <f>BNVFE!P12</f>
        <v>3.5670603348759934E-4</v>
      </c>
      <c r="BB6" s="26">
        <f>BNVFE!Q12</f>
        <v>3.5968007751568736E-4</v>
      </c>
      <c r="BC6" s="26">
        <f>BNVFE!R12</f>
        <v>3.626744897202374E-4</v>
      </c>
      <c r="BD6" s="26">
        <f>BNVFE!S12</f>
        <v>3.656928831323635E-4</v>
      </c>
      <c r="BE6" s="26">
        <f>BNVFE!T12</f>
        <v>3.6873385989859042E-4</v>
      </c>
      <c r="BF6" s="26">
        <f>BNVFE!U12</f>
        <v>3.7179596105709373E-4</v>
      </c>
      <c r="BG6" s="26">
        <f>BNVFE!V12</f>
        <v>3.7487939284855035E-4</v>
      </c>
      <c r="BH6" s="26">
        <f>BNVFE!W12</f>
        <v>3.7798229146832611E-4</v>
      </c>
      <c r="BI6" s="26">
        <f>BNVFE!X12</f>
        <v>3.8110333926765313E-4</v>
      </c>
      <c r="BJ6" s="26">
        <f>BNVFE!Y12</f>
        <v>3.8424184495833714E-4</v>
      </c>
      <c r="BK6" s="26">
        <f>BNVFE!Z12</f>
        <v>3.8739917202040771E-4</v>
      </c>
      <c r="BL6" s="26">
        <f>BNVFE!AA12</f>
        <v>3.9057663428336076E-4</v>
      </c>
      <c r="BM6" s="26">
        <f>BNVFE!AB12</f>
        <v>3.937746365900064E-4</v>
      </c>
      <c r="BN6" s="26">
        <f>BNVFE!AC12</f>
        <v>3.9699374037329777E-4</v>
      </c>
      <c r="BO6" s="26">
        <f>BNVFE!AD12</f>
        <v>4.0023428554842422E-4</v>
      </c>
      <c r="BP6" s="26">
        <f>BNVFE!AE12</f>
        <v>4.0349549298394053E-4</v>
      </c>
      <c r="BQ6" s="26">
        <f>BNVFE!AF12</f>
        <v>4.067774772580003E-4</v>
      </c>
      <c r="BR6" s="26">
        <f>BNVFE!AG12</f>
        <v>4.1007787424136491E-4</v>
      </c>
      <c r="BS6" s="26"/>
      <c r="BT6" s="4"/>
    </row>
    <row r="7" spans="1:72">
      <c r="A7" t="s">
        <v>7</v>
      </c>
      <c r="B7" t="s">
        <v>22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6">
        <f t="shared" ref="P7:AP7" si="7">Q7</f>
        <v>9.3239985476639982E-5</v>
      </c>
      <c r="Q7" s="26">
        <f t="shared" si="7"/>
        <v>9.3239985476639982E-5</v>
      </c>
      <c r="R7" s="26">
        <f t="shared" si="7"/>
        <v>9.3239985476639982E-5</v>
      </c>
      <c r="S7" s="26">
        <f t="shared" si="7"/>
        <v>9.3239985476639982E-5</v>
      </c>
      <c r="T7" s="26">
        <f t="shared" si="7"/>
        <v>9.3239985476639982E-5</v>
      </c>
      <c r="U7" s="26">
        <f t="shared" si="7"/>
        <v>9.3239985476639982E-5</v>
      </c>
      <c r="V7" s="26">
        <f t="shared" si="7"/>
        <v>9.3239985476639982E-5</v>
      </c>
      <c r="W7" s="26">
        <f t="shared" si="7"/>
        <v>9.3239985476639982E-5</v>
      </c>
      <c r="X7" s="26">
        <f t="shared" si="7"/>
        <v>9.3239985476639982E-5</v>
      </c>
      <c r="Y7" s="26">
        <f t="shared" si="7"/>
        <v>9.3239985476639982E-5</v>
      </c>
      <c r="Z7" s="26">
        <f t="shared" si="7"/>
        <v>9.3239985476639982E-5</v>
      </c>
      <c r="AA7" s="26">
        <f t="shared" si="7"/>
        <v>9.3239985476639982E-5</v>
      </c>
      <c r="AB7" s="26">
        <f t="shared" si="7"/>
        <v>9.3239985476639982E-5</v>
      </c>
      <c r="AC7" s="26">
        <f t="shared" si="7"/>
        <v>9.3239985476639982E-5</v>
      </c>
      <c r="AD7" s="26">
        <f t="shared" si="7"/>
        <v>9.3239985476639982E-5</v>
      </c>
      <c r="AE7" s="26">
        <f t="shared" si="7"/>
        <v>9.3239985476639982E-5</v>
      </c>
      <c r="AF7" s="26">
        <f t="shared" si="7"/>
        <v>9.3239985476639982E-5</v>
      </c>
      <c r="AG7" s="26">
        <f t="shared" si="7"/>
        <v>9.3239985476639982E-5</v>
      </c>
      <c r="AH7" s="26">
        <f t="shared" si="7"/>
        <v>9.3239985476639982E-5</v>
      </c>
      <c r="AI7" s="26">
        <f t="shared" si="7"/>
        <v>9.3239985476639982E-5</v>
      </c>
      <c r="AJ7" s="26">
        <f t="shared" si="7"/>
        <v>9.3239985476639982E-5</v>
      </c>
      <c r="AK7" s="26">
        <f t="shared" si="7"/>
        <v>9.3239985476639982E-5</v>
      </c>
      <c r="AL7" s="26">
        <f t="shared" si="7"/>
        <v>9.3239985476639982E-5</v>
      </c>
      <c r="AM7" s="26">
        <f t="shared" si="7"/>
        <v>9.3239985476639982E-5</v>
      </c>
      <c r="AN7" s="26">
        <f t="shared" si="7"/>
        <v>9.3239985476639982E-5</v>
      </c>
      <c r="AO7" s="26">
        <f t="shared" si="7"/>
        <v>9.3239985476639982E-5</v>
      </c>
      <c r="AP7" s="26">
        <f t="shared" si="7"/>
        <v>9.3239985476639982E-5</v>
      </c>
      <c r="AQ7" s="26">
        <f>AR7</f>
        <v>9.3239985476639982E-5</v>
      </c>
      <c r="AR7" s="20">
        <f>BNVFE!G13</f>
        <v>9.3239985476639982E-5</v>
      </c>
      <c r="AS7" s="26">
        <f>BNVFE!H13</f>
        <v>1.0224826248544657E-4</v>
      </c>
      <c r="AT7" s="26">
        <f>BNVFE!I13</f>
        <v>1.0303507011696843E-4</v>
      </c>
      <c r="AU7" s="26">
        <f>BNVFE!J13</f>
        <v>1.0386213631193046E-4</v>
      </c>
      <c r="AV7" s="26">
        <f>BNVFE!K13</f>
        <v>1.0472042302810055E-4</v>
      </c>
      <c r="AW7" s="26">
        <f>BNVFE!L13</f>
        <v>1.0559603889275644E-4</v>
      </c>
      <c r="AX7" s="26">
        <f>BNVFE!M13</f>
        <v>1.0647990261385189E-4</v>
      </c>
      <c r="AY7" s="26">
        <f>BNVFE!N13</f>
        <v>1.0737076812917535E-4</v>
      </c>
      <c r="AZ7" s="26">
        <f>BNVFE!O13</f>
        <v>1.0826833035220035E-4</v>
      </c>
      <c r="BA7" s="26">
        <f>BNVFE!P13</f>
        <v>1.0917228770314212E-4</v>
      </c>
      <c r="BB7" s="26">
        <f>BNVFE!Q13</f>
        <v>1.1008251393930003E-4</v>
      </c>
      <c r="BC7" s="26">
        <f>BNVFE!R13</f>
        <v>1.1099897399325733E-4</v>
      </c>
      <c r="BD7" s="26">
        <f>BNVFE!S13</f>
        <v>1.1192277365755811E-4</v>
      </c>
      <c r="BE7" s="26">
        <f>BNVFE!T13</f>
        <v>1.1285348510971702E-4</v>
      </c>
      <c r="BF7" s="26">
        <f>BNVFE!U13</f>
        <v>1.1379066182462636E-4</v>
      </c>
      <c r="BG7" s="26">
        <f>BNVFE!V13</f>
        <v>1.1473436692363647E-4</v>
      </c>
      <c r="BH7" s="26">
        <f>BNVFE!W13</f>
        <v>1.156840299767668E-4</v>
      </c>
      <c r="BI7" s="26">
        <f>BNVFE!X13</f>
        <v>1.1663924770872375E-4</v>
      </c>
      <c r="BJ7" s="26">
        <f>BNVFE!Y13</f>
        <v>1.1759980854609242E-4</v>
      </c>
      <c r="BK7" s="26">
        <f>BNVFE!Z13</f>
        <v>1.1856612979113317E-4</v>
      </c>
      <c r="BL7" s="26">
        <f>BNVFE!AA13</f>
        <v>1.1953861355022565E-4</v>
      </c>
      <c r="BM7" s="26">
        <f>BNVFE!AB13</f>
        <v>1.2051738372824274E-4</v>
      </c>
      <c r="BN7" s="26">
        <f>BNVFE!AC13</f>
        <v>1.2150261215552689E-4</v>
      </c>
      <c r="BO7" s="26">
        <f>BNVFE!AD13</f>
        <v>1.2249440286541473E-4</v>
      </c>
      <c r="BP7" s="26">
        <f>BNVFE!AE13</f>
        <v>1.2349251739947177E-4</v>
      </c>
      <c r="BQ7" s="26">
        <f>BNVFE!AF13</f>
        <v>1.2449699082511483E-4</v>
      </c>
      <c r="BR7" s="26">
        <f>BNVFE!AG13</f>
        <v>1.2550709958464328E-4</v>
      </c>
      <c r="BS7" s="26"/>
      <c r="BT7" s="4"/>
    </row>
    <row r="8" spans="1:72">
      <c r="A8" t="s">
        <v>16</v>
      </c>
      <c r="B8" t="s">
        <v>89</v>
      </c>
      <c r="C8" s="23"/>
      <c r="D8" s="23"/>
      <c r="E8" s="23"/>
      <c r="F8" s="4">
        <f>SYFAFE!$E$5</f>
        <v>5.0586266198922429E-5</v>
      </c>
      <c r="G8" s="4">
        <f>F8</f>
        <v>5.0586266198922429E-5</v>
      </c>
      <c r="H8" s="4">
        <f t="shared" ref="H8:BR8" si="8">G8</f>
        <v>5.0586266198922429E-5</v>
      </c>
      <c r="I8" s="4">
        <f t="shared" si="8"/>
        <v>5.0586266198922429E-5</v>
      </c>
      <c r="J8" s="4">
        <f t="shared" si="8"/>
        <v>5.0586266198922429E-5</v>
      </c>
      <c r="K8" s="4">
        <f t="shared" si="8"/>
        <v>5.0586266198922429E-5</v>
      </c>
      <c r="L8" s="4">
        <f t="shared" si="8"/>
        <v>5.0586266198922429E-5</v>
      </c>
      <c r="M8" s="4">
        <f t="shared" si="8"/>
        <v>5.0586266198922429E-5</v>
      </c>
      <c r="N8" s="4">
        <f t="shared" si="8"/>
        <v>5.0586266198922429E-5</v>
      </c>
      <c r="O8" s="4">
        <f t="shared" si="8"/>
        <v>5.0586266198922429E-5</v>
      </c>
      <c r="P8" s="4">
        <f t="shared" si="8"/>
        <v>5.0586266198922429E-5</v>
      </c>
      <c r="Q8" s="4">
        <f t="shared" si="8"/>
        <v>5.0586266198922429E-5</v>
      </c>
      <c r="R8" s="4">
        <f t="shared" si="8"/>
        <v>5.0586266198922429E-5</v>
      </c>
      <c r="S8" s="4">
        <f t="shared" si="8"/>
        <v>5.0586266198922429E-5</v>
      </c>
      <c r="T8" s="4">
        <f t="shared" si="8"/>
        <v>5.0586266198922429E-5</v>
      </c>
      <c r="U8" s="4">
        <f t="shared" si="8"/>
        <v>5.0586266198922429E-5</v>
      </c>
      <c r="V8" s="4">
        <f t="shared" si="8"/>
        <v>5.0586266198922429E-5</v>
      </c>
      <c r="W8" s="4">
        <f t="shared" si="8"/>
        <v>5.0586266198922429E-5</v>
      </c>
      <c r="X8" s="4">
        <f t="shared" si="8"/>
        <v>5.0586266198922429E-5</v>
      </c>
      <c r="Y8" s="4">
        <f t="shared" si="8"/>
        <v>5.0586266198922429E-5</v>
      </c>
      <c r="Z8" s="4">
        <f t="shared" si="8"/>
        <v>5.0586266198922429E-5</v>
      </c>
      <c r="AA8" s="4">
        <f t="shared" si="8"/>
        <v>5.0586266198922429E-5</v>
      </c>
      <c r="AB8" s="4">
        <f t="shared" si="8"/>
        <v>5.0586266198922429E-5</v>
      </c>
      <c r="AC8" s="4">
        <f t="shared" si="8"/>
        <v>5.0586266198922429E-5</v>
      </c>
      <c r="AD8" s="4">
        <f t="shared" si="8"/>
        <v>5.0586266198922429E-5</v>
      </c>
      <c r="AE8" s="4">
        <f t="shared" si="8"/>
        <v>5.0586266198922429E-5</v>
      </c>
      <c r="AF8" s="4">
        <f t="shared" si="8"/>
        <v>5.0586266198922429E-5</v>
      </c>
      <c r="AG8" s="4">
        <f t="shared" si="8"/>
        <v>5.0586266198922429E-5</v>
      </c>
      <c r="AH8" s="4">
        <f t="shared" si="8"/>
        <v>5.0586266198922429E-5</v>
      </c>
      <c r="AI8" s="4">
        <f t="shared" si="8"/>
        <v>5.0586266198922429E-5</v>
      </c>
      <c r="AJ8" s="4">
        <f t="shared" si="8"/>
        <v>5.0586266198922429E-5</v>
      </c>
      <c r="AK8" s="4">
        <f t="shared" si="8"/>
        <v>5.0586266198922429E-5</v>
      </c>
      <c r="AL8" s="4">
        <f t="shared" si="8"/>
        <v>5.0586266198922429E-5</v>
      </c>
      <c r="AM8" s="4">
        <f t="shared" si="8"/>
        <v>5.0586266198922429E-5</v>
      </c>
      <c r="AN8" s="4">
        <f t="shared" si="8"/>
        <v>5.0586266198922429E-5</v>
      </c>
      <c r="AO8" s="4">
        <f t="shared" si="8"/>
        <v>5.0586266198922429E-5</v>
      </c>
      <c r="AP8" s="4">
        <f>AO8</f>
        <v>5.0586266198922429E-5</v>
      </c>
      <c r="AQ8" s="4">
        <f>AP8</f>
        <v>5.0586266198922429E-5</v>
      </c>
      <c r="AR8" s="19">
        <f t="shared" si="8"/>
        <v>5.0586266198922429E-5</v>
      </c>
      <c r="AS8" s="4">
        <f t="shared" si="8"/>
        <v>5.0586266198922429E-5</v>
      </c>
      <c r="AT8" s="4">
        <f t="shared" si="8"/>
        <v>5.0586266198922429E-5</v>
      </c>
      <c r="AU8" s="4">
        <f t="shared" si="8"/>
        <v>5.0586266198922429E-5</v>
      </c>
      <c r="AV8" s="4">
        <f t="shared" si="8"/>
        <v>5.0586266198922429E-5</v>
      </c>
      <c r="AW8" s="4">
        <f t="shared" si="8"/>
        <v>5.0586266198922429E-5</v>
      </c>
      <c r="AX8" s="4">
        <f t="shared" si="8"/>
        <v>5.0586266198922429E-5</v>
      </c>
      <c r="AY8" s="4">
        <f t="shared" si="8"/>
        <v>5.0586266198922429E-5</v>
      </c>
      <c r="AZ8" s="4">
        <f t="shared" si="8"/>
        <v>5.0586266198922429E-5</v>
      </c>
      <c r="BA8" s="4">
        <f t="shared" si="8"/>
        <v>5.0586266198922429E-5</v>
      </c>
      <c r="BB8" s="4">
        <f t="shared" si="8"/>
        <v>5.0586266198922429E-5</v>
      </c>
      <c r="BC8" s="4">
        <f t="shared" si="8"/>
        <v>5.0586266198922429E-5</v>
      </c>
      <c r="BD8" s="4">
        <f t="shared" si="8"/>
        <v>5.0586266198922429E-5</v>
      </c>
      <c r="BE8" s="4">
        <f t="shared" si="8"/>
        <v>5.0586266198922429E-5</v>
      </c>
      <c r="BF8" s="4">
        <f t="shared" si="8"/>
        <v>5.0586266198922429E-5</v>
      </c>
      <c r="BG8" s="4">
        <f t="shared" si="8"/>
        <v>5.0586266198922429E-5</v>
      </c>
      <c r="BH8" s="4">
        <f t="shared" si="8"/>
        <v>5.0586266198922429E-5</v>
      </c>
      <c r="BI8" s="4">
        <f t="shared" si="8"/>
        <v>5.0586266198922429E-5</v>
      </c>
      <c r="BJ8" s="4">
        <f t="shared" si="8"/>
        <v>5.0586266198922429E-5</v>
      </c>
      <c r="BK8" s="4">
        <f t="shared" si="8"/>
        <v>5.0586266198922429E-5</v>
      </c>
      <c r="BL8" s="4">
        <f t="shared" si="8"/>
        <v>5.0586266198922429E-5</v>
      </c>
      <c r="BM8" s="4">
        <f t="shared" si="8"/>
        <v>5.0586266198922429E-5</v>
      </c>
      <c r="BN8" s="4">
        <f t="shared" si="8"/>
        <v>5.0586266198922429E-5</v>
      </c>
      <c r="BO8" s="4">
        <f t="shared" si="8"/>
        <v>5.0586266198922429E-5</v>
      </c>
      <c r="BP8" s="4">
        <f t="shared" si="8"/>
        <v>5.0586266198922429E-5</v>
      </c>
      <c r="BQ8" s="4">
        <f t="shared" si="8"/>
        <v>5.0586266198922429E-5</v>
      </c>
      <c r="BR8" s="4">
        <f t="shared" si="8"/>
        <v>5.0586266198922429E-5</v>
      </c>
      <c r="BS8" s="26"/>
      <c r="BT8" s="4"/>
    </row>
    <row r="9" spans="1:72">
      <c r="A9" t="s">
        <v>16</v>
      </c>
      <c r="B9" t="s">
        <v>90</v>
      </c>
      <c r="C9" s="23"/>
      <c r="D9" s="23"/>
      <c r="E9" s="23"/>
      <c r="F9" s="27">
        <f>SYFAFE!$B$5</f>
        <v>6.7428486606874269E-4</v>
      </c>
      <c r="G9" s="4">
        <f>F9</f>
        <v>6.7428486606874269E-4</v>
      </c>
      <c r="H9" s="4">
        <f t="shared" ref="H9:BR9" si="9">G9</f>
        <v>6.7428486606874269E-4</v>
      </c>
      <c r="I9" s="4">
        <f t="shared" si="9"/>
        <v>6.7428486606874269E-4</v>
      </c>
      <c r="J9" s="4">
        <f t="shared" si="9"/>
        <v>6.7428486606874269E-4</v>
      </c>
      <c r="K9" s="4">
        <f t="shared" si="9"/>
        <v>6.7428486606874269E-4</v>
      </c>
      <c r="L9" s="4">
        <f t="shared" si="9"/>
        <v>6.7428486606874269E-4</v>
      </c>
      <c r="M9" s="4">
        <f t="shared" si="9"/>
        <v>6.7428486606874269E-4</v>
      </c>
      <c r="N9" s="4">
        <f t="shared" si="9"/>
        <v>6.7428486606874269E-4</v>
      </c>
      <c r="O9" s="4">
        <f t="shared" si="9"/>
        <v>6.7428486606874269E-4</v>
      </c>
      <c r="P9" s="4">
        <f t="shared" si="9"/>
        <v>6.7428486606874269E-4</v>
      </c>
      <c r="Q9" s="4">
        <f t="shared" si="9"/>
        <v>6.7428486606874269E-4</v>
      </c>
      <c r="R9" s="4">
        <f t="shared" si="9"/>
        <v>6.7428486606874269E-4</v>
      </c>
      <c r="S9" s="4">
        <f t="shared" si="9"/>
        <v>6.7428486606874269E-4</v>
      </c>
      <c r="T9" s="4">
        <f t="shared" si="9"/>
        <v>6.7428486606874269E-4</v>
      </c>
      <c r="U9" s="4">
        <f t="shared" si="9"/>
        <v>6.7428486606874269E-4</v>
      </c>
      <c r="V9" s="4">
        <f t="shared" si="9"/>
        <v>6.7428486606874269E-4</v>
      </c>
      <c r="W9" s="4">
        <f t="shared" si="9"/>
        <v>6.7428486606874269E-4</v>
      </c>
      <c r="X9" s="4">
        <f t="shared" si="9"/>
        <v>6.7428486606874269E-4</v>
      </c>
      <c r="Y9" s="4">
        <f t="shared" si="9"/>
        <v>6.7428486606874269E-4</v>
      </c>
      <c r="Z9" s="4">
        <f t="shared" si="9"/>
        <v>6.7428486606874269E-4</v>
      </c>
      <c r="AA9" s="4">
        <f t="shared" si="9"/>
        <v>6.7428486606874269E-4</v>
      </c>
      <c r="AB9" s="4">
        <f t="shared" si="9"/>
        <v>6.7428486606874269E-4</v>
      </c>
      <c r="AC9" s="4">
        <f t="shared" si="9"/>
        <v>6.7428486606874269E-4</v>
      </c>
      <c r="AD9" s="4">
        <f t="shared" si="9"/>
        <v>6.7428486606874269E-4</v>
      </c>
      <c r="AE9" s="4">
        <f t="shared" si="9"/>
        <v>6.7428486606874269E-4</v>
      </c>
      <c r="AF9" s="4">
        <f t="shared" si="9"/>
        <v>6.7428486606874269E-4</v>
      </c>
      <c r="AG9" s="4">
        <f t="shared" si="9"/>
        <v>6.7428486606874269E-4</v>
      </c>
      <c r="AH9" s="4">
        <f t="shared" si="9"/>
        <v>6.7428486606874269E-4</v>
      </c>
      <c r="AI9" s="4">
        <f t="shared" si="9"/>
        <v>6.7428486606874269E-4</v>
      </c>
      <c r="AJ9" s="4">
        <f t="shared" si="9"/>
        <v>6.7428486606874269E-4</v>
      </c>
      <c r="AK9" s="4">
        <f t="shared" si="9"/>
        <v>6.7428486606874269E-4</v>
      </c>
      <c r="AL9" s="4">
        <f t="shared" si="9"/>
        <v>6.7428486606874269E-4</v>
      </c>
      <c r="AM9" s="4">
        <f t="shared" si="9"/>
        <v>6.7428486606874269E-4</v>
      </c>
      <c r="AN9" s="4">
        <f t="shared" si="9"/>
        <v>6.7428486606874269E-4</v>
      </c>
      <c r="AO9" s="4">
        <f t="shared" si="9"/>
        <v>6.7428486606874269E-4</v>
      </c>
      <c r="AP9" s="4">
        <f t="shared" si="9"/>
        <v>6.7428486606874269E-4</v>
      </c>
      <c r="AQ9" s="4">
        <f t="shared" si="9"/>
        <v>6.7428486606874269E-4</v>
      </c>
      <c r="AR9" s="19">
        <f t="shared" si="9"/>
        <v>6.7428486606874269E-4</v>
      </c>
      <c r="AS9" s="4">
        <f t="shared" si="9"/>
        <v>6.7428486606874269E-4</v>
      </c>
      <c r="AT9" s="4">
        <f t="shared" si="9"/>
        <v>6.7428486606874269E-4</v>
      </c>
      <c r="AU9" s="4">
        <f t="shared" si="9"/>
        <v>6.7428486606874269E-4</v>
      </c>
      <c r="AV9" s="4">
        <f t="shared" si="9"/>
        <v>6.7428486606874269E-4</v>
      </c>
      <c r="AW9" s="4">
        <f t="shared" si="9"/>
        <v>6.7428486606874269E-4</v>
      </c>
      <c r="AX9" s="4">
        <f t="shared" si="9"/>
        <v>6.7428486606874269E-4</v>
      </c>
      <c r="AY9" s="4">
        <f t="shared" si="9"/>
        <v>6.7428486606874269E-4</v>
      </c>
      <c r="AZ9" s="4">
        <f t="shared" si="9"/>
        <v>6.7428486606874269E-4</v>
      </c>
      <c r="BA9" s="4">
        <f t="shared" si="9"/>
        <v>6.7428486606874269E-4</v>
      </c>
      <c r="BB9" s="4">
        <f t="shared" si="9"/>
        <v>6.7428486606874269E-4</v>
      </c>
      <c r="BC9" s="4">
        <f t="shared" si="9"/>
        <v>6.7428486606874269E-4</v>
      </c>
      <c r="BD9" s="4">
        <f t="shared" si="9"/>
        <v>6.7428486606874269E-4</v>
      </c>
      <c r="BE9" s="4">
        <f t="shared" si="9"/>
        <v>6.7428486606874269E-4</v>
      </c>
      <c r="BF9" s="4">
        <f t="shared" si="9"/>
        <v>6.7428486606874269E-4</v>
      </c>
      <c r="BG9" s="4">
        <f t="shared" si="9"/>
        <v>6.7428486606874269E-4</v>
      </c>
      <c r="BH9" s="4">
        <f t="shared" si="9"/>
        <v>6.7428486606874269E-4</v>
      </c>
      <c r="BI9" s="4">
        <f t="shared" si="9"/>
        <v>6.7428486606874269E-4</v>
      </c>
      <c r="BJ9" s="4">
        <f t="shared" si="9"/>
        <v>6.7428486606874269E-4</v>
      </c>
      <c r="BK9" s="4">
        <f t="shared" si="9"/>
        <v>6.7428486606874269E-4</v>
      </c>
      <c r="BL9" s="4">
        <f t="shared" si="9"/>
        <v>6.7428486606874269E-4</v>
      </c>
      <c r="BM9" s="4">
        <f t="shared" si="9"/>
        <v>6.7428486606874269E-4</v>
      </c>
      <c r="BN9" s="4">
        <f t="shared" si="9"/>
        <v>6.7428486606874269E-4</v>
      </c>
      <c r="BO9" s="4">
        <f t="shared" si="9"/>
        <v>6.7428486606874269E-4</v>
      </c>
      <c r="BP9" s="4">
        <f t="shared" si="9"/>
        <v>6.7428486606874269E-4</v>
      </c>
      <c r="BQ9" s="4">
        <f t="shared" si="9"/>
        <v>6.7428486606874269E-4</v>
      </c>
      <c r="BR9" s="4">
        <f t="shared" si="9"/>
        <v>6.7428486606874269E-4</v>
      </c>
      <c r="BS9" s="26"/>
      <c r="BT9" s="4"/>
    </row>
    <row r="10" spans="1:72">
      <c r="A10" t="s">
        <v>16</v>
      </c>
      <c r="B10" t="s">
        <v>22</v>
      </c>
      <c r="C10" s="23"/>
      <c r="D10" s="23"/>
      <c r="E10" s="23"/>
      <c r="F10" s="4">
        <f>TREND($AR10:$BR10,$AR$1:$BR$1,F$1)</f>
        <v>3.2361562983312985E-3</v>
      </c>
      <c r="G10" s="4">
        <f t="shared" ref="G10:AQ13" si="10">TREND($AR10:$BR10,$AR$1:$BR$1,G$1)</f>
        <v>3.2397638770858776E-3</v>
      </c>
      <c r="H10" s="4">
        <f t="shared" si="10"/>
        <v>3.2433714558404558E-3</v>
      </c>
      <c r="I10" s="4">
        <f t="shared" si="10"/>
        <v>3.2469790345950348E-3</v>
      </c>
      <c r="J10" s="4">
        <f t="shared" si="10"/>
        <v>3.2505866133496139E-3</v>
      </c>
      <c r="K10" s="4">
        <f t="shared" si="10"/>
        <v>3.2541941921041921E-3</v>
      </c>
      <c r="L10" s="4">
        <f t="shared" si="10"/>
        <v>3.2578017708587712E-3</v>
      </c>
      <c r="M10" s="4">
        <f t="shared" si="10"/>
        <v>3.2614093496133494E-3</v>
      </c>
      <c r="N10" s="4">
        <f t="shared" si="10"/>
        <v>3.2650169283679285E-3</v>
      </c>
      <c r="O10" s="4">
        <f t="shared" si="10"/>
        <v>3.2686245071225075E-3</v>
      </c>
      <c r="P10" s="4">
        <f t="shared" si="10"/>
        <v>3.2722320858770857E-3</v>
      </c>
      <c r="Q10" s="4">
        <f t="shared" si="10"/>
        <v>3.2758396646316648E-3</v>
      </c>
      <c r="R10" s="4">
        <f t="shared" si="10"/>
        <v>3.2794472433862439E-3</v>
      </c>
      <c r="S10" s="4">
        <f t="shared" si="10"/>
        <v>3.2830548221408221E-3</v>
      </c>
      <c r="T10" s="4">
        <f t="shared" si="10"/>
        <v>3.2866624008954012E-3</v>
      </c>
      <c r="U10" s="4">
        <f t="shared" si="10"/>
        <v>3.2902699796499802E-3</v>
      </c>
      <c r="V10" s="4">
        <f t="shared" si="10"/>
        <v>3.2938775584045584E-3</v>
      </c>
      <c r="W10" s="4">
        <f t="shared" si="10"/>
        <v>3.2974851371591375E-3</v>
      </c>
      <c r="X10" s="4">
        <f t="shared" si="10"/>
        <v>3.3010927159137157E-3</v>
      </c>
      <c r="Y10" s="4">
        <f t="shared" si="10"/>
        <v>3.3047002946682948E-3</v>
      </c>
      <c r="Z10" s="4">
        <f t="shared" si="10"/>
        <v>3.3083078734228739E-3</v>
      </c>
      <c r="AA10" s="4">
        <f t="shared" si="10"/>
        <v>3.3119154521774521E-3</v>
      </c>
      <c r="AB10" s="4">
        <f t="shared" si="10"/>
        <v>3.3155230309320311E-3</v>
      </c>
      <c r="AC10" s="4">
        <f t="shared" si="10"/>
        <v>3.3191306096866102E-3</v>
      </c>
      <c r="AD10" s="4">
        <f t="shared" si="10"/>
        <v>3.3227381884411884E-3</v>
      </c>
      <c r="AE10" s="4">
        <f t="shared" si="10"/>
        <v>3.3263457671957675E-3</v>
      </c>
      <c r="AF10" s="4">
        <f t="shared" si="10"/>
        <v>3.3299533459503457E-3</v>
      </c>
      <c r="AG10" s="4">
        <f t="shared" si="10"/>
        <v>3.3335609247049248E-3</v>
      </c>
      <c r="AH10" s="4">
        <f t="shared" si="10"/>
        <v>3.3371685034595039E-3</v>
      </c>
      <c r="AI10" s="4">
        <f t="shared" si="10"/>
        <v>3.3407760822140821E-3</v>
      </c>
      <c r="AJ10" s="4">
        <f t="shared" si="10"/>
        <v>3.3443836609686611E-3</v>
      </c>
      <c r="AK10" s="4">
        <f t="shared" si="10"/>
        <v>3.3479912397232402E-3</v>
      </c>
      <c r="AL10" s="4">
        <f t="shared" si="10"/>
        <v>3.3515988184778184E-3</v>
      </c>
      <c r="AM10" s="4">
        <f t="shared" si="10"/>
        <v>3.3552063972323975E-3</v>
      </c>
      <c r="AN10" s="4">
        <f t="shared" si="10"/>
        <v>3.3588139759869757E-3</v>
      </c>
      <c r="AO10" s="4">
        <f t="shared" si="10"/>
        <v>3.3624215547415548E-3</v>
      </c>
      <c r="AP10" s="4">
        <f t="shared" si="10"/>
        <v>3.3660291334961338E-3</v>
      </c>
      <c r="AQ10" s="4">
        <f>TREND($AR10:$BR10,$AR$1:$BR$1,AQ$1)</f>
        <v>3.369636712250712E-3</v>
      </c>
      <c r="AR10" s="20">
        <f>BNVFE!G16</f>
        <v>3.3734500000000001E-3</v>
      </c>
      <c r="AS10" s="26">
        <f>BNVFE!H16</f>
        <v>3.3770099999999997E-3</v>
      </c>
      <c r="AT10" s="26">
        <f>BNVFE!I16</f>
        <v>3.3805740000000003E-3</v>
      </c>
      <c r="AU10" s="26">
        <f>BNVFE!J16</f>
        <v>3.3841420000000001E-3</v>
      </c>
      <c r="AV10" s="26">
        <f>BNVFE!K16</f>
        <v>3.3877130000000001E-3</v>
      </c>
      <c r="AW10" s="26">
        <f>BNVFE!L16</f>
        <v>3.391289E-3</v>
      </c>
      <c r="AX10" s="26">
        <f>BNVFE!M16</f>
        <v>3.3948680000000001E-3</v>
      </c>
      <c r="AY10" s="26">
        <f>BNVFE!N16</f>
        <v>3.3984510000000002E-3</v>
      </c>
      <c r="AZ10" s="26">
        <f>BNVFE!O16</f>
        <v>3.4020370000000001E-3</v>
      </c>
      <c r="BA10" s="26">
        <f>BNVFE!P16</f>
        <v>3.405628E-3</v>
      </c>
      <c r="BB10" s="26">
        <f>BNVFE!Q16</f>
        <v>3.4092220000000004E-3</v>
      </c>
      <c r="BC10" s="26">
        <f>BNVFE!R16</f>
        <v>3.41282E-3</v>
      </c>
      <c r="BD10" s="26">
        <f>BNVFE!S16</f>
        <v>3.4164219999999997E-3</v>
      </c>
      <c r="BE10" s="26">
        <f>BNVFE!T16</f>
        <v>3.420027E-3</v>
      </c>
      <c r="BF10" s="26">
        <f>BNVFE!U16</f>
        <v>3.4236369999999998E-3</v>
      </c>
      <c r="BG10" s="26">
        <f>BNVFE!V16</f>
        <v>3.4272499999999997E-3</v>
      </c>
      <c r="BH10" s="26">
        <f>BNVFE!W16</f>
        <v>3.4308670000000002E-3</v>
      </c>
      <c r="BI10" s="26">
        <f>BNVFE!X16</f>
        <v>3.4344879999999999E-3</v>
      </c>
      <c r="BJ10" s="26">
        <f>BNVFE!Y16</f>
        <v>3.438113E-3</v>
      </c>
      <c r="BK10" s="26">
        <f>BNVFE!Z16</f>
        <v>3.4417409999999999E-3</v>
      </c>
      <c r="BL10" s="26">
        <f>BNVFE!AA16</f>
        <v>3.4453729999999998E-3</v>
      </c>
      <c r="BM10" s="26">
        <f>BNVFE!AB16</f>
        <v>3.4490099999999997E-3</v>
      </c>
      <c r="BN10" s="26">
        <f>BNVFE!AC16</f>
        <v>3.4526489999999999E-3</v>
      </c>
      <c r="BO10" s="26">
        <f>BNVFE!AD16</f>
        <v>3.456293E-3</v>
      </c>
      <c r="BP10" s="26">
        <f>BNVFE!AE16</f>
        <v>3.4599410000000002E-3</v>
      </c>
      <c r="BQ10" s="26">
        <f>BNVFE!AF16</f>
        <v>3.4635930000000001E-3</v>
      </c>
      <c r="BR10" s="26">
        <f>BNVFE!AG16</f>
        <v>3.467248E-3</v>
      </c>
      <c r="BS10" s="26"/>
      <c r="BT10" s="4"/>
    </row>
    <row r="11" spans="1:72">
      <c r="A11" t="s">
        <v>17</v>
      </c>
      <c r="B11" t="s">
        <v>21</v>
      </c>
      <c r="C11" s="23"/>
      <c r="D11" s="23"/>
      <c r="E11" s="23"/>
      <c r="F11" s="23"/>
      <c r="G11" s="4">
        <f>TREND($AR11:$BR11,$AR$1:$BR$1,G$1)</f>
        <v>1.187239917321092E-5</v>
      </c>
      <c r="H11" s="4">
        <f t="shared" si="10"/>
        <v>1.187239917321092E-5</v>
      </c>
      <c r="I11" s="4">
        <f t="shared" si="10"/>
        <v>1.187239917321092E-5</v>
      </c>
      <c r="J11" s="4">
        <f t="shared" si="10"/>
        <v>1.187239917321092E-5</v>
      </c>
      <c r="K11" s="4">
        <f t="shared" si="10"/>
        <v>1.187239917321092E-5</v>
      </c>
      <c r="L11" s="4">
        <f t="shared" si="10"/>
        <v>1.187239917321092E-5</v>
      </c>
      <c r="M11" s="4">
        <f t="shared" si="10"/>
        <v>1.187239917321092E-5</v>
      </c>
      <c r="N11" s="4">
        <f t="shared" si="10"/>
        <v>1.187239917321092E-5</v>
      </c>
      <c r="O11" s="4">
        <f t="shared" si="10"/>
        <v>1.187239917321092E-5</v>
      </c>
      <c r="P11" s="4">
        <f t="shared" si="10"/>
        <v>1.187239917321092E-5</v>
      </c>
      <c r="Q11" s="4">
        <f t="shared" si="10"/>
        <v>1.187239917321092E-5</v>
      </c>
      <c r="R11" s="4">
        <f t="shared" si="10"/>
        <v>1.187239917321092E-5</v>
      </c>
      <c r="S11" s="4">
        <f t="shared" si="10"/>
        <v>1.187239917321092E-5</v>
      </c>
      <c r="T11" s="4">
        <f t="shared" si="10"/>
        <v>1.187239917321092E-5</v>
      </c>
      <c r="U11" s="4">
        <f t="shared" si="10"/>
        <v>1.187239917321092E-5</v>
      </c>
      <c r="V11" s="4">
        <f t="shared" si="10"/>
        <v>1.187239917321092E-5</v>
      </c>
      <c r="W11" s="4">
        <f t="shared" si="10"/>
        <v>1.187239917321092E-5</v>
      </c>
      <c r="X11" s="4">
        <f t="shared" si="10"/>
        <v>1.187239917321092E-5</v>
      </c>
      <c r="Y11" s="4">
        <f t="shared" si="10"/>
        <v>1.187239917321092E-5</v>
      </c>
      <c r="Z11" s="4">
        <f t="shared" si="10"/>
        <v>1.187239917321092E-5</v>
      </c>
      <c r="AA11" s="4">
        <f t="shared" si="10"/>
        <v>1.187239917321092E-5</v>
      </c>
      <c r="AB11" s="4">
        <f t="shared" si="10"/>
        <v>1.187239917321092E-5</v>
      </c>
      <c r="AC11" s="4">
        <f t="shared" si="10"/>
        <v>1.187239917321092E-5</v>
      </c>
      <c r="AD11" s="4">
        <f t="shared" si="10"/>
        <v>1.187239917321092E-5</v>
      </c>
      <c r="AE11" s="4">
        <f t="shared" si="10"/>
        <v>1.187239917321092E-5</v>
      </c>
      <c r="AF11" s="4">
        <f t="shared" si="10"/>
        <v>1.187239917321092E-5</v>
      </c>
      <c r="AG11" s="4">
        <f t="shared" si="10"/>
        <v>1.187239917321092E-5</v>
      </c>
      <c r="AH11" s="4">
        <f t="shared" si="10"/>
        <v>1.187239917321092E-5</v>
      </c>
      <c r="AI11" s="4">
        <f t="shared" si="10"/>
        <v>1.187239917321092E-5</v>
      </c>
      <c r="AJ11" s="4">
        <f t="shared" si="10"/>
        <v>1.187239917321092E-5</v>
      </c>
      <c r="AK11" s="4">
        <f t="shared" si="10"/>
        <v>1.187239917321092E-5</v>
      </c>
      <c r="AL11" s="4">
        <f t="shared" si="10"/>
        <v>1.187239917321092E-5</v>
      </c>
      <c r="AM11" s="4">
        <f t="shared" si="10"/>
        <v>1.187239917321092E-5</v>
      </c>
      <c r="AN11" s="4">
        <f t="shared" si="10"/>
        <v>1.187239917321092E-5</v>
      </c>
      <c r="AO11" s="4">
        <f t="shared" si="10"/>
        <v>1.187239917321092E-5</v>
      </c>
      <c r="AP11" s="4">
        <f t="shared" si="10"/>
        <v>1.187239917321092E-5</v>
      </c>
      <c r="AQ11" s="4">
        <f t="shared" si="10"/>
        <v>1.187239917321092E-5</v>
      </c>
      <c r="AR11" s="20">
        <f>BNVFE!G17</f>
        <v>1.1872399173210917E-5</v>
      </c>
      <c r="AS11" s="26">
        <f>BNVFE!H17</f>
        <v>1.1872399173210917E-5</v>
      </c>
      <c r="AT11" s="26">
        <f>BNVFE!I17</f>
        <v>1.1872399173210917E-5</v>
      </c>
      <c r="AU11" s="26">
        <f>BNVFE!J17</f>
        <v>1.1872399173210917E-5</v>
      </c>
      <c r="AV11" s="26">
        <f>BNVFE!K17</f>
        <v>1.1872399173210917E-5</v>
      </c>
      <c r="AW11" s="26">
        <f>BNVFE!L17</f>
        <v>1.1872399173210917E-5</v>
      </c>
      <c r="AX11" s="26">
        <f>BNVFE!M17</f>
        <v>1.1872399173210917E-5</v>
      </c>
      <c r="AY11" s="26">
        <f>BNVFE!N17</f>
        <v>1.1872399173210917E-5</v>
      </c>
      <c r="AZ11" s="26">
        <f>BNVFE!O17</f>
        <v>1.1872399173210917E-5</v>
      </c>
      <c r="BA11" s="26">
        <f>BNVFE!P17</f>
        <v>1.1872399173210917E-5</v>
      </c>
      <c r="BB11" s="26">
        <f>BNVFE!Q17</f>
        <v>1.1872399173210917E-5</v>
      </c>
      <c r="BC11" s="26">
        <f>BNVFE!R17</f>
        <v>1.1872399173210917E-5</v>
      </c>
      <c r="BD11" s="26">
        <f>BNVFE!S17</f>
        <v>1.1872399173210917E-5</v>
      </c>
      <c r="BE11" s="26">
        <f>BNVFE!T17</f>
        <v>1.1872399173210917E-5</v>
      </c>
      <c r="BF11" s="26">
        <f>BNVFE!U17</f>
        <v>1.1872399173210917E-5</v>
      </c>
      <c r="BG11" s="26">
        <f>BNVFE!V17</f>
        <v>1.1872399173210917E-5</v>
      </c>
      <c r="BH11" s="26">
        <f>BNVFE!W17</f>
        <v>1.1872399173210917E-5</v>
      </c>
      <c r="BI11" s="26">
        <f>BNVFE!X17</f>
        <v>1.1872399173210917E-5</v>
      </c>
      <c r="BJ11" s="26">
        <f>BNVFE!Y17</f>
        <v>1.1872399173210917E-5</v>
      </c>
      <c r="BK11" s="26">
        <f>BNVFE!Z17</f>
        <v>1.1872399173210917E-5</v>
      </c>
      <c r="BL11" s="26">
        <f>BNVFE!AA17</f>
        <v>1.1872399173210917E-5</v>
      </c>
      <c r="BM11" s="26">
        <f>BNVFE!AB17</f>
        <v>1.1872399173210917E-5</v>
      </c>
      <c r="BN11" s="26">
        <f>BNVFE!AC17</f>
        <v>1.1872399173210917E-5</v>
      </c>
      <c r="BO11" s="26">
        <f>BNVFE!AD17</f>
        <v>1.1872399173210917E-5</v>
      </c>
      <c r="BP11" s="26">
        <f>BNVFE!AE17</f>
        <v>1.1872399173210917E-5</v>
      </c>
      <c r="BQ11" s="26">
        <f>BNVFE!AF17</f>
        <v>1.1872399173210917E-5</v>
      </c>
      <c r="BR11" s="26">
        <f>BNVFE!AG17</f>
        <v>1.1872399173210917E-5</v>
      </c>
      <c r="BS11" s="26"/>
      <c r="BT11" s="4"/>
    </row>
    <row r="12" spans="1:72">
      <c r="A12" t="s">
        <v>17</v>
      </c>
      <c r="B12" t="s">
        <v>22</v>
      </c>
      <c r="C12" s="23"/>
      <c r="D12" s="23"/>
      <c r="E12" s="23"/>
      <c r="F12" s="23"/>
      <c r="G12" s="4">
        <f t="shared" ref="G12" si="11">TREND($AR12:$BR12,$AR$1:$BR$1,G$1)</f>
        <v>4.1199493300773313E-3</v>
      </c>
      <c r="H12" s="4">
        <f t="shared" si="10"/>
        <v>4.139779079772081E-3</v>
      </c>
      <c r="I12" s="4">
        <f t="shared" si="10"/>
        <v>4.1596088294668307E-3</v>
      </c>
      <c r="J12" s="4">
        <f t="shared" si="10"/>
        <v>4.1794385791615804E-3</v>
      </c>
      <c r="K12" s="4">
        <f t="shared" si="10"/>
        <v>4.1992683288563301E-3</v>
      </c>
      <c r="L12" s="4">
        <f t="shared" si="10"/>
        <v>4.2190980785510798E-3</v>
      </c>
      <c r="M12" s="4">
        <f t="shared" si="10"/>
        <v>4.2389278282458295E-3</v>
      </c>
      <c r="N12" s="4">
        <f t="shared" si="10"/>
        <v>4.2587575779405792E-3</v>
      </c>
      <c r="O12" s="4">
        <f t="shared" si="10"/>
        <v>4.278587327635329E-3</v>
      </c>
      <c r="P12" s="4">
        <f t="shared" si="10"/>
        <v>4.2984170773300787E-3</v>
      </c>
      <c r="Q12" s="4">
        <f t="shared" si="10"/>
        <v>4.3182468270248284E-3</v>
      </c>
      <c r="R12" s="4">
        <f t="shared" si="10"/>
        <v>4.3380765767195781E-3</v>
      </c>
      <c r="S12" s="4">
        <f t="shared" si="10"/>
        <v>4.3579063264143278E-3</v>
      </c>
      <c r="T12" s="4">
        <f t="shared" si="10"/>
        <v>4.3777360761090775E-3</v>
      </c>
      <c r="U12" s="4">
        <f t="shared" si="10"/>
        <v>4.3975658258038272E-3</v>
      </c>
      <c r="V12" s="4">
        <f t="shared" si="10"/>
        <v>4.4173955754985769E-3</v>
      </c>
      <c r="W12" s="4">
        <f t="shared" si="10"/>
        <v>4.4372253251933266E-3</v>
      </c>
      <c r="X12" s="4">
        <f t="shared" si="10"/>
        <v>4.4570550748880763E-3</v>
      </c>
      <c r="Y12" s="4">
        <f t="shared" si="10"/>
        <v>4.4768848245828261E-3</v>
      </c>
      <c r="Z12" s="4">
        <f t="shared" si="10"/>
        <v>4.4967145742775758E-3</v>
      </c>
      <c r="AA12" s="4">
        <f t="shared" si="10"/>
        <v>4.5165443239723255E-3</v>
      </c>
      <c r="AB12" s="4">
        <f t="shared" si="10"/>
        <v>4.5363740736670752E-3</v>
      </c>
      <c r="AC12" s="4">
        <f t="shared" si="10"/>
        <v>4.5562038233618249E-3</v>
      </c>
      <c r="AD12" s="4">
        <f t="shared" si="10"/>
        <v>4.5760335730565746E-3</v>
      </c>
      <c r="AE12" s="4">
        <f t="shared" si="10"/>
        <v>4.5958633227513243E-3</v>
      </c>
      <c r="AF12" s="4">
        <f t="shared" si="10"/>
        <v>4.615693072446074E-3</v>
      </c>
      <c r="AG12" s="4">
        <f t="shared" si="10"/>
        <v>4.6355228221408237E-3</v>
      </c>
      <c r="AH12" s="4">
        <f t="shared" si="10"/>
        <v>4.6553525718355734E-3</v>
      </c>
      <c r="AI12" s="4">
        <f t="shared" si="10"/>
        <v>4.6751823215303231E-3</v>
      </c>
      <c r="AJ12" s="4">
        <f t="shared" si="10"/>
        <v>4.6950120712250729E-3</v>
      </c>
      <c r="AK12" s="4">
        <f t="shared" si="10"/>
        <v>4.7148418209198226E-3</v>
      </c>
      <c r="AL12" s="4">
        <f t="shared" si="10"/>
        <v>4.7346715706145723E-3</v>
      </c>
      <c r="AM12" s="4">
        <f t="shared" si="10"/>
        <v>4.754501320309322E-3</v>
      </c>
      <c r="AN12" s="4">
        <f t="shared" si="10"/>
        <v>4.7743310700040717E-3</v>
      </c>
      <c r="AO12" s="4">
        <f>TREND($AR12:$BR12,$AR$1:$BR$1,AO$1)</f>
        <v>4.7941608196988214E-3</v>
      </c>
      <c r="AP12" s="4">
        <f t="shared" si="10"/>
        <v>4.8139905693935711E-3</v>
      </c>
      <c r="AQ12" s="4">
        <f t="shared" si="10"/>
        <v>4.8338203190883208E-3</v>
      </c>
      <c r="AR12" s="20">
        <f>BNVFE!G18</f>
        <v>4.8577789999999996E-3</v>
      </c>
      <c r="AS12" s="26">
        <f>BNVFE!H18</f>
        <v>4.8766649999999996E-3</v>
      </c>
      <c r="AT12" s="26">
        <f>BNVFE!I18</f>
        <v>4.8956239999999995E-3</v>
      </c>
      <c r="AU12" s="26">
        <f>BNVFE!J18</f>
        <v>4.9146570000000002E-3</v>
      </c>
      <c r="AV12" s="26">
        <f>BNVFE!K18</f>
        <v>4.9337640000000002E-3</v>
      </c>
      <c r="AW12" s="26">
        <f>BNVFE!L18</f>
        <v>4.9529449999999994E-3</v>
      </c>
      <c r="AX12" s="26">
        <f>BNVFE!M18</f>
        <v>4.9721999999999995E-3</v>
      </c>
      <c r="AY12" s="26">
        <f>BNVFE!N18</f>
        <v>4.9915310000000004E-3</v>
      </c>
      <c r="AZ12" s="26">
        <f>BNVFE!O18</f>
        <v>5.010937E-3</v>
      </c>
      <c r="BA12" s="26">
        <f>BNVFE!P18</f>
        <v>5.030418E-3</v>
      </c>
      <c r="BB12" s="26">
        <f>BNVFE!Q18</f>
        <v>5.049975E-3</v>
      </c>
      <c r="BC12" s="26">
        <f>BNVFE!R18</f>
        <v>5.0696079999999998E-3</v>
      </c>
      <c r="BD12" s="26">
        <f>BNVFE!S18</f>
        <v>5.0893170000000003E-3</v>
      </c>
      <c r="BE12" s="26">
        <f>BNVFE!T18</f>
        <v>5.1091030000000003E-3</v>
      </c>
      <c r="BF12" s="26">
        <f>BNVFE!U18</f>
        <v>5.1289660000000004E-3</v>
      </c>
      <c r="BG12" s="26">
        <f>BNVFE!V18</f>
        <v>5.148906E-3</v>
      </c>
      <c r="BH12" s="26">
        <f>BNVFE!W18</f>
        <v>5.1689230000000006E-3</v>
      </c>
      <c r="BI12" s="26">
        <f>BNVFE!X18</f>
        <v>5.1890190000000004E-3</v>
      </c>
      <c r="BJ12" s="26">
        <f>BNVFE!Y18</f>
        <v>5.2091919999999996E-3</v>
      </c>
      <c r="BK12" s="26">
        <f>BNVFE!Z18</f>
        <v>5.2294450000000001E-3</v>
      </c>
      <c r="BL12" s="26">
        <f>BNVFE!AA18</f>
        <v>5.2497749999999999E-3</v>
      </c>
      <c r="BM12" s="26">
        <f>BNVFE!AB18</f>
        <v>5.2701849999999993E-3</v>
      </c>
      <c r="BN12" s="26">
        <f>BNVFE!AC18</f>
        <v>5.2906740000000004E-3</v>
      </c>
      <c r="BO12" s="26">
        <f>BNVFE!AD18</f>
        <v>5.3112430000000002E-3</v>
      </c>
      <c r="BP12" s="26">
        <f>BNVFE!AE18</f>
        <v>5.3318919999999995E-3</v>
      </c>
      <c r="BQ12" s="26">
        <f>BNVFE!AF18</f>
        <v>5.3526210000000001E-3</v>
      </c>
      <c r="BR12" s="26">
        <f>BNVFE!AG18</f>
        <v>5.3734300000000002E-3</v>
      </c>
      <c r="BS12" s="26"/>
      <c r="BT12" s="4"/>
    </row>
    <row r="13" spans="1:72">
      <c r="A13" t="s">
        <v>18</v>
      </c>
      <c r="B13" t="s">
        <v>21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4">
        <f>TREND($AR13:$BR13,$AR$1:$BR$1,W$1)</f>
        <v>1.8223914406069761E-3</v>
      </c>
      <c r="X13" s="4">
        <f t="shared" si="10"/>
        <v>1.8223914406069761E-3</v>
      </c>
      <c r="Y13" s="4">
        <f t="shared" si="10"/>
        <v>1.8223914406069761E-3</v>
      </c>
      <c r="Z13" s="4">
        <f t="shared" si="10"/>
        <v>1.8223914406069761E-3</v>
      </c>
      <c r="AA13" s="4">
        <f t="shared" si="10"/>
        <v>1.8223914406069761E-3</v>
      </c>
      <c r="AB13" s="4">
        <f t="shared" si="10"/>
        <v>1.8223914406069761E-3</v>
      </c>
      <c r="AC13" s="4">
        <f t="shared" si="10"/>
        <v>1.8223914406069761E-3</v>
      </c>
      <c r="AD13" s="4">
        <f t="shared" si="10"/>
        <v>1.8223914406069761E-3</v>
      </c>
      <c r="AE13" s="4">
        <f t="shared" si="10"/>
        <v>1.8223914406069761E-3</v>
      </c>
      <c r="AF13" s="4">
        <f t="shared" si="10"/>
        <v>1.8223914406069761E-3</v>
      </c>
      <c r="AG13" s="4">
        <f t="shared" si="10"/>
        <v>1.8223914406069761E-3</v>
      </c>
      <c r="AH13" s="4">
        <f t="shared" si="10"/>
        <v>1.8223914406069761E-3</v>
      </c>
      <c r="AI13" s="4">
        <f t="shared" si="10"/>
        <v>1.8223914406069761E-3</v>
      </c>
      <c r="AJ13" s="4">
        <f t="shared" si="10"/>
        <v>1.8223914406069761E-3</v>
      </c>
      <c r="AK13" s="4">
        <f t="shared" si="10"/>
        <v>1.8223914406069761E-3</v>
      </c>
      <c r="AL13" s="4">
        <f t="shared" si="10"/>
        <v>1.8223914406069761E-3</v>
      </c>
      <c r="AM13" s="4">
        <f t="shared" si="10"/>
        <v>1.8223914406069761E-3</v>
      </c>
      <c r="AN13" s="4">
        <f t="shared" si="10"/>
        <v>1.8223914406069761E-3</v>
      </c>
      <c r="AO13" s="4">
        <f t="shared" si="10"/>
        <v>1.8223914406069761E-3</v>
      </c>
      <c r="AP13" s="4">
        <f t="shared" si="10"/>
        <v>1.8223914406069761E-3</v>
      </c>
      <c r="AQ13" s="4">
        <f t="shared" si="10"/>
        <v>1.8223914406069761E-3</v>
      </c>
      <c r="AR13" s="20">
        <f>BNVFE!G19</f>
        <v>1.8223914406069774E-3</v>
      </c>
      <c r="AS13" s="26">
        <f>BNVFE!H19</f>
        <v>1.8223914406069774E-3</v>
      </c>
      <c r="AT13" s="26">
        <f>BNVFE!I19</f>
        <v>1.8223914406069774E-3</v>
      </c>
      <c r="AU13" s="26">
        <f>BNVFE!J19</f>
        <v>1.8223914406069774E-3</v>
      </c>
      <c r="AV13" s="26">
        <f>BNVFE!K19</f>
        <v>1.8223914406069774E-3</v>
      </c>
      <c r="AW13" s="26">
        <f>BNVFE!L19</f>
        <v>1.8223914406069774E-3</v>
      </c>
      <c r="AX13" s="26">
        <f>BNVFE!M19</f>
        <v>1.8223914406069774E-3</v>
      </c>
      <c r="AY13" s="26">
        <f>BNVFE!N19</f>
        <v>1.8223914406069774E-3</v>
      </c>
      <c r="AZ13" s="26">
        <f>BNVFE!O19</f>
        <v>1.8223914406069774E-3</v>
      </c>
      <c r="BA13" s="26">
        <f>BNVFE!P19</f>
        <v>1.8223914406069774E-3</v>
      </c>
      <c r="BB13" s="26">
        <f>BNVFE!Q19</f>
        <v>1.8223914406069774E-3</v>
      </c>
      <c r="BC13" s="26">
        <f>BNVFE!R19</f>
        <v>1.8223914406069774E-3</v>
      </c>
      <c r="BD13" s="26">
        <f>BNVFE!S19</f>
        <v>1.8223914406069774E-3</v>
      </c>
      <c r="BE13" s="26">
        <f>BNVFE!T19</f>
        <v>1.8223914406069774E-3</v>
      </c>
      <c r="BF13" s="26">
        <f>BNVFE!U19</f>
        <v>1.8223914406069774E-3</v>
      </c>
      <c r="BG13" s="26">
        <f>BNVFE!V19</f>
        <v>1.8223914406069774E-3</v>
      </c>
      <c r="BH13" s="26">
        <f>BNVFE!W19</f>
        <v>1.8223914406069774E-3</v>
      </c>
      <c r="BI13" s="26">
        <f>BNVFE!X19</f>
        <v>1.8223914406069774E-3</v>
      </c>
      <c r="BJ13" s="26">
        <f>BNVFE!Y19</f>
        <v>1.8223914406069774E-3</v>
      </c>
      <c r="BK13" s="26">
        <f>BNVFE!Z19</f>
        <v>1.8223914406069774E-3</v>
      </c>
      <c r="BL13" s="26">
        <f>BNVFE!AA19</f>
        <v>1.8223914406069774E-3</v>
      </c>
      <c r="BM13" s="26">
        <f>BNVFE!AB19</f>
        <v>1.8223914406069774E-3</v>
      </c>
      <c r="BN13" s="26">
        <f>BNVFE!AC19</f>
        <v>1.8223914406069774E-3</v>
      </c>
      <c r="BO13" s="26">
        <f>BNVFE!AD19</f>
        <v>1.8223914406069774E-3</v>
      </c>
      <c r="BP13" s="26">
        <f>BNVFE!AE19</f>
        <v>1.8223914406069774E-3</v>
      </c>
      <c r="BQ13" s="26">
        <f>BNVFE!AF19</f>
        <v>1.8223914406069774E-3</v>
      </c>
      <c r="BR13" s="26">
        <f>BNVFE!AG19</f>
        <v>1.8223914406069774E-3</v>
      </c>
      <c r="BS13" s="26"/>
      <c r="BT13" s="4"/>
    </row>
    <row r="14" spans="1:72">
      <c r="A14" t="s">
        <v>18</v>
      </c>
      <c r="B14" t="s">
        <v>22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>
        <f t="shared" ref="W14:AM14" si="12">$AO14</f>
        <v>0</v>
      </c>
      <c r="X14">
        <f t="shared" si="12"/>
        <v>0</v>
      </c>
      <c r="Y14">
        <f t="shared" si="12"/>
        <v>0</v>
      </c>
      <c r="Z14">
        <f t="shared" si="12"/>
        <v>0</v>
      </c>
      <c r="AA14">
        <f t="shared" si="12"/>
        <v>0</v>
      </c>
      <c r="AB14">
        <f t="shared" si="12"/>
        <v>0</v>
      </c>
      <c r="AC14">
        <f t="shared" si="12"/>
        <v>0</v>
      </c>
      <c r="AD14">
        <f t="shared" si="12"/>
        <v>0</v>
      </c>
      <c r="AE14">
        <f t="shared" si="12"/>
        <v>0</v>
      </c>
      <c r="AF14">
        <f t="shared" si="12"/>
        <v>0</v>
      </c>
      <c r="AG14">
        <f t="shared" si="12"/>
        <v>0</v>
      </c>
      <c r="AH14">
        <f t="shared" si="12"/>
        <v>0</v>
      </c>
      <c r="AI14">
        <f t="shared" si="12"/>
        <v>0</v>
      </c>
      <c r="AJ14">
        <f t="shared" si="12"/>
        <v>0</v>
      </c>
      <c r="AK14" s="29">
        <f t="shared" si="12"/>
        <v>0</v>
      </c>
      <c r="AL14" s="29">
        <f t="shared" si="12"/>
        <v>0</v>
      </c>
      <c r="AM14" s="29">
        <f t="shared" si="12"/>
        <v>0</v>
      </c>
      <c r="AN14" s="29">
        <f>$AO14</f>
        <v>0</v>
      </c>
      <c r="AO14" s="30">
        <f>BNVFE!D20</f>
        <v>0</v>
      </c>
      <c r="AP14" s="30">
        <f>BNVFE!E20</f>
        <v>0</v>
      </c>
      <c r="AQ14" s="30">
        <f>BNVFE!F20</f>
        <v>0</v>
      </c>
      <c r="AR14" s="21">
        <f>BNVFE!G20</f>
        <v>0</v>
      </c>
      <c r="AS14" s="30">
        <f>BNVFE!H20</f>
        <v>0</v>
      </c>
      <c r="AT14" s="30">
        <f>BNVFE!I20</f>
        <v>0</v>
      </c>
      <c r="AU14" s="30">
        <f>BNVFE!J20</f>
        <v>0</v>
      </c>
      <c r="AV14" s="30">
        <f>BNVFE!K20</f>
        <v>0</v>
      </c>
      <c r="AW14" s="30">
        <f>BNVFE!L20</f>
        <v>0</v>
      </c>
      <c r="AX14" s="30">
        <f>BNVFE!M20</f>
        <v>0</v>
      </c>
      <c r="AY14" s="30">
        <f>BNVFE!N20</f>
        <v>0</v>
      </c>
      <c r="AZ14" s="30">
        <f>BNVFE!O20</f>
        <v>0</v>
      </c>
      <c r="BA14" s="30">
        <f>BNVFE!P20</f>
        <v>0</v>
      </c>
      <c r="BB14" s="30">
        <f>BNVFE!Q20</f>
        <v>0</v>
      </c>
      <c r="BC14" s="30">
        <f>BNVFE!R20</f>
        <v>0</v>
      </c>
      <c r="BD14" s="30">
        <f>BNVFE!S20</f>
        <v>0</v>
      </c>
      <c r="BE14" s="30">
        <f>BNVFE!T20</f>
        <v>0</v>
      </c>
      <c r="BF14" s="30">
        <f>BNVFE!U20</f>
        <v>0</v>
      </c>
      <c r="BG14" s="30">
        <f>BNVFE!V20</f>
        <v>0</v>
      </c>
      <c r="BH14" s="30">
        <f>BNVFE!W20</f>
        <v>0</v>
      </c>
      <c r="BI14" s="30">
        <f>BNVFE!X20</f>
        <v>0</v>
      </c>
      <c r="BJ14" s="30">
        <f>BNVFE!Y20</f>
        <v>0</v>
      </c>
      <c r="BK14" s="30">
        <f>BNVFE!Z20</f>
        <v>0</v>
      </c>
      <c r="BL14" s="30">
        <f>BNVFE!AA20</f>
        <v>0</v>
      </c>
      <c r="BM14" s="30">
        <f>BNVFE!AB20</f>
        <v>0</v>
      </c>
      <c r="BN14" s="30">
        <f>BNVFE!AC20</f>
        <v>0</v>
      </c>
      <c r="BO14" s="30">
        <f>BNVFE!AD20</f>
        <v>0</v>
      </c>
      <c r="BP14" s="30">
        <f>BNVFE!AE20</f>
        <v>0</v>
      </c>
      <c r="BQ14" s="30">
        <f>BNVFE!AF20</f>
        <v>0</v>
      </c>
      <c r="BR14" s="30">
        <f>BNVFE!AG20</f>
        <v>0</v>
      </c>
      <c r="BS14" s="30"/>
    </row>
    <row r="15" spans="1:72">
      <c r="E15" s="31"/>
      <c r="X15" s="4"/>
      <c r="AH15" s="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H10"/>
  <sheetViews>
    <sheetView workbookViewId="0">
      <selection activeCell="C4" sqref="C4"/>
    </sheetView>
  </sheetViews>
  <sheetFormatPr defaultRowHeight="15"/>
  <cols>
    <col min="1" max="1" width="31.140625" customWidth="1"/>
  </cols>
  <sheetData>
    <row r="1" spans="1:34" ht="30">
      <c r="A1" s="14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SYFAFE!$B$2</f>
        <v>1.4644871483406822E-3</v>
      </c>
      <c r="C2" s="4">
        <f>SYFAFE!$B$2</f>
        <v>1.4644871483406822E-3</v>
      </c>
      <c r="D2" s="4">
        <f>SYFAFE!$B$2</f>
        <v>1.4644871483406822E-3</v>
      </c>
      <c r="E2" s="4">
        <f>SYFAFE!$B$2</f>
        <v>1.4644871483406822E-3</v>
      </c>
      <c r="F2" s="4">
        <f>SYFAFE!$B$2</f>
        <v>1.4644871483406822E-3</v>
      </c>
      <c r="G2" s="4">
        <f>SYFAFE!$B$2</f>
        <v>1.4644871483406822E-3</v>
      </c>
      <c r="H2" s="4">
        <f>SYFAFE!$B$2</f>
        <v>1.4644871483406822E-3</v>
      </c>
      <c r="I2" s="4">
        <f>SYFAFE!$B$2</f>
        <v>1.4644871483406822E-3</v>
      </c>
      <c r="J2" s="4">
        <f>SYFAFE!$B$2</f>
        <v>1.4644871483406822E-3</v>
      </c>
      <c r="K2" s="4">
        <f>SYFAFE!$B$2</f>
        <v>1.4644871483406822E-3</v>
      </c>
      <c r="L2" s="4">
        <f>SYFAFE!$B$2</f>
        <v>1.4644871483406822E-3</v>
      </c>
      <c r="M2" s="4">
        <f>SYFAFE!$B$2</f>
        <v>1.4644871483406822E-3</v>
      </c>
      <c r="N2" s="4">
        <f>SYFAFE!$B$2</f>
        <v>1.4644871483406822E-3</v>
      </c>
      <c r="O2" s="4">
        <f>SYFAFE!$B$2</f>
        <v>1.4644871483406822E-3</v>
      </c>
      <c r="P2" s="4">
        <f>SYFAFE!$B$2</f>
        <v>1.4644871483406822E-3</v>
      </c>
      <c r="Q2" s="4">
        <f>SYFAFE!$B$2</f>
        <v>1.4644871483406822E-3</v>
      </c>
      <c r="R2" s="4">
        <f>SYFAFE!$B$2</f>
        <v>1.4644871483406822E-3</v>
      </c>
      <c r="S2" s="4">
        <f>SYFAFE!$B$2</f>
        <v>1.4644871483406822E-3</v>
      </c>
      <c r="T2" s="4">
        <f>SYFAFE!$B$2</f>
        <v>1.4644871483406822E-3</v>
      </c>
      <c r="U2" s="4">
        <f>SYFAFE!$B$2</f>
        <v>1.4644871483406822E-3</v>
      </c>
      <c r="V2" s="4">
        <f>SYFAFE!$B$2</f>
        <v>1.4644871483406822E-3</v>
      </c>
      <c r="W2" s="4">
        <f>SYFAFE!$B$2</f>
        <v>1.4644871483406822E-3</v>
      </c>
      <c r="X2" s="4">
        <f>SYFAFE!$B$2</f>
        <v>1.4644871483406822E-3</v>
      </c>
      <c r="Y2" s="4">
        <f>SYFAFE!$B$2</f>
        <v>1.4644871483406822E-3</v>
      </c>
      <c r="Z2" s="4">
        <f>SYFAFE!$B$2</f>
        <v>1.4644871483406822E-3</v>
      </c>
      <c r="AA2" s="4">
        <f>SYFAFE!$B$2</f>
        <v>1.4644871483406822E-3</v>
      </c>
      <c r="AB2" s="4">
        <f>SYFAFE!$B$2</f>
        <v>1.4644871483406822E-3</v>
      </c>
      <c r="AC2" s="4">
        <f>SYFAFE!$B$2</f>
        <v>1.4644871483406822E-3</v>
      </c>
      <c r="AD2" s="4">
        <f>SYFAFE!$B$2</f>
        <v>1.4644871483406822E-3</v>
      </c>
      <c r="AE2" s="4">
        <f>SYFAFE!$B$2</f>
        <v>1.4644871483406822E-3</v>
      </c>
      <c r="AG2" s="4"/>
      <c r="AH2" s="4"/>
    </row>
    <row r="3" spans="1:34">
      <c r="A3" t="s">
        <v>3</v>
      </c>
      <c r="B3" s="4">
        <f>BNVFE!B25*('BHNVFEAL-LDVs-psgr'!B$4/BNVFE!B$26)</f>
        <v>3.421857912201937E-4</v>
      </c>
      <c r="C3" s="4">
        <f>BNVFE!C25*('BHNVFEAL-LDVs-psgr'!C$4/BNVFE!C$26)</f>
        <v>3.4060340294670902E-4</v>
      </c>
      <c r="D3" s="4">
        <f>BNVFE!D25*('BHNVFEAL-LDVs-psgr'!D$4/BNVFE!D$26)</f>
        <v>3.2682328105658763E-4</v>
      </c>
      <c r="E3" s="4">
        <f>BNVFE!E25*('BHNVFEAL-LDVs-psgr'!E$4/BNVFE!E$26)</f>
        <v>3.310144208647194E-4</v>
      </c>
      <c r="F3" s="4">
        <f>BNVFE!F25*('BHNVFEAL-LDVs-psgr'!F$4/BNVFE!F$26)</f>
        <v>3.3520556067285118E-4</v>
      </c>
      <c r="G3" s="4">
        <f>BNVFE!G25*('BHNVFEAL-LDVs-psgr'!G$4/BNVFE!G$26)</f>
        <v>3.3939670048098295E-4</v>
      </c>
      <c r="H3" s="4">
        <f>BNVFE!H25*('BHNVFEAL-LDVs-psgr'!H$4/BNVFE!H$26)</f>
        <v>3.4358784028911473E-4</v>
      </c>
      <c r="I3" s="4">
        <f>BNVFE!I25*('BHNVFEAL-LDVs-psgr'!I$4/BNVFE!I$26)</f>
        <v>3.477789800972465E-4</v>
      </c>
      <c r="J3" s="4">
        <f>BNVFE!J25*('BHNVFEAL-LDVs-psgr'!J$4/BNVFE!J$26)</f>
        <v>3.5197011990537828E-4</v>
      </c>
      <c r="K3" s="4">
        <f>BNVFE!K25*('BHNVFEAL-LDVs-psgr'!K$4/BNVFE!K$26)</f>
        <v>3.5616125971351005E-4</v>
      </c>
      <c r="L3" s="4">
        <f>BNVFE!L25*('BHNVFEAL-LDVs-psgr'!L$4/BNVFE!L$26)</f>
        <v>3.6035239952164183E-4</v>
      </c>
      <c r="M3" s="4">
        <f>BNVFE!M25*('BHNVFEAL-LDVs-psgr'!M$4/BNVFE!M$26)</f>
        <v>3.645435393297736E-4</v>
      </c>
      <c r="N3" s="4">
        <f>BNVFE!N25*('BHNVFEAL-LDVs-psgr'!N$4/BNVFE!N$26)</f>
        <v>3.6873467913790537E-4</v>
      </c>
      <c r="O3" s="4">
        <f>BNVFE!O25*('BHNVFEAL-LDVs-psgr'!O$4/BNVFE!O$26)</f>
        <v>3.7292581894603715E-4</v>
      </c>
      <c r="P3" s="4">
        <f>BNVFE!P25*('BHNVFEAL-LDVs-psgr'!P$4/BNVFE!P$26)</f>
        <v>3.7711695875416892E-4</v>
      </c>
      <c r="Q3" s="4">
        <f>BNVFE!Q25*('BHNVFEAL-LDVs-psgr'!Q$4/BNVFE!Q$26)</f>
        <v>3.813080985623007E-4</v>
      </c>
      <c r="R3" s="4">
        <f>BNVFE!R25*('BHNVFEAL-LDVs-psgr'!R$4/BNVFE!R$26)</f>
        <v>3.8549923837043247E-4</v>
      </c>
      <c r="S3" s="4">
        <f>BNVFE!S25*('BHNVFEAL-LDVs-psgr'!S$4/BNVFE!S$26)</f>
        <v>3.8969037817856381E-4</v>
      </c>
      <c r="T3" s="4">
        <f>BNVFE!T25*('BHNVFEAL-LDVs-psgr'!T$4/BNVFE!T$26)</f>
        <v>3.9985001436006255E-4</v>
      </c>
      <c r="U3" s="4">
        <f>BNVFE!U25*('BHNVFEAL-LDVs-psgr'!U$4/BNVFE!U$26)</f>
        <v>4.0645495978422236E-4</v>
      </c>
      <c r="V3" s="4">
        <f>BNVFE!V25*('BHNVFEAL-LDVs-psgr'!V$4/BNVFE!V$26)</f>
        <v>4.1222868457836193E-4</v>
      </c>
      <c r="W3" s="4">
        <f>BNVFE!W25*('BHNVFEAL-LDVs-psgr'!W$4/BNVFE!W$26)</f>
        <v>4.1315950014361388E-4</v>
      </c>
      <c r="X3" s="4">
        <f>BNVFE!X25*('BHNVFEAL-LDVs-psgr'!X$4/BNVFE!X$26)</f>
        <v>4.1586031572729884E-4</v>
      </c>
      <c r="Y3" s="4">
        <f>BNVFE!Y25*('BHNVFEAL-LDVs-psgr'!Y$4/BNVFE!Y$26)</f>
        <v>4.1791006177450995E-4</v>
      </c>
      <c r="Z3" s="4">
        <f>BNVFE!Z25*('BHNVFEAL-LDVs-psgr'!Z$4/BNVFE!Z$26)</f>
        <v>4.1868747861134429E-4</v>
      </c>
      <c r="AA3" s="4">
        <f>BNVFE!AA25*('BHNVFEAL-LDVs-psgr'!AA$4/BNVFE!AA$26)</f>
        <v>4.2132009406936789E-4</v>
      </c>
      <c r="AB3" s="4">
        <f>BNVFE!AB25*('BHNVFEAL-LDVs-psgr'!AB$4/BNVFE!AB$26)</f>
        <v>4.224153063913546E-4</v>
      </c>
      <c r="AC3" s="4">
        <f>BNVFE!AC25*('BHNVFEAL-LDVs-psgr'!AC$4/BNVFE!AC$26)</f>
        <v>4.2414977562549528E-4</v>
      </c>
      <c r="AD3" s="4">
        <f>BNVFE!AD25*('BHNVFEAL-LDVs-psgr'!AD$4/BNVFE!AD$26)</f>
        <v>4.2551597947059568E-4</v>
      </c>
      <c r="AE3" s="4">
        <f>BNVFE!AE25*('BHNVFEAL-LDVs-psgr'!AE$4/BNVFE!AE$26)</f>
        <v>4.2699017471707065E-4</v>
      </c>
      <c r="AG3" s="4"/>
      <c r="AH3" s="4"/>
    </row>
    <row r="4" spans="1:34">
      <c r="A4" t="s">
        <v>4</v>
      </c>
      <c r="B4" s="4">
        <f>Extrapolations!AB2</f>
        <v>3.1844100144032408E-4</v>
      </c>
      <c r="C4" s="4">
        <f>Extrapolations!AC2</f>
        <v>3.2263214124845585E-4</v>
      </c>
      <c r="D4" s="4">
        <f>Extrapolations!AD2</f>
        <v>3.2682328105658763E-4</v>
      </c>
      <c r="E4" s="4">
        <f>Extrapolations!AE2</f>
        <v>3.310144208647194E-4</v>
      </c>
      <c r="F4" s="4">
        <f>Extrapolations!AF2</f>
        <v>3.3520556067285118E-4</v>
      </c>
      <c r="G4" s="4">
        <f>Extrapolations!AG2</f>
        <v>3.3939670048098295E-4</v>
      </c>
      <c r="H4" s="4">
        <f>Extrapolations!AH2</f>
        <v>3.4358784028911473E-4</v>
      </c>
      <c r="I4" s="4">
        <f>Extrapolations!AI2</f>
        <v>3.477789800972465E-4</v>
      </c>
      <c r="J4" s="4">
        <f>Extrapolations!AJ2</f>
        <v>3.5197011990537828E-4</v>
      </c>
      <c r="K4" s="4">
        <f>Extrapolations!AK2</f>
        <v>3.5616125971351005E-4</v>
      </c>
      <c r="L4" s="4">
        <f>Extrapolations!AL2</f>
        <v>3.6035239952164183E-4</v>
      </c>
      <c r="M4" s="4">
        <f>Extrapolations!AM2</f>
        <v>3.645435393297736E-4</v>
      </c>
      <c r="N4" s="4">
        <f>Extrapolations!AN2</f>
        <v>3.6873467913790537E-4</v>
      </c>
      <c r="O4" s="4">
        <f>Extrapolations!AO2</f>
        <v>3.7292581894603715E-4</v>
      </c>
      <c r="P4" s="4">
        <f>Extrapolations!AP2</f>
        <v>3.7711695875416892E-4</v>
      </c>
      <c r="Q4" s="4">
        <f>Extrapolations!AQ2</f>
        <v>3.813080985623007E-4</v>
      </c>
      <c r="R4" s="4">
        <f>Extrapolations!AR2</f>
        <v>3.8549923837043247E-4</v>
      </c>
      <c r="S4" s="4">
        <f>Extrapolations!AS2</f>
        <v>3.8969037817856381E-4</v>
      </c>
      <c r="T4" s="4">
        <f>Extrapolations!AT2</f>
        <v>3.9985001436006255E-4</v>
      </c>
      <c r="U4" s="4">
        <f>Extrapolations!AU2</f>
        <v>4.0645495978422236E-4</v>
      </c>
      <c r="V4" s="4">
        <f>Extrapolations!AV2</f>
        <v>4.1222868457836193E-4</v>
      </c>
      <c r="W4" s="4">
        <f>Extrapolations!AW2</f>
        <v>4.1315950014361388E-4</v>
      </c>
      <c r="X4" s="4">
        <f>Extrapolations!AX2</f>
        <v>4.1586031572729884E-4</v>
      </c>
      <c r="Y4" s="4">
        <f>Extrapolations!AY2</f>
        <v>4.1791006177450995E-4</v>
      </c>
      <c r="Z4" s="4">
        <f>Extrapolations!AZ2</f>
        <v>4.1868747861134429E-4</v>
      </c>
      <c r="AA4" s="4">
        <f>Extrapolations!BA2</f>
        <v>4.2132009406936789E-4</v>
      </c>
      <c r="AB4" s="4">
        <f>Extrapolations!BB2</f>
        <v>4.224153063913546E-4</v>
      </c>
      <c r="AC4" s="4">
        <f>Extrapolations!BC2</f>
        <v>4.2414977562549528E-4</v>
      </c>
      <c r="AD4" s="4">
        <f>Extrapolations!BD2</f>
        <v>4.2551597947059568E-4</v>
      </c>
      <c r="AE4" s="4">
        <f>Extrapolations!BE2</f>
        <v>4.2699017471707065E-4</v>
      </c>
      <c r="AG4" s="4"/>
      <c r="AH4" s="4"/>
    </row>
    <row r="5" spans="1:34">
      <c r="A5" t="s">
        <v>5</v>
      </c>
      <c r="B5" s="4">
        <f>BNVFE!B27*('BHNVFEAL-LDVs-psgr'!B$4/BNVFE!B$26)</f>
        <v>3.3417552748724462E-4</v>
      </c>
      <c r="C5" s="4">
        <f>BNVFE!C27*('BHNVFEAL-LDVs-psgr'!C$4/BNVFE!C$26)</f>
        <v>3.4054067777337178E-4</v>
      </c>
      <c r="D5" s="4">
        <f>BNVFE!D27*('BHNVFEAL-LDVs-psgr'!D$4/BNVFE!D$26)</f>
        <v>3.4123276674598253E-4</v>
      </c>
      <c r="E5" s="4">
        <f>BNVFE!E27*('BHNVFEAL-LDVs-psgr'!E$4/BNVFE!E$26)</f>
        <v>3.0415650305264802E-4</v>
      </c>
      <c r="F5" s="4">
        <f>BNVFE!F27*('BHNVFEAL-LDVs-psgr'!F$4/BNVFE!F$26)</f>
        <v>2.9574846150823335E-4</v>
      </c>
      <c r="G5" s="4">
        <f>BNVFE!G27*('BHNVFEAL-LDVs-psgr'!G$4/BNVFE!G$26)</f>
        <v>2.9389627970904806E-4</v>
      </c>
      <c r="H5" s="4">
        <f>BNVFE!H27*('BHNVFEAL-LDVs-psgr'!H$4/BNVFE!H$26)</f>
        <v>2.9594104819537719E-4</v>
      </c>
      <c r="I5" s="4">
        <f>BNVFE!I27*('BHNVFEAL-LDVs-psgr'!I$4/BNVFE!I$26)</f>
        <v>2.9536042340284701E-4</v>
      </c>
      <c r="J5" s="4">
        <f>BNVFE!J27*('BHNVFEAL-LDVs-psgr'!J$4/BNVFE!J$26)</f>
        <v>2.9617714819979007E-4</v>
      </c>
      <c r="K5" s="4">
        <f>BNVFE!K27*('BHNVFEAL-LDVs-psgr'!K$4/BNVFE!K$26)</f>
        <v>2.9501865277875404E-4</v>
      </c>
      <c r="L5" s="4">
        <f>BNVFE!L27*('BHNVFEAL-LDVs-psgr'!L$4/BNVFE!L$26)</f>
        <v>2.9628563881381969E-4</v>
      </c>
      <c r="M5" s="4">
        <f>BNVFE!M27*('BHNVFEAL-LDVs-psgr'!M$4/BNVFE!M$26)</f>
        <v>2.9943434498917379E-4</v>
      </c>
      <c r="N5" s="4">
        <f>BNVFE!N27*('BHNVFEAL-LDVs-psgr'!N$4/BNVFE!N$26)</f>
        <v>3.032263117875041E-4</v>
      </c>
      <c r="O5" s="4">
        <f>BNVFE!O27*('BHNVFEAL-LDVs-psgr'!O$4/BNVFE!O$26)</f>
        <v>3.0430894330896906E-4</v>
      </c>
      <c r="P5" s="4">
        <f>BNVFE!P27*('BHNVFEAL-LDVs-psgr'!P$4/BNVFE!P$26)</f>
        <v>3.0712631273473786E-4</v>
      </c>
      <c r="Q5" s="4">
        <f>BNVFE!Q27*('BHNVFEAL-LDVs-psgr'!Q$4/BNVFE!Q$26)</f>
        <v>3.0931906284310839E-4</v>
      </c>
      <c r="R5" s="4">
        <f>BNVFE!R27*('BHNVFEAL-LDVs-psgr'!R$4/BNVFE!R$26)</f>
        <v>3.1153646058090524E-4</v>
      </c>
      <c r="S5" s="4">
        <f>BNVFE!S27*('BHNVFEAL-LDVs-psgr'!S$4/BNVFE!S$26)</f>
        <v>3.1369634170929224E-4</v>
      </c>
      <c r="T5" s="4">
        <f>BNVFE!T27*('BHNVFEAL-LDVs-psgr'!T$4/BNVFE!T$26)</f>
        <v>3.2115959099210335E-4</v>
      </c>
      <c r="U5" s="4">
        <f>BNVFE!U27*('BHNVFEAL-LDVs-psgr'!U$4/BNVFE!U$26)</f>
        <v>3.2625751365031856E-4</v>
      </c>
      <c r="V5" s="4">
        <f>BNVFE!V27*('BHNVFEAL-LDVs-psgr'!V$4/BNVFE!V$26)</f>
        <v>3.2999474198356824E-4</v>
      </c>
      <c r="W5" s="4">
        <f>BNVFE!W27*('BHNVFEAL-LDVs-psgr'!W$4/BNVFE!W$26)</f>
        <v>3.3017224167339467E-4</v>
      </c>
      <c r="X5" s="4">
        <f>BNVFE!X27*('BHNVFEAL-LDVs-psgr'!X$4/BNVFE!X$26)</f>
        <v>3.3164135947412514E-4</v>
      </c>
      <c r="Y5" s="4">
        <f>BNVFE!Y27*('BHNVFEAL-LDVs-psgr'!Y$4/BNVFE!Y$26)</f>
        <v>3.3281449345546254E-4</v>
      </c>
      <c r="Z5" s="4">
        <f>BNVFE!Z27*('BHNVFEAL-LDVs-psgr'!Z$4/BNVFE!Z$26)</f>
        <v>3.3282240848024131E-4</v>
      </c>
      <c r="AA5" s="4">
        <f>BNVFE!AA27*('BHNVFEAL-LDVs-psgr'!AA$4/BNVFE!AA$26)</f>
        <v>3.3451453466567296E-4</v>
      </c>
      <c r="AB5" s="4">
        <f>BNVFE!AB27*('BHNVFEAL-LDVs-psgr'!AB$4/BNVFE!AB$26)</f>
        <v>3.3509840603503891E-4</v>
      </c>
      <c r="AC5" s="4">
        <f>BNVFE!AC27*('BHNVFEAL-LDVs-psgr'!AC$4/BNVFE!AC$26)</f>
        <v>3.3601284997651642E-4</v>
      </c>
      <c r="AD5" s="4">
        <f>BNVFE!AD27*('BHNVFEAL-LDVs-psgr'!AD$4/BNVFE!AD$26)</f>
        <v>3.3664840640878276E-4</v>
      </c>
      <c r="AE5" s="4">
        <f>BNVFE!AE27*('BHNVFEAL-LDVs-psgr'!AE$4/BNVFE!AE$26)</f>
        <v>3.3693825382057372E-4</v>
      </c>
      <c r="AG5" s="4"/>
      <c r="AH5" s="4"/>
    </row>
    <row r="6" spans="1:34">
      <c r="A6" t="s">
        <v>6</v>
      </c>
      <c r="B6" s="4">
        <f>BNVFE!B28*('BHNVFEAL-LDVs-psgr'!B$4/BNVFE!B$26)</f>
        <v>5.4105816972496333E-4</v>
      </c>
      <c r="C6" s="4">
        <f>BNVFE!C28*('BHNVFEAL-LDVs-psgr'!C$4/BNVFE!C$26)</f>
        <v>4.9565977915893894E-4</v>
      </c>
      <c r="D6" s="4">
        <f>BNVFE!D28*('BHNVFEAL-LDVs-psgr'!D$4/BNVFE!D$26)</f>
        <v>4.9020624248686585E-4</v>
      </c>
      <c r="E6" s="4">
        <f>BNVFE!E28*('BHNVFEAL-LDVs-psgr'!E$4/BNVFE!E$26)</f>
        <v>4.7364988135225239E-4</v>
      </c>
      <c r="F6" s="4">
        <f>BNVFE!F28*('BHNVFEAL-LDVs-psgr'!F$4/BNVFE!F$26)</f>
        <v>4.7687163226917741E-4</v>
      </c>
      <c r="G6" s="4">
        <f>BNVFE!G28*('BHNVFEAL-LDVs-psgr'!G$4/BNVFE!G$26)</f>
        <v>4.9428755154786157E-4</v>
      </c>
      <c r="H6" s="4">
        <f>BNVFE!H28*('BHNVFEAL-LDVs-psgr'!H$4/BNVFE!H$26)</f>
        <v>4.9802378815175144E-4</v>
      </c>
      <c r="I6" s="4">
        <f>BNVFE!I28*('BHNVFEAL-LDVs-psgr'!I$4/BNVFE!I$26)</f>
        <v>5.0003228822829656E-4</v>
      </c>
      <c r="J6" s="4">
        <f>BNVFE!J28*('BHNVFEAL-LDVs-psgr'!J$4/BNVFE!J$26)</f>
        <v>5.0241627271386841E-4</v>
      </c>
      <c r="K6" s="4">
        <f>BNVFE!K28*('BHNVFEAL-LDVs-psgr'!K$4/BNVFE!K$26)</f>
        <v>5.0895755342426571E-4</v>
      </c>
      <c r="L6" s="4">
        <f>BNVFE!L28*('BHNVFEAL-LDVs-psgr'!L$4/BNVFE!L$26)</f>
        <v>5.1251830283888548E-4</v>
      </c>
      <c r="M6" s="4">
        <f>BNVFE!M28*('BHNVFEAL-LDVs-psgr'!M$4/BNVFE!M$26)</f>
        <v>5.1508458204931485E-4</v>
      </c>
      <c r="N6" s="4">
        <f>BNVFE!N28*('BHNVFEAL-LDVs-psgr'!N$4/BNVFE!N$26)</f>
        <v>5.1886914069011985E-4</v>
      </c>
      <c r="O6" s="4">
        <f>BNVFE!O28*('BHNVFEAL-LDVs-psgr'!O$4/BNVFE!O$26)</f>
        <v>5.2258540771789709E-4</v>
      </c>
      <c r="P6" s="4">
        <f>BNVFE!P28*('BHNVFEAL-LDVs-psgr'!P$4/BNVFE!P$26)</f>
        <v>5.2608353977738793E-4</v>
      </c>
      <c r="Q6" s="4">
        <f>BNVFE!Q28*('BHNVFEAL-LDVs-psgr'!Q$4/BNVFE!Q$26)</f>
        <v>5.3356890639418323E-4</v>
      </c>
      <c r="R6" s="4">
        <f>BNVFE!R28*('BHNVFEAL-LDVs-psgr'!R$4/BNVFE!R$26)</f>
        <v>5.3795609032239477E-4</v>
      </c>
      <c r="S6" s="4">
        <f>BNVFE!S28*('BHNVFEAL-LDVs-psgr'!S$4/BNVFE!S$26)</f>
        <v>5.4224962181907569E-4</v>
      </c>
      <c r="T6" s="4">
        <f>BNVFE!T28*('BHNVFEAL-LDVs-psgr'!T$4/BNVFE!T$26)</f>
        <v>5.5436244427742949E-4</v>
      </c>
      <c r="U6" s="4">
        <f>BNVFE!U28*('BHNVFEAL-LDVs-psgr'!U$4/BNVFE!U$26)</f>
        <v>5.6330016268254775E-4</v>
      </c>
      <c r="V6" s="4">
        <f>BNVFE!V28*('BHNVFEAL-LDVs-psgr'!V$4/BNVFE!V$26)</f>
        <v>5.7022344597817411E-4</v>
      </c>
      <c r="W6" s="4">
        <f>BNVFE!W28*('BHNVFEAL-LDVs-psgr'!W$4/BNVFE!W$26)</f>
        <v>5.7052999982485351E-4</v>
      </c>
      <c r="X6" s="4">
        <f>BNVFE!X28*('BHNVFEAL-LDVs-psgr'!X$4/BNVFE!X$26)</f>
        <v>5.7314633692689303E-4</v>
      </c>
      <c r="Y6" s="4">
        <f>BNVFE!Y28*('BHNVFEAL-LDVs-psgr'!Y$4/BNVFE!Y$26)</f>
        <v>5.751160461504941E-4</v>
      </c>
      <c r="Z6" s="4">
        <f>BNVFE!Z28*('BHNVFEAL-LDVs-psgr'!Z$4/BNVFE!Z$26)</f>
        <v>5.7516583413923543E-4</v>
      </c>
      <c r="AA6" s="4">
        <f>BNVFE!AA28*('BHNVFEAL-LDVs-psgr'!AA$4/BNVFE!AA$26)</f>
        <v>5.7800224958287356E-4</v>
      </c>
      <c r="AB6" s="4">
        <f>BNVFE!AB28*('BHNVFEAL-LDVs-psgr'!AB$4/BNVFE!AB$26)</f>
        <v>5.7890639864371268E-4</v>
      </c>
      <c r="AC6" s="4">
        <f>BNVFE!AC28*('BHNVFEAL-LDVs-psgr'!AC$4/BNVFE!AC$26)</f>
        <v>5.8040259615994448E-4</v>
      </c>
      <c r="AD6" s="4">
        <f>BNVFE!AD28*('BHNVFEAL-LDVs-psgr'!AD$4/BNVFE!AD$26)</f>
        <v>5.8141580921291527E-4</v>
      </c>
      <c r="AE6" s="4">
        <f>BNVFE!AE28*('BHNVFEAL-LDVs-psgr'!AE$4/BNVFE!AE$26)</f>
        <v>5.8199839480623709E-4</v>
      </c>
      <c r="AG6" s="4"/>
      <c r="AH6" s="4"/>
    </row>
    <row r="7" spans="1:34">
      <c r="A7" t="s">
        <v>84</v>
      </c>
      <c r="B7" s="4">
        <f>BNVFE!B29*('BHNVFEAL-LDVs-psgr'!B$4/BNVFE!B$26)</f>
        <v>2.9767283013621765E-4</v>
      </c>
      <c r="C7" s="4">
        <f>BNVFE!C29*('BHNVFEAL-LDVs-psgr'!C$4/BNVFE!C$26)</f>
        <v>2.9446341160125543E-4</v>
      </c>
      <c r="D7" s="4">
        <f>BNVFE!D29*('BHNVFEAL-LDVs-psgr'!D$4/BNVFE!D$26)</f>
        <v>3.2682328105658763E-4</v>
      </c>
      <c r="E7" s="4">
        <f>BNVFE!E29*('BHNVFEAL-LDVs-psgr'!E$4/BNVFE!E$26)</f>
        <v>3.310144208647194E-4</v>
      </c>
      <c r="F7" s="4">
        <f>BNVFE!F29*('BHNVFEAL-LDVs-psgr'!F$4/BNVFE!F$26)</f>
        <v>3.3520556067285118E-4</v>
      </c>
      <c r="G7" s="4">
        <f>BNVFE!G29*('BHNVFEAL-LDVs-psgr'!G$4/BNVFE!G$26)</f>
        <v>3.3939670048098295E-4</v>
      </c>
      <c r="H7" s="4">
        <f>BNVFE!H29*('BHNVFEAL-LDVs-psgr'!H$4/BNVFE!H$26)</f>
        <v>3.4358784028911473E-4</v>
      </c>
      <c r="I7" s="4">
        <f>BNVFE!I29*('BHNVFEAL-LDVs-psgr'!I$4/BNVFE!I$26)</f>
        <v>3.477789800972465E-4</v>
      </c>
      <c r="J7" s="4">
        <f>BNVFE!J29*('BHNVFEAL-LDVs-psgr'!J$4/BNVFE!J$26)</f>
        <v>3.5197011990537828E-4</v>
      </c>
      <c r="K7" s="4">
        <f>BNVFE!K29*('BHNVFEAL-LDVs-psgr'!K$4/BNVFE!K$26)</f>
        <v>3.5616125971351005E-4</v>
      </c>
      <c r="L7" s="4">
        <f>BNVFE!L29*('BHNVFEAL-LDVs-psgr'!L$4/BNVFE!L$26)</f>
        <v>3.6035239952164183E-4</v>
      </c>
      <c r="M7" s="4">
        <f>BNVFE!M29*('BHNVFEAL-LDVs-psgr'!M$4/BNVFE!M$26)</f>
        <v>3.645435393297736E-4</v>
      </c>
      <c r="N7" s="4">
        <f>BNVFE!N29*('BHNVFEAL-LDVs-psgr'!N$4/BNVFE!N$26)</f>
        <v>3.6873467913790537E-4</v>
      </c>
      <c r="O7" s="4">
        <f>BNVFE!O29*('BHNVFEAL-LDVs-psgr'!O$4/BNVFE!O$26)</f>
        <v>3.7292581894603715E-4</v>
      </c>
      <c r="P7" s="4">
        <f>BNVFE!P29*('BHNVFEAL-LDVs-psgr'!P$4/BNVFE!P$26)</f>
        <v>3.7711695875416892E-4</v>
      </c>
      <c r="Q7" s="4">
        <f>BNVFE!Q29*('BHNVFEAL-LDVs-psgr'!Q$4/BNVFE!Q$26)</f>
        <v>3.813080985623007E-4</v>
      </c>
      <c r="R7" s="4">
        <f>BNVFE!R29*('BHNVFEAL-LDVs-psgr'!R$4/BNVFE!R$26)</f>
        <v>3.8549923837043247E-4</v>
      </c>
      <c r="S7" s="4">
        <f>BNVFE!S29*('BHNVFEAL-LDVs-psgr'!S$4/BNVFE!S$26)</f>
        <v>3.8969037817856381E-4</v>
      </c>
      <c r="T7" s="4">
        <f>BNVFE!T29*('BHNVFEAL-LDVs-psgr'!T$4/BNVFE!T$26)</f>
        <v>3.9985001436006255E-4</v>
      </c>
      <c r="U7" s="4">
        <f>BNVFE!U29*('BHNVFEAL-LDVs-psgr'!U$4/BNVFE!U$26)</f>
        <v>4.0645495978422236E-4</v>
      </c>
      <c r="V7" s="4">
        <f>BNVFE!V29*('BHNVFEAL-LDVs-psgr'!V$4/BNVFE!V$26)</f>
        <v>4.1222868457836193E-4</v>
      </c>
      <c r="W7" s="4">
        <f>BNVFE!W29*('BHNVFEAL-LDVs-psgr'!W$4/BNVFE!W$26)</f>
        <v>4.1315950014361388E-4</v>
      </c>
      <c r="X7" s="4">
        <f>BNVFE!X29*('BHNVFEAL-LDVs-psgr'!X$4/BNVFE!X$26)</f>
        <v>4.1586031572729884E-4</v>
      </c>
      <c r="Y7" s="4">
        <f>BNVFE!Y29*('BHNVFEAL-LDVs-psgr'!Y$4/BNVFE!Y$26)</f>
        <v>4.1791006177450995E-4</v>
      </c>
      <c r="Z7" s="4">
        <f>BNVFE!Z29*('BHNVFEAL-LDVs-psgr'!Z$4/BNVFE!Z$26)</f>
        <v>4.1868747861134429E-4</v>
      </c>
      <c r="AA7" s="4">
        <f>BNVFE!AA29*('BHNVFEAL-LDVs-psgr'!AA$4/BNVFE!AA$26)</f>
        <v>4.2132009406936789E-4</v>
      </c>
      <c r="AB7" s="4">
        <f>BNVFE!AB29*('BHNVFEAL-LDVs-psgr'!AB$4/BNVFE!AB$26)</f>
        <v>4.224153063913546E-4</v>
      </c>
      <c r="AC7" s="4">
        <f>BNVFE!AC29*('BHNVFEAL-LDVs-psgr'!AC$4/BNVFE!AC$26)</f>
        <v>4.2414977562549528E-4</v>
      </c>
      <c r="AD7" s="4">
        <f>BNVFE!AD29*('BHNVFEAL-LDVs-psgr'!AD$4/BNVFE!AD$26)</f>
        <v>4.2551597947059568E-4</v>
      </c>
      <c r="AE7" s="4">
        <f>BNVFE!AE29*('BHNVFEAL-LDVs-psgr'!AE$4/BNVFE!AE$26)</f>
        <v>4.2699017471707065E-4</v>
      </c>
      <c r="AG7" s="4"/>
      <c r="AH7" s="4"/>
    </row>
    <row r="8" spans="1:34">
      <c r="A8" t="s">
        <v>85</v>
      </c>
      <c r="B8" s="4">
        <f>SYFAFE!$H$2</f>
        <v>9.5477617242703441E-4</v>
      </c>
      <c r="C8" s="4">
        <f t="shared" ref="C8:AE8" si="0">B8</f>
        <v>9.5477617242703441E-4</v>
      </c>
      <c r="D8" s="4">
        <f t="shared" si="0"/>
        <v>9.5477617242703441E-4</v>
      </c>
      <c r="E8" s="4">
        <f t="shared" si="0"/>
        <v>9.5477617242703441E-4</v>
      </c>
      <c r="F8" s="4">
        <f t="shared" si="0"/>
        <v>9.5477617242703441E-4</v>
      </c>
      <c r="G8" s="4">
        <f t="shared" si="0"/>
        <v>9.5477617242703441E-4</v>
      </c>
      <c r="H8" s="4">
        <f t="shared" si="0"/>
        <v>9.5477617242703441E-4</v>
      </c>
      <c r="I8" s="4">
        <f t="shared" si="0"/>
        <v>9.5477617242703441E-4</v>
      </c>
      <c r="J8" s="4">
        <f t="shared" si="0"/>
        <v>9.5477617242703441E-4</v>
      </c>
      <c r="K8" s="4">
        <f t="shared" si="0"/>
        <v>9.5477617242703441E-4</v>
      </c>
      <c r="L8" s="4">
        <f t="shared" si="0"/>
        <v>9.5477617242703441E-4</v>
      </c>
      <c r="M8" s="4">
        <f t="shared" si="0"/>
        <v>9.5477617242703441E-4</v>
      </c>
      <c r="N8" s="4">
        <f t="shared" si="0"/>
        <v>9.5477617242703441E-4</v>
      </c>
      <c r="O8" s="4">
        <f t="shared" si="0"/>
        <v>9.5477617242703441E-4</v>
      </c>
      <c r="P8" s="4">
        <f t="shared" si="0"/>
        <v>9.5477617242703441E-4</v>
      </c>
      <c r="Q8" s="4">
        <f t="shared" si="0"/>
        <v>9.5477617242703441E-4</v>
      </c>
      <c r="R8" s="4">
        <f t="shared" si="0"/>
        <v>9.5477617242703441E-4</v>
      </c>
      <c r="S8" s="4">
        <f t="shared" si="0"/>
        <v>9.5477617242703441E-4</v>
      </c>
      <c r="T8" s="4">
        <f t="shared" si="0"/>
        <v>9.5477617242703441E-4</v>
      </c>
      <c r="U8" s="4">
        <f t="shared" si="0"/>
        <v>9.5477617242703441E-4</v>
      </c>
      <c r="V8" s="4">
        <f t="shared" si="0"/>
        <v>9.5477617242703441E-4</v>
      </c>
      <c r="W8" s="4">
        <f t="shared" si="0"/>
        <v>9.5477617242703441E-4</v>
      </c>
      <c r="X8" s="4">
        <f t="shared" si="0"/>
        <v>9.5477617242703441E-4</v>
      </c>
      <c r="Y8" s="4">
        <f t="shared" si="0"/>
        <v>9.5477617242703441E-4</v>
      </c>
      <c r="Z8" s="4">
        <f t="shared" si="0"/>
        <v>9.5477617242703441E-4</v>
      </c>
      <c r="AA8" s="4">
        <f t="shared" si="0"/>
        <v>9.5477617242703441E-4</v>
      </c>
      <c r="AB8" s="4">
        <f t="shared" si="0"/>
        <v>9.5477617242703441E-4</v>
      </c>
      <c r="AC8" s="4">
        <f t="shared" si="0"/>
        <v>9.5477617242703441E-4</v>
      </c>
      <c r="AD8" s="4">
        <f t="shared" si="0"/>
        <v>9.5477617242703441E-4</v>
      </c>
      <c r="AE8" s="4">
        <f t="shared" si="0"/>
        <v>9.5477617242703441E-4</v>
      </c>
      <c r="AG8" s="4"/>
      <c r="AH8" s="4"/>
    </row>
    <row r="10" spans="1:34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4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TRANSPOSE(SYFAFE!B10:H10)</f>
        <v>3.0156650473713915E-4</v>
      </c>
      <c r="C2" s="4">
        <f>B2</f>
        <v>3.0156650473713915E-4</v>
      </c>
      <c r="D2" s="4">
        <f t="shared" ref="D2:AE8" si="0">C2</f>
        <v>3.0156650473713915E-4</v>
      </c>
      <c r="E2" s="4">
        <f t="shared" si="0"/>
        <v>3.0156650473713915E-4</v>
      </c>
      <c r="F2" s="4">
        <f t="shared" si="0"/>
        <v>3.0156650473713915E-4</v>
      </c>
      <c r="G2" s="4">
        <f t="shared" si="0"/>
        <v>3.0156650473713915E-4</v>
      </c>
      <c r="H2" s="4">
        <f t="shared" si="0"/>
        <v>3.0156650473713915E-4</v>
      </c>
      <c r="I2" s="4">
        <f t="shared" si="0"/>
        <v>3.0156650473713915E-4</v>
      </c>
      <c r="J2" s="4">
        <f t="shared" si="0"/>
        <v>3.0156650473713915E-4</v>
      </c>
      <c r="K2" s="4">
        <f t="shared" si="0"/>
        <v>3.0156650473713915E-4</v>
      </c>
      <c r="L2" s="4">
        <f t="shared" si="0"/>
        <v>3.0156650473713915E-4</v>
      </c>
      <c r="M2" s="4">
        <f t="shared" si="0"/>
        <v>3.0156650473713915E-4</v>
      </c>
      <c r="N2" s="4">
        <f t="shared" si="0"/>
        <v>3.0156650473713915E-4</v>
      </c>
      <c r="O2" s="4">
        <f t="shared" si="0"/>
        <v>3.0156650473713915E-4</v>
      </c>
      <c r="P2" s="4">
        <f t="shared" si="0"/>
        <v>3.0156650473713915E-4</v>
      </c>
      <c r="Q2" s="4">
        <f t="shared" si="0"/>
        <v>3.0156650473713915E-4</v>
      </c>
      <c r="R2" s="4">
        <f t="shared" si="0"/>
        <v>3.0156650473713915E-4</v>
      </c>
      <c r="S2" s="4">
        <f t="shared" si="0"/>
        <v>3.0156650473713915E-4</v>
      </c>
      <c r="T2" s="4">
        <f t="shared" si="0"/>
        <v>3.0156650473713915E-4</v>
      </c>
      <c r="U2" s="4">
        <f t="shared" si="0"/>
        <v>3.0156650473713915E-4</v>
      </c>
      <c r="V2" s="4">
        <f t="shared" si="0"/>
        <v>3.0156650473713915E-4</v>
      </c>
      <c r="W2" s="4">
        <f t="shared" si="0"/>
        <v>3.0156650473713915E-4</v>
      </c>
      <c r="X2" s="4">
        <f t="shared" si="0"/>
        <v>3.0156650473713915E-4</v>
      </c>
      <c r="Y2" s="4">
        <f t="shared" si="0"/>
        <v>3.0156650473713915E-4</v>
      </c>
      <c r="Z2" s="4">
        <f t="shared" si="0"/>
        <v>3.0156650473713915E-4</v>
      </c>
      <c r="AA2" s="4">
        <f t="shared" si="0"/>
        <v>3.0156650473713915E-4</v>
      </c>
      <c r="AB2" s="4">
        <f t="shared" si="0"/>
        <v>3.0156650473713915E-4</v>
      </c>
      <c r="AC2" s="4">
        <f t="shared" si="0"/>
        <v>3.0156650473713915E-4</v>
      </c>
      <c r="AD2" s="4">
        <f t="shared" si="0"/>
        <v>3.0156650473713915E-4</v>
      </c>
      <c r="AE2" s="4">
        <f t="shared" si="0"/>
        <v>3.0156650473713915E-4</v>
      </c>
      <c r="AG2" s="4"/>
      <c r="AH2" s="4"/>
    </row>
    <row r="3" spans="1:34">
      <c r="A3" t="s">
        <v>3</v>
      </c>
      <c r="B3" s="4">
        <v>7.0213473556835903E-5</v>
      </c>
      <c r="C3" s="4">
        <f t="shared" ref="C3:C8" si="1">B3</f>
        <v>7.0213473556835903E-5</v>
      </c>
      <c r="D3" s="4">
        <f t="shared" ref="D3:Q3" si="2">C3</f>
        <v>7.0213473556835903E-5</v>
      </c>
      <c r="E3" s="4">
        <f t="shared" si="2"/>
        <v>7.0213473556835903E-5</v>
      </c>
      <c r="F3" s="4">
        <f t="shared" si="2"/>
        <v>7.0213473556835903E-5</v>
      </c>
      <c r="G3" s="4">
        <f t="shared" si="2"/>
        <v>7.0213473556835903E-5</v>
      </c>
      <c r="H3" s="4">
        <f t="shared" si="2"/>
        <v>7.0213473556835903E-5</v>
      </c>
      <c r="I3" s="4">
        <f t="shared" si="2"/>
        <v>7.0213473556835903E-5</v>
      </c>
      <c r="J3" s="4">
        <f t="shared" si="2"/>
        <v>7.0213473556835903E-5</v>
      </c>
      <c r="K3" s="4">
        <f t="shared" si="2"/>
        <v>7.0213473556835903E-5</v>
      </c>
      <c r="L3" s="4">
        <f t="shared" si="2"/>
        <v>7.0213473556835903E-5</v>
      </c>
      <c r="M3" s="4">
        <f t="shared" si="2"/>
        <v>7.0213473556835903E-5</v>
      </c>
      <c r="N3" s="4">
        <f t="shared" si="2"/>
        <v>7.0213473556835903E-5</v>
      </c>
      <c r="O3" s="4">
        <f t="shared" si="2"/>
        <v>7.0213473556835903E-5</v>
      </c>
      <c r="P3" s="4">
        <f t="shared" si="2"/>
        <v>7.0213473556835903E-5</v>
      </c>
      <c r="Q3" s="4">
        <f t="shared" si="2"/>
        <v>7.0213473556835903E-5</v>
      </c>
      <c r="R3" s="4">
        <f t="shared" si="0"/>
        <v>7.0213473556835903E-5</v>
      </c>
      <c r="S3" s="4">
        <f t="shared" si="0"/>
        <v>7.0213473556835903E-5</v>
      </c>
      <c r="T3" s="4">
        <f t="shared" si="0"/>
        <v>7.0213473556835903E-5</v>
      </c>
      <c r="U3" s="4">
        <f t="shared" si="0"/>
        <v>7.0213473556835903E-5</v>
      </c>
      <c r="V3" s="4">
        <f t="shared" si="0"/>
        <v>7.0213473556835903E-5</v>
      </c>
      <c r="W3" s="4">
        <f t="shared" si="0"/>
        <v>7.0213473556835903E-5</v>
      </c>
      <c r="X3" s="4">
        <f t="shared" si="0"/>
        <v>7.0213473556835903E-5</v>
      </c>
      <c r="Y3" s="4">
        <f t="shared" si="0"/>
        <v>7.0213473556835903E-5</v>
      </c>
      <c r="Z3" s="4">
        <f t="shared" si="0"/>
        <v>7.0213473556835903E-5</v>
      </c>
      <c r="AA3" s="4">
        <f t="shared" si="0"/>
        <v>7.0213473556835903E-5</v>
      </c>
      <c r="AB3" s="4">
        <f t="shared" si="0"/>
        <v>7.0213473556835903E-5</v>
      </c>
      <c r="AC3" s="4">
        <f t="shared" si="0"/>
        <v>7.0213473556835903E-5</v>
      </c>
      <c r="AD3" s="4">
        <f t="shared" si="0"/>
        <v>7.0213473556835903E-5</v>
      </c>
      <c r="AE3" s="4">
        <f t="shared" si="0"/>
        <v>7.0213473556835903E-5</v>
      </c>
      <c r="AG3" s="4"/>
      <c r="AH3" s="4"/>
    </row>
    <row r="4" spans="1:34">
      <c r="A4" t="s">
        <v>4</v>
      </c>
      <c r="B4" s="4">
        <v>9.3322264163941547E-5</v>
      </c>
      <c r="C4" s="4">
        <f t="shared" si="1"/>
        <v>9.3322264163941547E-5</v>
      </c>
      <c r="D4" s="4">
        <f t="shared" si="0"/>
        <v>9.3322264163941547E-5</v>
      </c>
      <c r="E4" s="4">
        <f t="shared" si="0"/>
        <v>9.3322264163941547E-5</v>
      </c>
      <c r="F4" s="4">
        <f t="shared" si="0"/>
        <v>9.3322264163941547E-5</v>
      </c>
      <c r="G4" s="4">
        <f t="shared" si="0"/>
        <v>9.3322264163941547E-5</v>
      </c>
      <c r="H4" s="4">
        <f t="shared" si="0"/>
        <v>9.3322264163941547E-5</v>
      </c>
      <c r="I4" s="4">
        <f t="shared" si="0"/>
        <v>9.3322264163941547E-5</v>
      </c>
      <c r="J4" s="4">
        <f t="shared" si="0"/>
        <v>9.3322264163941547E-5</v>
      </c>
      <c r="K4" s="4">
        <f t="shared" si="0"/>
        <v>9.3322264163941547E-5</v>
      </c>
      <c r="L4" s="4">
        <f t="shared" si="0"/>
        <v>9.3322264163941547E-5</v>
      </c>
      <c r="M4" s="4">
        <f t="shared" si="0"/>
        <v>9.3322264163941547E-5</v>
      </c>
      <c r="N4" s="4">
        <f t="shared" si="0"/>
        <v>9.3322264163941547E-5</v>
      </c>
      <c r="O4" s="4">
        <f t="shared" si="0"/>
        <v>9.3322264163941547E-5</v>
      </c>
      <c r="P4" s="4">
        <f t="shared" si="0"/>
        <v>9.3322264163941547E-5</v>
      </c>
      <c r="Q4" s="4">
        <f t="shared" si="0"/>
        <v>9.3322264163941547E-5</v>
      </c>
      <c r="R4" s="4">
        <f t="shared" si="0"/>
        <v>9.3322264163941547E-5</v>
      </c>
      <c r="S4" s="4">
        <f t="shared" si="0"/>
        <v>9.3322264163941547E-5</v>
      </c>
      <c r="T4" s="4">
        <f t="shared" si="0"/>
        <v>9.3322264163941547E-5</v>
      </c>
      <c r="U4" s="4">
        <f t="shared" si="0"/>
        <v>9.3322264163941547E-5</v>
      </c>
      <c r="V4" s="4">
        <f t="shared" si="0"/>
        <v>9.3322264163941547E-5</v>
      </c>
      <c r="W4" s="4">
        <f t="shared" si="0"/>
        <v>9.3322264163941547E-5</v>
      </c>
      <c r="X4" s="4">
        <f t="shared" si="0"/>
        <v>9.3322264163941547E-5</v>
      </c>
      <c r="Y4" s="4">
        <f t="shared" si="0"/>
        <v>9.3322264163941547E-5</v>
      </c>
      <c r="Z4" s="4">
        <f t="shared" si="0"/>
        <v>9.3322264163941547E-5</v>
      </c>
      <c r="AA4" s="4">
        <f t="shared" si="0"/>
        <v>9.3322264163941547E-5</v>
      </c>
      <c r="AB4" s="4">
        <f t="shared" si="0"/>
        <v>9.3322264163941547E-5</v>
      </c>
      <c r="AC4" s="4">
        <f t="shared" si="0"/>
        <v>9.3322264163941547E-5</v>
      </c>
      <c r="AD4" s="4">
        <f t="shared" si="0"/>
        <v>9.3322264163941547E-5</v>
      </c>
      <c r="AE4" s="4">
        <f t="shared" si="0"/>
        <v>9.3322264163941547E-5</v>
      </c>
      <c r="AG4" s="4"/>
      <c r="AH4" s="4"/>
    </row>
    <row r="5" spans="1:34">
      <c r="A5" t="s">
        <v>5</v>
      </c>
      <c r="B5" s="4">
        <v>8.9590243650741159E-5</v>
      </c>
      <c r="C5" s="4">
        <f t="shared" si="1"/>
        <v>8.9590243650741159E-5</v>
      </c>
      <c r="D5" s="4">
        <f t="shared" si="0"/>
        <v>8.9590243650741159E-5</v>
      </c>
      <c r="E5" s="4">
        <f t="shared" si="0"/>
        <v>8.9590243650741159E-5</v>
      </c>
      <c r="F5" s="4">
        <f t="shared" si="0"/>
        <v>8.9590243650741159E-5</v>
      </c>
      <c r="G5" s="4">
        <f t="shared" si="0"/>
        <v>8.9590243650741159E-5</v>
      </c>
      <c r="H5" s="4">
        <f t="shared" si="0"/>
        <v>8.9590243650741159E-5</v>
      </c>
      <c r="I5" s="4">
        <f t="shared" si="0"/>
        <v>8.9590243650741159E-5</v>
      </c>
      <c r="J5" s="4">
        <f t="shared" si="0"/>
        <v>8.9590243650741159E-5</v>
      </c>
      <c r="K5" s="4">
        <f t="shared" si="0"/>
        <v>8.9590243650741159E-5</v>
      </c>
      <c r="L5" s="4">
        <f t="shared" si="0"/>
        <v>8.9590243650741159E-5</v>
      </c>
      <c r="M5" s="4">
        <f t="shared" si="0"/>
        <v>8.9590243650741159E-5</v>
      </c>
      <c r="N5" s="4">
        <f t="shared" si="0"/>
        <v>8.9590243650741159E-5</v>
      </c>
      <c r="O5" s="4">
        <f t="shared" si="0"/>
        <v>8.9590243650741159E-5</v>
      </c>
      <c r="P5" s="4">
        <f t="shared" si="0"/>
        <v>8.9590243650741159E-5</v>
      </c>
      <c r="Q5" s="4">
        <f t="shared" si="0"/>
        <v>8.9590243650741159E-5</v>
      </c>
      <c r="R5" s="4">
        <f t="shared" si="0"/>
        <v>8.9590243650741159E-5</v>
      </c>
      <c r="S5" s="4">
        <f t="shared" si="0"/>
        <v>8.9590243650741159E-5</v>
      </c>
      <c r="T5" s="4">
        <f t="shared" si="0"/>
        <v>8.9590243650741159E-5</v>
      </c>
      <c r="U5" s="4">
        <f t="shared" si="0"/>
        <v>8.9590243650741159E-5</v>
      </c>
      <c r="V5" s="4">
        <f t="shared" si="0"/>
        <v>8.9590243650741159E-5</v>
      </c>
      <c r="W5" s="4">
        <f t="shared" si="0"/>
        <v>8.9590243650741159E-5</v>
      </c>
      <c r="X5" s="4">
        <f t="shared" si="0"/>
        <v>8.9590243650741159E-5</v>
      </c>
      <c r="Y5" s="4">
        <f t="shared" si="0"/>
        <v>8.9590243650741159E-5</v>
      </c>
      <c r="Z5" s="4">
        <f t="shared" si="0"/>
        <v>8.9590243650741159E-5</v>
      </c>
      <c r="AA5" s="4">
        <f t="shared" si="0"/>
        <v>8.9590243650741159E-5</v>
      </c>
      <c r="AB5" s="4">
        <f t="shared" si="0"/>
        <v>8.9590243650741159E-5</v>
      </c>
      <c r="AC5" s="4">
        <f t="shared" si="0"/>
        <v>8.9590243650741159E-5</v>
      </c>
      <c r="AD5" s="4">
        <f t="shared" si="0"/>
        <v>8.9590243650741159E-5</v>
      </c>
      <c r="AE5" s="4">
        <f t="shared" si="0"/>
        <v>8.9590243650741159E-5</v>
      </c>
      <c r="AG5" s="4"/>
      <c r="AH5" s="4"/>
    </row>
    <row r="6" spans="1:34">
      <c r="A6" t="s">
        <v>6</v>
      </c>
      <c r="B6" s="4">
        <v>1.5342859945717928E-4</v>
      </c>
      <c r="C6" s="4">
        <f t="shared" si="1"/>
        <v>1.5342859945717928E-4</v>
      </c>
      <c r="D6" s="4">
        <f t="shared" si="0"/>
        <v>1.5342859945717928E-4</v>
      </c>
      <c r="E6" s="4">
        <f t="shared" si="0"/>
        <v>1.5342859945717928E-4</v>
      </c>
      <c r="F6" s="4">
        <f t="shared" si="0"/>
        <v>1.5342859945717928E-4</v>
      </c>
      <c r="G6" s="4">
        <f t="shared" si="0"/>
        <v>1.5342859945717928E-4</v>
      </c>
      <c r="H6" s="4">
        <f t="shared" si="0"/>
        <v>1.5342859945717928E-4</v>
      </c>
      <c r="I6" s="4">
        <f t="shared" si="0"/>
        <v>1.5342859945717928E-4</v>
      </c>
      <c r="J6" s="4">
        <f t="shared" si="0"/>
        <v>1.5342859945717928E-4</v>
      </c>
      <c r="K6" s="4">
        <f t="shared" si="0"/>
        <v>1.5342859945717928E-4</v>
      </c>
      <c r="L6" s="4">
        <f t="shared" si="0"/>
        <v>1.5342859945717928E-4</v>
      </c>
      <c r="M6" s="4">
        <f t="shared" si="0"/>
        <v>1.5342859945717928E-4</v>
      </c>
      <c r="N6" s="4">
        <f t="shared" si="0"/>
        <v>1.5342859945717928E-4</v>
      </c>
      <c r="O6" s="4">
        <f t="shared" si="0"/>
        <v>1.5342859945717928E-4</v>
      </c>
      <c r="P6" s="4">
        <f t="shared" si="0"/>
        <v>1.5342859945717928E-4</v>
      </c>
      <c r="Q6" s="4">
        <f t="shared" si="0"/>
        <v>1.5342859945717928E-4</v>
      </c>
      <c r="R6" s="4">
        <f t="shared" si="0"/>
        <v>1.5342859945717928E-4</v>
      </c>
      <c r="S6" s="4">
        <f t="shared" si="0"/>
        <v>1.5342859945717928E-4</v>
      </c>
      <c r="T6" s="4">
        <f t="shared" si="0"/>
        <v>1.5342859945717928E-4</v>
      </c>
      <c r="U6" s="4">
        <f t="shared" si="0"/>
        <v>1.5342859945717928E-4</v>
      </c>
      <c r="V6" s="4">
        <f t="shared" si="0"/>
        <v>1.5342859945717928E-4</v>
      </c>
      <c r="W6" s="4">
        <f t="shared" si="0"/>
        <v>1.5342859945717928E-4</v>
      </c>
      <c r="X6" s="4">
        <f t="shared" si="0"/>
        <v>1.5342859945717928E-4</v>
      </c>
      <c r="Y6" s="4">
        <f t="shared" si="0"/>
        <v>1.5342859945717928E-4</v>
      </c>
      <c r="Z6" s="4">
        <f t="shared" si="0"/>
        <v>1.5342859945717928E-4</v>
      </c>
      <c r="AA6" s="4">
        <f t="shared" si="0"/>
        <v>1.5342859945717928E-4</v>
      </c>
      <c r="AB6" s="4">
        <f t="shared" si="0"/>
        <v>1.5342859945717928E-4</v>
      </c>
      <c r="AC6" s="4">
        <f t="shared" si="0"/>
        <v>1.5342859945717928E-4</v>
      </c>
      <c r="AD6" s="4">
        <f t="shared" si="0"/>
        <v>1.5342859945717928E-4</v>
      </c>
      <c r="AE6" s="4">
        <f t="shared" si="0"/>
        <v>1.5342859945717928E-4</v>
      </c>
      <c r="AG6" s="4"/>
      <c r="AH6" s="4"/>
    </row>
    <row r="7" spans="1:34">
      <c r="A7" t="s">
        <v>84</v>
      </c>
      <c r="B7" s="4">
        <v>1.1549320628198341E-4</v>
      </c>
      <c r="C7" s="4">
        <f t="shared" si="1"/>
        <v>1.1549320628198341E-4</v>
      </c>
      <c r="D7" s="4">
        <f t="shared" si="0"/>
        <v>1.1549320628198341E-4</v>
      </c>
      <c r="E7" s="4">
        <f t="shared" si="0"/>
        <v>1.1549320628198341E-4</v>
      </c>
      <c r="F7" s="4">
        <f t="shared" si="0"/>
        <v>1.1549320628198341E-4</v>
      </c>
      <c r="G7" s="4">
        <f t="shared" si="0"/>
        <v>1.1549320628198341E-4</v>
      </c>
      <c r="H7" s="4">
        <f t="shared" si="0"/>
        <v>1.1549320628198341E-4</v>
      </c>
      <c r="I7" s="4">
        <f t="shared" si="0"/>
        <v>1.1549320628198341E-4</v>
      </c>
      <c r="J7" s="4">
        <f t="shared" si="0"/>
        <v>1.1549320628198341E-4</v>
      </c>
      <c r="K7" s="4">
        <f t="shared" si="0"/>
        <v>1.1549320628198341E-4</v>
      </c>
      <c r="L7" s="4">
        <f t="shared" si="0"/>
        <v>1.1549320628198341E-4</v>
      </c>
      <c r="M7" s="4">
        <f t="shared" si="0"/>
        <v>1.1549320628198341E-4</v>
      </c>
      <c r="N7" s="4">
        <f t="shared" si="0"/>
        <v>1.1549320628198341E-4</v>
      </c>
      <c r="O7" s="4">
        <f t="shared" si="0"/>
        <v>1.1549320628198341E-4</v>
      </c>
      <c r="P7" s="4">
        <f t="shared" si="0"/>
        <v>1.1549320628198341E-4</v>
      </c>
      <c r="Q7" s="4">
        <f t="shared" si="0"/>
        <v>1.1549320628198341E-4</v>
      </c>
      <c r="R7" s="4">
        <f t="shared" si="0"/>
        <v>1.1549320628198341E-4</v>
      </c>
      <c r="S7" s="4">
        <f t="shared" si="0"/>
        <v>1.1549320628198341E-4</v>
      </c>
      <c r="T7" s="4">
        <f t="shared" si="0"/>
        <v>1.1549320628198341E-4</v>
      </c>
      <c r="U7" s="4">
        <f t="shared" si="0"/>
        <v>1.1549320628198341E-4</v>
      </c>
      <c r="V7" s="4">
        <f t="shared" si="0"/>
        <v>1.1549320628198341E-4</v>
      </c>
      <c r="W7" s="4">
        <f t="shared" si="0"/>
        <v>1.1549320628198341E-4</v>
      </c>
      <c r="X7" s="4">
        <f t="shared" si="0"/>
        <v>1.1549320628198341E-4</v>
      </c>
      <c r="Y7" s="4">
        <f t="shared" si="0"/>
        <v>1.1549320628198341E-4</v>
      </c>
      <c r="Z7" s="4">
        <f t="shared" si="0"/>
        <v>1.1549320628198341E-4</v>
      </c>
      <c r="AA7" s="4">
        <f t="shared" si="0"/>
        <v>1.1549320628198341E-4</v>
      </c>
      <c r="AB7" s="4">
        <f t="shared" si="0"/>
        <v>1.1549320628198341E-4</v>
      </c>
      <c r="AC7" s="4">
        <f t="shared" si="0"/>
        <v>1.1549320628198341E-4</v>
      </c>
      <c r="AD7" s="4">
        <f t="shared" si="0"/>
        <v>1.1549320628198341E-4</v>
      </c>
      <c r="AE7" s="4">
        <f t="shared" si="0"/>
        <v>1.1549320628198341E-4</v>
      </c>
      <c r="AG7" s="4"/>
      <c r="AH7" s="4"/>
    </row>
    <row r="8" spans="1:34">
      <c r="A8" t="s">
        <v>85</v>
      </c>
      <c r="B8" s="4">
        <v>8.379890176963306E-5</v>
      </c>
      <c r="C8" s="4">
        <f t="shared" si="1"/>
        <v>8.379890176963306E-5</v>
      </c>
      <c r="D8" s="4">
        <f t="shared" si="0"/>
        <v>8.379890176963306E-5</v>
      </c>
      <c r="E8" s="4">
        <f t="shared" si="0"/>
        <v>8.379890176963306E-5</v>
      </c>
      <c r="F8" s="4">
        <f t="shared" si="0"/>
        <v>8.379890176963306E-5</v>
      </c>
      <c r="G8" s="4">
        <f t="shared" si="0"/>
        <v>8.379890176963306E-5</v>
      </c>
      <c r="H8" s="4">
        <f t="shared" si="0"/>
        <v>8.379890176963306E-5</v>
      </c>
      <c r="I8" s="4">
        <f t="shared" si="0"/>
        <v>8.379890176963306E-5</v>
      </c>
      <c r="J8" s="4">
        <f t="shared" si="0"/>
        <v>8.379890176963306E-5</v>
      </c>
      <c r="K8" s="4">
        <f t="shared" si="0"/>
        <v>8.379890176963306E-5</v>
      </c>
      <c r="L8" s="4">
        <f t="shared" si="0"/>
        <v>8.379890176963306E-5</v>
      </c>
      <c r="M8" s="4">
        <f t="shared" si="0"/>
        <v>8.379890176963306E-5</v>
      </c>
      <c r="N8" s="4">
        <f t="shared" si="0"/>
        <v>8.379890176963306E-5</v>
      </c>
      <c r="O8" s="4">
        <f t="shared" si="0"/>
        <v>8.379890176963306E-5</v>
      </c>
      <c r="P8" s="4">
        <f t="shared" si="0"/>
        <v>8.379890176963306E-5</v>
      </c>
      <c r="Q8" s="4">
        <f t="shared" si="0"/>
        <v>8.379890176963306E-5</v>
      </c>
      <c r="R8" s="4">
        <f t="shared" si="0"/>
        <v>8.379890176963306E-5</v>
      </c>
      <c r="S8" s="4">
        <f t="shared" si="0"/>
        <v>8.379890176963306E-5</v>
      </c>
      <c r="T8" s="4">
        <f t="shared" si="0"/>
        <v>8.379890176963306E-5</v>
      </c>
      <c r="U8" s="4">
        <f t="shared" si="0"/>
        <v>8.379890176963306E-5</v>
      </c>
      <c r="V8" s="4">
        <f t="shared" si="0"/>
        <v>8.379890176963306E-5</v>
      </c>
      <c r="W8" s="4">
        <f t="shared" si="0"/>
        <v>8.379890176963306E-5</v>
      </c>
      <c r="X8" s="4">
        <f t="shared" si="0"/>
        <v>8.379890176963306E-5</v>
      </c>
      <c r="Y8" s="4">
        <f t="shared" si="0"/>
        <v>8.379890176963306E-5</v>
      </c>
      <c r="Z8" s="4">
        <f t="shared" si="0"/>
        <v>8.379890176963306E-5</v>
      </c>
      <c r="AA8" s="4">
        <f t="shared" si="0"/>
        <v>8.379890176963306E-5</v>
      </c>
      <c r="AB8" s="4">
        <f t="shared" si="0"/>
        <v>8.379890176963306E-5</v>
      </c>
      <c r="AC8" s="4">
        <f t="shared" si="0"/>
        <v>8.379890176963306E-5</v>
      </c>
      <c r="AD8" s="4">
        <f t="shared" si="0"/>
        <v>8.379890176963306E-5</v>
      </c>
      <c r="AE8" s="4">
        <f t="shared" si="0"/>
        <v>8.379890176963306E-5</v>
      </c>
      <c r="AG8" s="4"/>
      <c r="AH8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4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TRANSPOSE(SYFAFE!B3:H3)</f>
        <v>3.3199658675940884E-3</v>
      </c>
      <c r="C2" s="4">
        <f>B2</f>
        <v>3.3199658675940884E-3</v>
      </c>
      <c r="D2" s="4">
        <f t="shared" ref="D2:AE8" si="0">C2</f>
        <v>3.3199658675940884E-3</v>
      </c>
      <c r="E2" s="4">
        <f t="shared" si="0"/>
        <v>3.3199658675940884E-3</v>
      </c>
      <c r="F2" s="4">
        <f t="shared" si="0"/>
        <v>3.3199658675940884E-3</v>
      </c>
      <c r="G2" s="4">
        <f t="shared" si="0"/>
        <v>3.3199658675940884E-3</v>
      </c>
      <c r="H2" s="4">
        <f t="shared" si="0"/>
        <v>3.3199658675940884E-3</v>
      </c>
      <c r="I2" s="4">
        <f t="shared" si="0"/>
        <v>3.3199658675940884E-3</v>
      </c>
      <c r="J2" s="4">
        <f t="shared" si="0"/>
        <v>3.3199658675940884E-3</v>
      </c>
      <c r="K2" s="4">
        <f t="shared" si="0"/>
        <v>3.3199658675940884E-3</v>
      </c>
      <c r="L2" s="4">
        <f t="shared" si="0"/>
        <v>3.3199658675940884E-3</v>
      </c>
      <c r="M2" s="4">
        <f t="shared" si="0"/>
        <v>3.3199658675940884E-3</v>
      </c>
      <c r="N2" s="4">
        <f t="shared" si="0"/>
        <v>3.3199658675940884E-3</v>
      </c>
      <c r="O2" s="4">
        <f t="shared" si="0"/>
        <v>3.3199658675940884E-3</v>
      </c>
      <c r="P2" s="4">
        <f t="shared" si="0"/>
        <v>3.3199658675940884E-3</v>
      </c>
      <c r="Q2" s="4">
        <f t="shared" si="0"/>
        <v>3.3199658675940884E-3</v>
      </c>
      <c r="R2" s="4">
        <f t="shared" si="0"/>
        <v>3.3199658675940884E-3</v>
      </c>
      <c r="S2" s="4">
        <f t="shared" si="0"/>
        <v>3.3199658675940884E-3</v>
      </c>
      <c r="T2" s="4">
        <f t="shared" si="0"/>
        <v>3.3199658675940884E-3</v>
      </c>
      <c r="U2" s="4">
        <f t="shared" si="0"/>
        <v>3.3199658675940884E-3</v>
      </c>
      <c r="V2" s="4">
        <f t="shared" si="0"/>
        <v>3.3199658675940884E-3</v>
      </c>
      <c r="W2" s="4">
        <f t="shared" si="0"/>
        <v>3.3199658675940884E-3</v>
      </c>
      <c r="X2" s="4">
        <f t="shared" si="0"/>
        <v>3.3199658675940884E-3</v>
      </c>
      <c r="Y2" s="4">
        <f t="shared" si="0"/>
        <v>3.3199658675940884E-3</v>
      </c>
      <c r="Z2" s="4">
        <f t="shared" si="0"/>
        <v>3.3199658675940884E-3</v>
      </c>
      <c r="AA2" s="4">
        <f t="shared" si="0"/>
        <v>3.3199658675940884E-3</v>
      </c>
      <c r="AB2" s="4">
        <f t="shared" si="0"/>
        <v>3.3199658675940884E-3</v>
      </c>
      <c r="AC2" s="4">
        <f t="shared" si="0"/>
        <v>3.3199658675940884E-3</v>
      </c>
      <c r="AD2" s="4">
        <f t="shared" si="0"/>
        <v>3.3199658675940884E-3</v>
      </c>
      <c r="AE2" s="4">
        <f t="shared" si="0"/>
        <v>3.3199658675940884E-3</v>
      </c>
      <c r="AG2" s="4"/>
      <c r="AH2" s="4"/>
    </row>
    <row r="3" spans="1:34">
      <c r="A3" t="s">
        <v>3</v>
      </c>
      <c r="B3" s="4">
        <v>2.3489662423758803E-3</v>
      </c>
      <c r="C3" s="4">
        <f t="shared" ref="C3:C8" si="1">B3</f>
        <v>2.3489662423758803E-3</v>
      </c>
      <c r="D3" s="4">
        <f t="shared" ref="D3:Q3" si="2">C3</f>
        <v>2.3489662423758803E-3</v>
      </c>
      <c r="E3" s="4">
        <f t="shared" si="2"/>
        <v>2.3489662423758803E-3</v>
      </c>
      <c r="F3" s="4">
        <f t="shared" si="2"/>
        <v>2.3489662423758803E-3</v>
      </c>
      <c r="G3" s="4">
        <f t="shared" si="2"/>
        <v>2.3489662423758803E-3</v>
      </c>
      <c r="H3" s="4">
        <f t="shared" si="2"/>
        <v>2.3489662423758803E-3</v>
      </c>
      <c r="I3" s="4">
        <f t="shared" si="2"/>
        <v>2.3489662423758803E-3</v>
      </c>
      <c r="J3" s="4">
        <f t="shared" si="2"/>
        <v>2.3489662423758803E-3</v>
      </c>
      <c r="K3" s="4">
        <f t="shared" si="2"/>
        <v>2.3489662423758803E-3</v>
      </c>
      <c r="L3" s="4">
        <f t="shared" si="2"/>
        <v>2.3489662423758803E-3</v>
      </c>
      <c r="M3" s="4">
        <f t="shared" si="2"/>
        <v>2.3489662423758803E-3</v>
      </c>
      <c r="N3" s="4">
        <f t="shared" si="2"/>
        <v>2.3489662423758803E-3</v>
      </c>
      <c r="O3" s="4">
        <f t="shared" si="2"/>
        <v>2.3489662423758803E-3</v>
      </c>
      <c r="P3" s="4">
        <f t="shared" si="2"/>
        <v>2.3489662423758803E-3</v>
      </c>
      <c r="Q3" s="4">
        <f t="shared" si="2"/>
        <v>2.3489662423758803E-3</v>
      </c>
      <c r="R3" s="4">
        <f t="shared" si="0"/>
        <v>2.3489662423758803E-3</v>
      </c>
      <c r="S3" s="4">
        <f t="shared" si="0"/>
        <v>2.3489662423758803E-3</v>
      </c>
      <c r="T3" s="4">
        <f t="shared" si="0"/>
        <v>2.3489662423758803E-3</v>
      </c>
      <c r="U3" s="4">
        <f t="shared" si="0"/>
        <v>2.3489662423758803E-3</v>
      </c>
      <c r="V3" s="4">
        <f t="shared" si="0"/>
        <v>2.3489662423758803E-3</v>
      </c>
      <c r="W3" s="4">
        <f t="shared" si="0"/>
        <v>2.3489662423758803E-3</v>
      </c>
      <c r="X3" s="4">
        <f t="shared" si="0"/>
        <v>2.3489662423758803E-3</v>
      </c>
      <c r="Y3" s="4">
        <f t="shared" si="0"/>
        <v>2.3489662423758803E-3</v>
      </c>
      <c r="Z3" s="4">
        <f t="shared" si="0"/>
        <v>2.3489662423758803E-3</v>
      </c>
      <c r="AA3" s="4">
        <f t="shared" si="0"/>
        <v>2.3489662423758803E-3</v>
      </c>
      <c r="AB3" s="4">
        <f t="shared" si="0"/>
        <v>2.3489662423758803E-3</v>
      </c>
      <c r="AC3" s="4">
        <f t="shared" si="0"/>
        <v>2.3489662423758803E-3</v>
      </c>
      <c r="AD3" s="4">
        <f t="shared" si="0"/>
        <v>2.3489662423758803E-3</v>
      </c>
      <c r="AE3" s="4">
        <f t="shared" si="0"/>
        <v>2.3489662423758803E-3</v>
      </c>
      <c r="AG3" s="4"/>
      <c r="AH3" s="4"/>
    </row>
    <row r="4" spans="1:34">
      <c r="A4" t="s">
        <v>4</v>
      </c>
      <c r="B4" s="4">
        <v>8.5179832440752728E-4</v>
      </c>
      <c r="C4" s="4">
        <f t="shared" si="1"/>
        <v>8.5179832440752728E-4</v>
      </c>
      <c r="D4" s="4">
        <f t="shared" si="0"/>
        <v>8.5179832440752728E-4</v>
      </c>
      <c r="E4" s="4">
        <f t="shared" si="0"/>
        <v>8.5179832440752728E-4</v>
      </c>
      <c r="F4" s="4">
        <f t="shared" si="0"/>
        <v>8.5179832440752728E-4</v>
      </c>
      <c r="G4" s="4">
        <f t="shared" si="0"/>
        <v>8.5179832440752728E-4</v>
      </c>
      <c r="H4" s="4">
        <f t="shared" si="0"/>
        <v>8.5179832440752728E-4</v>
      </c>
      <c r="I4" s="4">
        <f t="shared" si="0"/>
        <v>8.5179832440752728E-4</v>
      </c>
      <c r="J4" s="4">
        <f t="shared" si="0"/>
        <v>8.5179832440752728E-4</v>
      </c>
      <c r="K4" s="4">
        <f t="shared" si="0"/>
        <v>8.5179832440752728E-4</v>
      </c>
      <c r="L4" s="4">
        <f t="shared" si="0"/>
        <v>8.5179832440752728E-4</v>
      </c>
      <c r="M4" s="4">
        <f t="shared" si="0"/>
        <v>8.5179832440752728E-4</v>
      </c>
      <c r="N4" s="4">
        <f t="shared" si="0"/>
        <v>8.5179832440752728E-4</v>
      </c>
      <c r="O4" s="4">
        <f t="shared" si="0"/>
        <v>8.5179832440752728E-4</v>
      </c>
      <c r="P4" s="4">
        <f t="shared" si="0"/>
        <v>8.5179832440752728E-4</v>
      </c>
      <c r="Q4" s="4">
        <f t="shared" si="0"/>
        <v>8.5179832440752728E-4</v>
      </c>
      <c r="R4" s="4">
        <f t="shared" si="0"/>
        <v>8.5179832440752728E-4</v>
      </c>
      <c r="S4" s="4">
        <f t="shared" si="0"/>
        <v>8.5179832440752728E-4</v>
      </c>
      <c r="T4" s="4">
        <f t="shared" si="0"/>
        <v>8.5179832440752728E-4</v>
      </c>
      <c r="U4" s="4">
        <f t="shared" si="0"/>
        <v>8.5179832440752728E-4</v>
      </c>
      <c r="V4" s="4">
        <f t="shared" si="0"/>
        <v>8.5179832440752728E-4</v>
      </c>
      <c r="W4" s="4">
        <f t="shared" si="0"/>
        <v>8.5179832440752728E-4</v>
      </c>
      <c r="X4" s="4">
        <f t="shared" si="0"/>
        <v>8.5179832440752728E-4</v>
      </c>
      <c r="Y4" s="4">
        <f t="shared" si="0"/>
        <v>8.5179832440752728E-4</v>
      </c>
      <c r="Z4" s="4">
        <f t="shared" si="0"/>
        <v>8.5179832440752728E-4</v>
      </c>
      <c r="AA4" s="4">
        <f t="shared" si="0"/>
        <v>8.5179832440752728E-4</v>
      </c>
      <c r="AB4" s="4">
        <f t="shared" si="0"/>
        <v>8.5179832440752728E-4</v>
      </c>
      <c r="AC4" s="4">
        <f t="shared" si="0"/>
        <v>8.5179832440752728E-4</v>
      </c>
      <c r="AD4" s="4">
        <f t="shared" si="0"/>
        <v>8.5179832440752728E-4</v>
      </c>
      <c r="AE4" s="4">
        <f t="shared" si="0"/>
        <v>8.5179832440752728E-4</v>
      </c>
      <c r="AG4" s="4"/>
      <c r="AH4" s="4"/>
    </row>
    <row r="5" spans="1:34">
      <c r="A5" t="s">
        <v>5</v>
      </c>
      <c r="B5" s="4">
        <v>1.0331389660993618E-3</v>
      </c>
      <c r="C5" s="4">
        <f t="shared" si="1"/>
        <v>1.0331389660993618E-3</v>
      </c>
      <c r="D5" s="4">
        <f t="shared" si="0"/>
        <v>1.0331389660993618E-3</v>
      </c>
      <c r="E5" s="4">
        <f t="shared" si="0"/>
        <v>1.0331389660993618E-3</v>
      </c>
      <c r="F5" s="4">
        <f t="shared" si="0"/>
        <v>1.0331389660993618E-3</v>
      </c>
      <c r="G5" s="4">
        <f t="shared" si="0"/>
        <v>1.0331389660993618E-3</v>
      </c>
      <c r="H5" s="4">
        <f t="shared" si="0"/>
        <v>1.0331389660993618E-3</v>
      </c>
      <c r="I5" s="4">
        <f t="shared" si="0"/>
        <v>1.0331389660993618E-3</v>
      </c>
      <c r="J5" s="4">
        <f t="shared" si="0"/>
        <v>1.0331389660993618E-3</v>
      </c>
      <c r="K5" s="4">
        <f t="shared" si="0"/>
        <v>1.0331389660993618E-3</v>
      </c>
      <c r="L5" s="4">
        <f t="shared" si="0"/>
        <v>1.0331389660993618E-3</v>
      </c>
      <c r="M5" s="4">
        <f t="shared" si="0"/>
        <v>1.0331389660993618E-3</v>
      </c>
      <c r="N5" s="4">
        <f t="shared" si="0"/>
        <v>1.0331389660993618E-3</v>
      </c>
      <c r="O5" s="4">
        <f t="shared" si="0"/>
        <v>1.0331389660993618E-3</v>
      </c>
      <c r="P5" s="4">
        <f t="shared" si="0"/>
        <v>1.0331389660993618E-3</v>
      </c>
      <c r="Q5" s="4">
        <f t="shared" si="0"/>
        <v>1.0331389660993618E-3</v>
      </c>
      <c r="R5" s="4">
        <f t="shared" si="0"/>
        <v>1.0331389660993618E-3</v>
      </c>
      <c r="S5" s="4">
        <f t="shared" si="0"/>
        <v>1.0331389660993618E-3</v>
      </c>
      <c r="T5" s="4">
        <f t="shared" si="0"/>
        <v>1.0331389660993618E-3</v>
      </c>
      <c r="U5" s="4">
        <f t="shared" si="0"/>
        <v>1.0331389660993618E-3</v>
      </c>
      <c r="V5" s="4">
        <f t="shared" si="0"/>
        <v>1.0331389660993618E-3</v>
      </c>
      <c r="W5" s="4">
        <f t="shared" si="0"/>
        <v>1.0331389660993618E-3</v>
      </c>
      <c r="X5" s="4">
        <f t="shared" si="0"/>
        <v>1.0331389660993618E-3</v>
      </c>
      <c r="Y5" s="4">
        <f t="shared" si="0"/>
        <v>1.0331389660993618E-3</v>
      </c>
      <c r="Z5" s="4">
        <f t="shared" si="0"/>
        <v>1.0331389660993618E-3</v>
      </c>
      <c r="AA5" s="4">
        <f t="shared" si="0"/>
        <v>1.0331389660993618E-3</v>
      </c>
      <c r="AB5" s="4">
        <f t="shared" si="0"/>
        <v>1.0331389660993618E-3</v>
      </c>
      <c r="AC5" s="4">
        <f t="shared" si="0"/>
        <v>1.0331389660993618E-3</v>
      </c>
      <c r="AD5" s="4">
        <f t="shared" si="0"/>
        <v>1.0331389660993618E-3</v>
      </c>
      <c r="AE5" s="4">
        <f t="shared" si="0"/>
        <v>1.0331389660993618E-3</v>
      </c>
      <c r="AG5" s="4"/>
      <c r="AH5" s="4"/>
    </row>
    <row r="6" spans="1:34">
      <c r="A6" t="s">
        <v>6</v>
      </c>
      <c r="B6" s="4">
        <v>2.2908937619214613E-3</v>
      </c>
      <c r="C6" s="4">
        <f t="shared" si="1"/>
        <v>2.2908937619214613E-3</v>
      </c>
      <c r="D6" s="4">
        <f t="shared" si="0"/>
        <v>2.2908937619214613E-3</v>
      </c>
      <c r="E6" s="4">
        <f t="shared" si="0"/>
        <v>2.2908937619214613E-3</v>
      </c>
      <c r="F6" s="4">
        <f t="shared" si="0"/>
        <v>2.2908937619214613E-3</v>
      </c>
      <c r="G6" s="4">
        <f t="shared" si="0"/>
        <v>2.2908937619214613E-3</v>
      </c>
      <c r="H6" s="4">
        <f t="shared" si="0"/>
        <v>2.2908937619214613E-3</v>
      </c>
      <c r="I6" s="4">
        <f t="shared" si="0"/>
        <v>2.2908937619214613E-3</v>
      </c>
      <c r="J6" s="4">
        <f t="shared" si="0"/>
        <v>2.2908937619214613E-3</v>
      </c>
      <c r="K6" s="4">
        <f t="shared" si="0"/>
        <v>2.2908937619214613E-3</v>
      </c>
      <c r="L6" s="4">
        <f t="shared" si="0"/>
        <v>2.2908937619214613E-3</v>
      </c>
      <c r="M6" s="4">
        <f t="shared" si="0"/>
        <v>2.2908937619214613E-3</v>
      </c>
      <c r="N6" s="4">
        <f t="shared" si="0"/>
        <v>2.2908937619214613E-3</v>
      </c>
      <c r="O6" s="4">
        <f t="shared" si="0"/>
        <v>2.2908937619214613E-3</v>
      </c>
      <c r="P6" s="4">
        <f t="shared" si="0"/>
        <v>2.2908937619214613E-3</v>
      </c>
      <c r="Q6" s="4">
        <f t="shared" si="0"/>
        <v>2.2908937619214613E-3</v>
      </c>
      <c r="R6" s="4">
        <f t="shared" si="0"/>
        <v>2.2908937619214613E-3</v>
      </c>
      <c r="S6" s="4">
        <f t="shared" si="0"/>
        <v>2.2908937619214613E-3</v>
      </c>
      <c r="T6" s="4">
        <f t="shared" si="0"/>
        <v>2.2908937619214613E-3</v>
      </c>
      <c r="U6" s="4">
        <f t="shared" si="0"/>
        <v>2.2908937619214613E-3</v>
      </c>
      <c r="V6" s="4">
        <f t="shared" si="0"/>
        <v>2.2908937619214613E-3</v>
      </c>
      <c r="W6" s="4">
        <f t="shared" si="0"/>
        <v>2.2908937619214613E-3</v>
      </c>
      <c r="X6" s="4">
        <f t="shared" si="0"/>
        <v>2.2908937619214613E-3</v>
      </c>
      <c r="Y6" s="4">
        <f t="shared" si="0"/>
        <v>2.2908937619214613E-3</v>
      </c>
      <c r="Z6" s="4">
        <f t="shared" si="0"/>
        <v>2.2908937619214613E-3</v>
      </c>
      <c r="AA6" s="4">
        <f t="shared" si="0"/>
        <v>2.2908937619214613E-3</v>
      </c>
      <c r="AB6" s="4">
        <f t="shared" si="0"/>
        <v>2.2908937619214613E-3</v>
      </c>
      <c r="AC6" s="4">
        <f t="shared" si="0"/>
        <v>2.2908937619214613E-3</v>
      </c>
      <c r="AD6" s="4">
        <f t="shared" si="0"/>
        <v>2.2908937619214613E-3</v>
      </c>
      <c r="AE6" s="4">
        <f t="shared" si="0"/>
        <v>2.2908937619214613E-3</v>
      </c>
      <c r="AG6" s="4"/>
      <c r="AH6" s="4"/>
    </row>
    <row r="7" spans="1:34">
      <c r="A7" t="s">
        <v>84</v>
      </c>
      <c r="B7" s="4">
        <v>1.8294441155202029E-3</v>
      </c>
      <c r="C7" s="4">
        <f t="shared" si="1"/>
        <v>1.8294441155202029E-3</v>
      </c>
      <c r="D7" s="4">
        <f t="shared" si="0"/>
        <v>1.8294441155202029E-3</v>
      </c>
      <c r="E7" s="4">
        <f t="shared" si="0"/>
        <v>1.8294441155202029E-3</v>
      </c>
      <c r="F7" s="4">
        <f t="shared" si="0"/>
        <v>1.8294441155202029E-3</v>
      </c>
      <c r="G7" s="4">
        <f t="shared" si="0"/>
        <v>1.8294441155202029E-3</v>
      </c>
      <c r="H7" s="4">
        <f t="shared" si="0"/>
        <v>1.8294441155202029E-3</v>
      </c>
      <c r="I7" s="4">
        <f t="shared" si="0"/>
        <v>1.8294441155202029E-3</v>
      </c>
      <c r="J7" s="4">
        <f t="shared" si="0"/>
        <v>1.8294441155202029E-3</v>
      </c>
      <c r="K7" s="4">
        <f t="shared" si="0"/>
        <v>1.8294441155202029E-3</v>
      </c>
      <c r="L7" s="4">
        <f t="shared" si="0"/>
        <v>1.8294441155202029E-3</v>
      </c>
      <c r="M7" s="4">
        <f t="shared" si="0"/>
        <v>1.8294441155202029E-3</v>
      </c>
      <c r="N7" s="4">
        <f t="shared" si="0"/>
        <v>1.8294441155202029E-3</v>
      </c>
      <c r="O7" s="4">
        <f t="shared" si="0"/>
        <v>1.8294441155202029E-3</v>
      </c>
      <c r="P7" s="4">
        <f t="shared" si="0"/>
        <v>1.8294441155202029E-3</v>
      </c>
      <c r="Q7" s="4">
        <f t="shared" si="0"/>
        <v>1.8294441155202029E-3</v>
      </c>
      <c r="R7" s="4">
        <f t="shared" si="0"/>
        <v>1.8294441155202029E-3</v>
      </c>
      <c r="S7" s="4">
        <f t="shared" si="0"/>
        <v>1.8294441155202029E-3</v>
      </c>
      <c r="T7" s="4">
        <f t="shared" si="0"/>
        <v>1.8294441155202029E-3</v>
      </c>
      <c r="U7" s="4">
        <f t="shared" si="0"/>
        <v>1.8294441155202029E-3</v>
      </c>
      <c r="V7" s="4">
        <f t="shared" si="0"/>
        <v>1.8294441155202029E-3</v>
      </c>
      <c r="W7" s="4">
        <f t="shared" si="0"/>
        <v>1.8294441155202029E-3</v>
      </c>
      <c r="X7" s="4">
        <f t="shared" si="0"/>
        <v>1.8294441155202029E-3</v>
      </c>
      <c r="Y7" s="4">
        <f t="shared" si="0"/>
        <v>1.8294441155202029E-3</v>
      </c>
      <c r="Z7" s="4">
        <f t="shared" si="0"/>
        <v>1.8294441155202029E-3</v>
      </c>
      <c r="AA7" s="4">
        <f t="shared" si="0"/>
        <v>1.8294441155202029E-3</v>
      </c>
      <c r="AB7" s="4">
        <f t="shared" si="0"/>
        <v>1.8294441155202029E-3</v>
      </c>
      <c r="AC7" s="4">
        <f t="shared" si="0"/>
        <v>1.8294441155202029E-3</v>
      </c>
      <c r="AD7" s="4">
        <f t="shared" si="0"/>
        <v>1.8294441155202029E-3</v>
      </c>
      <c r="AE7" s="4">
        <f t="shared" si="0"/>
        <v>1.8294441155202029E-3</v>
      </c>
      <c r="AG7" s="4"/>
      <c r="AH7" s="4"/>
    </row>
    <row r="8" spans="1:34">
      <c r="A8" t="s">
        <v>85</v>
      </c>
      <c r="B8" s="4">
        <v>3.099416898298085E-3</v>
      </c>
      <c r="C8" s="4">
        <f t="shared" si="1"/>
        <v>3.099416898298085E-3</v>
      </c>
      <c r="D8" s="4">
        <f t="shared" si="0"/>
        <v>3.099416898298085E-3</v>
      </c>
      <c r="E8" s="4">
        <f t="shared" si="0"/>
        <v>3.099416898298085E-3</v>
      </c>
      <c r="F8" s="4">
        <f t="shared" si="0"/>
        <v>3.099416898298085E-3</v>
      </c>
      <c r="G8" s="4">
        <f t="shared" si="0"/>
        <v>3.099416898298085E-3</v>
      </c>
      <c r="H8" s="4">
        <f t="shared" si="0"/>
        <v>3.099416898298085E-3</v>
      </c>
      <c r="I8" s="4">
        <f t="shared" si="0"/>
        <v>3.099416898298085E-3</v>
      </c>
      <c r="J8" s="4">
        <f t="shared" si="0"/>
        <v>3.099416898298085E-3</v>
      </c>
      <c r="K8" s="4">
        <f t="shared" si="0"/>
        <v>3.099416898298085E-3</v>
      </c>
      <c r="L8" s="4">
        <f t="shared" si="0"/>
        <v>3.099416898298085E-3</v>
      </c>
      <c r="M8" s="4">
        <f t="shared" si="0"/>
        <v>3.099416898298085E-3</v>
      </c>
      <c r="N8" s="4">
        <f t="shared" si="0"/>
        <v>3.099416898298085E-3</v>
      </c>
      <c r="O8" s="4">
        <f t="shared" si="0"/>
        <v>3.099416898298085E-3</v>
      </c>
      <c r="P8" s="4">
        <f t="shared" si="0"/>
        <v>3.099416898298085E-3</v>
      </c>
      <c r="Q8" s="4">
        <f t="shared" si="0"/>
        <v>3.099416898298085E-3</v>
      </c>
      <c r="R8" s="4">
        <f t="shared" si="0"/>
        <v>3.099416898298085E-3</v>
      </c>
      <c r="S8" s="4">
        <f t="shared" si="0"/>
        <v>3.099416898298085E-3</v>
      </c>
      <c r="T8" s="4">
        <f t="shared" si="0"/>
        <v>3.099416898298085E-3</v>
      </c>
      <c r="U8" s="4">
        <f t="shared" si="0"/>
        <v>3.099416898298085E-3</v>
      </c>
      <c r="V8" s="4">
        <f t="shared" si="0"/>
        <v>3.099416898298085E-3</v>
      </c>
      <c r="W8" s="4">
        <f t="shared" si="0"/>
        <v>3.099416898298085E-3</v>
      </c>
      <c r="X8" s="4">
        <f t="shared" si="0"/>
        <v>3.099416898298085E-3</v>
      </c>
      <c r="Y8" s="4">
        <f t="shared" si="0"/>
        <v>3.099416898298085E-3</v>
      </c>
      <c r="Z8" s="4">
        <f t="shared" si="0"/>
        <v>3.099416898298085E-3</v>
      </c>
      <c r="AA8" s="4">
        <f t="shared" si="0"/>
        <v>3.099416898298085E-3</v>
      </c>
      <c r="AB8" s="4">
        <f t="shared" si="0"/>
        <v>3.099416898298085E-3</v>
      </c>
      <c r="AC8" s="4">
        <f t="shared" si="0"/>
        <v>3.099416898298085E-3</v>
      </c>
      <c r="AD8" s="4">
        <f t="shared" si="0"/>
        <v>3.099416898298085E-3</v>
      </c>
      <c r="AE8" s="4">
        <f t="shared" si="0"/>
        <v>3.099416898298085E-3</v>
      </c>
      <c r="AG8" s="4"/>
      <c r="AH8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4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TRANSPOSE(SYFAFE!B11:H11)</f>
        <v>1.6283396676658034E-3</v>
      </c>
      <c r="C2" s="4">
        <f>B2</f>
        <v>1.6283396676658034E-3</v>
      </c>
      <c r="D2" s="4">
        <f t="shared" ref="D2:AE8" si="0">C2</f>
        <v>1.6283396676658034E-3</v>
      </c>
      <c r="E2" s="4">
        <f t="shared" si="0"/>
        <v>1.6283396676658034E-3</v>
      </c>
      <c r="F2" s="4">
        <f t="shared" si="0"/>
        <v>1.6283396676658034E-3</v>
      </c>
      <c r="G2" s="4">
        <f t="shared" si="0"/>
        <v>1.6283396676658034E-3</v>
      </c>
      <c r="H2" s="4">
        <f t="shared" si="0"/>
        <v>1.6283396676658034E-3</v>
      </c>
      <c r="I2" s="4">
        <f t="shared" si="0"/>
        <v>1.6283396676658034E-3</v>
      </c>
      <c r="J2" s="4">
        <f t="shared" si="0"/>
        <v>1.6283396676658034E-3</v>
      </c>
      <c r="K2" s="4">
        <f t="shared" si="0"/>
        <v>1.6283396676658034E-3</v>
      </c>
      <c r="L2" s="4">
        <f t="shared" si="0"/>
        <v>1.6283396676658034E-3</v>
      </c>
      <c r="M2" s="4">
        <f t="shared" si="0"/>
        <v>1.6283396676658034E-3</v>
      </c>
      <c r="N2" s="4">
        <f t="shared" si="0"/>
        <v>1.6283396676658034E-3</v>
      </c>
      <c r="O2" s="4">
        <f t="shared" si="0"/>
        <v>1.6283396676658034E-3</v>
      </c>
      <c r="P2" s="4">
        <f t="shared" si="0"/>
        <v>1.6283396676658034E-3</v>
      </c>
      <c r="Q2" s="4">
        <f t="shared" si="0"/>
        <v>1.6283396676658034E-3</v>
      </c>
      <c r="R2" s="4">
        <f t="shared" si="0"/>
        <v>1.6283396676658034E-3</v>
      </c>
      <c r="S2" s="4">
        <f t="shared" si="0"/>
        <v>1.6283396676658034E-3</v>
      </c>
      <c r="T2" s="4">
        <f t="shared" si="0"/>
        <v>1.6283396676658034E-3</v>
      </c>
      <c r="U2" s="4">
        <f t="shared" si="0"/>
        <v>1.6283396676658034E-3</v>
      </c>
      <c r="V2" s="4">
        <f t="shared" si="0"/>
        <v>1.6283396676658034E-3</v>
      </c>
      <c r="W2" s="4">
        <f t="shared" si="0"/>
        <v>1.6283396676658034E-3</v>
      </c>
      <c r="X2" s="4">
        <f t="shared" si="0"/>
        <v>1.6283396676658034E-3</v>
      </c>
      <c r="Y2" s="4">
        <f t="shared" si="0"/>
        <v>1.6283396676658034E-3</v>
      </c>
      <c r="Z2" s="4">
        <f t="shared" si="0"/>
        <v>1.6283396676658034E-3</v>
      </c>
      <c r="AA2" s="4">
        <f t="shared" si="0"/>
        <v>1.6283396676658034E-3</v>
      </c>
      <c r="AB2" s="4">
        <f t="shared" si="0"/>
        <v>1.6283396676658034E-3</v>
      </c>
      <c r="AC2" s="4">
        <f t="shared" si="0"/>
        <v>1.6283396676658034E-3</v>
      </c>
      <c r="AD2" s="4">
        <f t="shared" si="0"/>
        <v>1.6283396676658034E-3</v>
      </c>
      <c r="AE2" s="4">
        <f t="shared" si="0"/>
        <v>1.6283396676658034E-3</v>
      </c>
      <c r="AG2" s="4"/>
      <c r="AH2" s="4"/>
    </row>
    <row r="3" spans="1:34">
      <c r="A3" t="s">
        <v>3</v>
      </c>
      <c r="B3" s="4">
        <v>7.7263481523290941E-4</v>
      </c>
      <c r="C3" s="4">
        <f t="shared" ref="C3:C8" si="1">B3</f>
        <v>7.7263481523290941E-4</v>
      </c>
      <c r="D3" s="4">
        <f t="shared" ref="D3:Q3" si="2">C3</f>
        <v>7.7263481523290941E-4</v>
      </c>
      <c r="E3" s="4">
        <f t="shared" si="2"/>
        <v>7.7263481523290941E-4</v>
      </c>
      <c r="F3" s="4">
        <f t="shared" si="2"/>
        <v>7.7263481523290941E-4</v>
      </c>
      <c r="G3" s="4">
        <f t="shared" si="2"/>
        <v>7.7263481523290941E-4</v>
      </c>
      <c r="H3" s="4">
        <f t="shared" si="2"/>
        <v>7.7263481523290941E-4</v>
      </c>
      <c r="I3" s="4">
        <f t="shared" si="2"/>
        <v>7.7263481523290941E-4</v>
      </c>
      <c r="J3" s="4">
        <f t="shared" si="2"/>
        <v>7.7263481523290941E-4</v>
      </c>
      <c r="K3" s="4">
        <f t="shared" si="2"/>
        <v>7.7263481523290941E-4</v>
      </c>
      <c r="L3" s="4">
        <f t="shared" si="2"/>
        <v>7.7263481523290941E-4</v>
      </c>
      <c r="M3" s="4">
        <f t="shared" si="2"/>
        <v>7.7263481523290941E-4</v>
      </c>
      <c r="N3" s="4">
        <f t="shared" si="2"/>
        <v>7.7263481523290941E-4</v>
      </c>
      <c r="O3" s="4">
        <f t="shared" si="2"/>
        <v>7.7263481523290941E-4</v>
      </c>
      <c r="P3" s="4">
        <f t="shared" si="2"/>
        <v>7.7263481523290941E-4</v>
      </c>
      <c r="Q3" s="4">
        <f t="shared" si="2"/>
        <v>7.7263481523290941E-4</v>
      </c>
      <c r="R3" s="4">
        <f t="shared" si="0"/>
        <v>7.7263481523290941E-4</v>
      </c>
      <c r="S3" s="4">
        <f t="shared" si="0"/>
        <v>7.7263481523290941E-4</v>
      </c>
      <c r="T3" s="4">
        <f t="shared" si="0"/>
        <v>7.7263481523290941E-4</v>
      </c>
      <c r="U3" s="4">
        <f t="shared" si="0"/>
        <v>7.7263481523290941E-4</v>
      </c>
      <c r="V3" s="4">
        <f t="shared" si="0"/>
        <v>7.7263481523290941E-4</v>
      </c>
      <c r="W3" s="4">
        <f t="shared" si="0"/>
        <v>7.7263481523290941E-4</v>
      </c>
      <c r="X3" s="4">
        <f t="shared" si="0"/>
        <v>7.7263481523290941E-4</v>
      </c>
      <c r="Y3" s="4">
        <f t="shared" si="0"/>
        <v>7.7263481523290941E-4</v>
      </c>
      <c r="Z3" s="4">
        <f t="shared" si="0"/>
        <v>7.7263481523290941E-4</v>
      </c>
      <c r="AA3" s="4">
        <f t="shared" si="0"/>
        <v>7.7263481523290941E-4</v>
      </c>
      <c r="AB3" s="4">
        <f t="shared" si="0"/>
        <v>7.7263481523290941E-4</v>
      </c>
      <c r="AC3" s="4">
        <f t="shared" si="0"/>
        <v>7.7263481523290941E-4</v>
      </c>
      <c r="AD3" s="4">
        <f t="shared" si="0"/>
        <v>7.7263481523290941E-4</v>
      </c>
      <c r="AE3" s="4">
        <f t="shared" si="0"/>
        <v>7.7263481523290941E-4</v>
      </c>
      <c r="AG3" s="4"/>
      <c r="AH3" s="4"/>
    </row>
    <row r="4" spans="1:34">
      <c r="A4" t="s">
        <v>4</v>
      </c>
      <c r="B4" s="4">
        <v>6.720672001062452E-4</v>
      </c>
      <c r="C4" s="4">
        <f t="shared" si="1"/>
        <v>6.720672001062452E-4</v>
      </c>
      <c r="D4" s="4">
        <f t="shared" si="0"/>
        <v>6.720672001062452E-4</v>
      </c>
      <c r="E4" s="4">
        <f t="shared" si="0"/>
        <v>6.720672001062452E-4</v>
      </c>
      <c r="F4" s="4">
        <f t="shared" si="0"/>
        <v>6.720672001062452E-4</v>
      </c>
      <c r="G4" s="4">
        <f t="shared" si="0"/>
        <v>6.720672001062452E-4</v>
      </c>
      <c r="H4" s="4">
        <f t="shared" si="0"/>
        <v>6.720672001062452E-4</v>
      </c>
      <c r="I4" s="4">
        <f t="shared" si="0"/>
        <v>6.720672001062452E-4</v>
      </c>
      <c r="J4" s="4">
        <f t="shared" si="0"/>
        <v>6.720672001062452E-4</v>
      </c>
      <c r="K4" s="4">
        <f t="shared" si="0"/>
        <v>6.720672001062452E-4</v>
      </c>
      <c r="L4" s="4">
        <f t="shared" si="0"/>
        <v>6.720672001062452E-4</v>
      </c>
      <c r="M4" s="4">
        <f t="shared" si="0"/>
        <v>6.720672001062452E-4</v>
      </c>
      <c r="N4" s="4">
        <f t="shared" si="0"/>
        <v>6.720672001062452E-4</v>
      </c>
      <c r="O4" s="4">
        <f t="shared" si="0"/>
        <v>6.720672001062452E-4</v>
      </c>
      <c r="P4" s="4">
        <f t="shared" si="0"/>
        <v>6.720672001062452E-4</v>
      </c>
      <c r="Q4" s="4">
        <f t="shared" si="0"/>
        <v>6.720672001062452E-4</v>
      </c>
      <c r="R4" s="4">
        <f t="shared" si="0"/>
        <v>6.720672001062452E-4</v>
      </c>
      <c r="S4" s="4">
        <f t="shared" si="0"/>
        <v>6.720672001062452E-4</v>
      </c>
      <c r="T4" s="4">
        <f t="shared" si="0"/>
        <v>6.720672001062452E-4</v>
      </c>
      <c r="U4" s="4">
        <f t="shared" si="0"/>
        <v>6.720672001062452E-4</v>
      </c>
      <c r="V4" s="4">
        <f t="shared" si="0"/>
        <v>6.720672001062452E-4</v>
      </c>
      <c r="W4" s="4">
        <f t="shared" si="0"/>
        <v>6.720672001062452E-4</v>
      </c>
      <c r="X4" s="4">
        <f t="shared" si="0"/>
        <v>6.720672001062452E-4</v>
      </c>
      <c r="Y4" s="4">
        <f t="shared" si="0"/>
        <v>6.720672001062452E-4</v>
      </c>
      <c r="Z4" s="4">
        <f t="shared" si="0"/>
        <v>6.720672001062452E-4</v>
      </c>
      <c r="AA4" s="4">
        <f t="shared" si="0"/>
        <v>6.720672001062452E-4</v>
      </c>
      <c r="AB4" s="4">
        <f t="shared" si="0"/>
        <v>6.720672001062452E-4</v>
      </c>
      <c r="AC4" s="4">
        <f t="shared" si="0"/>
        <v>6.720672001062452E-4</v>
      </c>
      <c r="AD4" s="4">
        <f t="shared" si="0"/>
        <v>6.720672001062452E-4</v>
      </c>
      <c r="AE4" s="4">
        <f t="shared" si="0"/>
        <v>6.720672001062452E-4</v>
      </c>
      <c r="AG4" s="4"/>
      <c r="AH4" s="4"/>
    </row>
    <row r="5" spans="1:34">
      <c r="A5" t="s">
        <v>5</v>
      </c>
      <c r="B5" s="4">
        <v>7.5059325437243547E-4</v>
      </c>
      <c r="C5" s="4">
        <f t="shared" si="1"/>
        <v>7.5059325437243547E-4</v>
      </c>
      <c r="D5" s="4">
        <f t="shared" si="0"/>
        <v>7.5059325437243547E-4</v>
      </c>
      <c r="E5" s="4">
        <f t="shared" si="0"/>
        <v>7.5059325437243547E-4</v>
      </c>
      <c r="F5" s="4">
        <f t="shared" si="0"/>
        <v>7.5059325437243547E-4</v>
      </c>
      <c r="G5" s="4">
        <f t="shared" si="0"/>
        <v>7.5059325437243547E-4</v>
      </c>
      <c r="H5" s="4">
        <f t="shared" si="0"/>
        <v>7.5059325437243547E-4</v>
      </c>
      <c r="I5" s="4">
        <f t="shared" si="0"/>
        <v>7.5059325437243547E-4</v>
      </c>
      <c r="J5" s="4">
        <f t="shared" si="0"/>
        <v>7.5059325437243547E-4</v>
      </c>
      <c r="K5" s="4">
        <f t="shared" si="0"/>
        <v>7.5059325437243547E-4</v>
      </c>
      <c r="L5" s="4">
        <f t="shared" si="0"/>
        <v>7.5059325437243547E-4</v>
      </c>
      <c r="M5" s="4">
        <f t="shared" si="0"/>
        <v>7.5059325437243547E-4</v>
      </c>
      <c r="N5" s="4">
        <f t="shared" si="0"/>
        <v>7.5059325437243547E-4</v>
      </c>
      <c r="O5" s="4">
        <f t="shared" si="0"/>
        <v>7.5059325437243547E-4</v>
      </c>
      <c r="P5" s="4">
        <f t="shared" si="0"/>
        <v>7.5059325437243547E-4</v>
      </c>
      <c r="Q5" s="4">
        <f t="shared" si="0"/>
        <v>7.5059325437243547E-4</v>
      </c>
      <c r="R5" s="4">
        <f t="shared" si="0"/>
        <v>7.5059325437243547E-4</v>
      </c>
      <c r="S5" s="4">
        <f t="shared" si="0"/>
        <v>7.5059325437243547E-4</v>
      </c>
      <c r="T5" s="4">
        <f t="shared" si="0"/>
        <v>7.5059325437243547E-4</v>
      </c>
      <c r="U5" s="4">
        <f t="shared" si="0"/>
        <v>7.5059325437243547E-4</v>
      </c>
      <c r="V5" s="4">
        <f t="shared" si="0"/>
        <v>7.5059325437243547E-4</v>
      </c>
      <c r="W5" s="4">
        <f t="shared" si="0"/>
        <v>7.5059325437243547E-4</v>
      </c>
      <c r="X5" s="4">
        <f t="shared" si="0"/>
        <v>7.5059325437243547E-4</v>
      </c>
      <c r="Y5" s="4">
        <f t="shared" si="0"/>
        <v>7.5059325437243547E-4</v>
      </c>
      <c r="Z5" s="4">
        <f t="shared" si="0"/>
        <v>7.5059325437243547E-4</v>
      </c>
      <c r="AA5" s="4">
        <f t="shared" si="0"/>
        <v>7.5059325437243547E-4</v>
      </c>
      <c r="AB5" s="4">
        <f t="shared" si="0"/>
        <v>7.5059325437243547E-4</v>
      </c>
      <c r="AC5" s="4">
        <f t="shared" si="0"/>
        <v>7.5059325437243547E-4</v>
      </c>
      <c r="AD5" s="4">
        <f t="shared" si="0"/>
        <v>7.5059325437243547E-4</v>
      </c>
      <c r="AE5" s="4">
        <f t="shared" si="0"/>
        <v>7.5059325437243547E-4</v>
      </c>
      <c r="AG5" s="4"/>
      <c r="AH5" s="4"/>
    </row>
    <row r="6" spans="1:34">
      <c r="A6" t="s">
        <v>6</v>
      </c>
      <c r="B6" s="4">
        <v>0</v>
      </c>
      <c r="C6" s="4">
        <f t="shared" si="1"/>
        <v>0</v>
      </c>
      <c r="D6" s="4">
        <f t="shared" si="0"/>
        <v>0</v>
      </c>
      <c r="E6" s="4">
        <f t="shared" si="0"/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4">
        <f t="shared" si="0"/>
        <v>0</v>
      </c>
      <c r="R6" s="4">
        <f t="shared" si="0"/>
        <v>0</v>
      </c>
      <c r="S6" s="4">
        <f t="shared" si="0"/>
        <v>0</v>
      </c>
      <c r="T6" s="4">
        <f t="shared" si="0"/>
        <v>0</v>
      </c>
      <c r="U6" s="4">
        <f t="shared" si="0"/>
        <v>0</v>
      </c>
      <c r="V6" s="4">
        <f t="shared" si="0"/>
        <v>0</v>
      </c>
      <c r="W6" s="4">
        <f t="shared" si="0"/>
        <v>0</v>
      </c>
      <c r="X6" s="4">
        <f t="shared" si="0"/>
        <v>0</v>
      </c>
      <c r="Y6" s="4">
        <f t="shared" si="0"/>
        <v>0</v>
      </c>
      <c r="Z6" s="4">
        <f t="shared" si="0"/>
        <v>0</v>
      </c>
      <c r="AA6" s="4">
        <f t="shared" si="0"/>
        <v>0</v>
      </c>
      <c r="AB6" s="4">
        <f t="shared" si="0"/>
        <v>0</v>
      </c>
      <c r="AC6" s="4">
        <f t="shared" si="0"/>
        <v>0</v>
      </c>
      <c r="AD6" s="4">
        <f t="shared" si="0"/>
        <v>0</v>
      </c>
      <c r="AE6" s="4">
        <f t="shared" si="0"/>
        <v>0</v>
      </c>
      <c r="AG6" s="4"/>
      <c r="AH6" s="4"/>
    </row>
    <row r="7" spans="1:34">
      <c r="A7" t="s">
        <v>84</v>
      </c>
      <c r="B7" s="4">
        <v>6.8755018426906603E-4</v>
      </c>
      <c r="C7" s="4">
        <f t="shared" si="1"/>
        <v>6.8755018426906603E-4</v>
      </c>
      <c r="D7" s="4">
        <f t="shared" si="0"/>
        <v>6.8755018426906603E-4</v>
      </c>
      <c r="E7" s="4">
        <f t="shared" si="0"/>
        <v>6.8755018426906603E-4</v>
      </c>
      <c r="F7" s="4">
        <f t="shared" si="0"/>
        <v>6.8755018426906603E-4</v>
      </c>
      <c r="G7" s="4">
        <f t="shared" si="0"/>
        <v>6.8755018426906603E-4</v>
      </c>
      <c r="H7" s="4">
        <f t="shared" si="0"/>
        <v>6.8755018426906603E-4</v>
      </c>
      <c r="I7" s="4">
        <f t="shared" si="0"/>
        <v>6.8755018426906603E-4</v>
      </c>
      <c r="J7" s="4">
        <f t="shared" si="0"/>
        <v>6.8755018426906603E-4</v>
      </c>
      <c r="K7" s="4">
        <f t="shared" si="0"/>
        <v>6.8755018426906603E-4</v>
      </c>
      <c r="L7" s="4">
        <f t="shared" si="0"/>
        <v>6.8755018426906603E-4</v>
      </c>
      <c r="M7" s="4">
        <f t="shared" si="0"/>
        <v>6.8755018426906603E-4</v>
      </c>
      <c r="N7" s="4">
        <f t="shared" si="0"/>
        <v>6.8755018426906603E-4</v>
      </c>
      <c r="O7" s="4">
        <f t="shared" si="0"/>
        <v>6.8755018426906603E-4</v>
      </c>
      <c r="P7" s="4">
        <f t="shared" si="0"/>
        <v>6.8755018426906603E-4</v>
      </c>
      <c r="Q7" s="4">
        <f t="shared" si="0"/>
        <v>6.8755018426906603E-4</v>
      </c>
      <c r="R7" s="4">
        <f t="shared" si="0"/>
        <v>6.8755018426906603E-4</v>
      </c>
      <c r="S7" s="4">
        <f t="shared" si="0"/>
        <v>6.8755018426906603E-4</v>
      </c>
      <c r="T7" s="4">
        <f t="shared" si="0"/>
        <v>6.8755018426906603E-4</v>
      </c>
      <c r="U7" s="4">
        <f t="shared" si="0"/>
        <v>6.8755018426906603E-4</v>
      </c>
      <c r="V7" s="4">
        <f t="shared" si="0"/>
        <v>6.8755018426906603E-4</v>
      </c>
      <c r="W7" s="4">
        <f t="shared" si="0"/>
        <v>6.8755018426906603E-4</v>
      </c>
      <c r="X7" s="4">
        <f t="shared" si="0"/>
        <v>6.8755018426906603E-4</v>
      </c>
      <c r="Y7" s="4">
        <f t="shared" si="0"/>
        <v>6.8755018426906603E-4</v>
      </c>
      <c r="Z7" s="4">
        <f t="shared" si="0"/>
        <v>6.8755018426906603E-4</v>
      </c>
      <c r="AA7" s="4">
        <f t="shared" si="0"/>
        <v>6.8755018426906603E-4</v>
      </c>
      <c r="AB7" s="4">
        <f t="shared" si="0"/>
        <v>6.8755018426906603E-4</v>
      </c>
      <c r="AC7" s="4">
        <f t="shared" si="0"/>
        <v>6.8755018426906603E-4</v>
      </c>
      <c r="AD7" s="4">
        <f t="shared" si="0"/>
        <v>6.8755018426906603E-4</v>
      </c>
      <c r="AE7" s="4">
        <f t="shared" si="0"/>
        <v>6.8755018426906603E-4</v>
      </c>
      <c r="AG7" s="4"/>
      <c r="AH7" s="4"/>
    </row>
    <row r="8" spans="1:34">
      <c r="A8" t="s">
        <v>85</v>
      </c>
      <c r="B8" s="4">
        <v>0</v>
      </c>
      <c r="C8" s="4">
        <f t="shared" si="1"/>
        <v>0</v>
      </c>
      <c r="D8" s="4">
        <f t="shared" si="0"/>
        <v>0</v>
      </c>
      <c r="E8" s="4">
        <f t="shared" si="0"/>
        <v>0</v>
      </c>
      <c r="F8" s="4">
        <f t="shared" si="0"/>
        <v>0</v>
      </c>
      <c r="G8" s="4">
        <f t="shared" si="0"/>
        <v>0</v>
      </c>
      <c r="H8" s="4">
        <f t="shared" si="0"/>
        <v>0</v>
      </c>
      <c r="I8" s="4">
        <f t="shared" si="0"/>
        <v>0</v>
      </c>
      <c r="J8" s="4">
        <f t="shared" si="0"/>
        <v>0</v>
      </c>
      <c r="K8" s="4">
        <f t="shared" si="0"/>
        <v>0</v>
      </c>
      <c r="L8" s="4">
        <f t="shared" si="0"/>
        <v>0</v>
      </c>
      <c r="M8" s="4">
        <f t="shared" si="0"/>
        <v>0</v>
      </c>
      <c r="N8" s="4">
        <f t="shared" si="0"/>
        <v>0</v>
      </c>
      <c r="O8" s="4">
        <f t="shared" si="0"/>
        <v>0</v>
      </c>
      <c r="P8" s="4">
        <f t="shared" si="0"/>
        <v>0</v>
      </c>
      <c r="Q8" s="4">
        <f t="shared" si="0"/>
        <v>0</v>
      </c>
      <c r="R8" s="4">
        <f t="shared" si="0"/>
        <v>0</v>
      </c>
      <c r="S8" s="4">
        <f t="shared" si="0"/>
        <v>0</v>
      </c>
      <c r="T8" s="4">
        <f t="shared" si="0"/>
        <v>0</v>
      </c>
      <c r="U8" s="4">
        <f t="shared" si="0"/>
        <v>0</v>
      </c>
      <c r="V8" s="4">
        <f t="shared" si="0"/>
        <v>0</v>
      </c>
      <c r="W8" s="4">
        <f t="shared" si="0"/>
        <v>0</v>
      </c>
      <c r="X8" s="4">
        <f t="shared" si="0"/>
        <v>0</v>
      </c>
      <c r="Y8" s="4">
        <f t="shared" si="0"/>
        <v>0</v>
      </c>
      <c r="Z8" s="4">
        <f t="shared" si="0"/>
        <v>0</v>
      </c>
      <c r="AA8" s="4">
        <f t="shared" si="0"/>
        <v>0</v>
      </c>
      <c r="AB8" s="4">
        <f t="shared" si="0"/>
        <v>0</v>
      </c>
      <c r="AC8" s="4">
        <f t="shared" si="0"/>
        <v>0</v>
      </c>
      <c r="AD8" s="4">
        <f t="shared" si="0"/>
        <v>0</v>
      </c>
      <c r="AE8" s="4">
        <f t="shared" si="0"/>
        <v>0</v>
      </c>
      <c r="AG8" s="4"/>
      <c r="AH8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H8"/>
  <sheetViews>
    <sheetView workbookViewId="0">
      <selection activeCell="B5" sqref="B5"/>
    </sheetView>
  </sheetViews>
  <sheetFormatPr defaultRowHeight="15"/>
  <cols>
    <col min="1" max="1" width="31.140625" customWidth="1"/>
    <col min="2" max="2" width="21.28515625" customWidth="1"/>
  </cols>
  <sheetData>
    <row r="1" spans="1:34" ht="30">
      <c r="A1" s="14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7.4687291205413782E-4</v>
      </c>
      <c r="C2" s="4">
        <f>C$5/(1-'Other Values'!$B$3)</f>
        <v>7.5775147578839195E-4</v>
      </c>
      <c r="D2" s="4">
        <f>D$5/(1-'Other Values'!$B$3)</f>
        <v>7.6863003952264597E-4</v>
      </c>
      <c r="E2" s="4">
        <f>E$5/(1-'Other Values'!$B$3)</f>
        <v>7.7950860325689728E-4</v>
      </c>
      <c r="F2" s="4">
        <f>F$5/(1-'Other Values'!$B$3)</f>
        <v>7.9038716699115141E-4</v>
      </c>
      <c r="G2" s="4">
        <f>G$5/(1-'Other Values'!$B$3)</f>
        <v>8.0126573072540543E-4</v>
      </c>
      <c r="H2" s="4">
        <f>H$5/(1-'Other Values'!$B$3)</f>
        <v>8.1214429445965956E-4</v>
      </c>
      <c r="I2" s="4">
        <f>I$5/(1-'Other Values'!$B$3)</f>
        <v>8.2302285819391358E-4</v>
      </c>
      <c r="J2" s="4">
        <f>J$5/(1-'Other Values'!$B$3)</f>
        <v>8.3390142192816489E-4</v>
      </c>
      <c r="K2" s="4">
        <f>K$5/(1-'Other Values'!$B$3)</f>
        <v>8.4477998566241902E-4</v>
      </c>
      <c r="L2" s="4">
        <f>L$5/(1-'Other Values'!$B$3)</f>
        <v>8.5565854939667304E-4</v>
      </c>
      <c r="M2" s="4">
        <f>M$5/(1-'Other Values'!$B$3)</f>
        <v>8.6653711313092717E-4</v>
      </c>
      <c r="N2" s="4">
        <f>N$5/(1-'Other Values'!$B$3)</f>
        <v>8.7741567686517848E-4</v>
      </c>
      <c r="O2" s="4">
        <f>O$5/(1-'Other Values'!$B$3)</f>
        <v>8.882942405994325E-4</v>
      </c>
      <c r="P2" s="4">
        <f>P$5/(1-'Other Values'!$B$3)</f>
        <v>8.9917280433368663E-4</v>
      </c>
      <c r="Q2" s="4">
        <f>Q$5/(1-'Other Values'!$B$3)</f>
        <v>9.1005136806794065E-4</v>
      </c>
      <c r="R2" s="4">
        <f>R$5/(1-'Other Values'!$B$3)</f>
        <v>9.2092993180219196E-4</v>
      </c>
      <c r="S2" s="4">
        <f>S$5/(1-'Other Values'!$B$3)</f>
        <v>9.3180849553644609E-4</v>
      </c>
      <c r="T2" s="4">
        <f>T$5/(1-'Other Values'!$B$3)</f>
        <v>9.4268705927070011E-4</v>
      </c>
      <c r="U2" s="4">
        <f>U$5/(1-'Other Values'!$B$3)</f>
        <v>9.5356562300495423E-4</v>
      </c>
      <c r="V2" s="4">
        <f>V$5/(1-'Other Values'!$B$3)</f>
        <v>9.6444418673920554E-4</v>
      </c>
      <c r="W2" s="4">
        <f>W$5/(1-'Other Values'!$B$3)</f>
        <v>9.7532275047345956E-4</v>
      </c>
      <c r="X2" s="4">
        <f>X$5/(1-'Other Values'!$B$3)</f>
        <v>9.8620131420771358E-4</v>
      </c>
      <c r="Y2" s="4">
        <f>Y$5/(1-'Other Values'!$B$3)</f>
        <v>9.9707987794196771E-4</v>
      </c>
      <c r="Z2" s="4">
        <f>Z$5/(1-'Other Values'!$B$3)</f>
        <v>1.007958441676219E-3</v>
      </c>
      <c r="AA2" s="4">
        <f>AA$5/(1-'Other Values'!$B$3)</f>
        <v>1.0188370054104732E-3</v>
      </c>
      <c r="AB2" s="4">
        <f>AB$5/(1-'Other Values'!$B$3)</f>
        <v>9.7898292792220369E-4</v>
      </c>
      <c r="AC2" s="4">
        <f>AC$5/(1-'Other Values'!$B$3)</f>
        <v>9.7898292792220369E-4</v>
      </c>
      <c r="AD2" s="4">
        <f>AD$5/(1-'Other Values'!$B$3)</f>
        <v>1.0735662695704627E-3</v>
      </c>
      <c r="AE2" s="4">
        <f>AE$5/(1-'Other Values'!$B$3)</f>
        <v>1.0818274381547478E-3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>
        <f>Extrapolations!Q6</f>
        <v>2.3241910879234773E-4</v>
      </c>
      <c r="C5" s="4">
        <f>Extrapolations!R6</f>
        <v>2.3580440506866095E-4</v>
      </c>
      <c r="D5" s="4">
        <f>Extrapolations!S6</f>
        <v>2.3918970134497418E-4</v>
      </c>
      <c r="E5" s="4">
        <f>Extrapolations!T6</f>
        <v>2.4257499762128654E-4</v>
      </c>
      <c r="F5" s="4">
        <f>Extrapolations!U6</f>
        <v>2.4596029389759976E-4</v>
      </c>
      <c r="G5" s="4">
        <f>Extrapolations!V6</f>
        <v>2.4934559017391299E-4</v>
      </c>
      <c r="H5" s="4">
        <f>Extrapolations!W6</f>
        <v>2.5273088645022621E-4</v>
      </c>
      <c r="I5" s="4">
        <f>Extrapolations!X6</f>
        <v>2.5611618272653944E-4</v>
      </c>
      <c r="J5" s="4">
        <f>Extrapolations!Y6</f>
        <v>2.595014790028518E-4</v>
      </c>
      <c r="K5" s="4">
        <f>Extrapolations!Z6</f>
        <v>2.6288677527916502E-4</v>
      </c>
      <c r="L5" s="4">
        <f>Extrapolations!AA6</f>
        <v>2.6627207155547825E-4</v>
      </c>
      <c r="M5" s="4">
        <f>Extrapolations!AB6</f>
        <v>2.6965736783179147E-4</v>
      </c>
      <c r="N5" s="4">
        <f>Extrapolations!AC6</f>
        <v>2.7304266410810383E-4</v>
      </c>
      <c r="O5" s="4">
        <f>Extrapolations!AD6</f>
        <v>2.7642796038441705E-4</v>
      </c>
      <c r="P5" s="4">
        <f>Extrapolations!AE6</f>
        <v>2.7981325666073028E-4</v>
      </c>
      <c r="Q5" s="4">
        <f>Extrapolations!AF6</f>
        <v>2.831985529370435E-4</v>
      </c>
      <c r="R5" s="4">
        <f>Extrapolations!AG6</f>
        <v>2.8658384921335586E-4</v>
      </c>
      <c r="S5" s="4">
        <f>Extrapolations!AH6</f>
        <v>2.8996914548966909E-4</v>
      </c>
      <c r="T5" s="4">
        <f>Extrapolations!AI6</f>
        <v>2.9335444176598231E-4</v>
      </c>
      <c r="U5" s="4">
        <f>Extrapolations!AJ6</f>
        <v>2.9673973804229554E-4</v>
      </c>
      <c r="V5" s="4">
        <f>Extrapolations!AK6</f>
        <v>3.001250343186079E-4</v>
      </c>
      <c r="W5" s="4">
        <f>Extrapolations!AL6</f>
        <v>3.0351033059492112E-4</v>
      </c>
      <c r="X5" s="4">
        <f>Extrapolations!AM6</f>
        <v>3.0689562687123435E-4</v>
      </c>
      <c r="Y5" s="4">
        <f>Extrapolations!AN6</f>
        <v>3.1028092314754757E-4</v>
      </c>
      <c r="Z5" s="4">
        <f>Extrapolations!AO6</f>
        <v>3.1366621942385993E-4</v>
      </c>
      <c r="AA5" s="4">
        <f>Extrapolations!AP6</f>
        <v>3.1705151570017315E-4</v>
      </c>
      <c r="AB5" s="4">
        <f>Extrapolations!AQ6</f>
        <v>3.0464933987873528E-4</v>
      </c>
      <c r="AC5" s="4">
        <f>Extrapolations!AR6</f>
        <v>3.0464933987873528E-4</v>
      </c>
      <c r="AD5" s="4">
        <f>Extrapolations!AS6</f>
        <v>3.3408269543052564E-4</v>
      </c>
      <c r="AE5" s="4">
        <f>Extrapolations!AT6</f>
        <v>3.3665348546582375E-4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6.9725732637704308E-4</v>
      </c>
      <c r="C8" s="4">
        <f>C$5*Calculations!$B$27</f>
        <v>7.0741321520598275E-4</v>
      </c>
      <c r="D8" s="4">
        <f>D$5*Calculations!$B$27</f>
        <v>7.1756910403492243E-4</v>
      </c>
      <c r="E8" s="4">
        <f>E$5*Calculations!$B$27</f>
        <v>7.277249928638595E-4</v>
      </c>
      <c r="F8" s="4">
        <f>F$5*Calculations!$B$27</f>
        <v>7.3788088169279918E-4</v>
      </c>
      <c r="G8" s="4">
        <f>G$5*Calculations!$B$27</f>
        <v>7.4803677052173885E-4</v>
      </c>
      <c r="H8" s="4">
        <f>H$5*Calculations!$B$27</f>
        <v>7.5819265935067853E-4</v>
      </c>
      <c r="I8" s="4">
        <f>I$5*Calculations!$B$27</f>
        <v>7.683485481796182E-4</v>
      </c>
      <c r="J8" s="4">
        <f>J$5*Calculations!$B$27</f>
        <v>7.7850443700855528E-4</v>
      </c>
      <c r="K8" s="4">
        <f>K$5*Calculations!$B$27</f>
        <v>7.8866032583749495E-4</v>
      </c>
      <c r="L8" s="4">
        <f>L$5*Calculations!$B$27</f>
        <v>7.9881621466643463E-4</v>
      </c>
      <c r="M8" s="4">
        <f>M$5*Calculations!$B$27</f>
        <v>8.089721034953743E-4</v>
      </c>
      <c r="N8" s="4">
        <f>N$5*Calculations!$B$27</f>
        <v>8.1912799232431138E-4</v>
      </c>
      <c r="O8" s="4">
        <f>O$5*Calculations!$B$27</f>
        <v>8.2928388115325105E-4</v>
      </c>
      <c r="P8" s="4">
        <f>P$5*Calculations!$B$27</f>
        <v>8.3943976998219073E-4</v>
      </c>
      <c r="Q8" s="4">
        <f>Q$5*Calculations!$B$27</f>
        <v>8.4959565881113041E-4</v>
      </c>
      <c r="R8" s="4">
        <f>R$5*Calculations!$B$27</f>
        <v>8.5975154764006748E-4</v>
      </c>
      <c r="S8" s="4">
        <f>S$5*Calculations!$B$27</f>
        <v>8.6990743646900715E-4</v>
      </c>
      <c r="T8" s="4">
        <f>T$5*Calculations!$B$27</f>
        <v>8.8006332529794683E-4</v>
      </c>
      <c r="U8" s="4">
        <f>U$5*Calculations!$B$27</f>
        <v>8.9021921412688651E-4</v>
      </c>
      <c r="V8" s="4">
        <f>V$5*Calculations!$B$27</f>
        <v>9.0037510295582358E-4</v>
      </c>
      <c r="W8" s="4">
        <f>W$5*Calculations!$B$27</f>
        <v>9.1053099178476325E-4</v>
      </c>
      <c r="X8" s="4">
        <f>X$5*Calculations!$B$27</f>
        <v>9.2068688061370293E-4</v>
      </c>
      <c r="Y8" s="4">
        <f>Y$5*Calculations!$B$27</f>
        <v>9.3084276944264261E-4</v>
      </c>
      <c r="Z8" s="4">
        <f>Z$5*Calculations!$B$27</f>
        <v>9.4099865827157968E-4</v>
      </c>
      <c r="AA8" s="4">
        <f>AA$5*Calculations!$B$27</f>
        <v>9.5115454710051936E-4</v>
      </c>
      <c r="AB8" s="4">
        <f>AB$5*Calculations!$B$27</f>
        <v>9.1394801963620568E-4</v>
      </c>
      <c r="AC8" s="4">
        <f>AC$5*Calculations!$B$27</f>
        <v>9.1394801963620568E-4</v>
      </c>
      <c r="AD8" s="4">
        <f>AD$5*Calculations!$B$27</f>
        <v>1.0022480862915768E-3</v>
      </c>
      <c r="AE8" s="4">
        <f>AE$5*Calculations!$B$27</f>
        <v>1.0099604563974711E-3</v>
      </c>
      <c r="AG8" s="4"/>
      <c r="AH8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8"/>
  <sheetViews>
    <sheetView workbookViewId="0"/>
  </sheetViews>
  <sheetFormatPr defaultRowHeight="15"/>
  <cols>
    <col min="1" max="1" width="31.140625" customWidth="1"/>
  </cols>
  <sheetData>
    <row r="1" spans="1:34" ht="30">
      <c r="A1" s="14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2.9962432880267732E-4</v>
      </c>
      <c r="C2" s="4">
        <f>C$5/(1-'Other Values'!$B$3)</f>
        <v>2.9962432880267732E-4</v>
      </c>
      <c r="D2" s="4">
        <f>D$5/(1-'Other Values'!$B$3)</f>
        <v>2.9962432880267732E-4</v>
      </c>
      <c r="E2" s="4">
        <f>E$5/(1-'Other Values'!$B$3)</f>
        <v>2.9962432880267732E-4</v>
      </c>
      <c r="F2" s="4">
        <f>F$5/(1-'Other Values'!$B$3)</f>
        <v>2.9962432880267732E-4</v>
      </c>
      <c r="G2" s="4">
        <f>G$5/(1-'Other Values'!$B$3)</f>
        <v>2.9962432880267732E-4</v>
      </c>
      <c r="H2" s="4">
        <f>H$5/(1-'Other Values'!$B$3)</f>
        <v>2.9962432880267732E-4</v>
      </c>
      <c r="I2" s="4">
        <f>I$5/(1-'Other Values'!$B$3)</f>
        <v>2.9962432880267732E-4</v>
      </c>
      <c r="J2" s="4">
        <f>J$5/(1-'Other Values'!$B$3)</f>
        <v>2.9962432880267732E-4</v>
      </c>
      <c r="K2" s="4">
        <f>K$5/(1-'Other Values'!$B$3)</f>
        <v>2.9962432880267732E-4</v>
      </c>
      <c r="L2" s="4">
        <f>L$5/(1-'Other Values'!$B$3)</f>
        <v>2.9962432880267732E-4</v>
      </c>
      <c r="M2" s="4">
        <f>M$5/(1-'Other Values'!$B$3)</f>
        <v>2.9962432880267732E-4</v>
      </c>
      <c r="N2" s="4">
        <f>N$5/(1-'Other Values'!$B$3)</f>
        <v>2.9962432880267732E-4</v>
      </c>
      <c r="O2" s="4">
        <f>O$5/(1-'Other Values'!$B$3)</f>
        <v>2.9962432880267732E-4</v>
      </c>
      <c r="P2" s="4">
        <f>P$5/(1-'Other Values'!$B$3)</f>
        <v>2.9962432880267732E-4</v>
      </c>
      <c r="Q2" s="4">
        <f>Q$5/(1-'Other Values'!$B$3)</f>
        <v>2.9962432880267732E-4</v>
      </c>
      <c r="R2" s="4">
        <f>R$5/(1-'Other Values'!$B$3)</f>
        <v>2.9962432880267732E-4</v>
      </c>
      <c r="S2" s="4">
        <f>S$5/(1-'Other Values'!$B$3)</f>
        <v>2.9962432880267732E-4</v>
      </c>
      <c r="T2" s="4">
        <f>T$5/(1-'Other Values'!$B$3)</f>
        <v>2.9962432880267732E-4</v>
      </c>
      <c r="U2" s="4">
        <f>U$5/(1-'Other Values'!$B$3)</f>
        <v>2.9962432880267732E-4</v>
      </c>
      <c r="V2" s="4">
        <f>V$5/(1-'Other Values'!$B$3)</f>
        <v>2.9962432880267732E-4</v>
      </c>
      <c r="W2" s="4">
        <f>W$5/(1-'Other Values'!$B$3)</f>
        <v>2.9962432880267732E-4</v>
      </c>
      <c r="X2" s="4">
        <f>X$5/(1-'Other Values'!$B$3)</f>
        <v>2.9962432880267732E-4</v>
      </c>
      <c r="Y2" s="4">
        <f>Y$5/(1-'Other Values'!$B$3)</f>
        <v>2.9962432880267732E-4</v>
      </c>
      <c r="Z2" s="4">
        <f>Z$5/(1-'Other Values'!$B$3)</f>
        <v>2.9962432880267732E-4</v>
      </c>
      <c r="AA2" s="4">
        <f>AA$5/(1-'Other Values'!$B$3)</f>
        <v>2.9962432880267732E-4</v>
      </c>
      <c r="AB2" s="4">
        <f>AB$5/(1-'Other Values'!$B$3)</f>
        <v>2.9962432880267732E-4</v>
      </c>
      <c r="AC2" s="4">
        <f>AC$5/(1-'Other Values'!$B$3)</f>
        <v>2.9962432880267732E-4</v>
      </c>
      <c r="AD2" s="4">
        <f>AD$5/(1-'Other Values'!$B$3)</f>
        <v>3.2857219852439111E-4</v>
      </c>
      <c r="AE2" s="4">
        <f>AE$5/(1-'Other Values'!$B$3)</f>
        <v>3.3110058489517865E-4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Extrapolations!Q7</f>
        <v>9.3239985476639982E-5</v>
      </c>
      <c r="C5" s="4">
        <f>Extrapolations!R7</f>
        <v>9.3239985476639982E-5</v>
      </c>
      <c r="D5" s="4">
        <f>Extrapolations!S7</f>
        <v>9.3239985476639982E-5</v>
      </c>
      <c r="E5" s="4">
        <f>Extrapolations!T7</f>
        <v>9.3239985476639982E-5</v>
      </c>
      <c r="F5" s="4">
        <f>Extrapolations!U7</f>
        <v>9.3239985476639982E-5</v>
      </c>
      <c r="G5" s="4">
        <f>Extrapolations!V7</f>
        <v>9.3239985476639982E-5</v>
      </c>
      <c r="H5" s="4">
        <f>Extrapolations!W7</f>
        <v>9.3239985476639982E-5</v>
      </c>
      <c r="I5" s="4">
        <f>Extrapolations!X7</f>
        <v>9.3239985476639982E-5</v>
      </c>
      <c r="J5" s="4">
        <f>Extrapolations!Y7</f>
        <v>9.3239985476639982E-5</v>
      </c>
      <c r="K5" s="4">
        <f>Extrapolations!Z7</f>
        <v>9.3239985476639982E-5</v>
      </c>
      <c r="L5" s="4">
        <f>Extrapolations!AA7</f>
        <v>9.3239985476639982E-5</v>
      </c>
      <c r="M5" s="4">
        <f>Extrapolations!AB7</f>
        <v>9.3239985476639982E-5</v>
      </c>
      <c r="N5" s="4">
        <f>Extrapolations!AC7</f>
        <v>9.3239985476639982E-5</v>
      </c>
      <c r="O5" s="4">
        <f>Extrapolations!AD7</f>
        <v>9.3239985476639982E-5</v>
      </c>
      <c r="P5" s="4">
        <f>Extrapolations!AE7</f>
        <v>9.3239985476639982E-5</v>
      </c>
      <c r="Q5" s="4">
        <f>Extrapolations!AF7</f>
        <v>9.3239985476639982E-5</v>
      </c>
      <c r="R5" s="4">
        <f>Extrapolations!AG7</f>
        <v>9.3239985476639982E-5</v>
      </c>
      <c r="S5" s="4">
        <f>Extrapolations!AH7</f>
        <v>9.3239985476639982E-5</v>
      </c>
      <c r="T5" s="4">
        <f>Extrapolations!AI7</f>
        <v>9.3239985476639982E-5</v>
      </c>
      <c r="U5" s="4">
        <f>Extrapolations!AJ7</f>
        <v>9.3239985476639982E-5</v>
      </c>
      <c r="V5" s="4">
        <f>Extrapolations!AK7</f>
        <v>9.3239985476639982E-5</v>
      </c>
      <c r="W5" s="4">
        <f>Extrapolations!AL7</f>
        <v>9.3239985476639982E-5</v>
      </c>
      <c r="X5" s="4">
        <f>Extrapolations!AM7</f>
        <v>9.3239985476639982E-5</v>
      </c>
      <c r="Y5" s="4">
        <f>Extrapolations!AN7</f>
        <v>9.3239985476639982E-5</v>
      </c>
      <c r="Z5" s="4">
        <f>Extrapolations!AO7</f>
        <v>9.3239985476639982E-5</v>
      </c>
      <c r="AA5" s="4">
        <f>Extrapolations!AP7</f>
        <v>9.3239985476639982E-5</v>
      </c>
      <c r="AB5" s="4">
        <f>Extrapolations!AQ7</f>
        <v>9.3239985476639982E-5</v>
      </c>
      <c r="AC5" s="4">
        <f>Extrapolations!AR7</f>
        <v>9.3239985476639982E-5</v>
      </c>
      <c r="AD5" s="4">
        <f>Extrapolations!AS7</f>
        <v>1.0224826248544657E-4</v>
      </c>
      <c r="AE5" s="4">
        <f>Extrapolations!AT7</f>
        <v>1.0303507011696843E-4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2.7971995642991991E-4</v>
      </c>
      <c r="C8" s="4">
        <f>C$5*Calculations!$B$27</f>
        <v>2.7971995642991991E-4</v>
      </c>
      <c r="D8" s="4">
        <f>D$5*Calculations!$B$27</f>
        <v>2.7971995642991991E-4</v>
      </c>
      <c r="E8" s="4">
        <f>E$5*Calculations!$B$27</f>
        <v>2.7971995642991991E-4</v>
      </c>
      <c r="F8" s="4">
        <f>F$5*Calculations!$B$27</f>
        <v>2.7971995642991991E-4</v>
      </c>
      <c r="G8" s="4">
        <f>G$5*Calculations!$B$27</f>
        <v>2.7971995642991991E-4</v>
      </c>
      <c r="H8" s="4">
        <f>H$5*Calculations!$B$27</f>
        <v>2.7971995642991991E-4</v>
      </c>
      <c r="I8" s="4">
        <f>I$5*Calculations!$B$27</f>
        <v>2.7971995642991991E-4</v>
      </c>
      <c r="J8" s="4">
        <f>J$5*Calculations!$B$27</f>
        <v>2.7971995642991991E-4</v>
      </c>
      <c r="K8" s="4">
        <f>K$5*Calculations!$B$27</f>
        <v>2.7971995642991991E-4</v>
      </c>
      <c r="L8" s="4">
        <f>L$5*Calculations!$B$27</f>
        <v>2.7971995642991991E-4</v>
      </c>
      <c r="M8" s="4">
        <f>M$5*Calculations!$B$27</f>
        <v>2.7971995642991991E-4</v>
      </c>
      <c r="N8" s="4">
        <f>N$5*Calculations!$B$27</f>
        <v>2.7971995642991991E-4</v>
      </c>
      <c r="O8" s="4">
        <f>O$5*Calculations!$B$27</f>
        <v>2.7971995642991991E-4</v>
      </c>
      <c r="P8" s="4">
        <f>P$5*Calculations!$B$27</f>
        <v>2.7971995642991991E-4</v>
      </c>
      <c r="Q8" s="4">
        <f>Q$5*Calculations!$B$27</f>
        <v>2.7971995642991991E-4</v>
      </c>
      <c r="R8" s="4">
        <f>R$5*Calculations!$B$27</f>
        <v>2.7971995642991991E-4</v>
      </c>
      <c r="S8" s="4">
        <f>S$5*Calculations!$B$27</f>
        <v>2.7971995642991991E-4</v>
      </c>
      <c r="T8" s="4">
        <f>T$5*Calculations!$B$27</f>
        <v>2.7971995642991991E-4</v>
      </c>
      <c r="U8" s="4">
        <f>U$5*Calculations!$B$27</f>
        <v>2.7971995642991991E-4</v>
      </c>
      <c r="V8" s="4">
        <f>V$5*Calculations!$B$27</f>
        <v>2.7971995642991991E-4</v>
      </c>
      <c r="W8" s="4">
        <f>W$5*Calculations!$B$27</f>
        <v>2.7971995642991991E-4</v>
      </c>
      <c r="X8" s="4">
        <f>X$5*Calculations!$B$27</f>
        <v>2.7971995642991991E-4</v>
      </c>
      <c r="Y8" s="4">
        <f>Y$5*Calculations!$B$27</f>
        <v>2.7971995642991991E-4</v>
      </c>
      <c r="Z8" s="4">
        <f>Z$5*Calculations!$B$27</f>
        <v>2.7971995642991991E-4</v>
      </c>
      <c r="AA8" s="4">
        <f>AA$5*Calculations!$B$27</f>
        <v>2.7971995642991991E-4</v>
      </c>
      <c r="AB8" s="4">
        <f>AB$5*Calculations!$B$27</f>
        <v>2.7971995642991991E-4</v>
      </c>
      <c r="AC8" s="4">
        <f>AC$5*Calculations!$B$27</f>
        <v>2.7971995642991991E-4</v>
      </c>
      <c r="AD8" s="4">
        <f>AD$5*Calculations!$B$27</f>
        <v>3.0674478745633968E-4</v>
      </c>
      <c r="AE8" s="4">
        <f>AE$5*Calculations!$B$27</f>
        <v>3.0910521035090526E-4</v>
      </c>
      <c r="AG8" s="4"/>
      <c r="AH8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F13"/>
  <sheetViews>
    <sheetView workbookViewId="0">
      <selection activeCell="G22" sqref="G22"/>
    </sheetView>
  </sheetViews>
  <sheetFormatPr defaultRowHeight="15"/>
  <cols>
    <col min="1" max="1" width="31.140625" customWidth="1"/>
    <col min="2" max="2" width="10.42578125" customWidth="1"/>
    <col min="3" max="3" width="10.7109375" customWidth="1"/>
  </cols>
  <sheetData>
    <row r="1" spans="1:32" ht="30">
      <c r="A1" s="14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2" s="4" customFormat="1">
      <c r="A2" s="4" t="s">
        <v>2</v>
      </c>
      <c r="B2" s="4">
        <f>Extrapolations!G9</f>
        <v>6.7428486606874269E-4</v>
      </c>
      <c r="C2" s="4">
        <f>Extrapolations!H9</f>
        <v>6.7428486606874269E-4</v>
      </c>
      <c r="D2" s="4">
        <f>Extrapolations!I9</f>
        <v>6.7428486606874269E-4</v>
      </c>
      <c r="E2" s="4">
        <f>Extrapolations!J9</f>
        <v>6.7428486606874269E-4</v>
      </c>
      <c r="F2" s="4">
        <f>Extrapolations!K9</f>
        <v>6.7428486606874269E-4</v>
      </c>
      <c r="G2" s="4">
        <f>Extrapolations!L9</f>
        <v>6.7428486606874269E-4</v>
      </c>
      <c r="H2" s="4">
        <f>Extrapolations!M9</f>
        <v>6.7428486606874269E-4</v>
      </c>
      <c r="I2" s="4">
        <f>Extrapolations!N9</f>
        <v>6.7428486606874269E-4</v>
      </c>
      <c r="J2" s="4">
        <f>Extrapolations!O9</f>
        <v>6.7428486606874269E-4</v>
      </c>
      <c r="K2" s="4">
        <f>Extrapolations!P9</f>
        <v>6.7428486606874269E-4</v>
      </c>
      <c r="L2" s="4">
        <f>Extrapolations!Q9</f>
        <v>6.7428486606874269E-4</v>
      </c>
      <c r="M2" s="4">
        <f>Extrapolations!R9</f>
        <v>6.7428486606874269E-4</v>
      </c>
      <c r="N2" s="4">
        <f>Extrapolations!S9</f>
        <v>6.7428486606874269E-4</v>
      </c>
      <c r="O2" s="4">
        <f>Extrapolations!T9</f>
        <v>6.7428486606874269E-4</v>
      </c>
      <c r="P2" s="4">
        <f>Extrapolations!U9</f>
        <v>6.7428486606874269E-4</v>
      </c>
      <c r="Q2" s="4">
        <f>Extrapolations!V9</f>
        <v>6.7428486606874269E-4</v>
      </c>
      <c r="R2" s="4">
        <f>Extrapolations!W9</f>
        <v>6.7428486606874269E-4</v>
      </c>
      <c r="S2" s="4">
        <f>Extrapolations!X9</f>
        <v>6.7428486606874269E-4</v>
      </c>
      <c r="T2" s="4">
        <f>Extrapolations!Y9</f>
        <v>6.7428486606874269E-4</v>
      </c>
      <c r="U2" s="4">
        <f>Extrapolations!Z9</f>
        <v>6.7428486606874269E-4</v>
      </c>
      <c r="V2" s="4">
        <f>Extrapolations!AA9</f>
        <v>6.7428486606874269E-4</v>
      </c>
      <c r="W2" s="4">
        <f>Extrapolations!AB9</f>
        <v>6.7428486606874269E-4</v>
      </c>
      <c r="X2" s="4">
        <f>Extrapolations!AC9</f>
        <v>6.7428486606874269E-4</v>
      </c>
      <c r="Y2" s="4">
        <f>Extrapolations!AD9</f>
        <v>6.7428486606874269E-4</v>
      </c>
      <c r="Z2" s="4">
        <f>Extrapolations!AE9</f>
        <v>6.7428486606874269E-4</v>
      </c>
      <c r="AA2" s="4">
        <f>Extrapolations!AF9</f>
        <v>6.7428486606874269E-4</v>
      </c>
      <c r="AB2" s="4">
        <f>Extrapolations!AG9</f>
        <v>6.7428486606874269E-4</v>
      </c>
      <c r="AC2" s="4">
        <f>Extrapolations!AH9</f>
        <v>6.7428486606874269E-4</v>
      </c>
      <c r="AD2" s="4">
        <f>Extrapolations!AI9</f>
        <v>6.7428486606874269E-4</v>
      </c>
      <c r="AE2" s="4">
        <f>Extrapolations!AJ9</f>
        <v>6.7428486606874269E-4</v>
      </c>
    </row>
    <row r="3" spans="1:3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2">
      <c r="A5" t="s">
        <v>5</v>
      </c>
      <c r="B5" s="17">
        <f>Extrapolations!G8</f>
        <v>5.0586266198922429E-5</v>
      </c>
      <c r="C5" s="17">
        <f>Extrapolations!H8</f>
        <v>5.0586266198922429E-5</v>
      </c>
      <c r="D5" s="17">
        <f>Extrapolations!I8</f>
        <v>5.0586266198922429E-5</v>
      </c>
      <c r="E5" s="17">
        <f>Extrapolations!J8</f>
        <v>5.0586266198922429E-5</v>
      </c>
      <c r="F5" s="17">
        <f>Extrapolations!K8</f>
        <v>5.0586266198922429E-5</v>
      </c>
      <c r="G5" s="17">
        <f>Extrapolations!L8</f>
        <v>5.0586266198922429E-5</v>
      </c>
      <c r="H5" s="17">
        <f>Extrapolations!M8</f>
        <v>5.0586266198922429E-5</v>
      </c>
      <c r="I5" s="17">
        <f>Extrapolations!N8</f>
        <v>5.0586266198922429E-5</v>
      </c>
      <c r="J5" s="17">
        <f>Extrapolations!O8</f>
        <v>5.0586266198922429E-5</v>
      </c>
      <c r="K5" s="17">
        <f>Extrapolations!P8</f>
        <v>5.0586266198922429E-5</v>
      </c>
      <c r="L5" s="17">
        <f>Extrapolations!Q8</f>
        <v>5.0586266198922429E-5</v>
      </c>
      <c r="M5" s="17">
        <f>Extrapolations!R8</f>
        <v>5.0586266198922429E-5</v>
      </c>
      <c r="N5" s="17">
        <f>Extrapolations!S8</f>
        <v>5.0586266198922429E-5</v>
      </c>
      <c r="O5" s="17">
        <f>Extrapolations!T8</f>
        <v>5.0586266198922429E-5</v>
      </c>
      <c r="P5" s="17">
        <f>Extrapolations!U8</f>
        <v>5.0586266198922429E-5</v>
      </c>
      <c r="Q5" s="17">
        <f>Extrapolations!V8</f>
        <v>5.0586266198922429E-5</v>
      </c>
      <c r="R5" s="17">
        <f>Extrapolations!W8</f>
        <v>5.0586266198922429E-5</v>
      </c>
      <c r="S5" s="17">
        <f>Extrapolations!X8</f>
        <v>5.0586266198922429E-5</v>
      </c>
      <c r="T5" s="17">
        <f>Extrapolations!Y8</f>
        <v>5.0586266198922429E-5</v>
      </c>
      <c r="U5" s="17">
        <f>Extrapolations!Z8</f>
        <v>5.0586266198922429E-5</v>
      </c>
      <c r="V5" s="17">
        <f>Extrapolations!AA8</f>
        <v>5.0586266198922429E-5</v>
      </c>
      <c r="W5" s="17">
        <f>Extrapolations!AB8</f>
        <v>5.0586266198922429E-5</v>
      </c>
      <c r="X5" s="17">
        <f>Extrapolations!AC8</f>
        <v>5.0586266198922429E-5</v>
      </c>
      <c r="Y5" s="17">
        <f>Extrapolations!AD8</f>
        <v>5.0586266198922429E-5</v>
      </c>
      <c r="Z5" s="17">
        <f>Extrapolations!AE8</f>
        <v>5.0586266198922429E-5</v>
      </c>
      <c r="AA5" s="17">
        <f>Extrapolations!AF8</f>
        <v>5.0586266198922429E-5</v>
      </c>
      <c r="AB5" s="17">
        <f>Extrapolations!AG8</f>
        <v>5.0586266198922429E-5</v>
      </c>
      <c r="AC5" s="17">
        <f>Extrapolations!AH8</f>
        <v>5.0586266198922429E-5</v>
      </c>
      <c r="AD5" s="17">
        <f>Extrapolations!AI8</f>
        <v>5.0586266198922429E-5</v>
      </c>
      <c r="AE5" s="17">
        <f>Extrapolations!AJ8</f>
        <v>5.0586266198922429E-5</v>
      </c>
    </row>
    <row r="6" spans="1:3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2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2" s="4" customFormat="1">
      <c r="A8" s="4" t="s">
        <v>85</v>
      </c>
      <c r="B8" s="4">
        <f>B$5*Calculations!$B$27</f>
        <v>1.5175879859676727E-4</v>
      </c>
      <c r="C8" s="4">
        <f>C$5*Calculations!$B$27</f>
        <v>1.5175879859676727E-4</v>
      </c>
      <c r="D8" s="4">
        <f>D$5*Calculations!$B$27</f>
        <v>1.5175879859676727E-4</v>
      </c>
      <c r="E8" s="4">
        <f>E$5*Calculations!$B$27</f>
        <v>1.5175879859676727E-4</v>
      </c>
      <c r="F8" s="4">
        <f>F$5*Calculations!$B$27</f>
        <v>1.5175879859676727E-4</v>
      </c>
      <c r="G8" s="4">
        <f>G$5*Calculations!$B$27</f>
        <v>1.5175879859676727E-4</v>
      </c>
      <c r="H8" s="4">
        <f>H$5*Calculations!$B$27</f>
        <v>1.5175879859676727E-4</v>
      </c>
      <c r="I8" s="4">
        <f>I$5*Calculations!$B$27</f>
        <v>1.5175879859676727E-4</v>
      </c>
      <c r="J8" s="4">
        <f>J$5*Calculations!$B$27</f>
        <v>1.5175879859676727E-4</v>
      </c>
      <c r="K8" s="4">
        <f>K$5*Calculations!$B$27</f>
        <v>1.5175879859676727E-4</v>
      </c>
      <c r="L8" s="4">
        <f>L$5*Calculations!$B$27</f>
        <v>1.5175879859676727E-4</v>
      </c>
      <c r="M8" s="4">
        <f>M$5*Calculations!$B$27</f>
        <v>1.5175879859676727E-4</v>
      </c>
      <c r="N8" s="4">
        <f>N$5*Calculations!$B$27</f>
        <v>1.5175879859676727E-4</v>
      </c>
      <c r="O8" s="4">
        <f>O$5*Calculations!$B$27</f>
        <v>1.5175879859676727E-4</v>
      </c>
      <c r="P8" s="4">
        <f>P$5*Calculations!$B$27</f>
        <v>1.5175879859676727E-4</v>
      </c>
      <c r="Q8" s="4">
        <f>Q$5*Calculations!$B$27</f>
        <v>1.5175879859676727E-4</v>
      </c>
      <c r="R8" s="4">
        <f>R$5*Calculations!$B$27</f>
        <v>1.5175879859676727E-4</v>
      </c>
      <c r="S8" s="4">
        <f>S$5*Calculations!$B$27</f>
        <v>1.5175879859676727E-4</v>
      </c>
      <c r="T8" s="4">
        <f>T$5*Calculations!$B$27</f>
        <v>1.5175879859676727E-4</v>
      </c>
      <c r="U8" s="4">
        <f>U$5*Calculations!$B$27</f>
        <v>1.5175879859676727E-4</v>
      </c>
      <c r="V8" s="4">
        <f>V$5*Calculations!$B$27</f>
        <v>1.5175879859676727E-4</v>
      </c>
      <c r="W8" s="4">
        <f>W$5*Calculations!$B$27</f>
        <v>1.5175879859676727E-4</v>
      </c>
      <c r="X8" s="4">
        <f>X$5*Calculations!$B$27</f>
        <v>1.5175879859676727E-4</v>
      </c>
      <c r="Y8" s="4">
        <f>Y$5*Calculations!$B$27</f>
        <v>1.5175879859676727E-4</v>
      </c>
      <c r="Z8" s="4">
        <f>Z$5*Calculations!$B$27</f>
        <v>1.5175879859676727E-4</v>
      </c>
      <c r="AA8" s="4">
        <f>AA$5*Calculations!$B$27</f>
        <v>1.5175879859676727E-4</v>
      </c>
      <c r="AB8" s="4">
        <f>AB$5*Calculations!$B$27</f>
        <v>1.5175879859676727E-4</v>
      </c>
      <c r="AC8" s="4">
        <f>AC$5*Calculations!$B$27</f>
        <v>1.5175879859676727E-4</v>
      </c>
      <c r="AD8" s="4">
        <f>AD$5*Calculations!$B$27</f>
        <v>1.5175879859676727E-4</v>
      </c>
      <c r="AE8" s="4">
        <f>AE$5*Calculations!$B$27</f>
        <v>1.5175879859676727E-4</v>
      </c>
    </row>
    <row r="13" spans="1:32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H8"/>
  <sheetViews>
    <sheetView workbookViewId="0">
      <selection activeCell="B11" sqref="B11"/>
    </sheetView>
  </sheetViews>
  <sheetFormatPr defaultRowHeight="15"/>
  <cols>
    <col min="1" max="1" width="31.140625" customWidth="1"/>
  </cols>
  <sheetData>
    <row r="1" spans="1:34" ht="30">
      <c r="A1" s="14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1.0410899059976948E-2</v>
      </c>
      <c r="C2" s="4">
        <f>C$5/(1-'Other Values'!$B$3)</f>
        <v>1.0422491922818118E-2</v>
      </c>
      <c r="D2" s="4">
        <f>D$5/(1-'Other Values'!$B$3)</f>
        <v>1.0434084785659291E-2</v>
      </c>
      <c r="E2" s="4">
        <f>E$5/(1-'Other Values'!$B$3)</f>
        <v>1.0445677648500462E-2</v>
      </c>
      <c r="F2" s="4">
        <f>F$5/(1-'Other Values'!$B$3)</f>
        <v>1.0457270511341632E-2</v>
      </c>
      <c r="G2" s="4">
        <f>G$5/(1-'Other Values'!$B$3)</f>
        <v>1.0468863374182803E-2</v>
      </c>
      <c r="H2" s="4">
        <f>H$5/(1-'Other Values'!$B$3)</f>
        <v>1.0480456237023972E-2</v>
      </c>
      <c r="I2" s="4">
        <f>I$5/(1-'Other Values'!$B$3)</f>
        <v>1.0492049099865144E-2</v>
      </c>
      <c r="J2" s="4">
        <f>J$5/(1-'Other Values'!$B$3)</f>
        <v>1.0503641962706317E-2</v>
      </c>
      <c r="K2" s="4">
        <f>K$5/(1-'Other Values'!$B$3)</f>
        <v>1.0515234825547486E-2</v>
      </c>
      <c r="L2" s="4">
        <f>L$5/(1-'Other Values'!$B$3)</f>
        <v>1.0526827688388658E-2</v>
      </c>
      <c r="M2" s="4">
        <f>M$5/(1-'Other Values'!$B$3)</f>
        <v>1.0538420551229829E-2</v>
      </c>
      <c r="N2" s="4">
        <f>N$5/(1-'Other Values'!$B$3)</f>
        <v>1.0550013414070998E-2</v>
      </c>
      <c r="O2" s="4">
        <f>O$5/(1-'Other Values'!$B$3)</f>
        <v>1.0561606276912171E-2</v>
      </c>
      <c r="P2" s="4">
        <f>P$5/(1-'Other Values'!$B$3)</f>
        <v>1.0573199139753343E-2</v>
      </c>
      <c r="Q2" s="4">
        <f>Q$5/(1-'Other Values'!$B$3)</f>
        <v>1.0584792002594512E-2</v>
      </c>
      <c r="R2" s="4">
        <f>R$5/(1-'Other Values'!$B$3)</f>
        <v>1.0596384865435684E-2</v>
      </c>
      <c r="S2" s="4">
        <f>S$5/(1-'Other Values'!$B$3)</f>
        <v>1.0607977728276853E-2</v>
      </c>
      <c r="T2" s="4">
        <f>T$5/(1-'Other Values'!$B$3)</f>
        <v>1.0619570591118024E-2</v>
      </c>
      <c r="U2" s="4">
        <f>U$5/(1-'Other Values'!$B$3)</f>
        <v>1.0631163453959197E-2</v>
      </c>
      <c r="V2" s="4">
        <f>V$5/(1-'Other Values'!$B$3)</f>
        <v>1.0642756316800365E-2</v>
      </c>
      <c r="W2" s="4">
        <f>W$5/(1-'Other Values'!$B$3)</f>
        <v>1.0654349179641538E-2</v>
      </c>
      <c r="X2" s="4">
        <f>X$5/(1-'Other Values'!$B$3)</f>
        <v>1.0665942042482709E-2</v>
      </c>
      <c r="Y2" s="4">
        <f>Y$5/(1-'Other Values'!$B$3)</f>
        <v>1.0677534905323879E-2</v>
      </c>
      <c r="Z2" s="4">
        <f>Z$5/(1-'Other Values'!$B$3)</f>
        <v>1.068912776816505E-2</v>
      </c>
      <c r="AA2" s="4">
        <f>AA$5/(1-'Other Values'!$B$3)</f>
        <v>1.070072063100622E-2</v>
      </c>
      <c r="AB2" s="4">
        <f>AB$5/(1-'Other Values'!$B$3)</f>
        <v>1.0712313493847393E-2</v>
      </c>
      <c r="AC2" s="4">
        <f>AC$5/(1-'Other Values'!$B$3)</f>
        <v>1.0723906356688564E-2</v>
      </c>
      <c r="AD2" s="4">
        <f>AD$5/(1-'Other Values'!$B$3)</f>
        <v>1.0735499219529734E-2</v>
      </c>
      <c r="AE2" s="4">
        <f>AE$5/(1-'Other Values'!$B$3)</f>
        <v>1.0747092082370905E-2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Extrapolations!G10</f>
        <v>3.2397638770858776E-3</v>
      </c>
      <c r="C5" s="4">
        <f>Extrapolations!H10</f>
        <v>3.2433714558404558E-3</v>
      </c>
      <c r="D5" s="4">
        <f>Extrapolations!I10</f>
        <v>3.2469790345950348E-3</v>
      </c>
      <c r="E5" s="4">
        <f>Extrapolations!J10</f>
        <v>3.2505866133496139E-3</v>
      </c>
      <c r="F5" s="4">
        <f>Extrapolations!K10</f>
        <v>3.2541941921041921E-3</v>
      </c>
      <c r="G5" s="4">
        <f>Extrapolations!L10</f>
        <v>3.2578017708587712E-3</v>
      </c>
      <c r="H5" s="4">
        <f>Extrapolations!M10</f>
        <v>3.2614093496133494E-3</v>
      </c>
      <c r="I5" s="4">
        <f>Extrapolations!N10</f>
        <v>3.2650169283679285E-3</v>
      </c>
      <c r="J5" s="4">
        <f>Extrapolations!O10</f>
        <v>3.2686245071225075E-3</v>
      </c>
      <c r="K5" s="4">
        <f>Extrapolations!P10</f>
        <v>3.2722320858770857E-3</v>
      </c>
      <c r="L5" s="4">
        <f>Extrapolations!Q10</f>
        <v>3.2758396646316648E-3</v>
      </c>
      <c r="M5" s="4">
        <f>Extrapolations!R10</f>
        <v>3.2794472433862439E-3</v>
      </c>
      <c r="N5" s="4">
        <f>Extrapolations!S10</f>
        <v>3.2830548221408221E-3</v>
      </c>
      <c r="O5" s="4">
        <f>Extrapolations!T10</f>
        <v>3.2866624008954012E-3</v>
      </c>
      <c r="P5" s="4">
        <f>Extrapolations!U10</f>
        <v>3.2902699796499802E-3</v>
      </c>
      <c r="Q5" s="4">
        <f>Extrapolations!V10</f>
        <v>3.2938775584045584E-3</v>
      </c>
      <c r="R5" s="4">
        <f>Extrapolations!W10</f>
        <v>3.2974851371591375E-3</v>
      </c>
      <c r="S5" s="4">
        <f>Extrapolations!X10</f>
        <v>3.3010927159137157E-3</v>
      </c>
      <c r="T5" s="4">
        <f>Extrapolations!Y10</f>
        <v>3.3047002946682948E-3</v>
      </c>
      <c r="U5" s="4">
        <f>Extrapolations!Z10</f>
        <v>3.3083078734228739E-3</v>
      </c>
      <c r="V5" s="4">
        <f>Extrapolations!AA10</f>
        <v>3.3119154521774521E-3</v>
      </c>
      <c r="W5" s="4">
        <f>Extrapolations!AB10</f>
        <v>3.3155230309320311E-3</v>
      </c>
      <c r="X5" s="4">
        <f>Extrapolations!AC10</f>
        <v>3.3191306096866102E-3</v>
      </c>
      <c r="Y5" s="4">
        <f>Extrapolations!AD10</f>
        <v>3.3227381884411884E-3</v>
      </c>
      <c r="Z5" s="4">
        <f>Extrapolations!AE10</f>
        <v>3.3263457671957675E-3</v>
      </c>
      <c r="AA5" s="4">
        <f>Extrapolations!AF10</f>
        <v>3.3299533459503457E-3</v>
      </c>
      <c r="AB5" s="4">
        <f>Extrapolations!AG10</f>
        <v>3.3335609247049248E-3</v>
      </c>
      <c r="AC5" s="4">
        <f>Extrapolations!AH10</f>
        <v>3.3371685034595039E-3</v>
      </c>
      <c r="AD5" s="4">
        <f>Extrapolations!AI10</f>
        <v>3.3407760822140821E-3</v>
      </c>
      <c r="AE5" s="4">
        <f>Extrapolations!AJ10</f>
        <v>3.3443836609686611E-3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9.7192916312576309E-3</v>
      </c>
      <c r="C8" s="4">
        <f>C$5*Calculations!$B$27</f>
        <v>9.7301143675213655E-3</v>
      </c>
      <c r="D8" s="4">
        <f>D$5*Calculations!$B$27</f>
        <v>9.7409371037851036E-3</v>
      </c>
      <c r="E8" s="4">
        <f>E$5*Calculations!$B$27</f>
        <v>9.75175984004884E-3</v>
      </c>
      <c r="F8" s="4">
        <f>F$5*Calculations!$B$27</f>
        <v>9.7625825763125746E-3</v>
      </c>
      <c r="G8" s="4">
        <f>G$5*Calculations!$B$27</f>
        <v>9.7734053125763127E-3</v>
      </c>
      <c r="H8" s="4">
        <f>H$5*Calculations!$B$27</f>
        <v>9.7842280488400473E-3</v>
      </c>
      <c r="I8" s="4">
        <f>I$5*Calculations!$B$27</f>
        <v>9.7950507851037837E-3</v>
      </c>
      <c r="J8" s="4">
        <f>J$5*Calculations!$B$27</f>
        <v>9.8058735213675217E-3</v>
      </c>
      <c r="K8" s="4">
        <f>K$5*Calculations!$B$27</f>
        <v>9.8166962576312564E-3</v>
      </c>
      <c r="L8" s="4">
        <f>L$5*Calculations!$B$27</f>
        <v>9.8275189938949927E-3</v>
      </c>
      <c r="M8" s="4">
        <f>M$5*Calculations!$B$27</f>
        <v>9.8383417301587308E-3</v>
      </c>
      <c r="N8" s="4">
        <f>N$5*Calculations!$B$27</f>
        <v>9.8491644664224654E-3</v>
      </c>
      <c r="O8" s="4">
        <f>O$5*Calculations!$B$27</f>
        <v>9.8599872026862018E-3</v>
      </c>
      <c r="P8" s="4">
        <f>P$5*Calculations!$B$27</f>
        <v>9.8708099389499399E-3</v>
      </c>
      <c r="Q8" s="4">
        <f>Q$5*Calculations!$B$27</f>
        <v>9.8816326752136745E-3</v>
      </c>
      <c r="R8" s="4">
        <f>R$5*Calculations!$B$27</f>
        <v>9.8924554114774108E-3</v>
      </c>
      <c r="S8" s="4">
        <f>S$5*Calculations!$B$27</f>
        <v>9.9032781477411454E-3</v>
      </c>
      <c r="T8" s="4">
        <f>T$5*Calculations!$B$27</f>
        <v>9.9141008840048835E-3</v>
      </c>
      <c r="U8" s="4">
        <f>U$5*Calculations!$B$27</f>
        <v>9.9249236202686199E-3</v>
      </c>
      <c r="V8" s="4">
        <f>V$5*Calculations!$B$27</f>
        <v>9.9357463565323545E-3</v>
      </c>
      <c r="W8" s="4">
        <f>W$5*Calculations!$B$27</f>
        <v>9.9465690927960926E-3</v>
      </c>
      <c r="X8" s="4">
        <f>X$5*Calculations!$B$27</f>
        <v>9.9573918290598289E-3</v>
      </c>
      <c r="Y8" s="4">
        <f>Y$5*Calculations!$B$27</f>
        <v>9.9682145653235636E-3</v>
      </c>
      <c r="Z8" s="4">
        <f>Z$5*Calculations!$B$27</f>
        <v>9.9790373015873016E-3</v>
      </c>
      <c r="AA8" s="4">
        <f>AA$5*Calculations!$B$27</f>
        <v>9.9898600378510363E-3</v>
      </c>
      <c r="AB8" s="4">
        <f>AB$5*Calculations!$B$27</f>
        <v>1.0000682774114773E-2</v>
      </c>
      <c r="AC8" s="4">
        <f>AC$5*Calculations!$B$27</f>
        <v>1.0011505510378511E-2</v>
      </c>
      <c r="AD8" s="4">
        <f>AD$5*Calculations!$B$27</f>
        <v>1.0022328246642245E-2</v>
      </c>
      <c r="AE8" s="4">
        <f>AE$5*Calculations!$B$27</f>
        <v>1.0033150982905982E-2</v>
      </c>
      <c r="AG8" s="4"/>
      <c r="AH8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H8"/>
  <sheetViews>
    <sheetView workbookViewId="0">
      <selection activeCell="G16" sqref="G16"/>
    </sheetView>
  </sheetViews>
  <sheetFormatPr defaultRowHeight="15"/>
  <cols>
    <col min="1" max="1" width="31.140625" customWidth="1"/>
  </cols>
  <sheetData>
    <row r="1" spans="1:34" ht="30">
      <c r="A1" s="14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TRANSPOSE(SYFAFE!B6:H6)</f>
        <v>3.8151653664103207E-5</v>
      </c>
      <c r="C2" s="4">
        <f>B2</f>
        <v>3.8151653664103207E-5</v>
      </c>
      <c r="D2" s="4">
        <f t="shared" ref="D2:AE8" si="0">C2</f>
        <v>3.8151653664103207E-5</v>
      </c>
      <c r="E2" s="4">
        <f t="shared" si="0"/>
        <v>3.8151653664103207E-5</v>
      </c>
      <c r="F2" s="4">
        <f t="shared" si="0"/>
        <v>3.8151653664103207E-5</v>
      </c>
      <c r="G2" s="4">
        <f t="shared" si="0"/>
        <v>3.8151653664103207E-5</v>
      </c>
      <c r="H2" s="4">
        <f t="shared" si="0"/>
        <v>3.8151653664103207E-5</v>
      </c>
      <c r="I2" s="4">
        <f t="shared" si="0"/>
        <v>3.8151653664103207E-5</v>
      </c>
      <c r="J2" s="4">
        <f t="shared" si="0"/>
        <v>3.8151653664103207E-5</v>
      </c>
      <c r="K2" s="4">
        <f t="shared" si="0"/>
        <v>3.8151653664103207E-5</v>
      </c>
      <c r="L2" s="4">
        <f t="shared" si="0"/>
        <v>3.8151653664103207E-5</v>
      </c>
      <c r="M2" s="4">
        <f t="shared" si="0"/>
        <v>3.8151653664103207E-5</v>
      </c>
      <c r="N2" s="4">
        <f t="shared" si="0"/>
        <v>3.8151653664103207E-5</v>
      </c>
      <c r="O2" s="4">
        <f t="shared" si="0"/>
        <v>3.8151653664103207E-5</v>
      </c>
      <c r="P2" s="4">
        <f t="shared" si="0"/>
        <v>3.8151653664103207E-5</v>
      </c>
      <c r="Q2" s="4">
        <f t="shared" si="0"/>
        <v>3.8151653664103207E-5</v>
      </c>
      <c r="R2" s="4">
        <f t="shared" si="0"/>
        <v>3.8151653664103207E-5</v>
      </c>
      <c r="S2" s="4">
        <f t="shared" si="0"/>
        <v>3.8151653664103207E-5</v>
      </c>
      <c r="T2" s="4">
        <f t="shared" si="0"/>
        <v>3.8151653664103207E-5</v>
      </c>
      <c r="U2" s="4">
        <f t="shared" si="0"/>
        <v>3.8151653664103207E-5</v>
      </c>
      <c r="V2" s="4">
        <f t="shared" si="0"/>
        <v>3.8151653664103207E-5</v>
      </c>
      <c r="W2" s="4">
        <f t="shared" si="0"/>
        <v>3.8151653664103207E-5</v>
      </c>
      <c r="X2" s="4">
        <f t="shared" si="0"/>
        <v>3.8151653664103207E-5</v>
      </c>
      <c r="Y2" s="4">
        <f t="shared" si="0"/>
        <v>3.8151653664103207E-5</v>
      </c>
      <c r="Z2" s="4">
        <f t="shared" si="0"/>
        <v>3.8151653664103207E-5</v>
      </c>
      <c r="AA2" s="4">
        <f t="shared" si="0"/>
        <v>3.8151653664103207E-5</v>
      </c>
      <c r="AB2" s="4">
        <f t="shared" si="0"/>
        <v>3.8151653664103207E-5</v>
      </c>
      <c r="AC2" s="4">
        <f t="shared" si="0"/>
        <v>3.8151653664103207E-5</v>
      </c>
      <c r="AD2" s="4">
        <f t="shared" si="0"/>
        <v>3.8151653664103207E-5</v>
      </c>
      <c r="AE2" s="4">
        <f t="shared" si="0"/>
        <v>3.8151653664103207E-5</v>
      </c>
      <c r="AG2" s="4"/>
      <c r="AH2" s="4"/>
    </row>
    <row r="3" spans="1:34">
      <c r="A3" t="s">
        <v>3</v>
      </c>
      <c r="B3">
        <v>0</v>
      </c>
      <c r="C3" s="4">
        <f t="shared" ref="C3:C8" si="1">B3</f>
        <v>0</v>
      </c>
      <c r="D3" s="4">
        <f t="shared" ref="D3:Q3" si="2">C3</f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  <c r="O3" s="4">
        <f t="shared" si="2"/>
        <v>0</v>
      </c>
      <c r="P3" s="4">
        <f t="shared" si="2"/>
        <v>0</v>
      </c>
      <c r="Q3" s="4">
        <f t="shared" si="2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">
        <f t="shared" si="0"/>
        <v>0</v>
      </c>
      <c r="AD3" s="4">
        <f t="shared" si="0"/>
        <v>0</v>
      </c>
      <c r="AE3" s="4">
        <f t="shared" si="0"/>
        <v>0</v>
      </c>
    </row>
    <row r="4" spans="1:34">
      <c r="A4" t="s">
        <v>4</v>
      </c>
      <c r="B4" s="4">
        <v>1.1872400950049923E-5</v>
      </c>
      <c r="C4" s="4">
        <f t="shared" si="1"/>
        <v>1.1872400950049923E-5</v>
      </c>
      <c r="D4" s="4">
        <f t="shared" si="0"/>
        <v>1.1872400950049923E-5</v>
      </c>
      <c r="E4" s="4">
        <f t="shared" si="0"/>
        <v>1.1872400950049923E-5</v>
      </c>
      <c r="F4" s="4">
        <f t="shared" si="0"/>
        <v>1.1872400950049923E-5</v>
      </c>
      <c r="G4" s="4">
        <f t="shared" si="0"/>
        <v>1.1872400950049923E-5</v>
      </c>
      <c r="H4" s="4">
        <f t="shared" si="0"/>
        <v>1.1872400950049923E-5</v>
      </c>
      <c r="I4" s="4">
        <f t="shared" si="0"/>
        <v>1.1872400950049923E-5</v>
      </c>
      <c r="J4" s="4">
        <f t="shared" si="0"/>
        <v>1.1872400950049923E-5</v>
      </c>
      <c r="K4" s="4">
        <f t="shared" si="0"/>
        <v>1.1872400950049923E-5</v>
      </c>
      <c r="L4" s="4">
        <f t="shared" si="0"/>
        <v>1.1872400950049923E-5</v>
      </c>
      <c r="M4" s="4">
        <f t="shared" si="0"/>
        <v>1.1872400950049923E-5</v>
      </c>
      <c r="N4" s="4">
        <f t="shared" si="0"/>
        <v>1.1872400950049923E-5</v>
      </c>
      <c r="O4" s="4">
        <f t="shared" si="0"/>
        <v>1.1872400950049923E-5</v>
      </c>
      <c r="P4" s="4">
        <f t="shared" si="0"/>
        <v>1.1872400950049923E-5</v>
      </c>
      <c r="Q4" s="4">
        <f t="shared" si="0"/>
        <v>1.1872400950049923E-5</v>
      </c>
      <c r="R4" s="4">
        <f t="shared" si="0"/>
        <v>1.1872400950049923E-5</v>
      </c>
      <c r="S4" s="4">
        <f t="shared" si="0"/>
        <v>1.1872400950049923E-5</v>
      </c>
      <c r="T4" s="4">
        <f t="shared" si="0"/>
        <v>1.1872400950049923E-5</v>
      </c>
      <c r="U4" s="4">
        <f t="shared" si="0"/>
        <v>1.1872400950049923E-5</v>
      </c>
      <c r="V4" s="4">
        <f t="shared" si="0"/>
        <v>1.1872400950049923E-5</v>
      </c>
      <c r="W4" s="4">
        <f t="shared" si="0"/>
        <v>1.1872400950049923E-5</v>
      </c>
      <c r="X4" s="4">
        <f t="shared" si="0"/>
        <v>1.1872400950049923E-5</v>
      </c>
      <c r="Y4" s="4">
        <f t="shared" si="0"/>
        <v>1.1872400950049923E-5</v>
      </c>
      <c r="Z4" s="4">
        <f t="shared" si="0"/>
        <v>1.1872400950049923E-5</v>
      </c>
      <c r="AA4" s="4">
        <f t="shared" si="0"/>
        <v>1.1872400950049923E-5</v>
      </c>
      <c r="AB4" s="4">
        <f t="shared" si="0"/>
        <v>1.1872400950049923E-5</v>
      </c>
      <c r="AC4" s="4">
        <f t="shared" si="0"/>
        <v>1.1872400950049923E-5</v>
      </c>
      <c r="AD4" s="4">
        <f t="shared" si="0"/>
        <v>1.1872400950049923E-5</v>
      </c>
      <c r="AE4" s="4">
        <f t="shared" si="0"/>
        <v>1.1872400950049923E-5</v>
      </c>
    </row>
    <row r="5" spans="1:34">
      <c r="A5" t="s">
        <v>5</v>
      </c>
      <c r="B5" s="4">
        <v>1.1872399173210917E-5</v>
      </c>
      <c r="C5" s="4">
        <f t="shared" si="1"/>
        <v>1.1872399173210917E-5</v>
      </c>
      <c r="D5" s="4">
        <f t="shared" si="0"/>
        <v>1.1872399173210917E-5</v>
      </c>
      <c r="E5" s="4">
        <f t="shared" si="0"/>
        <v>1.1872399173210917E-5</v>
      </c>
      <c r="F5" s="4">
        <f t="shared" si="0"/>
        <v>1.1872399173210917E-5</v>
      </c>
      <c r="G5" s="4">
        <f t="shared" si="0"/>
        <v>1.1872399173210917E-5</v>
      </c>
      <c r="H5" s="4">
        <f t="shared" si="0"/>
        <v>1.1872399173210917E-5</v>
      </c>
      <c r="I5" s="4">
        <f t="shared" si="0"/>
        <v>1.1872399173210917E-5</v>
      </c>
      <c r="J5" s="4">
        <f t="shared" si="0"/>
        <v>1.1872399173210917E-5</v>
      </c>
      <c r="K5" s="4">
        <f t="shared" si="0"/>
        <v>1.1872399173210917E-5</v>
      </c>
      <c r="L5" s="4">
        <f t="shared" si="0"/>
        <v>1.1872399173210917E-5</v>
      </c>
      <c r="M5" s="4">
        <f t="shared" si="0"/>
        <v>1.1872399173210917E-5</v>
      </c>
      <c r="N5" s="4">
        <f t="shared" si="0"/>
        <v>1.1872399173210917E-5</v>
      </c>
      <c r="O5" s="4">
        <f t="shared" si="0"/>
        <v>1.1872399173210917E-5</v>
      </c>
      <c r="P5" s="4">
        <f t="shared" si="0"/>
        <v>1.1872399173210917E-5</v>
      </c>
      <c r="Q5" s="4">
        <f t="shared" si="0"/>
        <v>1.1872399173210917E-5</v>
      </c>
      <c r="R5" s="4">
        <f t="shared" si="0"/>
        <v>1.1872399173210917E-5</v>
      </c>
      <c r="S5" s="4">
        <f t="shared" si="0"/>
        <v>1.1872399173210917E-5</v>
      </c>
      <c r="T5" s="4">
        <f t="shared" si="0"/>
        <v>1.1872399173210917E-5</v>
      </c>
      <c r="U5" s="4">
        <f t="shared" si="0"/>
        <v>1.1872399173210917E-5</v>
      </c>
      <c r="V5" s="4">
        <f t="shared" si="0"/>
        <v>1.1872399173210917E-5</v>
      </c>
      <c r="W5" s="4">
        <f t="shared" si="0"/>
        <v>1.1872399173210917E-5</v>
      </c>
      <c r="X5" s="4">
        <f t="shared" si="0"/>
        <v>1.1872399173210917E-5</v>
      </c>
      <c r="Y5" s="4">
        <f t="shared" si="0"/>
        <v>1.1872399173210917E-5</v>
      </c>
      <c r="Z5" s="4">
        <f t="shared" si="0"/>
        <v>1.1872399173210917E-5</v>
      </c>
      <c r="AA5" s="4">
        <f t="shared" si="0"/>
        <v>1.1872399173210917E-5</v>
      </c>
      <c r="AB5" s="4">
        <f t="shared" si="0"/>
        <v>1.1872399173210917E-5</v>
      </c>
      <c r="AC5" s="4">
        <f t="shared" si="0"/>
        <v>1.1872399173210917E-5</v>
      </c>
      <c r="AD5" s="4">
        <f t="shared" si="0"/>
        <v>1.1872399173210917E-5</v>
      </c>
      <c r="AE5" s="4">
        <f t="shared" si="0"/>
        <v>1.1872399173210917E-5</v>
      </c>
      <c r="AG5" s="4"/>
      <c r="AH5" s="4"/>
    </row>
    <row r="6" spans="1:34">
      <c r="A6" t="s">
        <v>6</v>
      </c>
      <c r="B6">
        <v>0</v>
      </c>
      <c r="C6" s="4">
        <f t="shared" si="1"/>
        <v>0</v>
      </c>
      <c r="D6" s="4">
        <f t="shared" si="0"/>
        <v>0</v>
      </c>
      <c r="E6" s="4">
        <f t="shared" si="0"/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4">
        <f t="shared" si="0"/>
        <v>0</v>
      </c>
      <c r="R6" s="4">
        <f t="shared" si="0"/>
        <v>0</v>
      </c>
      <c r="S6" s="4">
        <f t="shared" si="0"/>
        <v>0</v>
      </c>
      <c r="T6" s="4">
        <f t="shared" si="0"/>
        <v>0</v>
      </c>
      <c r="U6" s="4">
        <f t="shared" si="0"/>
        <v>0</v>
      </c>
      <c r="V6" s="4">
        <f t="shared" si="0"/>
        <v>0</v>
      </c>
      <c r="W6" s="4">
        <f t="shared" si="0"/>
        <v>0</v>
      </c>
      <c r="X6" s="4">
        <f t="shared" si="0"/>
        <v>0</v>
      </c>
      <c r="Y6" s="4">
        <f t="shared" si="0"/>
        <v>0</v>
      </c>
      <c r="Z6" s="4">
        <f t="shared" si="0"/>
        <v>0</v>
      </c>
      <c r="AA6" s="4">
        <f t="shared" si="0"/>
        <v>0</v>
      </c>
      <c r="AB6" s="4">
        <f t="shared" si="0"/>
        <v>0</v>
      </c>
      <c r="AC6" s="4">
        <f t="shared" si="0"/>
        <v>0</v>
      </c>
      <c r="AD6" s="4">
        <f t="shared" si="0"/>
        <v>0</v>
      </c>
      <c r="AE6" s="4">
        <f t="shared" si="0"/>
        <v>0</v>
      </c>
    </row>
    <row r="7" spans="1:34">
      <c r="A7" t="s">
        <v>84</v>
      </c>
      <c r="B7">
        <v>0</v>
      </c>
      <c r="C7" s="4">
        <f t="shared" si="1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4">
        <f t="shared" si="0"/>
        <v>0</v>
      </c>
      <c r="R7" s="4">
        <f t="shared" si="0"/>
        <v>0</v>
      </c>
      <c r="S7" s="4">
        <f t="shared" si="0"/>
        <v>0</v>
      </c>
      <c r="T7" s="4">
        <f t="shared" si="0"/>
        <v>0</v>
      </c>
      <c r="U7" s="4">
        <f t="shared" si="0"/>
        <v>0</v>
      </c>
      <c r="V7" s="4">
        <f t="shared" si="0"/>
        <v>0</v>
      </c>
      <c r="W7" s="4">
        <f t="shared" si="0"/>
        <v>0</v>
      </c>
      <c r="X7" s="4">
        <f t="shared" si="0"/>
        <v>0</v>
      </c>
      <c r="Y7" s="4">
        <f t="shared" si="0"/>
        <v>0</v>
      </c>
      <c r="Z7" s="4">
        <f t="shared" si="0"/>
        <v>0</v>
      </c>
      <c r="AA7" s="4">
        <f t="shared" si="0"/>
        <v>0</v>
      </c>
      <c r="AB7" s="4">
        <f t="shared" si="0"/>
        <v>0</v>
      </c>
      <c r="AC7" s="4">
        <f t="shared" si="0"/>
        <v>0</v>
      </c>
      <c r="AD7" s="4">
        <f t="shared" si="0"/>
        <v>0</v>
      </c>
      <c r="AE7" s="4">
        <f t="shared" si="0"/>
        <v>0</v>
      </c>
    </row>
    <row r="8" spans="1:34">
      <c r="A8" t="s">
        <v>85</v>
      </c>
      <c r="B8" s="4">
        <v>3.5617197519632745E-5</v>
      </c>
      <c r="C8" s="4">
        <f t="shared" si="1"/>
        <v>3.5617197519632745E-5</v>
      </c>
      <c r="D8" s="4">
        <f t="shared" si="0"/>
        <v>3.5617197519632745E-5</v>
      </c>
      <c r="E8" s="4">
        <f t="shared" si="0"/>
        <v>3.5617197519632745E-5</v>
      </c>
      <c r="F8" s="4">
        <f t="shared" si="0"/>
        <v>3.5617197519632745E-5</v>
      </c>
      <c r="G8" s="4">
        <f t="shared" si="0"/>
        <v>3.5617197519632745E-5</v>
      </c>
      <c r="H8" s="4">
        <f t="shared" si="0"/>
        <v>3.5617197519632745E-5</v>
      </c>
      <c r="I8" s="4">
        <f t="shared" si="0"/>
        <v>3.5617197519632745E-5</v>
      </c>
      <c r="J8" s="4">
        <f t="shared" si="0"/>
        <v>3.5617197519632745E-5</v>
      </c>
      <c r="K8" s="4">
        <f t="shared" si="0"/>
        <v>3.5617197519632745E-5</v>
      </c>
      <c r="L8" s="4">
        <f t="shared" si="0"/>
        <v>3.5617197519632745E-5</v>
      </c>
      <c r="M8" s="4">
        <f t="shared" si="0"/>
        <v>3.5617197519632745E-5</v>
      </c>
      <c r="N8" s="4">
        <f t="shared" si="0"/>
        <v>3.5617197519632745E-5</v>
      </c>
      <c r="O8" s="4">
        <f t="shared" si="0"/>
        <v>3.5617197519632745E-5</v>
      </c>
      <c r="P8" s="4">
        <f t="shared" si="0"/>
        <v>3.5617197519632745E-5</v>
      </c>
      <c r="Q8" s="4">
        <f t="shared" si="0"/>
        <v>3.5617197519632745E-5</v>
      </c>
      <c r="R8" s="4">
        <f t="shared" si="0"/>
        <v>3.5617197519632745E-5</v>
      </c>
      <c r="S8" s="4">
        <f t="shared" si="0"/>
        <v>3.5617197519632745E-5</v>
      </c>
      <c r="T8" s="4">
        <f t="shared" si="0"/>
        <v>3.5617197519632745E-5</v>
      </c>
      <c r="U8" s="4">
        <f t="shared" si="0"/>
        <v>3.5617197519632745E-5</v>
      </c>
      <c r="V8" s="4">
        <f t="shared" si="0"/>
        <v>3.5617197519632745E-5</v>
      </c>
      <c r="W8" s="4">
        <f t="shared" si="0"/>
        <v>3.5617197519632745E-5</v>
      </c>
      <c r="X8" s="4">
        <f t="shared" si="0"/>
        <v>3.5617197519632745E-5</v>
      </c>
      <c r="Y8" s="4">
        <f t="shared" si="0"/>
        <v>3.5617197519632745E-5</v>
      </c>
      <c r="Z8" s="4">
        <f t="shared" si="0"/>
        <v>3.5617197519632745E-5</v>
      </c>
      <c r="AA8" s="4">
        <f t="shared" si="0"/>
        <v>3.5617197519632745E-5</v>
      </c>
      <c r="AB8" s="4">
        <f t="shared" si="0"/>
        <v>3.5617197519632745E-5</v>
      </c>
      <c r="AC8" s="4">
        <f t="shared" si="0"/>
        <v>3.5617197519632745E-5</v>
      </c>
      <c r="AD8" s="4">
        <f t="shared" si="0"/>
        <v>3.5617197519632745E-5</v>
      </c>
      <c r="AE8" s="4">
        <f t="shared" si="0"/>
        <v>3.5617197519632745E-5</v>
      </c>
      <c r="AG8" s="4"/>
      <c r="AH8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H8"/>
  <sheetViews>
    <sheetView workbookViewId="0">
      <selection activeCell="B1" sqref="B1:B1048576"/>
    </sheetView>
  </sheetViews>
  <sheetFormatPr defaultRowHeight="15"/>
  <cols>
    <col min="1" max="1" width="31.140625" customWidth="1"/>
  </cols>
  <sheetData>
    <row r="1" spans="1:34" ht="30">
      <c r="A1" s="14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>B$5/(1-'Other Values'!$B$3)</f>
        <v>1.3303075089805058E-2</v>
      </c>
      <c r="C2" s="4">
        <f>C$5/(1-'Other Values'!$B$3)</f>
        <v>1.3366797487575091E-2</v>
      </c>
      <c r="D2" s="4">
        <f>D$5/(1-'Other Values'!$B$3)</f>
        <v>1.3430519885345124E-2</v>
      </c>
      <c r="E2" s="4">
        <f>E$5/(1-'Other Values'!$B$3)</f>
        <v>1.3494242283115156E-2</v>
      </c>
      <c r="F2" s="4">
        <f>F$5/(1-'Other Values'!$B$3)</f>
        <v>1.3557964680885187E-2</v>
      </c>
      <c r="G2" s="4">
        <f>G$5/(1-'Other Values'!$B$3)</f>
        <v>1.362168707865522E-2</v>
      </c>
      <c r="H2" s="4">
        <f>H$5/(1-'Other Values'!$B$3)</f>
        <v>1.3685409476425252E-2</v>
      </c>
      <c r="I2" s="4">
        <f>I$5/(1-'Other Values'!$B$3)</f>
        <v>1.3749131874195285E-2</v>
      </c>
      <c r="J2" s="4">
        <f>J$5/(1-'Other Values'!$B$3)</f>
        <v>1.3812854271965316E-2</v>
      </c>
      <c r="K2" s="4">
        <f>K$5/(1-'Other Values'!$B$3)</f>
        <v>1.3876576669735349E-2</v>
      </c>
      <c r="L2" s="4">
        <f>L$5/(1-'Other Values'!$B$3)</f>
        <v>1.3940299067505381E-2</v>
      </c>
      <c r="M2" s="4">
        <f>M$5/(1-'Other Values'!$B$3)</f>
        <v>1.4004021465275414E-2</v>
      </c>
      <c r="N2" s="4">
        <f>N$5/(1-'Other Values'!$B$3)</f>
        <v>1.4067743863045445E-2</v>
      </c>
      <c r="O2" s="4">
        <f>O$5/(1-'Other Values'!$B$3)</f>
        <v>1.4131466260815477E-2</v>
      </c>
      <c r="P2" s="4">
        <f>P$5/(1-'Other Values'!$B$3)</f>
        <v>1.419518865858551E-2</v>
      </c>
      <c r="Q2" s="4">
        <f>Q$5/(1-'Other Values'!$B$3)</f>
        <v>1.4258911056355543E-2</v>
      </c>
      <c r="R2" s="4">
        <f>R$5/(1-'Other Values'!$B$3)</f>
        <v>1.4322633454125573E-2</v>
      </c>
      <c r="S2" s="4">
        <f>S$5/(1-'Other Values'!$B$3)</f>
        <v>1.4386355851895606E-2</v>
      </c>
      <c r="T2" s="4">
        <f>T$5/(1-'Other Values'!$B$3)</f>
        <v>1.4450078249665639E-2</v>
      </c>
      <c r="U2" s="4">
        <f>U$5/(1-'Other Values'!$B$3)</f>
        <v>1.4513800647435671E-2</v>
      </c>
      <c r="V2" s="4">
        <f>V$5/(1-'Other Values'!$B$3)</f>
        <v>1.4577523045205702E-2</v>
      </c>
      <c r="W2" s="4">
        <f>W$5/(1-'Other Values'!$B$3)</f>
        <v>1.4641245442975735E-2</v>
      </c>
      <c r="X2" s="4">
        <f>X$5/(1-'Other Values'!$B$3)</f>
        <v>1.4704967840745767E-2</v>
      </c>
      <c r="Y2" s="4">
        <f>Y$5/(1-'Other Values'!$B$3)</f>
        <v>1.47686902385158E-2</v>
      </c>
      <c r="Z2" s="4">
        <f>Z$5/(1-'Other Values'!$B$3)</f>
        <v>1.4832412636285831E-2</v>
      </c>
      <c r="AA2" s="4">
        <f>AA$5/(1-'Other Values'!$B$3)</f>
        <v>1.4896135034055864E-2</v>
      </c>
      <c r="AB2" s="4">
        <f>AB$5/(1-'Other Values'!$B$3)</f>
        <v>1.4959857431825896E-2</v>
      </c>
      <c r="AC2" s="4">
        <f>AC$5/(1-'Other Values'!$B$3)</f>
        <v>1.5023579829595929E-2</v>
      </c>
      <c r="AD2" s="4">
        <f>AD$5/(1-'Other Values'!$B$3)</f>
        <v>1.508730222736596E-2</v>
      </c>
      <c r="AE2" s="4">
        <f>AE$5/(1-'Other Values'!$B$3)</f>
        <v>1.5151024625135992E-2</v>
      </c>
      <c r="AG2" s="4"/>
      <c r="AH2" s="4"/>
    </row>
    <row r="3" spans="1:34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4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4">
      <c r="A5" t="s">
        <v>5</v>
      </c>
      <c r="B5" s="4">
        <f>Extrapolations!H12</f>
        <v>4.139779079772081E-3</v>
      </c>
      <c r="C5" s="4">
        <f>Extrapolations!I12</f>
        <v>4.1596088294668307E-3</v>
      </c>
      <c r="D5" s="4">
        <f>Extrapolations!J12</f>
        <v>4.1794385791615804E-3</v>
      </c>
      <c r="E5" s="4">
        <f>Extrapolations!K12</f>
        <v>4.1992683288563301E-3</v>
      </c>
      <c r="F5" s="4">
        <f>Extrapolations!L12</f>
        <v>4.2190980785510798E-3</v>
      </c>
      <c r="G5" s="4">
        <f>Extrapolations!M12</f>
        <v>4.2389278282458295E-3</v>
      </c>
      <c r="H5" s="4">
        <f>Extrapolations!N12</f>
        <v>4.2587575779405792E-3</v>
      </c>
      <c r="I5" s="4">
        <f>Extrapolations!O12</f>
        <v>4.278587327635329E-3</v>
      </c>
      <c r="J5" s="4">
        <f>Extrapolations!P12</f>
        <v>4.2984170773300787E-3</v>
      </c>
      <c r="K5" s="4">
        <f>Extrapolations!Q12</f>
        <v>4.3182468270248284E-3</v>
      </c>
      <c r="L5" s="4">
        <f>Extrapolations!R12</f>
        <v>4.3380765767195781E-3</v>
      </c>
      <c r="M5" s="4">
        <f>Extrapolations!S12</f>
        <v>4.3579063264143278E-3</v>
      </c>
      <c r="N5" s="4">
        <f>Extrapolations!T12</f>
        <v>4.3777360761090775E-3</v>
      </c>
      <c r="O5" s="4">
        <f>Extrapolations!U12</f>
        <v>4.3975658258038272E-3</v>
      </c>
      <c r="P5" s="4">
        <f>Extrapolations!V12</f>
        <v>4.4173955754985769E-3</v>
      </c>
      <c r="Q5" s="4">
        <f>Extrapolations!W12</f>
        <v>4.4372253251933266E-3</v>
      </c>
      <c r="R5" s="4">
        <f>Extrapolations!X12</f>
        <v>4.4570550748880763E-3</v>
      </c>
      <c r="S5" s="4">
        <f>Extrapolations!Y12</f>
        <v>4.4768848245828261E-3</v>
      </c>
      <c r="T5" s="4">
        <f>Extrapolations!Z12</f>
        <v>4.4967145742775758E-3</v>
      </c>
      <c r="U5" s="4">
        <f>Extrapolations!AA12</f>
        <v>4.5165443239723255E-3</v>
      </c>
      <c r="V5" s="4">
        <f>Extrapolations!AB12</f>
        <v>4.5363740736670752E-3</v>
      </c>
      <c r="W5" s="4">
        <f>Extrapolations!AC12</f>
        <v>4.5562038233618249E-3</v>
      </c>
      <c r="X5" s="4">
        <f>Extrapolations!AD12</f>
        <v>4.5760335730565746E-3</v>
      </c>
      <c r="Y5" s="4">
        <f>Extrapolations!AE12</f>
        <v>4.5958633227513243E-3</v>
      </c>
      <c r="Z5" s="4">
        <f>Extrapolations!AF12</f>
        <v>4.615693072446074E-3</v>
      </c>
      <c r="AA5" s="4">
        <f>Extrapolations!AG12</f>
        <v>4.6355228221408237E-3</v>
      </c>
      <c r="AB5" s="4">
        <f>Extrapolations!AH12</f>
        <v>4.6553525718355734E-3</v>
      </c>
      <c r="AC5" s="4">
        <f>Extrapolations!AI12</f>
        <v>4.6751823215303231E-3</v>
      </c>
      <c r="AD5" s="4">
        <f>Extrapolations!AJ12</f>
        <v>4.6950120712250729E-3</v>
      </c>
      <c r="AE5" s="4">
        <f>Extrapolations!AK12</f>
        <v>4.7148418209198226E-3</v>
      </c>
      <c r="AG5" s="4"/>
      <c r="AH5" s="4"/>
    </row>
    <row r="6" spans="1:34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4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4">
      <c r="A8" t="s">
        <v>85</v>
      </c>
      <c r="B8" s="4">
        <f>B$5*Calculations!$B$27</f>
        <v>1.2419337239316241E-2</v>
      </c>
      <c r="C8" s="4">
        <f>C$5*Calculations!$B$27</f>
        <v>1.247882648840049E-2</v>
      </c>
      <c r="D8" s="4">
        <f>D$5*Calculations!$B$27</f>
        <v>1.2538315737484739E-2</v>
      </c>
      <c r="E8" s="4">
        <f>E$5*Calculations!$B$27</f>
        <v>1.2597804986568989E-2</v>
      </c>
      <c r="F8" s="4">
        <f>F$5*Calculations!$B$27</f>
        <v>1.2657294235653238E-2</v>
      </c>
      <c r="G8" s="4">
        <f>G$5*Calculations!$B$27</f>
        <v>1.2716783484737487E-2</v>
      </c>
      <c r="H8" s="4">
        <f>H$5*Calculations!$B$27</f>
        <v>1.2776272733821736E-2</v>
      </c>
      <c r="I8" s="4">
        <f>I$5*Calculations!$B$27</f>
        <v>1.2835761982905985E-2</v>
      </c>
      <c r="J8" s="4">
        <f>J$5*Calculations!$B$27</f>
        <v>1.2895251231990234E-2</v>
      </c>
      <c r="K8" s="4">
        <f>K$5*Calculations!$B$27</f>
        <v>1.2954740481074483E-2</v>
      </c>
      <c r="L8" s="4">
        <f>L$5*Calculations!$B$27</f>
        <v>1.3014229730158733E-2</v>
      </c>
      <c r="M8" s="4">
        <f>M$5*Calculations!$B$27</f>
        <v>1.3073718979242982E-2</v>
      </c>
      <c r="N8" s="4">
        <f>N$5*Calculations!$B$27</f>
        <v>1.3133208228327231E-2</v>
      </c>
      <c r="O8" s="4">
        <f>O$5*Calculations!$B$27</f>
        <v>1.319269747741148E-2</v>
      </c>
      <c r="P8" s="4">
        <f>P$5*Calculations!$B$27</f>
        <v>1.3252186726495729E-2</v>
      </c>
      <c r="Q8" s="4">
        <f>Q$5*Calculations!$B$27</f>
        <v>1.3311675975579978E-2</v>
      </c>
      <c r="R8" s="4">
        <f>R$5*Calculations!$B$27</f>
        <v>1.3371165224664227E-2</v>
      </c>
      <c r="S8" s="4">
        <f>S$5*Calculations!$B$27</f>
        <v>1.3430654473748476E-2</v>
      </c>
      <c r="T8" s="4">
        <f>T$5*Calculations!$B$27</f>
        <v>1.3490143722832726E-2</v>
      </c>
      <c r="U8" s="4">
        <f>U$5*Calculations!$B$27</f>
        <v>1.3549632971916975E-2</v>
      </c>
      <c r="V8" s="4">
        <f>V$5*Calculations!$B$27</f>
        <v>1.3609122221001224E-2</v>
      </c>
      <c r="W8" s="4">
        <f>W$5*Calculations!$B$27</f>
        <v>1.3668611470085473E-2</v>
      </c>
      <c r="X8" s="4">
        <f>X$5*Calculations!$B$27</f>
        <v>1.3728100719169722E-2</v>
      </c>
      <c r="Y8" s="4">
        <f>Y$5*Calculations!$B$27</f>
        <v>1.3787589968253971E-2</v>
      </c>
      <c r="Z8" s="4">
        <f>Z$5*Calculations!$B$27</f>
        <v>1.384707921733822E-2</v>
      </c>
      <c r="AA8" s="4">
        <f>AA$5*Calculations!$B$27</f>
        <v>1.3906568466422469E-2</v>
      </c>
      <c r="AB8" s="4">
        <f>AB$5*Calculations!$B$27</f>
        <v>1.3966057715506719E-2</v>
      </c>
      <c r="AC8" s="4">
        <f>AC$5*Calculations!$B$27</f>
        <v>1.4025546964590968E-2</v>
      </c>
      <c r="AD8" s="4">
        <f>AD$5*Calculations!$B$27</f>
        <v>1.4085036213675217E-2</v>
      </c>
      <c r="AE8" s="4">
        <f>AE$5*Calculations!$B$27</f>
        <v>1.4144525462759466E-2</v>
      </c>
      <c r="AG8" s="4"/>
      <c r="AH8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H8"/>
  <sheetViews>
    <sheetView workbookViewId="0">
      <selection activeCell="G16" sqref="G16"/>
    </sheetView>
  </sheetViews>
  <sheetFormatPr defaultRowHeight="15"/>
  <cols>
    <col min="1" max="1" width="31.140625" customWidth="1"/>
  </cols>
  <sheetData>
    <row r="1" spans="1:34" ht="30">
      <c r="A1" s="14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4">
      <c r="A2" t="s">
        <v>2</v>
      </c>
      <c r="B2" s="4">
        <f t="array" ref="B2:B8">TRANSPOSE(SYFAFE!B7:H7)</f>
        <v>1.583802E-3</v>
      </c>
      <c r="C2" s="4">
        <f>B2</f>
        <v>1.583802E-3</v>
      </c>
      <c r="D2" s="4">
        <f t="shared" ref="D2:AE8" si="0">C2</f>
        <v>1.583802E-3</v>
      </c>
      <c r="E2" s="4">
        <f t="shared" si="0"/>
        <v>1.583802E-3</v>
      </c>
      <c r="F2" s="4">
        <f t="shared" si="0"/>
        <v>1.583802E-3</v>
      </c>
      <c r="G2" s="4">
        <f t="shared" si="0"/>
        <v>1.583802E-3</v>
      </c>
      <c r="H2" s="4">
        <f t="shared" si="0"/>
        <v>1.583802E-3</v>
      </c>
      <c r="I2" s="4">
        <f t="shared" si="0"/>
        <v>1.583802E-3</v>
      </c>
      <c r="J2" s="4">
        <f t="shared" si="0"/>
        <v>1.583802E-3</v>
      </c>
      <c r="K2" s="4">
        <f t="shared" si="0"/>
        <v>1.583802E-3</v>
      </c>
      <c r="L2" s="4">
        <f t="shared" si="0"/>
        <v>1.583802E-3</v>
      </c>
      <c r="M2" s="4">
        <f t="shared" si="0"/>
        <v>1.583802E-3</v>
      </c>
      <c r="N2" s="4">
        <f t="shared" si="0"/>
        <v>1.583802E-3</v>
      </c>
      <c r="O2" s="4">
        <f t="shared" si="0"/>
        <v>1.583802E-3</v>
      </c>
      <c r="P2" s="4">
        <f t="shared" si="0"/>
        <v>1.583802E-3</v>
      </c>
      <c r="Q2" s="4">
        <f t="shared" si="0"/>
        <v>1.583802E-3</v>
      </c>
      <c r="R2" s="4">
        <f t="shared" si="0"/>
        <v>1.583802E-3</v>
      </c>
      <c r="S2" s="4">
        <f t="shared" si="0"/>
        <v>1.583802E-3</v>
      </c>
      <c r="T2" s="4">
        <f t="shared" si="0"/>
        <v>1.583802E-3</v>
      </c>
      <c r="U2" s="4">
        <f t="shared" si="0"/>
        <v>1.583802E-3</v>
      </c>
      <c r="V2" s="4">
        <f t="shared" si="0"/>
        <v>1.583802E-3</v>
      </c>
      <c r="W2" s="4">
        <f t="shared" si="0"/>
        <v>1.583802E-3</v>
      </c>
      <c r="X2" s="4">
        <f t="shared" si="0"/>
        <v>1.583802E-3</v>
      </c>
      <c r="Y2" s="4">
        <f t="shared" si="0"/>
        <v>1.583802E-3</v>
      </c>
      <c r="Z2" s="4">
        <f t="shared" si="0"/>
        <v>1.583802E-3</v>
      </c>
      <c r="AA2" s="4">
        <f t="shared" si="0"/>
        <v>1.583802E-3</v>
      </c>
      <c r="AB2" s="4">
        <f t="shared" si="0"/>
        <v>1.583802E-3</v>
      </c>
      <c r="AC2" s="4">
        <f t="shared" si="0"/>
        <v>1.583802E-3</v>
      </c>
      <c r="AD2" s="4">
        <f t="shared" si="0"/>
        <v>1.583802E-3</v>
      </c>
      <c r="AE2" s="4">
        <f t="shared" si="0"/>
        <v>1.583802E-3</v>
      </c>
      <c r="AG2" s="4"/>
      <c r="AH2" s="4"/>
    </row>
    <row r="3" spans="1:34">
      <c r="A3" t="s">
        <v>3</v>
      </c>
      <c r="B3" s="4">
        <v>4.9739300000000005E-4</v>
      </c>
      <c r="C3" s="4">
        <f t="shared" ref="C3:C8" si="1">B3</f>
        <v>4.9739300000000005E-4</v>
      </c>
      <c r="D3" s="4">
        <f t="shared" ref="D3:Q3" si="2">C3</f>
        <v>4.9739300000000005E-4</v>
      </c>
      <c r="E3" s="4">
        <f t="shared" si="2"/>
        <v>4.9739300000000005E-4</v>
      </c>
      <c r="F3" s="4">
        <f t="shared" si="2"/>
        <v>4.9739300000000005E-4</v>
      </c>
      <c r="G3" s="4">
        <f t="shared" si="2"/>
        <v>4.9739300000000005E-4</v>
      </c>
      <c r="H3" s="4">
        <f t="shared" si="2"/>
        <v>4.9739300000000005E-4</v>
      </c>
      <c r="I3" s="4">
        <f t="shared" si="2"/>
        <v>4.9739300000000005E-4</v>
      </c>
      <c r="J3" s="4">
        <f t="shared" si="2"/>
        <v>4.9739300000000005E-4</v>
      </c>
      <c r="K3" s="4">
        <f t="shared" si="2"/>
        <v>4.9739300000000005E-4</v>
      </c>
      <c r="L3" s="4">
        <f t="shared" si="2"/>
        <v>4.9739300000000005E-4</v>
      </c>
      <c r="M3" s="4">
        <f t="shared" si="2"/>
        <v>4.9739300000000005E-4</v>
      </c>
      <c r="N3" s="4">
        <f t="shared" si="2"/>
        <v>4.9739300000000005E-4</v>
      </c>
      <c r="O3" s="4">
        <f t="shared" si="2"/>
        <v>4.9739300000000005E-4</v>
      </c>
      <c r="P3" s="4">
        <f t="shared" si="2"/>
        <v>4.9739300000000005E-4</v>
      </c>
      <c r="Q3" s="4">
        <f t="shared" si="2"/>
        <v>4.9739300000000005E-4</v>
      </c>
      <c r="R3" s="4">
        <f t="shared" si="0"/>
        <v>4.9739300000000005E-4</v>
      </c>
      <c r="S3" s="4">
        <f t="shared" si="0"/>
        <v>4.9739300000000005E-4</v>
      </c>
      <c r="T3" s="4">
        <f t="shared" si="0"/>
        <v>4.9739300000000005E-4</v>
      </c>
      <c r="U3" s="4">
        <f t="shared" si="0"/>
        <v>4.9739300000000005E-4</v>
      </c>
      <c r="V3" s="4">
        <f t="shared" si="0"/>
        <v>4.9739300000000005E-4</v>
      </c>
      <c r="W3" s="4">
        <f t="shared" si="0"/>
        <v>4.9739300000000005E-4</v>
      </c>
      <c r="X3" s="4">
        <f t="shared" si="0"/>
        <v>4.9739300000000005E-4</v>
      </c>
      <c r="Y3" s="4">
        <f t="shared" si="0"/>
        <v>4.9739300000000005E-4</v>
      </c>
      <c r="Z3" s="4">
        <f t="shared" si="0"/>
        <v>4.9739300000000005E-4</v>
      </c>
      <c r="AA3" s="4">
        <f t="shared" si="0"/>
        <v>4.9739300000000005E-4</v>
      </c>
      <c r="AB3" s="4">
        <f t="shared" si="0"/>
        <v>4.9739300000000005E-4</v>
      </c>
      <c r="AC3" s="4">
        <f t="shared" si="0"/>
        <v>4.9739300000000005E-4</v>
      </c>
      <c r="AD3" s="4">
        <f t="shared" si="0"/>
        <v>4.9739300000000005E-4</v>
      </c>
      <c r="AE3" s="4">
        <f t="shared" si="0"/>
        <v>4.9739300000000005E-4</v>
      </c>
      <c r="AG3" s="4"/>
      <c r="AH3" s="4"/>
    </row>
    <row r="4" spans="1:34">
      <c r="A4" t="s">
        <v>4</v>
      </c>
      <c r="B4" s="4">
        <v>4.9739300000000005E-4</v>
      </c>
      <c r="C4" s="4">
        <f t="shared" si="1"/>
        <v>4.9739300000000005E-4</v>
      </c>
      <c r="D4" s="4">
        <f t="shared" si="0"/>
        <v>4.9739300000000005E-4</v>
      </c>
      <c r="E4" s="4">
        <f t="shared" si="0"/>
        <v>4.9739300000000005E-4</v>
      </c>
      <c r="F4" s="4">
        <f t="shared" si="0"/>
        <v>4.9739300000000005E-4</v>
      </c>
      <c r="G4" s="4">
        <f t="shared" si="0"/>
        <v>4.9739300000000005E-4</v>
      </c>
      <c r="H4" s="4">
        <f t="shared" si="0"/>
        <v>4.9739300000000005E-4</v>
      </c>
      <c r="I4" s="4">
        <f t="shared" si="0"/>
        <v>4.9739300000000005E-4</v>
      </c>
      <c r="J4" s="4">
        <f t="shared" si="0"/>
        <v>4.9739300000000005E-4</v>
      </c>
      <c r="K4" s="4">
        <f t="shared" si="0"/>
        <v>4.9739300000000005E-4</v>
      </c>
      <c r="L4" s="4">
        <f t="shared" si="0"/>
        <v>4.9739300000000005E-4</v>
      </c>
      <c r="M4" s="4">
        <f t="shared" si="0"/>
        <v>4.9739300000000005E-4</v>
      </c>
      <c r="N4" s="4">
        <f t="shared" si="0"/>
        <v>4.9739300000000005E-4</v>
      </c>
      <c r="O4" s="4">
        <f t="shared" si="0"/>
        <v>4.9739300000000005E-4</v>
      </c>
      <c r="P4" s="4">
        <f t="shared" si="0"/>
        <v>4.9739300000000005E-4</v>
      </c>
      <c r="Q4" s="4">
        <f t="shared" si="0"/>
        <v>4.9739300000000005E-4</v>
      </c>
      <c r="R4" s="4">
        <f t="shared" si="0"/>
        <v>4.9739300000000005E-4</v>
      </c>
      <c r="S4" s="4">
        <f t="shared" si="0"/>
        <v>4.9739300000000005E-4</v>
      </c>
      <c r="T4" s="4">
        <f t="shared" si="0"/>
        <v>4.9739300000000005E-4</v>
      </c>
      <c r="U4" s="4">
        <f t="shared" si="0"/>
        <v>4.9739300000000005E-4</v>
      </c>
      <c r="V4" s="4">
        <f t="shared" si="0"/>
        <v>4.9739300000000005E-4</v>
      </c>
      <c r="W4" s="4">
        <f t="shared" si="0"/>
        <v>4.9739300000000005E-4</v>
      </c>
      <c r="X4" s="4">
        <f t="shared" si="0"/>
        <v>4.9739300000000005E-4</v>
      </c>
      <c r="Y4" s="4">
        <f t="shared" si="0"/>
        <v>4.9739300000000005E-4</v>
      </c>
      <c r="Z4" s="4">
        <f t="shared" si="0"/>
        <v>4.9739300000000005E-4</v>
      </c>
      <c r="AA4" s="4">
        <f t="shared" si="0"/>
        <v>4.9739300000000005E-4</v>
      </c>
      <c r="AB4" s="4">
        <f t="shared" si="0"/>
        <v>4.9739300000000005E-4</v>
      </c>
      <c r="AC4" s="4">
        <f t="shared" si="0"/>
        <v>4.9739300000000005E-4</v>
      </c>
      <c r="AD4" s="4">
        <f t="shared" si="0"/>
        <v>4.9739300000000005E-4</v>
      </c>
      <c r="AE4" s="4">
        <f t="shared" si="0"/>
        <v>4.9739300000000005E-4</v>
      </c>
      <c r="AG4" s="4"/>
      <c r="AH4" s="4"/>
    </row>
    <row r="5" spans="1:34">
      <c r="A5" t="s">
        <v>5</v>
      </c>
      <c r="B5" s="4">
        <v>4.9739300000000005E-4</v>
      </c>
      <c r="C5" s="4">
        <f t="shared" si="1"/>
        <v>4.9739300000000005E-4</v>
      </c>
      <c r="D5" s="4">
        <f t="shared" si="0"/>
        <v>4.9739300000000005E-4</v>
      </c>
      <c r="E5" s="4">
        <f t="shared" si="0"/>
        <v>4.9739300000000005E-4</v>
      </c>
      <c r="F5" s="4">
        <f t="shared" si="0"/>
        <v>4.9739300000000005E-4</v>
      </c>
      <c r="G5" s="4">
        <f t="shared" si="0"/>
        <v>4.9739300000000005E-4</v>
      </c>
      <c r="H5" s="4">
        <f t="shared" si="0"/>
        <v>4.9739300000000005E-4</v>
      </c>
      <c r="I5" s="4">
        <f t="shared" si="0"/>
        <v>4.9739300000000005E-4</v>
      </c>
      <c r="J5" s="4">
        <f t="shared" si="0"/>
        <v>4.9739300000000005E-4</v>
      </c>
      <c r="K5" s="4">
        <f t="shared" si="0"/>
        <v>4.9739300000000005E-4</v>
      </c>
      <c r="L5" s="4">
        <f t="shared" si="0"/>
        <v>4.9739300000000005E-4</v>
      </c>
      <c r="M5" s="4">
        <f t="shared" si="0"/>
        <v>4.9739300000000005E-4</v>
      </c>
      <c r="N5" s="4">
        <f t="shared" si="0"/>
        <v>4.9739300000000005E-4</v>
      </c>
      <c r="O5" s="4">
        <f t="shared" si="0"/>
        <v>4.9739300000000005E-4</v>
      </c>
      <c r="P5" s="4">
        <f t="shared" si="0"/>
        <v>4.9739300000000005E-4</v>
      </c>
      <c r="Q5" s="4">
        <f t="shared" si="0"/>
        <v>4.9739300000000005E-4</v>
      </c>
      <c r="R5" s="4">
        <f t="shared" si="0"/>
        <v>4.9739300000000005E-4</v>
      </c>
      <c r="S5" s="4">
        <f t="shared" si="0"/>
        <v>4.9739300000000005E-4</v>
      </c>
      <c r="T5" s="4">
        <f t="shared" si="0"/>
        <v>4.9739300000000005E-4</v>
      </c>
      <c r="U5" s="4">
        <f t="shared" si="0"/>
        <v>4.9739300000000005E-4</v>
      </c>
      <c r="V5" s="4">
        <f t="shared" si="0"/>
        <v>4.9739300000000005E-4</v>
      </c>
      <c r="W5" s="4">
        <f t="shared" si="0"/>
        <v>4.9739300000000005E-4</v>
      </c>
      <c r="X5" s="4">
        <f t="shared" si="0"/>
        <v>4.9739300000000005E-4</v>
      </c>
      <c r="Y5" s="4">
        <f t="shared" si="0"/>
        <v>4.9739300000000005E-4</v>
      </c>
      <c r="Z5" s="4">
        <f t="shared" si="0"/>
        <v>4.9739300000000005E-4</v>
      </c>
      <c r="AA5" s="4">
        <f t="shared" si="0"/>
        <v>4.9739300000000005E-4</v>
      </c>
      <c r="AB5" s="4">
        <f t="shared" si="0"/>
        <v>4.9739300000000005E-4</v>
      </c>
      <c r="AC5" s="4">
        <f t="shared" si="0"/>
        <v>4.9739300000000005E-4</v>
      </c>
      <c r="AD5" s="4">
        <f t="shared" si="0"/>
        <v>4.9739300000000005E-4</v>
      </c>
      <c r="AE5" s="4">
        <f t="shared" si="0"/>
        <v>4.9739300000000005E-4</v>
      </c>
      <c r="AG5" s="4"/>
      <c r="AH5" s="4"/>
    </row>
    <row r="6" spans="1:34">
      <c r="A6" t="s">
        <v>6</v>
      </c>
      <c r="B6" s="4">
        <v>1.0949180000000001E-3</v>
      </c>
      <c r="C6" s="4">
        <f t="shared" si="1"/>
        <v>1.0949180000000001E-3</v>
      </c>
      <c r="D6" s="4">
        <f t="shared" si="0"/>
        <v>1.0949180000000001E-3</v>
      </c>
      <c r="E6" s="4">
        <f t="shared" si="0"/>
        <v>1.0949180000000001E-3</v>
      </c>
      <c r="F6" s="4">
        <f t="shared" si="0"/>
        <v>1.0949180000000001E-3</v>
      </c>
      <c r="G6" s="4">
        <f t="shared" si="0"/>
        <v>1.0949180000000001E-3</v>
      </c>
      <c r="H6" s="4">
        <f t="shared" si="0"/>
        <v>1.0949180000000001E-3</v>
      </c>
      <c r="I6" s="4">
        <f t="shared" si="0"/>
        <v>1.0949180000000001E-3</v>
      </c>
      <c r="J6" s="4">
        <f t="shared" si="0"/>
        <v>1.0949180000000001E-3</v>
      </c>
      <c r="K6" s="4">
        <f t="shared" si="0"/>
        <v>1.0949180000000001E-3</v>
      </c>
      <c r="L6" s="4">
        <f t="shared" si="0"/>
        <v>1.0949180000000001E-3</v>
      </c>
      <c r="M6" s="4">
        <f t="shared" si="0"/>
        <v>1.0949180000000001E-3</v>
      </c>
      <c r="N6" s="4">
        <f t="shared" si="0"/>
        <v>1.0949180000000001E-3</v>
      </c>
      <c r="O6" s="4">
        <f t="shared" si="0"/>
        <v>1.0949180000000001E-3</v>
      </c>
      <c r="P6" s="4">
        <f t="shared" si="0"/>
        <v>1.0949180000000001E-3</v>
      </c>
      <c r="Q6" s="4">
        <f t="shared" si="0"/>
        <v>1.0949180000000001E-3</v>
      </c>
      <c r="R6" s="4">
        <f t="shared" si="0"/>
        <v>1.0949180000000001E-3</v>
      </c>
      <c r="S6" s="4">
        <f t="shared" si="0"/>
        <v>1.0949180000000001E-3</v>
      </c>
      <c r="T6" s="4">
        <f t="shared" si="0"/>
        <v>1.0949180000000001E-3</v>
      </c>
      <c r="U6" s="4">
        <f t="shared" si="0"/>
        <v>1.0949180000000001E-3</v>
      </c>
      <c r="V6" s="4">
        <f t="shared" si="0"/>
        <v>1.0949180000000001E-3</v>
      </c>
      <c r="W6" s="4">
        <f t="shared" si="0"/>
        <v>1.0949180000000001E-3</v>
      </c>
      <c r="X6" s="4">
        <f t="shared" si="0"/>
        <v>1.0949180000000001E-3</v>
      </c>
      <c r="Y6" s="4">
        <f t="shared" si="0"/>
        <v>1.0949180000000001E-3</v>
      </c>
      <c r="Z6" s="4">
        <f t="shared" si="0"/>
        <v>1.0949180000000001E-3</v>
      </c>
      <c r="AA6" s="4">
        <f t="shared" si="0"/>
        <v>1.0949180000000001E-3</v>
      </c>
      <c r="AB6" s="4">
        <f t="shared" si="0"/>
        <v>1.0949180000000001E-3</v>
      </c>
      <c r="AC6" s="4">
        <f t="shared" si="0"/>
        <v>1.0949180000000001E-3</v>
      </c>
      <c r="AD6" s="4">
        <f t="shared" si="0"/>
        <v>1.0949180000000001E-3</v>
      </c>
      <c r="AE6" s="4">
        <f t="shared" si="0"/>
        <v>1.0949180000000001E-3</v>
      </c>
      <c r="AG6" s="4"/>
      <c r="AH6" s="4"/>
    </row>
    <row r="7" spans="1:34">
      <c r="A7" t="s">
        <v>84</v>
      </c>
      <c r="B7" s="4">
        <v>3.8547899999999999E-4</v>
      </c>
      <c r="C7" s="4">
        <f t="shared" si="1"/>
        <v>3.8547899999999999E-4</v>
      </c>
      <c r="D7" s="4">
        <f t="shared" si="0"/>
        <v>3.8547899999999999E-4</v>
      </c>
      <c r="E7" s="4">
        <f t="shared" si="0"/>
        <v>3.8547899999999999E-4</v>
      </c>
      <c r="F7" s="4">
        <f t="shared" si="0"/>
        <v>3.8547899999999999E-4</v>
      </c>
      <c r="G7" s="4">
        <f t="shared" si="0"/>
        <v>3.8547899999999999E-4</v>
      </c>
      <c r="H7" s="4">
        <f t="shared" si="0"/>
        <v>3.8547899999999999E-4</v>
      </c>
      <c r="I7" s="4">
        <f t="shared" si="0"/>
        <v>3.8547899999999999E-4</v>
      </c>
      <c r="J7" s="4">
        <f t="shared" si="0"/>
        <v>3.8547899999999999E-4</v>
      </c>
      <c r="K7" s="4">
        <f t="shared" si="0"/>
        <v>3.8547899999999999E-4</v>
      </c>
      <c r="L7" s="4">
        <f t="shared" si="0"/>
        <v>3.8547899999999999E-4</v>
      </c>
      <c r="M7" s="4">
        <f t="shared" si="0"/>
        <v>3.8547899999999999E-4</v>
      </c>
      <c r="N7" s="4">
        <f t="shared" si="0"/>
        <v>3.8547899999999999E-4</v>
      </c>
      <c r="O7" s="4">
        <f t="shared" si="0"/>
        <v>3.8547899999999999E-4</v>
      </c>
      <c r="P7" s="4">
        <f t="shared" si="0"/>
        <v>3.8547899999999999E-4</v>
      </c>
      <c r="Q7" s="4">
        <f t="shared" si="0"/>
        <v>3.8547899999999999E-4</v>
      </c>
      <c r="R7" s="4">
        <f t="shared" si="0"/>
        <v>3.8547899999999999E-4</v>
      </c>
      <c r="S7" s="4">
        <f t="shared" si="0"/>
        <v>3.8547899999999999E-4</v>
      </c>
      <c r="T7" s="4">
        <f t="shared" si="0"/>
        <v>3.8547899999999999E-4</v>
      </c>
      <c r="U7" s="4">
        <f t="shared" si="0"/>
        <v>3.8547899999999999E-4</v>
      </c>
      <c r="V7" s="4">
        <f t="shared" si="0"/>
        <v>3.8547899999999999E-4</v>
      </c>
      <c r="W7" s="4">
        <f t="shared" si="0"/>
        <v>3.8547899999999999E-4</v>
      </c>
      <c r="X7" s="4">
        <f t="shared" si="0"/>
        <v>3.8547899999999999E-4</v>
      </c>
      <c r="Y7" s="4">
        <f t="shared" si="0"/>
        <v>3.8547899999999999E-4</v>
      </c>
      <c r="Z7" s="4">
        <f t="shared" si="0"/>
        <v>3.8547899999999999E-4</v>
      </c>
      <c r="AA7" s="4">
        <f t="shared" si="0"/>
        <v>3.8547899999999999E-4</v>
      </c>
      <c r="AB7" s="4">
        <f t="shared" si="0"/>
        <v>3.8547899999999999E-4</v>
      </c>
      <c r="AC7" s="4">
        <f t="shared" si="0"/>
        <v>3.8547899999999999E-4</v>
      </c>
      <c r="AD7" s="4">
        <f t="shared" si="0"/>
        <v>3.8547899999999999E-4</v>
      </c>
      <c r="AE7" s="4">
        <f t="shared" si="0"/>
        <v>3.8547899999999999E-4</v>
      </c>
      <c r="AG7" s="4"/>
      <c r="AH7" s="4"/>
    </row>
    <row r="8" spans="1:34">
      <c r="A8" t="s">
        <v>85</v>
      </c>
      <c r="B8" s="4">
        <v>1.492178E-3</v>
      </c>
      <c r="C8" s="4">
        <f t="shared" si="1"/>
        <v>1.492178E-3</v>
      </c>
      <c r="D8" s="4">
        <f t="shared" si="0"/>
        <v>1.492178E-3</v>
      </c>
      <c r="E8" s="4">
        <f t="shared" si="0"/>
        <v>1.492178E-3</v>
      </c>
      <c r="F8" s="4">
        <f t="shared" si="0"/>
        <v>1.492178E-3</v>
      </c>
      <c r="G8" s="4">
        <f t="shared" si="0"/>
        <v>1.492178E-3</v>
      </c>
      <c r="H8" s="4">
        <f t="shared" si="0"/>
        <v>1.492178E-3</v>
      </c>
      <c r="I8" s="4">
        <f t="shared" si="0"/>
        <v>1.492178E-3</v>
      </c>
      <c r="J8" s="4">
        <f t="shared" si="0"/>
        <v>1.492178E-3</v>
      </c>
      <c r="K8" s="4">
        <f t="shared" si="0"/>
        <v>1.492178E-3</v>
      </c>
      <c r="L8" s="4">
        <f t="shared" si="0"/>
        <v>1.492178E-3</v>
      </c>
      <c r="M8" s="4">
        <f t="shared" si="0"/>
        <v>1.492178E-3</v>
      </c>
      <c r="N8" s="4">
        <f t="shared" si="0"/>
        <v>1.492178E-3</v>
      </c>
      <c r="O8" s="4">
        <f t="shared" si="0"/>
        <v>1.492178E-3</v>
      </c>
      <c r="P8" s="4">
        <f t="shared" si="0"/>
        <v>1.492178E-3</v>
      </c>
      <c r="Q8" s="4">
        <f t="shared" si="0"/>
        <v>1.492178E-3</v>
      </c>
      <c r="R8" s="4">
        <f t="shared" si="0"/>
        <v>1.492178E-3</v>
      </c>
      <c r="S8" s="4">
        <f t="shared" si="0"/>
        <v>1.492178E-3</v>
      </c>
      <c r="T8" s="4">
        <f t="shared" si="0"/>
        <v>1.492178E-3</v>
      </c>
      <c r="U8" s="4">
        <f t="shared" si="0"/>
        <v>1.492178E-3</v>
      </c>
      <c r="V8" s="4">
        <f t="shared" si="0"/>
        <v>1.492178E-3</v>
      </c>
      <c r="W8" s="4">
        <f t="shared" si="0"/>
        <v>1.492178E-3</v>
      </c>
      <c r="X8" s="4">
        <f t="shared" si="0"/>
        <v>1.492178E-3</v>
      </c>
      <c r="Y8" s="4">
        <f t="shared" si="0"/>
        <v>1.492178E-3</v>
      </c>
      <c r="Z8" s="4">
        <f t="shared" si="0"/>
        <v>1.492178E-3</v>
      </c>
      <c r="AA8" s="4">
        <f t="shared" si="0"/>
        <v>1.492178E-3</v>
      </c>
      <c r="AB8" s="4">
        <f t="shared" si="0"/>
        <v>1.492178E-3</v>
      </c>
      <c r="AC8" s="4">
        <f t="shared" si="0"/>
        <v>1.492178E-3</v>
      </c>
      <c r="AD8" s="4">
        <f t="shared" si="0"/>
        <v>1.492178E-3</v>
      </c>
      <c r="AE8" s="4">
        <f t="shared" si="0"/>
        <v>1.492178E-3</v>
      </c>
      <c r="AG8" s="4"/>
      <c r="AH8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E8"/>
  <sheetViews>
    <sheetView workbookViewId="0">
      <selection activeCell="I33" sqref="I33"/>
    </sheetView>
  </sheetViews>
  <sheetFormatPr defaultRowHeight="15"/>
  <cols>
    <col min="1" max="1" width="31.140625" customWidth="1"/>
  </cols>
  <sheetData>
    <row r="1" spans="1:31" ht="30">
      <c r="A1" s="14" t="s">
        <v>87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t="s">
        <v>84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85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BNVFE</vt:lpstr>
      <vt:lpstr>SYFAFE</vt:lpstr>
      <vt:lpstr>Other Values</vt:lpstr>
      <vt:lpstr>Calculations</vt:lpstr>
      <vt:lpstr>Extrapolations</vt:lpstr>
      <vt:lpstr>BHNVFEAL-LDVs-psgr</vt:lpstr>
      <vt:lpstr>BHNVFEAL-LDVs-frgt</vt:lpstr>
      <vt:lpstr>BHNVFEAL-HDVs-psgr</vt:lpstr>
      <vt:lpstr>BHNVFEAL-HDVs-frgt</vt:lpstr>
      <vt:lpstr>BHNVFEAL-aircraft-psgr</vt:lpstr>
      <vt:lpstr>BHNVFEAL-aircraft-frgt</vt:lpstr>
      <vt:lpstr>BHNVFEAL-rail-psgr</vt:lpstr>
      <vt:lpstr>BHNVFEAL-rail-frgt</vt:lpstr>
      <vt:lpstr>BHNVFEAL-ships-psgr</vt:lpstr>
      <vt:lpstr>BHNVFEAL-ships-frgt</vt:lpstr>
      <vt:lpstr>BHNVFEAL-motorbikes-psgr</vt:lpstr>
      <vt:lpstr>BHNVFEAL-motorbikes-frgt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2017-06-26T22:04:22Z</dcterms:created>
  <dcterms:modified xsi:type="dcterms:W3CDTF">2026-09-25T14:24:49Z</dcterms:modified>
</cp:coreProperties>
</file>