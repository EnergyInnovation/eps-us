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Orvis\Models\US\Models\eps-us\InputData\trans\AVIC\"/>
    </mc:Choice>
  </mc:AlternateContent>
  <xr:revisionPtr revIDLastSave="0" documentId="13_ncr:1_{C2E74BD3-8B7E-4AA4-A3CF-42FF8ECD662A}" xr6:coauthVersionLast="47" xr6:coauthVersionMax="47" xr10:uidLastSave="{00000000-0000-0000-0000-000000000000}"/>
  <bookViews>
    <workbookView xWindow="-120" yWindow="-120" windowWidth="57840" windowHeight="23520" xr2:uid="{D78DFE5E-0A7F-4A12-AD34-4FEABB0CFCE7}"/>
  </bookViews>
  <sheets>
    <sheet name="About" sheetId="1" r:id="rId1"/>
    <sheet name="Data" sheetId="3" r:id="rId2"/>
    <sheet name="AVIC-passenger" sheetId="2" r:id="rId3"/>
    <sheet name="AVIC-freigh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G4" i="4"/>
  <c r="G5" i="4"/>
  <c r="G6" i="4"/>
  <c r="G7" i="4"/>
  <c r="F4" i="4"/>
  <c r="F5" i="4"/>
  <c r="F6" i="4"/>
  <c r="F7" i="4"/>
  <c r="D4" i="4"/>
  <c r="D5" i="4"/>
  <c r="D6" i="4"/>
  <c r="D7" i="4"/>
  <c r="C4" i="4"/>
  <c r="C5" i="4"/>
  <c r="C6" i="4"/>
  <c r="C7" i="4"/>
  <c r="B5" i="4"/>
  <c r="B6" i="4"/>
  <c r="B7" i="4"/>
  <c r="B4" i="4"/>
  <c r="D3" i="2"/>
  <c r="E3" i="2" s="1"/>
  <c r="C4" i="2"/>
  <c r="D4" i="2" s="1"/>
  <c r="E4" i="2" s="1"/>
  <c r="F4" i="2" s="1"/>
  <c r="G4" i="2" s="1"/>
  <c r="H4" i="2" s="1"/>
  <c r="C5" i="2"/>
  <c r="D5" i="2"/>
  <c r="E5" i="2"/>
  <c r="F5" i="2" s="1"/>
  <c r="G5" i="2" s="1"/>
  <c r="H5" i="2" s="1"/>
  <c r="C6" i="2"/>
  <c r="D6" i="2"/>
  <c r="E6" i="2"/>
  <c r="F6" i="2"/>
  <c r="G6" i="2"/>
  <c r="H6" i="2"/>
  <c r="D2" i="2"/>
  <c r="G2" i="2" s="1"/>
  <c r="B2" i="2"/>
  <c r="H2" i="2" s="1"/>
  <c r="C2" i="2" l="1"/>
  <c r="B3" i="2"/>
  <c r="H3" i="2" s="1"/>
  <c r="E2" i="2"/>
  <c r="C3" i="2"/>
  <c r="F2" i="2"/>
  <c r="F3" i="2"/>
  <c r="G3" i="2"/>
  <c r="E2" i="4" l="1"/>
  <c r="E3" i="4"/>
  <c r="B7" i="2"/>
  <c r="C7" i="2" s="1"/>
  <c r="D7" i="2" s="1"/>
  <c r="E7" i="2" s="1"/>
  <c r="F7" i="2" s="1"/>
  <c r="G7" i="2" s="1"/>
  <c r="H7" i="2" s="1"/>
  <c r="C3" i="4" l="1"/>
  <c r="B3" i="4"/>
  <c r="D3" i="4"/>
  <c r="D2" i="4"/>
  <c r="C2" i="4"/>
  <c r="B2" i="4"/>
  <c r="F2" i="4"/>
  <c r="D13" i="3"/>
  <c r="D14" i="3"/>
  <c r="D15" i="3"/>
  <c r="D16" i="3"/>
  <c r="D12" i="3"/>
  <c r="B24" i="3"/>
  <c r="B25" i="3" s="1"/>
  <c r="H2" i="4" l="1"/>
  <c r="G2" i="4"/>
  <c r="G3" i="4"/>
  <c r="H3" i="4"/>
  <c r="F3" i="4"/>
</calcChain>
</file>

<file path=xl/sharedStrings.xml><?xml version="1.0" encoding="utf-8"?>
<sst xmlns="http://schemas.openxmlformats.org/spreadsheetml/2006/main" count="113" uniqueCount="83">
  <si>
    <t>AVIC Annual Vehicle Insurance Cost</t>
  </si>
  <si>
    <t>Source:</t>
  </si>
  <si>
    <t>LDVs</t>
  </si>
  <si>
    <t>HDVs</t>
  </si>
  <si>
    <t>aircraft</t>
  </si>
  <si>
    <t>rail</t>
  </si>
  <si>
    <t>ships</t>
  </si>
  <si>
    <t>motorbikes</t>
  </si>
  <si>
    <t>Freight HDVs</t>
  </si>
  <si>
    <t>Progressive Commercial</t>
  </si>
  <si>
    <t>undated</t>
  </si>
  <si>
    <t>What does commercial truck insurance cost?</t>
  </si>
  <si>
    <t>https://www.progressivecommercial.com/commercial-auto-insurance/truck-insurance/commercial-truck-insurance-cost/</t>
  </si>
  <si>
    <t>$/mth</t>
  </si>
  <si>
    <t>Avg. for specialty truckers</t>
  </si>
  <si>
    <t>Avg. for transport truckers</t>
  </si>
  <si>
    <t>Overall simple average</t>
  </si>
  <si>
    <t>Annualized</t>
  </si>
  <si>
    <t>$/yr</t>
  </si>
  <si>
    <t>Passenger LDVs</t>
  </si>
  <si>
    <t>Likely includes primary liability insurance, physical damage insurance, occupational accident coverage, and general liability insurance.</t>
  </si>
  <si>
    <t>For more on these insurance types, see https://www.caranddriver.com/car-insurance/a36320549/truck-insurance-cost/</t>
  </si>
  <si>
    <t>Passenger HDVs (buses)</t>
  </si>
  <si>
    <t>50-state average</t>
  </si>
  <si>
    <t>Bus Insurance HQ</t>
  </si>
  <si>
    <t>https://www.businsurancehq.com/bus-insurance-cost/</t>
  </si>
  <si>
    <t>Freight LDVs</t>
  </si>
  <si>
    <t>Car and Driver magazine</t>
  </si>
  <si>
    <t>https://www.caranddriver.com/car-insurance/a36232977/commercial-auto-insurance-cost/</t>
  </si>
  <si>
    <t>Commercial Auto Insurance Cost: Everything You Need to Know</t>
  </si>
  <si>
    <t>Using data from Car and Driver magazine (2021):</t>
  </si>
  <si>
    <t>standard car used for business purposes</t>
  </si>
  <si>
    <t>Limousine</t>
  </si>
  <si>
    <t>Cargo or delivery van</t>
  </si>
  <si>
    <t>Taxi</t>
  </si>
  <si>
    <t>Semi-truck</t>
  </si>
  <si>
    <t>Low</t>
  </si>
  <si>
    <t>High</t>
  </si>
  <si>
    <t>Simple Avg</t>
  </si>
  <si>
    <t>$/yr (2021 USD)</t>
  </si>
  <si>
    <t>For freight LDVs, the value for "cargo or delivery van" is most appropriate.</t>
  </si>
  <si>
    <t>Passenger Motorbikes</t>
  </si>
  <si>
    <t>Matt Timmons</t>
  </si>
  <si>
    <t>Average Cost of Motorcycle Insurance (2022)</t>
  </si>
  <si>
    <t>https://www.valuepenguin.com/average-cost-of-motorcycle-insurance</t>
  </si>
  <si>
    <t>Timmons (2021):</t>
  </si>
  <si>
    <t>Notes</t>
  </si>
  <si>
    <t>Data on insurnace costs for LDVs, HDVs, and motorbikes is relatively available online, as these vehicles are often</t>
  </si>
  <si>
    <t>used by individuals or small owner-operator businesses (e.g. trucking firms, tourist buses, etc.) that need</t>
  </si>
  <si>
    <t>insurance quotes.</t>
  </si>
  <si>
    <t>Insurance costs for rail, commercial airlines, and freight shipping is harder to come by.  It appears these firms</t>
  </si>
  <si>
    <t>often buy policies covering a broader share of company operations, not just individual vehicles.  For instance,</t>
  </si>
  <si>
    <t>a railroad's insurance might cover up to $X million in damages/liability from covered causes across the railroad's</t>
  </si>
  <si>
    <t>entire system, and would include things like damage caused by spills, collisions, etc.</t>
  </si>
  <si>
    <t>It appears that per-vehicle insurance may not be the correct way to price insurance costs for commercial</t>
  </si>
  <si>
    <t>airlines, rail, or freight shipping, so we leave those values set to zero in this variable.</t>
  </si>
  <si>
    <t>Currency Conversion</t>
  </si>
  <si>
    <t>2019 to 2012 USD</t>
  </si>
  <si>
    <t>2020 to 2012 USD</t>
  </si>
  <si>
    <t>2012 USD/year</t>
  </si>
  <si>
    <t>Data from Insurify:</t>
  </si>
  <si>
    <t>Passenger LDV, gasoline</t>
  </si>
  <si>
    <t>Passenger LDV, battery electric</t>
  </si>
  <si>
    <t>$/yr (2025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</si>
  <si>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</si>
  <si>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</si>
  <si>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</si>
  <si>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</si>
  <si>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</si>
  <si>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</si>
  <si>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</si>
  <si>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2025 to 2012 USD</t>
  </si>
  <si>
    <t>2021 to 2012 USD</t>
  </si>
  <si>
    <t>Insurify</t>
  </si>
  <si>
    <t>https://insurify.com/car-insurance/report/electric-vehicle-insurance-costs/</t>
  </si>
  <si>
    <t>EVs Cost 49% More to Insure Than Gas-Powered Cars, Data Reveals</t>
  </si>
  <si>
    <t>BEV Markup for Freight LDVs/HDVs and Passenger HDVs</t>
  </si>
  <si>
    <t>CCJ</t>
  </si>
  <si>
    <t>Why zero-emission trucks often cost 30-50% more to insure than diesel models</t>
  </si>
  <si>
    <t>https://www.ccjdigital.com/business/article/15753084/why-zeroemission-truck-insurance-costs-can-wipe-out-fuel-savings</t>
  </si>
  <si>
    <t>We apply a markup ratio of 40% for BEV passenger HDVs and freight LDVs/HDVs based on the CCJ article.</t>
  </si>
  <si>
    <t>We take the average of BEV and gasoline vehicle for PHEV. For LPG and hydrogen, we use BEV costs</t>
  </si>
  <si>
    <t>as these are newer technologies (and H2 vehicles are effectively BEVs but use a fuel cell).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</si>
</sst>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1" fillId="3" borderId="0" xfId="0" applyFont="1" applyFill="1"/>
    <xf numFmtId="0" fontId="0" fillId="3" borderId="0" xfId="0" applyFill="1"/>
    <xf numFmtId="0" fontId="0" fillId="4" borderId="0" xfId="0" applyFill="1"/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5" borderId="0" xfId="0" applyFill="1"/>
    <xf numFmtId="1" fontId="0" fillId="5" borderId="0" xfId="0" applyNumberFormat="1" applyFill="1"/>
    <xf numFmtId="0" fontId="0" fillId="6" borderId="0" xfId="0" applyFill="1"/>
    <xf numFmtId="1" fontId="0" fillId="6" borderId="0" xfId="0" applyNumberFormat="1" applyFill="1"/>
    <xf numFmtId="0" fontId="0" fillId="7" borderId="0" xfId="0" applyFill="1"/>
    <xf numFmtId="1" fontId="0" fillId="7" borderId="0" xfId="0" applyNumberFormat="1" applyFill="1"/>
    <xf numFmtId="1" fontId="0" fillId="8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randdriver.com/car-insurance/a36232977/commercial-auto-insurance-cost/" TargetMode="External"/><Relationship Id="rId2" Type="http://schemas.openxmlformats.org/officeDocument/2006/relationships/hyperlink" Target="https://www.businsurancehq.com/bus-insurance-cost/" TargetMode="External"/><Relationship Id="rId1" Type="http://schemas.openxmlformats.org/officeDocument/2006/relationships/hyperlink" Target="https://www.progressivecommercial.com/commercial-auto-insurance/truck-insurance/commercial-truck-insurance-cost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ccjdigital.com/business/article/15753084/why-zeroemission-truck-insurance-costs-can-wipe-out-fuel-savings" TargetMode="External"/><Relationship Id="rId4" Type="http://schemas.openxmlformats.org/officeDocument/2006/relationships/hyperlink" Target="https://www.valuepenguin.com/average-cost-of-motorcycle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0369-4F84-43C0-97E9-6D0C01E4139F}">
  <dimension ref="A1:B62"/>
  <sheetViews>
    <sheetView tabSelected="1" topLeftCell="A19" workbookViewId="0">
      <selection activeCell="A53" sqref="A53"/>
    </sheetView>
  </sheetViews>
  <sheetFormatPr defaultRowHeight="15" x14ac:dyDescent="0.25"/>
  <cols>
    <col min="2" max="2" width="6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19</v>
      </c>
    </row>
    <row r="4" spans="1:2" x14ac:dyDescent="0.25">
      <c r="B4" t="s">
        <v>73</v>
      </c>
    </row>
    <row r="5" spans="1:2" x14ac:dyDescent="0.25">
      <c r="B5" s="3">
        <v>2025</v>
      </c>
    </row>
    <row r="6" spans="1:2" x14ac:dyDescent="0.25">
      <c r="B6" t="s">
        <v>75</v>
      </c>
    </row>
    <row r="7" spans="1:2" x14ac:dyDescent="0.25">
      <c r="B7" s="4" t="s">
        <v>74</v>
      </c>
    </row>
    <row r="9" spans="1:2" x14ac:dyDescent="0.25">
      <c r="B9" s="2" t="s">
        <v>26</v>
      </c>
    </row>
    <row r="10" spans="1:2" x14ac:dyDescent="0.25">
      <c r="B10" t="s">
        <v>27</v>
      </c>
    </row>
    <row r="11" spans="1:2" x14ac:dyDescent="0.25">
      <c r="B11" s="3">
        <v>2021</v>
      </c>
    </row>
    <row r="12" spans="1:2" x14ac:dyDescent="0.25">
      <c r="B12" t="s">
        <v>29</v>
      </c>
    </row>
    <row r="13" spans="1:2" x14ac:dyDescent="0.25">
      <c r="B13" s="4" t="s">
        <v>28</v>
      </c>
    </row>
    <row r="15" spans="1:2" x14ac:dyDescent="0.25">
      <c r="B15" s="2" t="s">
        <v>8</v>
      </c>
    </row>
    <row r="16" spans="1:2" x14ac:dyDescent="0.25">
      <c r="B16" t="s">
        <v>9</v>
      </c>
    </row>
    <row r="17" spans="2:2" x14ac:dyDescent="0.25">
      <c r="B17" t="s">
        <v>10</v>
      </c>
    </row>
    <row r="18" spans="2:2" x14ac:dyDescent="0.25">
      <c r="B18" t="s">
        <v>11</v>
      </c>
    </row>
    <row r="19" spans="2:2" x14ac:dyDescent="0.25">
      <c r="B19" s="4" t="s">
        <v>12</v>
      </c>
    </row>
    <row r="21" spans="2:2" x14ac:dyDescent="0.25">
      <c r="B21" s="2" t="s">
        <v>22</v>
      </c>
    </row>
    <row r="22" spans="2:2" x14ac:dyDescent="0.25">
      <c r="B22" t="s">
        <v>24</v>
      </c>
    </row>
    <row r="23" spans="2:2" x14ac:dyDescent="0.25">
      <c r="B23" t="s">
        <v>10</v>
      </c>
    </row>
    <row r="24" spans="2:2" x14ac:dyDescent="0.25">
      <c r="B24" s="4" t="s">
        <v>25</v>
      </c>
    </row>
    <row r="26" spans="2:2" x14ac:dyDescent="0.25">
      <c r="B26" s="2" t="s">
        <v>41</v>
      </c>
    </row>
    <row r="27" spans="2:2" x14ac:dyDescent="0.25">
      <c r="B27" t="s">
        <v>42</v>
      </c>
    </row>
    <row r="28" spans="2:2" x14ac:dyDescent="0.25">
      <c r="B28" s="3">
        <v>2021</v>
      </c>
    </row>
    <row r="29" spans="2:2" x14ac:dyDescent="0.25">
      <c r="B29" t="s">
        <v>43</v>
      </c>
    </row>
    <row r="30" spans="2:2" x14ac:dyDescent="0.25">
      <c r="B30" s="4" t="s">
        <v>44</v>
      </c>
    </row>
    <row r="32" spans="2:2" x14ac:dyDescent="0.25">
      <c r="B32" s="2" t="s">
        <v>76</v>
      </c>
    </row>
    <row r="33" spans="1:2" x14ac:dyDescent="0.25">
      <c r="B33" t="s">
        <v>77</v>
      </c>
    </row>
    <row r="34" spans="1:2" x14ac:dyDescent="0.25">
      <c r="B34" s="3">
        <v>2025</v>
      </c>
    </row>
    <row r="35" spans="1:2" x14ac:dyDescent="0.25">
      <c r="B35" t="s">
        <v>78</v>
      </c>
    </row>
    <row r="36" spans="1:2" x14ac:dyDescent="0.25">
      <c r="B36" s="4" t="s">
        <v>79</v>
      </c>
    </row>
    <row r="38" spans="1:2" x14ac:dyDescent="0.25">
      <c r="A38" s="1" t="s">
        <v>46</v>
      </c>
    </row>
    <row r="39" spans="1:2" x14ac:dyDescent="0.25">
      <c r="A39" t="s">
        <v>47</v>
      </c>
    </row>
    <row r="40" spans="1:2" x14ac:dyDescent="0.25">
      <c r="A40" t="s">
        <v>48</v>
      </c>
    </row>
    <row r="41" spans="1:2" x14ac:dyDescent="0.25">
      <c r="A41" t="s">
        <v>49</v>
      </c>
    </row>
    <row r="43" spans="1:2" x14ac:dyDescent="0.25">
      <c r="A43" t="s">
        <v>50</v>
      </c>
    </row>
    <row r="44" spans="1:2" x14ac:dyDescent="0.25">
      <c r="A44" t="s">
        <v>51</v>
      </c>
    </row>
    <row r="45" spans="1:2" x14ac:dyDescent="0.25">
      <c r="A45" t="s">
        <v>52</v>
      </c>
    </row>
    <row r="46" spans="1:2" x14ac:dyDescent="0.25">
      <c r="A46" t="s">
        <v>53</v>
      </c>
    </row>
    <row r="47" spans="1:2" x14ac:dyDescent="0.25">
      <c r="A47" t="s">
        <v>54</v>
      </c>
    </row>
    <row r="48" spans="1:2" x14ac:dyDescent="0.25">
      <c r="A48" t="s">
        <v>55</v>
      </c>
    </row>
    <row r="50" spans="1:2" x14ac:dyDescent="0.25">
      <c r="A50" t="s">
        <v>80</v>
      </c>
    </row>
    <row r="51" spans="1:2" x14ac:dyDescent="0.25">
      <c r="A51" t="s">
        <v>81</v>
      </c>
    </row>
    <row r="52" spans="1:2" x14ac:dyDescent="0.25">
      <c r="A52" t="s">
        <v>82</v>
      </c>
    </row>
    <row r="56" spans="1:2" x14ac:dyDescent="0.25">
      <c r="A56" s="1" t="s">
        <v>56</v>
      </c>
    </row>
    <row r="58" spans="1:2" x14ac:dyDescent="0.25">
      <c r="A58">
        <v>0.89800000000000002</v>
      </c>
      <c r="B58" t="s">
        <v>57</v>
      </c>
    </row>
    <row r="59" spans="1:2" x14ac:dyDescent="0.25">
      <c r="A59">
        <v>0.88700000000000001</v>
      </c>
      <c r="B59" t="s">
        <v>58</v>
      </c>
    </row>
    <row r="60" spans="1:2" x14ac:dyDescent="0.25">
      <c r="A60" s="10">
        <v>0.84730412960844359</v>
      </c>
      <c r="B60" t="s">
        <v>72</v>
      </c>
    </row>
    <row r="61" spans="1:2" x14ac:dyDescent="0.25">
      <c r="A61">
        <v>0.71310900044104586</v>
      </c>
      <c r="B61" t="s">
        <v>71</v>
      </c>
    </row>
    <row r="62" spans="1:2" x14ac:dyDescent="0.25">
      <c r="A62" s="9"/>
    </row>
  </sheetData>
  <hyperlinks>
    <hyperlink ref="B19" r:id="rId1" xr:uid="{DC3E2816-48AF-4FA2-A726-B61F86FC64CE}"/>
    <hyperlink ref="B24" r:id="rId2" xr:uid="{929BA16D-4044-4610-8C77-D354B466069A}"/>
    <hyperlink ref="B13" r:id="rId3" xr:uid="{3786F80B-C165-478C-A885-8E7EE782E47E}"/>
    <hyperlink ref="B30" r:id="rId4" xr:uid="{ECB38255-597D-4E40-A940-86F690DADDBD}"/>
    <hyperlink ref="B36" r:id="rId5" xr:uid="{36CC9A78-2687-4407-AACA-D5FF51BD9AC6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7FFC-9E03-403C-A103-2A580B24C105}">
  <dimension ref="A1:E38"/>
  <sheetViews>
    <sheetView workbookViewId="0">
      <selection activeCell="G12" sqref="G12"/>
    </sheetView>
  </sheetViews>
  <sheetFormatPr defaultRowHeight="15" x14ac:dyDescent="0.25"/>
  <cols>
    <col min="1" max="1" width="27.42578125" customWidth="1"/>
    <col min="2" max="2" width="11.140625" customWidth="1"/>
  </cols>
  <sheetData>
    <row r="1" spans="1:5" x14ac:dyDescent="0.25">
      <c r="A1" s="6" t="s">
        <v>19</v>
      </c>
      <c r="B1" s="7"/>
      <c r="C1" s="7"/>
    </row>
    <row r="3" spans="1:5" x14ac:dyDescent="0.25">
      <c r="A3" t="s">
        <v>60</v>
      </c>
    </row>
    <row r="4" spans="1:5" x14ac:dyDescent="0.25">
      <c r="A4" t="s">
        <v>61</v>
      </c>
      <c r="B4" s="8">
        <v>2732</v>
      </c>
      <c r="C4" t="s">
        <v>63</v>
      </c>
    </row>
    <row r="5" spans="1:5" x14ac:dyDescent="0.25">
      <c r="A5" t="s">
        <v>62</v>
      </c>
      <c r="B5" s="8">
        <v>4058</v>
      </c>
      <c r="C5" t="s">
        <v>63</v>
      </c>
    </row>
    <row r="7" spans="1:5" x14ac:dyDescent="0.25">
      <c r="A7" s="6" t="s">
        <v>26</v>
      </c>
      <c r="B7" s="7"/>
      <c r="C7" s="7"/>
    </row>
    <row r="9" spans="1:5" x14ac:dyDescent="0.25">
      <c r="A9" t="s">
        <v>30</v>
      </c>
    </row>
    <row r="11" spans="1:5" x14ac:dyDescent="0.25">
      <c r="B11" t="s">
        <v>36</v>
      </c>
      <c r="C11" t="s">
        <v>37</v>
      </c>
      <c r="D11" t="s">
        <v>38</v>
      </c>
    </row>
    <row r="12" spans="1:5" x14ac:dyDescent="0.25">
      <c r="A12" t="s">
        <v>31</v>
      </c>
      <c r="B12">
        <v>600</v>
      </c>
      <c r="C12">
        <v>2400</v>
      </c>
      <c r="D12">
        <f>AVERAGE(B12:C12)</f>
        <v>1500</v>
      </c>
      <c r="E12" t="s">
        <v>39</v>
      </c>
    </row>
    <row r="13" spans="1:5" x14ac:dyDescent="0.25">
      <c r="A13" t="s">
        <v>32</v>
      </c>
      <c r="B13">
        <v>4000</v>
      </c>
      <c r="C13">
        <v>10000</v>
      </c>
      <c r="D13">
        <f t="shared" ref="D13:D16" si="0">AVERAGE(B13:C13)</f>
        <v>7000</v>
      </c>
      <c r="E13" t="s">
        <v>39</v>
      </c>
    </row>
    <row r="14" spans="1:5" x14ac:dyDescent="0.25">
      <c r="A14" t="s">
        <v>33</v>
      </c>
      <c r="B14">
        <v>3300</v>
      </c>
      <c r="C14">
        <v>6200</v>
      </c>
      <c r="D14" s="8">
        <f t="shared" si="0"/>
        <v>4750</v>
      </c>
      <c r="E14" t="s">
        <v>39</v>
      </c>
    </row>
    <row r="15" spans="1:5" x14ac:dyDescent="0.25">
      <c r="A15" t="s">
        <v>34</v>
      </c>
      <c r="B15">
        <v>5000</v>
      </c>
      <c r="C15">
        <v>10000</v>
      </c>
      <c r="D15">
        <f t="shared" si="0"/>
        <v>7500</v>
      </c>
      <c r="E15" t="s">
        <v>39</v>
      </c>
    </row>
    <row r="16" spans="1:5" x14ac:dyDescent="0.25">
      <c r="A16" t="s">
        <v>35</v>
      </c>
      <c r="B16">
        <v>8000</v>
      </c>
      <c r="C16">
        <v>12500</v>
      </c>
      <c r="D16">
        <f t="shared" si="0"/>
        <v>10250</v>
      </c>
      <c r="E16" t="s">
        <v>39</v>
      </c>
    </row>
    <row r="18" spans="1:3" x14ac:dyDescent="0.25">
      <c r="A18" t="s">
        <v>40</v>
      </c>
    </row>
    <row r="20" spans="1:3" x14ac:dyDescent="0.25">
      <c r="A20" s="6" t="s">
        <v>8</v>
      </c>
      <c r="B20" s="7"/>
      <c r="C20" s="7"/>
    </row>
    <row r="22" spans="1:3" x14ac:dyDescent="0.25">
      <c r="A22" t="s">
        <v>14</v>
      </c>
      <c r="B22">
        <v>640</v>
      </c>
      <c r="C22" t="s">
        <v>13</v>
      </c>
    </row>
    <row r="23" spans="1:3" x14ac:dyDescent="0.25">
      <c r="A23" t="s">
        <v>15</v>
      </c>
      <c r="B23">
        <v>982</v>
      </c>
      <c r="C23" t="s">
        <v>13</v>
      </c>
    </row>
    <row r="24" spans="1:3" x14ac:dyDescent="0.25">
      <c r="A24" t="s">
        <v>16</v>
      </c>
      <c r="B24">
        <f>AVERAGE(B22:B23)</f>
        <v>811</v>
      </c>
      <c r="C24" t="s">
        <v>13</v>
      </c>
    </row>
    <row r="25" spans="1:3" x14ac:dyDescent="0.25">
      <c r="A25" t="s">
        <v>17</v>
      </c>
      <c r="B25" s="8">
        <f>B24*12</f>
        <v>9732</v>
      </c>
      <c r="C25" t="s">
        <v>18</v>
      </c>
    </row>
    <row r="27" spans="1:3" x14ac:dyDescent="0.25">
      <c r="A27" t="s">
        <v>20</v>
      </c>
    </row>
    <row r="28" spans="1:3" x14ac:dyDescent="0.25">
      <c r="A28" t="s">
        <v>21</v>
      </c>
    </row>
    <row r="30" spans="1:3" x14ac:dyDescent="0.25">
      <c r="A30" s="6" t="s">
        <v>22</v>
      </c>
      <c r="B30" s="7"/>
      <c r="C30" s="7"/>
    </row>
    <row r="32" spans="1:3" x14ac:dyDescent="0.25">
      <c r="A32" t="s">
        <v>23</v>
      </c>
      <c r="B32" s="8">
        <v>9420</v>
      </c>
      <c r="C32" t="s">
        <v>18</v>
      </c>
    </row>
    <row r="34" spans="1:3" x14ac:dyDescent="0.25">
      <c r="A34" s="6" t="s">
        <v>41</v>
      </c>
      <c r="B34" s="7"/>
      <c r="C34" s="7"/>
    </row>
    <row r="36" spans="1:3" x14ac:dyDescent="0.25">
      <c r="A36" t="s">
        <v>45</v>
      </c>
    </row>
    <row r="38" spans="1:3" x14ac:dyDescent="0.25">
      <c r="A38" t="s">
        <v>23</v>
      </c>
      <c r="B38" s="8">
        <v>721</v>
      </c>
      <c r="C3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F2D4-8FE2-493C-8905-78A0E4F67148}">
  <sheetPr>
    <tabColor rgb="FF002060"/>
  </sheetPr>
  <dimension ref="A1:H7"/>
  <sheetViews>
    <sheetView workbookViewId="0">
      <selection activeCell="H3" sqref="H3"/>
    </sheetView>
  </sheetViews>
  <sheetFormatPr defaultRowHeight="15" x14ac:dyDescent="0.25"/>
  <cols>
    <col min="1" max="1" width="16.140625" customWidth="1"/>
    <col min="2" max="2" width="21.7109375" bestFit="1" customWidth="1"/>
    <col min="3" max="3" width="17.7109375" bestFit="1" customWidth="1"/>
    <col min="4" max="4" width="15.42578125" bestFit="1" customWidth="1"/>
    <col min="5" max="5" width="13.42578125" bestFit="1" customWidth="1"/>
    <col min="6" max="6" width="19.85546875" bestFit="1" customWidth="1"/>
    <col min="7" max="7" width="11.28515625" bestFit="1" customWidth="1"/>
  </cols>
  <sheetData>
    <row r="1" spans="1:8" x14ac:dyDescent="0.25">
      <c r="A1" s="5" t="s">
        <v>59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x14ac:dyDescent="0.25">
      <c r="A2" s="1" t="s">
        <v>2</v>
      </c>
      <c r="B2" s="13">
        <f>Data!B5*About!A61</f>
        <v>2893.7963237897643</v>
      </c>
      <c r="C2" s="17">
        <f>D2</f>
        <v>1948.2137892049373</v>
      </c>
      <c r="D2" s="12">
        <f>Data!B4*About!A61</f>
        <v>1948.2137892049373</v>
      </c>
      <c r="E2" s="16">
        <f>D2</f>
        <v>1948.2137892049373</v>
      </c>
      <c r="F2" s="13">
        <f>AVERAGE(D2,B2)</f>
        <v>2421.0050564973508</v>
      </c>
      <c r="G2" s="14">
        <f>D2</f>
        <v>1948.2137892049373</v>
      </c>
      <c r="H2" s="15">
        <f>B2</f>
        <v>2893.7963237897643</v>
      </c>
    </row>
    <row r="3" spans="1:8" x14ac:dyDescent="0.25">
      <c r="A3" s="1" t="s">
        <v>3</v>
      </c>
      <c r="B3" s="11">
        <f>D3*1.4</f>
        <v>11174.246861276153</v>
      </c>
      <c r="C3" s="11">
        <f>D3</f>
        <v>7981.6049009115386</v>
      </c>
      <c r="D3" s="18">
        <f>Data!B32*About!A60</f>
        <v>7981.6049009115386</v>
      </c>
      <c r="E3" s="18">
        <f t="shared" ref="D3:H3" si="0">D3</f>
        <v>7981.6049009115386</v>
      </c>
      <c r="F3" s="18">
        <f>AVERAGE(D3,B3)</f>
        <v>9577.9258810938463</v>
      </c>
      <c r="G3" s="11">
        <f>D3</f>
        <v>7981.6049009115386</v>
      </c>
      <c r="H3" s="11">
        <f>B3</f>
        <v>11174.246861276153</v>
      </c>
    </row>
    <row r="4" spans="1:8" x14ac:dyDescent="0.25">
      <c r="A4" s="1" t="s">
        <v>4</v>
      </c>
      <c r="B4">
        <v>0</v>
      </c>
      <c r="C4" s="11">
        <f t="shared" ref="C4:H4" si="1">B4</f>
        <v>0</v>
      </c>
      <c r="D4" s="11">
        <f t="shared" si="1"/>
        <v>0</v>
      </c>
      <c r="E4" s="11">
        <f t="shared" si="1"/>
        <v>0</v>
      </c>
      <c r="F4" s="11">
        <f t="shared" si="1"/>
        <v>0</v>
      </c>
      <c r="G4" s="11">
        <f t="shared" si="1"/>
        <v>0</v>
      </c>
      <c r="H4" s="11">
        <f t="shared" si="1"/>
        <v>0</v>
      </c>
    </row>
    <row r="5" spans="1:8" x14ac:dyDescent="0.25">
      <c r="A5" s="1" t="s">
        <v>5</v>
      </c>
      <c r="B5">
        <v>0</v>
      </c>
      <c r="C5" s="11">
        <f t="shared" ref="C5:H5" si="2">B5</f>
        <v>0</v>
      </c>
      <c r="D5" s="11">
        <f t="shared" si="2"/>
        <v>0</v>
      </c>
      <c r="E5" s="11">
        <f t="shared" si="2"/>
        <v>0</v>
      </c>
      <c r="F5" s="11">
        <f t="shared" si="2"/>
        <v>0</v>
      </c>
      <c r="G5" s="11">
        <f t="shared" si="2"/>
        <v>0</v>
      </c>
      <c r="H5" s="11">
        <f t="shared" si="2"/>
        <v>0</v>
      </c>
    </row>
    <row r="6" spans="1:8" x14ac:dyDescent="0.25">
      <c r="A6" s="1" t="s">
        <v>6</v>
      </c>
      <c r="B6">
        <v>0</v>
      </c>
      <c r="C6" s="11">
        <f t="shared" ref="C6:H6" si="3">B6</f>
        <v>0</v>
      </c>
      <c r="D6" s="11">
        <f t="shared" si="3"/>
        <v>0</v>
      </c>
      <c r="E6" s="11">
        <f t="shared" si="3"/>
        <v>0</v>
      </c>
      <c r="F6" s="11">
        <f t="shared" si="3"/>
        <v>0</v>
      </c>
      <c r="G6" s="11">
        <f t="shared" si="3"/>
        <v>0</v>
      </c>
      <c r="H6" s="11">
        <f t="shared" si="3"/>
        <v>0</v>
      </c>
    </row>
    <row r="7" spans="1:8" x14ac:dyDescent="0.25">
      <c r="A7" s="1" t="s">
        <v>7</v>
      </c>
      <c r="B7" s="11">
        <f>Data!B38*About!A60</f>
        <v>610.90627744768778</v>
      </c>
      <c r="C7" s="11">
        <f t="shared" ref="C7:H7" si="4">B7</f>
        <v>610.90627744768778</v>
      </c>
      <c r="D7" s="11">
        <f t="shared" si="4"/>
        <v>610.90627744768778</v>
      </c>
      <c r="E7" s="11">
        <f t="shared" si="4"/>
        <v>610.90627744768778</v>
      </c>
      <c r="F7" s="11">
        <f t="shared" si="4"/>
        <v>610.90627744768778</v>
      </c>
      <c r="G7" s="11">
        <f t="shared" si="4"/>
        <v>610.90627744768778</v>
      </c>
      <c r="H7" s="11">
        <f t="shared" si="4"/>
        <v>610.90627744768778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8790-CEA3-4C44-81E1-FC7A1C5ACA24}">
  <sheetPr>
    <tabColor rgb="FF002060"/>
  </sheetPr>
  <dimension ref="A1:H7"/>
  <sheetViews>
    <sheetView workbookViewId="0">
      <selection activeCell="B63" sqref="B63"/>
    </sheetView>
  </sheetViews>
  <sheetFormatPr defaultRowHeight="15" x14ac:dyDescent="0.25"/>
  <cols>
    <col min="1" max="1" width="16.140625" customWidth="1"/>
    <col min="2" max="2" width="12.28515625" customWidth="1"/>
    <col min="3" max="3" width="17.7109375" bestFit="1" customWidth="1"/>
  </cols>
  <sheetData>
    <row r="1" spans="1:8" x14ac:dyDescent="0.25">
      <c r="A1" s="5" t="s">
        <v>59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x14ac:dyDescent="0.25">
      <c r="A2" s="1" t="s">
        <v>2</v>
      </c>
      <c r="B2">
        <f>E2*1.4</f>
        <v>5634.5724618961494</v>
      </c>
      <c r="C2" s="11">
        <f>E2</f>
        <v>4024.6946156401073</v>
      </c>
      <c r="D2" s="11">
        <f>E2</f>
        <v>4024.6946156401073</v>
      </c>
      <c r="E2" s="11">
        <f>Data!D14*About!A60</f>
        <v>4024.6946156401073</v>
      </c>
      <c r="F2" s="11">
        <f>AVERAGE(E2,B2)</f>
        <v>4829.6335387681283</v>
      </c>
      <c r="G2">
        <f>B2</f>
        <v>5634.5724618961494</v>
      </c>
      <c r="H2">
        <f>B2</f>
        <v>5634.5724618961494</v>
      </c>
    </row>
    <row r="3" spans="1:8" x14ac:dyDescent="0.25">
      <c r="A3" s="1" t="s">
        <v>3</v>
      </c>
      <c r="B3">
        <f>E3*1.4</f>
        <v>11544.349305089121</v>
      </c>
      <c r="C3" s="11">
        <f t="shared" ref="C3:C7" si="0">E3</f>
        <v>8245.9637893493727</v>
      </c>
      <c r="D3" s="11">
        <f t="shared" ref="D3:D7" si="1">E3</f>
        <v>8245.9637893493727</v>
      </c>
      <c r="E3" s="11">
        <f>Data!B25*About!A60</f>
        <v>8245.9637893493727</v>
      </c>
      <c r="F3" s="11">
        <f t="shared" ref="F3:F7" si="2">AVERAGE(E3,B3)</f>
        <v>9895.1565472192469</v>
      </c>
      <c r="G3">
        <f t="shared" ref="G3:G7" si="3">B3</f>
        <v>11544.349305089121</v>
      </c>
      <c r="H3">
        <f t="shared" ref="H3:H7" si="4">B3</f>
        <v>11544.349305089121</v>
      </c>
    </row>
    <row r="4" spans="1:8" x14ac:dyDescent="0.25">
      <c r="A4" s="1" t="s">
        <v>4</v>
      </c>
      <c r="B4">
        <f>E4</f>
        <v>0</v>
      </c>
      <c r="C4" s="11">
        <f t="shared" si="0"/>
        <v>0</v>
      </c>
      <c r="D4" s="11">
        <f t="shared" si="1"/>
        <v>0</v>
      </c>
      <c r="E4">
        <v>0</v>
      </c>
      <c r="F4" s="11">
        <f t="shared" si="2"/>
        <v>0</v>
      </c>
      <c r="G4">
        <f t="shared" si="3"/>
        <v>0</v>
      </c>
      <c r="H4">
        <f t="shared" si="4"/>
        <v>0</v>
      </c>
    </row>
    <row r="5" spans="1:8" x14ac:dyDescent="0.25">
      <c r="A5" s="1" t="s">
        <v>5</v>
      </c>
      <c r="B5">
        <f t="shared" ref="B5:B7" si="5">E5</f>
        <v>0</v>
      </c>
      <c r="C5" s="11">
        <f t="shared" si="0"/>
        <v>0</v>
      </c>
      <c r="D5" s="11">
        <f t="shared" si="1"/>
        <v>0</v>
      </c>
      <c r="E5">
        <v>0</v>
      </c>
      <c r="F5" s="11">
        <f t="shared" si="2"/>
        <v>0</v>
      </c>
      <c r="G5">
        <f t="shared" si="3"/>
        <v>0</v>
      </c>
      <c r="H5">
        <f t="shared" si="4"/>
        <v>0</v>
      </c>
    </row>
    <row r="6" spans="1:8" x14ac:dyDescent="0.25">
      <c r="A6" s="1" t="s">
        <v>6</v>
      </c>
      <c r="B6">
        <f t="shared" si="5"/>
        <v>0</v>
      </c>
      <c r="C6" s="11">
        <f t="shared" si="0"/>
        <v>0</v>
      </c>
      <c r="D6" s="11">
        <f t="shared" si="1"/>
        <v>0</v>
      </c>
      <c r="E6">
        <v>0</v>
      </c>
      <c r="F6" s="11">
        <f t="shared" si="2"/>
        <v>0</v>
      </c>
      <c r="G6">
        <f t="shared" si="3"/>
        <v>0</v>
      </c>
      <c r="H6">
        <f t="shared" si="4"/>
        <v>0</v>
      </c>
    </row>
    <row r="7" spans="1:8" x14ac:dyDescent="0.25">
      <c r="A7" s="1" t="s">
        <v>7</v>
      </c>
      <c r="B7">
        <f t="shared" si="5"/>
        <v>0</v>
      </c>
      <c r="C7" s="11">
        <f t="shared" si="0"/>
        <v>0</v>
      </c>
      <c r="D7" s="11">
        <f t="shared" si="1"/>
        <v>0</v>
      </c>
      <c r="E7">
        <v>0</v>
      </c>
      <c r="F7" s="11">
        <f t="shared" si="2"/>
        <v>0</v>
      </c>
      <c r="G7">
        <f t="shared" si="3"/>
        <v>0</v>
      </c>
      <c r="H7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AVIC-passenger</vt:lpstr>
      <vt:lpstr>AVIC-freight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Robbie Orvis</cp:lastModifiedBy>
  <dcterms:created xsi:type="dcterms:W3CDTF">2021-12-14T23:26:11Z</dcterms:created>
  <dcterms:modified xsi:type="dcterms:W3CDTF">2026-04-16T14:39:30Z</dcterms:modified>
</cp:coreProperties>
</file>