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input-rename2\InputData\trans\VpHC\"/>
    </mc:Choice>
  </mc:AlternateContent>
  <xr:revisionPtr revIDLastSave="0" documentId="13_ncr:1_{0DE20252-84E3-4998-AD3E-053E8F4569FD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Keys" sheetId="2" r:id="rId2"/>
    <sheet name="Literature" sheetId="3" r:id="rId3"/>
    <sheet name="NoH" sheetId="4" r:id="rId4"/>
    <sheet name="BGDP" sheetId="5" r:id="rId5"/>
    <sheet name="SYVbT" sheetId="6" r:id="rId6"/>
    <sheet name="BCDTRtSY" sheetId="7" r:id="rId7"/>
    <sheet name="BAADTbVT" sheetId="8" r:id="rId8"/>
    <sheet name="SYAADTbVT" sheetId="9" r:id="rId9"/>
    <sheet name="Ownership fit" sheetId="10" r:id="rId10"/>
    <sheet name="Checks" sheetId="11" r:id="rId11"/>
    <sheet name="VpHC-VpHCS" sheetId="12" r:id="rId12"/>
    <sheet name="VpHC-VpHCI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0" l="1"/>
  <c r="E42" i="10"/>
  <c r="C42" i="10"/>
  <c r="B42" i="10"/>
  <c r="F41" i="10"/>
  <c r="E41" i="10"/>
  <c r="C41" i="10"/>
  <c r="B41" i="10"/>
  <c r="F40" i="10"/>
  <c r="E40" i="10"/>
  <c r="C40" i="10"/>
  <c r="B40" i="10"/>
  <c r="F39" i="10"/>
  <c r="E39" i="10"/>
  <c r="C39" i="10"/>
  <c r="B39" i="10"/>
  <c r="F38" i="10"/>
  <c r="E38" i="10"/>
  <c r="C38" i="10"/>
  <c r="B38" i="10"/>
  <c r="F37" i="10"/>
  <c r="E37" i="10"/>
  <c r="C37" i="10"/>
  <c r="B37" i="10"/>
  <c r="F36" i="10"/>
  <c r="E36" i="10"/>
  <c r="C36" i="10"/>
  <c r="B36" i="10"/>
  <c r="F35" i="10"/>
  <c r="E35" i="10"/>
  <c r="C35" i="10"/>
  <c r="D35" i="10" s="1"/>
  <c r="B35" i="10"/>
  <c r="F34" i="10"/>
  <c r="E34" i="10"/>
  <c r="C34" i="10"/>
  <c r="B34" i="10"/>
  <c r="F33" i="10"/>
  <c r="E33" i="10"/>
  <c r="C33" i="10"/>
  <c r="B33" i="10"/>
  <c r="F32" i="10"/>
  <c r="E32" i="10"/>
  <c r="C32" i="10"/>
  <c r="B32" i="10"/>
  <c r="F31" i="10"/>
  <c r="E31" i="10"/>
  <c r="C31" i="10"/>
  <c r="B31" i="10"/>
  <c r="F30" i="10"/>
  <c r="E30" i="10"/>
  <c r="C30" i="10"/>
  <c r="B30" i="10"/>
  <c r="F29" i="10"/>
  <c r="E29" i="10"/>
  <c r="C29" i="10"/>
  <c r="D29" i="10" s="1"/>
  <c r="B29" i="10"/>
  <c r="F28" i="10"/>
  <c r="E28" i="10"/>
  <c r="C28" i="10"/>
  <c r="B28" i="10"/>
  <c r="F27" i="10"/>
  <c r="E27" i="10"/>
  <c r="C27" i="10"/>
  <c r="B27" i="10"/>
  <c r="F26" i="10"/>
  <c r="E26" i="10"/>
  <c r="C26" i="10"/>
  <c r="B26" i="10"/>
  <c r="F25" i="10"/>
  <c r="E25" i="10"/>
  <c r="C25" i="10"/>
  <c r="B25" i="10"/>
  <c r="F24" i="10"/>
  <c r="E24" i="10"/>
  <c r="C24" i="10"/>
  <c r="D24" i="10" s="1"/>
  <c r="B24" i="10"/>
  <c r="F23" i="10"/>
  <c r="E23" i="10"/>
  <c r="C23" i="10"/>
  <c r="B23" i="10"/>
  <c r="F22" i="10"/>
  <c r="E22" i="10"/>
  <c r="C22" i="10"/>
  <c r="B22" i="10"/>
  <c r="F21" i="10"/>
  <c r="E21" i="10"/>
  <c r="C21" i="10"/>
  <c r="B21" i="10"/>
  <c r="F20" i="10"/>
  <c r="E20" i="10"/>
  <c r="C20" i="10"/>
  <c r="B20" i="10"/>
  <c r="F19" i="10"/>
  <c r="E19" i="10"/>
  <c r="C19" i="10"/>
  <c r="B19" i="10"/>
  <c r="F18" i="10"/>
  <c r="E18" i="10"/>
  <c r="C18" i="10"/>
  <c r="B18" i="10"/>
  <c r="F17" i="10"/>
  <c r="E17" i="10"/>
  <c r="C17" i="10"/>
  <c r="D17" i="10" s="1"/>
  <c r="B17" i="10"/>
  <c r="B12" i="10"/>
  <c r="B2" i="13" s="1"/>
  <c r="B11" i="10"/>
  <c r="B10" i="10"/>
  <c r="B7" i="10"/>
  <c r="B6" i="10"/>
  <c r="B5" i="10"/>
  <c r="D42" i="10" l="1"/>
  <c r="D41" i="10"/>
  <c r="D40" i="10"/>
  <c r="D39" i="10"/>
  <c r="D38" i="10"/>
  <c r="D37" i="10"/>
  <c r="D33" i="10"/>
  <c r="D32" i="10"/>
  <c r="D28" i="10"/>
  <c r="D27" i="10"/>
  <c r="D22" i="10"/>
  <c r="D21" i="10"/>
  <c r="D18" i="10"/>
  <c r="D36" i="10"/>
  <c r="D34" i="10"/>
  <c r="D31" i="10"/>
  <c r="D30" i="10"/>
  <c r="D26" i="10"/>
  <c r="D25" i="10"/>
  <c r="D23" i="10"/>
  <c r="D20" i="10"/>
  <c r="D19" i="10"/>
  <c r="B9" i="10"/>
  <c r="B2" i="12"/>
  <c r="B6" i="11" s="1"/>
  <c r="C6" i="11" s="1"/>
  <c r="G30" i="10"/>
  <c r="H30" i="10" s="1"/>
  <c r="G35" i="10"/>
  <c r="H35" i="10" s="1"/>
  <c r="G32" i="10"/>
  <c r="H32" i="10" s="1"/>
  <c r="G28" i="10"/>
  <c r="H28" i="10" s="1"/>
  <c r="G42" i="10"/>
  <c r="H42" i="10" s="1"/>
  <c r="G24" i="10"/>
  <c r="H24" i="10" s="1"/>
  <c r="G23" i="10"/>
  <c r="H23" i="10" s="1"/>
  <c r="G41" i="10"/>
  <c r="H41" i="10" s="1"/>
  <c r="G29" i="10"/>
  <c r="H29" i="10" s="1"/>
  <c r="G22" i="10"/>
  <c r="H22" i="10" s="1"/>
  <c r="G39" i="10"/>
  <c r="H39" i="10" s="1"/>
  <c r="G21" i="10"/>
  <c r="H21" i="10" s="1"/>
  <c r="G36" i="10"/>
  <c r="H36" i="10" s="1"/>
  <c r="G27" i="10"/>
  <c r="H27" i="10" s="1"/>
  <c r="G26" i="10"/>
  <c r="H26" i="10" s="1"/>
  <c r="G37" i="10"/>
  <c r="H37" i="10" s="1"/>
  <c r="G40" i="10"/>
  <c r="H40" i="10" s="1"/>
  <c r="G18" i="10"/>
  <c r="H18" i="10" s="1"/>
  <c r="G25" i="10"/>
  <c r="H25" i="10" s="1"/>
  <c r="G31" i="10"/>
  <c r="H31" i="10" s="1"/>
  <c r="G17" i="10"/>
  <c r="H17" i="10" s="1"/>
  <c r="G38" i="10"/>
  <c r="H38" i="10" s="1"/>
  <c r="G33" i="10"/>
  <c r="H33" i="10" s="1"/>
  <c r="G20" i="10"/>
  <c r="H20" i="10" s="1"/>
  <c r="G19" i="10"/>
  <c r="H19" i="10" s="1"/>
  <c r="G34" i="10"/>
  <c r="H34" i="10" s="1"/>
  <c r="B8" i="10"/>
  <c r="B13" i="10" l="1"/>
  <c r="B5" i="11"/>
  <c r="C5" i="11" s="1"/>
  <c r="I42" i="10" l="1"/>
  <c r="J42" i="10" s="1"/>
  <c r="I17" i="10"/>
  <c r="J17" i="10" s="1"/>
  <c r="I37" i="10"/>
  <c r="J37" i="10" s="1"/>
  <c r="I19" i="10"/>
  <c r="J19" i="10" s="1"/>
  <c r="I36" i="10"/>
  <c r="J36" i="10" s="1"/>
  <c r="I24" i="10"/>
  <c r="J24" i="10" s="1"/>
  <c r="I38" i="10"/>
  <c r="J38" i="10" s="1"/>
  <c r="I22" i="10"/>
  <c r="J22" i="10" s="1"/>
  <c r="I32" i="10"/>
  <c r="J32" i="10" s="1"/>
  <c r="I29" i="10"/>
  <c r="J29" i="10" s="1"/>
  <c r="I30" i="10"/>
  <c r="J30" i="10" s="1"/>
  <c r="I33" i="10"/>
  <c r="J33" i="10" s="1"/>
  <c r="I20" i="10"/>
  <c r="J20" i="10" s="1"/>
  <c r="I18" i="10"/>
  <c r="J18" i="10" s="1"/>
  <c r="I21" i="10"/>
  <c r="J21" i="10" s="1"/>
  <c r="I35" i="10"/>
  <c r="J35" i="10" s="1"/>
  <c r="I39" i="10"/>
  <c r="J39" i="10" s="1"/>
  <c r="I40" i="10"/>
  <c r="J40" i="10" s="1"/>
  <c r="I34" i="10"/>
  <c r="J34" i="10" s="1"/>
  <c r="I41" i="10"/>
  <c r="J41" i="10" s="1"/>
  <c r="I31" i="10"/>
  <c r="J31" i="10" s="1"/>
  <c r="I26" i="10"/>
  <c r="J26" i="10" s="1"/>
  <c r="I23" i="10"/>
  <c r="J23" i="10" s="1"/>
  <c r="I25" i="10"/>
  <c r="J25" i="10" s="1"/>
  <c r="I27" i="10"/>
  <c r="J27" i="10" s="1"/>
  <c r="I28" i="10"/>
  <c r="J28" i="10" s="1"/>
  <c r="B14" i="10" l="1"/>
  <c r="B4" i="11" s="1"/>
  <c r="C4" i="11" s="1"/>
  <c r="B7" i="11" s="1"/>
  <c r="C7" i="11" s="1"/>
</calcChain>
</file>

<file path=xl/sharedStrings.xml><?xml version="1.0" encoding="utf-8"?>
<sst xmlns="http://schemas.openxmlformats.org/spreadsheetml/2006/main" count="243" uniqueCount="149">
  <si>
    <t>VpHC Vehicles per Household Curve (VpHCS, VpHCIR)</t>
  </si>
  <si>
    <t>Sources:</t>
  </si>
  <si>
    <t>Households and BAU GDP (the income variable of the ownership curve)</t>
  </si>
  <si>
    <t>Functional form and published parameters of the vehicle-ownership curve</t>
  </si>
  <si>
    <t>EPS US inputs</t>
  </si>
  <si>
    <t>Dargay and Gately; Dargay, Gately and Sommer</t>
  </si>
  <si>
    <t>InputData/add-outputs/NoH/NoH.csv and InputData/io-model/BGDP/BGDP.csv, pasted as published in this model version</t>
  </si>
  <si>
    <t>Dargay and Gately (2001), Modelling global vehicle ownership, WCTR paper 4124, Table 2; Dargay, Gately and Sommer (2007), Vehicle Ownership and Income Growth, Worldwide: 1960-2030, The Energy Journal 28(4) (as presented at BIEE 2006)</t>
  </si>
  <si>
    <t>https://github.com/EnergyInnovation/eps-us</t>
  </si>
  <si>
    <t>https://www.biee.org/wp-content/uploads/Vehicle_ownership_and_income_growth_worldwide_1960-2030_2006_pres.pdf</t>
  </si>
  <si>
    <t>Tabs 'NoH' and 'BGDP'. GDP is in 2012 dollars; GDP per household is computed on 'Ownership fit'.</t>
  </si>
  <si>
    <t>Tab 'Literature'. Gompertz per capita: V/P = S x exp(a x exp(b x GDP per capita)), GDP in thousand 1985 US$ PPP; US b = -0.23, a = -5.90, mean saturation 0.80 vehicles per person. Values marked unverified come from a summary of the 2006 working paper, not the article. The US values in this workbook are fitted to the model's own fleet path; the published values are the fallback for a region without a stock projection (convert per capita to per household and 1985 PPP dollars to the region's GDP units).</t>
  </si>
  <si>
    <t>Start-year fleet, travel growth and miles per vehicle (the fleet path the curve reproduces)</t>
  </si>
  <si>
    <t>InputData/trans: SYVbT-passenger.csv, BCDTRtSY-psgr.csv, BAADTbVT-passengers.csv, SYAADTbVT-passengers.csv</t>
  </si>
  <si>
    <t>Tabs 'SYVbT', 'BCDTRtSY', 'BAADTbVT', 'SYAADTbVT'. The passenger-car fleet these imply is start-year cars x travel index / (miles per car index), i.e. AEO's light-duty stock path scaled to the FHWA start-year fleet (BAADTbVT is AEO vehicle-miles over AEO stock). The ownership curve is fitted to that path.</t>
  </si>
  <si>
    <t>Notes:</t>
  </si>
  <si>
    <t>What this file holds</t>
  </si>
  <si>
    <t>The two constants of the car-ownership curve: vehicles per household = VpHCS x exp(a x exp(VpHCIR x GDP per household)), where the model sets a from the start-year point (SYVbT / households) so the curve always passes through the start year. For the types flagged in BFfHO (US: passenger cars) the BAU fleet is households x vehicles per household on this curve, and miles per car is travel / (fleet x loading). The companion inputs BFfHO (which types use the curve) and MBFGR (fleet growth while loading fills) have their own folders.</t>
  </si>
  <si>
    <t>Layout</t>
  </si>
  <si>
    <t>'Ownership fit' works out GDP per household, the fleet the travel and mileage inputs imply, and the fitted curve against it. Source tabs are pasted as published; 'Literature' holds the published curve parameters; 'Checks' flags problems (1 = problem); the two dark-blue tabs are exported.</t>
  </si>
  <si>
    <t>An abnormal start year</t>
  </si>
  <si>
    <t>Enter normal use in BAADTbVT and AVLo (for example 2019 levels for a 2020 start) and the actual start-year use in SYAADTbVT and SYAVLo. The model then holds purchases to replacements until use per vehicle is back to normal.</t>
  </si>
  <si>
    <t>VpHCS and VpHCIR</t>
  </si>
  <si>
    <t>Vehicles per household = VpHCS x exp(a x exp(VpHCIR x GDP per household)); the model computes a from the start-year point (SYVbT / households), so the curve always passes through the start year. US: S and b are the two values that make the curve follow the fleet path on 'Ownership fit' most closely (within the tolerance on 'Checks'). A region without a stock projection: use the published values on 'Literature', converted to per household and to the region's GDP units. Rows with BFfHO = 0 are ignored (0).</t>
  </si>
  <si>
    <t>Motorbikes</t>
  </si>
  <si>
    <t>Not on the ownership rule (BFfHO = 0): in the AEO-based inputs, motorbikes per household fall about 10% by 2050, which a saturating curve cannot follow, so motorbikes stay on travel at normal use.</t>
  </si>
  <si>
    <t>Keys</t>
  </si>
  <si>
    <t>Labels, years and constants the formulas use; S and b are the fitted values</t>
  </si>
  <si>
    <t>Ownership rule flag: yes</t>
  </si>
  <si>
    <t>Ownership rule flag: no</t>
  </si>
  <si>
    <t>Start (data) year</t>
  </si>
  <si>
    <t>Last year</t>
  </si>
  <si>
    <t>Fitted saturation VpHCS, passenger cars (vehicles per household)</t>
  </si>
  <si>
    <t>Fitted income response VpHCIR, passenger cars (per 2012 $ of GDP per household)</t>
  </si>
  <si>
    <t>Tolerance: ownership fit, max deviation of the curve from the input fleet path</t>
  </si>
  <si>
    <t>Row label: passenger cars</t>
  </si>
  <si>
    <t>LDVs</t>
  </si>
  <si>
    <t>Row label: households</t>
  </si>
  <si>
    <t>Households</t>
  </si>
  <si>
    <t>Dargay-Gately vehicle-ownership curve: published parameters</t>
  </si>
  <si>
    <t>parameter</t>
  </si>
  <si>
    <t>value</t>
  </si>
  <si>
    <t>source and units</t>
  </si>
  <si>
    <t>Functional form</t>
  </si>
  <si>
    <t>V/P = S x exp(a x exp(b x Y)), Y = GDP per capita in thousand 1985 US$ PPP</t>
  </si>
  <si>
    <t>Dargay and Gately (2001) eqs. 1-8; same form in Dargay, Gately and Sommer (2007)</t>
  </si>
  <si>
    <t>Mean saturation S (vehicles per person, all 82 countries 1960-96)</t>
  </si>
  <si>
    <t>D&amp;G 2001 Table 2, p. 13; saturation falls with population density (lambda = -0.0077 per normalised person/km2)</t>
  </si>
  <si>
    <t>a (alpha, all countries)</t>
  </si>
  <si>
    <t>D&amp;G 2001 Table 2</t>
  </si>
  <si>
    <t>b (beta), United States, per thousand 1985 US$ PPP per capita</t>
  </si>
  <si>
    <t>D&amp;G 2001 Table 2 (t = -45); Canada -0.19, Germany -0.24, Japan -0.27, UK -0.22, France -0.21</t>
  </si>
  <si>
    <t>Saturation gamma_max (vehicles per 1000 people; US defines the maximum)</t>
  </si>
  <si>
    <t>Dargay, Gately and Sommer, April 2006 working paper table; UNVERIFIED (seen only in a search summary)</t>
  </si>
  <si>
    <t>a (alpha), 2007 paper</t>
  </si>
  <si>
    <t>same working paper; UNVERIFIED</t>
  </si>
  <si>
    <t>US ownership 2002 / 2030 (vehicles per 1000 people)</t>
  </si>
  <si>
    <t>812 / 849</t>
  </si>
  <si>
    <t>DGS 2006 BIEE slides, slide 7; per-capita GDP 32 -&gt; 57 thousand real PPP $ (base year not stated)</t>
  </si>
  <si>
    <t>Converting to this model</t>
  </si>
  <si>
    <t>per household: multiply S by persons per household; b per $: divide by 1000 and by the deflator from 1985 PPP$ to the model units</t>
  </si>
  <si>
    <t>The model computes a from the start-year point, so only S and b are entered</t>
  </si>
  <si>
    <t>Dmnl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</si>
  <si>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</si>
  <si>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</si>
  <si>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</si>
  <si>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</si>
  <si>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</si>
  <si>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</si>
  <si>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</si>
  <si>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</si>
  <si>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</si>
  <si>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</si>
  <si>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</si>
  <si>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</si>
  <si>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</si>
  <si>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</si>
  <si>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</si>
  <si>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</si>
  <si>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</si>
  <si>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</si>
  <si>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</si>
  <si>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</si>
  <si>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</si>
  <si>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</si>
  <si>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</si>
  <si>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</si>
  <si>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</si>
  <si>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</si>
  <si>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</si>
  <si>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Unit: 2012 USD</t>
  </si>
  <si>
    <t>GDP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</si>
  <si>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</si>
  <si>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</si>
  <si>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</si>
  <si>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</si>
  <si>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</si>
  <si>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</si>
  <si>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</si>
  <si>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</si>
  <si>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HDVs</t>
  </si>
  <si>
    <t>aircraft</t>
  </si>
  <si>
    <t>rail</t>
  </si>
  <si>
    <t>ships</t>
  </si>
  <si>
    <t>motorbikes</t>
  </si>
  <si>
    <t>Cargo Dist Transported Relative to Start Year (dimensionless)</t>
  </si>
  <si>
    <t>Annual Distance (miles/vehicle)</t>
  </si>
  <si>
    <t>Ownership fit</t>
  </si>
  <si>
    <t>GDP per household, the passenger-car fleet the travel and mileage inputs imply, and the fitted ownership curve against it.</t>
  </si>
  <si>
    <t>Start-year point (data year)</t>
  </si>
  <si>
    <t>item</t>
  </si>
  <si>
    <t>how</t>
  </si>
  <si>
    <t>Start-year passenger cars (SYVbT, all technologies)</t>
  </si>
  <si>
    <t>sum of the SYVbT row for passenger cars</t>
  </si>
  <si>
    <t>Start-year households</t>
  </si>
  <si>
    <t>NoH in the data year</t>
  </si>
  <si>
    <t>Start-year GDP (2012 $)</t>
  </si>
  <si>
    <t>BGDP in the data year</t>
  </si>
  <si>
    <t>Start-year vehicles per household</t>
  </si>
  <si>
    <t>Start-year GDP per household</t>
  </si>
  <si>
    <t>Start-year miles per car (SYAADTbVT)</t>
  </si>
  <si>
    <t>Fitted saturation VpHCS (vehicles per household)</t>
  </si>
  <si>
    <t>Keys; the value that, with b, keeps the curve closest to the fleet path below</t>
  </si>
  <si>
    <t>Fitted income response VpHCIR (per $ of GDP per household)</t>
  </si>
  <si>
    <t>Curve position a (from the start-year point, as the model computes it)</t>
  </si>
  <si>
    <t>Largest deviation of the curve from the fleet path, any year</t>
  </si>
  <si>
    <t>year</t>
  </si>
  <si>
    <t>households (NoH)</t>
  </si>
  <si>
    <t>BAU GDP (2012 $)</t>
  </si>
  <si>
    <t>GDP per household</t>
  </si>
  <si>
    <t>travel index (BCDTRtSY, cars)</t>
  </si>
  <si>
    <t>miles per car (BAADTbVT)</t>
  </si>
  <si>
    <t>fleet the inputs imply = start cars x travel index / (miles per car / start miles)</t>
  </si>
  <si>
    <t>vehicles per household (inputs)</t>
  </si>
  <si>
    <t>curve: vehicles per household</t>
  </si>
  <si>
    <t>curve / inputs - 1</t>
  </si>
  <si>
    <t>Checks</t>
  </si>
  <si>
    <t>1 = problem.</t>
  </si>
  <si>
    <t>Check</t>
  </si>
  <si>
    <t>Value</t>
  </si>
  <si>
    <t>CHECK: 1 = problem</t>
  </si>
  <si>
    <t>Ownership curve deviation from the input fleet path (largest, any year)</t>
  </si>
  <si>
    <t>Start-year vehicles per household below the saturation (the curve needs room above the start)</t>
  </si>
  <si>
    <t>Saturation entered where the income response is zero, or the reverse (count)</t>
  </si>
  <si>
    <t>Any problem above (sum)</t>
  </si>
  <si>
    <t>Vehicles per household curve: saturation (vehicles/household)</t>
  </si>
  <si>
    <t>passengers</t>
  </si>
  <si>
    <t>freight</t>
  </si>
  <si>
    <t>Vehicles per household curve: income response (households/$)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</si>
</sst>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nergyInnovation/eps-us" TargetMode="External"/><Relationship Id="rId2" Type="http://schemas.openxmlformats.org/officeDocument/2006/relationships/hyperlink" Target="https://www.biee.org/wp-content/uploads/Vehicle_ownership_and_income_growth_worldwide_1960-2030_2006_pres.pdf" TargetMode="External"/><Relationship Id="rId1" Type="http://schemas.openxmlformats.org/officeDocument/2006/relationships/hyperlink" Target="https://github.com/EnergyInnovation/eps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/>
  </sheetViews>
  <sheetFormatPr defaultRowHeight="15" x14ac:dyDescent="0.25"/>
  <cols>
    <col min="1" max="1" width="16" customWidth="1"/>
    <col min="2" max="2" width="70" customWidth="1"/>
    <col min="3" max="3" width="3" customWidth="1"/>
    <col min="4" max="4" width="70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s="2" t="s">
        <v>2</v>
      </c>
      <c r="D3" s="2" t="s">
        <v>3</v>
      </c>
    </row>
    <row r="4" spans="1:4" x14ac:dyDescent="0.25">
      <c r="B4" s="3" t="s">
        <v>4</v>
      </c>
      <c r="D4" s="3" t="s">
        <v>5</v>
      </c>
    </row>
    <row r="5" spans="1:4" ht="60" x14ac:dyDescent="0.25">
      <c r="B5" s="3" t="s">
        <v>6</v>
      </c>
      <c r="D5" s="3" t="s">
        <v>7</v>
      </c>
    </row>
    <row r="6" spans="1:4" x14ac:dyDescent="0.25">
      <c r="B6" s="3">
        <v>2026</v>
      </c>
      <c r="D6" s="3">
        <v>2007</v>
      </c>
    </row>
    <row r="7" spans="1:4" ht="45" x14ac:dyDescent="0.25">
      <c r="B7" s="4" t="s">
        <v>8</v>
      </c>
      <c r="D7" s="4" t="s">
        <v>9</v>
      </c>
    </row>
    <row r="8" spans="1:4" ht="105" x14ac:dyDescent="0.25">
      <c r="B8" s="3" t="s">
        <v>10</v>
      </c>
      <c r="D8" s="3" t="s">
        <v>11</v>
      </c>
    </row>
    <row r="10" spans="1:4" ht="30" x14ac:dyDescent="0.25">
      <c r="B10" s="2" t="s">
        <v>12</v>
      </c>
    </row>
    <row r="11" spans="1:4" x14ac:dyDescent="0.25">
      <c r="B11" s="3" t="s">
        <v>4</v>
      </c>
    </row>
    <row r="12" spans="1:4" ht="30" x14ac:dyDescent="0.25">
      <c r="B12" s="3" t="s">
        <v>13</v>
      </c>
    </row>
    <row r="13" spans="1:4" x14ac:dyDescent="0.25">
      <c r="B13" s="3">
        <v>2026</v>
      </c>
    </row>
    <row r="14" spans="1:4" x14ac:dyDescent="0.25">
      <c r="B14" s="4" t="s">
        <v>8</v>
      </c>
    </row>
    <row r="15" spans="1:4" ht="60" x14ac:dyDescent="0.25">
      <c r="B15" s="3" t="s">
        <v>14</v>
      </c>
    </row>
    <row r="18" spans="1:4" x14ac:dyDescent="0.25">
      <c r="A18" s="1" t="s">
        <v>15</v>
      </c>
    </row>
    <row r="19" spans="1:4" ht="105" customHeight="1" x14ac:dyDescent="0.25">
      <c r="A19" s="5" t="s">
        <v>16</v>
      </c>
      <c r="B19" s="10" t="s">
        <v>17</v>
      </c>
      <c r="C19" s="11"/>
      <c r="D19" s="11"/>
    </row>
    <row r="20" spans="1:4" ht="105" customHeight="1" x14ac:dyDescent="0.25">
      <c r="A20" s="5" t="s">
        <v>18</v>
      </c>
      <c r="B20" s="10" t="s">
        <v>19</v>
      </c>
      <c r="C20" s="11"/>
      <c r="D20" s="11"/>
    </row>
    <row r="21" spans="1:4" ht="105" customHeight="1" x14ac:dyDescent="0.25">
      <c r="A21" s="5" t="s">
        <v>20</v>
      </c>
      <c r="B21" s="10" t="s">
        <v>21</v>
      </c>
      <c r="C21" s="11"/>
      <c r="D21" s="11"/>
    </row>
    <row r="22" spans="1:4" ht="105" customHeight="1" x14ac:dyDescent="0.25">
      <c r="A22" s="5" t="s">
        <v>22</v>
      </c>
      <c r="B22" s="10" t="s">
        <v>23</v>
      </c>
      <c r="C22" s="11"/>
      <c r="D22" s="11"/>
    </row>
    <row r="23" spans="1:4" ht="105" customHeight="1" x14ac:dyDescent="0.25">
      <c r="A23" s="5" t="s">
        <v>24</v>
      </c>
      <c r="B23" s="10" t="s">
        <v>25</v>
      </c>
      <c r="C23" s="11"/>
      <c r="D23" s="11"/>
    </row>
  </sheetData>
  <mergeCells count="5">
    <mergeCell ref="B19:D19"/>
    <mergeCell ref="B23:D23"/>
    <mergeCell ref="B22:D22"/>
    <mergeCell ref="B21:D21"/>
    <mergeCell ref="B20:D20"/>
  </mergeCells>
  <hyperlinks>
    <hyperlink ref="B7" r:id="rId1" xr:uid="{00000000-0004-0000-0000-000000000000}"/>
    <hyperlink ref="D7" r:id="rId2" xr:uid="{00000000-0004-0000-0000-000001000000}"/>
    <hyperlink ref="B14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78" customWidth="1"/>
    <col min="2" max="2" width="20" customWidth="1"/>
  </cols>
  <sheetData>
    <row r="1" spans="1:2" x14ac:dyDescent="0.25">
      <c r="A1" s="1" t="s">
        <v>26</v>
      </c>
      <c r="B1" s="1" t="s">
        <v>27</v>
      </c>
    </row>
    <row r="3" spans="1:2" x14ac:dyDescent="0.25">
      <c r="A3" t="s">
        <v>28</v>
      </c>
      <c r="B3">
        <v>1</v>
      </c>
    </row>
    <row r="4" spans="1:2" x14ac:dyDescent="0.25">
      <c r="A4" t="s">
        <v>29</v>
      </c>
      <c r="B4">
        <v>0</v>
      </c>
    </row>
    <row r="5" spans="1:2" x14ac:dyDescent="0.25">
      <c r="A5" t="s">
        <v>30</v>
      </c>
      <c r="B5">
        <v>2024</v>
      </c>
    </row>
    <row r="6" spans="1:2" x14ac:dyDescent="0.25">
      <c r="A6" t="s">
        <v>31</v>
      </c>
      <c r="B6">
        <v>2050</v>
      </c>
    </row>
    <row r="7" spans="1:2" x14ac:dyDescent="0.25">
      <c r="A7" t="s">
        <v>32</v>
      </c>
      <c r="B7">
        <v>2.2747263987811399</v>
      </c>
    </row>
    <row r="8" spans="1:2" x14ac:dyDescent="0.25">
      <c r="A8" t="s">
        <v>33</v>
      </c>
      <c r="B8">
        <v>-8.0914574719297287E-6</v>
      </c>
    </row>
    <row r="9" spans="1:2" x14ac:dyDescent="0.25">
      <c r="A9" t="s">
        <v>34</v>
      </c>
      <c r="B9">
        <v>0.02</v>
      </c>
    </row>
    <row r="10" spans="1:2" x14ac:dyDescent="0.25">
      <c r="A10" t="s">
        <v>35</v>
      </c>
      <c r="B10" t="s">
        <v>36</v>
      </c>
    </row>
    <row r="11" spans="1:2" x14ac:dyDescent="0.25">
      <c r="A11" t="s">
        <v>37</v>
      </c>
      <c r="B1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52" customWidth="1"/>
    <col min="2" max="2" width="16" customWidth="1"/>
    <col min="3" max="3" width="70" customWidth="1"/>
  </cols>
  <sheetData>
    <row r="1" spans="1:3" x14ac:dyDescent="0.25">
      <c r="A1" s="1" t="s">
        <v>39</v>
      </c>
    </row>
    <row r="2" spans="1:3" ht="30" customHeight="1" x14ac:dyDescent="0.25">
      <c r="A2" s="6" t="s">
        <v>40</v>
      </c>
      <c r="B2" s="6" t="s">
        <v>41</v>
      </c>
      <c r="C2" s="6" t="s">
        <v>42</v>
      </c>
    </row>
    <row r="3" spans="1:3" ht="75" x14ac:dyDescent="0.25">
      <c r="A3" s="3" t="s">
        <v>43</v>
      </c>
      <c r="B3" s="3" t="s">
        <v>44</v>
      </c>
      <c r="C3" s="3" t="s">
        <v>45</v>
      </c>
    </row>
    <row r="4" spans="1:3" ht="30" x14ac:dyDescent="0.25">
      <c r="A4" s="3" t="s">
        <v>46</v>
      </c>
      <c r="B4" s="3">
        <v>0.8</v>
      </c>
      <c r="C4" s="3" t="s">
        <v>47</v>
      </c>
    </row>
    <row r="5" spans="1:3" x14ac:dyDescent="0.25">
      <c r="A5" s="3" t="s">
        <v>48</v>
      </c>
      <c r="B5" s="3">
        <v>-5.9</v>
      </c>
      <c r="C5" s="3" t="s">
        <v>49</v>
      </c>
    </row>
    <row r="6" spans="1:3" ht="30" x14ac:dyDescent="0.25">
      <c r="A6" s="3" t="s">
        <v>50</v>
      </c>
      <c r="B6" s="3">
        <v>-0.23</v>
      </c>
      <c r="C6" s="3" t="s">
        <v>51</v>
      </c>
    </row>
    <row r="7" spans="1:3" ht="30" x14ac:dyDescent="0.25">
      <c r="A7" s="3" t="s">
        <v>52</v>
      </c>
      <c r="B7" s="3">
        <v>852</v>
      </c>
      <c r="C7" s="3" t="s">
        <v>53</v>
      </c>
    </row>
    <row r="8" spans="1:3" x14ac:dyDescent="0.25">
      <c r="A8" s="3" t="s">
        <v>54</v>
      </c>
      <c r="B8" s="3">
        <v>-5.8970000000000002</v>
      </c>
      <c r="C8" s="3" t="s">
        <v>55</v>
      </c>
    </row>
    <row r="9" spans="1:3" ht="30" x14ac:dyDescent="0.25">
      <c r="A9" s="3" t="s">
        <v>56</v>
      </c>
      <c r="B9" s="3" t="s">
        <v>57</v>
      </c>
      <c r="C9" s="3" t="s">
        <v>58</v>
      </c>
    </row>
    <row r="10" spans="1:3" ht="135" x14ac:dyDescent="0.25">
      <c r="A10" s="3" t="s">
        <v>59</v>
      </c>
      <c r="B10" s="3" t="s">
        <v>60</v>
      </c>
      <c r="C10" s="3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"/>
  <sheetViews>
    <sheetView workbookViewId="0"/>
  </sheetViews>
  <sheetFormatPr defaultRowHeight="15" x14ac:dyDescent="0.25"/>
  <sheetData>
    <row r="1" spans="1:28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</row>
    <row r="2" spans="1:28" x14ac:dyDescent="0.25">
      <c r="A2" t="s">
        <v>38</v>
      </c>
      <c r="B2">
        <v>128811890</v>
      </c>
      <c r="C2">
        <v>130729215</v>
      </c>
      <c r="D2">
        <v>132095411</v>
      </c>
      <c r="E2">
        <v>133495735</v>
      </c>
      <c r="F2">
        <v>134872797</v>
      </c>
      <c r="G2">
        <v>136249235</v>
      </c>
      <c r="H2">
        <v>137609806</v>
      </c>
      <c r="I2">
        <v>138976937</v>
      </c>
      <c r="J2">
        <v>140345360</v>
      </c>
      <c r="K2">
        <v>141691839</v>
      </c>
      <c r="L2">
        <v>142999458</v>
      </c>
      <c r="M2">
        <v>144280192</v>
      </c>
      <c r="N2">
        <v>145526496</v>
      </c>
      <c r="O2">
        <v>146710443</v>
      </c>
      <c r="P2">
        <v>147843033</v>
      </c>
      <c r="Q2">
        <v>148916619</v>
      </c>
      <c r="R2">
        <v>149945693</v>
      </c>
      <c r="S2">
        <v>150924363</v>
      </c>
      <c r="T2">
        <v>151869620</v>
      </c>
      <c r="U2">
        <v>152782969</v>
      </c>
      <c r="V2">
        <v>153677381</v>
      </c>
      <c r="W2">
        <v>154576050</v>
      </c>
      <c r="X2">
        <v>155479696</v>
      </c>
      <c r="Y2">
        <v>156379746</v>
      </c>
      <c r="Z2">
        <v>157276794</v>
      </c>
      <c r="AA2">
        <v>158172731</v>
      </c>
      <c r="AB2">
        <v>159072735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90</v>
      </c>
      <c r="B1" s="1" t="s">
        <v>91</v>
      </c>
    </row>
    <row r="2" spans="1:2" x14ac:dyDescent="0.25">
      <c r="A2">
        <v>2024</v>
      </c>
      <c r="B2">
        <v>21443700000000</v>
      </c>
    </row>
    <row r="3" spans="1:2" x14ac:dyDescent="0.25">
      <c r="A3">
        <v>2025</v>
      </c>
      <c r="B3">
        <v>21825500000000</v>
      </c>
    </row>
    <row r="4" spans="1:2" x14ac:dyDescent="0.25">
      <c r="A4">
        <v>2026</v>
      </c>
      <c r="B4">
        <v>22402500000000</v>
      </c>
    </row>
    <row r="5" spans="1:2" x14ac:dyDescent="0.25">
      <c r="A5">
        <v>2027</v>
      </c>
      <c r="B5">
        <v>22823200000000</v>
      </c>
    </row>
    <row r="6" spans="1:2" x14ac:dyDescent="0.25">
      <c r="A6">
        <v>2028</v>
      </c>
      <c r="B6">
        <v>23114700000000</v>
      </c>
    </row>
    <row r="7" spans="1:2" x14ac:dyDescent="0.25">
      <c r="A7">
        <v>2029</v>
      </c>
      <c r="B7">
        <v>23470600000000</v>
      </c>
    </row>
    <row r="8" spans="1:2" x14ac:dyDescent="0.25">
      <c r="A8">
        <v>2030</v>
      </c>
      <c r="B8">
        <v>23881600000000</v>
      </c>
    </row>
    <row r="9" spans="1:2" x14ac:dyDescent="0.25">
      <c r="A9">
        <v>2031</v>
      </c>
      <c r="B9">
        <v>24282800000000</v>
      </c>
    </row>
    <row r="10" spans="1:2" x14ac:dyDescent="0.25">
      <c r="A10">
        <v>2032</v>
      </c>
      <c r="B10">
        <v>24738800000000</v>
      </c>
    </row>
    <row r="11" spans="1:2" x14ac:dyDescent="0.25">
      <c r="A11">
        <v>2033</v>
      </c>
      <c r="B11">
        <v>25221200000000</v>
      </c>
    </row>
    <row r="12" spans="1:2" x14ac:dyDescent="0.25">
      <c r="A12">
        <v>2034</v>
      </c>
      <c r="B12">
        <v>25734000000000</v>
      </c>
    </row>
    <row r="13" spans="1:2" x14ac:dyDescent="0.25">
      <c r="A13">
        <v>2035</v>
      </c>
      <c r="B13">
        <v>26281800000000</v>
      </c>
    </row>
    <row r="14" spans="1:2" x14ac:dyDescent="0.25">
      <c r="A14">
        <v>2036</v>
      </c>
      <c r="B14">
        <v>26744400000000</v>
      </c>
    </row>
    <row r="15" spans="1:2" x14ac:dyDescent="0.25">
      <c r="A15">
        <v>2037</v>
      </c>
      <c r="B15">
        <v>27206600000000</v>
      </c>
    </row>
    <row r="16" spans="1:2" x14ac:dyDescent="0.25">
      <c r="A16">
        <v>2038</v>
      </c>
      <c r="B16">
        <v>27670000000000</v>
      </c>
    </row>
    <row r="17" spans="1:2" x14ac:dyDescent="0.25">
      <c r="A17">
        <v>2039</v>
      </c>
      <c r="B17">
        <v>28125300000000</v>
      </c>
    </row>
    <row r="18" spans="1:2" x14ac:dyDescent="0.25">
      <c r="A18">
        <v>2040</v>
      </c>
      <c r="B18">
        <v>28584300000000</v>
      </c>
    </row>
    <row r="19" spans="1:2" x14ac:dyDescent="0.25">
      <c r="A19">
        <v>2041</v>
      </c>
      <c r="B19">
        <v>29029400000000</v>
      </c>
    </row>
    <row r="20" spans="1:2" x14ac:dyDescent="0.25">
      <c r="A20">
        <v>2042</v>
      </c>
      <c r="B20">
        <v>29489900000000</v>
      </c>
    </row>
    <row r="21" spans="1:2" x14ac:dyDescent="0.25">
      <c r="A21">
        <v>2043</v>
      </c>
      <c r="B21">
        <v>29964000000000</v>
      </c>
    </row>
    <row r="22" spans="1:2" x14ac:dyDescent="0.25">
      <c r="A22">
        <v>2044</v>
      </c>
      <c r="B22">
        <v>30442800000000</v>
      </c>
    </row>
    <row r="23" spans="1:2" x14ac:dyDescent="0.25">
      <c r="A23">
        <v>2045</v>
      </c>
      <c r="B23">
        <v>30925000000000</v>
      </c>
    </row>
    <row r="24" spans="1:2" x14ac:dyDescent="0.25">
      <c r="A24">
        <v>2046</v>
      </c>
      <c r="B24">
        <v>31395200000000</v>
      </c>
    </row>
    <row r="25" spans="1:2" x14ac:dyDescent="0.25">
      <c r="A25">
        <v>2047</v>
      </c>
      <c r="B25">
        <v>31846300000000</v>
      </c>
    </row>
    <row r="26" spans="1:2" x14ac:dyDescent="0.25">
      <c r="A26">
        <v>2048</v>
      </c>
      <c r="B26">
        <v>32295500000000</v>
      </c>
    </row>
    <row r="27" spans="1:2" x14ac:dyDescent="0.25">
      <c r="A27">
        <v>2049</v>
      </c>
      <c r="B27">
        <v>32734300000000</v>
      </c>
    </row>
    <row r="28" spans="1:2" x14ac:dyDescent="0.25">
      <c r="A28">
        <v>2050</v>
      </c>
      <c r="B28">
        <v>33186800000000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/>
      <c r="J1" s="1"/>
    </row>
    <row r="2" spans="1:10" x14ac:dyDescent="0.25">
      <c r="A2" t="s">
        <v>36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10" x14ac:dyDescent="0.25">
      <c r="A3" t="s">
        <v>100</v>
      </c>
      <c r="B3">
        <v>2445</v>
      </c>
      <c r="C3">
        <v>67549</v>
      </c>
      <c r="D3">
        <v>53161</v>
      </c>
      <c r="E3">
        <v>422350</v>
      </c>
      <c r="F3">
        <v>0</v>
      </c>
      <c r="G3">
        <v>24746</v>
      </c>
      <c r="H3">
        <v>91</v>
      </c>
    </row>
    <row r="4" spans="1:10" x14ac:dyDescent="0.25">
      <c r="A4" t="s">
        <v>101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10" x14ac:dyDescent="0.25">
      <c r="A5" t="s">
        <v>102</v>
      </c>
      <c r="B5">
        <v>18776</v>
      </c>
      <c r="C5">
        <v>0</v>
      </c>
      <c r="D5">
        <v>0</v>
      </c>
      <c r="E5">
        <v>6889</v>
      </c>
      <c r="F5">
        <v>0</v>
      </c>
      <c r="G5">
        <v>0</v>
      </c>
      <c r="H5">
        <v>0</v>
      </c>
    </row>
    <row r="6" spans="1:10" x14ac:dyDescent="0.25">
      <c r="A6" t="s">
        <v>103</v>
      </c>
      <c r="B6">
        <v>0</v>
      </c>
      <c r="C6">
        <v>0</v>
      </c>
      <c r="D6">
        <v>9385963</v>
      </c>
      <c r="E6">
        <v>2288110</v>
      </c>
      <c r="F6">
        <v>0</v>
      </c>
      <c r="G6">
        <v>0</v>
      </c>
      <c r="H6">
        <v>0</v>
      </c>
    </row>
    <row r="7" spans="1:10" x14ac:dyDescent="0.25">
      <c r="A7" t="s">
        <v>104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"/>
  <sheetViews>
    <sheetView workbookViewId="0"/>
  </sheetViews>
  <sheetFormatPr defaultRowHeight="15" x14ac:dyDescent="0.25"/>
  <sheetData>
    <row r="1" spans="1:28" x14ac:dyDescent="0.25">
      <c r="A1" s="1" t="s">
        <v>105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</row>
    <row r="2" spans="1:28" x14ac:dyDescent="0.25">
      <c r="A2" t="s">
        <v>36</v>
      </c>
      <c r="B2">
        <v>1</v>
      </c>
      <c r="C2">
        <v>1.014812823</v>
      </c>
      <c r="D2">
        <v>1.0221431409999999</v>
      </c>
      <c r="E2">
        <v>1.0309346239999999</v>
      </c>
      <c r="F2">
        <v>1.0366028190000001</v>
      </c>
      <c r="G2">
        <v>1.0418613430000001</v>
      </c>
      <c r="H2">
        <v>1.0463685869999999</v>
      </c>
      <c r="I2">
        <v>1.050354877</v>
      </c>
      <c r="J2">
        <v>1.0545121449999999</v>
      </c>
      <c r="K2">
        <v>1.0572431929999999</v>
      </c>
      <c r="L2">
        <v>1.0605887899999999</v>
      </c>
      <c r="M2">
        <v>1.0630652860000001</v>
      </c>
      <c r="N2">
        <v>1.0662585529999999</v>
      </c>
      <c r="O2">
        <v>1.06989844</v>
      </c>
      <c r="P2">
        <v>1.073598021</v>
      </c>
      <c r="Q2">
        <v>1.0766779120000001</v>
      </c>
      <c r="R2">
        <v>1.0799660799999999</v>
      </c>
      <c r="S2">
        <v>1.0823861930000001</v>
      </c>
      <c r="T2">
        <v>1.084678203</v>
      </c>
      <c r="U2">
        <v>1.0866187549999999</v>
      </c>
      <c r="V2">
        <v>1.08879338</v>
      </c>
      <c r="W2">
        <v>1.0907378539999999</v>
      </c>
      <c r="X2">
        <v>1.0924016329999999</v>
      </c>
      <c r="Y2">
        <v>1.093241627</v>
      </c>
      <c r="Z2">
        <v>1.09420955</v>
      </c>
      <c r="AA2">
        <v>1.094930242</v>
      </c>
      <c r="AB2">
        <v>1.09606165</v>
      </c>
    </row>
    <row r="3" spans="1:28" x14ac:dyDescent="0.25">
      <c r="A3" t="s">
        <v>100</v>
      </c>
      <c r="B3">
        <v>1</v>
      </c>
      <c r="C3">
        <v>1.0307023820000001</v>
      </c>
      <c r="D3">
        <v>1.0503320869999999</v>
      </c>
      <c r="E3">
        <v>1.064010106</v>
      </c>
      <c r="F3">
        <v>1.0741264960000001</v>
      </c>
      <c r="G3">
        <v>1.083000535</v>
      </c>
      <c r="H3">
        <v>1.0904279859999999</v>
      </c>
      <c r="I3">
        <v>1.0962435150000001</v>
      </c>
      <c r="J3">
        <v>1.1016318389999999</v>
      </c>
      <c r="K3">
        <v>1.107530755</v>
      </c>
      <c r="L3">
        <v>1.112953299</v>
      </c>
      <c r="M3">
        <v>1.1187217300000001</v>
      </c>
      <c r="N3">
        <v>1.123687082</v>
      </c>
      <c r="O3">
        <v>1.1287961559999999</v>
      </c>
      <c r="P3">
        <v>1.1333913959999999</v>
      </c>
      <c r="Q3">
        <v>1.1379705170000001</v>
      </c>
      <c r="R3">
        <v>1.14250074</v>
      </c>
      <c r="S3">
        <v>1.1462422919999999</v>
      </c>
      <c r="T3">
        <v>1.149939177</v>
      </c>
      <c r="U3">
        <v>1.1532908959999999</v>
      </c>
      <c r="V3">
        <v>1.1565204140000001</v>
      </c>
      <c r="W3">
        <v>1.159635027</v>
      </c>
      <c r="X3">
        <v>1.162346659</v>
      </c>
      <c r="Y3">
        <v>1.164940503</v>
      </c>
      <c r="Z3">
        <v>1.16713533</v>
      </c>
      <c r="AA3">
        <v>1.1691443800000001</v>
      </c>
      <c r="AB3">
        <v>1.171077516</v>
      </c>
    </row>
    <row r="4" spans="1:28" x14ac:dyDescent="0.25">
      <c r="A4" t="s">
        <v>101</v>
      </c>
      <c r="B4">
        <v>1</v>
      </c>
      <c r="C4">
        <v>1.0094575910000001</v>
      </c>
      <c r="D4">
        <v>1.042242149</v>
      </c>
      <c r="E4">
        <v>1.0623628030000001</v>
      </c>
      <c r="F4">
        <v>1.0716039129999999</v>
      </c>
      <c r="G4">
        <v>1.085752182</v>
      </c>
      <c r="H4">
        <v>1.104127818</v>
      </c>
      <c r="I4">
        <v>1.121652782</v>
      </c>
      <c r="J4">
        <v>1.14367391</v>
      </c>
      <c r="K4">
        <v>1.167683378</v>
      </c>
      <c r="L4">
        <v>1.1941612429999999</v>
      </c>
      <c r="M4">
        <v>1.2233183329999999</v>
      </c>
      <c r="N4">
        <v>1.2454562689999999</v>
      </c>
      <c r="O4">
        <v>1.267732764</v>
      </c>
      <c r="P4">
        <v>1.2898168880000001</v>
      </c>
      <c r="Q4">
        <v>1.3109459240000001</v>
      </c>
      <c r="R4">
        <v>1.3325956569999999</v>
      </c>
      <c r="S4">
        <v>1.3528936030000001</v>
      </c>
      <c r="T4">
        <v>1.374368298</v>
      </c>
      <c r="U4">
        <v>1.397274326</v>
      </c>
      <c r="V4">
        <v>1.4201595579999999</v>
      </c>
      <c r="W4">
        <v>1.443245391</v>
      </c>
      <c r="X4">
        <v>1.4653423409999999</v>
      </c>
      <c r="Y4">
        <v>1.485458143</v>
      </c>
      <c r="Z4">
        <v>1.505816746</v>
      </c>
      <c r="AA4">
        <v>1.525123555</v>
      </c>
      <c r="AB4">
        <v>1.544994129</v>
      </c>
    </row>
    <row r="5" spans="1:28" x14ac:dyDescent="0.25">
      <c r="A5" t="s">
        <v>102</v>
      </c>
      <c r="B5">
        <v>1</v>
      </c>
      <c r="C5">
        <v>1.0324367169999999</v>
      </c>
      <c r="D5">
        <v>1.064873435</v>
      </c>
      <c r="E5">
        <v>1.1134850519999999</v>
      </c>
      <c r="F5">
        <v>1.1506463</v>
      </c>
      <c r="G5">
        <v>1.1830588799999999</v>
      </c>
      <c r="H5">
        <v>1.2108931460000001</v>
      </c>
      <c r="I5">
        <v>1.234525546</v>
      </c>
      <c r="J5">
        <v>1.256012047</v>
      </c>
      <c r="K5">
        <v>1.2784251659999999</v>
      </c>
      <c r="L5">
        <v>1.2957967189999999</v>
      </c>
      <c r="M5">
        <v>1.3131794130000001</v>
      </c>
      <c r="N5">
        <v>1.326842176</v>
      </c>
      <c r="O5">
        <v>1.341417979</v>
      </c>
      <c r="P5">
        <v>1.354710791</v>
      </c>
      <c r="Q5">
        <v>1.3652879229999999</v>
      </c>
      <c r="R5">
        <v>1.3762506720000001</v>
      </c>
      <c r="S5">
        <v>1.3857035630000001</v>
      </c>
      <c r="T5">
        <v>1.3952048450000001</v>
      </c>
      <c r="U5">
        <v>1.4031384769999999</v>
      </c>
      <c r="V5">
        <v>1.4119216729999999</v>
      </c>
      <c r="W5">
        <v>1.421396613</v>
      </c>
      <c r="X5">
        <v>1.4292179140000001</v>
      </c>
      <c r="Y5">
        <v>1.437800237</v>
      </c>
      <c r="Z5">
        <v>1.4440223249999999</v>
      </c>
      <c r="AA5">
        <v>1.4498281609999999</v>
      </c>
      <c r="AB5">
        <v>1.455327638</v>
      </c>
    </row>
    <row r="6" spans="1:28" x14ac:dyDescent="0.25">
      <c r="A6" t="s">
        <v>103</v>
      </c>
      <c r="B6">
        <v>1</v>
      </c>
      <c r="C6">
        <v>0.99809345100000002</v>
      </c>
      <c r="D6">
        <v>1.0067753509999999</v>
      </c>
      <c r="E6">
        <v>1.0083499789999999</v>
      </c>
      <c r="F6">
        <v>1.0038146729999999</v>
      </c>
      <c r="G6">
        <v>1.0016566490000001</v>
      </c>
      <c r="H6">
        <v>1.0017697759999999</v>
      </c>
      <c r="I6">
        <v>1.001391183</v>
      </c>
      <c r="J6">
        <v>1.0033811829999999</v>
      </c>
      <c r="K6">
        <v>1.006591426</v>
      </c>
      <c r="L6">
        <v>1.0110944470000001</v>
      </c>
      <c r="M6">
        <v>1.0169771860000001</v>
      </c>
      <c r="N6">
        <v>1.0196916140000001</v>
      </c>
      <c r="O6">
        <v>1.0224201150000001</v>
      </c>
      <c r="P6">
        <v>1.024943862</v>
      </c>
      <c r="Q6">
        <v>1.0273611490000001</v>
      </c>
      <c r="R6">
        <v>1.029849859</v>
      </c>
      <c r="S6">
        <v>1.0314899280000001</v>
      </c>
      <c r="T6">
        <v>1.033563928</v>
      </c>
      <c r="U6">
        <v>1.0359360259999999</v>
      </c>
      <c r="V6">
        <v>1.0382792789999999</v>
      </c>
      <c r="W6">
        <v>1.0405560119999999</v>
      </c>
      <c r="X6">
        <v>1.042265346</v>
      </c>
      <c r="Y6">
        <v>1.0431878059999999</v>
      </c>
      <c r="Z6">
        <v>1.0438977389999999</v>
      </c>
      <c r="AA6">
        <v>1.0441175890000001</v>
      </c>
      <c r="AB6">
        <v>1.0445992639999999</v>
      </c>
    </row>
    <row r="7" spans="1:28" x14ac:dyDescent="0.25">
      <c r="A7" t="s">
        <v>104</v>
      </c>
      <c r="B7">
        <v>1</v>
      </c>
      <c r="C7">
        <v>1</v>
      </c>
      <c r="D7">
        <v>1.0069874249999999</v>
      </c>
      <c r="E7">
        <v>1.0161839029999999</v>
      </c>
      <c r="F7">
        <v>1.022447952</v>
      </c>
      <c r="G7">
        <v>1.0285114179999999</v>
      </c>
      <c r="H7">
        <v>1.033545535</v>
      </c>
      <c r="I7">
        <v>1.0387351840000001</v>
      </c>
      <c r="J7">
        <v>1.043984026</v>
      </c>
      <c r="K7">
        <v>1.0476920679999999</v>
      </c>
      <c r="L7">
        <v>1.051764924</v>
      </c>
      <c r="M7">
        <v>1.0549224500000001</v>
      </c>
      <c r="N7">
        <v>1.058898881</v>
      </c>
      <c r="O7">
        <v>1.063337889</v>
      </c>
      <c r="P7">
        <v>1.06775365</v>
      </c>
      <c r="Q7">
        <v>1.071437757</v>
      </c>
      <c r="R7">
        <v>1.0753604539999999</v>
      </c>
      <c r="S7">
        <v>1.0787205529999999</v>
      </c>
      <c r="T7">
        <v>1.081812035</v>
      </c>
      <c r="U7">
        <v>1.0846685030000001</v>
      </c>
      <c r="V7">
        <v>1.087874885</v>
      </c>
      <c r="W7">
        <v>1.0909496350000001</v>
      </c>
      <c r="X7">
        <v>1.093549479</v>
      </c>
      <c r="Y7">
        <v>1.0953931530000001</v>
      </c>
      <c r="Z7">
        <v>1.097183145</v>
      </c>
      <c r="AA7">
        <v>1.098810949</v>
      </c>
      <c r="AB7">
        <v>1.1008542189999999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"/>
  <sheetViews>
    <sheetView workbookViewId="0"/>
  </sheetViews>
  <sheetFormatPr defaultRowHeight="15" x14ac:dyDescent="0.25"/>
  <sheetData>
    <row r="1" spans="1:28" x14ac:dyDescent="0.25">
      <c r="A1" s="1" t="s">
        <v>106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</row>
    <row r="2" spans="1:28" x14ac:dyDescent="0.25">
      <c r="A2" t="s">
        <v>36</v>
      </c>
      <c r="B2">
        <v>10411</v>
      </c>
      <c r="C2">
        <v>10518</v>
      </c>
      <c r="D2">
        <v>10488</v>
      </c>
      <c r="E2">
        <v>10461</v>
      </c>
      <c r="F2">
        <v>10399</v>
      </c>
      <c r="G2">
        <v>10327</v>
      </c>
      <c r="H2">
        <v>10237</v>
      </c>
      <c r="I2">
        <v>10141</v>
      </c>
      <c r="J2">
        <v>10051</v>
      </c>
      <c r="K2">
        <v>9948</v>
      </c>
      <c r="L2">
        <v>9859</v>
      </c>
      <c r="M2">
        <v>9767</v>
      </c>
      <c r="N2">
        <v>9694</v>
      </c>
      <c r="O2">
        <v>9628</v>
      </c>
      <c r="P2">
        <v>9565</v>
      </c>
      <c r="Q2">
        <v>9500</v>
      </c>
      <c r="R2">
        <v>9440</v>
      </c>
      <c r="S2">
        <v>9380</v>
      </c>
      <c r="T2">
        <v>9325</v>
      </c>
      <c r="U2">
        <v>9274</v>
      </c>
      <c r="V2">
        <v>9232</v>
      </c>
      <c r="W2">
        <v>9195</v>
      </c>
      <c r="X2">
        <v>9164</v>
      </c>
      <c r="Y2">
        <v>9133</v>
      </c>
      <c r="Z2">
        <v>9112</v>
      </c>
      <c r="AA2">
        <v>9095</v>
      </c>
      <c r="AB2">
        <v>9092</v>
      </c>
    </row>
    <row r="3" spans="1:28" x14ac:dyDescent="0.25">
      <c r="A3" t="s">
        <v>100</v>
      </c>
      <c r="B3">
        <v>14177</v>
      </c>
      <c r="C3">
        <v>14177</v>
      </c>
      <c r="D3">
        <v>14177</v>
      </c>
      <c r="E3">
        <v>14177</v>
      </c>
      <c r="F3">
        <v>14177</v>
      </c>
      <c r="G3">
        <v>14177</v>
      </c>
      <c r="H3">
        <v>14177</v>
      </c>
      <c r="I3">
        <v>14177</v>
      </c>
      <c r="J3">
        <v>14177</v>
      </c>
      <c r="K3">
        <v>14177</v>
      </c>
      <c r="L3">
        <v>14177</v>
      </c>
      <c r="M3">
        <v>14177</v>
      </c>
      <c r="N3">
        <v>14177</v>
      </c>
      <c r="O3">
        <v>14177</v>
      </c>
      <c r="P3">
        <v>14177</v>
      </c>
      <c r="Q3">
        <v>14177</v>
      </c>
      <c r="R3">
        <v>14177</v>
      </c>
      <c r="S3">
        <v>14177</v>
      </c>
      <c r="T3">
        <v>14177</v>
      </c>
      <c r="U3">
        <v>14177</v>
      </c>
      <c r="V3">
        <v>14177</v>
      </c>
      <c r="W3">
        <v>14177</v>
      </c>
      <c r="X3">
        <v>14177</v>
      </c>
      <c r="Y3">
        <v>14177</v>
      </c>
      <c r="Z3">
        <v>14177</v>
      </c>
      <c r="AA3">
        <v>14177</v>
      </c>
      <c r="AB3">
        <v>14177</v>
      </c>
    </row>
    <row r="4" spans="1:28" x14ac:dyDescent="0.25">
      <c r="A4" t="s">
        <v>101</v>
      </c>
      <c r="B4">
        <v>685003</v>
      </c>
      <c r="C4">
        <v>679766.88780000003</v>
      </c>
      <c r="D4">
        <v>687788.68980000005</v>
      </c>
      <c r="E4">
        <v>687349.35710000002</v>
      </c>
      <c r="F4">
        <v>683958.99</v>
      </c>
      <c r="G4">
        <v>684115.13450000004</v>
      </c>
      <c r="H4">
        <v>685178.96470000001</v>
      </c>
      <c r="I4">
        <v>684088.93929999997</v>
      </c>
      <c r="J4">
        <v>684606.25809999998</v>
      </c>
      <c r="K4">
        <v>684520.65780000004</v>
      </c>
      <c r="L4">
        <v>684491.09100000001</v>
      </c>
      <c r="M4">
        <v>686315.64690000005</v>
      </c>
      <c r="N4">
        <v>684977.59840000002</v>
      </c>
      <c r="O4">
        <v>685037.65009999997</v>
      </c>
      <c r="P4">
        <v>685172.11950000003</v>
      </c>
      <c r="Q4">
        <v>684912.31949999998</v>
      </c>
      <c r="R4">
        <v>685234.701</v>
      </c>
      <c r="S4">
        <v>684804.45200000005</v>
      </c>
      <c r="T4">
        <v>684765.28419999999</v>
      </c>
      <c r="U4">
        <v>685006.39839999995</v>
      </c>
      <c r="V4">
        <v>684970.7487</v>
      </c>
      <c r="W4">
        <v>685159.48589999997</v>
      </c>
      <c r="X4">
        <v>685311.848</v>
      </c>
      <c r="Y4">
        <v>684965.68030000001</v>
      </c>
      <c r="Z4">
        <v>685162.52579999994</v>
      </c>
      <c r="AA4">
        <v>684918.60620000004</v>
      </c>
      <c r="AB4">
        <v>685003</v>
      </c>
    </row>
    <row r="5" spans="1:28" x14ac:dyDescent="0.25">
      <c r="A5" t="s">
        <v>102</v>
      </c>
      <c r="B5">
        <v>57869</v>
      </c>
      <c r="C5">
        <v>57812.397680000002</v>
      </c>
      <c r="D5">
        <v>57765.248760000002</v>
      </c>
      <c r="E5">
        <v>57718.128949999998</v>
      </c>
      <c r="F5">
        <v>57680.858990000001</v>
      </c>
      <c r="G5">
        <v>57625.673459999998</v>
      </c>
      <c r="H5">
        <v>57591.556519999998</v>
      </c>
      <c r="I5">
        <v>57548.750169999999</v>
      </c>
      <c r="J5">
        <v>57495.870159999999</v>
      </c>
      <c r="K5">
        <v>57450.349269999999</v>
      </c>
      <c r="L5">
        <v>57414.981140000004</v>
      </c>
      <c r="M5">
        <v>57372.57763</v>
      </c>
      <c r="N5">
        <v>57330.608099999998</v>
      </c>
      <c r="O5">
        <v>57274.5147</v>
      </c>
      <c r="P5">
        <v>57230.168140000002</v>
      </c>
      <c r="Q5">
        <v>57185.969749999997</v>
      </c>
      <c r="R5">
        <v>57154.33466</v>
      </c>
      <c r="S5">
        <v>57104.160089999998</v>
      </c>
      <c r="T5">
        <v>57076.816480000001</v>
      </c>
      <c r="U5">
        <v>57030.207090000004</v>
      </c>
      <c r="V5">
        <v>56992.29464</v>
      </c>
      <c r="W5">
        <v>56932.539279999997</v>
      </c>
      <c r="X5">
        <v>56898.593979999998</v>
      </c>
      <c r="Y5">
        <v>56869.327729999997</v>
      </c>
      <c r="Z5">
        <v>56815.806060000003</v>
      </c>
      <c r="AA5">
        <v>56792.193769999998</v>
      </c>
      <c r="AB5">
        <v>56732.21082</v>
      </c>
    </row>
    <row r="6" spans="1:28" x14ac:dyDescent="0.25">
      <c r="A6" t="s">
        <v>103</v>
      </c>
      <c r="B6">
        <v>211</v>
      </c>
      <c r="C6">
        <v>210.98171060000001</v>
      </c>
      <c r="D6">
        <v>213.20497040000001</v>
      </c>
      <c r="E6">
        <v>213.927784</v>
      </c>
      <c r="F6">
        <v>213.3539002</v>
      </c>
      <c r="G6">
        <v>213.2834086</v>
      </c>
      <c r="H6">
        <v>213.69643009999999</v>
      </c>
      <c r="I6">
        <v>214.00516429999999</v>
      </c>
      <c r="J6">
        <v>214.8214237</v>
      </c>
      <c r="K6">
        <v>215.9016757</v>
      </c>
      <c r="L6">
        <v>217.2629436</v>
      </c>
      <c r="M6">
        <v>218.9254708</v>
      </c>
      <c r="N6">
        <v>219.91005010000001</v>
      </c>
      <c r="O6">
        <v>220.90053259999999</v>
      </c>
      <c r="P6">
        <v>221.84957679999999</v>
      </c>
      <c r="Q6">
        <v>222.77826210000001</v>
      </c>
      <c r="R6">
        <v>223.72511249999999</v>
      </c>
      <c r="S6">
        <v>224.48997979999999</v>
      </c>
      <c r="T6">
        <v>225.35150400000001</v>
      </c>
      <c r="U6">
        <v>226.28053739999999</v>
      </c>
      <c r="V6">
        <v>227.2058974</v>
      </c>
      <c r="W6">
        <v>228.11929649999999</v>
      </c>
      <c r="X6">
        <v>228.9106544</v>
      </c>
      <c r="Y6">
        <v>229.53100509999999</v>
      </c>
      <c r="Z6">
        <v>230.10600969999999</v>
      </c>
      <c r="AA6">
        <v>230.5741223</v>
      </c>
      <c r="AB6">
        <v>231.10110159999999</v>
      </c>
    </row>
    <row r="7" spans="1:28" x14ac:dyDescent="0.25">
      <c r="A7" t="s">
        <v>104</v>
      </c>
      <c r="B7">
        <v>2402</v>
      </c>
      <c r="C7">
        <v>2402</v>
      </c>
      <c r="D7">
        <v>2402</v>
      </c>
      <c r="E7">
        <v>2402</v>
      </c>
      <c r="F7">
        <v>2402</v>
      </c>
      <c r="G7">
        <v>2402</v>
      </c>
      <c r="H7">
        <v>2402</v>
      </c>
      <c r="I7">
        <v>2402</v>
      </c>
      <c r="J7">
        <v>2402</v>
      </c>
      <c r="K7">
        <v>2402</v>
      </c>
      <c r="L7">
        <v>2402</v>
      </c>
      <c r="M7">
        <v>2402</v>
      </c>
      <c r="N7">
        <v>2402</v>
      </c>
      <c r="O7">
        <v>2402</v>
      </c>
      <c r="P7">
        <v>2402</v>
      </c>
      <c r="Q7">
        <v>2402</v>
      </c>
      <c r="R7">
        <v>2402</v>
      </c>
      <c r="S7">
        <v>2402</v>
      </c>
      <c r="T7">
        <v>2402</v>
      </c>
      <c r="U7">
        <v>2402</v>
      </c>
      <c r="V7">
        <v>2402</v>
      </c>
      <c r="W7">
        <v>2402</v>
      </c>
      <c r="X7">
        <v>2402</v>
      </c>
      <c r="Y7">
        <v>2402</v>
      </c>
      <c r="Z7">
        <v>2402</v>
      </c>
      <c r="AA7">
        <v>2402</v>
      </c>
      <c r="AB7">
        <v>2402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106</v>
      </c>
      <c r="B1" s="1" t="s">
        <v>63</v>
      </c>
    </row>
    <row r="2" spans="1:2" x14ac:dyDescent="0.25">
      <c r="A2" t="s">
        <v>36</v>
      </c>
      <c r="B2">
        <v>10411</v>
      </c>
    </row>
    <row r="3" spans="1:2" x14ac:dyDescent="0.25">
      <c r="A3" t="s">
        <v>100</v>
      </c>
      <c r="B3">
        <v>14177</v>
      </c>
    </row>
    <row r="4" spans="1:2" x14ac:dyDescent="0.25">
      <c r="A4" t="s">
        <v>101</v>
      </c>
      <c r="B4">
        <v>685003</v>
      </c>
    </row>
    <row r="5" spans="1:2" x14ac:dyDescent="0.25">
      <c r="A5" t="s">
        <v>102</v>
      </c>
      <c r="B5">
        <v>57869</v>
      </c>
    </row>
    <row r="6" spans="1:2" x14ac:dyDescent="0.25">
      <c r="A6" t="s">
        <v>103</v>
      </c>
      <c r="B6">
        <v>211</v>
      </c>
    </row>
    <row r="7" spans="1:2" x14ac:dyDescent="0.25">
      <c r="A7" t="s">
        <v>104</v>
      </c>
      <c r="B7">
        <v>2402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workbookViewId="0"/>
  </sheetViews>
  <sheetFormatPr defaultRowHeight="15" x14ac:dyDescent="0.25"/>
  <cols>
    <col min="1" max="1" width="44" customWidth="1"/>
    <col min="2" max="10" width="18" customWidth="1"/>
  </cols>
  <sheetData>
    <row r="1" spans="1:10" x14ac:dyDescent="0.25">
      <c r="A1" s="7" t="s">
        <v>107</v>
      </c>
      <c r="B1" s="8"/>
      <c r="C1" s="8"/>
      <c r="D1" s="8"/>
      <c r="E1" s="8"/>
      <c r="F1" s="8"/>
      <c r="G1" s="8"/>
      <c r="H1" s="8"/>
      <c r="I1" s="8"/>
    </row>
    <row r="2" spans="1:10" x14ac:dyDescent="0.25">
      <c r="A2" s="9" t="s">
        <v>108</v>
      </c>
    </row>
    <row r="3" spans="1:10" x14ac:dyDescent="0.25">
      <c r="A3" s="1" t="s">
        <v>109</v>
      </c>
    </row>
    <row r="4" spans="1:10" ht="30" customHeight="1" x14ac:dyDescent="0.25">
      <c r="A4" s="6" t="s">
        <v>110</v>
      </c>
      <c r="B4" s="6" t="s">
        <v>41</v>
      </c>
      <c r="C4" s="6" t="s">
        <v>111</v>
      </c>
    </row>
    <row r="5" spans="1:10" x14ac:dyDescent="0.25">
      <c r="A5" t="s">
        <v>112</v>
      </c>
      <c r="B5">
        <f>SUM(INDEX(SYVbT!$B$1:$ZZ$7,MATCH(Keys!$B$10,SYVbT!$A$1:$A$7,0),0))</f>
        <v>265435819</v>
      </c>
      <c r="C5" t="s">
        <v>113</v>
      </c>
    </row>
    <row r="6" spans="1:10" x14ac:dyDescent="0.25">
      <c r="A6" t="s">
        <v>114</v>
      </c>
      <c r="B6">
        <f>INDEX(NoH!$A$1:$ZZ$2,MATCH(Keys!$B$11,NoH!$A$1:$A$2,0),MATCH(Keys!$B$5&amp;"",NoH!$1:$1,0))</f>
        <v>128811890</v>
      </c>
      <c r="C6" t="s">
        <v>115</v>
      </c>
    </row>
    <row r="7" spans="1:10" x14ac:dyDescent="0.25">
      <c r="A7" t="s">
        <v>116</v>
      </c>
      <c r="B7">
        <f>INDEX(BGDP!$B$1:$B$28,MATCH(Keys!$B$5,BGDP!$A$1:$A$28,0))</f>
        <v>21443700000000</v>
      </c>
      <c r="C7" t="s">
        <v>117</v>
      </c>
    </row>
    <row r="8" spans="1:10" x14ac:dyDescent="0.25">
      <c r="A8" t="s">
        <v>118</v>
      </c>
      <c r="B8">
        <f>B5/B6</f>
        <v>2.0606468781725042</v>
      </c>
    </row>
    <row r="9" spans="1:10" x14ac:dyDescent="0.25">
      <c r="A9" t="s">
        <v>119</v>
      </c>
      <c r="B9">
        <f>B7/B6</f>
        <v>166472.98630584491</v>
      </c>
    </row>
    <row r="10" spans="1:10" x14ac:dyDescent="0.25">
      <c r="A10" t="s">
        <v>120</v>
      </c>
      <c r="B10">
        <f>INDEX(SYAADTbVT!$B$1:$B$7,MATCH(Keys!$B$10,SYAADTbVT!$A$1:$A$7,0))</f>
        <v>10411</v>
      </c>
    </row>
    <row r="11" spans="1:10" x14ac:dyDescent="0.25">
      <c r="A11" t="s">
        <v>121</v>
      </c>
      <c r="B11">
        <f>Keys!$B$7</f>
        <v>2.2747263987811399</v>
      </c>
      <c r="C11" t="s">
        <v>122</v>
      </c>
    </row>
    <row r="12" spans="1:10" x14ac:dyDescent="0.25">
      <c r="A12" t="s">
        <v>123</v>
      </c>
      <c r="B12">
        <f>Keys!$B$8</f>
        <v>-8.0914574719297287E-6</v>
      </c>
      <c r="C12" t="s">
        <v>26</v>
      </c>
    </row>
    <row r="13" spans="1:10" x14ac:dyDescent="0.25">
      <c r="A13" s="1" t="s">
        <v>124</v>
      </c>
      <c r="B13">
        <f>LN(B8/B11)/EXP(B12*B9)</f>
        <v>-0.38012864638834903</v>
      </c>
    </row>
    <row r="14" spans="1:10" x14ac:dyDescent="0.25">
      <c r="A14" s="1" t="s">
        <v>125</v>
      </c>
      <c r="B14">
        <f>MAX(INDEX(ABS(J17:J42),0))</f>
        <v>1.3662833451779433E-2</v>
      </c>
    </row>
    <row r="16" spans="1:10" ht="60" customHeight="1" x14ac:dyDescent="0.25">
      <c r="A16" s="6" t="s">
        <v>126</v>
      </c>
      <c r="B16" s="6" t="s">
        <v>127</v>
      </c>
      <c r="C16" s="6" t="s">
        <v>128</v>
      </c>
      <c r="D16" s="6" t="s">
        <v>129</v>
      </c>
      <c r="E16" s="6" t="s">
        <v>130</v>
      </c>
      <c r="F16" s="6" t="s">
        <v>131</v>
      </c>
      <c r="G16" s="6" t="s">
        <v>132</v>
      </c>
      <c r="H16" s="6" t="s">
        <v>133</v>
      </c>
      <c r="I16" s="6" t="s">
        <v>134</v>
      </c>
      <c r="J16" s="1" t="s">
        <v>135</v>
      </c>
    </row>
    <row r="17" spans="1:10" x14ac:dyDescent="0.25">
      <c r="A17">
        <v>2025</v>
      </c>
      <c r="B17">
        <f>INDEX(NoH!$A$1:$ZZ$2,MATCH(Keys!$B$11,NoH!$A$1:$A$2,0),MATCH(A17&amp;"",NoH!$1:$1,0))</f>
        <v>130729215</v>
      </c>
      <c r="C17">
        <f>INDEX(BGDP!$B$1:$B$28,MATCH(A17,BGDP!$A$1:$A$28,0))</f>
        <v>21825500000000</v>
      </c>
      <c r="D17">
        <f t="shared" ref="D17:D42" si="0">C17/B17</f>
        <v>166951.97014684131</v>
      </c>
      <c r="E17">
        <f>INDEX(BCDTRtSY!$A$1:$ZZ$7,MATCH(Keys!$B$10,BCDTRtSY!$A$1:$A$7,0),MATCH(A17&amp;"",BCDTRtSY!$1:$1,0))</f>
        <v>1.014812823</v>
      </c>
      <c r="F17">
        <f>INDEX(BAADTbVT!$A$1:$ZZ$7,MATCH(Keys!$B$10,BAADTbVT!$A$1:$A$7,0),MATCH(A17&amp;"",BAADTbVT!$1:$1,0))</f>
        <v>10518</v>
      </c>
      <c r="G17">
        <f t="shared" ref="G17:G42" si="1">$B$5*E17/(F17/$B$10)</f>
        <v>266627385.58374265</v>
      </c>
      <c r="H17">
        <f t="shared" ref="H17:H42" si="2">G17/B17</f>
        <v>2.0395394065797965</v>
      </c>
      <c r="I17">
        <f t="shared" ref="I17:I42" si="3">$B$11*EXP($B$13*EXP($B$12*D17))</f>
        <v>2.0614348757494869</v>
      </c>
      <c r="J17">
        <f t="shared" ref="J17:J42" si="4">I17/H17-1</f>
        <v>1.073549699459253E-2</v>
      </c>
    </row>
    <row r="18" spans="1:10" x14ac:dyDescent="0.25">
      <c r="A18">
        <v>2026</v>
      </c>
      <c r="B18">
        <f>INDEX(NoH!$A$1:$ZZ$2,MATCH(Keys!$B$11,NoH!$A$1:$A$2,0),MATCH(A18&amp;"",NoH!$1:$1,0))</f>
        <v>132095411</v>
      </c>
      <c r="C18">
        <f>INDEX(BGDP!$B$1:$B$28,MATCH(A18,BGDP!$A$1:$A$28,0))</f>
        <v>22402500000000</v>
      </c>
      <c r="D18">
        <f t="shared" si="0"/>
        <v>169593.32523671092</v>
      </c>
      <c r="E18">
        <f>INDEX(BCDTRtSY!$A$1:$ZZ$7,MATCH(Keys!$B$10,BCDTRtSY!$A$1:$A$7,0),MATCH(A18&amp;"",BCDTRtSY!$1:$1,0))</f>
        <v>1.0221431409999999</v>
      </c>
      <c r="F18">
        <f>INDEX(BAADTbVT!$A$1:$ZZ$7,MATCH(Keys!$B$10,BAADTbVT!$A$1:$A$7,0),MATCH(A18&amp;"",BAADTbVT!$1:$1,0))</f>
        <v>10488</v>
      </c>
      <c r="G18">
        <f t="shared" si="1"/>
        <v>269321493.68723625</v>
      </c>
      <c r="H18">
        <f t="shared" si="2"/>
        <v>2.0388406504691994</v>
      </c>
      <c r="I18">
        <f t="shared" si="3"/>
        <v>2.0657311444618323</v>
      </c>
      <c r="J18">
        <f t="shared" si="4"/>
        <v>1.3189110186931252E-2</v>
      </c>
    </row>
    <row r="19" spans="1:10" x14ac:dyDescent="0.25">
      <c r="A19">
        <v>2027</v>
      </c>
      <c r="B19">
        <f>INDEX(NoH!$A$1:$ZZ$2,MATCH(Keys!$B$11,NoH!$A$1:$A$2,0),MATCH(A19&amp;"",NoH!$1:$1,0))</f>
        <v>133495735</v>
      </c>
      <c r="C19">
        <f>INDEX(BGDP!$B$1:$B$28,MATCH(A19,BGDP!$A$1:$A$28,0))</f>
        <v>22823200000000</v>
      </c>
      <c r="D19">
        <f t="shared" si="0"/>
        <v>170965.76156534138</v>
      </c>
      <c r="E19">
        <f>INDEX(BCDTRtSY!$A$1:$ZZ$7,MATCH(Keys!$B$10,BCDTRtSY!$A$1:$A$7,0),MATCH(A19&amp;"",BCDTRtSY!$1:$1,0))</f>
        <v>1.0309346239999999</v>
      </c>
      <c r="F19">
        <f>INDEX(BAADTbVT!$A$1:$ZZ$7,MATCH(Keys!$B$10,BAADTbVT!$A$1:$A$7,0),MATCH(A19&amp;"",BAADTbVT!$1:$1,0))</f>
        <v>10461</v>
      </c>
      <c r="G19">
        <f t="shared" si="1"/>
        <v>272339037.35881418</v>
      </c>
      <c r="H19">
        <f t="shared" si="2"/>
        <v>2.0400579640901202</v>
      </c>
      <c r="I19">
        <f t="shared" si="3"/>
        <v>2.0679309362854599</v>
      </c>
      <c r="J19">
        <f t="shared" si="4"/>
        <v>1.3662833451779433E-2</v>
      </c>
    </row>
    <row r="20" spans="1:10" x14ac:dyDescent="0.25">
      <c r="A20">
        <v>2028</v>
      </c>
      <c r="B20">
        <f>INDEX(NoH!$A$1:$ZZ$2,MATCH(Keys!$B$11,NoH!$A$1:$A$2,0),MATCH(A20&amp;"",NoH!$1:$1,0))</f>
        <v>134872797</v>
      </c>
      <c r="C20">
        <f>INDEX(BGDP!$B$1:$B$28,MATCH(A20,BGDP!$A$1:$A$28,0))</f>
        <v>23114700000000</v>
      </c>
      <c r="D20">
        <f t="shared" si="0"/>
        <v>171381.48325047339</v>
      </c>
      <c r="E20">
        <f>INDEX(BCDTRtSY!$A$1:$ZZ$7,MATCH(Keys!$B$10,BCDTRtSY!$A$1:$A$7,0),MATCH(A20&amp;"",BCDTRtSY!$1:$1,0))</f>
        <v>1.0366028190000001</v>
      </c>
      <c r="F20">
        <f>INDEX(BAADTbVT!$A$1:$ZZ$7,MATCH(Keys!$B$10,BAADTbVT!$A$1:$A$7,0),MATCH(A20&amp;"",BAADTbVT!$1:$1,0))</f>
        <v>10399</v>
      </c>
      <c r="G20">
        <f t="shared" si="1"/>
        <v>275469031.29011983</v>
      </c>
      <c r="H20">
        <f t="shared" si="2"/>
        <v>2.0424358166911882</v>
      </c>
      <c r="I20">
        <f t="shared" si="3"/>
        <v>2.0685929222311579</v>
      </c>
      <c r="J20">
        <f t="shared" si="4"/>
        <v>1.2806818861189395E-2</v>
      </c>
    </row>
    <row r="21" spans="1:10" x14ac:dyDescent="0.25">
      <c r="A21">
        <v>2029</v>
      </c>
      <c r="B21">
        <f>INDEX(NoH!$A$1:$ZZ$2,MATCH(Keys!$B$11,NoH!$A$1:$A$2,0),MATCH(A21&amp;"",NoH!$1:$1,0))</f>
        <v>136249235</v>
      </c>
      <c r="C21">
        <f>INDEX(BGDP!$B$1:$B$28,MATCH(A21,BGDP!$A$1:$A$28,0))</f>
        <v>23470600000000</v>
      </c>
      <c r="D21">
        <f t="shared" si="0"/>
        <v>172262.25160089889</v>
      </c>
      <c r="E21">
        <f>INDEX(BCDTRtSY!$A$1:$ZZ$7,MATCH(Keys!$B$10,BCDTRtSY!$A$1:$A$7,0),MATCH(A21&amp;"",BCDTRtSY!$1:$1,0))</f>
        <v>1.0418613430000001</v>
      </c>
      <c r="F21">
        <f>INDEX(BAADTbVT!$A$1:$ZZ$7,MATCH(Keys!$B$10,BAADTbVT!$A$1:$A$7,0),MATCH(A21&amp;"",BAADTbVT!$1:$1,0))</f>
        <v>10327</v>
      </c>
      <c r="G21">
        <f t="shared" si="1"/>
        <v>278796759.62907016</v>
      </c>
      <c r="H21">
        <f t="shared" si="2"/>
        <v>2.046226238474441</v>
      </c>
      <c r="I21">
        <f t="shared" si="3"/>
        <v>2.0699887971751929</v>
      </c>
      <c r="J21">
        <f t="shared" si="4"/>
        <v>1.1612869708125695E-2</v>
      </c>
    </row>
    <row r="22" spans="1:10" x14ac:dyDescent="0.25">
      <c r="A22">
        <v>2030</v>
      </c>
      <c r="B22">
        <f>INDEX(NoH!$A$1:$ZZ$2,MATCH(Keys!$B$11,NoH!$A$1:$A$2,0),MATCH(A22&amp;"",NoH!$1:$1,0))</f>
        <v>137609806</v>
      </c>
      <c r="C22">
        <f>INDEX(BGDP!$B$1:$B$28,MATCH(A22,BGDP!$A$1:$A$28,0))</f>
        <v>23881600000000</v>
      </c>
      <c r="D22">
        <f t="shared" si="0"/>
        <v>173545.77187616992</v>
      </c>
      <c r="E22">
        <f>INDEX(BCDTRtSY!$A$1:$ZZ$7,MATCH(Keys!$B$10,BCDTRtSY!$A$1:$A$7,0),MATCH(A22&amp;"",BCDTRtSY!$1:$1,0))</f>
        <v>1.0463685869999999</v>
      </c>
      <c r="F22">
        <f>INDEX(BAADTbVT!$A$1:$ZZ$7,MATCH(Keys!$B$10,BAADTbVT!$A$1:$A$7,0),MATCH(A22&amp;"",BAADTbVT!$1:$1,0))</f>
        <v>10237</v>
      </c>
      <c r="G22">
        <f t="shared" si="1"/>
        <v>282464559.00558686</v>
      </c>
      <c r="H22">
        <f t="shared" si="2"/>
        <v>2.0526484791758723</v>
      </c>
      <c r="I22">
        <f t="shared" si="3"/>
        <v>2.0720069029804673</v>
      </c>
      <c r="J22">
        <f t="shared" si="4"/>
        <v>9.4309493325264171E-3</v>
      </c>
    </row>
    <row r="23" spans="1:10" x14ac:dyDescent="0.25">
      <c r="A23">
        <v>2031</v>
      </c>
      <c r="B23">
        <f>INDEX(NoH!$A$1:$ZZ$2,MATCH(Keys!$B$11,NoH!$A$1:$A$2,0),MATCH(A23&amp;"",NoH!$1:$1,0))</f>
        <v>138976937</v>
      </c>
      <c r="C23">
        <f>INDEX(BGDP!$B$1:$B$28,MATCH(A23,BGDP!$A$1:$A$28,0))</f>
        <v>24282800000000</v>
      </c>
      <c r="D23">
        <f t="shared" si="0"/>
        <v>174725.39346582376</v>
      </c>
      <c r="E23">
        <f>INDEX(BCDTRtSY!$A$1:$ZZ$7,MATCH(Keys!$B$10,BCDTRtSY!$A$1:$A$7,0),MATCH(A23&amp;"",BCDTRtSY!$1:$1,0))</f>
        <v>1.050354877</v>
      </c>
      <c r="F23">
        <f>INDEX(BAADTbVT!$A$1:$ZZ$7,MATCH(Keys!$B$10,BAADTbVT!$A$1:$A$7,0),MATCH(A23&amp;"",BAADTbVT!$1:$1,0))</f>
        <v>10141</v>
      </c>
      <c r="G23">
        <f t="shared" si="1"/>
        <v>286224791.72225982</v>
      </c>
      <c r="H23">
        <f t="shared" si="2"/>
        <v>2.0595128796244793</v>
      </c>
      <c r="I23">
        <f t="shared" si="3"/>
        <v>2.0738449639675012</v>
      </c>
      <c r="J23">
        <f t="shared" si="4"/>
        <v>6.9589680573569623E-3</v>
      </c>
    </row>
    <row r="24" spans="1:10" x14ac:dyDescent="0.25">
      <c r="A24">
        <v>2032</v>
      </c>
      <c r="B24">
        <f>INDEX(NoH!$A$1:$ZZ$2,MATCH(Keys!$B$11,NoH!$A$1:$A$2,0),MATCH(A24&amp;"",NoH!$1:$1,0))</f>
        <v>140345360</v>
      </c>
      <c r="C24">
        <f>INDEX(BGDP!$B$1:$B$28,MATCH(A24,BGDP!$A$1:$A$28,0))</f>
        <v>24738800000000</v>
      </c>
      <c r="D24">
        <f t="shared" si="0"/>
        <v>176270.87920826167</v>
      </c>
      <c r="E24">
        <f>INDEX(BCDTRtSY!$A$1:$ZZ$7,MATCH(Keys!$B$10,BCDTRtSY!$A$1:$A$7,0),MATCH(A24&amp;"",BCDTRtSY!$1:$1,0))</f>
        <v>1.0545121449999999</v>
      </c>
      <c r="F24">
        <f>INDEX(BAADTbVT!$A$1:$ZZ$7,MATCH(Keys!$B$10,BAADTbVT!$A$1:$A$7,0),MATCH(A24&amp;"",BAADTbVT!$1:$1,0))</f>
        <v>10051</v>
      </c>
      <c r="G24">
        <f t="shared" si="1"/>
        <v>289930755.61834788</v>
      </c>
      <c r="H24">
        <f t="shared" si="2"/>
        <v>2.0658378418662924</v>
      </c>
      <c r="I24">
        <f t="shared" si="3"/>
        <v>2.0762291345431594</v>
      </c>
      <c r="J24">
        <f t="shared" si="4"/>
        <v>5.0300621211776253E-3</v>
      </c>
    </row>
    <row r="25" spans="1:10" x14ac:dyDescent="0.25">
      <c r="A25">
        <v>2033</v>
      </c>
      <c r="B25">
        <f>INDEX(NoH!$A$1:$ZZ$2,MATCH(Keys!$B$11,NoH!$A$1:$A$2,0),MATCH(A25&amp;"",NoH!$1:$1,0))</f>
        <v>141691839</v>
      </c>
      <c r="C25">
        <f>INDEX(BGDP!$B$1:$B$28,MATCH(A25,BGDP!$A$1:$A$28,0))</f>
        <v>25221200000000</v>
      </c>
      <c r="D25">
        <f t="shared" si="0"/>
        <v>178000.37163749425</v>
      </c>
      <c r="E25">
        <f>INDEX(BCDTRtSY!$A$1:$ZZ$7,MATCH(Keys!$B$10,BCDTRtSY!$A$1:$A$7,0),MATCH(A25&amp;"",BCDTRtSY!$1:$1,0))</f>
        <v>1.0572431929999999</v>
      </c>
      <c r="F25">
        <f>INDEX(BAADTbVT!$A$1:$ZZ$7,MATCH(Keys!$B$10,BAADTbVT!$A$1:$A$7,0),MATCH(A25&amp;"",BAADTbVT!$1:$1,0))</f>
        <v>9948</v>
      </c>
      <c r="G25">
        <f t="shared" si="1"/>
        <v>293691309.37160534</v>
      </c>
      <c r="H25">
        <f t="shared" si="2"/>
        <v>2.072746824689073</v>
      </c>
      <c r="I25">
        <f t="shared" si="3"/>
        <v>2.0788652381221446</v>
      </c>
      <c r="J25">
        <f t="shared" si="4"/>
        <v>2.9518382854063496E-3</v>
      </c>
    </row>
    <row r="26" spans="1:10" x14ac:dyDescent="0.25">
      <c r="A26">
        <v>2034</v>
      </c>
      <c r="B26">
        <f>INDEX(NoH!$A$1:$ZZ$2,MATCH(Keys!$B$11,NoH!$A$1:$A$2,0),MATCH(A26&amp;"",NoH!$1:$1,0))</f>
        <v>142999458</v>
      </c>
      <c r="C26">
        <f>INDEX(BGDP!$B$1:$B$28,MATCH(A26,BGDP!$A$1:$A$28,0))</f>
        <v>25734000000000</v>
      </c>
      <c r="D26">
        <f t="shared" si="0"/>
        <v>179958.72403935966</v>
      </c>
      <c r="E26">
        <f>INDEX(BCDTRtSY!$A$1:$ZZ$7,MATCH(Keys!$B$10,BCDTRtSY!$A$1:$A$7,0),MATCH(A26&amp;"",BCDTRtSY!$1:$1,0))</f>
        <v>1.0605887899999999</v>
      </c>
      <c r="F26">
        <f>INDEX(BAADTbVT!$A$1:$ZZ$7,MATCH(Keys!$B$10,BAADTbVT!$A$1:$A$7,0),MATCH(A26&amp;"",BAADTbVT!$1:$1,0))</f>
        <v>9859</v>
      </c>
      <c r="G26">
        <f t="shared" si="1"/>
        <v>297280306.66315979</v>
      </c>
      <c r="H26">
        <f t="shared" si="2"/>
        <v>2.078891142812302</v>
      </c>
      <c r="I26">
        <f t="shared" si="3"/>
        <v>2.0818099233110905</v>
      </c>
      <c r="J26">
        <f t="shared" si="4"/>
        <v>1.4040083382336199E-3</v>
      </c>
    </row>
    <row r="27" spans="1:10" x14ac:dyDescent="0.25">
      <c r="A27">
        <v>2035</v>
      </c>
      <c r="B27">
        <f>INDEX(NoH!$A$1:$ZZ$2,MATCH(Keys!$B$11,NoH!$A$1:$A$2,0),MATCH(A27&amp;"",NoH!$1:$1,0))</f>
        <v>144280192</v>
      </c>
      <c r="C27">
        <f>INDEX(BGDP!$B$1:$B$28,MATCH(A27,BGDP!$A$1:$A$28,0))</f>
        <v>26281800000000</v>
      </c>
      <c r="D27">
        <f t="shared" si="0"/>
        <v>182158.06089307118</v>
      </c>
      <c r="E27">
        <f>INDEX(BCDTRtSY!$A$1:$ZZ$7,MATCH(Keys!$B$10,BCDTRtSY!$A$1:$A$7,0),MATCH(A27&amp;"",BCDTRtSY!$1:$1,0))</f>
        <v>1.0630652860000001</v>
      </c>
      <c r="F27">
        <f>INDEX(BAADTbVT!$A$1:$ZZ$7,MATCH(Keys!$B$10,BAADTbVT!$A$1:$A$7,0),MATCH(A27&amp;"",BAADTbVT!$1:$1,0))</f>
        <v>9767</v>
      </c>
      <c r="G27">
        <f t="shared" si="1"/>
        <v>300781224.73512679</v>
      </c>
      <c r="H27">
        <f t="shared" si="2"/>
        <v>2.0847021380116182</v>
      </c>
      <c r="I27">
        <f t="shared" si="3"/>
        <v>2.0850666593518863</v>
      </c>
      <c r="J27">
        <f t="shared" si="4"/>
        <v>1.7485535876882174E-4</v>
      </c>
    </row>
    <row r="28" spans="1:10" x14ac:dyDescent="0.25">
      <c r="A28">
        <v>2036</v>
      </c>
      <c r="B28">
        <f>INDEX(NoH!$A$1:$ZZ$2,MATCH(Keys!$B$11,NoH!$A$1:$A$2,0),MATCH(A28&amp;"",NoH!$1:$1,0))</f>
        <v>145526496</v>
      </c>
      <c r="C28">
        <f>INDEX(BGDP!$B$1:$B$28,MATCH(A28,BGDP!$A$1:$A$28,0))</f>
        <v>26744400000000</v>
      </c>
      <c r="D28">
        <f t="shared" si="0"/>
        <v>183776.8429468679</v>
      </c>
      <c r="E28">
        <f>INDEX(BCDTRtSY!$A$1:$ZZ$7,MATCH(Keys!$B$10,BCDTRtSY!$A$1:$A$7,0),MATCH(A28&amp;"",BCDTRtSY!$1:$1,0))</f>
        <v>1.0662585529999999</v>
      </c>
      <c r="F28">
        <f>INDEX(BAADTbVT!$A$1:$ZZ$7,MATCH(Keys!$B$10,BAADTbVT!$A$1:$A$7,0),MATCH(A28&amp;"",BAADTbVT!$1:$1,0))</f>
        <v>9694</v>
      </c>
      <c r="G28">
        <f t="shared" si="1"/>
        <v>303956536.31738365</v>
      </c>
      <c r="H28">
        <f t="shared" si="2"/>
        <v>2.0886680066658352</v>
      </c>
      <c r="I28">
        <f t="shared" si="3"/>
        <v>2.0874301473560966</v>
      </c>
      <c r="J28">
        <f t="shared" si="4"/>
        <v>-5.9265489095827739E-4</v>
      </c>
    </row>
    <row r="29" spans="1:10" x14ac:dyDescent="0.25">
      <c r="A29">
        <v>2037</v>
      </c>
      <c r="B29">
        <f>INDEX(NoH!$A$1:$ZZ$2,MATCH(Keys!$B$11,NoH!$A$1:$A$2,0),MATCH(A29&amp;"",NoH!$1:$1,0))</f>
        <v>146710443</v>
      </c>
      <c r="C29">
        <f>INDEX(BGDP!$B$1:$B$28,MATCH(A29,BGDP!$A$1:$A$28,0))</f>
        <v>27206600000000</v>
      </c>
      <c r="D29">
        <f t="shared" si="0"/>
        <v>185444.1949984433</v>
      </c>
      <c r="E29">
        <f>INDEX(BCDTRtSY!$A$1:$ZZ$7,MATCH(Keys!$B$10,BCDTRtSY!$A$1:$A$7,0),MATCH(A29&amp;"",BCDTRtSY!$1:$1,0))</f>
        <v>1.06989844</v>
      </c>
      <c r="F29">
        <f>INDEX(BAADTbVT!$A$1:$ZZ$7,MATCH(Keys!$B$10,BAADTbVT!$A$1:$A$7,0),MATCH(A29&amp;"",BAADTbVT!$1:$1,0))</f>
        <v>9628</v>
      </c>
      <c r="G29">
        <f t="shared" si="1"/>
        <v>307084889.61413199</v>
      </c>
      <c r="H29">
        <f t="shared" si="2"/>
        <v>2.0931358622789515</v>
      </c>
      <c r="I29">
        <f t="shared" si="3"/>
        <v>2.0898351452499133</v>
      </c>
      <c r="J29">
        <f t="shared" si="4"/>
        <v>-1.5769244073075006E-3</v>
      </c>
    </row>
    <row r="30" spans="1:10" x14ac:dyDescent="0.25">
      <c r="A30">
        <v>2038</v>
      </c>
      <c r="B30">
        <f>INDEX(NoH!$A$1:$ZZ$2,MATCH(Keys!$B$11,NoH!$A$1:$A$2,0),MATCH(A30&amp;"",NoH!$1:$1,0))</f>
        <v>147843033</v>
      </c>
      <c r="C30">
        <f>INDEX(BGDP!$B$1:$B$28,MATCH(A30,BGDP!$A$1:$A$28,0))</f>
        <v>27670000000000</v>
      </c>
      <c r="D30">
        <f t="shared" si="0"/>
        <v>187157.95691231525</v>
      </c>
      <c r="E30">
        <f>INDEX(BCDTRtSY!$A$1:$ZZ$7,MATCH(Keys!$B$10,BCDTRtSY!$A$1:$A$7,0),MATCH(A30&amp;"",BCDTRtSY!$1:$1,0))</f>
        <v>1.073598021</v>
      </c>
      <c r="F30">
        <f>INDEX(BAADTbVT!$A$1:$ZZ$7,MATCH(Keys!$B$10,BAADTbVT!$A$1:$A$7,0),MATCH(A30&amp;"",BAADTbVT!$1:$1,0))</f>
        <v>9565</v>
      </c>
      <c r="G30">
        <f t="shared" si="1"/>
        <v>310176365.17211682</v>
      </c>
      <c r="H30">
        <f t="shared" si="2"/>
        <v>2.0980113765125261</v>
      </c>
      <c r="I30">
        <f t="shared" si="3"/>
        <v>2.0922763312264512</v>
      </c>
      <c r="J30">
        <f t="shared" si="4"/>
        <v>-2.7335625298696709E-3</v>
      </c>
    </row>
    <row r="31" spans="1:10" x14ac:dyDescent="0.25">
      <c r="A31">
        <v>2039</v>
      </c>
      <c r="B31">
        <f>INDEX(NoH!$A$1:$ZZ$2,MATCH(Keys!$B$11,NoH!$A$1:$A$2,0),MATCH(A31&amp;"",NoH!$1:$1,0))</f>
        <v>148916619</v>
      </c>
      <c r="C31">
        <f>INDEX(BGDP!$B$1:$B$28,MATCH(A31,BGDP!$A$1:$A$28,0))</f>
        <v>28125300000000</v>
      </c>
      <c r="D31">
        <f t="shared" si="0"/>
        <v>188866.09291069119</v>
      </c>
      <c r="E31">
        <f>INDEX(BCDTRtSY!$A$1:$ZZ$7,MATCH(Keys!$B$10,BCDTRtSY!$A$1:$A$7,0),MATCH(A31&amp;"",BCDTRtSY!$1:$1,0))</f>
        <v>1.0766779120000001</v>
      </c>
      <c r="F31">
        <f>INDEX(BAADTbVT!$A$1:$ZZ$7,MATCH(Keys!$B$10,BAADTbVT!$A$1:$A$7,0),MATCH(A31&amp;"",BAADTbVT!$1:$1,0))</f>
        <v>9500</v>
      </c>
      <c r="G31">
        <f t="shared" si="1"/>
        <v>313194533.13418442</v>
      </c>
      <c r="H31">
        <f t="shared" si="2"/>
        <v>2.1031536657045944</v>
      </c>
      <c r="I31">
        <f t="shared" si="3"/>
        <v>2.0946788296157588</v>
      </c>
      <c r="J31">
        <f t="shared" si="4"/>
        <v>-4.0295848216095331E-3</v>
      </c>
    </row>
    <row r="32" spans="1:10" x14ac:dyDescent="0.25">
      <c r="A32">
        <v>2040</v>
      </c>
      <c r="B32">
        <f>INDEX(NoH!$A$1:$ZZ$2,MATCH(Keys!$B$11,NoH!$A$1:$A$2,0),MATCH(A32&amp;"",NoH!$1:$1,0))</f>
        <v>149945693</v>
      </c>
      <c r="C32">
        <f>INDEX(BGDP!$B$1:$B$28,MATCH(A32,BGDP!$A$1:$A$28,0))</f>
        <v>28584300000000</v>
      </c>
      <c r="D32">
        <f t="shared" si="0"/>
        <v>190631.01732438558</v>
      </c>
      <c r="E32">
        <f>INDEX(BCDTRtSY!$A$1:$ZZ$7,MATCH(Keys!$B$10,BCDTRtSY!$A$1:$A$7,0),MATCH(A32&amp;"",BCDTRtSY!$1:$1,0))</f>
        <v>1.0799660799999999</v>
      </c>
      <c r="F32">
        <f>INDEX(BAADTbVT!$A$1:$ZZ$7,MATCH(Keys!$B$10,BAADTbVT!$A$1:$A$7,0),MATCH(A32&amp;"",BAADTbVT!$1:$1,0))</f>
        <v>9440</v>
      </c>
      <c r="G32">
        <f t="shared" si="1"/>
        <v>316147750.02492696</v>
      </c>
      <c r="H32">
        <f t="shared" si="2"/>
        <v>2.1084150114596953</v>
      </c>
      <c r="I32">
        <f t="shared" si="3"/>
        <v>2.0971294034986303</v>
      </c>
      <c r="J32">
        <f t="shared" si="4"/>
        <v>-5.3526501659897363E-3</v>
      </c>
    </row>
    <row r="33" spans="1:10" x14ac:dyDescent="0.25">
      <c r="A33">
        <v>2041</v>
      </c>
      <c r="B33">
        <f>INDEX(NoH!$A$1:$ZZ$2,MATCH(Keys!$B$11,NoH!$A$1:$A$2,0),MATCH(A33&amp;"",NoH!$1:$1,0))</f>
        <v>150924363</v>
      </c>
      <c r="C33">
        <f>INDEX(BGDP!$B$1:$B$28,MATCH(A33,BGDP!$A$1:$A$28,0))</f>
        <v>29029400000000</v>
      </c>
      <c r="D33">
        <f t="shared" si="0"/>
        <v>192344.0286443349</v>
      </c>
      <c r="E33">
        <f>INDEX(BCDTRtSY!$A$1:$ZZ$7,MATCH(Keys!$B$10,BCDTRtSY!$A$1:$A$7,0),MATCH(A33&amp;"",BCDTRtSY!$1:$1,0))</f>
        <v>1.0823861930000001</v>
      </c>
      <c r="F33">
        <f>INDEX(BAADTbVT!$A$1:$ZZ$7,MATCH(Keys!$B$10,BAADTbVT!$A$1:$A$7,0),MATCH(A33&amp;"",BAADTbVT!$1:$1,0))</f>
        <v>9380</v>
      </c>
      <c r="G33">
        <f t="shared" si="1"/>
        <v>318883009.28566265</v>
      </c>
      <c r="H33">
        <f t="shared" si="2"/>
        <v>2.1128663586651193</v>
      </c>
      <c r="I33">
        <f t="shared" si="3"/>
        <v>2.0994773474079986</v>
      </c>
      <c r="J33">
        <f t="shared" si="4"/>
        <v>-6.3368945235039442E-3</v>
      </c>
    </row>
    <row r="34" spans="1:10" x14ac:dyDescent="0.25">
      <c r="A34">
        <v>2042</v>
      </c>
      <c r="B34">
        <f>INDEX(NoH!$A$1:$ZZ$2,MATCH(Keys!$B$11,NoH!$A$1:$A$2,0),MATCH(A34&amp;"",NoH!$1:$1,0))</f>
        <v>151869620</v>
      </c>
      <c r="C34">
        <f>INDEX(BGDP!$B$1:$B$28,MATCH(A34,BGDP!$A$1:$A$28,0))</f>
        <v>29489900000000</v>
      </c>
      <c r="D34">
        <f t="shared" si="0"/>
        <v>194179.05964339676</v>
      </c>
      <c r="E34">
        <f>INDEX(BCDTRtSY!$A$1:$ZZ$7,MATCH(Keys!$B$10,BCDTRtSY!$A$1:$A$7,0),MATCH(A34&amp;"",BCDTRtSY!$1:$1,0))</f>
        <v>1.084678203</v>
      </c>
      <c r="F34">
        <f>INDEX(BAADTbVT!$A$1:$ZZ$7,MATCH(Keys!$B$10,BAADTbVT!$A$1:$A$7,0),MATCH(A34&amp;"",BAADTbVT!$1:$1,0))</f>
        <v>9325</v>
      </c>
      <c r="G34">
        <f t="shared" si="1"/>
        <v>321443054.95251971</v>
      </c>
      <c r="H34">
        <f t="shared" si="2"/>
        <v>2.1165724583528931</v>
      </c>
      <c r="I34">
        <f t="shared" si="3"/>
        <v>2.1019595482793614</v>
      </c>
      <c r="J34">
        <f t="shared" si="4"/>
        <v>-6.9040443268847396E-3</v>
      </c>
    </row>
    <row r="35" spans="1:10" x14ac:dyDescent="0.25">
      <c r="A35">
        <v>2043</v>
      </c>
      <c r="B35">
        <f>INDEX(NoH!$A$1:$ZZ$2,MATCH(Keys!$B$11,NoH!$A$1:$A$2,0),MATCH(A35&amp;"",NoH!$1:$1,0))</f>
        <v>152782969</v>
      </c>
      <c r="C35">
        <f>INDEX(BGDP!$B$1:$B$28,MATCH(A35,BGDP!$A$1:$A$28,0))</f>
        <v>29964000000000</v>
      </c>
      <c r="D35">
        <f t="shared" si="0"/>
        <v>196121.33601095289</v>
      </c>
      <c r="E35">
        <f>INDEX(BCDTRtSY!$A$1:$ZZ$7,MATCH(Keys!$B$10,BCDTRtSY!$A$1:$A$7,0),MATCH(A35&amp;"",BCDTRtSY!$1:$1,0))</f>
        <v>1.0866187549999999</v>
      </c>
      <c r="F35">
        <f>INDEX(BAADTbVT!$A$1:$ZZ$7,MATCH(Keys!$B$10,BAADTbVT!$A$1:$A$7,0),MATCH(A35&amp;"",BAADTbVT!$1:$1,0))</f>
        <v>9274</v>
      </c>
      <c r="G35">
        <f t="shared" si="1"/>
        <v>323788991.84197146</v>
      </c>
      <c r="H35">
        <f t="shared" si="2"/>
        <v>2.1192741177975893</v>
      </c>
      <c r="I35">
        <f t="shared" si="3"/>
        <v>2.1045500995569055</v>
      </c>
      <c r="J35">
        <f t="shared" si="4"/>
        <v>-6.9476704863387084E-3</v>
      </c>
    </row>
    <row r="36" spans="1:10" x14ac:dyDescent="0.25">
      <c r="A36">
        <v>2044</v>
      </c>
      <c r="B36">
        <f>INDEX(NoH!$A$1:$ZZ$2,MATCH(Keys!$B$11,NoH!$A$1:$A$2,0),MATCH(A36&amp;"",NoH!$1:$1,0))</f>
        <v>153677381</v>
      </c>
      <c r="C36">
        <f>INDEX(BGDP!$B$1:$B$28,MATCH(A36,BGDP!$A$1:$A$28,0))</f>
        <v>30442800000000</v>
      </c>
      <c r="D36">
        <f t="shared" si="0"/>
        <v>198095.51543567755</v>
      </c>
      <c r="E36">
        <f>INDEX(BCDTRtSY!$A$1:$ZZ$7,MATCH(Keys!$B$10,BCDTRtSY!$A$1:$A$7,0),MATCH(A36&amp;"",BCDTRtSY!$1:$1,0))</f>
        <v>1.08879338</v>
      </c>
      <c r="F36">
        <f>INDEX(BAADTbVT!$A$1:$ZZ$7,MATCH(Keys!$B$10,BAADTbVT!$A$1:$A$7,0),MATCH(A36&amp;"",BAADTbVT!$1:$1,0))</f>
        <v>9232</v>
      </c>
      <c r="G36">
        <f t="shared" si="1"/>
        <v>325912974.74280512</v>
      </c>
      <c r="H36">
        <f t="shared" si="2"/>
        <v>2.1207608603298955</v>
      </c>
      <c r="I36">
        <f t="shared" si="3"/>
        <v>2.1071450054408363</v>
      </c>
      <c r="J36">
        <f t="shared" si="4"/>
        <v>-6.4202688496152183E-3</v>
      </c>
    </row>
    <row r="37" spans="1:10" x14ac:dyDescent="0.25">
      <c r="A37">
        <v>2045</v>
      </c>
      <c r="B37">
        <f>INDEX(NoH!$A$1:$ZZ$2,MATCH(Keys!$B$11,NoH!$A$1:$A$2,0),MATCH(A37&amp;"",NoH!$1:$1,0))</f>
        <v>154576050</v>
      </c>
      <c r="C37">
        <f>INDEX(BGDP!$B$1:$B$28,MATCH(A37,BGDP!$A$1:$A$28,0))</f>
        <v>30925000000000</v>
      </c>
      <c r="D37">
        <f t="shared" si="0"/>
        <v>200063.33452045126</v>
      </c>
      <c r="E37">
        <f>INDEX(BCDTRtSY!$A$1:$ZZ$7,MATCH(Keys!$B$10,BCDTRtSY!$A$1:$A$7,0),MATCH(A37&amp;"",BCDTRtSY!$1:$1,0))</f>
        <v>1.0907378539999999</v>
      </c>
      <c r="F37">
        <f>INDEX(BAADTbVT!$A$1:$ZZ$7,MATCH(Keys!$B$10,BAADTbVT!$A$1:$A$7,0),MATCH(A37&amp;"",BAADTbVT!$1:$1,0))</f>
        <v>9195</v>
      </c>
      <c r="G37">
        <f t="shared" si="1"/>
        <v>327808813.92014575</v>
      </c>
      <c r="H37">
        <f t="shared" si="2"/>
        <v>2.1206960193389968</v>
      </c>
      <c r="I37">
        <f t="shared" si="3"/>
        <v>2.1096937361956765</v>
      </c>
      <c r="J37">
        <f t="shared" si="4"/>
        <v>-5.1880529047956259E-3</v>
      </c>
    </row>
    <row r="38" spans="1:10" x14ac:dyDescent="0.25">
      <c r="A38">
        <v>2046</v>
      </c>
      <c r="B38">
        <f>INDEX(NoH!$A$1:$ZZ$2,MATCH(Keys!$B$11,NoH!$A$1:$A$2,0),MATCH(A38&amp;"",NoH!$1:$1,0))</f>
        <v>155479696</v>
      </c>
      <c r="C38">
        <f>INDEX(BGDP!$B$1:$B$28,MATCH(A38,BGDP!$A$1:$A$28,0))</f>
        <v>31395200000000</v>
      </c>
      <c r="D38">
        <f t="shared" si="0"/>
        <v>201924.75807259104</v>
      </c>
      <c r="E38">
        <f>INDEX(BCDTRtSY!$A$1:$ZZ$7,MATCH(Keys!$B$10,BCDTRtSY!$A$1:$A$7,0),MATCH(A38&amp;"",BCDTRtSY!$1:$1,0))</f>
        <v>1.0924016329999999</v>
      </c>
      <c r="F38">
        <f>INDEX(BAADTbVT!$A$1:$ZZ$7,MATCH(Keys!$B$10,BAADTbVT!$A$1:$A$7,0),MATCH(A38&amp;"",BAADTbVT!$1:$1,0))</f>
        <v>9164</v>
      </c>
      <c r="G38">
        <f t="shared" si="1"/>
        <v>329419447.61231953</v>
      </c>
      <c r="H38">
        <f t="shared" si="2"/>
        <v>2.1187296868159526</v>
      </c>
      <c r="I38">
        <f t="shared" si="3"/>
        <v>2.1120703705285195</v>
      </c>
      <c r="J38">
        <f t="shared" si="4"/>
        <v>-3.1430702693560075E-3</v>
      </c>
    </row>
    <row r="39" spans="1:10" x14ac:dyDescent="0.25">
      <c r="A39">
        <v>2047</v>
      </c>
      <c r="B39">
        <f>INDEX(NoH!$A$1:$ZZ$2,MATCH(Keys!$B$11,NoH!$A$1:$A$2,0),MATCH(A39&amp;"",NoH!$1:$1,0))</f>
        <v>156379746</v>
      </c>
      <c r="C39">
        <f>INDEX(BGDP!$B$1:$B$28,MATCH(A39,BGDP!$A$1:$A$28,0))</f>
        <v>31846300000000</v>
      </c>
      <c r="D39">
        <f t="shared" si="0"/>
        <v>203647.21656473339</v>
      </c>
      <c r="E39">
        <f>INDEX(BCDTRtSY!$A$1:$ZZ$7,MATCH(Keys!$B$10,BCDTRtSY!$A$1:$A$7,0),MATCH(A39&amp;"",BCDTRtSY!$1:$1,0))</f>
        <v>1.093241627</v>
      </c>
      <c r="F39">
        <f>INDEX(BAADTbVT!$A$1:$ZZ$7,MATCH(Keys!$B$10,BAADTbVT!$A$1:$A$7,0),MATCH(A39&amp;"",BAADTbVT!$1:$1,0))</f>
        <v>9133</v>
      </c>
      <c r="G39">
        <f t="shared" si="1"/>
        <v>330791755.31373417</v>
      </c>
      <c r="H39">
        <f t="shared" si="2"/>
        <v>2.1153107341262349</v>
      </c>
      <c r="I39">
        <f t="shared" si="3"/>
        <v>2.1142402508390243</v>
      </c>
      <c r="J39">
        <f t="shared" si="4"/>
        <v>-5.0606431950661612E-4</v>
      </c>
    </row>
    <row r="40" spans="1:10" x14ac:dyDescent="0.25">
      <c r="A40">
        <v>2048</v>
      </c>
      <c r="B40">
        <f>INDEX(NoH!$A$1:$ZZ$2,MATCH(Keys!$B$11,NoH!$A$1:$A$2,0),MATCH(A40&amp;"",NoH!$1:$1,0))</f>
        <v>157276794</v>
      </c>
      <c r="C40">
        <f>INDEX(BGDP!$B$1:$B$28,MATCH(A40,BGDP!$A$1:$A$28,0))</f>
        <v>32295500000000</v>
      </c>
      <c r="D40">
        <f t="shared" si="0"/>
        <v>205341.80013867779</v>
      </c>
      <c r="E40">
        <f>INDEX(BCDTRtSY!$A$1:$ZZ$7,MATCH(Keys!$B$10,BCDTRtSY!$A$1:$A$7,0),MATCH(A40&amp;"",BCDTRtSY!$1:$1,0))</f>
        <v>1.09420955</v>
      </c>
      <c r="F40">
        <f>INDEX(BAADTbVT!$A$1:$ZZ$7,MATCH(Keys!$B$10,BAADTbVT!$A$1:$A$7,0),MATCH(A40&amp;"",BAADTbVT!$1:$1,0))</f>
        <v>9112</v>
      </c>
      <c r="G40">
        <f t="shared" si="1"/>
        <v>331847663.55708337</v>
      </c>
      <c r="H40">
        <f t="shared" si="2"/>
        <v>2.1099594868209444</v>
      </c>
      <c r="I40">
        <f t="shared" si="3"/>
        <v>2.1163478370721602</v>
      </c>
      <c r="J40">
        <f t="shared" si="4"/>
        <v>3.0277122812634172E-3</v>
      </c>
    </row>
    <row r="41" spans="1:10" x14ac:dyDescent="0.25">
      <c r="A41">
        <v>2049</v>
      </c>
      <c r="B41">
        <f>INDEX(NoH!$A$1:$ZZ$2,MATCH(Keys!$B$11,NoH!$A$1:$A$2,0),MATCH(A41&amp;"",NoH!$1:$1,0))</f>
        <v>158172731</v>
      </c>
      <c r="C41">
        <f>INDEX(BGDP!$B$1:$B$28,MATCH(A41,BGDP!$A$1:$A$28,0))</f>
        <v>32734300000000</v>
      </c>
      <c r="D41">
        <f t="shared" si="0"/>
        <v>206952.86597789096</v>
      </c>
      <c r="E41">
        <f>INDEX(BCDTRtSY!$A$1:$ZZ$7,MATCH(Keys!$B$10,BCDTRtSY!$A$1:$A$7,0),MATCH(A41&amp;"",BCDTRtSY!$1:$1,0))</f>
        <v>1.094930242</v>
      </c>
      <c r="F41">
        <f>INDEX(BAADTbVT!$A$1:$ZZ$7,MATCH(Keys!$B$10,BAADTbVT!$A$1:$A$7,0),MATCH(A41&amp;"",BAADTbVT!$1:$1,0))</f>
        <v>9095</v>
      </c>
      <c r="G41">
        <f t="shared" si="1"/>
        <v>332686916.80104476</v>
      </c>
      <c r="H41">
        <f t="shared" si="2"/>
        <v>2.1033139827436171</v>
      </c>
      <c r="I41">
        <f t="shared" si="3"/>
        <v>2.1183268402251989</v>
      </c>
      <c r="J41">
        <f t="shared" si="4"/>
        <v>7.1377158164462884E-3</v>
      </c>
    </row>
    <row r="42" spans="1:10" x14ac:dyDescent="0.25">
      <c r="A42">
        <v>2050</v>
      </c>
      <c r="B42">
        <f>INDEX(NoH!$A$1:$ZZ$2,MATCH(Keys!$B$11,NoH!$A$1:$A$2,0),MATCH(A42&amp;"",NoH!$1:$1,0))</f>
        <v>159072735</v>
      </c>
      <c r="C42">
        <f>INDEX(BGDP!$B$1:$B$28,MATCH(A42,BGDP!$A$1:$A$28,0))</f>
        <v>33186800000000</v>
      </c>
      <c r="D42">
        <f t="shared" si="0"/>
        <v>208626.57576108188</v>
      </c>
      <c r="E42">
        <f>INDEX(BCDTRtSY!$A$1:$ZZ$7,MATCH(Keys!$B$10,BCDTRtSY!$A$1:$A$7,0),MATCH(A42&amp;"",BCDTRtSY!$1:$1,0))</f>
        <v>1.09606165</v>
      </c>
      <c r="F42">
        <f>INDEX(BAADTbVT!$A$1:$ZZ$7,MATCH(Keys!$B$10,BAADTbVT!$A$1:$A$7,0),MATCH(A42&amp;"",BAADTbVT!$1:$1,0))</f>
        <v>9092</v>
      </c>
      <c r="G42">
        <f t="shared" si="1"/>
        <v>333140574.17053169</v>
      </c>
      <c r="H42">
        <f t="shared" si="2"/>
        <v>2.094265709145767</v>
      </c>
      <c r="I42">
        <f t="shared" si="3"/>
        <v>2.1203575747415733</v>
      </c>
      <c r="J42">
        <f t="shared" si="4"/>
        <v>1.2458717860805102E-2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5" x14ac:dyDescent="0.25"/>
  <cols>
    <col min="1" max="1" width="84" customWidth="1"/>
    <col min="2" max="2" width="16" customWidth="1"/>
    <col min="3" max="3" width="18" customWidth="1"/>
  </cols>
  <sheetData>
    <row r="1" spans="1:3" x14ac:dyDescent="0.25">
      <c r="A1" s="7" t="s">
        <v>136</v>
      </c>
      <c r="B1" s="8"/>
      <c r="C1" s="8"/>
    </row>
    <row r="2" spans="1:3" x14ac:dyDescent="0.25">
      <c r="A2" s="9" t="s">
        <v>137</v>
      </c>
    </row>
    <row r="3" spans="1:3" ht="30" customHeight="1" x14ac:dyDescent="0.25">
      <c r="A3" s="6" t="s">
        <v>138</v>
      </c>
      <c r="B3" s="6" t="s">
        <v>139</v>
      </c>
      <c r="C3" s="6" t="s">
        <v>140</v>
      </c>
    </row>
    <row r="4" spans="1:3" x14ac:dyDescent="0.25">
      <c r="A4" t="s">
        <v>141</v>
      </c>
      <c r="B4">
        <f>'Ownership fit'!B14</f>
        <v>1.3662833451779433E-2</v>
      </c>
      <c r="C4">
        <f>IF(B4&gt;Keys!$B$9,1,0)</f>
        <v>0</v>
      </c>
    </row>
    <row r="5" spans="1:3" x14ac:dyDescent="0.25">
      <c r="A5" t="s">
        <v>142</v>
      </c>
      <c r="B5">
        <f>'Ownership fit'!B8/'Ownership fit'!B11</f>
        <v>0.90588779348437454</v>
      </c>
      <c r="C5">
        <f>IF(B5&gt;=1,1,0)</f>
        <v>0</v>
      </c>
    </row>
    <row r="6" spans="1:3" x14ac:dyDescent="0.25">
      <c r="A6" t="s">
        <v>143</v>
      </c>
      <c r="B6">
        <f>SUMPRODUCT(--((('VpHC-VpHCS'!B2:C7&lt;&gt;0)+('VpHC-VpHCIR'!B2:C7&lt;&gt;0))=1))</f>
        <v>0</v>
      </c>
      <c r="C6">
        <f>IF(B6&gt;0,1,0)</f>
        <v>0</v>
      </c>
    </row>
    <row r="7" spans="1:3" x14ac:dyDescent="0.25">
      <c r="A7" t="s">
        <v>144</v>
      </c>
      <c r="B7">
        <f>SUM(C4:C6)</f>
        <v>0</v>
      </c>
      <c r="C7">
        <f>IF(B7&gt;0,1,0)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145</v>
      </c>
      <c r="B1" t="s">
        <v>146</v>
      </c>
      <c r="C1" t="s">
        <v>147</v>
      </c>
    </row>
    <row r="2" spans="1:3" x14ac:dyDescent="0.25">
      <c r="A2" t="s">
        <v>36</v>
      </c>
      <c r="B2">
        <f>'Ownership fit'!B11</f>
        <v>2.2747263987811399</v>
      </c>
      <c r="C2">
        <v>0</v>
      </c>
    </row>
    <row r="3" spans="1:3" x14ac:dyDescent="0.25">
      <c r="A3" t="s">
        <v>100</v>
      </c>
      <c r="B3">
        <v>0</v>
      </c>
      <c r="C3">
        <v>0</v>
      </c>
    </row>
    <row r="4" spans="1:3" x14ac:dyDescent="0.25">
      <c r="A4" t="s">
        <v>101</v>
      </c>
      <c r="B4">
        <v>0</v>
      </c>
      <c r="C4">
        <v>0</v>
      </c>
    </row>
    <row r="5" spans="1:3" x14ac:dyDescent="0.25">
      <c r="A5" t="s">
        <v>102</v>
      </c>
      <c r="B5">
        <v>0</v>
      </c>
      <c r="C5">
        <v>0</v>
      </c>
    </row>
    <row r="6" spans="1:3" x14ac:dyDescent="0.25">
      <c r="A6" t="s">
        <v>103</v>
      </c>
      <c r="B6">
        <v>0</v>
      </c>
      <c r="C6">
        <v>0</v>
      </c>
    </row>
    <row r="7" spans="1:3" x14ac:dyDescent="0.25">
      <c r="A7" t="s">
        <v>104</v>
      </c>
      <c r="B7">
        <v>0</v>
      </c>
      <c r="C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</sheetPr>
  <dimension ref="A1:C7"/>
  <sheetViews>
    <sheetView workbookViewId="0"/>
  </sheetViews>
  <sheetFormatPr defaultRowHeight="15" x14ac:dyDescent="0.25"/>
  <cols>
    <col min="1" max="1" width="56" customWidth="1"/>
  </cols>
  <sheetData>
    <row r="1" spans="1:3" x14ac:dyDescent="0.25">
      <c r="A1" t="s">
        <v>148</v>
      </c>
      <c r="B1" t="s">
        <v>146</v>
      </c>
      <c r="C1" t="s">
        <v>147</v>
      </c>
    </row>
    <row r="2" spans="1:3" x14ac:dyDescent="0.25">
      <c r="A2" t="s">
        <v>36</v>
      </c>
      <c r="B2">
        <f>'Ownership fit'!B12</f>
        <v>-8.0914574719297287E-6</v>
      </c>
      <c r="C2">
        <v>0</v>
      </c>
    </row>
    <row r="3" spans="1:3" x14ac:dyDescent="0.25">
      <c r="A3" t="s">
        <v>100</v>
      </c>
      <c r="B3">
        <v>0</v>
      </c>
      <c r="C3">
        <v>0</v>
      </c>
    </row>
    <row r="4" spans="1:3" x14ac:dyDescent="0.25">
      <c r="A4" t="s">
        <v>101</v>
      </c>
      <c r="B4">
        <v>0</v>
      </c>
      <c r="C4">
        <v>0</v>
      </c>
    </row>
    <row r="5" spans="1:3" x14ac:dyDescent="0.25">
      <c r="A5" t="s">
        <v>102</v>
      </c>
      <c r="B5">
        <v>0</v>
      </c>
      <c r="C5">
        <v>0</v>
      </c>
    </row>
    <row r="6" spans="1:3" x14ac:dyDescent="0.25">
      <c r="A6" t="s">
        <v>103</v>
      </c>
      <c r="B6">
        <v>0</v>
      </c>
      <c r="C6">
        <v>0</v>
      </c>
    </row>
    <row r="7" spans="1:3" x14ac:dyDescent="0.25">
      <c r="A7" t="s">
        <v>104</v>
      </c>
      <c r="B7">
        <v>0</v>
      </c>
      <c r="C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Keys</vt:lpstr>
      <vt:lpstr>Literature</vt:lpstr>
      <vt:lpstr>NoH</vt:lpstr>
      <vt:lpstr>BGDP</vt:lpstr>
      <vt:lpstr>SYVbT</vt:lpstr>
      <vt:lpstr>BCDTRtSY</vt:lpstr>
      <vt:lpstr>BAADTbVT</vt:lpstr>
      <vt:lpstr>SYAADTbVT</vt:lpstr>
      <vt:lpstr>Ownership fit</vt:lpstr>
      <vt:lpstr>Checks</vt:lpstr>
      <vt:lpstr>VpHC-VpHCS</vt:lpstr>
      <vt:lpstr>VpHC-VpHCIR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2026-10-22T20:26:14Z</dcterms:created>
  <dcterms:modified xsi:type="dcterms:W3CDTF">2026-10-22T20:26:16Z</dcterms:modified>
</cp:coreProperties>
</file>