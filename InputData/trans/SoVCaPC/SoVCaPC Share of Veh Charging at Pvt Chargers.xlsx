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trans\SoVCaPC\"/>
    </mc:Choice>
  </mc:AlternateContent>
  <xr:revisionPtr revIDLastSave="0" documentId="8_{EAFF06CB-3ECB-4F36-B61A-94E00AFD61D8}" xr6:coauthVersionLast="47" xr6:coauthVersionMax="47" xr10:uidLastSave="{00000000-0000-0000-0000-000000000000}"/>
  <bookViews>
    <workbookView xWindow="20925" yWindow="3930" windowWidth="25935" windowHeight="14160" xr2:uid="{5DF79774-FAD9-488D-A794-A411A264B22B}"/>
  </bookViews>
  <sheets>
    <sheet name="About" sheetId="1" r:id="rId1"/>
    <sheet name="ICCT Data" sheetId="4" r:id="rId2"/>
    <sheet name="NREL Data" sheetId="5" r:id="rId3"/>
    <sheet name="SoVCaPC-passenger-LDV" sheetId="6" r:id="rId4"/>
    <sheet name="SoVCaPC-passenger" sheetId="2" r:id="rId5"/>
    <sheet name="SoVCaPC-freigh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B1" i="6" s="1" a="1"/>
  <c r="A14" i="5"/>
  <c r="B13" i="5"/>
  <c r="A13" i="5"/>
  <c r="B12" i="5"/>
  <c r="A12" i="5"/>
  <c r="B2" i="6" s="1" a="1"/>
  <c r="C2" i="6" s="1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D2" i="3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C2" i="3"/>
  <c r="B1" i="6" l="1"/>
  <c r="D1" i="6"/>
  <c r="E1" i="6"/>
  <c r="V1" i="6"/>
  <c r="F1" i="6"/>
  <c r="Q1" i="6"/>
  <c r="U1" i="6"/>
  <c r="G1" i="6"/>
  <c r="H1" i="6"/>
  <c r="I1" i="6"/>
  <c r="K1" i="6"/>
  <c r="J1" i="6"/>
  <c r="O1" i="6"/>
  <c r="R1" i="6"/>
  <c r="T1" i="6"/>
  <c r="L1" i="6"/>
  <c r="M1" i="6"/>
  <c r="N1" i="6"/>
  <c r="P1" i="6"/>
  <c r="S1" i="6"/>
  <c r="C1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B2" i="6"/>
</calcChain>
</file>

<file path=xl/sharedStrings.xml><?xml version="1.0" encoding="utf-8"?>
<sst xmlns="http://schemas.openxmlformats.org/spreadsheetml/2006/main" count="60" uniqueCount="33">
  <si>
    <t>SoVCaPC Share of Vehicle Charging at Private Chargers</t>
  </si>
  <si>
    <t>LDVs</t>
  </si>
  <si>
    <t>HDVs</t>
  </si>
  <si>
    <t>aircraft</t>
  </si>
  <si>
    <t>rail</t>
  </si>
  <si>
    <t>ships</t>
  </si>
  <si>
    <t>motorbikes</t>
  </si>
  <si>
    <t>Share by vehicle type (%)</t>
  </si>
  <si>
    <t>Sources:</t>
  </si>
  <si>
    <t>ICCT</t>
  </si>
  <si>
    <t>Home charging access and the implications for charging infrastructure costs in the  United States</t>
  </si>
  <si>
    <t>&lt;2050 is EI assumption</t>
  </si>
  <si>
    <t>Share private</t>
  </si>
  <si>
    <t>Notes:</t>
  </si>
  <si>
    <t>Freight LDVs</t>
  </si>
  <si>
    <t>https://theicct.org/wp-content/uploads/2022/12/charging-infrastructure-trucks-zeva-dec22.pdf</t>
  </si>
  <si>
    <t>Freight HDVs</t>
  </si>
  <si>
    <t>TOTAL COST OF OWNERSHIP OF ALTERNATIVE POWERTRAIN TECHNOLOGIES FOR CLASS 8 LONG-HAUL TRUCKS IN THE  UNITED STATES</t>
  </si>
  <si>
    <t>(this report notes it assumes 100% of charging and public on-route highway charging)</t>
  </si>
  <si>
    <t>We assume 100% of electric bus charging happens at depots (private)</t>
  </si>
  <si>
    <t>We assume 100% of electric motorcycle charging happens at home</t>
  </si>
  <si>
    <t>EV stock share</t>
  </si>
  <si>
    <t>pev_stock_ldv_stock_pct</t>
  </si>
  <si>
    <t>pevs_with_home_charging_pct</t>
  </si>
  <si>
    <t>notes</t>
  </si>
  <si>
    <t>interpolated</t>
  </si>
  <si>
    <t>confirmed (Section 4.3)</t>
  </si>
  <si>
    <t>confirmed (Section 3.4)</t>
  </si>
  <si>
    <t>Table for Passenger LDVs</t>
  </si>
  <si>
    <t>NREL</t>
  </si>
  <si>
    <t>Figure 11 (interpolated)</t>
  </si>
  <si>
    <t>https://docs.nlr.gov/docs/fy22osti/81065.pdf</t>
  </si>
  <si>
    <t xml:space="preserve">There's No Place Like Home: Residential Parking, Electrical Access, and Implications for the Future of Electric Vehicle Charging Infrastructure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</si>
</sst>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D747-0BCA-4249-98FA-A0EBEF6663B0}">
  <dimension ref="A1:B23"/>
  <sheetViews>
    <sheetView tabSelected="1" workbookViewId="0">
      <selection activeCell="D26" sqref="D26"/>
    </sheetView>
  </sheetViews>
  <sheetFormatPr defaultRowHeight="15" x14ac:dyDescent="0.25"/>
  <cols>
    <col min="2" max="2" width="75.42578125" customWidth="1"/>
  </cols>
  <sheetData>
    <row r="1" spans="1:2" x14ac:dyDescent="0.25">
      <c r="A1" s="1" t="s">
        <v>0</v>
      </c>
    </row>
    <row r="3" spans="1:2" x14ac:dyDescent="0.25">
      <c r="A3" t="s">
        <v>8</v>
      </c>
      <c r="B3" s="3" t="s">
        <v>28</v>
      </c>
    </row>
    <row r="4" spans="1:2" x14ac:dyDescent="0.25">
      <c r="B4" t="s">
        <v>29</v>
      </c>
    </row>
    <row r="5" spans="1:2" x14ac:dyDescent="0.25">
      <c r="B5" s="4">
        <v>2022</v>
      </c>
    </row>
    <row r="6" spans="1:2" ht="30" x14ac:dyDescent="0.25">
      <c r="B6" s="6" t="s">
        <v>32</v>
      </c>
    </row>
    <row r="7" spans="1:2" x14ac:dyDescent="0.25">
      <c r="B7" t="s">
        <v>31</v>
      </c>
    </row>
    <row r="8" spans="1:2" x14ac:dyDescent="0.25">
      <c r="B8" t="s">
        <v>30</v>
      </c>
    </row>
    <row r="10" spans="1:2" x14ac:dyDescent="0.25">
      <c r="B10" s="3" t="s">
        <v>14</v>
      </c>
    </row>
    <row r="11" spans="1:2" x14ac:dyDescent="0.25">
      <c r="B11" t="s">
        <v>9</v>
      </c>
    </row>
    <row r="12" spans="1:2" x14ac:dyDescent="0.25">
      <c r="B12" s="4">
        <v>2022</v>
      </c>
    </row>
    <row r="13" spans="1:2" x14ac:dyDescent="0.25">
      <c r="B13" t="s">
        <v>10</v>
      </c>
    </row>
    <row r="14" spans="1:2" x14ac:dyDescent="0.25">
      <c r="B14" t="s">
        <v>15</v>
      </c>
    </row>
    <row r="16" spans="1:2" x14ac:dyDescent="0.25">
      <c r="B16" s="3" t="s">
        <v>16</v>
      </c>
    </row>
    <row r="17" spans="1:2" x14ac:dyDescent="0.25">
      <c r="B17" t="s">
        <v>9</v>
      </c>
    </row>
    <row r="18" spans="1:2" x14ac:dyDescent="0.25">
      <c r="B18" s="4">
        <v>2023</v>
      </c>
    </row>
    <row r="19" spans="1:2" ht="30" x14ac:dyDescent="0.25">
      <c r="B19" s="6" t="s">
        <v>17</v>
      </c>
    </row>
    <row r="20" spans="1:2" x14ac:dyDescent="0.25">
      <c r="B20" t="s">
        <v>18</v>
      </c>
    </row>
    <row r="22" spans="1:2" x14ac:dyDescent="0.25">
      <c r="A22" t="s">
        <v>13</v>
      </c>
      <c r="B22" t="s">
        <v>19</v>
      </c>
    </row>
    <row r="23" spans="1:2" x14ac:dyDescent="0.25">
      <c r="B2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1664-77DA-46CA-A280-D44BC1F4DBB0}">
  <dimension ref="A1:E2"/>
  <sheetViews>
    <sheetView workbookViewId="0">
      <selection activeCell="A3" sqref="A3"/>
    </sheetView>
  </sheetViews>
  <sheetFormatPr defaultRowHeight="15" x14ac:dyDescent="0.25"/>
  <sheetData>
    <row r="1" spans="1:5" x14ac:dyDescent="0.25">
      <c r="B1">
        <v>2020</v>
      </c>
      <c r="C1">
        <v>2030</v>
      </c>
      <c r="D1">
        <v>2050</v>
      </c>
    </row>
    <row r="2" spans="1:5" x14ac:dyDescent="0.25">
      <c r="A2" t="s">
        <v>12</v>
      </c>
      <c r="B2">
        <v>0.88</v>
      </c>
      <c r="C2">
        <v>0.7</v>
      </c>
      <c r="D2" s="5">
        <v>0.6</v>
      </c>
      <c r="E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99CD-0D38-4CA4-B8B2-8EA3B34A4C70}">
  <dimension ref="A1:C22"/>
  <sheetViews>
    <sheetView workbookViewId="0">
      <selection activeCell="E2" sqref="E2"/>
    </sheetView>
  </sheetViews>
  <sheetFormatPr defaultRowHeight="15" x14ac:dyDescent="0.25"/>
  <cols>
    <col min="1" max="1" width="22.5703125" bestFit="1" customWidth="1"/>
    <col min="2" max="2" width="28.140625" bestFit="1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>
        <f>0/(100)</f>
        <v>0</v>
      </c>
      <c r="B2">
        <f>97/(100)</f>
        <v>0.97</v>
      </c>
      <c r="C2" t="s">
        <v>25</v>
      </c>
    </row>
    <row r="3" spans="1:3" x14ac:dyDescent="0.25">
      <c r="A3">
        <f>5/(100)</f>
        <v>0.05</v>
      </c>
      <c r="B3">
        <f>91/(100)</f>
        <v>0.91</v>
      </c>
      <c r="C3" t="s">
        <v>25</v>
      </c>
    </row>
    <row r="4" spans="1:3" x14ac:dyDescent="0.25">
      <c r="A4">
        <f>10/(100)</f>
        <v>0.1</v>
      </c>
      <c r="B4">
        <f>85/(100)</f>
        <v>0.85</v>
      </c>
      <c r="C4" t="s">
        <v>25</v>
      </c>
    </row>
    <row r="5" spans="1:3" x14ac:dyDescent="0.25">
      <c r="A5">
        <f>15/(100)</f>
        <v>0.15</v>
      </c>
      <c r="B5">
        <f>79/(100)</f>
        <v>0.79</v>
      </c>
      <c r="C5" t="s">
        <v>25</v>
      </c>
    </row>
    <row r="6" spans="1:3" x14ac:dyDescent="0.25">
      <c r="A6">
        <f>20/(100)</f>
        <v>0.2</v>
      </c>
      <c r="B6">
        <f>74/(100)</f>
        <v>0.74</v>
      </c>
      <c r="C6" t="s">
        <v>25</v>
      </c>
    </row>
    <row r="7" spans="1:3" x14ac:dyDescent="0.25">
      <c r="A7">
        <f>25/(100)</f>
        <v>0.25</v>
      </c>
      <c r="B7">
        <f>70/(100)</f>
        <v>0.7</v>
      </c>
      <c r="C7" t="s">
        <v>25</v>
      </c>
    </row>
    <row r="8" spans="1:3" x14ac:dyDescent="0.25">
      <c r="A8">
        <f>30/(100)</f>
        <v>0.3</v>
      </c>
      <c r="B8">
        <f>67/(100)</f>
        <v>0.67</v>
      </c>
      <c r="C8" t="s">
        <v>25</v>
      </c>
    </row>
    <row r="9" spans="1:3" x14ac:dyDescent="0.25">
      <c r="A9">
        <f>35/(100)</f>
        <v>0.35</v>
      </c>
      <c r="B9">
        <f>64/(100)</f>
        <v>0.64</v>
      </c>
      <c r="C9" t="s">
        <v>25</v>
      </c>
    </row>
    <row r="10" spans="1:3" x14ac:dyDescent="0.25">
      <c r="A10">
        <f>40/(100)</f>
        <v>0.4</v>
      </c>
      <c r="B10">
        <f>61/(100)</f>
        <v>0.61</v>
      </c>
      <c r="C10" t="s">
        <v>25</v>
      </c>
    </row>
    <row r="11" spans="1:3" x14ac:dyDescent="0.25">
      <c r="A11">
        <f>45/(100)</f>
        <v>0.45</v>
      </c>
      <c r="B11">
        <f>58/(100)</f>
        <v>0.57999999999999996</v>
      </c>
      <c r="C11" t="s">
        <v>25</v>
      </c>
    </row>
    <row r="12" spans="1:3" x14ac:dyDescent="0.25">
      <c r="A12">
        <f>50/(100)</f>
        <v>0.5</v>
      </c>
      <c r="B12">
        <f>56/(100)</f>
        <v>0.56000000000000005</v>
      </c>
      <c r="C12" t="s">
        <v>26</v>
      </c>
    </row>
    <row r="13" spans="1:3" x14ac:dyDescent="0.25">
      <c r="A13">
        <f>55/(100)</f>
        <v>0.55000000000000004</v>
      </c>
      <c r="B13">
        <f>53/(100)</f>
        <v>0.53</v>
      </c>
      <c r="C13" t="s">
        <v>25</v>
      </c>
    </row>
    <row r="14" spans="1:3" x14ac:dyDescent="0.25">
      <c r="A14">
        <f>60/(100)</f>
        <v>0.6</v>
      </c>
      <c r="B14">
        <f>50/(100)</f>
        <v>0.5</v>
      </c>
      <c r="C14" t="s">
        <v>25</v>
      </c>
    </row>
    <row r="15" spans="1:3" x14ac:dyDescent="0.25">
      <c r="A15">
        <f>65/(100)</f>
        <v>0.65</v>
      </c>
      <c r="B15">
        <f>47/(100)</f>
        <v>0.47</v>
      </c>
      <c r="C15" t="s">
        <v>25</v>
      </c>
    </row>
    <row r="16" spans="1:3" x14ac:dyDescent="0.25">
      <c r="A16">
        <f>70/(100)</f>
        <v>0.7</v>
      </c>
      <c r="B16">
        <f>44/(100)</f>
        <v>0.44</v>
      </c>
      <c r="C16" t="s">
        <v>25</v>
      </c>
    </row>
    <row r="17" spans="1:3" x14ac:dyDescent="0.25">
      <c r="A17">
        <f>75/(100)</f>
        <v>0.75</v>
      </c>
      <c r="B17">
        <f>42/(100)</f>
        <v>0.42</v>
      </c>
      <c r="C17" t="s">
        <v>25</v>
      </c>
    </row>
    <row r="18" spans="1:3" x14ac:dyDescent="0.25">
      <c r="A18">
        <f>80/(100)</f>
        <v>0.8</v>
      </c>
      <c r="B18">
        <f>39/(100)</f>
        <v>0.39</v>
      </c>
      <c r="C18" t="s">
        <v>25</v>
      </c>
    </row>
    <row r="19" spans="1:3" x14ac:dyDescent="0.25">
      <c r="A19">
        <f>85/(100)</f>
        <v>0.85</v>
      </c>
      <c r="B19">
        <f>37/(100)</f>
        <v>0.37</v>
      </c>
      <c r="C19" t="s">
        <v>25</v>
      </c>
    </row>
    <row r="20" spans="1:3" x14ac:dyDescent="0.25">
      <c r="A20">
        <f>90/(100)</f>
        <v>0.9</v>
      </c>
      <c r="B20">
        <f>35/(100)</f>
        <v>0.35</v>
      </c>
      <c r="C20" t="s">
        <v>25</v>
      </c>
    </row>
    <row r="21" spans="1:3" x14ac:dyDescent="0.25">
      <c r="A21">
        <f>95/(100)</f>
        <v>0.95</v>
      </c>
      <c r="B21">
        <f>34/(100)</f>
        <v>0.34</v>
      </c>
      <c r="C21" t="s">
        <v>25</v>
      </c>
    </row>
    <row r="22" spans="1:3" x14ac:dyDescent="0.25">
      <c r="A22">
        <f>100/(100)</f>
        <v>1</v>
      </c>
      <c r="B22">
        <f>33/(100)</f>
        <v>0.33</v>
      </c>
      <c r="C2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72AB-761B-46C0-803A-B700800975F2}">
  <sheetPr>
    <tabColor rgb="FF002060"/>
  </sheetPr>
  <dimension ref="A1:V2"/>
  <sheetViews>
    <sheetView workbookViewId="0">
      <selection activeCell="G22" sqref="G22"/>
    </sheetView>
  </sheetViews>
  <sheetFormatPr defaultRowHeight="15" x14ac:dyDescent="0.25"/>
  <cols>
    <col min="1" max="1" width="13.85546875" bestFit="1" customWidth="1"/>
  </cols>
  <sheetData>
    <row r="1" spans="1:22" x14ac:dyDescent="0.25">
      <c r="A1" t="s">
        <v>12</v>
      </c>
      <c r="B1">
        <f t="array" ref="B1:V1">TRANSPOSE('NREL Data'!B2:B22)</f>
        <v>0.97</v>
      </c>
      <c r="C1">
        <v>0.91</v>
      </c>
      <c r="D1">
        <v>0.85</v>
      </c>
      <c r="E1">
        <v>0.79</v>
      </c>
      <c r="F1">
        <v>0.74</v>
      </c>
      <c r="G1">
        <v>0.7</v>
      </c>
      <c r="H1">
        <v>0.67</v>
      </c>
      <c r="I1">
        <v>0.64</v>
      </c>
      <c r="J1">
        <v>0.61</v>
      </c>
      <c r="K1">
        <v>0.57999999999999996</v>
      </c>
      <c r="L1">
        <v>0.56000000000000005</v>
      </c>
      <c r="M1">
        <v>0.53</v>
      </c>
      <c r="N1">
        <v>0.5</v>
      </c>
      <c r="O1">
        <v>0.47</v>
      </c>
      <c r="P1">
        <v>0.44</v>
      </c>
      <c r="Q1">
        <v>0.42</v>
      </c>
      <c r="R1">
        <v>0.39</v>
      </c>
      <c r="S1">
        <v>0.37</v>
      </c>
      <c r="T1">
        <v>0.35</v>
      </c>
      <c r="U1">
        <v>0.34</v>
      </c>
      <c r="V1">
        <v>0.33</v>
      </c>
    </row>
    <row r="2" spans="1:22" x14ac:dyDescent="0.25">
      <c r="A2" t="s">
        <v>21</v>
      </c>
      <c r="B2">
        <f t="array" ref="B2:V2">TRANSPOSE('NREL Data'!A2:A22)</f>
        <v>0</v>
      </c>
      <c r="C2">
        <v>0.05</v>
      </c>
      <c r="D2">
        <v>0.1</v>
      </c>
      <c r="E2">
        <v>0.15</v>
      </c>
      <c r="F2">
        <v>0.2</v>
      </c>
      <c r="G2">
        <v>0.25</v>
      </c>
      <c r="H2">
        <v>0.3</v>
      </c>
      <c r="I2">
        <v>0.35</v>
      </c>
      <c r="J2">
        <v>0.4</v>
      </c>
      <c r="K2">
        <v>0.45</v>
      </c>
      <c r="L2">
        <v>0.5</v>
      </c>
      <c r="M2">
        <v>0.55000000000000004</v>
      </c>
      <c r="N2">
        <v>0.6</v>
      </c>
      <c r="O2">
        <v>0.65</v>
      </c>
      <c r="P2">
        <v>0.7</v>
      </c>
      <c r="Q2">
        <v>0.75</v>
      </c>
      <c r="R2">
        <v>0.8</v>
      </c>
      <c r="S2">
        <v>0.85</v>
      </c>
      <c r="T2">
        <v>0.9</v>
      </c>
      <c r="U2">
        <v>0.95</v>
      </c>
      <c r="V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A93B-CA57-4D59-8AC0-E3063D353C97}">
  <sheetPr>
    <tabColor rgb="FF002060"/>
  </sheetPr>
  <dimension ref="A1:AF7"/>
  <sheetViews>
    <sheetView topLeftCell="B1" zoomScale="70" zoomScaleNormal="70" workbookViewId="0">
      <selection activeCell="B2" sqref="B2:AF2"/>
    </sheetView>
  </sheetViews>
  <sheetFormatPr defaultRowHeight="15" x14ac:dyDescent="0.25"/>
  <cols>
    <col min="1" max="1" width="22.85546875" bestFit="1" customWidth="1"/>
    <col min="2" max="5" width="22.85546875" customWidth="1"/>
  </cols>
  <sheetData>
    <row r="1" spans="1:32" x14ac:dyDescent="0.25">
      <c r="A1" t="s">
        <v>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EDAF-56E8-458A-B437-515CC4B8D75E}">
  <sheetPr>
    <tabColor rgb="FF002060"/>
  </sheetPr>
  <dimension ref="A1:AF7"/>
  <sheetViews>
    <sheetView workbookViewId="0">
      <selection activeCell="C11" sqref="C11"/>
    </sheetView>
  </sheetViews>
  <sheetFormatPr defaultRowHeight="15" x14ac:dyDescent="0.25"/>
  <sheetData>
    <row r="1" spans="1:32" x14ac:dyDescent="0.25">
      <c r="A1" t="s">
        <v>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 s="2">
        <v>0.91</v>
      </c>
      <c r="C2">
        <f>B2</f>
        <v>0.91</v>
      </c>
      <c r="D2">
        <f t="shared" ref="D2:AF2" si="0">C2</f>
        <v>0.91</v>
      </c>
      <c r="E2">
        <f t="shared" si="0"/>
        <v>0.91</v>
      </c>
      <c r="F2">
        <f t="shared" si="0"/>
        <v>0.91</v>
      </c>
      <c r="G2">
        <f t="shared" si="0"/>
        <v>0.91</v>
      </c>
      <c r="H2">
        <f t="shared" si="0"/>
        <v>0.91</v>
      </c>
      <c r="I2">
        <f t="shared" si="0"/>
        <v>0.91</v>
      </c>
      <c r="J2">
        <f t="shared" si="0"/>
        <v>0.91</v>
      </c>
      <c r="K2">
        <f t="shared" si="0"/>
        <v>0.91</v>
      </c>
      <c r="L2">
        <f t="shared" si="0"/>
        <v>0.91</v>
      </c>
      <c r="M2">
        <f t="shared" si="0"/>
        <v>0.91</v>
      </c>
      <c r="N2">
        <f t="shared" si="0"/>
        <v>0.91</v>
      </c>
      <c r="O2">
        <f t="shared" si="0"/>
        <v>0.91</v>
      </c>
      <c r="P2">
        <f t="shared" si="0"/>
        <v>0.91</v>
      </c>
      <c r="Q2">
        <f t="shared" si="0"/>
        <v>0.91</v>
      </c>
      <c r="R2">
        <f t="shared" si="0"/>
        <v>0.91</v>
      </c>
      <c r="S2">
        <f t="shared" si="0"/>
        <v>0.91</v>
      </c>
      <c r="T2">
        <f t="shared" si="0"/>
        <v>0.91</v>
      </c>
      <c r="U2">
        <f t="shared" si="0"/>
        <v>0.91</v>
      </c>
      <c r="V2">
        <f t="shared" si="0"/>
        <v>0.91</v>
      </c>
      <c r="W2">
        <f t="shared" si="0"/>
        <v>0.91</v>
      </c>
      <c r="X2">
        <f t="shared" si="0"/>
        <v>0.91</v>
      </c>
      <c r="Y2">
        <f t="shared" si="0"/>
        <v>0.91</v>
      </c>
      <c r="Z2">
        <f t="shared" si="0"/>
        <v>0.91</v>
      </c>
      <c r="AA2">
        <f t="shared" si="0"/>
        <v>0.91</v>
      </c>
      <c r="AB2">
        <f t="shared" si="0"/>
        <v>0.91</v>
      </c>
      <c r="AC2">
        <f t="shared" si="0"/>
        <v>0.91</v>
      </c>
      <c r="AD2">
        <f t="shared" si="0"/>
        <v>0.91</v>
      </c>
      <c r="AE2">
        <f t="shared" si="0"/>
        <v>0.91</v>
      </c>
      <c r="AF2">
        <f t="shared" si="0"/>
        <v>0.91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ICCT Data</vt:lpstr>
      <vt:lpstr>NREL Data</vt:lpstr>
      <vt:lpstr>SoVCaPC-passenger-LDV</vt:lpstr>
      <vt:lpstr>SoVCaPC-passenger</vt:lpstr>
      <vt:lpstr>SoVCaPC-freight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2026-04-15T13:45:43Z</dcterms:created>
  <dcterms:modified xsi:type="dcterms:W3CDTF">2026-04-15T20:07:57Z</dcterms:modified>
</cp:coreProperties>
</file>